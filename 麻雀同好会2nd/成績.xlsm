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40D2C86-574F-4C34-8AB3-3C40F90EA3FA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610" r:id="rId6"/>
    <sheet name="だいち" sheetId="4612" r:id="rId7"/>
    <sheet name="りくと" sheetId="4614" r:id="rId8"/>
    <sheet name="ただ" sheetId="4616" r:id="rId9"/>
    <sheet name="れんたろう" sheetId="4618" r:id="rId10"/>
    <sheet name="たかの" sheetId="4620" r:id="rId11"/>
    <sheet name="ぱぱ" sheetId="4622" r:id="rId12"/>
    <sheet name="まっつん" sheetId="4624" r:id="rId13"/>
    <sheet name="あさひ" sheetId="4626" r:id="rId14"/>
    <sheet name="いっしー" sheetId="4628" r:id="rId15"/>
    <sheet name="いっしー2" sheetId="4629" state="hidden" r:id="rId16"/>
    <sheet name="あさひ2" sheetId="4627" state="hidden" r:id="rId17"/>
    <sheet name="まっつん2" sheetId="4625" state="hidden" r:id="rId18"/>
    <sheet name="ぱぱ2" sheetId="4623" state="hidden" r:id="rId19"/>
    <sheet name="たかの2" sheetId="4621" state="hidden" r:id="rId20"/>
    <sheet name="れんたろう2" sheetId="4619" state="hidden" r:id="rId21"/>
    <sheet name="ただ2" sheetId="4617" state="hidden" r:id="rId22"/>
    <sheet name="りくと2" sheetId="4615" state="hidden" r:id="rId23"/>
    <sheet name="だいち2" sheetId="4613" state="hidden" r:id="rId24"/>
    <sheet name="全体2" sheetId="461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620" l="1"/>
  <c r="O15" i="4616"/>
  <c r="O22" i="4624"/>
  <c r="O18" i="4624"/>
  <c r="O18" i="4612" l="1"/>
  <c r="O17" i="4628"/>
  <c r="O16" i="4628" l="1"/>
  <c r="O15" i="4628"/>
  <c r="O17" i="4618"/>
  <c r="O19" i="4616"/>
  <c r="O17" i="4626" l="1"/>
  <c r="O19" i="4622"/>
  <c r="O15" i="4626"/>
  <c r="O20" i="4628"/>
  <c r="O15" i="4614"/>
  <c r="O15" i="4624"/>
  <c r="O15" i="4610"/>
  <c r="O19" i="4628"/>
  <c r="O18" i="4628"/>
  <c r="C27" i="4628"/>
  <c r="B24" i="4628"/>
  <c r="C20" i="4628"/>
  <c r="B17" i="4628"/>
  <c r="H51" i="4628" s="1"/>
  <c r="C16" i="4628"/>
  <c r="C15" i="4628"/>
  <c r="C14" i="4628"/>
  <c r="C13" i="4628"/>
  <c r="O12" i="4628"/>
  <c r="C12" i="4628"/>
  <c r="O11" i="4628"/>
  <c r="C11" i="4628"/>
  <c r="O10" i="4628"/>
  <c r="C10" i="4628"/>
  <c r="C9" i="4628"/>
  <c r="C8" i="4628"/>
  <c r="O7" i="4628"/>
  <c r="C7" i="4628"/>
  <c r="O6" i="4628"/>
  <c r="B6" i="4628"/>
  <c r="O5" i="4628"/>
  <c r="B5" i="4628"/>
  <c r="O4" i="4628"/>
  <c r="O3" i="4628"/>
  <c r="O2" i="4628"/>
  <c r="O16" i="4626"/>
  <c r="O18" i="4626"/>
  <c r="C27" i="4626"/>
  <c r="B24" i="4626"/>
  <c r="H26" i="4626"/>
  <c r="C20" i="4626"/>
  <c r="B17" i="4626"/>
  <c r="H7" i="4626" s="1"/>
  <c r="C16" i="4626"/>
  <c r="C15" i="4626"/>
  <c r="C14" i="4626"/>
  <c r="C13" i="4626"/>
  <c r="O12" i="4626"/>
  <c r="C12" i="4626"/>
  <c r="O11" i="4626"/>
  <c r="C11" i="4626"/>
  <c r="O10" i="4626"/>
  <c r="C10" i="4626"/>
  <c r="C9" i="4626"/>
  <c r="C8" i="4626"/>
  <c r="O7" i="4626"/>
  <c r="C7" i="4626"/>
  <c r="O6" i="4626"/>
  <c r="B6" i="4626"/>
  <c r="O5" i="4626"/>
  <c r="B5" i="4626"/>
  <c r="O4" i="4626"/>
  <c r="O3" i="4626"/>
  <c r="O2" i="4626"/>
  <c r="O21" i="4624"/>
  <c r="O20" i="4624"/>
  <c r="O16" i="4612"/>
  <c r="O17" i="4612"/>
  <c r="O22" i="4610"/>
  <c r="H9" i="4628" l="1"/>
  <c r="H19" i="4626"/>
  <c r="H2" i="4626"/>
  <c r="H48" i="4626"/>
  <c r="H17" i="4626"/>
  <c r="H34" i="4626"/>
  <c r="H32" i="4626"/>
  <c r="H52" i="4626"/>
  <c r="H5" i="4626"/>
  <c r="H13" i="4626"/>
  <c r="C18" i="4626"/>
  <c r="H3" i="4626"/>
  <c r="H9" i="4626"/>
  <c r="H14" i="4626"/>
  <c r="C19" i="4626"/>
  <c r="H28" i="4626"/>
  <c r="H40" i="4626"/>
  <c r="H25" i="4626"/>
  <c r="H42" i="4626"/>
  <c r="H29" i="4626"/>
  <c r="H44" i="4626"/>
  <c r="H36" i="4626"/>
  <c r="H4" i="4626"/>
  <c r="H16" i="4626"/>
  <c r="H18" i="4626"/>
  <c r="C17" i="4626"/>
  <c r="H24" i="4626"/>
  <c r="H27" i="4626"/>
  <c r="H30" i="4626"/>
  <c r="H38" i="4626"/>
  <c r="H46" i="4626"/>
  <c r="H13" i="4628"/>
  <c r="H18" i="4628"/>
  <c r="C17" i="4628"/>
  <c r="H40" i="4628"/>
  <c r="H11" i="4628"/>
  <c r="H29" i="4628"/>
  <c r="H44" i="4628"/>
  <c r="H2" i="4628"/>
  <c r="H15" i="4628"/>
  <c r="C18" i="4628"/>
  <c r="H32" i="4628"/>
  <c r="H48" i="4628"/>
  <c r="H4" i="4628"/>
  <c r="H3" i="4628"/>
  <c r="H20" i="4628"/>
  <c r="H26" i="4628"/>
  <c r="H36" i="4628"/>
  <c r="H52" i="4628"/>
  <c r="H22" i="4628"/>
  <c r="H10" i="4628"/>
  <c r="B23" i="4628"/>
  <c r="H27" i="4628"/>
  <c r="H6" i="4628"/>
  <c r="H33" i="4628"/>
  <c r="H37" i="4628"/>
  <c r="H41" i="4628"/>
  <c r="H45" i="4628"/>
  <c r="H49" i="4628"/>
  <c r="H5" i="4628"/>
  <c r="H8" i="4628"/>
  <c r="H17" i="4628"/>
  <c r="H19" i="4628"/>
  <c r="C19" i="4628"/>
  <c r="H24" i="4628"/>
  <c r="H25" i="4628"/>
  <c r="H28" i="4628"/>
  <c r="H30" i="4628"/>
  <c r="H34" i="4628"/>
  <c r="H38" i="4628"/>
  <c r="H42" i="4628"/>
  <c r="H46" i="4628"/>
  <c r="H50" i="4628"/>
  <c r="H12" i="4628"/>
  <c r="H7" i="4628"/>
  <c r="H14" i="4628"/>
  <c r="H16" i="4628"/>
  <c r="H21" i="4628"/>
  <c r="H23" i="4628"/>
  <c r="H31" i="4628"/>
  <c r="H35" i="4628"/>
  <c r="H39" i="4628"/>
  <c r="H43" i="4628"/>
  <c r="H47" i="4628"/>
  <c r="H50" i="4626"/>
  <c r="H12" i="4626"/>
  <c r="H8" i="4626"/>
  <c r="H10" i="4626"/>
  <c r="H15" i="4626"/>
  <c r="H20" i="4626"/>
  <c r="H22" i="4626"/>
  <c r="H31" i="4626"/>
  <c r="H35" i="4626"/>
  <c r="H39" i="4626"/>
  <c r="H43" i="4626"/>
  <c r="H47" i="4626"/>
  <c r="H51" i="4626"/>
  <c r="H21" i="4626"/>
  <c r="H23" i="4626"/>
  <c r="B23" i="4626"/>
  <c r="H11" i="4626"/>
  <c r="H6" i="4626"/>
  <c r="H33" i="4626"/>
  <c r="H37" i="4626"/>
  <c r="H41" i="4626"/>
  <c r="H45" i="4626"/>
  <c r="H49" i="4626"/>
  <c r="O16" i="4624" l="1"/>
  <c r="O17" i="4622"/>
  <c r="O20" i="4622"/>
  <c r="O16" i="4614"/>
  <c r="O17" i="4620" l="1"/>
  <c r="O18" i="4618"/>
  <c r="O16" i="4622"/>
  <c r="O18" i="4622"/>
  <c r="O16" i="4620" l="1"/>
  <c r="O15" i="4618"/>
  <c r="O20" i="4616"/>
  <c r="O21" i="4616"/>
  <c r="O19" i="4624"/>
  <c r="O17" i="4624"/>
  <c r="C27" i="4624"/>
  <c r="B24" i="4624"/>
  <c r="C20" i="4624"/>
  <c r="B17" i="4624"/>
  <c r="H51" i="4624" s="1"/>
  <c r="C16" i="4624"/>
  <c r="C15" i="4624"/>
  <c r="C14" i="4624"/>
  <c r="C13" i="4624"/>
  <c r="O12" i="4624"/>
  <c r="C12" i="4624"/>
  <c r="O11" i="4624"/>
  <c r="C11" i="4624"/>
  <c r="O10" i="4624"/>
  <c r="C10" i="4624"/>
  <c r="C9" i="4624"/>
  <c r="C8" i="4624"/>
  <c r="O7" i="4624"/>
  <c r="C7" i="4624"/>
  <c r="O6" i="4624"/>
  <c r="B6" i="4624"/>
  <c r="O5" i="4624"/>
  <c r="B5" i="4624"/>
  <c r="O4" i="4624"/>
  <c r="O3" i="4624"/>
  <c r="O2" i="4624"/>
  <c r="O16" i="4618"/>
  <c r="O20" i="4614"/>
  <c r="O18" i="4610"/>
  <c r="H15" i="4624" l="1"/>
  <c r="H4" i="4624"/>
  <c r="H3" i="4624"/>
  <c r="H21" i="4624"/>
  <c r="H40" i="4624"/>
  <c r="H19" i="4624"/>
  <c r="H44" i="4624"/>
  <c r="H12" i="4624"/>
  <c r="H30" i="4624"/>
  <c r="H9" i="4624"/>
  <c r="C17" i="4624"/>
  <c r="H32" i="4624"/>
  <c r="H48" i="4624"/>
  <c r="H2" i="4624"/>
  <c r="H17" i="4624"/>
  <c r="C18" i="4624"/>
  <c r="H13" i="4624"/>
  <c r="H36" i="4624"/>
  <c r="H52" i="4624"/>
  <c r="H23" i="4624"/>
  <c r="H25" i="4624"/>
  <c r="B23" i="4624"/>
  <c r="H28" i="4624"/>
  <c r="H10" i="4624"/>
  <c r="H33" i="4624"/>
  <c r="H37" i="4624"/>
  <c r="H41" i="4624"/>
  <c r="H45" i="4624"/>
  <c r="H49" i="4624"/>
  <c r="H5" i="4624"/>
  <c r="H7" i="4624"/>
  <c r="H11" i="4624"/>
  <c r="H20" i="4624"/>
  <c r="C19" i="4624"/>
  <c r="H26" i="4624"/>
  <c r="H27" i="4624"/>
  <c r="H29" i="4624"/>
  <c r="H31" i="4624"/>
  <c r="H34" i="4624"/>
  <c r="H38" i="4624"/>
  <c r="H42" i="4624"/>
  <c r="H46" i="4624"/>
  <c r="H50" i="4624"/>
  <c r="H8" i="4624"/>
  <c r="H6" i="4624"/>
  <c r="H16" i="4624"/>
  <c r="H18" i="4624"/>
  <c r="H22" i="4624"/>
  <c r="H24" i="4624"/>
  <c r="H14" i="4624"/>
  <c r="H35" i="4624"/>
  <c r="H39" i="4624"/>
  <c r="H43" i="4624"/>
  <c r="H47" i="4624"/>
  <c r="O17" i="4616" l="1"/>
  <c r="O21" i="4622"/>
  <c r="O15" i="4622"/>
  <c r="C27" i="4622"/>
  <c r="B24" i="4622"/>
  <c r="C20" i="4622"/>
  <c r="B17" i="4622"/>
  <c r="H6" i="4622" s="1"/>
  <c r="C16" i="4622"/>
  <c r="C15" i="4622"/>
  <c r="C14" i="4622"/>
  <c r="C13" i="4622"/>
  <c r="O12" i="4622"/>
  <c r="C12" i="4622"/>
  <c r="O11" i="4622"/>
  <c r="C11" i="4622"/>
  <c r="O10" i="4622"/>
  <c r="C10" i="4622"/>
  <c r="C9" i="4622"/>
  <c r="H8" i="4622"/>
  <c r="C8" i="4622"/>
  <c r="O7" i="4622"/>
  <c r="C7" i="4622"/>
  <c r="O6" i="4622"/>
  <c r="B6" i="4622"/>
  <c r="O5" i="4622"/>
  <c r="B5" i="4622"/>
  <c r="O4" i="4622"/>
  <c r="O3" i="4622"/>
  <c r="O2" i="4622"/>
  <c r="O15" i="4612"/>
  <c r="O17" i="4610"/>
  <c r="O20" i="4620"/>
  <c r="O18" i="4614"/>
  <c r="O17" i="4614"/>
  <c r="O20" i="4618"/>
  <c r="O18" i="4620"/>
  <c r="O19" i="4620"/>
  <c r="C27" i="4620"/>
  <c r="B24" i="4620"/>
  <c r="C20" i="4620"/>
  <c r="B17" i="4620"/>
  <c r="H51" i="4620" s="1"/>
  <c r="C16" i="4620"/>
  <c r="C15" i="4620"/>
  <c r="C14" i="4620"/>
  <c r="C13" i="4620"/>
  <c r="O12" i="4620"/>
  <c r="C12" i="4620"/>
  <c r="O11" i="4620"/>
  <c r="C11" i="4620"/>
  <c r="O10" i="4620"/>
  <c r="C10" i="4620"/>
  <c r="C9" i="4620"/>
  <c r="C8" i="4620"/>
  <c r="O7" i="4620"/>
  <c r="C7" i="4620"/>
  <c r="O6" i="4620"/>
  <c r="B6" i="4620"/>
  <c r="O5" i="4620"/>
  <c r="B5" i="4620"/>
  <c r="O4" i="4620"/>
  <c r="O3" i="4620"/>
  <c r="O2" i="4620"/>
  <c r="O21" i="4618"/>
  <c r="O19" i="4618"/>
  <c r="C27" i="4618"/>
  <c r="B24" i="4618"/>
  <c r="C20" i="4618"/>
  <c r="B17" i="4618"/>
  <c r="H51" i="4618" s="1"/>
  <c r="C16" i="4618"/>
  <c r="C15" i="4618"/>
  <c r="C14" i="4618"/>
  <c r="C13" i="4618"/>
  <c r="O12" i="4618"/>
  <c r="C12" i="4618"/>
  <c r="O11" i="4618"/>
  <c r="C11" i="4618"/>
  <c r="O10" i="4618"/>
  <c r="C10" i="4618"/>
  <c r="C9" i="4618"/>
  <c r="C8" i="4618"/>
  <c r="O7" i="4618"/>
  <c r="C7" i="4618"/>
  <c r="O6" i="4618"/>
  <c r="B6" i="4618"/>
  <c r="O5" i="4618"/>
  <c r="B5" i="4618"/>
  <c r="O4" i="4618"/>
  <c r="O3" i="4618"/>
  <c r="O2" i="4618"/>
  <c r="O21" i="4612"/>
  <c r="O20" i="4612"/>
  <c r="O20" i="4610"/>
  <c r="O19" i="4610"/>
  <c r="H19" i="4622" l="1"/>
  <c r="H16" i="4622"/>
  <c r="H52" i="4622"/>
  <c r="H11" i="4622"/>
  <c r="C18" i="4622"/>
  <c r="H2" i="4622"/>
  <c r="H29" i="4622"/>
  <c r="H5" i="4622"/>
  <c r="H3" i="4622"/>
  <c r="H21" i="4622"/>
  <c r="H25" i="4622"/>
  <c r="H36" i="4622"/>
  <c r="H44" i="4622"/>
  <c r="H12" i="4620"/>
  <c r="H3" i="4618"/>
  <c r="H4" i="4620"/>
  <c r="H2" i="4620"/>
  <c r="C19" i="4622"/>
  <c r="H27" i="4622"/>
  <c r="H30" i="4622"/>
  <c r="H38" i="4622"/>
  <c r="H46" i="4622"/>
  <c r="H18" i="4622"/>
  <c r="C17" i="4622"/>
  <c r="H23" i="4622"/>
  <c r="H12" i="4622"/>
  <c r="H28" i="4622"/>
  <c r="H32" i="4622"/>
  <c r="H40" i="4622"/>
  <c r="H48" i="4622"/>
  <c r="H9" i="4622"/>
  <c r="H20" i="4622"/>
  <c r="H15" i="4622"/>
  <c r="H4" i="4622"/>
  <c r="H10" i="4622"/>
  <c r="H17" i="4622"/>
  <c r="H13" i="4622"/>
  <c r="H26" i="4622"/>
  <c r="H34" i="4622"/>
  <c r="H42" i="4622"/>
  <c r="H50" i="4622"/>
  <c r="H31" i="4622"/>
  <c r="H35" i="4622"/>
  <c r="H39" i="4622"/>
  <c r="H43" i="4622"/>
  <c r="H47" i="4622"/>
  <c r="H51" i="4622"/>
  <c r="H22" i="4622"/>
  <c r="H24" i="4622"/>
  <c r="B23" i="4622"/>
  <c r="H14" i="4622"/>
  <c r="H7" i="4622"/>
  <c r="H33" i="4622"/>
  <c r="H37" i="4622"/>
  <c r="H41" i="4622"/>
  <c r="H45" i="4622"/>
  <c r="H49" i="4622"/>
  <c r="H4" i="4618"/>
  <c r="H21" i="4618"/>
  <c r="H11" i="4618"/>
  <c r="H16" i="4618"/>
  <c r="H40" i="4620"/>
  <c r="H44" i="4620"/>
  <c r="H11" i="4620"/>
  <c r="H14" i="4620"/>
  <c r="C17" i="4620"/>
  <c r="H32" i="4620"/>
  <c r="H48" i="4620"/>
  <c r="H20" i="4620"/>
  <c r="H29" i="4620"/>
  <c r="H6" i="4620"/>
  <c r="H3" i="4620"/>
  <c r="H17" i="4620"/>
  <c r="C18" i="4620"/>
  <c r="H27" i="4620"/>
  <c r="H36" i="4620"/>
  <c r="H52" i="4620"/>
  <c r="H23" i="4620"/>
  <c r="H13" i="4620"/>
  <c r="B23" i="4620"/>
  <c r="H15" i="4620"/>
  <c r="H9" i="4620"/>
  <c r="H33" i="4620"/>
  <c r="H37" i="4620"/>
  <c r="H41" i="4620"/>
  <c r="H45" i="4620"/>
  <c r="H49" i="4620"/>
  <c r="H5" i="4620"/>
  <c r="H8" i="4620"/>
  <c r="H19" i="4620"/>
  <c r="H21" i="4620"/>
  <c r="C19" i="4620"/>
  <c r="H25" i="4620"/>
  <c r="H26" i="4620"/>
  <c r="H28" i="4620"/>
  <c r="H30" i="4620"/>
  <c r="H34" i="4620"/>
  <c r="H38" i="4620"/>
  <c r="H42" i="4620"/>
  <c r="H46" i="4620"/>
  <c r="H50" i="4620"/>
  <c r="H10" i="4620"/>
  <c r="H7" i="4620"/>
  <c r="H16" i="4620"/>
  <c r="H18" i="4620"/>
  <c r="H22" i="4620"/>
  <c r="H24" i="4620"/>
  <c r="H31" i="4620"/>
  <c r="H35" i="4620"/>
  <c r="H39" i="4620"/>
  <c r="H43" i="4620"/>
  <c r="H47" i="4620"/>
  <c r="H40" i="4618"/>
  <c r="H44" i="4618"/>
  <c r="H13" i="4618"/>
  <c r="H30" i="4618"/>
  <c r="H9" i="4618"/>
  <c r="C17" i="4618"/>
  <c r="H18" i="4618"/>
  <c r="H48" i="4618"/>
  <c r="H2" i="4618"/>
  <c r="H19" i="4618"/>
  <c r="C18" i="4618"/>
  <c r="H28" i="4618"/>
  <c r="H36" i="4618"/>
  <c r="H52" i="4618"/>
  <c r="H24" i="4618"/>
  <c r="H17" i="4618"/>
  <c r="B23" i="4618"/>
  <c r="H14" i="4618"/>
  <c r="H8" i="4618"/>
  <c r="H33" i="4618"/>
  <c r="H37" i="4618"/>
  <c r="H41" i="4618"/>
  <c r="H45" i="4618"/>
  <c r="H49" i="4618"/>
  <c r="H5" i="4618"/>
  <c r="H6" i="4618"/>
  <c r="H15" i="4618"/>
  <c r="H22" i="4618"/>
  <c r="C19" i="4618"/>
  <c r="H26" i="4618"/>
  <c r="H27" i="4618"/>
  <c r="H29" i="4618"/>
  <c r="H31" i="4618"/>
  <c r="H34" i="4618"/>
  <c r="H38" i="4618"/>
  <c r="H42" i="4618"/>
  <c r="H46" i="4618"/>
  <c r="H50" i="4618"/>
  <c r="H10" i="4618"/>
  <c r="H7" i="4618"/>
  <c r="H12" i="4618"/>
  <c r="H20" i="4618"/>
  <c r="H23" i="4618"/>
  <c r="H25" i="4618"/>
  <c r="H32" i="4618"/>
  <c r="H35" i="4618"/>
  <c r="H39" i="4618"/>
  <c r="H43" i="4618"/>
  <c r="H47" i="4618"/>
  <c r="O16" i="4616" l="1"/>
  <c r="O18" i="4616"/>
  <c r="C27" i="4616"/>
  <c r="B24" i="4616"/>
  <c r="C20" i="4616"/>
  <c r="B17" i="4616"/>
  <c r="H51" i="4616" s="1"/>
  <c r="C16" i="4616"/>
  <c r="C15" i="4616"/>
  <c r="C14" i="4616"/>
  <c r="C13" i="4616"/>
  <c r="O12" i="4616"/>
  <c r="C12" i="4616"/>
  <c r="O11" i="4616"/>
  <c r="C11" i="4616"/>
  <c r="O10" i="4616"/>
  <c r="C10" i="4616"/>
  <c r="C9" i="4616"/>
  <c r="C8" i="4616"/>
  <c r="O7" i="4616"/>
  <c r="C7" i="4616"/>
  <c r="O6" i="4616"/>
  <c r="B6" i="4616"/>
  <c r="O5" i="4616"/>
  <c r="B5" i="4616"/>
  <c r="O4" i="4616"/>
  <c r="O3" i="4616"/>
  <c r="O2" i="4616"/>
  <c r="O21" i="4614"/>
  <c r="O19" i="4614"/>
  <c r="C27" i="4614"/>
  <c r="B24" i="4614"/>
  <c r="C20" i="4614"/>
  <c r="B17" i="4614"/>
  <c r="H52" i="4614" s="1"/>
  <c r="C16" i="4614"/>
  <c r="C15" i="4614"/>
  <c r="C14" i="4614"/>
  <c r="C13" i="4614"/>
  <c r="O12" i="4614"/>
  <c r="C12" i="4614"/>
  <c r="O11" i="4614"/>
  <c r="C11" i="4614"/>
  <c r="O10" i="4614"/>
  <c r="C10" i="4614"/>
  <c r="C9" i="4614"/>
  <c r="C8" i="4614"/>
  <c r="O7" i="4614"/>
  <c r="C7" i="4614"/>
  <c r="O6" i="4614"/>
  <c r="B6" i="4614"/>
  <c r="O5" i="4614"/>
  <c r="B5" i="4614"/>
  <c r="O4" i="4614"/>
  <c r="O3" i="4614"/>
  <c r="O2" i="4614"/>
  <c r="O23" i="4610"/>
  <c r="O19" i="4612"/>
  <c r="O22" i="4612"/>
  <c r="C27" i="4612"/>
  <c r="B24" i="4612"/>
  <c r="C20" i="4612"/>
  <c r="B17" i="4612"/>
  <c r="H51" i="4612" s="1"/>
  <c r="C16" i="4612"/>
  <c r="C15" i="4612"/>
  <c r="C14" i="4612"/>
  <c r="C13" i="4612"/>
  <c r="O12" i="4612"/>
  <c r="C12" i="4612"/>
  <c r="O11" i="4612"/>
  <c r="C11" i="4612"/>
  <c r="O10" i="4612"/>
  <c r="C10" i="4612"/>
  <c r="C9" i="4612"/>
  <c r="C8" i="4612"/>
  <c r="O7" i="4612"/>
  <c r="C7" i="4612"/>
  <c r="O6" i="4612"/>
  <c r="B6" i="4612"/>
  <c r="O5" i="4612"/>
  <c r="B5" i="4612"/>
  <c r="O4" i="4612"/>
  <c r="O3" i="4612"/>
  <c r="O2" i="4612"/>
  <c r="O16" i="4610"/>
  <c r="O21" i="4610"/>
  <c r="C27" i="4610"/>
  <c r="B24" i="4610"/>
  <c r="C20" i="4610"/>
  <c r="B17" i="4610"/>
  <c r="H5" i="4610" s="1"/>
  <c r="C16" i="4610"/>
  <c r="C15" i="4610"/>
  <c r="C14" i="4610"/>
  <c r="C13" i="4610"/>
  <c r="O12" i="4610"/>
  <c r="C12" i="4610"/>
  <c r="O11" i="4610"/>
  <c r="C11" i="4610"/>
  <c r="O10" i="4610"/>
  <c r="C10" i="4610"/>
  <c r="C9" i="4610"/>
  <c r="C8" i="4610"/>
  <c r="O7" i="4610"/>
  <c r="C7" i="4610"/>
  <c r="O6" i="4610"/>
  <c r="B6" i="4610"/>
  <c r="O5" i="4610"/>
  <c r="B5" i="4610"/>
  <c r="O4" i="4610"/>
  <c r="O3" i="4610"/>
  <c r="O2" i="4610"/>
  <c r="H6" i="4616" l="1"/>
  <c r="H36" i="4616"/>
  <c r="H52" i="4616"/>
  <c r="H2" i="4616"/>
  <c r="H16" i="4616"/>
  <c r="H14" i="4616"/>
  <c r="H27" i="4616"/>
  <c r="H3" i="4616"/>
  <c r="H8" i="4616"/>
  <c r="C18" i="4616"/>
  <c r="H32" i="4612"/>
  <c r="H14" i="4612"/>
  <c r="H15" i="4612"/>
  <c r="H40" i="4616"/>
  <c r="H15" i="4616"/>
  <c r="H29" i="4616"/>
  <c r="H44" i="4616"/>
  <c r="H19" i="4616"/>
  <c r="H5" i="4616"/>
  <c r="C17" i="4616"/>
  <c r="H32" i="4616"/>
  <c r="H48" i="4616"/>
  <c r="H22" i="4616"/>
  <c r="H24" i="4616"/>
  <c r="B23" i="4616"/>
  <c r="H12" i="4616"/>
  <c r="H10" i="4616"/>
  <c r="H33" i="4616"/>
  <c r="H37" i="4616"/>
  <c r="H41" i="4616"/>
  <c r="H45" i="4616"/>
  <c r="H49" i="4616"/>
  <c r="H7" i="4616"/>
  <c r="H11" i="4616"/>
  <c r="H18" i="4616"/>
  <c r="H20" i="4616"/>
  <c r="C19" i="4616"/>
  <c r="H25" i="4616"/>
  <c r="H26" i="4616"/>
  <c r="H28" i="4616"/>
  <c r="H30" i="4616"/>
  <c r="H34" i="4616"/>
  <c r="H38" i="4616"/>
  <c r="H42" i="4616"/>
  <c r="H46" i="4616"/>
  <c r="H50" i="4616"/>
  <c r="H13" i="4616"/>
  <c r="H4" i="4616"/>
  <c r="H9" i="4616"/>
  <c r="H17" i="4616"/>
  <c r="H21" i="4616"/>
  <c r="H23" i="4616"/>
  <c r="H31" i="4616"/>
  <c r="H35" i="4616"/>
  <c r="H39" i="4616"/>
  <c r="H43" i="4616"/>
  <c r="H47" i="4616"/>
  <c r="H3" i="4614"/>
  <c r="H5" i="4614"/>
  <c r="H20" i="4614"/>
  <c r="H41" i="4614"/>
  <c r="H10" i="4614"/>
  <c r="H24" i="4614"/>
  <c r="H15" i="4614"/>
  <c r="H32" i="4614"/>
  <c r="C17" i="4614"/>
  <c r="H49" i="4614"/>
  <c r="H45" i="4614"/>
  <c r="H4" i="4614"/>
  <c r="H22" i="4614"/>
  <c r="H2" i="4614"/>
  <c r="H17" i="4614"/>
  <c r="C18" i="4614"/>
  <c r="H30" i="4614"/>
  <c r="H37" i="4614"/>
  <c r="H23" i="4614"/>
  <c r="H26" i="4614"/>
  <c r="H14" i="4614"/>
  <c r="B23" i="4614"/>
  <c r="H11" i="4614"/>
  <c r="H12" i="4614"/>
  <c r="H34" i="4614"/>
  <c r="H38" i="4614"/>
  <c r="H42" i="4614"/>
  <c r="H46" i="4614"/>
  <c r="H50" i="4614"/>
  <c r="H6" i="4614"/>
  <c r="H8" i="4614"/>
  <c r="H19" i="4614"/>
  <c r="H25" i="4614"/>
  <c r="C19" i="4614"/>
  <c r="H28" i="4614"/>
  <c r="H29" i="4614"/>
  <c r="H31" i="4614"/>
  <c r="H33" i="4614"/>
  <c r="H35" i="4614"/>
  <c r="H39" i="4614"/>
  <c r="H43" i="4614"/>
  <c r="H47" i="4614"/>
  <c r="H51" i="4614"/>
  <c r="H9" i="4614"/>
  <c r="H7" i="4614"/>
  <c r="H16" i="4614"/>
  <c r="H18" i="4614"/>
  <c r="H21" i="4614"/>
  <c r="H27" i="4614"/>
  <c r="H13" i="4614"/>
  <c r="H36" i="4614"/>
  <c r="H40" i="4614"/>
  <c r="H44" i="4614"/>
  <c r="H48" i="4614"/>
  <c r="H36" i="4612"/>
  <c r="H12" i="4612"/>
  <c r="H44" i="4612"/>
  <c r="H3" i="4612"/>
  <c r="H25" i="4612"/>
  <c r="H4" i="4612"/>
  <c r="C17" i="4612"/>
  <c r="H31" i="4612"/>
  <c r="H6" i="4612"/>
  <c r="H52" i="4612"/>
  <c r="H40" i="4612"/>
  <c r="H2" i="4612"/>
  <c r="H17" i="4612"/>
  <c r="C18" i="4612"/>
  <c r="H33" i="4612"/>
  <c r="H48" i="4612"/>
  <c r="H27" i="4612"/>
  <c r="H16" i="4612"/>
  <c r="B23" i="4612"/>
  <c r="H11" i="4612"/>
  <c r="H9" i="4612"/>
  <c r="H34" i="4612"/>
  <c r="H37" i="4612"/>
  <c r="H41" i="4612"/>
  <c r="H45" i="4612"/>
  <c r="H49" i="4612"/>
  <c r="H5" i="4612"/>
  <c r="H8" i="4612"/>
  <c r="H19" i="4612"/>
  <c r="H20" i="4612"/>
  <c r="C19" i="4612"/>
  <c r="H29" i="4612"/>
  <c r="H30" i="4612"/>
  <c r="H21" i="4612"/>
  <c r="H22" i="4612"/>
  <c r="H35" i="4612"/>
  <c r="H38" i="4612"/>
  <c r="H42" i="4612"/>
  <c r="H46" i="4612"/>
  <c r="H50" i="4612"/>
  <c r="H10" i="4612"/>
  <c r="H7" i="4612"/>
  <c r="H13" i="4612"/>
  <c r="H24" i="4612"/>
  <c r="H26" i="4612"/>
  <c r="H28" i="4612"/>
  <c r="H18" i="4612"/>
  <c r="H23" i="4612"/>
  <c r="H39" i="4612"/>
  <c r="H43" i="4612"/>
  <c r="H47" i="4612"/>
  <c r="H41" i="4610"/>
  <c r="H11" i="4610"/>
  <c r="H29" i="4610"/>
  <c r="H6" i="4610"/>
  <c r="H34" i="4610"/>
  <c r="H19" i="4610"/>
  <c r="H49" i="4610"/>
  <c r="C17" i="4610"/>
  <c r="H14" i="4610"/>
  <c r="H45" i="4610"/>
  <c r="H2" i="4610"/>
  <c r="C18" i="4610"/>
  <c r="H21" i="4610"/>
  <c r="H4" i="4610"/>
  <c r="H3" i="4610"/>
  <c r="H16" i="4610"/>
  <c r="H24" i="4610"/>
  <c r="H37" i="4610"/>
  <c r="H28" i="4610"/>
  <c r="C19" i="4610"/>
  <c r="H32" i="4610"/>
  <c r="H33" i="4610"/>
  <c r="H25" i="4610"/>
  <c r="H26" i="4610"/>
  <c r="H36" i="4610"/>
  <c r="H39" i="4610"/>
  <c r="H43" i="4610"/>
  <c r="H47" i="4610"/>
  <c r="H51" i="4610"/>
  <c r="H8" i="4610"/>
  <c r="H18" i="4610"/>
  <c r="H23" i="4610"/>
  <c r="H10" i="4610"/>
  <c r="H7" i="4610"/>
  <c r="H13" i="4610"/>
  <c r="H22" i="4610"/>
  <c r="H20" i="4610"/>
  <c r="H31" i="4610"/>
  <c r="H17" i="4610"/>
  <c r="H27" i="4610"/>
  <c r="H40" i="4610"/>
  <c r="H44" i="4610"/>
  <c r="H48" i="4610"/>
  <c r="H52" i="4610"/>
  <c r="H30" i="4610"/>
  <c r="H15" i="4610"/>
  <c r="B23" i="4610"/>
  <c r="H12" i="4610"/>
  <c r="H9" i="4610"/>
  <c r="H35" i="4610"/>
  <c r="H38" i="4610"/>
  <c r="H42" i="4610"/>
  <c r="H46" i="4610"/>
  <c r="H50" i="461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<sst xmlns="http://schemas.openxmlformats.org/spreadsheetml/2006/main" count="2421" uniqueCount="200">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</sst>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全体!$K$2:$K$149</c:f>
              <c:numCache>
                <c:formatCode>General</c:formatCode>
                <c:ptCount val="1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</c:numCache>
            </c:numRef>
          </c:xVal>
          <c:yVal>
            <c:numRef>
              <c:f>全体!$L$2:$L$149</c:f>
              <c:numCache>
                <c:formatCode>\+0.0;\-0.0;\±0</c:formatCode>
                <c:ptCount val="148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F8-4E84-AC9E-84573B05A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-34.013605442176868</c:v>
                </c:pt>
                <c:pt idx="1">
                  <c:v>-13.888888888888889</c:v>
                </c:pt>
                <c:pt idx="2">
                  <c:v>51.851851851851855</c:v>
                </c:pt>
                <c:pt idx="3">
                  <c:v>-7.7519379844961236</c:v>
                </c:pt>
                <c:pt idx="4">
                  <c:v>-41.666666666666664</c:v>
                </c:pt>
                <c:pt idx="5">
                  <c:v>52.631578947368418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5-46A5-8F30-6C56DCBA9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だいち!$L$2:$L$35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F-4C49-A3E4-431E02968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4221.212121212121</c:v>
                </c:pt>
                <c:pt idx="1">
                  <c:v>4050</c:v>
                </c:pt>
                <c:pt idx="2">
                  <c:v>2570.9677419354839</c:v>
                </c:pt>
                <c:pt idx="3">
                  <c:v>4475.8620689655172</c:v>
                </c:pt>
                <c:pt idx="4">
                  <c:v>2934.6153846153848</c:v>
                </c:pt>
                <c:pt idx="5">
                  <c:v>-384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F1-4773-9914-31EF6B737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りくと!$L$2:$L$35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EF-44F2-97CD-7E0248F77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1284.8484848484848</c:v>
                </c:pt>
                <c:pt idx="1">
                  <c:v>-871.875</c:v>
                </c:pt>
                <c:pt idx="2">
                  <c:v>-646.875</c:v>
                </c:pt>
                <c:pt idx="3">
                  <c:v>2122.5806451612902</c:v>
                </c:pt>
                <c:pt idx="4">
                  <c:v>2379.3103448275861</c:v>
                </c:pt>
                <c:pt idx="5">
                  <c:v>796.42857142857144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3-4781-89E0-EBF021FA2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C-4A3D-B919-5E5635B19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-4721.4285714285716</c:v>
                </c:pt>
                <c:pt idx="1">
                  <c:v>-2828.5714285714284</c:v>
                </c:pt>
                <c:pt idx="2">
                  <c:v>-5163.636363636364</c:v>
                </c:pt>
                <c:pt idx="3">
                  <c:v>-3863.6363636363635</c:v>
                </c:pt>
                <c:pt idx="4">
                  <c:v>-3154.5454545454545</c:v>
                </c:pt>
                <c:pt idx="5">
                  <c:v>-1454.5454545454545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3-4D55-B0EA-147BA8C23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れんたろう!$L$2:$L$25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FD-4ADA-A09E-583534385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360.86956521739131</c:v>
                </c:pt>
                <c:pt idx="1">
                  <c:v>1539.1304347826087</c:v>
                </c:pt>
                <c:pt idx="2">
                  <c:v>-168.18181818181819</c:v>
                </c:pt>
                <c:pt idx="3">
                  <c:v>-3919.0476190476193</c:v>
                </c:pt>
                <c:pt idx="4">
                  <c:v>215.78947368421052</c:v>
                </c:pt>
                <c:pt idx="5">
                  <c:v>617.64705882352939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B1-456D-9AE7-27E7F6755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たかの!$L$2:$L$12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76-45AB-864B-59CEFD8C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650</c:v>
                </c:pt>
                <c:pt idx="1">
                  <c:v>1690</c:v>
                </c:pt>
                <c:pt idx="2">
                  <c:v>-850</c:v>
                </c:pt>
                <c:pt idx="3">
                  <c:v>4050</c:v>
                </c:pt>
                <c:pt idx="4">
                  <c:v>-6975</c:v>
                </c:pt>
                <c:pt idx="5">
                  <c:v>-442.85714285714283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8-49CA-8E46-5AE982063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E-4F57-B9B9-C5D553905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-3433.3333333333335</c:v>
                </c:pt>
                <c:pt idx="1">
                  <c:v>-3808.3333333333335</c:v>
                </c:pt>
                <c:pt idx="2">
                  <c:v>272.72727272727275</c:v>
                </c:pt>
                <c:pt idx="3">
                  <c:v>-6430</c:v>
                </c:pt>
                <c:pt idx="4">
                  <c:v>-3900</c:v>
                </c:pt>
                <c:pt idx="5">
                  <c:v>-787.5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F-4A88-9381-5D7833E06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E0-4A49-A5A6-566E24B08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-6416.666666666667</c:v>
                </c:pt>
                <c:pt idx="1">
                  <c:v>-4436.363636363636</c:v>
                </c:pt>
                <c:pt idx="2">
                  <c:v>1440</c:v>
                </c:pt>
                <c:pt idx="3">
                  <c:v>-1660</c:v>
                </c:pt>
                <c:pt idx="4">
                  <c:v>-1266.6666666666667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F-4407-9FFD-98318E4AB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55-45EE-B4B5-13E39CC80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3C-4C36-BC43-3FF8B346C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D-4B26-9175-A356D3DD0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93-450B-8714-25C972567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いっしー2!$C$3:$C$10</c:f>
              <c:numCache>
                <c:formatCode>\+0.0;\-0.0;\±0</c:formatCode>
                <c:ptCount val="8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  <c:pt idx="5">
                  <c:v>-24.2</c:v>
                </c:pt>
                <c:pt idx="6">
                  <c:v>-27.833333333333332</c:v>
                </c:pt>
                <c:pt idx="7">
                  <c:v>-31.171428571428571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いっしー2!$E$3:$E$10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いっしー2!$F$3:$F$10</c:f>
              <c:numCache>
                <c:formatCode>0.0%</c:formatCode>
                <c:ptCount val="8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  <c:pt idx="5">
                  <c:v>0.23809523809523808</c:v>
                </c:pt>
                <c:pt idx="6">
                  <c:v>0.22916666666666666</c:v>
                </c:pt>
                <c:pt idx="7">
                  <c:v>0.21052631578947367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いっしー2!$G$3:$G$10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  <c:pt idx="5">
                  <c:v>0.26190476190476192</c:v>
                </c:pt>
                <c:pt idx="6">
                  <c:v>0.29166666666666669</c:v>
                </c:pt>
                <c:pt idx="7">
                  <c:v>0.2807017543859649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いっしー2!$H$3:$H$10</c:f>
              <c:numCache>
                <c:formatCode>0</c:formatCode>
                <c:ptCount val="8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  <c:pt idx="5">
                  <c:v>6070</c:v>
                </c:pt>
                <c:pt idx="6">
                  <c:v>6972.727272727273</c:v>
                </c:pt>
                <c:pt idx="7">
                  <c:v>6500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いっしー2!$I$3:$I$10</c:f>
              <c:numCache>
                <c:formatCode>0</c:formatCode>
                <c:ptCount val="8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  <c:pt idx="5">
                  <c:v>-8300</c:v>
                </c:pt>
                <c:pt idx="6">
                  <c:v>-8585.7142857142862</c:v>
                </c:pt>
                <c:pt idx="7">
                  <c:v>-8762.5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いっしー2!$J$3:$J$10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いっしー2!$K$3:$K$10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いっしー2!$L$3:$L$10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  <c:pt idx="5">
                  <c:v>0.16666666666666666</c:v>
                </c:pt>
                <c:pt idx="6">
                  <c:v>0.14583333333333334</c:v>
                </c:pt>
                <c:pt idx="7">
                  <c:v>0.12280701754385964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いっしー2!$M$3:$M$10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  <c:pt idx="5">
                  <c:v>0.21428571428571427</c:v>
                </c:pt>
                <c:pt idx="6">
                  <c:v>0.22916666666666666</c:v>
                </c:pt>
                <c:pt idx="7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いっしー2!$N$3:$N$10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いっしー2!$O$3:$O$10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いっしー2!$P$3:$P$10</c:f>
              <c:numCache>
                <c:formatCode>0.0%</c:formatCode>
                <c:ptCount val="8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  <c:pt idx="5">
                  <c:v>0.6</c:v>
                </c:pt>
                <c:pt idx="6">
                  <c:v>0.54545454545454541</c:v>
                </c:pt>
                <c:pt idx="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170</v>
      </c>
      <c r="F1" s="12" t="s">
        <v>118</v>
      </c>
      <c r="G1" s="26" t="s">
        <v>119</v>
      </c>
      <c r="H1" s="132" t="s">
        <v>120</v>
      </c>
      <c r="I1" s="102" t="s">
        <v>156</v>
      </c>
      <c r="K1" s="2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161</v>
      </c>
    </row>
    <row r="2" spans="1:17" x14ac:dyDescent="0.4">
      <c r="A2" s="21" t="s">
        <v>9</v>
      </c>
      <c r="B2" s="148">
        <v>0</v>
      </c>
      <c r="C2" s="149"/>
      <c r="E2" s="62" t="s">
        <v>66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134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67</v>
      </c>
      <c r="F3" s="28" t="s">
        <v>22</v>
      </c>
      <c r="G3" s="15">
        <v>0</v>
      </c>
      <c r="H3" s="135">
        <f t="shared" ref="H3:H52" si="1">IF(B$17=0,0,G3/B$17)</f>
        <v>0</v>
      </c>
      <c r="I3" s="96"/>
      <c r="N3" s="117" t="s">
        <v>135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68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136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69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137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70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138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139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169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157</v>
      </c>
      <c r="O14" s="34" t="s">
        <v>158</v>
      </c>
      <c r="P14" s="119" t="s">
        <v>159</v>
      </c>
      <c r="Q14" s="107" t="s">
        <v>160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196</v>
      </c>
      <c r="B21" s="47">
        <v>0</v>
      </c>
      <c r="C21" s="137">
        <v>0</v>
      </c>
      <c r="E21" s="63" t="s">
        <v>85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197</v>
      </c>
      <c r="B22" s="15">
        <v>0</v>
      </c>
      <c r="C22" s="137">
        <f>IF(B$3=0,0,B22/B$3)</f>
        <v>0</v>
      </c>
      <c r="E22" s="63" t="s">
        <v>86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144</v>
      </c>
      <c r="B25" s="142">
        <v>0</v>
      </c>
      <c r="C25" s="143"/>
      <c r="E25" s="63" t="s">
        <v>89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154</v>
      </c>
      <c r="B26" s="140">
        <v>0</v>
      </c>
      <c r="C26" s="141"/>
      <c r="E26" s="63" t="s">
        <v>90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92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93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94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95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96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97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98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99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100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101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102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103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104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105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106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107</v>
      </c>
      <c r="F43" s="28" t="s">
        <v>61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108</v>
      </c>
      <c r="F44" s="28" t="s">
        <v>115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109</v>
      </c>
      <c r="F45" s="28" t="s">
        <v>116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110</v>
      </c>
      <c r="F46" s="28" t="s">
        <v>117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111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112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113</v>
      </c>
      <c r="F49" s="28" t="s">
        <v>64</v>
      </c>
      <c r="G49" s="15">
        <v>0</v>
      </c>
      <c r="H49" s="135">
        <f t="shared" si="1"/>
        <v>0</v>
      </c>
      <c r="I49" s="96"/>
    </row>
    <row r="50" spans="5:9" x14ac:dyDescent="0.4">
      <c r="E50" s="63" t="s">
        <v>114</v>
      </c>
      <c r="F50" s="60" t="s">
        <v>65</v>
      </c>
      <c r="G50" s="47">
        <v>0</v>
      </c>
      <c r="H50" s="135">
        <f t="shared" si="1"/>
        <v>0</v>
      </c>
      <c r="I50" s="96"/>
    </row>
    <row r="51" spans="5:9" x14ac:dyDescent="0.4">
      <c r="E51" s="63" t="s">
        <v>183</v>
      </c>
      <c r="F51" s="60" t="s">
        <v>186</v>
      </c>
      <c r="G51" s="47">
        <v>0</v>
      </c>
      <c r="H51" s="135">
        <f t="shared" si="1"/>
        <v>0</v>
      </c>
      <c r="I51" s="96"/>
    </row>
    <row r="52" spans="5:9" x14ac:dyDescent="0.4">
      <c r="E52" s="64" t="s">
        <v>184</v>
      </c>
      <c r="F52" s="61" t="s">
        <v>185</v>
      </c>
      <c r="G52" s="49">
        <v>0</v>
      </c>
      <c r="H52" s="136">
        <f t="shared" si="1"/>
        <v>0</v>
      </c>
      <c r="I52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2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171</v>
      </c>
      <c r="B2" s="31">
        <v>43555.865243055552</v>
      </c>
      <c r="C2" s="30" t="s">
        <v>132</v>
      </c>
      <c r="D2" s="30" t="s">
        <v>133</v>
      </c>
      <c r="E2" s="30" t="s">
        <v>172</v>
      </c>
    </row>
    <row r="3" spans="1:10" x14ac:dyDescent="0.4">
      <c r="A3" s="30" t="s">
        <v>173</v>
      </c>
      <c r="B3" s="31">
        <v>43557.861886574072</v>
      </c>
      <c r="C3" s="30" t="s">
        <v>132</v>
      </c>
      <c r="D3" s="30" t="s">
        <v>133</v>
      </c>
      <c r="E3" s="30" t="s">
        <v>172</v>
      </c>
      <c r="F3" s="30" t="s">
        <v>177</v>
      </c>
      <c r="G3" s="30" t="s">
        <v>178</v>
      </c>
    </row>
    <row r="4" spans="1:10" x14ac:dyDescent="0.4">
      <c r="A4" s="30" t="s">
        <v>179</v>
      </c>
      <c r="B4" s="31">
        <v>43559.023634259262</v>
      </c>
      <c r="C4" s="30" t="s">
        <v>132</v>
      </c>
      <c r="D4" s="30" t="s">
        <v>133</v>
      </c>
      <c r="E4" s="30" t="s">
        <v>172</v>
      </c>
    </row>
    <row r="5" spans="1:10" x14ac:dyDescent="0.4">
      <c r="A5" s="30" t="s">
        <v>181</v>
      </c>
      <c r="B5" s="31">
        <v>43560.077002314814</v>
      </c>
      <c r="C5" s="30" t="s">
        <v>132</v>
      </c>
      <c r="D5" s="30" t="s">
        <v>133</v>
      </c>
      <c r="E5" s="30" t="s">
        <v>172</v>
      </c>
      <c r="F5" s="30" t="s">
        <v>177</v>
      </c>
    </row>
    <row r="6" spans="1:10" x14ac:dyDescent="0.4">
      <c r="A6" s="30" t="s">
        <v>182</v>
      </c>
      <c r="B6" s="31">
        <v>43561.108229166668</v>
      </c>
      <c r="C6" s="30" t="s">
        <v>132</v>
      </c>
      <c r="D6" s="30" t="s">
        <v>133</v>
      </c>
      <c r="E6" s="30" t="s">
        <v>172</v>
      </c>
      <c r="F6" s="30" t="s">
        <v>177</v>
      </c>
      <c r="G6" s="30" t="s">
        <v>178</v>
      </c>
    </row>
    <row r="7" spans="1:10" x14ac:dyDescent="0.4">
      <c r="A7" s="30" t="s">
        <v>187</v>
      </c>
      <c r="B7" s="31">
        <v>43562.38486111111</v>
      </c>
      <c r="C7" s="30" t="s">
        <v>132</v>
      </c>
      <c r="D7" s="30" t="s">
        <v>133</v>
      </c>
      <c r="E7" s="30" t="s">
        <v>172</v>
      </c>
      <c r="F7" s="30" t="s">
        <v>177</v>
      </c>
      <c r="G7" s="30" t="s">
        <v>178</v>
      </c>
      <c r="H7" s="30" t="s">
        <v>190</v>
      </c>
      <c r="I7" s="30" t="s">
        <v>191</v>
      </c>
      <c r="J7" s="30" t="s">
        <v>192</v>
      </c>
    </row>
    <row r="8" spans="1:10" x14ac:dyDescent="0.4">
      <c r="A8" s="30" t="s">
        <v>193</v>
      </c>
      <c r="B8" s="31">
        <v>43566.4999537037</v>
      </c>
      <c r="C8" s="30" t="s">
        <v>132</v>
      </c>
      <c r="D8" s="30" t="s">
        <v>133</v>
      </c>
      <c r="E8" s="30" t="s">
        <v>172</v>
      </c>
      <c r="F8" s="30" t="s">
        <v>177</v>
      </c>
      <c r="G8" s="30" t="s">
        <v>178</v>
      </c>
      <c r="H8" s="30" t="s">
        <v>190</v>
      </c>
      <c r="I8" s="30" t="s">
        <v>191</v>
      </c>
    </row>
    <row r="9" spans="1:10" x14ac:dyDescent="0.4">
      <c r="A9" s="30" t="s">
        <v>194</v>
      </c>
      <c r="B9" s="31">
        <v>43564.018368055556</v>
      </c>
      <c r="C9" s="30" t="s">
        <v>132</v>
      </c>
      <c r="D9" s="30" t="s">
        <v>133</v>
      </c>
    </row>
    <row r="10" spans="1:10" x14ac:dyDescent="0.4">
      <c r="A10" s="30" t="s">
        <v>195</v>
      </c>
      <c r="B10" s="31">
        <v>43565.03292824074</v>
      </c>
      <c r="C10" s="30" t="s">
        <v>132</v>
      </c>
      <c r="D10" s="30" t="s">
        <v>133</v>
      </c>
      <c r="E10" s="30" t="s">
        <v>172</v>
      </c>
      <c r="F10" s="30" t="s">
        <v>177</v>
      </c>
    </row>
    <row r="11" spans="1:10" x14ac:dyDescent="0.4">
      <c r="A11" s="30" t="s">
        <v>198</v>
      </c>
      <c r="B11" s="31">
        <v>43566.030462962961</v>
      </c>
      <c r="C11" s="30" t="s">
        <v>132</v>
      </c>
      <c r="D11" s="30" t="s">
        <v>133</v>
      </c>
      <c r="E11" s="30" t="s">
        <v>172</v>
      </c>
    </row>
    <row r="12" spans="1:10" x14ac:dyDescent="0.4">
      <c r="A12" s="30" t="s">
        <v>199</v>
      </c>
      <c r="B12" s="31">
        <v>43567.091620370367</v>
      </c>
      <c r="C12" s="30" t="s">
        <v>132</v>
      </c>
      <c r="D12" s="30" t="s">
        <v>133</v>
      </c>
      <c r="E12" s="30" t="s">
        <v>172</v>
      </c>
      <c r="F12" s="30" t="s">
        <v>177</v>
      </c>
      <c r="G12" s="30" t="s">
        <v>178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6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6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174</v>
      </c>
    </row>
    <row r="6" spans="1:1" x14ac:dyDescent="0.4">
      <c r="A6" t="s">
        <v>175</v>
      </c>
    </row>
    <row r="7" spans="1:1" x14ac:dyDescent="0.4">
      <c r="A7" t="s">
        <v>176</v>
      </c>
    </row>
    <row r="8" spans="1:1" x14ac:dyDescent="0.4">
      <c r="A8" t="s">
        <v>180</v>
      </c>
    </row>
    <row r="9" spans="1:1" x14ac:dyDescent="0.4">
      <c r="A9" t="s">
        <v>188</v>
      </c>
    </row>
    <row r="10" spans="1:1" x14ac:dyDescent="0.4">
      <c r="A10" t="s">
        <v>189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164</v>
      </c>
      <c r="K1" s="161"/>
      <c r="L1" s="160" t="s">
        <v>151</v>
      </c>
      <c r="M1" s="161"/>
      <c r="N1" s="160" t="s">
        <v>152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143</v>
      </c>
      <c r="W1" s="161"/>
      <c r="X1" s="160" t="s">
        <v>125</v>
      </c>
      <c r="Y1" s="161"/>
      <c r="Z1" s="160" t="s">
        <v>122</v>
      </c>
      <c r="AA1" s="161"/>
      <c r="AB1" s="160" t="s">
        <v>128</v>
      </c>
      <c r="AC1" s="161"/>
      <c r="AD1" s="160" t="s">
        <v>153</v>
      </c>
      <c r="AE1" s="161"/>
      <c r="AF1" s="160" t="s">
        <v>146</v>
      </c>
      <c r="AG1" s="161"/>
      <c r="AH1" s="160" t="s">
        <v>155</v>
      </c>
      <c r="AI1" s="161"/>
      <c r="AJ1" s="160" t="s">
        <v>165</v>
      </c>
      <c r="AK1" s="161"/>
    </row>
    <row r="2" spans="1:37" x14ac:dyDescent="0.4">
      <c r="A2" s="72" t="s">
        <v>163</v>
      </c>
      <c r="B2" s="158"/>
      <c r="C2" s="159"/>
      <c r="D2" s="158"/>
      <c r="E2" s="159"/>
      <c r="F2" s="156">
        <v>0.98240168915516946</v>
      </c>
      <c r="G2" s="157"/>
      <c r="H2" s="156">
        <v>0.88915072155385955</v>
      </c>
      <c r="I2" s="157"/>
      <c r="J2" s="156">
        <v>0.95070527949089845</v>
      </c>
      <c r="K2" s="157"/>
      <c r="L2" s="156">
        <v>0.83805786245070957</v>
      </c>
      <c r="M2" s="157"/>
      <c r="N2" s="156">
        <v>0.88483579809776358</v>
      </c>
      <c r="O2" s="157"/>
      <c r="P2" s="156">
        <v>0.74409114442469282</v>
      </c>
      <c r="Q2" s="157"/>
      <c r="R2" s="156">
        <v>0.57495535525369257</v>
      </c>
      <c r="S2" s="157"/>
      <c r="T2" s="156">
        <v>0.81644757100043097</v>
      </c>
      <c r="U2" s="157"/>
      <c r="V2" s="156">
        <v>0.94243565253671158</v>
      </c>
      <c r="W2" s="157"/>
      <c r="X2" s="156">
        <v>0.90433223722739731</v>
      </c>
      <c r="Y2" s="157"/>
      <c r="Z2" s="156">
        <v>0.47170803286476348</v>
      </c>
      <c r="AA2" s="157"/>
      <c r="AB2" s="156">
        <v>0.60092242528587736</v>
      </c>
      <c r="AC2" s="157"/>
      <c r="AD2" s="156">
        <v>0.56772081972081145</v>
      </c>
      <c r="AE2" s="157"/>
      <c r="AF2" s="156">
        <v>-0.35999618221620278</v>
      </c>
      <c r="AG2" s="157"/>
      <c r="AH2" s="156">
        <v>0.95086451816921036</v>
      </c>
      <c r="AI2" s="157"/>
      <c r="AJ2" s="156">
        <v>0.12900751560635421</v>
      </c>
      <c r="AK2" s="157"/>
    </row>
    <row r="3" spans="1:37" x14ac:dyDescent="0.4">
      <c r="A3" s="74">
        <v>1</v>
      </c>
      <c r="B3" s="75" t="s">
        <v>129</v>
      </c>
      <c r="C3" s="76">
        <v>850.1</v>
      </c>
      <c r="D3" s="77" t="s">
        <v>129</v>
      </c>
      <c r="E3" s="98">
        <v>25.760606060606062</v>
      </c>
      <c r="F3" s="77" t="s">
        <v>188</v>
      </c>
      <c r="G3" s="78">
        <v>1.3333333333333333</v>
      </c>
      <c r="H3" s="77" t="s">
        <v>188</v>
      </c>
      <c r="I3" s="79">
        <v>0.66666666666666663</v>
      </c>
      <c r="J3" s="77" t="s">
        <v>188</v>
      </c>
      <c r="K3" s="79">
        <v>0</v>
      </c>
      <c r="L3" s="77" t="s">
        <v>129</v>
      </c>
      <c r="M3" s="80">
        <v>0.42696629213483145</v>
      </c>
      <c r="N3" s="77" t="s">
        <v>188</v>
      </c>
      <c r="O3" s="80">
        <v>0.10526315789473684</v>
      </c>
      <c r="P3" s="77" t="s">
        <v>130</v>
      </c>
      <c r="Q3" s="81">
        <v>9184.5238095238092</v>
      </c>
      <c r="R3" s="77" t="s">
        <v>188</v>
      </c>
      <c r="S3" s="81">
        <v>-5150</v>
      </c>
      <c r="T3" s="77" t="s">
        <v>130</v>
      </c>
      <c r="U3" s="79">
        <v>0</v>
      </c>
      <c r="V3" s="77" t="s">
        <v>129</v>
      </c>
      <c r="W3" s="79">
        <v>0.18181818181818182</v>
      </c>
      <c r="X3" s="77" t="s">
        <v>129</v>
      </c>
      <c r="Y3" s="80">
        <v>0.34082397003745318</v>
      </c>
      <c r="Z3" s="77" t="s">
        <v>175</v>
      </c>
      <c r="AA3" s="80">
        <v>0.36363636363636365</v>
      </c>
      <c r="AB3" s="77" t="s">
        <v>175</v>
      </c>
      <c r="AC3" s="80">
        <v>0.72222222222222221</v>
      </c>
      <c r="AD3" s="77" t="s">
        <v>129</v>
      </c>
      <c r="AE3" s="80">
        <v>0.5714285714285714</v>
      </c>
      <c r="AF3" s="77" t="s">
        <v>176</v>
      </c>
      <c r="AG3" s="80">
        <v>0.53125</v>
      </c>
      <c r="AH3" s="77" t="s">
        <v>129</v>
      </c>
      <c r="AI3" s="93">
        <v>105900</v>
      </c>
      <c r="AJ3" s="77" t="s">
        <v>147</v>
      </c>
      <c r="AK3" s="82">
        <v>7</v>
      </c>
    </row>
    <row r="4" spans="1:37" x14ac:dyDescent="0.4">
      <c r="A4" s="83">
        <v>2</v>
      </c>
      <c r="B4" s="84" t="s">
        <v>130</v>
      </c>
      <c r="C4" s="85">
        <v>230.89999999999998</v>
      </c>
      <c r="D4" s="86" t="s">
        <v>188</v>
      </c>
      <c r="E4" s="99">
        <v>20.333333333333332</v>
      </c>
      <c r="F4" s="86" t="s">
        <v>129</v>
      </c>
      <c r="G4" s="87">
        <v>1.5454545454545454</v>
      </c>
      <c r="H4" s="86" t="s">
        <v>129</v>
      </c>
      <c r="I4" s="88">
        <v>0.60606060606060608</v>
      </c>
      <c r="J4" s="86" t="s">
        <v>129</v>
      </c>
      <c r="K4" s="88">
        <v>0.15151515151515152</v>
      </c>
      <c r="L4" s="86" t="s">
        <v>175</v>
      </c>
      <c r="M4" s="89">
        <v>0.35064935064935066</v>
      </c>
      <c r="N4" s="86" t="s">
        <v>129</v>
      </c>
      <c r="O4" s="89">
        <v>0.15355805243445692</v>
      </c>
      <c r="P4" s="86" t="s">
        <v>129</v>
      </c>
      <c r="Q4" s="90">
        <v>8933.3333333333339</v>
      </c>
      <c r="R4" s="86" t="s">
        <v>130</v>
      </c>
      <c r="S4" s="90">
        <v>-7065.909090909091</v>
      </c>
      <c r="T4" s="86" t="s">
        <v>175</v>
      </c>
      <c r="U4" s="88">
        <v>0</v>
      </c>
      <c r="V4" s="86" t="s">
        <v>175</v>
      </c>
      <c r="W4" s="88">
        <v>0.1</v>
      </c>
      <c r="X4" s="86" t="s">
        <v>130</v>
      </c>
      <c r="Y4" s="89">
        <v>0.29078014184397161</v>
      </c>
      <c r="Z4" s="86" t="s">
        <v>129</v>
      </c>
      <c r="AA4" s="89">
        <v>0.26217228464419473</v>
      </c>
      <c r="AB4" s="86" t="s">
        <v>189</v>
      </c>
      <c r="AC4" s="89">
        <v>0.7142857142857143</v>
      </c>
      <c r="AD4" s="86" t="s">
        <v>188</v>
      </c>
      <c r="AE4" s="89">
        <v>0.5</v>
      </c>
      <c r="AF4" s="86" t="s">
        <v>189</v>
      </c>
      <c r="AG4" s="89">
        <v>0.5</v>
      </c>
      <c r="AH4" s="86" t="s">
        <v>147</v>
      </c>
      <c r="AI4" s="94">
        <v>105900</v>
      </c>
      <c r="AJ4" s="86" t="s">
        <v>130</v>
      </c>
      <c r="AK4" s="91">
        <v>4</v>
      </c>
    </row>
    <row r="5" spans="1:37" x14ac:dyDescent="0.4">
      <c r="A5" s="83">
        <v>3</v>
      </c>
      <c r="B5" s="84" t="s">
        <v>188</v>
      </c>
      <c r="C5" s="85">
        <v>61</v>
      </c>
      <c r="D5" s="86" t="s">
        <v>130</v>
      </c>
      <c r="E5" s="99">
        <v>6.9969696969696962</v>
      </c>
      <c r="F5" s="86" t="s">
        <v>130</v>
      </c>
      <c r="G5" s="87">
        <v>1.8787878787878789</v>
      </c>
      <c r="H5" s="86" t="s">
        <v>130</v>
      </c>
      <c r="I5" s="88">
        <v>0.33333333333333331</v>
      </c>
      <c r="J5" s="86" t="s">
        <v>130</v>
      </c>
      <c r="K5" s="88">
        <v>0.21212121212121213</v>
      </c>
      <c r="L5" s="86" t="s">
        <v>147</v>
      </c>
      <c r="M5" s="89">
        <v>0.30008110300081103</v>
      </c>
      <c r="N5" s="86" t="s">
        <v>130</v>
      </c>
      <c r="O5" s="89">
        <v>0.15602836879432624</v>
      </c>
      <c r="P5" s="86" t="s">
        <v>147</v>
      </c>
      <c r="Q5" s="90">
        <v>8036.7567567567567</v>
      </c>
      <c r="R5" s="86" t="s">
        <v>174</v>
      </c>
      <c r="S5" s="90">
        <v>-7372.727272727273</v>
      </c>
      <c r="T5" s="86" t="s">
        <v>188</v>
      </c>
      <c r="U5" s="88">
        <v>0</v>
      </c>
      <c r="V5" s="86" t="s">
        <v>174</v>
      </c>
      <c r="W5" s="88">
        <v>8.6956521739130432E-2</v>
      </c>
      <c r="X5" s="86" t="s">
        <v>188</v>
      </c>
      <c r="Y5" s="89">
        <v>0.26315789473684209</v>
      </c>
      <c r="Z5" s="86" t="s">
        <v>180</v>
      </c>
      <c r="AA5" s="89">
        <v>0.2413793103448276</v>
      </c>
      <c r="AB5" s="86" t="s">
        <v>130</v>
      </c>
      <c r="AC5" s="89">
        <v>0.63414634146341464</v>
      </c>
      <c r="AD5" s="86" t="s">
        <v>147</v>
      </c>
      <c r="AE5" s="89">
        <v>0.39629629629629631</v>
      </c>
      <c r="AF5" s="86" t="s">
        <v>131</v>
      </c>
      <c r="AG5" s="89">
        <v>0.40740740740740738</v>
      </c>
      <c r="AH5" s="86" t="s">
        <v>175</v>
      </c>
      <c r="AI5" s="94">
        <v>95700</v>
      </c>
      <c r="AJ5" s="86" t="s">
        <v>174</v>
      </c>
      <c r="AK5" s="91">
        <v>1</v>
      </c>
    </row>
    <row r="6" spans="1:37" x14ac:dyDescent="0.4">
      <c r="A6" s="83">
        <v>4</v>
      </c>
      <c r="B6" s="84" t="s">
        <v>175</v>
      </c>
      <c r="C6" s="85">
        <v>24.200000000000003</v>
      </c>
      <c r="D6" s="86" t="s">
        <v>175</v>
      </c>
      <c r="E6" s="99">
        <v>2.4200000000000004</v>
      </c>
      <c r="F6" s="86" t="s">
        <v>147</v>
      </c>
      <c r="G6" s="87">
        <v>2</v>
      </c>
      <c r="H6" s="86" t="s">
        <v>147</v>
      </c>
      <c r="I6" s="88">
        <v>0.33333333333333331</v>
      </c>
      <c r="J6" s="86" t="s">
        <v>175</v>
      </c>
      <c r="K6" s="88">
        <v>0.3</v>
      </c>
      <c r="L6" s="86" t="s">
        <v>130</v>
      </c>
      <c r="M6" s="89">
        <v>0.2978723404255319</v>
      </c>
      <c r="N6" s="86" t="s">
        <v>174</v>
      </c>
      <c r="O6" s="89">
        <v>0.1625615763546798</v>
      </c>
      <c r="P6" s="86" t="s">
        <v>174</v>
      </c>
      <c r="Q6" s="90">
        <v>7983.6734693877552</v>
      </c>
      <c r="R6" s="86" t="s">
        <v>180</v>
      </c>
      <c r="S6" s="90">
        <v>-7411.1111111111113</v>
      </c>
      <c r="T6" s="86" t="s">
        <v>129</v>
      </c>
      <c r="U6" s="88">
        <v>3.0303030303030304E-2</v>
      </c>
      <c r="V6" s="86" t="s">
        <v>147</v>
      </c>
      <c r="W6" s="88">
        <v>7.4829931972789115E-2</v>
      </c>
      <c r="X6" s="86" t="s">
        <v>147</v>
      </c>
      <c r="Y6" s="89">
        <v>0.25628548256285483</v>
      </c>
      <c r="Z6" s="86" t="s">
        <v>176</v>
      </c>
      <c r="AA6" s="89">
        <v>0.23008849557522124</v>
      </c>
      <c r="AB6" s="86" t="s">
        <v>129</v>
      </c>
      <c r="AC6" s="89">
        <v>0.60439560439560436</v>
      </c>
      <c r="AD6" s="86" t="s">
        <v>175</v>
      </c>
      <c r="AE6" s="89">
        <v>0.39285714285714285</v>
      </c>
      <c r="AF6" s="86" t="s">
        <v>175</v>
      </c>
      <c r="AG6" s="89">
        <v>0.40740740740740738</v>
      </c>
      <c r="AH6" s="86" t="s">
        <v>174</v>
      </c>
      <c r="AI6" s="94">
        <v>91700</v>
      </c>
      <c r="AJ6" s="86" t="s">
        <v>176</v>
      </c>
      <c r="AK6" s="91">
        <v>1</v>
      </c>
    </row>
    <row r="7" spans="1:37" x14ac:dyDescent="0.4">
      <c r="A7" s="83">
        <v>5</v>
      </c>
      <c r="B7" s="84" t="s">
        <v>147</v>
      </c>
      <c r="C7" s="85">
        <v>7.1054273576010019E-15</v>
      </c>
      <c r="D7" s="86" t="s">
        <v>147</v>
      </c>
      <c r="E7" s="99">
        <v>4.833624052789797E-17</v>
      </c>
      <c r="F7" s="86" t="s">
        <v>174</v>
      </c>
      <c r="G7" s="87">
        <v>2.0434782608695654</v>
      </c>
      <c r="H7" s="86" t="s">
        <v>174</v>
      </c>
      <c r="I7" s="88">
        <v>0.30434782608695654</v>
      </c>
      <c r="J7" s="86" t="s">
        <v>147</v>
      </c>
      <c r="K7" s="88">
        <v>0.33333333333333331</v>
      </c>
      <c r="L7" s="86" t="s">
        <v>176</v>
      </c>
      <c r="M7" s="89">
        <v>0.2831858407079646</v>
      </c>
      <c r="N7" s="86" t="s">
        <v>175</v>
      </c>
      <c r="O7" s="89">
        <v>0.16883116883116883</v>
      </c>
      <c r="P7" s="86" t="s">
        <v>188</v>
      </c>
      <c r="Q7" s="90">
        <v>7860</v>
      </c>
      <c r="R7" s="86" t="s">
        <v>175</v>
      </c>
      <c r="S7" s="90">
        <v>-7530.7692307692305</v>
      </c>
      <c r="T7" s="86" t="s">
        <v>174</v>
      </c>
      <c r="U7" s="88">
        <v>4.3478260869565216E-2</v>
      </c>
      <c r="V7" s="86" t="s">
        <v>130</v>
      </c>
      <c r="W7" s="88">
        <v>6.0606060606060608E-2</v>
      </c>
      <c r="X7" s="86" t="s">
        <v>174</v>
      </c>
      <c r="Y7" s="89">
        <v>0.24630541871921183</v>
      </c>
      <c r="Z7" s="86" t="s">
        <v>189</v>
      </c>
      <c r="AA7" s="89">
        <v>0.22807017543859648</v>
      </c>
      <c r="AB7" s="86" t="s">
        <v>188</v>
      </c>
      <c r="AC7" s="89">
        <v>0.6</v>
      </c>
      <c r="AD7" s="86" t="s">
        <v>176</v>
      </c>
      <c r="AE7" s="89">
        <v>0.38461538461538464</v>
      </c>
      <c r="AF7" s="86" t="s">
        <v>129</v>
      </c>
      <c r="AG7" s="89">
        <v>0.39473684210526316</v>
      </c>
      <c r="AH7" s="86" t="s">
        <v>130</v>
      </c>
      <c r="AI7" s="94">
        <v>88600</v>
      </c>
      <c r="AJ7" s="86" t="s">
        <v>180</v>
      </c>
      <c r="AK7" s="91">
        <v>1</v>
      </c>
    </row>
    <row r="8" spans="1:37" x14ac:dyDescent="0.4">
      <c r="A8" s="83">
        <v>6</v>
      </c>
      <c r="B8" s="84" t="s">
        <v>174</v>
      </c>
      <c r="C8" s="85">
        <v>-55.699999999999989</v>
      </c>
      <c r="D8" s="86" t="s">
        <v>174</v>
      </c>
      <c r="E8" s="99">
        <v>-2.4217391304347822</v>
      </c>
      <c r="F8" s="86" t="s">
        <v>175</v>
      </c>
      <c r="G8" s="87">
        <v>2.1</v>
      </c>
      <c r="H8" s="86" t="s">
        <v>180</v>
      </c>
      <c r="I8" s="88">
        <v>0.25</v>
      </c>
      <c r="J8" s="86" t="s">
        <v>174</v>
      </c>
      <c r="K8" s="88">
        <v>0.34782608695652173</v>
      </c>
      <c r="L8" s="86" t="s">
        <v>188</v>
      </c>
      <c r="M8" s="89">
        <v>0.26315789473684209</v>
      </c>
      <c r="N8" s="86" t="s">
        <v>147</v>
      </c>
      <c r="O8" s="89">
        <v>0.18085969180859693</v>
      </c>
      <c r="P8" s="86" t="s">
        <v>131</v>
      </c>
      <c r="Q8" s="90">
        <v>7314.8148148148148</v>
      </c>
      <c r="R8" s="86" t="s">
        <v>147</v>
      </c>
      <c r="S8" s="90">
        <v>-7928.6995515695071</v>
      </c>
      <c r="T8" s="86" t="s">
        <v>147</v>
      </c>
      <c r="U8" s="88">
        <v>7.4829931972789115E-2</v>
      </c>
      <c r="V8" s="86" t="s">
        <v>131</v>
      </c>
      <c r="W8" s="88">
        <v>0</v>
      </c>
      <c r="X8" s="86" t="s">
        <v>175</v>
      </c>
      <c r="Y8" s="89">
        <v>0.23376623376623376</v>
      </c>
      <c r="Z8" s="86" t="s">
        <v>147</v>
      </c>
      <c r="AA8" s="89">
        <v>0.21897810218978103</v>
      </c>
      <c r="AB8" s="86" t="s">
        <v>147</v>
      </c>
      <c r="AC8" s="89">
        <v>0.58227848101265822</v>
      </c>
      <c r="AD8" s="86" t="s">
        <v>189</v>
      </c>
      <c r="AE8" s="89">
        <v>0.38461538461538464</v>
      </c>
      <c r="AF8" s="86" t="s">
        <v>147</v>
      </c>
      <c r="AG8" s="89">
        <v>0.39189189189189189</v>
      </c>
      <c r="AH8" s="86" t="s">
        <v>180</v>
      </c>
      <c r="AI8" s="94">
        <v>65000</v>
      </c>
      <c r="AJ8" s="86" t="s">
        <v>129</v>
      </c>
      <c r="AK8" s="91">
        <v>0</v>
      </c>
    </row>
    <row r="9" spans="1:37" x14ac:dyDescent="0.4">
      <c r="A9" s="83">
        <v>7</v>
      </c>
      <c r="B9" s="84" t="s">
        <v>180</v>
      </c>
      <c r="C9" s="85">
        <v>-208.09999999999997</v>
      </c>
      <c r="D9" s="86" t="s">
        <v>180</v>
      </c>
      <c r="E9" s="99">
        <v>-17.341666666666665</v>
      </c>
      <c r="F9" s="86" t="s">
        <v>180</v>
      </c>
      <c r="G9" s="87">
        <v>2.3333333333333335</v>
      </c>
      <c r="H9" s="86" t="s">
        <v>175</v>
      </c>
      <c r="I9" s="88">
        <v>0.2</v>
      </c>
      <c r="J9" s="86" t="s">
        <v>176</v>
      </c>
      <c r="K9" s="88">
        <v>0.5</v>
      </c>
      <c r="L9" s="86" t="s">
        <v>174</v>
      </c>
      <c r="M9" s="89">
        <v>0.2413793103448276</v>
      </c>
      <c r="N9" s="86" t="s">
        <v>180</v>
      </c>
      <c r="O9" s="89">
        <v>0.20689655172413793</v>
      </c>
      <c r="P9" s="86" t="s">
        <v>175</v>
      </c>
      <c r="Q9" s="90">
        <v>6788.8888888888887</v>
      </c>
      <c r="R9" s="86" t="s">
        <v>129</v>
      </c>
      <c r="S9" s="90">
        <v>-7939.0243902439024</v>
      </c>
      <c r="T9" s="86" t="s">
        <v>189</v>
      </c>
      <c r="U9" s="88">
        <v>0.14285714285714285</v>
      </c>
      <c r="V9" s="86" t="s">
        <v>176</v>
      </c>
      <c r="W9" s="88">
        <v>0</v>
      </c>
      <c r="X9" s="86" t="s">
        <v>131</v>
      </c>
      <c r="Y9" s="89">
        <v>0.21875</v>
      </c>
      <c r="Z9" s="86" t="s">
        <v>188</v>
      </c>
      <c r="AA9" s="89">
        <v>0.21052631578947367</v>
      </c>
      <c r="AB9" s="86" t="s">
        <v>180</v>
      </c>
      <c r="AC9" s="89">
        <v>0.52941176470588236</v>
      </c>
      <c r="AD9" s="86" t="s">
        <v>174</v>
      </c>
      <c r="AE9" s="89">
        <v>0.35</v>
      </c>
      <c r="AF9" s="86" t="s">
        <v>130</v>
      </c>
      <c r="AG9" s="89">
        <v>0.36904761904761907</v>
      </c>
      <c r="AH9" s="86" t="s">
        <v>188</v>
      </c>
      <c r="AI9" s="94">
        <v>53500</v>
      </c>
      <c r="AJ9" s="86" t="s">
        <v>131</v>
      </c>
      <c r="AK9" s="91">
        <v>0</v>
      </c>
    </row>
    <row r="10" spans="1:37" x14ac:dyDescent="0.4">
      <c r="A10" s="83">
        <v>8</v>
      </c>
      <c r="B10" s="84" t="s">
        <v>189</v>
      </c>
      <c r="C10" s="85">
        <v>-218.2</v>
      </c>
      <c r="D10" s="86" t="s">
        <v>176</v>
      </c>
      <c r="E10" s="99">
        <v>-24.133333333333329</v>
      </c>
      <c r="F10" s="86" t="s">
        <v>176</v>
      </c>
      <c r="G10" s="87">
        <v>2.4166666666666665</v>
      </c>
      <c r="H10" s="86" t="s">
        <v>131</v>
      </c>
      <c r="I10" s="88">
        <v>0.14285714285714285</v>
      </c>
      <c r="J10" s="86" t="s">
        <v>131</v>
      </c>
      <c r="K10" s="88">
        <v>0.5714285714285714</v>
      </c>
      <c r="L10" s="86" t="s">
        <v>180</v>
      </c>
      <c r="M10" s="89">
        <v>0.22988505747126436</v>
      </c>
      <c r="N10" s="86" t="s">
        <v>131</v>
      </c>
      <c r="O10" s="89">
        <v>0.21875</v>
      </c>
      <c r="P10" s="86" t="s">
        <v>189</v>
      </c>
      <c r="Q10" s="90">
        <v>6500</v>
      </c>
      <c r="R10" s="86" t="s">
        <v>176</v>
      </c>
      <c r="S10" s="90">
        <v>-8521.4285714285706</v>
      </c>
      <c r="T10" s="86" t="s">
        <v>176</v>
      </c>
      <c r="U10" s="88">
        <v>0.16666666666666666</v>
      </c>
      <c r="V10" s="86" t="s">
        <v>180</v>
      </c>
      <c r="W10" s="88">
        <v>0</v>
      </c>
      <c r="X10" s="86" t="s">
        <v>180</v>
      </c>
      <c r="Y10" s="89">
        <v>0.19540229885057472</v>
      </c>
      <c r="Z10" s="86" t="s">
        <v>174</v>
      </c>
      <c r="AA10" s="89">
        <v>0.19704433497536947</v>
      </c>
      <c r="AB10" s="86" t="s">
        <v>131</v>
      </c>
      <c r="AC10" s="89">
        <v>0.5</v>
      </c>
      <c r="AD10" s="86" t="s">
        <v>180</v>
      </c>
      <c r="AE10" s="89">
        <v>0.33333333333333331</v>
      </c>
      <c r="AF10" s="86" t="s">
        <v>180</v>
      </c>
      <c r="AG10" s="89">
        <v>0.35</v>
      </c>
      <c r="AH10" s="86" t="s">
        <v>131</v>
      </c>
      <c r="AI10" s="94">
        <v>52200</v>
      </c>
      <c r="AJ10" s="86" t="s">
        <v>175</v>
      </c>
      <c r="AK10" s="91">
        <v>0</v>
      </c>
    </row>
    <row r="11" spans="1:37" x14ac:dyDescent="0.4">
      <c r="A11" s="83">
        <v>9</v>
      </c>
      <c r="B11" s="84" t="s">
        <v>176</v>
      </c>
      <c r="C11" s="85">
        <v>-289.59999999999997</v>
      </c>
      <c r="D11" s="86" t="s">
        <v>131</v>
      </c>
      <c r="E11" s="99">
        <v>-28.185714285714287</v>
      </c>
      <c r="F11" s="86" t="s">
        <v>131</v>
      </c>
      <c r="G11" s="87">
        <v>2.4285714285714284</v>
      </c>
      <c r="H11" s="86" t="s">
        <v>189</v>
      </c>
      <c r="I11" s="88">
        <v>0.14285714285714285</v>
      </c>
      <c r="J11" s="86" t="s">
        <v>180</v>
      </c>
      <c r="K11" s="88">
        <v>0.58333333333333337</v>
      </c>
      <c r="L11" s="86" t="s">
        <v>131</v>
      </c>
      <c r="M11" s="89">
        <v>0.2109375</v>
      </c>
      <c r="N11" s="86" t="s">
        <v>176</v>
      </c>
      <c r="O11" s="89">
        <v>0.24778761061946902</v>
      </c>
      <c r="P11" s="86" t="s">
        <v>180</v>
      </c>
      <c r="Q11" s="90">
        <v>6480</v>
      </c>
      <c r="R11" s="86" t="s">
        <v>189</v>
      </c>
      <c r="S11" s="90">
        <v>-8762.5</v>
      </c>
      <c r="T11" s="86" t="s">
        <v>131</v>
      </c>
      <c r="U11" s="88">
        <v>0.21428571428571427</v>
      </c>
      <c r="V11" s="86" t="s">
        <v>188</v>
      </c>
      <c r="W11" s="88">
        <v>0</v>
      </c>
      <c r="X11" s="86" t="s">
        <v>176</v>
      </c>
      <c r="Y11" s="89">
        <v>0.15929203539823009</v>
      </c>
      <c r="Z11" s="86" t="s">
        <v>130</v>
      </c>
      <c r="AA11" s="89">
        <v>0.19503546099290781</v>
      </c>
      <c r="AB11" s="86" t="s">
        <v>176</v>
      </c>
      <c r="AC11" s="89">
        <v>0.5</v>
      </c>
      <c r="AD11" s="86" t="s">
        <v>131</v>
      </c>
      <c r="AE11" s="89">
        <v>0.30769230769230771</v>
      </c>
      <c r="AF11" s="86" t="s">
        <v>174</v>
      </c>
      <c r="AG11" s="89">
        <v>0.32653061224489793</v>
      </c>
      <c r="AH11" s="86" t="s">
        <v>176</v>
      </c>
      <c r="AI11" s="94">
        <v>50800</v>
      </c>
      <c r="AJ11" s="86" t="s">
        <v>188</v>
      </c>
      <c r="AK11" s="91">
        <v>0</v>
      </c>
    </row>
    <row r="12" spans="1:37" x14ac:dyDescent="0.4">
      <c r="A12" s="83">
        <v>10</v>
      </c>
      <c r="B12" s="84" t="s">
        <v>131</v>
      </c>
      <c r="C12" s="85">
        <v>-394.6</v>
      </c>
      <c r="D12" s="86" t="s">
        <v>189</v>
      </c>
      <c r="E12" s="99">
        <v>-31.171428571428571</v>
      </c>
      <c r="F12" s="86" t="s">
        <v>189</v>
      </c>
      <c r="G12" s="87">
        <v>2.5714285714285716</v>
      </c>
      <c r="H12" s="86" t="s">
        <v>176</v>
      </c>
      <c r="I12" s="88">
        <v>8.3333333333333329E-2</v>
      </c>
      <c r="J12" s="86" t="s">
        <v>189</v>
      </c>
      <c r="K12" s="88">
        <v>0.7142857142857143</v>
      </c>
      <c r="L12" s="86" t="s">
        <v>189</v>
      </c>
      <c r="M12" s="89">
        <v>0.21052631578947367</v>
      </c>
      <c r="N12" s="86" t="s">
        <v>189</v>
      </c>
      <c r="O12" s="89">
        <v>0.2807017543859649</v>
      </c>
      <c r="P12" s="86" t="s">
        <v>176</v>
      </c>
      <c r="Q12" s="90">
        <v>5150</v>
      </c>
      <c r="R12" s="86" t="s">
        <v>131</v>
      </c>
      <c r="S12" s="90">
        <v>-9571.4285714285706</v>
      </c>
      <c r="T12" s="86" t="s">
        <v>180</v>
      </c>
      <c r="U12" s="88">
        <v>0.25</v>
      </c>
      <c r="V12" s="86" t="s">
        <v>189</v>
      </c>
      <c r="W12" s="88">
        <v>0</v>
      </c>
      <c r="X12" s="86" t="s">
        <v>189</v>
      </c>
      <c r="Y12" s="89">
        <v>0.12280701754385964</v>
      </c>
      <c r="Z12" s="86" t="s">
        <v>131</v>
      </c>
      <c r="AA12" s="89">
        <v>0.1015625</v>
      </c>
      <c r="AB12" s="86" t="s">
        <v>174</v>
      </c>
      <c r="AC12" s="89">
        <v>0.48</v>
      </c>
      <c r="AD12" s="86" t="s">
        <v>130</v>
      </c>
      <c r="AE12" s="89">
        <v>0.25454545454545452</v>
      </c>
      <c r="AF12" s="86" t="s">
        <v>188</v>
      </c>
      <c r="AG12" s="89">
        <v>0.2</v>
      </c>
      <c r="AH12" s="86" t="s">
        <v>189</v>
      </c>
      <c r="AI12" s="94">
        <v>43600</v>
      </c>
      <c r="AJ12" s="86" t="s">
        <v>189</v>
      </c>
      <c r="AK12" s="91">
        <v>0</v>
      </c>
    </row>
  </sheetData>
  <sortState ref="AJ3:AK40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5519D-02CE-4EF9-819B-048373C15F16}">
  <sheetPr codeName="Sheet4"/>
  <dimension ref="A1:Q14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147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147</v>
      </c>
      <c r="C2" s="149"/>
      <c r="E2" s="62" t="s">
        <v>68</v>
      </c>
      <c r="F2" s="59" t="s">
        <v>23</v>
      </c>
      <c r="G2" s="46">
        <v>272</v>
      </c>
      <c r="H2" s="134">
        <f>IF(B$17=0,0,G2/B$17)</f>
        <v>0.73513513513513518</v>
      </c>
      <c r="I2" s="95">
        <v>5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-34.013605442176868</v>
      </c>
      <c r="P2" s="120">
        <v>147</v>
      </c>
      <c r="Q2" s="104">
        <v>-5000</v>
      </c>
    </row>
    <row r="3" spans="1:17" x14ac:dyDescent="0.4">
      <c r="A3" s="55" t="s">
        <v>8</v>
      </c>
      <c r="B3" s="150">
        <v>1233</v>
      </c>
      <c r="C3" s="151"/>
      <c r="E3" s="63" t="s">
        <v>74</v>
      </c>
      <c r="F3" s="60" t="s">
        <v>28</v>
      </c>
      <c r="G3" s="47">
        <v>202</v>
      </c>
      <c r="H3" s="135">
        <f>IF(B$17=0,0,G3/B$17)</f>
        <v>0.54594594594594592</v>
      </c>
      <c r="I3" s="96">
        <v>7</v>
      </c>
      <c r="K3" s="38">
        <v>1</v>
      </c>
      <c r="L3" s="101">
        <v>-5.0999999999999996</v>
      </c>
      <c r="N3" s="117" t="s">
        <v>135</v>
      </c>
      <c r="O3" s="124">
        <f t="shared" si="0"/>
        <v>-13.888888888888889</v>
      </c>
      <c r="P3" s="121">
        <v>144</v>
      </c>
      <c r="Q3" s="105">
        <v>-2000</v>
      </c>
    </row>
    <row r="4" spans="1:17" x14ac:dyDescent="0.4">
      <c r="A4" s="55" t="s">
        <v>6</v>
      </c>
      <c r="B4" s="152">
        <v>7.1054273576010019E-15</v>
      </c>
      <c r="C4" s="153"/>
      <c r="E4" s="63" t="s">
        <v>66</v>
      </c>
      <c r="F4" s="60" t="s">
        <v>21</v>
      </c>
      <c r="G4" s="47">
        <v>178</v>
      </c>
      <c r="H4" s="135">
        <f>IF(B$17=0,0,G4/B$17)</f>
        <v>0.48108108108108111</v>
      </c>
      <c r="I4" s="96">
        <v>4</v>
      </c>
      <c r="K4" s="38">
        <v>2</v>
      </c>
      <c r="L4" s="101">
        <v>40.4</v>
      </c>
      <c r="N4" s="117" t="s">
        <v>136</v>
      </c>
      <c r="O4" s="124">
        <f t="shared" si="0"/>
        <v>51.851851851851855</v>
      </c>
      <c r="P4" s="121">
        <v>135</v>
      </c>
      <c r="Q4" s="105">
        <v>7000</v>
      </c>
    </row>
    <row r="5" spans="1:17" x14ac:dyDescent="0.4">
      <c r="A5" s="55" t="s">
        <v>7</v>
      </c>
      <c r="B5" s="154">
        <f>IF(B$2=0,0,B$4/B$2)</f>
        <v>4.833624052789797E-17</v>
      </c>
      <c r="C5" s="155"/>
      <c r="E5" s="63" t="s">
        <v>184</v>
      </c>
      <c r="F5" s="60" t="s">
        <v>185</v>
      </c>
      <c r="G5" s="47">
        <v>135</v>
      </c>
      <c r="H5" s="135">
        <f>IF(B$17=0,0,G5/B$17)</f>
        <v>0.36486486486486486</v>
      </c>
      <c r="I5" s="96">
        <v>5</v>
      </c>
      <c r="K5" s="38">
        <v>3</v>
      </c>
      <c r="L5" s="101">
        <v>0</v>
      </c>
      <c r="N5" s="117" t="s">
        <v>137</v>
      </c>
      <c r="O5" s="124">
        <f t="shared" si="0"/>
        <v>-7.7519379844961236</v>
      </c>
      <c r="P5" s="121">
        <v>129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24</v>
      </c>
      <c r="G6" s="47">
        <v>103</v>
      </c>
      <c r="H6" s="135">
        <f>IF(B$17=0,0,G6/B$17)</f>
        <v>0.27837837837837837</v>
      </c>
      <c r="I6" s="96">
        <v>6</v>
      </c>
      <c r="K6" s="38">
        <v>4</v>
      </c>
      <c r="L6" s="101">
        <v>2.2000000000000002</v>
      </c>
      <c r="N6" s="117" t="s">
        <v>138</v>
      </c>
      <c r="O6" s="124">
        <f t="shared" si="0"/>
        <v>-41.666666666666664</v>
      </c>
      <c r="P6" s="121">
        <v>120</v>
      </c>
      <c r="Q6" s="105">
        <v>-5000</v>
      </c>
    </row>
    <row r="7" spans="1:17" x14ac:dyDescent="0.4">
      <c r="A7" s="55" t="s">
        <v>2</v>
      </c>
      <c r="B7" s="47">
        <v>49</v>
      </c>
      <c r="C7" s="39">
        <f>IF(B$2=0,0,B7/B$2)</f>
        <v>0.33333333333333331</v>
      </c>
      <c r="E7" s="63" t="s">
        <v>70</v>
      </c>
      <c r="F7" s="60" t="s">
        <v>12</v>
      </c>
      <c r="G7" s="47">
        <v>97</v>
      </c>
      <c r="H7" s="135">
        <f>IF(B$17=0,0,G7/B$17)</f>
        <v>0.26216216216216215</v>
      </c>
      <c r="I7" s="96">
        <v>4</v>
      </c>
      <c r="K7" s="38">
        <v>5</v>
      </c>
      <c r="L7" s="101">
        <v>-37</v>
      </c>
      <c r="N7" s="118" t="s">
        <v>139</v>
      </c>
      <c r="O7" s="125">
        <f t="shared" si="0"/>
        <v>52.631578947368418</v>
      </c>
      <c r="P7" s="122">
        <v>114</v>
      </c>
      <c r="Q7" s="106">
        <v>6000</v>
      </c>
    </row>
    <row r="8" spans="1:17" x14ac:dyDescent="0.4">
      <c r="A8" s="55" t="s">
        <v>3</v>
      </c>
      <c r="B8" s="47">
        <v>49</v>
      </c>
      <c r="C8" s="39">
        <f>IF(B$2=0,0,B8/B$2)</f>
        <v>0.33333333333333331</v>
      </c>
      <c r="E8" s="63" t="s">
        <v>71</v>
      </c>
      <c r="F8" s="60" t="s">
        <v>25</v>
      </c>
      <c r="G8" s="47">
        <v>67</v>
      </c>
      <c r="H8" s="135">
        <f>IF(B$17=0,0,G8/B$17)</f>
        <v>0.18108108108108109</v>
      </c>
      <c r="I8" s="96">
        <v>5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49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53</v>
      </c>
      <c r="H9" s="135">
        <f>IF(B$17=0,0,G9/B$17)</f>
        <v>0.14324324324324325</v>
      </c>
      <c r="I9" s="96">
        <v>7</v>
      </c>
      <c r="K9" s="38">
        <v>7</v>
      </c>
      <c r="L9" s="101">
        <v>73.3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11</v>
      </c>
      <c r="C10" s="40">
        <f>IF(B$2=0,0,B10/B$2)</f>
        <v>7.4829931972789115E-2</v>
      </c>
      <c r="E10" s="63" t="s">
        <v>67</v>
      </c>
      <c r="F10" s="60" t="s">
        <v>22</v>
      </c>
      <c r="G10" s="47">
        <v>39</v>
      </c>
      <c r="H10" s="135">
        <f>IF(B$17=0,0,G10/B$17)</f>
        <v>0.10540540540540541</v>
      </c>
      <c r="I10" s="96">
        <v>5</v>
      </c>
      <c r="K10" s="38">
        <v>8</v>
      </c>
      <c r="L10" s="101">
        <v>19.699999999999996</v>
      </c>
      <c r="N10" s="116" t="s">
        <v>167</v>
      </c>
      <c r="O10" s="126">
        <f>IF(P10=0,0,Q10/P10)</f>
        <v>-0.54081632653061229</v>
      </c>
      <c r="P10" s="120">
        <v>49</v>
      </c>
      <c r="Q10" s="108">
        <v>-26.5</v>
      </c>
    </row>
    <row r="11" spans="1:17" x14ac:dyDescent="0.4">
      <c r="A11" s="56" t="s">
        <v>142</v>
      </c>
      <c r="B11" s="48">
        <v>11</v>
      </c>
      <c r="C11" s="40">
        <f>IF(B$2=0,0,B11/B$2)</f>
        <v>7.4829931972789115E-2</v>
      </c>
      <c r="E11" s="63" t="s">
        <v>72</v>
      </c>
      <c r="F11" s="60" t="s">
        <v>26</v>
      </c>
      <c r="G11" s="47">
        <v>33</v>
      </c>
      <c r="H11" s="135">
        <f>IF(B$17=0,0,G11/B$17)</f>
        <v>8.9189189189189194E-2</v>
      </c>
      <c r="I11" s="96">
        <v>5</v>
      </c>
      <c r="K11" s="38">
        <v>9</v>
      </c>
      <c r="L11" s="101">
        <v>-3.5527136788005009E-15</v>
      </c>
      <c r="N11" s="117" t="s">
        <v>168</v>
      </c>
      <c r="O11" s="127">
        <f>IF(P11=0,0,Q11/P11)</f>
        <v>-9.3469387755102034</v>
      </c>
      <c r="P11" s="121">
        <v>49</v>
      </c>
      <c r="Q11" s="109">
        <v>-457.99999999999994</v>
      </c>
    </row>
    <row r="12" spans="1:17" x14ac:dyDescent="0.4">
      <c r="A12" s="57" t="s">
        <v>162</v>
      </c>
      <c r="B12" s="49">
        <v>14</v>
      </c>
      <c r="C12" s="42">
        <f>IF(B$2=0,0,B12/B$2)</f>
        <v>9.5238095238095233E-2</v>
      </c>
      <c r="E12" s="63" t="s">
        <v>89</v>
      </c>
      <c r="F12" s="60" t="s">
        <v>43</v>
      </c>
      <c r="G12" s="47">
        <v>22</v>
      </c>
      <c r="H12" s="135">
        <f>IF(B$17=0,0,G12/B$17)</f>
        <v>5.9459459459459463E-2</v>
      </c>
      <c r="I12" s="96">
        <v>6</v>
      </c>
      <c r="K12" s="38">
        <v>10</v>
      </c>
      <c r="L12" s="101">
        <v>40.099999999999994</v>
      </c>
      <c r="N12" s="118" t="s">
        <v>169</v>
      </c>
      <c r="O12" s="128">
        <f>IF(P12=0,0,Q12/P12)</f>
        <v>9.887755102040817</v>
      </c>
      <c r="P12" s="122">
        <v>49</v>
      </c>
      <c r="Q12" s="110">
        <v>484.5</v>
      </c>
    </row>
    <row r="13" spans="1:17" x14ac:dyDescent="0.4">
      <c r="A13" s="58" t="s">
        <v>124</v>
      </c>
      <c r="B13" s="50">
        <v>316</v>
      </c>
      <c r="C13" s="44">
        <f>IF(B$3=0,0,B13/B$3)</f>
        <v>0.25628548256285483</v>
      </c>
      <c r="E13" s="63" t="s">
        <v>73</v>
      </c>
      <c r="F13" s="60" t="s">
        <v>27</v>
      </c>
      <c r="G13" s="47">
        <v>20</v>
      </c>
      <c r="H13" s="135">
        <f>IF(B$17=0,0,G13/B$17)</f>
        <v>5.4054054054054057E-2</v>
      </c>
      <c r="I13" s="96">
        <v>5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270</v>
      </c>
      <c r="C14" s="39">
        <f>IF(B$3=0,0,B14/B$3)</f>
        <v>0.21897810218978103</v>
      </c>
      <c r="E14" s="63" t="s">
        <v>86</v>
      </c>
      <c r="F14" s="60" t="s">
        <v>40</v>
      </c>
      <c r="G14" s="47">
        <v>17</v>
      </c>
      <c r="H14" s="135">
        <f>IF(B$17=0,0,G14/B$17)</f>
        <v>4.5945945945945948E-2</v>
      </c>
      <c r="I14" s="96">
        <v>5</v>
      </c>
      <c r="K14" s="38">
        <v>12</v>
      </c>
      <c r="L14" s="101">
        <v>-8.8817841970012523E-15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184</v>
      </c>
      <c r="C15" s="37">
        <f>IF(B$13=0,0,B15/B$13)</f>
        <v>0.58227848101265822</v>
      </c>
      <c r="E15" s="63" t="s">
        <v>84</v>
      </c>
      <c r="F15" s="60" t="s">
        <v>38</v>
      </c>
      <c r="G15" s="47">
        <v>9</v>
      </c>
      <c r="H15" s="135">
        <f>IF(B$17=0,0,G15/B$17)</f>
        <v>2.4324324324324326E-2</v>
      </c>
      <c r="I15" s="96">
        <v>5</v>
      </c>
      <c r="K15" s="38">
        <v>13</v>
      </c>
      <c r="L15" s="101">
        <v>-42.100000000000009</v>
      </c>
      <c r="N15" s="116" t="s">
        <v>189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127</v>
      </c>
      <c r="B16" s="46">
        <v>107</v>
      </c>
      <c r="C16" s="37">
        <f>IF(B$14=0,0,B16/B$14)</f>
        <v>0.39629629629629631</v>
      </c>
      <c r="E16" s="63" t="s">
        <v>80</v>
      </c>
      <c r="F16" s="60" t="s">
        <v>34</v>
      </c>
      <c r="G16" s="47">
        <v>7</v>
      </c>
      <c r="H16" s="135">
        <f>IF(B$17=0,0,G16/B$17)</f>
        <v>1.891891891891892E-2</v>
      </c>
      <c r="I16" s="96">
        <v>5</v>
      </c>
      <c r="K16" s="38">
        <v>14</v>
      </c>
      <c r="L16" s="101">
        <v>18.79999999999999</v>
      </c>
      <c r="N16" s="117" t="s">
        <v>131</v>
      </c>
      <c r="O16" s="127">
        <f>IF(P16=0,0,Q16/P16)</f>
        <v>42.278571428571425</v>
      </c>
      <c r="P16" s="121">
        <v>28</v>
      </c>
      <c r="Q16" s="109">
        <v>1183.8</v>
      </c>
    </row>
    <row r="17" spans="1:17" x14ac:dyDescent="0.4">
      <c r="A17" s="54" t="s">
        <v>10</v>
      </c>
      <c r="B17" s="46">
        <f>B19+B18</f>
        <v>370</v>
      </c>
      <c r="C17" s="37">
        <f>IF(B$3=0,0,B17/B$3)</f>
        <v>0.30008110300081103</v>
      </c>
      <c r="E17" s="63" t="s">
        <v>94</v>
      </c>
      <c r="F17" s="60" t="s">
        <v>48</v>
      </c>
      <c r="G17" s="47">
        <v>7</v>
      </c>
      <c r="H17" s="135">
        <f>IF(B$17=0,0,G17/B$17)</f>
        <v>1.891891891891892E-2</v>
      </c>
      <c r="I17" s="96">
        <v>3</v>
      </c>
      <c r="K17" s="38">
        <v>15</v>
      </c>
      <c r="L17" s="101">
        <v>-1.0658141036401503E-14</v>
      </c>
      <c r="N17" s="117" t="s">
        <v>176</v>
      </c>
      <c r="O17" s="127">
        <f>IF(P17=0,0,Q17/P17)</f>
        <v>36.199999999999996</v>
      </c>
      <c r="P17" s="121">
        <v>24</v>
      </c>
      <c r="Q17" s="109">
        <v>868.8</v>
      </c>
    </row>
    <row r="18" spans="1:17" x14ac:dyDescent="0.4">
      <c r="A18" s="55" t="s">
        <v>12</v>
      </c>
      <c r="B18" s="47">
        <v>145</v>
      </c>
      <c r="C18" s="39">
        <f>IF(B$17=0,0,B18/B$17)</f>
        <v>0.39189189189189189</v>
      </c>
      <c r="E18" s="63" t="s">
        <v>77</v>
      </c>
      <c r="F18" s="60" t="s">
        <v>31</v>
      </c>
      <c r="G18" s="47">
        <v>4</v>
      </c>
      <c r="H18" s="135">
        <f>IF(B$17=0,0,G18/B$17)</f>
        <v>1.0810810810810811E-2</v>
      </c>
      <c r="I18" s="96">
        <v>4</v>
      </c>
      <c r="K18" s="38">
        <v>16</v>
      </c>
      <c r="L18" s="101">
        <v>90.899999999999991</v>
      </c>
      <c r="N18" s="117" t="s">
        <v>180</v>
      </c>
      <c r="O18" s="127">
        <f>IF(P18=0,0,Q18/P18)</f>
        <v>26.012500000000003</v>
      </c>
      <c r="P18" s="121">
        <v>24</v>
      </c>
      <c r="Q18" s="109">
        <v>624.30000000000007</v>
      </c>
    </row>
    <row r="19" spans="1:17" x14ac:dyDescent="0.4">
      <c r="A19" s="55" t="s">
        <v>11</v>
      </c>
      <c r="B19" s="47">
        <v>225</v>
      </c>
      <c r="C19" s="39">
        <f>IF(B$17=0,0,B19/B$17)</f>
        <v>0.60810810810810811</v>
      </c>
      <c r="E19" s="63" t="s">
        <v>75</v>
      </c>
      <c r="F19" s="60" t="s">
        <v>29</v>
      </c>
      <c r="G19" s="47">
        <v>3</v>
      </c>
      <c r="H19" s="135">
        <f>IF(B$17=0,0,G19/B$17)</f>
        <v>8.1081081081081086E-3</v>
      </c>
      <c r="I19" s="96">
        <v>3</v>
      </c>
      <c r="K19" s="38">
        <v>17</v>
      </c>
      <c r="L19" s="101">
        <v>8.2999999999999972</v>
      </c>
      <c r="N19" s="117" t="s">
        <v>174</v>
      </c>
      <c r="O19" s="127">
        <f>IF(P19=0,0,Q19/P19)</f>
        <v>3.6326086956521744</v>
      </c>
      <c r="P19" s="121">
        <v>46</v>
      </c>
      <c r="Q19" s="109">
        <v>167.10000000000002</v>
      </c>
    </row>
    <row r="20" spans="1:17" x14ac:dyDescent="0.4">
      <c r="A20" s="55" t="s">
        <v>13</v>
      </c>
      <c r="B20" s="47">
        <v>223</v>
      </c>
      <c r="C20" s="39">
        <f>IF(B$3=0,0,B20/B$3)</f>
        <v>0.18085969180859693</v>
      </c>
      <c r="E20" s="63" t="s">
        <v>81</v>
      </c>
      <c r="F20" s="60" t="s">
        <v>35</v>
      </c>
      <c r="G20" s="47">
        <v>2</v>
      </c>
      <c r="H20" s="135">
        <f>IF(B$17=0,0,G20/B$17)</f>
        <v>5.4054054054054057E-3</v>
      </c>
      <c r="I20" s="96">
        <v>3</v>
      </c>
      <c r="K20" s="38">
        <v>18</v>
      </c>
      <c r="L20" s="101">
        <v>-3.5527136788005009E-15</v>
      </c>
      <c r="N20" s="117" t="s">
        <v>175</v>
      </c>
      <c r="O20" s="127">
        <f>IF(P20=0,0,Q20/P20)</f>
        <v>-3.6300000000000034</v>
      </c>
      <c r="P20" s="121">
        <v>20</v>
      </c>
      <c r="Q20" s="109">
        <v>-72.600000000000065</v>
      </c>
    </row>
    <row r="21" spans="1:17" x14ac:dyDescent="0.4">
      <c r="A21" s="55" t="s">
        <v>196</v>
      </c>
      <c r="B21" s="47">
        <v>7</v>
      </c>
      <c r="C21" s="137">
        <v>1</v>
      </c>
      <c r="E21" s="63" t="s">
        <v>95</v>
      </c>
      <c r="F21" s="60" t="s">
        <v>49</v>
      </c>
      <c r="G21" s="47">
        <v>2</v>
      </c>
      <c r="H21" s="135">
        <f>IF(B$17=0,0,G21/B$17)</f>
        <v>5.4054054054054057E-3</v>
      </c>
      <c r="I21" s="96">
        <v>3</v>
      </c>
      <c r="K21" s="38">
        <v>19</v>
      </c>
      <c r="L21" s="101">
        <v>30.999999999999996</v>
      </c>
      <c r="N21" s="117" t="s">
        <v>130</v>
      </c>
      <c r="O21" s="127">
        <f>IF(P21=0,0,Q21/P21)</f>
        <v>-10.49545454545455</v>
      </c>
      <c r="P21" s="121">
        <v>66</v>
      </c>
      <c r="Q21" s="109">
        <v>-692.70000000000027</v>
      </c>
    </row>
    <row r="22" spans="1:17" x14ac:dyDescent="0.4">
      <c r="A22" s="55" t="s">
        <v>197</v>
      </c>
      <c r="B22" s="47">
        <v>28</v>
      </c>
      <c r="C22" s="137">
        <v>7</v>
      </c>
      <c r="E22" s="63" t="s">
        <v>76</v>
      </c>
      <c r="F22" s="60" t="s">
        <v>30</v>
      </c>
      <c r="G22" s="47">
        <v>1</v>
      </c>
      <c r="H22" s="135">
        <f>IF(B$17=0,0,G22/B$17)</f>
        <v>2.7027027027027029E-3</v>
      </c>
      <c r="I22" s="96">
        <v>2</v>
      </c>
      <c r="K22" s="38">
        <v>20</v>
      </c>
      <c r="L22" s="101">
        <v>0.79999999999999716</v>
      </c>
      <c r="N22" s="117" t="s">
        <v>188</v>
      </c>
      <c r="O22" s="127">
        <f>IF(P22=0,0,Q22/P22)</f>
        <v>-30.5</v>
      </c>
      <c r="P22" s="121">
        <v>6</v>
      </c>
      <c r="Q22" s="109">
        <v>-183</v>
      </c>
    </row>
    <row r="23" spans="1:17" x14ac:dyDescent="0.4">
      <c r="A23" s="55" t="s">
        <v>5</v>
      </c>
      <c r="B23" s="51">
        <f>IF(B$17=0,0,C23/B$17)</f>
        <v>8036.7567567567567</v>
      </c>
      <c r="C23" s="41">
        <v>2973600</v>
      </c>
      <c r="E23" s="63" t="s">
        <v>79</v>
      </c>
      <c r="F23" s="60" t="s">
        <v>33</v>
      </c>
      <c r="G23" s="47">
        <v>1</v>
      </c>
      <c r="H23" s="135">
        <f>IF(B$17=0,0,G23/B$17)</f>
        <v>2.7027027027027029E-3</v>
      </c>
      <c r="I23" s="96">
        <v>2</v>
      </c>
      <c r="K23" s="38">
        <v>21</v>
      </c>
      <c r="L23" s="101">
        <v>-2.886579864025407E-15</v>
      </c>
      <c r="N23" s="117" t="s">
        <v>129</v>
      </c>
      <c r="O23" s="127">
        <f>IF(P23=0,0,Q23/P23)</f>
        <v>-38.640909090909091</v>
      </c>
      <c r="P23" s="121">
        <v>66</v>
      </c>
      <c r="Q23" s="109">
        <v>-2550.3000000000002</v>
      </c>
    </row>
    <row r="24" spans="1:17" x14ac:dyDescent="0.4">
      <c r="A24" s="57" t="s">
        <v>14</v>
      </c>
      <c r="B24" s="52">
        <f>IF(B$20=0,0,C24/B$20)</f>
        <v>-7928.6995515695071</v>
      </c>
      <c r="C24" s="45">
        <v>-1768100</v>
      </c>
      <c r="E24" s="63" t="s">
        <v>88</v>
      </c>
      <c r="F24" s="60" t="s">
        <v>42</v>
      </c>
      <c r="G24" s="47">
        <v>1</v>
      </c>
      <c r="H24" s="135">
        <f>IF(B$17=0,0,G24/B$17)</f>
        <v>2.7027027027027029E-3</v>
      </c>
      <c r="I24" s="96">
        <v>2</v>
      </c>
      <c r="K24" s="38">
        <v>22</v>
      </c>
      <c r="L24" s="101">
        <v>23.699999999999996</v>
      </c>
    </row>
    <row r="25" spans="1:17" x14ac:dyDescent="0.4">
      <c r="A25" s="92" t="s">
        <v>144</v>
      </c>
      <c r="B25" s="142">
        <v>7</v>
      </c>
      <c r="C25" s="143"/>
      <c r="E25" s="63" t="s">
        <v>90</v>
      </c>
      <c r="F25" s="60" t="s">
        <v>44</v>
      </c>
      <c r="G25" s="47">
        <v>1</v>
      </c>
      <c r="H25" s="135">
        <f>IF(B$17=0,0,G25/B$17)</f>
        <v>2.7027027027027029E-3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154</v>
      </c>
      <c r="B26" s="140">
        <v>105900</v>
      </c>
      <c r="C26" s="141"/>
      <c r="E26" s="63" t="s">
        <v>93</v>
      </c>
      <c r="F26" s="60" t="s">
        <v>47</v>
      </c>
      <c r="G26" s="47">
        <v>1</v>
      </c>
      <c r="H26" s="135">
        <f>IF(B$17=0,0,G26/B$17)</f>
        <v>2.7027027027027029E-3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145</v>
      </c>
      <c r="B27" s="65">
        <v>7</v>
      </c>
      <c r="C27" s="42">
        <f>IF(B$3=0,0,B27/B$3)</f>
        <v>5.6772100567721003E-3</v>
      </c>
      <c r="E27" s="63" t="s">
        <v>98</v>
      </c>
      <c r="F27" s="60" t="s">
        <v>52</v>
      </c>
      <c r="G27" s="47">
        <v>1</v>
      </c>
      <c r="H27" s="135">
        <f>IF(B$17=0,0,G27/B$17)</f>
        <v>2.7027027027027029E-3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183</v>
      </c>
      <c r="F28" s="60" t="s">
        <v>186</v>
      </c>
      <c r="G28" s="47">
        <v>1</v>
      </c>
      <c r="H28" s="135">
        <f>IF(B$17=0,0,G28/B$17)</f>
        <v>2.7027027027027029E-3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78</v>
      </c>
      <c r="F29" s="60" t="s">
        <v>32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-1.3322676295501878E-15</v>
      </c>
    </row>
    <row r="30" spans="1:17" x14ac:dyDescent="0.4">
      <c r="E30" s="63" t="s">
        <v>82</v>
      </c>
      <c r="F30" s="60" t="s">
        <v>36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-58.3</v>
      </c>
    </row>
    <row r="31" spans="1:17" x14ac:dyDescent="0.4">
      <c r="E31" s="63" t="s">
        <v>83</v>
      </c>
      <c r="F31" s="60" t="s">
        <v>37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85</v>
      </c>
      <c r="F32" s="60" t="s">
        <v>39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87</v>
      </c>
      <c r="F33" s="60" t="s">
        <v>41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91</v>
      </c>
      <c r="F34" s="60" t="s">
        <v>45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  <c r="K51" s="38">
        <v>49</v>
      </c>
      <c r="L51" s="101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14B6E-DB74-4646-B776-EB433844ACBA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33</v>
      </c>
      <c r="C2" s="149"/>
      <c r="E2" s="62" t="s">
        <v>68</v>
      </c>
      <c r="F2" s="59" t="s">
        <v>23</v>
      </c>
      <c r="G2" s="46">
        <v>91</v>
      </c>
      <c r="H2" s="134">
        <f>IF(B$17=0,0,G2/B$17)</f>
        <v>0.79824561403508776</v>
      </c>
      <c r="I2" s="95">
        <v>3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4221.212121212121</v>
      </c>
      <c r="P2" s="120">
        <v>33</v>
      </c>
      <c r="Q2" s="104">
        <v>139300</v>
      </c>
    </row>
    <row r="3" spans="1:17" x14ac:dyDescent="0.4">
      <c r="A3" s="55" t="s">
        <v>8</v>
      </c>
      <c r="B3" s="150">
        <v>267</v>
      </c>
      <c r="C3" s="151"/>
      <c r="E3" s="63" t="s">
        <v>74</v>
      </c>
      <c r="F3" s="60" t="s">
        <v>28</v>
      </c>
      <c r="G3" s="47">
        <v>70</v>
      </c>
      <c r="H3" s="135">
        <f>IF(B$17=0,0,G3/B$17)</f>
        <v>0.61403508771929827</v>
      </c>
      <c r="I3" s="96">
        <v>3</v>
      </c>
      <c r="K3" s="38">
        <v>1</v>
      </c>
      <c r="L3" s="101">
        <v>-5.0999999999999996</v>
      </c>
      <c r="N3" s="117" t="s">
        <v>135</v>
      </c>
      <c r="O3" s="124">
        <f t="shared" si="0"/>
        <v>4050</v>
      </c>
      <c r="P3" s="121">
        <v>32</v>
      </c>
      <c r="Q3" s="105">
        <v>129600</v>
      </c>
    </row>
    <row r="4" spans="1:17" x14ac:dyDescent="0.4">
      <c r="A4" s="55" t="s">
        <v>6</v>
      </c>
      <c r="B4" s="152">
        <v>850.1</v>
      </c>
      <c r="C4" s="153"/>
      <c r="E4" s="63" t="s">
        <v>66</v>
      </c>
      <c r="F4" s="60" t="s">
        <v>21</v>
      </c>
      <c r="G4" s="47">
        <v>54</v>
      </c>
      <c r="H4" s="135">
        <f>IF(B$17=0,0,G4/B$17)</f>
        <v>0.47368421052631576</v>
      </c>
      <c r="I4" s="96">
        <v>5</v>
      </c>
      <c r="K4" s="38">
        <v>2</v>
      </c>
      <c r="L4" s="101">
        <v>-2.8999999999999995</v>
      </c>
      <c r="N4" s="117" t="s">
        <v>136</v>
      </c>
      <c r="O4" s="124">
        <f t="shared" si="0"/>
        <v>2570.9677419354839</v>
      </c>
      <c r="P4" s="121">
        <v>31</v>
      </c>
      <c r="Q4" s="105">
        <v>79700</v>
      </c>
    </row>
    <row r="5" spans="1:17" x14ac:dyDescent="0.4">
      <c r="A5" s="55" t="s">
        <v>7</v>
      </c>
      <c r="B5" s="154">
        <f>IF(B$2=0,0,B$4/B$2)</f>
        <v>25.760606060606062</v>
      </c>
      <c r="C5" s="155"/>
      <c r="E5" s="63" t="s">
        <v>184</v>
      </c>
      <c r="F5" s="60" t="s">
        <v>185</v>
      </c>
      <c r="G5" s="47">
        <v>46</v>
      </c>
      <c r="H5" s="135">
        <f>IF(B$17=0,0,G5/B$17)</f>
        <v>0.40350877192982454</v>
      </c>
      <c r="I5" s="96">
        <v>3</v>
      </c>
      <c r="K5" s="38">
        <v>3</v>
      </c>
      <c r="L5" s="101">
        <v>70.399999999999991</v>
      </c>
      <c r="N5" s="117" t="s">
        <v>137</v>
      </c>
      <c r="O5" s="124">
        <f t="shared" si="0"/>
        <v>4475.8620689655172</v>
      </c>
      <c r="P5" s="121">
        <v>29</v>
      </c>
      <c r="Q5" s="105">
        <v>129800</v>
      </c>
    </row>
    <row r="6" spans="1:17" x14ac:dyDescent="0.4">
      <c r="A6" s="55" t="s">
        <v>1</v>
      </c>
      <c r="B6" s="144">
        <f>IF(B$2=0,0,(B$7*1+B$8*2+B$9*3)/B$2)</f>
        <v>1.5454545454545454</v>
      </c>
      <c r="C6" s="145"/>
      <c r="E6" s="63" t="s">
        <v>69</v>
      </c>
      <c r="F6" s="60" t="s">
        <v>24</v>
      </c>
      <c r="G6" s="47">
        <v>35</v>
      </c>
      <c r="H6" s="135">
        <f>IF(B$17=0,0,G6/B$17)</f>
        <v>0.30701754385964913</v>
      </c>
      <c r="I6" s="96">
        <v>4</v>
      </c>
      <c r="K6" s="38">
        <v>4</v>
      </c>
      <c r="L6" s="101">
        <v>110.5</v>
      </c>
      <c r="N6" s="117" t="s">
        <v>138</v>
      </c>
      <c r="O6" s="124">
        <f t="shared" si="0"/>
        <v>2934.6153846153848</v>
      </c>
      <c r="P6" s="121">
        <v>26</v>
      </c>
      <c r="Q6" s="105">
        <v>76300</v>
      </c>
    </row>
    <row r="7" spans="1:17" x14ac:dyDescent="0.4">
      <c r="A7" s="55" t="s">
        <v>2</v>
      </c>
      <c r="B7" s="47">
        <v>20</v>
      </c>
      <c r="C7" s="39">
        <f>IF(B$2=0,0,B7/B$2)</f>
        <v>0.60606060606060608</v>
      </c>
      <c r="E7" s="63" t="s">
        <v>70</v>
      </c>
      <c r="F7" s="60" t="s">
        <v>12</v>
      </c>
      <c r="G7" s="47">
        <v>26</v>
      </c>
      <c r="H7" s="135">
        <f>IF(B$17=0,0,G7/B$17)</f>
        <v>0.22807017543859648</v>
      </c>
      <c r="I7" s="96">
        <v>6</v>
      </c>
      <c r="K7" s="38">
        <v>5</v>
      </c>
      <c r="L7" s="101">
        <v>201.4</v>
      </c>
      <c r="N7" s="118" t="s">
        <v>139</v>
      </c>
      <c r="O7" s="125">
        <f t="shared" si="0"/>
        <v>-384</v>
      </c>
      <c r="P7" s="122">
        <v>25</v>
      </c>
      <c r="Q7" s="106">
        <v>-9600</v>
      </c>
    </row>
    <row r="8" spans="1:17" x14ac:dyDescent="0.4">
      <c r="A8" s="55" t="s">
        <v>3</v>
      </c>
      <c r="B8" s="47">
        <v>8</v>
      </c>
      <c r="C8" s="39">
        <f>IF(B$2=0,0,B8/B$2)</f>
        <v>0.24242424242424243</v>
      </c>
      <c r="E8" s="63" t="s">
        <v>71</v>
      </c>
      <c r="F8" s="60" t="s">
        <v>25</v>
      </c>
      <c r="G8" s="47">
        <v>20</v>
      </c>
      <c r="H8" s="135">
        <f>IF(B$17=0,0,G8/B$17)</f>
        <v>0.17543859649122806</v>
      </c>
      <c r="I8" s="96">
        <v>6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0.15151515151515152</v>
      </c>
      <c r="E9" s="63" t="s">
        <v>92</v>
      </c>
      <c r="F9" s="60" t="s">
        <v>46</v>
      </c>
      <c r="G9" s="47">
        <v>20</v>
      </c>
      <c r="H9" s="135">
        <f>IF(B$17=0,0,G9/B$17)</f>
        <v>0.17543859649122806</v>
      </c>
      <c r="I9" s="96">
        <v>4</v>
      </c>
      <c r="K9" s="38">
        <v>7</v>
      </c>
      <c r="L9" s="101">
        <v>256.10000000000002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3.0303030303030304E-2</v>
      </c>
      <c r="E10" s="63" t="s">
        <v>67</v>
      </c>
      <c r="F10" s="60" t="s">
        <v>22</v>
      </c>
      <c r="G10" s="47">
        <v>16</v>
      </c>
      <c r="H10" s="135">
        <f>IF(B$17=0,0,G10/B$17)</f>
        <v>0.14035087719298245</v>
      </c>
      <c r="I10" s="96">
        <v>2</v>
      </c>
      <c r="K10" s="38">
        <v>8</v>
      </c>
      <c r="L10" s="101">
        <v>285.20000000000005</v>
      </c>
      <c r="N10" s="116" t="s">
        <v>167</v>
      </c>
      <c r="O10" s="126">
        <f>IF(P10=0,0,Q10/P10)</f>
        <v>22.922222222222221</v>
      </c>
      <c r="P10" s="120">
        <v>9</v>
      </c>
      <c r="Q10" s="108">
        <v>206.29999999999998</v>
      </c>
    </row>
    <row r="11" spans="1:17" x14ac:dyDescent="0.4">
      <c r="A11" s="56" t="s">
        <v>142</v>
      </c>
      <c r="B11" s="48">
        <v>6</v>
      </c>
      <c r="C11" s="40">
        <f>IF(B$2=0,0,B11/B$2)</f>
        <v>0.18181818181818182</v>
      </c>
      <c r="E11" s="63" t="s">
        <v>89</v>
      </c>
      <c r="F11" s="60" t="s">
        <v>43</v>
      </c>
      <c r="G11" s="47">
        <v>8</v>
      </c>
      <c r="H11" s="135">
        <f>IF(B$17=0,0,G11/B$17)</f>
        <v>7.0175438596491224E-2</v>
      </c>
      <c r="I11" s="96">
        <v>4</v>
      </c>
      <c r="K11" s="38">
        <v>9</v>
      </c>
      <c r="L11" s="101">
        <v>277.90000000000003</v>
      </c>
      <c r="N11" s="117" t="s">
        <v>168</v>
      </c>
      <c r="O11" s="127">
        <f>IF(P11=0,0,Q11/P11)</f>
        <v>13.891666666666666</v>
      </c>
      <c r="P11" s="121">
        <v>12</v>
      </c>
      <c r="Q11" s="109">
        <v>166.7</v>
      </c>
    </row>
    <row r="12" spans="1:17" x14ac:dyDescent="0.4">
      <c r="A12" s="57" t="s">
        <v>162</v>
      </c>
      <c r="B12" s="49">
        <v>5</v>
      </c>
      <c r="C12" s="42">
        <f>IF(B$2=0,0,B12/B$2)</f>
        <v>0.15151515151515152</v>
      </c>
      <c r="E12" s="63" t="s">
        <v>72</v>
      </c>
      <c r="F12" s="60" t="s">
        <v>26</v>
      </c>
      <c r="G12" s="47">
        <v>6</v>
      </c>
      <c r="H12" s="135">
        <f>IF(B$17=0,0,G12/B$17)</f>
        <v>5.2631578947368418E-2</v>
      </c>
      <c r="I12" s="96">
        <v>7</v>
      </c>
      <c r="K12" s="38">
        <v>10</v>
      </c>
      <c r="L12" s="101">
        <v>246.20000000000005</v>
      </c>
      <c r="N12" s="118" t="s">
        <v>169</v>
      </c>
      <c r="O12" s="128">
        <f>IF(P12=0,0,Q12/P12)</f>
        <v>39.758333333333333</v>
      </c>
      <c r="P12" s="122">
        <v>12</v>
      </c>
      <c r="Q12" s="110">
        <v>477.1</v>
      </c>
    </row>
    <row r="13" spans="1:17" x14ac:dyDescent="0.4">
      <c r="A13" s="58" t="s">
        <v>124</v>
      </c>
      <c r="B13" s="50">
        <v>91</v>
      </c>
      <c r="C13" s="44">
        <f>IF(B$3=0,0,B13/B$3)</f>
        <v>0.34082397003745318</v>
      </c>
      <c r="E13" s="63" t="s">
        <v>73</v>
      </c>
      <c r="F13" s="60" t="s">
        <v>27</v>
      </c>
      <c r="G13" s="47">
        <v>6</v>
      </c>
      <c r="H13" s="135">
        <f>IF(B$17=0,0,G13/B$17)</f>
        <v>5.2631578947368418E-2</v>
      </c>
      <c r="I13" s="96">
        <v>6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70</v>
      </c>
      <c r="C14" s="39">
        <f>IF(B$3=0,0,B14/B$3)</f>
        <v>0.26217228464419473</v>
      </c>
      <c r="E14" s="63" t="s">
        <v>86</v>
      </c>
      <c r="F14" s="60" t="s">
        <v>40</v>
      </c>
      <c r="G14" s="47">
        <v>5</v>
      </c>
      <c r="H14" s="135">
        <f>IF(B$17=0,0,G14/B$17)</f>
        <v>4.3859649122807015E-2</v>
      </c>
      <c r="I14" s="96">
        <v>6</v>
      </c>
      <c r="K14" s="38">
        <v>12</v>
      </c>
      <c r="L14" s="101">
        <v>371.70000000000005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55</v>
      </c>
      <c r="C15" s="37">
        <f>IF(B$13=0,0,B15/B$13)</f>
        <v>0.60439560439560436</v>
      </c>
      <c r="E15" s="63" t="s">
        <v>80</v>
      </c>
      <c r="F15" s="60" t="s">
        <v>34</v>
      </c>
      <c r="G15" s="47">
        <v>3</v>
      </c>
      <c r="H15" s="135">
        <f>IF(B$17=0,0,G15/B$17)</f>
        <v>2.6315789473684209E-2</v>
      </c>
      <c r="I15" s="96">
        <v>3</v>
      </c>
      <c r="K15" s="38">
        <v>13</v>
      </c>
      <c r="L15" s="101">
        <v>418.90000000000003</v>
      </c>
      <c r="N15" s="116" t="s">
        <v>176</v>
      </c>
      <c r="O15" s="126">
        <f>IF(P15=0,0,Q15/P15)</f>
        <v>120</v>
      </c>
      <c r="P15" s="120">
        <v>3</v>
      </c>
      <c r="Q15" s="108">
        <v>360</v>
      </c>
    </row>
    <row r="16" spans="1:17" x14ac:dyDescent="0.4">
      <c r="A16" s="54" t="s">
        <v>127</v>
      </c>
      <c r="B16" s="46">
        <v>40</v>
      </c>
      <c r="C16" s="37">
        <f>IF(B$14=0,0,B16/B$14)</f>
        <v>0.5714285714285714</v>
      </c>
      <c r="E16" s="63" t="s">
        <v>84</v>
      </c>
      <c r="F16" s="60" t="s">
        <v>38</v>
      </c>
      <c r="G16" s="47">
        <v>3</v>
      </c>
      <c r="H16" s="135">
        <f>IF(B$17=0,0,G16/B$17)</f>
        <v>2.6315789473684209E-2</v>
      </c>
      <c r="I16" s="96">
        <v>4</v>
      </c>
      <c r="K16" s="38">
        <v>14</v>
      </c>
      <c r="L16" s="101">
        <v>473.50000000000006</v>
      </c>
      <c r="N16" s="117" t="s">
        <v>188</v>
      </c>
      <c r="O16" s="127">
        <f>IF(P16=0,0,Q16/P16)</f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0.42696629213483145</v>
      </c>
      <c r="E17" s="63" t="s">
        <v>75</v>
      </c>
      <c r="F17" s="60" t="s">
        <v>29</v>
      </c>
      <c r="G17" s="47">
        <v>2</v>
      </c>
      <c r="H17" s="135">
        <f>IF(B$17=0,0,G17/B$17)</f>
        <v>1.7543859649122806E-2</v>
      </c>
      <c r="I17" s="96">
        <v>1</v>
      </c>
      <c r="K17" s="38">
        <v>15</v>
      </c>
      <c r="L17" s="101">
        <v>481.50000000000006</v>
      </c>
      <c r="N17" s="117" t="s">
        <v>180</v>
      </c>
      <c r="O17" s="127">
        <f>IF(P17=0,0,Q17/P17)</f>
        <v>61.75</v>
      </c>
      <c r="P17" s="121">
        <v>6</v>
      </c>
      <c r="Q17" s="109">
        <v>370.5</v>
      </c>
    </row>
    <row r="18" spans="1:17" x14ac:dyDescent="0.4">
      <c r="A18" s="55" t="s">
        <v>12</v>
      </c>
      <c r="B18" s="47">
        <v>45</v>
      </c>
      <c r="C18" s="39">
        <f>IF(B$17=0,0,B18/B$17)</f>
        <v>0.39473684210526316</v>
      </c>
      <c r="E18" s="63" t="s">
        <v>94</v>
      </c>
      <c r="F18" s="60" t="s">
        <v>48</v>
      </c>
      <c r="G18" s="47">
        <v>2</v>
      </c>
      <c r="H18" s="135">
        <f>IF(B$17=0,0,G18/B$17)</f>
        <v>1.7543859649122806E-2</v>
      </c>
      <c r="I18" s="96">
        <v>4</v>
      </c>
      <c r="K18" s="38">
        <v>16</v>
      </c>
      <c r="L18" s="101">
        <v>425.50000000000006</v>
      </c>
      <c r="N18" s="117" t="s">
        <v>189</v>
      </c>
      <c r="O18" s="127">
        <f>IF(P18=0,0,Q18/P18)</f>
        <v>56.8</v>
      </c>
      <c r="P18" s="121">
        <v>4</v>
      </c>
      <c r="Q18" s="109">
        <v>227.2</v>
      </c>
    </row>
    <row r="19" spans="1:17" x14ac:dyDescent="0.4">
      <c r="A19" s="55" t="s">
        <v>11</v>
      </c>
      <c r="B19" s="47">
        <v>69</v>
      </c>
      <c r="C19" s="39">
        <f>IF(B$17=0,0,B19/B$17)</f>
        <v>0.60526315789473684</v>
      </c>
      <c r="E19" s="63" t="s">
        <v>77</v>
      </c>
      <c r="F19" s="60" t="s">
        <v>31</v>
      </c>
      <c r="G19" s="47">
        <v>1</v>
      </c>
      <c r="H19" s="135">
        <f>IF(B$17=0,0,G19/B$17)</f>
        <v>8.771929824561403E-3</v>
      </c>
      <c r="I19" s="96">
        <v>5</v>
      </c>
      <c r="K19" s="38">
        <v>17</v>
      </c>
      <c r="L19" s="101">
        <v>427.40000000000003</v>
      </c>
      <c r="N19" s="117" t="s">
        <v>131</v>
      </c>
      <c r="O19" s="127">
        <f>IF(P19=0,0,Q19/P19)</f>
        <v>51.81111111111111</v>
      </c>
      <c r="P19" s="121">
        <v>9</v>
      </c>
      <c r="Q19" s="109">
        <v>466.3</v>
      </c>
    </row>
    <row r="20" spans="1:17" x14ac:dyDescent="0.4">
      <c r="A20" s="55" t="s">
        <v>13</v>
      </c>
      <c r="B20" s="47">
        <v>41</v>
      </c>
      <c r="C20" s="39">
        <f>IF(B$3=0,0,B20/B$3)</f>
        <v>0.15355805243445692</v>
      </c>
      <c r="E20" s="63" t="s">
        <v>79</v>
      </c>
      <c r="F20" s="60" t="s">
        <v>33</v>
      </c>
      <c r="G20" s="47">
        <v>1</v>
      </c>
      <c r="H20" s="135">
        <f>IF(B$17=0,0,G20/B$17)</f>
        <v>8.771929824561403E-3</v>
      </c>
      <c r="I20" s="96">
        <v>1</v>
      </c>
      <c r="K20" s="38">
        <v>18</v>
      </c>
      <c r="L20" s="101">
        <v>429.3</v>
      </c>
      <c r="N20" s="117" t="s">
        <v>174</v>
      </c>
      <c r="O20" s="127">
        <f>IF(P20=0,0,Q20/P20)</f>
        <v>39.399999999999991</v>
      </c>
      <c r="P20" s="121">
        <v>13</v>
      </c>
      <c r="Q20" s="109">
        <v>512.19999999999993</v>
      </c>
    </row>
    <row r="21" spans="1:17" x14ac:dyDescent="0.4">
      <c r="A21" s="55" t="s">
        <v>196</v>
      </c>
      <c r="B21" s="47">
        <v>7</v>
      </c>
      <c r="C21" s="137">
        <v>1</v>
      </c>
      <c r="E21" s="63" t="s">
        <v>90</v>
      </c>
      <c r="F21" s="60" t="s">
        <v>44</v>
      </c>
      <c r="G21" s="47">
        <v>1</v>
      </c>
      <c r="H21" s="135">
        <f>IF(B$17=0,0,G21/B$17)</f>
        <v>8.771929824561403E-3</v>
      </c>
      <c r="I21" s="96">
        <v>1</v>
      </c>
      <c r="K21" s="38">
        <v>19</v>
      </c>
      <c r="L21" s="101">
        <v>405.40000000000003</v>
      </c>
      <c r="N21" s="117" t="s">
        <v>175</v>
      </c>
      <c r="O21" s="127">
        <f>IF(P21=0,0,Q21/P21)</f>
        <v>22.14</v>
      </c>
      <c r="P21" s="121">
        <v>5</v>
      </c>
      <c r="Q21" s="109">
        <v>110.7</v>
      </c>
    </row>
    <row r="22" spans="1:17" x14ac:dyDescent="0.4">
      <c r="A22" s="55" t="s">
        <v>197</v>
      </c>
      <c r="B22" s="47">
        <v>27</v>
      </c>
      <c r="C22" s="137">
        <v>7</v>
      </c>
      <c r="E22" s="63" t="s">
        <v>93</v>
      </c>
      <c r="F22" s="60" t="s">
        <v>47</v>
      </c>
      <c r="G22" s="47">
        <v>1</v>
      </c>
      <c r="H22" s="135">
        <f>IF(B$17=0,0,G22/B$17)</f>
        <v>8.771929824561403E-3</v>
      </c>
      <c r="I22" s="96">
        <v>1</v>
      </c>
      <c r="K22" s="38">
        <v>20</v>
      </c>
      <c r="L22" s="101">
        <v>469.6</v>
      </c>
      <c r="N22" s="117" t="s">
        <v>130</v>
      </c>
      <c r="O22" s="127">
        <f>IF(P22=0,0,Q22/P22)</f>
        <v>17.367999999999999</v>
      </c>
      <c r="P22" s="121">
        <v>25</v>
      </c>
      <c r="Q22" s="109">
        <v>434.2</v>
      </c>
    </row>
    <row r="23" spans="1:17" x14ac:dyDescent="0.4">
      <c r="A23" s="55" t="s">
        <v>5</v>
      </c>
      <c r="B23" s="51">
        <f>IF(B$17=0,0,C23/B$17)</f>
        <v>8933.3333333333339</v>
      </c>
      <c r="C23" s="41">
        <v>1018400</v>
      </c>
      <c r="E23" s="63" t="s">
        <v>98</v>
      </c>
      <c r="F23" s="60" t="s">
        <v>52</v>
      </c>
      <c r="G23" s="47">
        <v>1</v>
      </c>
      <c r="H23" s="135">
        <f>IF(B$17=0,0,G23/B$17)</f>
        <v>8.771929824561403E-3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-7939.0243902439024</v>
      </c>
      <c r="C24" s="45">
        <v>-325500</v>
      </c>
      <c r="E24" s="63" t="s">
        <v>76</v>
      </c>
      <c r="F24" s="60" t="s">
        <v>30</v>
      </c>
      <c r="G24" s="47">
        <v>0</v>
      </c>
      <c r="H24" s="135">
        <f>IF(B$17=0,0,G24/B$17)</f>
        <v>0</v>
      </c>
      <c r="I24" s="96">
        <v>3</v>
      </c>
      <c r="K24" s="38">
        <v>22</v>
      </c>
      <c r="L24" s="101">
        <v>519.20000000000005</v>
      </c>
    </row>
    <row r="25" spans="1:17" x14ac:dyDescent="0.4">
      <c r="A25" s="92" t="s">
        <v>144</v>
      </c>
      <c r="B25" s="142">
        <v>7</v>
      </c>
      <c r="C25" s="143"/>
      <c r="E25" s="63" t="s">
        <v>78</v>
      </c>
      <c r="F25" s="60" t="s">
        <v>32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555.90000000000009</v>
      </c>
    </row>
    <row r="26" spans="1:17" x14ac:dyDescent="0.4">
      <c r="A26" s="58" t="s">
        <v>154</v>
      </c>
      <c r="B26" s="140">
        <v>105900</v>
      </c>
      <c r="C26" s="141"/>
      <c r="E26" s="63" t="s">
        <v>81</v>
      </c>
      <c r="F26" s="60" t="s">
        <v>35</v>
      </c>
      <c r="G26" s="47">
        <v>0</v>
      </c>
      <c r="H26" s="135">
        <f>IF(B$17=0,0,G26/B$17)</f>
        <v>0</v>
      </c>
      <c r="I26" s="96">
        <v>4</v>
      </c>
      <c r="K26" s="38">
        <v>24</v>
      </c>
      <c r="L26" s="101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87</v>
      </c>
      <c r="F30" s="60" t="s">
        <v>41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655.6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733.6</v>
      </c>
    </row>
    <row r="33" spans="5:12" x14ac:dyDescent="0.4">
      <c r="E33" s="63" t="s">
        <v>95</v>
      </c>
      <c r="F33" s="60" t="s">
        <v>49</v>
      </c>
      <c r="G33" s="47">
        <v>0</v>
      </c>
      <c r="H33" s="135">
        <f>IF(B$17=0,0,G33/B$17)</f>
        <v>0</v>
      </c>
      <c r="I33" s="96">
        <v>4</v>
      </c>
      <c r="K33" s="38">
        <v>31</v>
      </c>
      <c r="L33" s="101">
        <v>796.80000000000007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12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12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12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4154-6907-47F3-A217-F18E18A98915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33</v>
      </c>
      <c r="C2" s="149"/>
      <c r="E2" s="62" t="s">
        <v>68</v>
      </c>
      <c r="F2" s="59" t="s">
        <v>23</v>
      </c>
      <c r="G2" s="46">
        <v>60</v>
      </c>
      <c r="H2" s="134">
        <f>IF(B$17=0,0,G2/B$17)</f>
        <v>0.7142857142857143</v>
      </c>
      <c r="I2" s="95">
        <v>6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1284.8484848484848</v>
      </c>
      <c r="P2" s="120">
        <v>33</v>
      </c>
      <c r="Q2" s="104">
        <v>42400</v>
      </c>
    </row>
    <row r="3" spans="1:17" x14ac:dyDescent="0.4">
      <c r="A3" s="55" t="s">
        <v>8</v>
      </c>
      <c r="B3" s="150">
        <v>282</v>
      </c>
      <c r="C3" s="151"/>
      <c r="E3" s="63" t="s">
        <v>66</v>
      </c>
      <c r="F3" s="60" t="s">
        <v>21</v>
      </c>
      <c r="G3" s="47">
        <v>50</v>
      </c>
      <c r="H3" s="135">
        <f>IF(B$17=0,0,G3/B$17)</f>
        <v>0.59523809523809523</v>
      </c>
      <c r="I3" s="96">
        <v>2</v>
      </c>
      <c r="K3" s="38">
        <v>1</v>
      </c>
      <c r="L3" s="101">
        <v>45.5</v>
      </c>
      <c r="N3" s="117" t="s">
        <v>135</v>
      </c>
      <c r="O3" s="124">
        <f t="shared" si="0"/>
        <v>-871.875</v>
      </c>
      <c r="P3" s="121">
        <v>32</v>
      </c>
      <c r="Q3" s="105">
        <v>-27900</v>
      </c>
    </row>
    <row r="4" spans="1:17" x14ac:dyDescent="0.4">
      <c r="A4" s="55" t="s">
        <v>6</v>
      </c>
      <c r="B4" s="152">
        <v>230.89999999999998</v>
      </c>
      <c r="C4" s="153"/>
      <c r="E4" s="63" t="s">
        <v>69</v>
      </c>
      <c r="F4" s="60" t="s">
        <v>24</v>
      </c>
      <c r="G4" s="47">
        <v>36</v>
      </c>
      <c r="H4" s="135">
        <f>IF(B$17=0,0,G4/B$17)</f>
        <v>0.42857142857142855</v>
      </c>
      <c r="I4" s="96">
        <v>1</v>
      </c>
      <c r="K4" s="38">
        <v>2</v>
      </c>
      <c r="L4" s="101">
        <v>6.2999999999999972</v>
      </c>
      <c r="N4" s="117" t="s">
        <v>136</v>
      </c>
      <c r="O4" s="124">
        <f t="shared" si="0"/>
        <v>-646.875</v>
      </c>
      <c r="P4" s="121">
        <v>32</v>
      </c>
      <c r="Q4" s="105">
        <v>-20700</v>
      </c>
    </row>
    <row r="5" spans="1:17" x14ac:dyDescent="0.4">
      <c r="A5" s="55" t="s">
        <v>7</v>
      </c>
      <c r="B5" s="154">
        <f>IF(B$2=0,0,B$4/B$2)</f>
        <v>6.9969696969696962</v>
      </c>
      <c r="C5" s="155"/>
      <c r="E5" s="63" t="s">
        <v>74</v>
      </c>
      <c r="F5" s="60" t="s">
        <v>28</v>
      </c>
      <c r="G5" s="47">
        <v>35</v>
      </c>
      <c r="H5" s="135">
        <f>IF(B$17=0,0,G5/B$17)</f>
        <v>0.41666666666666669</v>
      </c>
      <c r="I5" s="96">
        <v>9</v>
      </c>
      <c r="K5" s="38">
        <v>3</v>
      </c>
      <c r="L5" s="101">
        <v>-47.300000000000004</v>
      </c>
      <c r="N5" s="117" t="s">
        <v>137</v>
      </c>
      <c r="O5" s="124">
        <f t="shared" si="0"/>
        <v>2122.5806451612902</v>
      </c>
      <c r="P5" s="121">
        <v>31</v>
      </c>
      <c r="Q5" s="105">
        <v>65800</v>
      </c>
    </row>
    <row r="6" spans="1:17" x14ac:dyDescent="0.4">
      <c r="A6" s="55" t="s">
        <v>1</v>
      </c>
      <c r="B6" s="144">
        <f>IF(B$2=0,0,(B$7*1+B$8*2+B$9*3)/B$2)</f>
        <v>1.8787878787878789</v>
      </c>
      <c r="C6" s="145"/>
      <c r="E6" s="63" t="s">
        <v>184</v>
      </c>
      <c r="F6" s="60" t="s">
        <v>185</v>
      </c>
      <c r="G6" s="47">
        <v>35</v>
      </c>
      <c r="H6" s="135">
        <f>IF(B$17=0,0,G6/B$17)</f>
        <v>0.41666666666666669</v>
      </c>
      <c r="I6" s="96">
        <v>2</v>
      </c>
      <c r="K6" s="38">
        <v>4</v>
      </c>
      <c r="L6" s="101">
        <v>13.599999999999994</v>
      </c>
      <c r="N6" s="117" t="s">
        <v>138</v>
      </c>
      <c r="O6" s="124">
        <f t="shared" si="0"/>
        <v>2379.3103448275861</v>
      </c>
      <c r="P6" s="121">
        <v>29</v>
      </c>
      <c r="Q6" s="105">
        <v>69000</v>
      </c>
    </row>
    <row r="7" spans="1:17" x14ac:dyDescent="0.4">
      <c r="A7" s="55" t="s">
        <v>2</v>
      </c>
      <c r="B7" s="47">
        <v>11</v>
      </c>
      <c r="C7" s="39">
        <f>IF(B$2=0,0,B7/B$2)</f>
        <v>0.33333333333333331</v>
      </c>
      <c r="E7" s="63" t="s">
        <v>70</v>
      </c>
      <c r="F7" s="60" t="s">
        <v>12</v>
      </c>
      <c r="G7" s="47">
        <v>27</v>
      </c>
      <c r="H7" s="135">
        <f>IF(B$17=0,0,G7/B$17)</f>
        <v>0.32142857142857145</v>
      </c>
      <c r="I7" s="96">
        <v>3</v>
      </c>
      <c r="K7" s="38">
        <v>5</v>
      </c>
      <c r="L7" s="101">
        <v>-16.600000000000005</v>
      </c>
      <c r="N7" s="118" t="s">
        <v>139</v>
      </c>
      <c r="O7" s="125">
        <f t="shared" si="0"/>
        <v>796.42857142857144</v>
      </c>
      <c r="P7" s="122">
        <v>28</v>
      </c>
      <c r="Q7" s="106">
        <v>22300</v>
      </c>
    </row>
    <row r="8" spans="1:17" x14ac:dyDescent="0.4">
      <c r="A8" s="55" t="s">
        <v>3</v>
      </c>
      <c r="B8" s="47">
        <v>15</v>
      </c>
      <c r="C8" s="39">
        <f>IF(B$2=0,0,B8/B$2)</f>
        <v>0.45454545454545453</v>
      </c>
      <c r="E8" s="63" t="s">
        <v>71</v>
      </c>
      <c r="F8" s="60" t="s">
        <v>25</v>
      </c>
      <c r="G8" s="47">
        <v>20</v>
      </c>
      <c r="H8" s="135">
        <f>IF(B$17=0,0,G8/B$17)</f>
        <v>0.23809523809523808</v>
      </c>
      <c r="I8" s="96">
        <v>1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0.21212121212121213</v>
      </c>
      <c r="E9" s="63" t="s">
        <v>67</v>
      </c>
      <c r="F9" s="60" t="s">
        <v>22</v>
      </c>
      <c r="G9" s="47">
        <v>11</v>
      </c>
      <c r="H9" s="135">
        <f>IF(B$17=0,0,G9/B$17)</f>
        <v>0.13095238095238096</v>
      </c>
      <c r="I9" s="96">
        <v>3</v>
      </c>
      <c r="K9" s="38">
        <v>7</v>
      </c>
      <c r="L9" s="101">
        <v>-45.300000000000004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26</v>
      </c>
      <c r="G10" s="47">
        <v>11</v>
      </c>
      <c r="H10" s="135">
        <f>IF(B$17=0,0,G10/B$17)</f>
        <v>0.13095238095238096</v>
      </c>
      <c r="I10" s="96">
        <v>2</v>
      </c>
      <c r="K10" s="38">
        <v>8</v>
      </c>
      <c r="L10" s="101">
        <v>-49.6</v>
      </c>
      <c r="N10" s="116" t="s">
        <v>167</v>
      </c>
      <c r="O10" s="126">
        <f>IF(P10=0,0,Q10/P10)</f>
        <v>11.982352941176469</v>
      </c>
      <c r="P10" s="120">
        <v>17</v>
      </c>
      <c r="Q10" s="108">
        <v>203.69999999999996</v>
      </c>
    </row>
    <row r="11" spans="1:17" x14ac:dyDescent="0.4">
      <c r="A11" s="56" t="s">
        <v>142</v>
      </c>
      <c r="B11" s="48">
        <v>2</v>
      </c>
      <c r="C11" s="40">
        <f>IF(B$2=0,0,B11/B$2)</f>
        <v>6.0606060606060608E-2</v>
      </c>
      <c r="E11" s="63" t="s">
        <v>89</v>
      </c>
      <c r="F11" s="60" t="s">
        <v>43</v>
      </c>
      <c r="G11" s="47">
        <v>6</v>
      </c>
      <c r="H11" s="135">
        <f>IF(B$17=0,0,G11/B$17)</f>
        <v>7.1428571428571425E-2</v>
      </c>
      <c r="I11" s="96">
        <v>3</v>
      </c>
      <c r="K11" s="38">
        <v>9</v>
      </c>
      <c r="L11" s="101">
        <v>-79.5</v>
      </c>
      <c r="N11" s="117" t="s">
        <v>168</v>
      </c>
      <c r="O11" s="127">
        <f>IF(P11=0,0,Q11/P11)</f>
        <v>-5.2599999999999989</v>
      </c>
      <c r="P11" s="121">
        <v>10</v>
      </c>
      <c r="Q11" s="109">
        <v>-52.599999999999987</v>
      </c>
    </row>
    <row r="12" spans="1:17" x14ac:dyDescent="0.4">
      <c r="A12" s="57" t="s">
        <v>162</v>
      </c>
      <c r="B12" s="49">
        <v>4</v>
      </c>
      <c r="C12" s="42">
        <f>IF(B$2=0,0,B12/B$2)</f>
        <v>0.12121212121212122</v>
      </c>
      <c r="E12" s="63" t="s">
        <v>92</v>
      </c>
      <c r="F12" s="60" t="s">
        <v>46</v>
      </c>
      <c r="G12" s="47">
        <v>5</v>
      </c>
      <c r="H12" s="135">
        <f>IF(B$17=0,0,G12/B$17)</f>
        <v>5.9523809523809521E-2</v>
      </c>
      <c r="I12" s="96">
        <v>10</v>
      </c>
      <c r="K12" s="38">
        <v>10</v>
      </c>
      <c r="L12" s="101">
        <v>-80.900000000000006</v>
      </c>
      <c r="N12" s="118" t="s">
        <v>169</v>
      </c>
      <c r="O12" s="128">
        <f>IF(P12=0,0,Q12/P12)</f>
        <v>13.300000000000002</v>
      </c>
      <c r="P12" s="122">
        <v>6</v>
      </c>
      <c r="Q12" s="110">
        <v>79.800000000000011</v>
      </c>
    </row>
    <row r="13" spans="1:17" x14ac:dyDescent="0.4">
      <c r="A13" s="58" t="s">
        <v>124</v>
      </c>
      <c r="B13" s="50">
        <v>82</v>
      </c>
      <c r="C13" s="44">
        <f>IF(B$3=0,0,B13/B$3)</f>
        <v>0.29078014184397161</v>
      </c>
      <c r="E13" s="63" t="s">
        <v>94</v>
      </c>
      <c r="F13" s="60" t="s">
        <v>48</v>
      </c>
      <c r="G13" s="47">
        <v>4</v>
      </c>
      <c r="H13" s="135">
        <f>IF(B$17=0,0,G13/B$17)</f>
        <v>4.7619047619047616E-2</v>
      </c>
      <c r="I13" s="96">
        <v>2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55</v>
      </c>
      <c r="C14" s="39">
        <f>IF(B$3=0,0,B14/B$3)</f>
        <v>0.19503546099290781</v>
      </c>
      <c r="E14" s="63" t="s">
        <v>84</v>
      </c>
      <c r="F14" s="60" t="s">
        <v>38</v>
      </c>
      <c r="G14" s="47">
        <v>3</v>
      </c>
      <c r="H14" s="135">
        <f>IF(B$17=0,0,G14/B$17)</f>
        <v>3.5714285714285712E-2</v>
      </c>
      <c r="I14" s="96">
        <v>3</v>
      </c>
      <c r="K14" s="38">
        <v>12</v>
      </c>
      <c r="L14" s="101">
        <v>-56.500000000000007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52</v>
      </c>
      <c r="C15" s="37">
        <f>IF(B$13=0,0,B15/B$13)</f>
        <v>0.63414634146341464</v>
      </c>
      <c r="E15" s="63" t="s">
        <v>86</v>
      </c>
      <c r="F15" s="60" t="s">
        <v>40</v>
      </c>
      <c r="G15" s="47">
        <v>2</v>
      </c>
      <c r="H15" s="135">
        <f>IF(B$17=0,0,G15/B$17)</f>
        <v>2.3809523809523808E-2</v>
      </c>
      <c r="I15" s="96">
        <v>9</v>
      </c>
      <c r="K15" s="38">
        <v>13</v>
      </c>
      <c r="L15" s="101">
        <v>-81.900000000000006</v>
      </c>
      <c r="N15" s="116" t="s">
        <v>189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127</v>
      </c>
      <c r="B16" s="46">
        <v>14</v>
      </c>
      <c r="C16" s="37">
        <f>IF(B$14=0,0,B16/B$14)</f>
        <v>0.25454545454545452</v>
      </c>
      <c r="E16" s="63" t="s">
        <v>73</v>
      </c>
      <c r="F16" s="60" t="s">
        <v>27</v>
      </c>
      <c r="G16" s="47">
        <v>1</v>
      </c>
      <c r="H16" s="135">
        <f>IF(B$17=0,0,G16/B$17)</f>
        <v>1.1904761904761904E-2</v>
      </c>
      <c r="I16" s="96">
        <v>7</v>
      </c>
      <c r="K16" s="38">
        <v>14</v>
      </c>
      <c r="L16" s="101">
        <v>-25.600000000000009</v>
      </c>
      <c r="N16" s="117" t="s">
        <v>176</v>
      </c>
      <c r="O16" s="127">
        <f>IF(P16=0,0,Q16/P16)</f>
        <v>52.48</v>
      </c>
      <c r="P16" s="121">
        <v>5</v>
      </c>
      <c r="Q16" s="109">
        <v>262.39999999999998</v>
      </c>
    </row>
    <row r="17" spans="1:17" x14ac:dyDescent="0.4">
      <c r="A17" s="54" t="s">
        <v>10</v>
      </c>
      <c r="B17" s="46">
        <f>B19+B18</f>
        <v>84</v>
      </c>
      <c r="C17" s="37">
        <f>IF(B$3=0,0,B17/B$3)</f>
        <v>0.2978723404255319</v>
      </c>
      <c r="E17" s="63" t="s">
        <v>75</v>
      </c>
      <c r="F17" s="60" t="s">
        <v>29</v>
      </c>
      <c r="G17" s="47">
        <v>1</v>
      </c>
      <c r="H17" s="135">
        <f>IF(B$17=0,0,G17/B$17)</f>
        <v>1.1904761904761904E-2</v>
      </c>
      <c r="I17" s="96">
        <v>2</v>
      </c>
      <c r="K17" s="38">
        <v>15</v>
      </c>
      <c r="L17" s="101">
        <v>47.999999999999986</v>
      </c>
      <c r="N17" s="117" t="s">
        <v>175</v>
      </c>
      <c r="O17" s="127">
        <f>IF(P17=0,0,Q17/P17)</f>
        <v>30.4</v>
      </c>
      <c r="P17" s="121">
        <v>4</v>
      </c>
      <c r="Q17" s="109">
        <v>121.6</v>
      </c>
    </row>
    <row r="18" spans="1:17" x14ac:dyDescent="0.4">
      <c r="A18" s="55" t="s">
        <v>12</v>
      </c>
      <c r="B18" s="47">
        <v>31</v>
      </c>
      <c r="C18" s="39">
        <f>IF(B$17=0,0,B18/B$17)</f>
        <v>0.36904761904761907</v>
      </c>
      <c r="E18" s="63" t="s">
        <v>76</v>
      </c>
      <c r="F18" s="60" t="s">
        <v>30</v>
      </c>
      <c r="G18" s="47">
        <v>1</v>
      </c>
      <c r="H18" s="135">
        <f>IF(B$17=0,0,G18/B$17)</f>
        <v>1.1904761904761904E-2</v>
      </c>
      <c r="I18" s="96">
        <v>1</v>
      </c>
      <c r="K18" s="38">
        <v>16</v>
      </c>
      <c r="L18" s="101">
        <v>41.699999999999989</v>
      </c>
      <c r="N18" s="117" t="s">
        <v>174</v>
      </c>
      <c r="O18" s="127">
        <f>IF(P18=0,0,Q18/P18)</f>
        <v>27.800000000000008</v>
      </c>
      <c r="P18" s="121">
        <v>12</v>
      </c>
      <c r="Q18" s="109">
        <v>333.60000000000008</v>
      </c>
    </row>
    <row r="19" spans="1:17" x14ac:dyDescent="0.4">
      <c r="A19" s="55" t="s">
        <v>11</v>
      </c>
      <c r="B19" s="47">
        <v>53</v>
      </c>
      <c r="C19" s="39">
        <f>IF(B$17=0,0,B19/B$17)</f>
        <v>0.63095238095238093</v>
      </c>
      <c r="E19" s="63" t="s">
        <v>77</v>
      </c>
      <c r="F19" s="60" t="s">
        <v>31</v>
      </c>
      <c r="G19" s="47">
        <v>1</v>
      </c>
      <c r="H19" s="135">
        <f>IF(B$17=0,0,G19/B$17)</f>
        <v>1.1904761904761904E-2</v>
      </c>
      <c r="I19" s="96">
        <v>3</v>
      </c>
      <c r="K19" s="38">
        <v>17</v>
      </c>
      <c r="L19" s="101">
        <v>94.6</v>
      </c>
      <c r="N19" s="117" t="s">
        <v>131</v>
      </c>
      <c r="O19" s="127">
        <f>IF(P19=0,0,Q19/P19)</f>
        <v>9.7624999999999993</v>
      </c>
      <c r="P19" s="121">
        <v>8</v>
      </c>
      <c r="Q19" s="109">
        <v>78.099999999999994</v>
      </c>
    </row>
    <row r="20" spans="1:17" x14ac:dyDescent="0.4">
      <c r="A20" s="55" t="s">
        <v>13</v>
      </c>
      <c r="B20" s="47">
        <v>44</v>
      </c>
      <c r="C20" s="39">
        <f>IF(B$3=0,0,B20/B$3)</f>
        <v>0.15602836879432624</v>
      </c>
      <c r="E20" s="63" t="s">
        <v>80</v>
      </c>
      <c r="F20" s="60" t="s">
        <v>34</v>
      </c>
      <c r="G20" s="47">
        <v>1</v>
      </c>
      <c r="H20" s="135">
        <f>IF(B$17=0,0,G20/B$17)</f>
        <v>1.1904761904761904E-2</v>
      </c>
      <c r="I20" s="96">
        <v>6</v>
      </c>
      <c r="K20" s="38">
        <v>18</v>
      </c>
      <c r="L20" s="101">
        <v>116.69999999999999</v>
      </c>
      <c r="N20" s="117" t="s">
        <v>180</v>
      </c>
      <c r="O20" s="127">
        <f>IF(P20=0,0,Q20/P20)</f>
        <v>9.1875</v>
      </c>
      <c r="P20" s="121">
        <v>8</v>
      </c>
      <c r="Q20" s="109">
        <v>73.5</v>
      </c>
    </row>
    <row r="21" spans="1:17" x14ac:dyDescent="0.4">
      <c r="A21" s="55" t="s">
        <v>196</v>
      </c>
      <c r="B21" s="47">
        <v>5</v>
      </c>
      <c r="C21" s="137">
        <v>0</v>
      </c>
      <c r="E21" s="63" t="s">
        <v>81</v>
      </c>
      <c r="F21" s="60" t="s">
        <v>35</v>
      </c>
      <c r="G21" s="47">
        <v>1</v>
      </c>
      <c r="H21" s="135">
        <f>IF(B$17=0,0,G21/B$17)</f>
        <v>1.1904761904761904E-2</v>
      </c>
      <c r="I21" s="96">
        <v>2</v>
      </c>
      <c r="K21" s="38">
        <v>19</v>
      </c>
      <c r="L21" s="101">
        <v>138.79999999999998</v>
      </c>
      <c r="N21" s="117" t="s">
        <v>129</v>
      </c>
      <c r="O21" s="127">
        <f>IF(P21=0,0,Q21/P21)</f>
        <v>-17.367999999999999</v>
      </c>
      <c r="P21" s="121">
        <v>25</v>
      </c>
      <c r="Q21" s="109">
        <v>-434.2</v>
      </c>
    </row>
    <row r="22" spans="1:17" x14ac:dyDescent="0.4">
      <c r="A22" s="55" t="s">
        <v>197</v>
      </c>
      <c r="B22" s="47">
        <v>24</v>
      </c>
      <c r="C22" s="137">
        <v>1</v>
      </c>
      <c r="E22" s="63" t="s">
        <v>95</v>
      </c>
      <c r="F22" s="60" t="s">
        <v>49</v>
      </c>
      <c r="G22" s="47">
        <v>1</v>
      </c>
      <c r="H22" s="135">
        <f>IF(B$17=0,0,G22/B$17)</f>
        <v>1.1904761904761904E-2</v>
      </c>
      <c r="I22" s="96">
        <v>2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9184.5238095238092</v>
      </c>
      <c r="C23" s="41">
        <v>771500</v>
      </c>
      <c r="E23" s="63" t="s">
        <v>183</v>
      </c>
      <c r="F23" s="60" t="s">
        <v>186</v>
      </c>
      <c r="G23" s="47">
        <v>1</v>
      </c>
      <c r="H23" s="135">
        <f>IF(B$17=0,0,G23/B$17)</f>
        <v>1.1904761904761904E-2</v>
      </c>
      <c r="I23" s="96">
        <v>1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-7065.909090909091</v>
      </c>
      <c r="C24" s="45">
        <v>-310900</v>
      </c>
      <c r="E24" s="63" t="s">
        <v>78</v>
      </c>
      <c r="F24" s="60" t="s">
        <v>32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144</v>
      </c>
      <c r="B25" s="142">
        <v>5</v>
      </c>
      <c r="C25" s="143"/>
      <c r="E25" s="63" t="s">
        <v>79</v>
      </c>
      <c r="F25" s="60" t="s">
        <v>33</v>
      </c>
      <c r="G25" s="47">
        <v>0</v>
      </c>
      <c r="H25" s="135">
        <f>IF(B$17=0,0,G25/B$17)</f>
        <v>0</v>
      </c>
      <c r="I25" s="96">
        <v>3</v>
      </c>
      <c r="K25" s="38">
        <v>23</v>
      </c>
      <c r="L25" s="101">
        <v>245.49999999999997</v>
      </c>
    </row>
    <row r="26" spans="1:17" x14ac:dyDescent="0.4">
      <c r="A26" s="58" t="s">
        <v>154</v>
      </c>
      <c r="B26" s="140">
        <v>88600</v>
      </c>
      <c r="C26" s="141"/>
      <c r="E26" s="63" t="s">
        <v>82</v>
      </c>
      <c r="F26" s="60" t="s">
        <v>36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1.4184397163120567E-2</v>
      </c>
      <c r="E27" s="63" t="s">
        <v>83</v>
      </c>
      <c r="F27" s="60" t="s">
        <v>37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85</v>
      </c>
      <c r="F28" s="60" t="s">
        <v>39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87</v>
      </c>
      <c r="F29" s="60" t="s">
        <v>41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88</v>
      </c>
      <c r="F30" s="60" t="s">
        <v>42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90</v>
      </c>
      <c r="F31" s="60" t="s">
        <v>44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178.99999999999997</v>
      </c>
    </row>
    <row r="33" spans="5:12" x14ac:dyDescent="0.4">
      <c r="E33" s="63" t="s">
        <v>93</v>
      </c>
      <c r="F33" s="60" t="s">
        <v>47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230.89999999999998</v>
      </c>
    </row>
    <row r="36" spans="5:12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A6BB8-354E-42F7-8BE5-5521FCBD475D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131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14</v>
      </c>
      <c r="C2" s="149"/>
      <c r="E2" s="62" t="s">
        <v>68</v>
      </c>
      <c r="F2" s="59" t="s">
        <v>23</v>
      </c>
      <c r="G2" s="46">
        <v>29</v>
      </c>
      <c r="H2" s="134">
        <f>IF(B$17=0,0,G2/B$17)</f>
        <v>1.0740740740740742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-4721.4285714285716</v>
      </c>
      <c r="P2" s="120">
        <v>14</v>
      </c>
      <c r="Q2" s="104">
        <v>-66100</v>
      </c>
    </row>
    <row r="3" spans="1:17" x14ac:dyDescent="0.4">
      <c r="A3" s="55" t="s">
        <v>8</v>
      </c>
      <c r="B3" s="150">
        <v>128</v>
      </c>
      <c r="C3" s="151"/>
      <c r="E3" s="63" t="s">
        <v>66</v>
      </c>
      <c r="F3" s="60" t="s">
        <v>21</v>
      </c>
      <c r="G3" s="47">
        <v>13</v>
      </c>
      <c r="H3" s="135">
        <f>IF(B$17=0,0,G3/B$17)</f>
        <v>0.48148148148148145</v>
      </c>
      <c r="I3" s="96">
        <v>3</v>
      </c>
      <c r="K3" s="38">
        <v>1</v>
      </c>
      <c r="L3" s="101">
        <v>-40.4</v>
      </c>
      <c r="N3" s="117" t="s">
        <v>135</v>
      </c>
      <c r="O3" s="124">
        <f t="shared" si="0"/>
        <v>-2828.5714285714284</v>
      </c>
      <c r="P3" s="121">
        <v>14</v>
      </c>
      <c r="Q3" s="105">
        <v>-39600</v>
      </c>
    </row>
    <row r="4" spans="1:17" x14ac:dyDescent="0.4">
      <c r="A4" s="55" t="s">
        <v>6</v>
      </c>
      <c r="B4" s="152">
        <v>-394.6</v>
      </c>
      <c r="C4" s="153"/>
      <c r="E4" s="63" t="s">
        <v>70</v>
      </c>
      <c r="F4" s="60" t="s">
        <v>12</v>
      </c>
      <c r="G4" s="47">
        <v>9</v>
      </c>
      <c r="H4" s="135">
        <f>IF(B$17=0,0,G4/B$17)</f>
        <v>0.33333333333333331</v>
      </c>
      <c r="I4" s="96">
        <v>2</v>
      </c>
      <c r="K4" s="38">
        <v>2</v>
      </c>
      <c r="L4" s="101">
        <v>-3.3999999999999986</v>
      </c>
      <c r="N4" s="117" t="s">
        <v>136</v>
      </c>
      <c r="O4" s="124">
        <f t="shared" si="0"/>
        <v>-5163.636363636364</v>
      </c>
      <c r="P4" s="121">
        <v>11</v>
      </c>
      <c r="Q4" s="105">
        <v>-56800</v>
      </c>
    </row>
    <row r="5" spans="1:17" x14ac:dyDescent="0.4">
      <c r="A5" s="55" t="s">
        <v>7</v>
      </c>
      <c r="B5" s="154">
        <f>IF(B$2=0,0,B$4/B$2)</f>
        <v>-28.185714285714287</v>
      </c>
      <c r="C5" s="155"/>
      <c r="E5" s="63" t="s">
        <v>69</v>
      </c>
      <c r="F5" s="60" t="s">
        <v>24</v>
      </c>
      <c r="G5" s="47">
        <v>8</v>
      </c>
      <c r="H5" s="135">
        <f>IF(B$17=0,0,G5/B$17)</f>
        <v>0.29629629629629628</v>
      </c>
      <c r="I5" s="96">
        <v>5</v>
      </c>
      <c r="K5" s="38">
        <v>3</v>
      </c>
      <c r="L5" s="101">
        <v>-23.099999999999998</v>
      </c>
      <c r="N5" s="117" t="s">
        <v>137</v>
      </c>
      <c r="O5" s="124">
        <f t="shared" si="0"/>
        <v>-3863.6363636363635</v>
      </c>
      <c r="P5" s="121">
        <v>11</v>
      </c>
      <c r="Q5" s="105">
        <v>-42500</v>
      </c>
    </row>
    <row r="6" spans="1:17" x14ac:dyDescent="0.4">
      <c r="A6" s="55" t="s">
        <v>1</v>
      </c>
      <c r="B6" s="144">
        <f>IF(B$2=0,0,(B$7*1+B$8*2+B$9*3)/B$2)</f>
        <v>2.4285714285714284</v>
      </c>
      <c r="C6" s="145"/>
      <c r="E6" s="63" t="s">
        <v>74</v>
      </c>
      <c r="F6" s="60" t="s">
        <v>28</v>
      </c>
      <c r="G6" s="47">
        <v>8</v>
      </c>
      <c r="H6" s="135">
        <f>IF(B$17=0,0,G6/B$17)</f>
        <v>0.29629629629629628</v>
      </c>
      <c r="I6" s="96">
        <v>10</v>
      </c>
      <c r="K6" s="38">
        <v>4</v>
      </c>
      <c r="L6" s="101">
        <v>-31.4</v>
      </c>
      <c r="N6" s="117" t="s">
        <v>138</v>
      </c>
      <c r="O6" s="124">
        <f t="shared" si="0"/>
        <v>-3154.5454545454545</v>
      </c>
      <c r="P6" s="121">
        <v>11</v>
      </c>
      <c r="Q6" s="105">
        <v>-34700</v>
      </c>
    </row>
    <row r="7" spans="1:17" x14ac:dyDescent="0.4">
      <c r="A7" s="55" t="s">
        <v>2</v>
      </c>
      <c r="B7" s="47">
        <v>2</v>
      </c>
      <c r="C7" s="39">
        <f>IF(B$2=0,0,B7/B$2)</f>
        <v>0.14285714285714285</v>
      </c>
      <c r="E7" s="63" t="s">
        <v>184</v>
      </c>
      <c r="F7" s="60" t="s">
        <v>185</v>
      </c>
      <c r="G7" s="47">
        <v>8</v>
      </c>
      <c r="H7" s="135">
        <f>IF(B$17=0,0,G7/B$17)</f>
        <v>0.29629629629629628</v>
      </c>
      <c r="I7" s="96">
        <v>9</v>
      </c>
      <c r="K7" s="38">
        <v>5</v>
      </c>
      <c r="L7" s="101">
        <v>-32.199999999999996</v>
      </c>
      <c r="N7" s="118" t="s">
        <v>139</v>
      </c>
      <c r="O7" s="125">
        <f t="shared" si="0"/>
        <v>-1454.5454545454545</v>
      </c>
      <c r="P7" s="122">
        <v>11</v>
      </c>
      <c r="Q7" s="106">
        <v>-16000</v>
      </c>
    </row>
    <row r="8" spans="1:17" x14ac:dyDescent="0.4">
      <c r="A8" s="55" t="s">
        <v>3</v>
      </c>
      <c r="B8" s="47">
        <v>4</v>
      </c>
      <c r="C8" s="39">
        <f>IF(B$2=0,0,B8/B$2)</f>
        <v>0.2857142857142857</v>
      </c>
      <c r="E8" s="63" t="s">
        <v>72</v>
      </c>
      <c r="F8" s="60" t="s">
        <v>26</v>
      </c>
      <c r="G8" s="47">
        <v>4</v>
      </c>
      <c r="H8" s="135">
        <f>IF(B$17=0,0,G8/B$17)</f>
        <v>0.14814814814814814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0.5714285714285714</v>
      </c>
      <c r="E9" s="63" t="s">
        <v>73</v>
      </c>
      <c r="F9" s="60" t="s">
        <v>27</v>
      </c>
      <c r="G9" s="47">
        <v>4</v>
      </c>
      <c r="H9" s="135">
        <f>IF(B$17=0,0,G9/B$17)</f>
        <v>0.14814814814814814</v>
      </c>
      <c r="I9" s="96">
        <v>2</v>
      </c>
      <c r="K9" s="38">
        <v>7</v>
      </c>
      <c r="L9" s="101">
        <v>-116.8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0.21428571428571427</v>
      </c>
      <c r="E10" s="63" t="s">
        <v>92</v>
      </c>
      <c r="F10" s="60" t="s">
        <v>46</v>
      </c>
      <c r="G10" s="47">
        <v>4</v>
      </c>
      <c r="H10" s="135">
        <f>IF(B$17=0,0,G10/B$17)</f>
        <v>0.14814814814814814</v>
      </c>
      <c r="I10" s="96">
        <v>6</v>
      </c>
      <c r="K10" s="38">
        <v>8</v>
      </c>
      <c r="L10" s="101">
        <v>-79.599999999999994</v>
      </c>
      <c r="N10" s="116" t="s">
        <v>167</v>
      </c>
      <c r="O10" s="126">
        <f>IF(P10=0,0,Q10/P10)</f>
        <v>-30.919999999999998</v>
      </c>
      <c r="P10" s="120">
        <v>5</v>
      </c>
      <c r="Q10" s="108">
        <v>-154.6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71</v>
      </c>
      <c r="F11" s="60" t="s">
        <v>25</v>
      </c>
      <c r="G11" s="47">
        <v>3</v>
      </c>
      <c r="H11" s="135">
        <f>IF(B$17=0,0,G11/B$17)</f>
        <v>0.1111111111111111</v>
      </c>
      <c r="I11" s="96">
        <v>8</v>
      </c>
      <c r="K11" s="38">
        <v>9</v>
      </c>
      <c r="L11" s="101">
        <v>-127.6</v>
      </c>
      <c r="N11" s="117" t="s">
        <v>168</v>
      </c>
      <c r="O11" s="127">
        <f>IF(P11=0,0,Q11/P11)</f>
        <v>-36.28</v>
      </c>
      <c r="P11" s="121">
        <v>5</v>
      </c>
      <c r="Q11" s="109">
        <v>-181.4</v>
      </c>
    </row>
    <row r="12" spans="1:17" x14ac:dyDescent="0.4">
      <c r="A12" s="57" t="s">
        <v>162</v>
      </c>
      <c r="B12" s="49">
        <v>1</v>
      </c>
      <c r="C12" s="42">
        <f>IF(B$2=0,0,B12/B$2)</f>
        <v>7.1428571428571425E-2</v>
      </c>
      <c r="E12" s="63" t="s">
        <v>89</v>
      </c>
      <c r="F12" s="60" t="s">
        <v>43</v>
      </c>
      <c r="G12" s="47">
        <v>2</v>
      </c>
      <c r="H12" s="135">
        <f>IF(B$17=0,0,G12/B$17)</f>
        <v>7.407407407407407E-2</v>
      </c>
      <c r="I12" s="96">
        <v>2</v>
      </c>
      <c r="K12" s="38">
        <v>10</v>
      </c>
      <c r="L12" s="101">
        <v>-231.39999999999998</v>
      </c>
      <c r="N12" s="118" t="s">
        <v>169</v>
      </c>
      <c r="O12" s="128">
        <f>IF(P12=0,0,Q12/P12)</f>
        <v>-14.649999999999999</v>
      </c>
      <c r="P12" s="122">
        <v>4</v>
      </c>
      <c r="Q12" s="110">
        <v>-58.599999999999994</v>
      </c>
    </row>
    <row r="13" spans="1:17" x14ac:dyDescent="0.4">
      <c r="A13" s="58" t="s">
        <v>124</v>
      </c>
      <c r="B13" s="50">
        <v>28</v>
      </c>
      <c r="C13" s="44">
        <f>IF(B$3=0,0,B13/B$3)</f>
        <v>0.21875</v>
      </c>
      <c r="E13" s="63" t="s">
        <v>67</v>
      </c>
      <c r="F13" s="60" t="s">
        <v>22</v>
      </c>
      <c r="G13" s="47">
        <v>1</v>
      </c>
      <c r="H13" s="135">
        <f>IF(B$17=0,0,G13/B$17)</f>
        <v>3.7037037037037035E-2</v>
      </c>
      <c r="I13" s="96">
        <v>7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13</v>
      </c>
      <c r="C14" s="39">
        <f>IF(B$3=0,0,B14/B$3)</f>
        <v>0.1015625</v>
      </c>
      <c r="E14" s="63" t="s">
        <v>80</v>
      </c>
      <c r="F14" s="60" t="s">
        <v>34</v>
      </c>
      <c r="G14" s="47">
        <v>1</v>
      </c>
      <c r="H14" s="135">
        <f>IF(B$17=0,0,G14/B$17)</f>
        <v>3.7037037037037035E-2</v>
      </c>
      <c r="I14" s="96">
        <v>1</v>
      </c>
      <c r="K14" s="38">
        <v>12</v>
      </c>
      <c r="L14" s="101">
        <v>-337.5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14</v>
      </c>
      <c r="C15" s="37">
        <f>IF(B$13=0,0,B15/B$13)</f>
        <v>0.5</v>
      </c>
      <c r="E15" s="63" t="s">
        <v>86</v>
      </c>
      <c r="F15" s="60" t="s">
        <v>40</v>
      </c>
      <c r="G15" s="47">
        <v>1</v>
      </c>
      <c r="H15" s="135">
        <f>IF(B$17=0,0,G15/B$17)</f>
        <v>3.7037037037037035E-2</v>
      </c>
      <c r="I15" s="96">
        <v>7</v>
      </c>
      <c r="K15" s="38">
        <v>13</v>
      </c>
      <c r="L15" s="101">
        <v>-369.1</v>
      </c>
      <c r="N15" s="116" t="s">
        <v>180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127</v>
      </c>
      <c r="B16" s="46">
        <v>4</v>
      </c>
      <c r="C16" s="37">
        <f>IF(B$14=0,0,B16/B$14)</f>
        <v>0.30769230769230771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-394.6</v>
      </c>
      <c r="N16" s="117" t="s">
        <v>130</v>
      </c>
      <c r="O16" s="127">
        <f>IF(P16=0,0,Q16/P16)</f>
        <v>-9.7625000000000028</v>
      </c>
      <c r="P16" s="121">
        <v>8</v>
      </c>
      <c r="Q16" s="109">
        <v>-78.100000000000023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0.2109375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N17" s="117" t="s">
        <v>176</v>
      </c>
      <c r="O17" s="127">
        <f>IF(P17=0,0,Q17/P17)</f>
        <v>-13.166666666666666</v>
      </c>
      <c r="P17" s="121">
        <v>3</v>
      </c>
      <c r="Q17" s="109">
        <v>-39.5</v>
      </c>
    </row>
    <row r="18" spans="1:17" x14ac:dyDescent="0.4">
      <c r="A18" s="55" t="s">
        <v>12</v>
      </c>
      <c r="B18" s="47">
        <v>11</v>
      </c>
      <c r="C18" s="39">
        <f>IF(B$17=0,0,B18/B$17)</f>
        <v>0.40740740740740738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N18" s="117" t="s">
        <v>129</v>
      </c>
      <c r="O18" s="127">
        <f>IF(P18=0,0,Q18/P18)</f>
        <v>-51.81111111111111</v>
      </c>
      <c r="P18" s="121">
        <v>9</v>
      </c>
      <c r="Q18" s="109">
        <v>-466.3</v>
      </c>
    </row>
    <row r="19" spans="1:17" x14ac:dyDescent="0.4">
      <c r="A19" s="55" t="s">
        <v>11</v>
      </c>
      <c r="B19" s="47">
        <v>16</v>
      </c>
      <c r="C19" s="39">
        <f>IF(B$17=0,0,B19/B$17)</f>
        <v>0.59259259259259256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189</v>
      </c>
      <c r="O19" s="127">
        <f>IF(P19=0,0,Q19/P19)</f>
        <v>-72.3</v>
      </c>
      <c r="P19" s="121">
        <v>1</v>
      </c>
      <c r="Q19" s="109">
        <v>-72.3</v>
      </c>
    </row>
    <row r="20" spans="1:17" x14ac:dyDescent="0.4">
      <c r="A20" s="55" t="s">
        <v>13</v>
      </c>
      <c r="B20" s="47">
        <v>28</v>
      </c>
      <c r="C20" s="39">
        <f>IF(B$3=0,0,B20/B$3)</f>
        <v>0.21875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175</v>
      </c>
      <c r="O20" s="127">
        <f>IF(P20=0,0,Q20/P20)</f>
        <v>-87</v>
      </c>
      <c r="P20" s="121">
        <v>2</v>
      </c>
      <c r="Q20" s="109">
        <v>-174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4</v>
      </c>
      <c r="N21" s="117" t="s">
        <v>174</v>
      </c>
      <c r="O21" s="127">
        <f>IF(P21=0,0,Q21/P21)</f>
        <v>-95.825000000000003</v>
      </c>
      <c r="P21" s="121">
        <v>4</v>
      </c>
      <c r="Q21" s="109">
        <v>-383.3</v>
      </c>
    </row>
    <row r="22" spans="1:17" x14ac:dyDescent="0.4">
      <c r="A22" s="55" t="s">
        <v>197</v>
      </c>
      <c r="B22" s="47">
        <v>19</v>
      </c>
      <c r="C22" s="137">
        <v>0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7314.8148148148148</v>
      </c>
      <c r="C23" s="41">
        <v>197500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-9571.4285714285706</v>
      </c>
      <c r="C24" s="45">
        <v>-268000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7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52200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1534B-2FDA-4844-93FF-8E9FBA8CD9B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23</v>
      </c>
      <c r="C2" s="149"/>
      <c r="E2" s="62" t="s">
        <v>68</v>
      </c>
      <c r="F2" s="59" t="s">
        <v>23</v>
      </c>
      <c r="G2" s="46">
        <v>29</v>
      </c>
      <c r="H2" s="134">
        <f>IF(B$17=0,0,G2/B$17)</f>
        <v>0.59183673469387754</v>
      </c>
      <c r="I2" s="95">
        <v>8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360.86956521739131</v>
      </c>
      <c r="P2" s="120">
        <v>23</v>
      </c>
      <c r="Q2" s="104">
        <v>8300</v>
      </c>
    </row>
    <row r="3" spans="1:17" x14ac:dyDescent="0.4">
      <c r="A3" s="55" t="s">
        <v>8</v>
      </c>
      <c r="B3" s="150">
        <v>203</v>
      </c>
      <c r="C3" s="151"/>
      <c r="E3" s="63" t="s">
        <v>74</v>
      </c>
      <c r="F3" s="60" t="s">
        <v>28</v>
      </c>
      <c r="G3" s="47">
        <v>29</v>
      </c>
      <c r="H3" s="135">
        <f>IF(B$17=0,0,G3/B$17)</f>
        <v>0.59183673469387754</v>
      </c>
      <c r="I3" s="96">
        <v>5</v>
      </c>
      <c r="K3" s="38">
        <v>1</v>
      </c>
      <c r="L3" s="101">
        <v>-51.2</v>
      </c>
      <c r="N3" s="117" t="s">
        <v>135</v>
      </c>
      <c r="O3" s="124">
        <f t="shared" si="0"/>
        <v>1539.1304347826087</v>
      </c>
      <c r="P3" s="121">
        <v>23</v>
      </c>
      <c r="Q3" s="105">
        <v>35400</v>
      </c>
    </row>
    <row r="4" spans="1:17" x14ac:dyDescent="0.4">
      <c r="A4" s="55" t="s">
        <v>6</v>
      </c>
      <c r="B4" s="152">
        <v>-55.699999999999989</v>
      </c>
      <c r="C4" s="153"/>
      <c r="E4" s="63" t="s">
        <v>66</v>
      </c>
      <c r="F4" s="60" t="s">
        <v>21</v>
      </c>
      <c r="G4" s="47">
        <v>23</v>
      </c>
      <c r="H4" s="135">
        <f>IF(B$17=0,0,G4/B$17)</f>
        <v>0.46938775510204084</v>
      </c>
      <c r="I4" s="96">
        <v>6</v>
      </c>
      <c r="K4" s="38">
        <v>2</v>
      </c>
      <c r="L4" s="101">
        <v>-93.300000000000011</v>
      </c>
      <c r="N4" s="117" t="s">
        <v>136</v>
      </c>
      <c r="O4" s="124">
        <f t="shared" si="0"/>
        <v>-168.18181818181819</v>
      </c>
      <c r="P4" s="121">
        <v>22</v>
      </c>
      <c r="Q4" s="105">
        <v>-3700</v>
      </c>
    </row>
    <row r="5" spans="1:17" x14ac:dyDescent="0.4">
      <c r="A5" s="55" t="s">
        <v>7</v>
      </c>
      <c r="B5" s="154">
        <f>IF(B$2=0,0,B$4/B$2)</f>
        <v>-2.4217391304347822</v>
      </c>
      <c r="C5" s="155"/>
      <c r="E5" s="63" t="s">
        <v>184</v>
      </c>
      <c r="F5" s="60" t="s">
        <v>185</v>
      </c>
      <c r="G5" s="47">
        <v>15</v>
      </c>
      <c r="H5" s="135">
        <f>IF(B$17=0,0,G5/B$17)</f>
        <v>0.30612244897959184</v>
      </c>
      <c r="I5" s="96">
        <v>7</v>
      </c>
      <c r="K5" s="38">
        <v>3</v>
      </c>
      <c r="L5" s="101">
        <v>-60.100000000000009</v>
      </c>
      <c r="N5" s="117" t="s">
        <v>137</v>
      </c>
      <c r="O5" s="124">
        <f t="shared" si="0"/>
        <v>-3919.0476190476193</v>
      </c>
      <c r="P5" s="121">
        <v>21</v>
      </c>
      <c r="Q5" s="105">
        <v>-82300</v>
      </c>
    </row>
    <row r="6" spans="1:17" x14ac:dyDescent="0.4">
      <c r="A6" s="55" t="s">
        <v>1</v>
      </c>
      <c r="B6" s="144">
        <f>IF(B$2=0,0,(B$7*1+B$8*2+B$9*3)/B$2)</f>
        <v>2.0434782608695654</v>
      </c>
      <c r="C6" s="145"/>
      <c r="E6" s="63" t="s">
        <v>71</v>
      </c>
      <c r="F6" s="60" t="s">
        <v>25</v>
      </c>
      <c r="G6" s="47">
        <v>11</v>
      </c>
      <c r="H6" s="135">
        <f>IF(B$17=0,0,G6/B$17)</f>
        <v>0.22448979591836735</v>
      </c>
      <c r="I6" s="96">
        <v>2</v>
      </c>
      <c r="K6" s="38">
        <v>4</v>
      </c>
      <c r="L6" s="101">
        <v>-11.300000000000011</v>
      </c>
      <c r="N6" s="117" t="s">
        <v>138</v>
      </c>
      <c r="O6" s="124">
        <f t="shared" si="0"/>
        <v>215.78947368421052</v>
      </c>
      <c r="P6" s="121">
        <v>19</v>
      </c>
      <c r="Q6" s="105">
        <v>4100</v>
      </c>
    </row>
    <row r="7" spans="1:17" x14ac:dyDescent="0.4">
      <c r="A7" s="55" t="s">
        <v>2</v>
      </c>
      <c r="B7" s="47">
        <v>7</v>
      </c>
      <c r="C7" s="39">
        <f>IF(B$2=0,0,B7/B$2)</f>
        <v>0.30434782608695654</v>
      </c>
      <c r="E7" s="63" t="s">
        <v>70</v>
      </c>
      <c r="F7" s="60" t="s">
        <v>12</v>
      </c>
      <c r="G7" s="47">
        <v>9</v>
      </c>
      <c r="H7" s="135">
        <f>IF(B$17=0,0,G7/B$17)</f>
        <v>0.18367346938775511</v>
      </c>
      <c r="I7" s="96">
        <v>9</v>
      </c>
      <c r="K7" s="38">
        <v>5</v>
      </c>
      <c r="L7" s="101">
        <v>-36.100000000000009</v>
      </c>
      <c r="N7" s="118" t="s">
        <v>139</v>
      </c>
      <c r="O7" s="125">
        <f t="shared" si="0"/>
        <v>617.64705882352939</v>
      </c>
      <c r="P7" s="122">
        <v>17</v>
      </c>
      <c r="Q7" s="106">
        <v>10500</v>
      </c>
    </row>
    <row r="8" spans="1:17" x14ac:dyDescent="0.4">
      <c r="A8" s="55" t="s">
        <v>3</v>
      </c>
      <c r="B8" s="47">
        <v>8</v>
      </c>
      <c r="C8" s="39">
        <f>IF(B$2=0,0,B8/B$2)</f>
        <v>0.34782608695652173</v>
      </c>
      <c r="E8" s="63" t="s">
        <v>92</v>
      </c>
      <c r="F8" s="60" t="s">
        <v>46</v>
      </c>
      <c r="G8" s="47">
        <v>9</v>
      </c>
      <c r="H8" s="135">
        <f>IF(B$17=0,0,G8/B$17)</f>
        <v>0.18367346938775511</v>
      </c>
      <c r="I8" s="96">
        <v>3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0.34782608695652173</v>
      </c>
      <c r="E9" s="63" t="s">
        <v>69</v>
      </c>
      <c r="F9" s="60" t="s">
        <v>24</v>
      </c>
      <c r="G9" s="47">
        <v>8</v>
      </c>
      <c r="H9" s="135">
        <f>IF(B$17=0,0,G9/B$17)</f>
        <v>0.16326530612244897</v>
      </c>
      <c r="I9" s="96">
        <v>7</v>
      </c>
      <c r="K9" s="38">
        <v>7</v>
      </c>
      <c r="L9" s="101">
        <v>-51.300000000000004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4.3478260869565216E-2</v>
      </c>
      <c r="E10" s="63" t="s">
        <v>67</v>
      </c>
      <c r="F10" s="60" t="s">
        <v>22</v>
      </c>
      <c r="G10" s="47">
        <v>6</v>
      </c>
      <c r="H10" s="135">
        <f>IF(B$17=0,0,G10/B$17)</f>
        <v>0.12244897959183673</v>
      </c>
      <c r="I10" s="96">
        <v>4</v>
      </c>
      <c r="K10" s="38">
        <v>8</v>
      </c>
      <c r="L10" s="101">
        <v>-1.7000000000000028</v>
      </c>
      <c r="N10" s="116" t="s">
        <v>167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142</v>
      </c>
      <c r="B11" s="48">
        <v>2</v>
      </c>
      <c r="C11" s="40">
        <f>IF(B$2=0,0,B11/B$2)</f>
        <v>8.6956521739130432E-2</v>
      </c>
      <c r="E11" s="63" t="s">
        <v>72</v>
      </c>
      <c r="F11" s="60" t="s">
        <v>26</v>
      </c>
      <c r="G11" s="47">
        <v>6</v>
      </c>
      <c r="H11" s="135">
        <f>IF(B$17=0,0,G11/B$17)</f>
        <v>0.12244897959183673</v>
      </c>
      <c r="I11" s="96">
        <v>4</v>
      </c>
      <c r="K11" s="38">
        <v>9</v>
      </c>
      <c r="L11" s="101">
        <v>-5.8000000000000025</v>
      </c>
      <c r="N11" s="117" t="s">
        <v>168</v>
      </c>
      <c r="O11" s="127">
        <f>IF(P11=0,0,Q11/P11)</f>
        <v>-0.39999999999999974</v>
      </c>
      <c r="P11" s="121">
        <v>6</v>
      </c>
      <c r="Q11" s="109">
        <v>-2.3999999999999986</v>
      </c>
    </row>
    <row r="12" spans="1:17" x14ac:dyDescent="0.4">
      <c r="A12" s="57" t="s">
        <v>162</v>
      </c>
      <c r="B12" s="49">
        <v>2</v>
      </c>
      <c r="C12" s="42">
        <f>IF(B$2=0,0,B12/B$2)</f>
        <v>8.6956521739130432E-2</v>
      </c>
      <c r="E12" s="63" t="s">
        <v>73</v>
      </c>
      <c r="F12" s="60" t="s">
        <v>27</v>
      </c>
      <c r="G12" s="47">
        <v>5</v>
      </c>
      <c r="H12" s="135">
        <f>IF(B$17=0,0,G12/B$17)</f>
        <v>0.10204081632653061</v>
      </c>
      <c r="I12" s="96">
        <v>3</v>
      </c>
      <c r="K12" s="38">
        <v>10</v>
      </c>
      <c r="L12" s="101">
        <v>-56.500000000000007</v>
      </c>
      <c r="N12" s="118" t="s">
        <v>169</v>
      </c>
      <c r="O12" s="128">
        <f>IF(P12=0,0,Q12/P12)</f>
        <v>-6.1899999999999995</v>
      </c>
      <c r="P12" s="122">
        <v>10</v>
      </c>
      <c r="Q12" s="110">
        <v>-61.9</v>
      </c>
    </row>
    <row r="13" spans="1:17" x14ac:dyDescent="0.4">
      <c r="A13" s="58" t="s">
        <v>124</v>
      </c>
      <c r="B13" s="50">
        <v>50</v>
      </c>
      <c r="C13" s="44">
        <f>IF(B$3=0,0,B13/B$3)</f>
        <v>0.24630541871921183</v>
      </c>
      <c r="E13" s="63" t="s">
        <v>86</v>
      </c>
      <c r="F13" s="60" t="s">
        <v>40</v>
      </c>
      <c r="G13" s="47">
        <v>4</v>
      </c>
      <c r="H13" s="135">
        <f>IF(B$17=0,0,G13/B$17)</f>
        <v>8.1632653061224483E-2</v>
      </c>
      <c r="I13" s="96">
        <v>2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40</v>
      </c>
      <c r="C14" s="39">
        <f>IF(B$3=0,0,B14/B$3)</f>
        <v>0.19704433497536947</v>
      </c>
      <c r="E14" s="63" t="s">
        <v>89</v>
      </c>
      <c r="F14" s="60" t="s">
        <v>43</v>
      </c>
      <c r="G14" s="47">
        <v>3</v>
      </c>
      <c r="H14" s="135">
        <f>IF(B$17=0,0,G14/B$17)</f>
        <v>6.1224489795918366E-2</v>
      </c>
      <c r="I14" s="96">
        <v>5</v>
      </c>
      <c r="K14" s="38">
        <v>12</v>
      </c>
      <c r="L14" s="101">
        <v>-42.900000000000006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24</v>
      </c>
      <c r="C15" s="37">
        <f>IF(B$13=0,0,B15/B$13)</f>
        <v>0.48</v>
      </c>
      <c r="E15" s="63" t="s">
        <v>77</v>
      </c>
      <c r="F15" s="60" t="s">
        <v>31</v>
      </c>
      <c r="G15" s="47">
        <v>1</v>
      </c>
      <c r="H15" s="135">
        <f>IF(B$17=0,0,G15/B$17)</f>
        <v>2.0408163265306121E-2</v>
      </c>
      <c r="I15" s="96">
        <v>2</v>
      </c>
      <c r="K15" s="38">
        <v>13</v>
      </c>
      <c r="L15" s="101">
        <v>-58.7</v>
      </c>
      <c r="N15" s="116" t="s">
        <v>131</v>
      </c>
      <c r="O15" s="126">
        <f>IF(P15=0,0,Q15/P15)</f>
        <v>95.825000000000003</v>
      </c>
      <c r="P15" s="120">
        <v>4</v>
      </c>
      <c r="Q15" s="108">
        <v>383.3</v>
      </c>
    </row>
    <row r="16" spans="1:17" x14ac:dyDescent="0.4">
      <c r="A16" s="54" t="s">
        <v>127</v>
      </c>
      <c r="B16" s="46">
        <v>14</v>
      </c>
      <c r="C16" s="37">
        <f>IF(B$14=0,0,B16/B$14)</f>
        <v>0.35</v>
      </c>
      <c r="E16" s="63" t="s">
        <v>80</v>
      </c>
      <c r="F16" s="60" t="s">
        <v>34</v>
      </c>
      <c r="G16" s="47">
        <v>1</v>
      </c>
      <c r="H16" s="135">
        <f>IF(B$17=0,0,G16/B$17)</f>
        <v>2.0408163265306121E-2</v>
      </c>
      <c r="I16" s="96">
        <v>4</v>
      </c>
      <c r="K16" s="38">
        <v>14</v>
      </c>
      <c r="L16" s="101">
        <v>-29.400000000000002</v>
      </c>
      <c r="N16" s="117" t="s">
        <v>180</v>
      </c>
      <c r="O16" s="127">
        <f>IF(P16=0,0,Q16/P16)</f>
        <v>35.1</v>
      </c>
      <c r="P16" s="121">
        <v>1</v>
      </c>
      <c r="Q16" s="109">
        <v>35.1</v>
      </c>
    </row>
    <row r="17" spans="1:17" x14ac:dyDescent="0.4">
      <c r="A17" s="54" t="s">
        <v>10</v>
      </c>
      <c r="B17" s="46">
        <f>B19+B18</f>
        <v>49</v>
      </c>
      <c r="C17" s="37">
        <f>IF(B$3=0,0,B17/B$3)</f>
        <v>0.2413793103448276</v>
      </c>
      <c r="E17" s="63" t="s">
        <v>84</v>
      </c>
      <c r="F17" s="60" t="s">
        <v>38</v>
      </c>
      <c r="G17" s="47">
        <v>1</v>
      </c>
      <c r="H17" s="135">
        <f>IF(B$17=0,0,G17/B$17)</f>
        <v>2.0408163265306121E-2</v>
      </c>
      <c r="I17" s="96">
        <v>6</v>
      </c>
      <c r="K17" s="38">
        <v>15</v>
      </c>
      <c r="L17" s="101">
        <v>-26.3</v>
      </c>
      <c r="N17" s="117" t="s">
        <v>189</v>
      </c>
      <c r="O17" s="127">
        <f>IF(P17=0,0,Q17/P17)</f>
        <v>25.400000000000002</v>
      </c>
      <c r="P17" s="121">
        <v>2</v>
      </c>
      <c r="Q17" s="109">
        <v>50.800000000000004</v>
      </c>
    </row>
    <row r="18" spans="1:17" x14ac:dyDescent="0.4">
      <c r="A18" s="55" t="s">
        <v>12</v>
      </c>
      <c r="B18" s="47">
        <v>16</v>
      </c>
      <c r="C18" s="39">
        <f>IF(B$17=0,0,B18/B$17)</f>
        <v>0.32653061224489793</v>
      </c>
      <c r="E18" s="63" t="s">
        <v>95</v>
      </c>
      <c r="F18" s="60" t="s">
        <v>49</v>
      </c>
      <c r="G18" s="47">
        <v>1</v>
      </c>
      <c r="H18" s="135">
        <f>IF(B$17=0,0,G18/B$17)</f>
        <v>2.0408163265306121E-2</v>
      </c>
      <c r="I18" s="96">
        <v>1</v>
      </c>
      <c r="K18" s="38">
        <v>16</v>
      </c>
      <c r="L18" s="101">
        <v>-50.3</v>
      </c>
      <c r="N18" s="117" t="s">
        <v>176</v>
      </c>
      <c r="O18" s="127">
        <f>IF(P18=0,0,Q18/P18)</f>
        <v>24.087499999999999</v>
      </c>
      <c r="P18" s="121">
        <v>8</v>
      </c>
      <c r="Q18" s="109">
        <v>192.7</v>
      </c>
    </row>
    <row r="19" spans="1:17" x14ac:dyDescent="0.4">
      <c r="A19" s="55" t="s">
        <v>11</v>
      </c>
      <c r="B19" s="47">
        <v>33</v>
      </c>
      <c r="C19" s="39">
        <f>IF(B$17=0,0,B19/B$17)</f>
        <v>0.67346938775510201</v>
      </c>
      <c r="E19" s="63" t="s">
        <v>75</v>
      </c>
      <c r="F19" s="60" t="s">
        <v>29</v>
      </c>
      <c r="G19" s="47">
        <v>0</v>
      </c>
      <c r="H19" s="135">
        <f>IF(B$17=0,0,G19/B$17)</f>
        <v>0</v>
      </c>
      <c r="I19" s="96">
        <v>4</v>
      </c>
      <c r="K19" s="38">
        <v>17</v>
      </c>
      <c r="L19" s="101">
        <v>-74.3</v>
      </c>
      <c r="N19" s="117" t="s">
        <v>175</v>
      </c>
      <c r="O19" s="127">
        <f>IF(P19=0,0,Q19/P19)</f>
        <v>2.7999999999999976</v>
      </c>
      <c r="P19" s="121">
        <v>6</v>
      </c>
      <c r="Q19" s="109">
        <v>16.799999999999986</v>
      </c>
    </row>
    <row r="20" spans="1:17" x14ac:dyDescent="0.4">
      <c r="A20" s="55" t="s">
        <v>13</v>
      </c>
      <c r="B20" s="47">
        <v>33</v>
      </c>
      <c r="C20" s="39">
        <f>IF(B$3=0,0,B20/B$3)</f>
        <v>0.1625615763546798</v>
      </c>
      <c r="E20" s="63" t="s">
        <v>76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-76.099999999999994</v>
      </c>
      <c r="N20" s="117" t="s">
        <v>130</v>
      </c>
      <c r="O20" s="127">
        <f>IF(P20=0,0,Q20/P20)</f>
        <v>-27.800000000000008</v>
      </c>
      <c r="P20" s="121">
        <v>12</v>
      </c>
      <c r="Q20" s="109">
        <v>-333.60000000000008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78</v>
      </c>
      <c r="F21" s="60" t="s">
        <v>32</v>
      </c>
      <c r="G21" s="47">
        <v>0</v>
      </c>
      <c r="H21" s="135">
        <f>IF(B$17=0,0,G21/B$17)</f>
        <v>0</v>
      </c>
      <c r="I21" s="96">
        <v>1</v>
      </c>
      <c r="K21" s="38">
        <v>19</v>
      </c>
      <c r="L21" s="101">
        <v>0.60000000000000853</v>
      </c>
      <c r="N21" s="117" t="s">
        <v>129</v>
      </c>
      <c r="O21" s="127">
        <f>IF(P21=0,0,Q21/P21)</f>
        <v>-39.400000000000006</v>
      </c>
      <c r="P21" s="121">
        <v>13</v>
      </c>
      <c r="Q21" s="109">
        <v>-512.20000000000005</v>
      </c>
    </row>
    <row r="22" spans="1:17" x14ac:dyDescent="0.4">
      <c r="A22" s="55" t="s">
        <v>197</v>
      </c>
      <c r="B22" s="47">
        <v>20</v>
      </c>
      <c r="C22" s="137">
        <v>0</v>
      </c>
      <c r="E22" s="63" t="s">
        <v>79</v>
      </c>
      <c r="F22" s="60" t="s">
        <v>33</v>
      </c>
      <c r="G22" s="47">
        <v>0</v>
      </c>
      <c r="H22" s="135">
        <f>IF(B$17=0,0,G22/B$17)</f>
        <v>0</v>
      </c>
      <c r="I22" s="96">
        <v>3</v>
      </c>
      <c r="K22" s="38">
        <v>20</v>
      </c>
      <c r="L22" s="101">
        <v>-3.5999999999999917</v>
      </c>
    </row>
    <row r="23" spans="1:17" x14ac:dyDescent="0.4">
      <c r="A23" s="55" t="s">
        <v>5</v>
      </c>
      <c r="B23" s="51">
        <f>IF(B$17=0,0,C23/B$17)</f>
        <v>7983.6734693877552</v>
      </c>
      <c r="C23" s="41">
        <v>391200</v>
      </c>
      <c r="E23" s="63" t="s">
        <v>81</v>
      </c>
      <c r="F23" s="60" t="s">
        <v>35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-7372.727272727273</v>
      </c>
      <c r="C24" s="45">
        <v>-243300</v>
      </c>
      <c r="E24" s="63" t="s">
        <v>82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-17.099999999999991</v>
      </c>
    </row>
    <row r="25" spans="1:17" x14ac:dyDescent="0.4">
      <c r="A25" s="92" t="s">
        <v>144</v>
      </c>
      <c r="B25" s="142">
        <v>4</v>
      </c>
      <c r="C25" s="143"/>
      <c r="E25" s="63" t="s">
        <v>83</v>
      </c>
      <c r="F25" s="60" t="s">
        <v>37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154</v>
      </c>
      <c r="B26" s="140">
        <v>91700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4.9261083743842365E-3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94</v>
      </c>
      <c r="F32" s="60" t="s">
        <v>48</v>
      </c>
      <c r="G32" s="47">
        <v>0</v>
      </c>
      <c r="H32" s="135">
        <f>IF(B$17=0,0,G32/B$17)</f>
        <v>0</v>
      </c>
      <c r="I32" s="96">
        <v>5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08EE-D9E8-4624-9CE2-F8FFBAB72DF4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175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10</v>
      </c>
      <c r="C2" s="149"/>
      <c r="E2" s="62" t="s">
        <v>74</v>
      </c>
      <c r="F2" s="59" t="s">
        <v>28</v>
      </c>
      <c r="G2" s="46">
        <v>21</v>
      </c>
      <c r="H2" s="134">
        <f>IF(B$17=0,0,G2/B$17)</f>
        <v>0.77777777777777779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650</v>
      </c>
      <c r="P2" s="120">
        <v>10</v>
      </c>
      <c r="Q2" s="104">
        <v>6500</v>
      </c>
    </row>
    <row r="3" spans="1:17" x14ac:dyDescent="0.4">
      <c r="A3" s="55" t="s">
        <v>8</v>
      </c>
      <c r="B3" s="150">
        <v>77</v>
      </c>
      <c r="C3" s="151"/>
      <c r="E3" s="63" t="s">
        <v>68</v>
      </c>
      <c r="F3" s="60" t="s">
        <v>23</v>
      </c>
      <c r="G3" s="47">
        <v>14</v>
      </c>
      <c r="H3" s="135">
        <f>IF(B$17=0,0,G3/B$17)</f>
        <v>0.51851851851851849</v>
      </c>
      <c r="I3" s="96">
        <v>10</v>
      </c>
      <c r="K3" s="38">
        <v>1</v>
      </c>
      <c r="L3" s="101">
        <v>11.1</v>
      </c>
      <c r="N3" s="117" t="s">
        <v>135</v>
      </c>
      <c r="O3" s="124">
        <f t="shared" si="0"/>
        <v>1690</v>
      </c>
      <c r="P3" s="121">
        <v>10</v>
      </c>
      <c r="Q3" s="105">
        <v>16900</v>
      </c>
    </row>
    <row r="4" spans="1:17" x14ac:dyDescent="0.4">
      <c r="A4" s="55" t="s">
        <v>6</v>
      </c>
      <c r="B4" s="152">
        <v>24.200000000000003</v>
      </c>
      <c r="C4" s="153"/>
      <c r="E4" s="63" t="s">
        <v>66</v>
      </c>
      <c r="F4" s="60" t="s">
        <v>21</v>
      </c>
      <c r="G4" s="47">
        <v>12</v>
      </c>
      <c r="H4" s="135">
        <f>IF(B$17=0,0,G4/B$17)</f>
        <v>0.44444444444444442</v>
      </c>
      <c r="I4" s="96">
        <v>8</v>
      </c>
      <c r="K4" s="38">
        <v>2</v>
      </c>
      <c r="L4" s="101">
        <v>-7.7000000000000011</v>
      </c>
      <c r="N4" s="117" t="s">
        <v>136</v>
      </c>
      <c r="O4" s="124">
        <f t="shared" si="0"/>
        <v>-850</v>
      </c>
      <c r="P4" s="121">
        <v>8</v>
      </c>
      <c r="Q4" s="105">
        <v>-6800</v>
      </c>
    </row>
    <row r="5" spans="1:17" x14ac:dyDescent="0.4">
      <c r="A5" s="55" t="s">
        <v>7</v>
      </c>
      <c r="B5" s="154">
        <f>IF(B$2=0,0,B$4/B$2)</f>
        <v>2.4200000000000004</v>
      </c>
      <c r="C5" s="155"/>
      <c r="E5" s="63" t="s">
        <v>184</v>
      </c>
      <c r="F5" s="60" t="s">
        <v>185</v>
      </c>
      <c r="G5" s="47">
        <v>12</v>
      </c>
      <c r="H5" s="135">
        <f>IF(B$17=0,0,G5/B$17)</f>
        <v>0.44444444444444442</v>
      </c>
      <c r="I5" s="96">
        <v>1</v>
      </c>
      <c r="K5" s="38">
        <v>3</v>
      </c>
      <c r="L5" s="101">
        <v>1.7999999999999989</v>
      </c>
      <c r="N5" s="117" t="s">
        <v>137</v>
      </c>
      <c r="O5" s="124">
        <f t="shared" si="0"/>
        <v>4050</v>
      </c>
      <c r="P5" s="121">
        <v>8</v>
      </c>
      <c r="Q5" s="105">
        <v>32400</v>
      </c>
    </row>
    <row r="6" spans="1:17" x14ac:dyDescent="0.4">
      <c r="A6" s="55" t="s">
        <v>1</v>
      </c>
      <c r="B6" s="144">
        <f>IF(B$2=0,0,(B$7*1+B$8*2+B$9*3)/B$2)</f>
        <v>2.1</v>
      </c>
      <c r="C6" s="145"/>
      <c r="E6" s="63" t="s">
        <v>69</v>
      </c>
      <c r="F6" s="60" t="s">
        <v>24</v>
      </c>
      <c r="G6" s="47">
        <v>9</v>
      </c>
      <c r="H6" s="135">
        <f>IF(B$17=0,0,G6/B$17)</f>
        <v>0.33333333333333331</v>
      </c>
      <c r="I6" s="96">
        <v>3</v>
      </c>
      <c r="K6" s="38">
        <v>4</v>
      </c>
      <c r="L6" s="101">
        <v>34.9</v>
      </c>
      <c r="N6" s="117" t="s">
        <v>138</v>
      </c>
      <c r="O6" s="124">
        <f t="shared" si="0"/>
        <v>-6975</v>
      </c>
      <c r="P6" s="121">
        <v>8</v>
      </c>
      <c r="Q6" s="105">
        <v>-55800</v>
      </c>
    </row>
    <row r="7" spans="1:17" x14ac:dyDescent="0.4">
      <c r="A7" s="55" t="s">
        <v>2</v>
      </c>
      <c r="B7" s="47">
        <v>2</v>
      </c>
      <c r="C7" s="39">
        <f>IF(B$2=0,0,B7/B$2)</f>
        <v>0.2</v>
      </c>
      <c r="E7" s="63" t="s">
        <v>70</v>
      </c>
      <c r="F7" s="60" t="s">
        <v>12</v>
      </c>
      <c r="G7" s="47">
        <v>6</v>
      </c>
      <c r="H7" s="135">
        <f>IF(B$17=0,0,G7/B$17)</f>
        <v>0.22222222222222221</v>
      </c>
      <c r="I7" s="96">
        <v>7</v>
      </c>
      <c r="K7" s="38">
        <v>5</v>
      </c>
      <c r="L7" s="101">
        <v>29.4</v>
      </c>
      <c r="N7" s="118" t="s">
        <v>139</v>
      </c>
      <c r="O7" s="125">
        <f t="shared" si="0"/>
        <v>-442.85714285714283</v>
      </c>
      <c r="P7" s="122">
        <v>7</v>
      </c>
      <c r="Q7" s="106">
        <v>-3100</v>
      </c>
    </row>
    <row r="8" spans="1:17" x14ac:dyDescent="0.4">
      <c r="A8" s="55" t="s">
        <v>3</v>
      </c>
      <c r="B8" s="47">
        <v>5</v>
      </c>
      <c r="C8" s="39">
        <f>IF(B$2=0,0,B8/B$2)</f>
        <v>0.5</v>
      </c>
      <c r="E8" s="63" t="s">
        <v>71</v>
      </c>
      <c r="F8" s="60" t="s">
        <v>25</v>
      </c>
      <c r="G8" s="47">
        <v>3</v>
      </c>
      <c r="H8" s="135">
        <f>IF(B$17=0,0,G8/B$17)</f>
        <v>0.1111111111111111</v>
      </c>
      <c r="I8" s="96">
        <v>8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3</v>
      </c>
      <c r="C9" s="40">
        <f t="shared" ref="C9" si="1">IF(B$2=0,0,B9/B$2)</f>
        <v>0.3</v>
      </c>
      <c r="E9" s="63" t="s">
        <v>92</v>
      </c>
      <c r="F9" s="60" t="s">
        <v>46</v>
      </c>
      <c r="G9" s="47">
        <v>3</v>
      </c>
      <c r="H9" s="135">
        <f>IF(B$17=0,0,G9/B$17)</f>
        <v>0.1111111111111111</v>
      </c>
      <c r="I9" s="96">
        <v>8</v>
      </c>
      <c r="K9" s="38">
        <v>7</v>
      </c>
      <c r="L9" s="101">
        <v>7.7999999999999972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2</v>
      </c>
      <c r="H10" s="135">
        <f>IF(B$17=0,0,G10/B$17)</f>
        <v>7.407407407407407E-2</v>
      </c>
      <c r="I10" s="96">
        <v>6</v>
      </c>
      <c r="K10" s="38">
        <v>8</v>
      </c>
      <c r="L10" s="101">
        <v>-29.5</v>
      </c>
      <c r="N10" s="116" t="s">
        <v>167</v>
      </c>
      <c r="O10" s="126">
        <f>IF(P10=0,0,Q10/P10)</f>
        <v>-32.15</v>
      </c>
      <c r="P10" s="120">
        <v>2</v>
      </c>
      <c r="Q10" s="108">
        <v>-64.3</v>
      </c>
    </row>
    <row r="11" spans="1:17" x14ac:dyDescent="0.4">
      <c r="A11" s="56" t="s">
        <v>142</v>
      </c>
      <c r="B11" s="48">
        <v>1</v>
      </c>
      <c r="C11" s="40">
        <f>IF(B$2=0,0,B11/B$2)</f>
        <v>0.1</v>
      </c>
      <c r="E11" s="63" t="s">
        <v>72</v>
      </c>
      <c r="F11" s="60" t="s">
        <v>26</v>
      </c>
      <c r="G11" s="47">
        <v>1</v>
      </c>
      <c r="H11" s="135">
        <f>IF(B$17=0,0,G11/B$17)</f>
        <v>3.7037037037037035E-2</v>
      </c>
      <c r="I11" s="96">
        <v>8</v>
      </c>
      <c r="K11" s="38">
        <v>9</v>
      </c>
      <c r="L11" s="101">
        <v>-56.5</v>
      </c>
      <c r="N11" s="117" t="s">
        <v>168</v>
      </c>
      <c r="O11" s="127">
        <f>IF(P11=0,0,Q11/P11)</f>
        <v>8.0333333333333332</v>
      </c>
      <c r="P11" s="121">
        <v>3</v>
      </c>
      <c r="Q11" s="109">
        <v>24.1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80</v>
      </c>
      <c r="F12" s="60" t="s">
        <v>34</v>
      </c>
      <c r="G12" s="47">
        <v>1</v>
      </c>
      <c r="H12" s="135">
        <f>IF(B$17=0,0,G12/B$17)</f>
        <v>3.7037037037037035E-2</v>
      </c>
      <c r="I12" s="96">
        <v>1</v>
      </c>
      <c r="K12" s="38">
        <v>10</v>
      </c>
      <c r="L12" s="101">
        <v>24.200000000000003</v>
      </c>
      <c r="N12" s="118" t="s">
        <v>169</v>
      </c>
      <c r="O12" s="128">
        <f>IF(P12=0,0,Q12/P12)</f>
        <v>12.88</v>
      </c>
      <c r="P12" s="122">
        <v>5</v>
      </c>
      <c r="Q12" s="110">
        <v>64.400000000000006</v>
      </c>
    </row>
    <row r="13" spans="1:17" x14ac:dyDescent="0.4">
      <c r="A13" s="58" t="s">
        <v>124</v>
      </c>
      <c r="B13" s="50">
        <v>18</v>
      </c>
      <c r="C13" s="44">
        <f>IF(B$3=0,0,B13/B$3)</f>
        <v>0.23376623376623376</v>
      </c>
      <c r="E13" s="63" t="s">
        <v>84</v>
      </c>
      <c r="F13" s="60" t="s">
        <v>38</v>
      </c>
      <c r="G13" s="47">
        <v>1</v>
      </c>
      <c r="H13" s="135">
        <f>IF(B$17=0,0,G13/B$17)</f>
        <v>3.7037037037037035E-2</v>
      </c>
      <c r="I13" s="96">
        <v>2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28</v>
      </c>
      <c r="C14" s="39">
        <f>IF(B$3=0,0,B14/B$3)</f>
        <v>0.36363636363636365</v>
      </c>
      <c r="E14" s="63" t="s">
        <v>86</v>
      </c>
      <c r="F14" s="60" t="s">
        <v>40</v>
      </c>
      <c r="G14" s="47">
        <v>1</v>
      </c>
      <c r="H14" s="135">
        <f>IF(B$17=0,0,G14/B$17)</f>
        <v>3.7037037037037035E-2</v>
      </c>
      <c r="I14" s="96">
        <v>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13</v>
      </c>
      <c r="C15" s="37">
        <f>IF(B$13=0,0,B15/B$13)</f>
        <v>0.72222222222222221</v>
      </c>
      <c r="E15" s="63" t="s">
        <v>89</v>
      </c>
      <c r="F15" s="60" t="s">
        <v>43</v>
      </c>
      <c r="G15" s="47">
        <v>1</v>
      </c>
      <c r="H15" s="135">
        <f>IF(B$17=0,0,G15/B$17)</f>
        <v>3.7037037037037035E-2</v>
      </c>
      <c r="I15" s="96">
        <v>7</v>
      </c>
      <c r="N15" s="116" t="s">
        <v>180</v>
      </c>
      <c r="O15" s="126">
        <f>IF(P15=0,0,Q15/P15)</f>
        <v>135.9</v>
      </c>
      <c r="P15" s="120">
        <v>1</v>
      </c>
      <c r="Q15" s="108">
        <v>135.9</v>
      </c>
    </row>
    <row r="16" spans="1:17" x14ac:dyDescent="0.4">
      <c r="A16" s="54" t="s">
        <v>127</v>
      </c>
      <c r="B16" s="46">
        <v>11</v>
      </c>
      <c r="C16" s="37">
        <f>IF(B$14=0,0,B16/B$14)</f>
        <v>0.39285714285714285</v>
      </c>
      <c r="E16" s="63" t="s">
        <v>73</v>
      </c>
      <c r="F16" s="60" t="s">
        <v>27</v>
      </c>
      <c r="G16" s="47">
        <v>0</v>
      </c>
      <c r="H16" s="135">
        <f>IF(B$17=0,0,G16/B$17)</f>
        <v>0</v>
      </c>
      <c r="I16" s="96">
        <v>8</v>
      </c>
      <c r="N16" s="117" t="s">
        <v>131</v>
      </c>
      <c r="O16" s="127">
        <f>IF(P16=0,0,Q16/P16)</f>
        <v>87</v>
      </c>
      <c r="P16" s="121">
        <v>2</v>
      </c>
      <c r="Q16" s="109">
        <v>174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0.35064935064935066</v>
      </c>
      <c r="E17" s="63" t="s">
        <v>75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N17" s="117" t="s">
        <v>176</v>
      </c>
      <c r="O17" s="127">
        <f>IF(P17=0,0,Q17/P17)</f>
        <v>5.9</v>
      </c>
      <c r="P17" s="121">
        <v>2</v>
      </c>
      <c r="Q17" s="109">
        <v>11.8</v>
      </c>
    </row>
    <row r="18" spans="1:17" x14ac:dyDescent="0.4">
      <c r="A18" s="55" t="s">
        <v>12</v>
      </c>
      <c r="B18" s="47">
        <v>11</v>
      </c>
      <c r="C18" s="39">
        <f>IF(B$17=0,0,B18/B$17)</f>
        <v>0.40740740740740738</v>
      </c>
      <c r="E18" s="63" t="s">
        <v>76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174</v>
      </c>
      <c r="O18" s="127">
        <f>IF(P18=0,0,Q18/P18)</f>
        <v>-2.8000000000000003</v>
      </c>
      <c r="P18" s="121">
        <v>6</v>
      </c>
      <c r="Q18" s="109">
        <v>-16.8</v>
      </c>
    </row>
    <row r="19" spans="1:17" x14ac:dyDescent="0.4">
      <c r="A19" s="55" t="s">
        <v>11</v>
      </c>
      <c r="B19" s="47">
        <v>16</v>
      </c>
      <c r="C19" s="39">
        <f>IF(B$17=0,0,B19/B$17)</f>
        <v>0.59259259259259256</v>
      </c>
      <c r="E19" s="63" t="s">
        <v>77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N19" s="117" t="s">
        <v>129</v>
      </c>
      <c r="O19" s="127">
        <f>IF(P19=0,0,Q19/P19)</f>
        <v>-22.14</v>
      </c>
      <c r="P19" s="121">
        <v>5</v>
      </c>
      <c r="Q19" s="109">
        <v>-110.7</v>
      </c>
    </row>
    <row r="20" spans="1:17" x14ac:dyDescent="0.4">
      <c r="A20" s="55" t="s">
        <v>13</v>
      </c>
      <c r="B20" s="47">
        <v>13</v>
      </c>
      <c r="C20" s="39">
        <f>IF(B$3=0,0,B20/B$3)</f>
        <v>0.16883116883116883</v>
      </c>
      <c r="E20" s="63" t="s">
        <v>78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N20" s="117" t="s">
        <v>130</v>
      </c>
      <c r="O20" s="127">
        <f>IF(P20=0,0,Q20/P20)</f>
        <v>-30.400000000000002</v>
      </c>
      <c r="P20" s="121">
        <v>4</v>
      </c>
      <c r="Q20" s="109">
        <v>-121.60000000000001</v>
      </c>
    </row>
    <row r="21" spans="1:17" x14ac:dyDescent="0.4">
      <c r="A21" s="55" t="s">
        <v>196</v>
      </c>
      <c r="B21" s="47">
        <v>7</v>
      </c>
      <c r="C21" s="137">
        <v>7</v>
      </c>
      <c r="E21" s="63" t="s">
        <v>79</v>
      </c>
      <c r="F21" s="60" t="s">
        <v>33</v>
      </c>
      <c r="G21" s="47">
        <v>0</v>
      </c>
      <c r="H21" s="135">
        <f>IF(B$17=0,0,G21/B$17)</f>
        <v>0</v>
      </c>
      <c r="I21" s="96">
        <v>3</v>
      </c>
    </row>
    <row r="22" spans="1:17" x14ac:dyDescent="0.4">
      <c r="A22" s="55" t="s">
        <v>197</v>
      </c>
      <c r="B22" s="47">
        <v>16</v>
      </c>
      <c r="C22" s="137">
        <v>7</v>
      </c>
      <c r="E22" s="63" t="s">
        <v>81</v>
      </c>
      <c r="F22" s="60" t="s">
        <v>35</v>
      </c>
      <c r="G22" s="47">
        <v>0</v>
      </c>
      <c r="H22" s="135">
        <f>IF(B$17=0,0,G22/B$17)</f>
        <v>0</v>
      </c>
      <c r="I22" s="96">
        <v>4</v>
      </c>
    </row>
    <row r="23" spans="1:17" x14ac:dyDescent="0.4">
      <c r="A23" s="55" t="s">
        <v>5</v>
      </c>
      <c r="B23" s="51">
        <f>IF(B$17=0,0,C23/B$17)</f>
        <v>6788.8888888888887</v>
      </c>
      <c r="C23" s="41">
        <v>183300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-7530.7692307692305</v>
      </c>
      <c r="C24" s="45">
        <v>-97900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95700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E5CA7-1230-4F75-BDD7-8FBBB24A3A77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176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68</v>
      </c>
      <c r="F2" s="59" t="s">
        <v>23</v>
      </c>
      <c r="G2" s="46">
        <v>25</v>
      </c>
      <c r="H2" s="134">
        <f>IF(B$17=0,0,G2/B$17)</f>
        <v>0.78125</v>
      </c>
      <c r="I2" s="95">
        <v>4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-3433.3333333333335</v>
      </c>
      <c r="P2" s="120">
        <v>12</v>
      </c>
      <c r="Q2" s="104">
        <v>-41200</v>
      </c>
    </row>
    <row r="3" spans="1:17" x14ac:dyDescent="0.4">
      <c r="A3" s="55" t="s">
        <v>8</v>
      </c>
      <c r="B3" s="150">
        <v>113</v>
      </c>
      <c r="C3" s="151"/>
      <c r="E3" s="63" t="s">
        <v>74</v>
      </c>
      <c r="F3" s="60" t="s">
        <v>28</v>
      </c>
      <c r="G3" s="47">
        <v>15</v>
      </c>
      <c r="H3" s="135">
        <f>IF(B$17=0,0,G3/B$17)</f>
        <v>0.46875</v>
      </c>
      <c r="I3" s="96">
        <v>8</v>
      </c>
      <c r="K3" s="38">
        <v>1</v>
      </c>
      <c r="L3" s="101">
        <v>-82.6</v>
      </c>
      <c r="N3" s="117" t="s">
        <v>135</v>
      </c>
      <c r="O3" s="124">
        <f t="shared" si="0"/>
        <v>-3808.3333333333335</v>
      </c>
      <c r="P3" s="121">
        <v>12</v>
      </c>
      <c r="Q3" s="105">
        <v>-45700</v>
      </c>
    </row>
    <row r="4" spans="1:17" x14ac:dyDescent="0.4">
      <c r="A4" s="55" t="s">
        <v>6</v>
      </c>
      <c r="B4" s="152">
        <v>-289.59999999999997</v>
      </c>
      <c r="C4" s="153"/>
      <c r="E4" s="63" t="s">
        <v>70</v>
      </c>
      <c r="F4" s="60" t="s">
        <v>12</v>
      </c>
      <c r="G4" s="47">
        <v>12</v>
      </c>
      <c r="H4" s="135">
        <f>IF(B$17=0,0,G4/B$17)</f>
        <v>0.375</v>
      </c>
      <c r="I4" s="96">
        <v>1</v>
      </c>
      <c r="K4" s="38">
        <v>2</v>
      </c>
      <c r="L4" s="101">
        <v>-122.3</v>
      </c>
      <c r="N4" s="117" t="s">
        <v>136</v>
      </c>
      <c r="O4" s="124">
        <f t="shared" si="0"/>
        <v>272.72727272727275</v>
      </c>
      <c r="P4" s="121">
        <v>11</v>
      </c>
      <c r="Q4" s="105">
        <v>3000</v>
      </c>
    </row>
    <row r="5" spans="1:17" x14ac:dyDescent="0.4">
      <c r="A5" s="55" t="s">
        <v>7</v>
      </c>
      <c r="B5" s="154">
        <f>IF(B$2=0,0,B$4/B$2)</f>
        <v>-24.133333333333329</v>
      </c>
      <c r="C5" s="155"/>
      <c r="E5" s="63" t="s">
        <v>66</v>
      </c>
      <c r="F5" s="60" t="s">
        <v>21</v>
      </c>
      <c r="G5" s="47">
        <v>9</v>
      </c>
      <c r="H5" s="135">
        <f>IF(B$17=0,0,G5/B$17)</f>
        <v>0.28125</v>
      </c>
      <c r="I5" s="96">
        <v>10</v>
      </c>
      <c r="K5" s="38">
        <v>3</v>
      </c>
      <c r="L5" s="101">
        <v>-149</v>
      </c>
      <c r="N5" s="117" t="s">
        <v>137</v>
      </c>
      <c r="O5" s="124">
        <f t="shared" si="0"/>
        <v>-6430</v>
      </c>
      <c r="P5" s="121">
        <v>10</v>
      </c>
      <c r="Q5" s="105">
        <v>-64300</v>
      </c>
    </row>
    <row r="6" spans="1:17" x14ac:dyDescent="0.4">
      <c r="A6" s="55" t="s">
        <v>1</v>
      </c>
      <c r="B6" s="144">
        <f>IF(B$2=0,0,(B$7*1+B$8*2+B$9*3)/B$2)</f>
        <v>2.4166666666666665</v>
      </c>
      <c r="C6" s="145"/>
      <c r="E6" s="63" t="s">
        <v>184</v>
      </c>
      <c r="F6" s="60" t="s">
        <v>185</v>
      </c>
      <c r="G6" s="47">
        <v>7</v>
      </c>
      <c r="H6" s="135">
        <f>IF(B$17=0,0,G6/B$17)</f>
        <v>0.21875</v>
      </c>
      <c r="I6" s="96">
        <v>10</v>
      </c>
      <c r="K6" s="38">
        <v>4</v>
      </c>
      <c r="L6" s="101">
        <v>-150.6</v>
      </c>
      <c r="N6" s="117" t="s">
        <v>138</v>
      </c>
      <c r="O6" s="124">
        <f t="shared" si="0"/>
        <v>-3900</v>
      </c>
      <c r="P6" s="121">
        <v>9</v>
      </c>
      <c r="Q6" s="105">
        <v>-35100</v>
      </c>
    </row>
    <row r="7" spans="1:17" x14ac:dyDescent="0.4">
      <c r="A7" s="55" t="s">
        <v>2</v>
      </c>
      <c r="B7" s="47">
        <v>1</v>
      </c>
      <c r="C7" s="39">
        <f>IF(B$2=0,0,B7/B$2)</f>
        <v>8.3333333333333329E-2</v>
      </c>
      <c r="E7" s="63" t="s">
        <v>92</v>
      </c>
      <c r="F7" s="60" t="s">
        <v>46</v>
      </c>
      <c r="G7" s="47">
        <v>5</v>
      </c>
      <c r="H7" s="135">
        <f>IF(B$17=0,0,G7/B$17)</f>
        <v>0.15625</v>
      </c>
      <c r="I7" s="96">
        <v>5</v>
      </c>
      <c r="K7" s="38">
        <v>5</v>
      </c>
      <c r="L7" s="101">
        <v>-184.89999999999998</v>
      </c>
      <c r="N7" s="118" t="s">
        <v>139</v>
      </c>
      <c r="O7" s="125">
        <f t="shared" si="0"/>
        <v>-787.5</v>
      </c>
      <c r="P7" s="122">
        <v>8</v>
      </c>
      <c r="Q7" s="106">
        <v>-6300</v>
      </c>
    </row>
    <row r="8" spans="1:17" x14ac:dyDescent="0.4">
      <c r="A8" s="55" t="s">
        <v>3</v>
      </c>
      <c r="B8" s="47">
        <v>5</v>
      </c>
      <c r="C8" s="39">
        <f>IF(B$2=0,0,B8/B$2)</f>
        <v>0.41666666666666669</v>
      </c>
      <c r="E8" s="63" t="s">
        <v>72</v>
      </c>
      <c r="F8" s="60" t="s">
        <v>26</v>
      </c>
      <c r="G8" s="47">
        <v>4</v>
      </c>
      <c r="H8" s="135">
        <f>IF(B$17=0,0,G8/B$17)</f>
        <v>0.125</v>
      </c>
      <c r="I8" s="96">
        <v>3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71</v>
      </c>
      <c r="F9" s="60" t="s">
        <v>25</v>
      </c>
      <c r="G9" s="47">
        <v>3</v>
      </c>
      <c r="H9" s="135">
        <f>IF(B$17=0,0,G9/B$17)</f>
        <v>9.375E-2</v>
      </c>
      <c r="I9" s="96">
        <v>10</v>
      </c>
      <c r="K9" s="38">
        <v>7</v>
      </c>
      <c r="L9" s="101">
        <v>-216.09999999999997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27</v>
      </c>
      <c r="G10" s="47">
        <v>3</v>
      </c>
      <c r="H10" s="135">
        <f>IF(B$17=0,0,G10/B$17)</f>
        <v>9.375E-2</v>
      </c>
      <c r="I10" s="96">
        <v>4</v>
      </c>
      <c r="K10" s="38">
        <v>8</v>
      </c>
      <c r="L10" s="101">
        <v>-219.59999999999997</v>
      </c>
      <c r="N10" s="116" t="s">
        <v>167</v>
      </c>
      <c r="O10" s="126">
        <f>IF(P10=0,0,Q10/P10)</f>
        <v>-9.8500000000000014</v>
      </c>
      <c r="P10" s="120">
        <v>4</v>
      </c>
      <c r="Q10" s="108">
        <v>-39.400000000000006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2</v>
      </c>
      <c r="H11" s="135">
        <f>IF(B$17=0,0,G11/B$17)</f>
        <v>6.25E-2</v>
      </c>
      <c r="I11" s="96">
        <v>9</v>
      </c>
      <c r="K11" s="38">
        <v>9</v>
      </c>
      <c r="L11" s="101">
        <v>-260.59999999999997</v>
      </c>
      <c r="N11" s="117" t="s">
        <v>168</v>
      </c>
      <c r="O11" s="127">
        <f>IF(P11=0,0,Q11/P11)</f>
        <v>-27.349999999999998</v>
      </c>
      <c r="P11" s="121">
        <v>6</v>
      </c>
      <c r="Q11" s="109">
        <v>-164.1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2</v>
      </c>
      <c r="H12" s="135">
        <f>IF(B$17=0,0,G12/B$17)</f>
        <v>6.25E-2</v>
      </c>
      <c r="I12" s="96">
        <v>3</v>
      </c>
      <c r="K12" s="38">
        <v>10</v>
      </c>
      <c r="L12" s="101">
        <v>-318.39999999999998</v>
      </c>
      <c r="N12" s="118" t="s">
        <v>169</v>
      </c>
      <c r="O12" s="128">
        <f>IF(P12=0,0,Q12/P12)</f>
        <v>-43.05</v>
      </c>
      <c r="P12" s="122">
        <v>2</v>
      </c>
      <c r="Q12" s="110">
        <v>-86.1</v>
      </c>
    </row>
    <row r="13" spans="1:17" x14ac:dyDescent="0.4">
      <c r="A13" s="58" t="s">
        <v>124</v>
      </c>
      <c r="B13" s="50">
        <v>18</v>
      </c>
      <c r="C13" s="44">
        <f>IF(B$3=0,0,B13/B$3)</f>
        <v>0.15929203539823009</v>
      </c>
      <c r="E13" s="63" t="s">
        <v>81</v>
      </c>
      <c r="F13" s="60" t="s">
        <v>35</v>
      </c>
      <c r="G13" s="47">
        <v>1</v>
      </c>
      <c r="H13" s="135">
        <f>IF(B$17=0,0,G13/B$17)</f>
        <v>3.125E-2</v>
      </c>
      <c r="I13" s="96">
        <v>1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26</v>
      </c>
      <c r="C14" s="39">
        <f>IF(B$3=0,0,B14/B$3)</f>
        <v>0.23008849557522124</v>
      </c>
      <c r="E14" s="63" t="s">
        <v>89</v>
      </c>
      <c r="F14" s="60" t="s">
        <v>43</v>
      </c>
      <c r="G14" s="47">
        <v>1</v>
      </c>
      <c r="H14" s="135">
        <f>IF(B$17=0,0,G14/B$17)</f>
        <v>3.125E-2</v>
      </c>
      <c r="I14" s="96">
        <v>8</v>
      </c>
      <c r="K14" s="38">
        <v>12</v>
      </c>
      <c r="L14" s="101">
        <v>-289.59999999999997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</v>
      </c>
      <c r="E15" s="63" t="s">
        <v>67</v>
      </c>
      <c r="F15" s="60" t="s">
        <v>22</v>
      </c>
      <c r="G15" s="47">
        <v>0</v>
      </c>
      <c r="H15" s="135">
        <f>IF(B$17=0,0,G15/B$17)</f>
        <v>0</v>
      </c>
      <c r="I15" s="96">
        <v>8</v>
      </c>
      <c r="N15" s="116" t="s">
        <v>131</v>
      </c>
      <c r="O15" s="126">
        <f>IF(P15=0,0,Q15/P15)</f>
        <v>13.16666666666667</v>
      </c>
      <c r="P15" s="120">
        <v>3</v>
      </c>
      <c r="Q15" s="108">
        <v>39.500000000000007</v>
      </c>
    </row>
    <row r="16" spans="1:17" x14ac:dyDescent="0.4">
      <c r="A16" s="54" t="s">
        <v>127</v>
      </c>
      <c r="B16" s="46">
        <v>10</v>
      </c>
      <c r="C16" s="37">
        <f>IF(B$14=0,0,B16/B$14)</f>
        <v>0.38461538461538464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N16" s="117" t="s">
        <v>175</v>
      </c>
      <c r="O16" s="127">
        <f>IF(P16=0,0,Q16/P16)</f>
        <v>-5.9000000000000021</v>
      </c>
      <c r="P16" s="121">
        <v>2</v>
      </c>
      <c r="Q16" s="109">
        <v>-11.800000000000004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0.2831858407079646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N17" s="117" t="s">
        <v>180</v>
      </c>
      <c r="O17" s="127">
        <f>IF(P17=0,0,Q17/P17)</f>
        <v>-17.950000000000003</v>
      </c>
      <c r="P17" s="121">
        <v>2</v>
      </c>
      <c r="Q17" s="109">
        <v>-35.900000000000006</v>
      </c>
    </row>
    <row r="18" spans="1:17" x14ac:dyDescent="0.4">
      <c r="A18" s="55" t="s">
        <v>12</v>
      </c>
      <c r="B18" s="47">
        <v>17</v>
      </c>
      <c r="C18" s="39">
        <f>IF(B$17=0,0,B18/B$17)</f>
        <v>0.53125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N18" s="117" t="s">
        <v>174</v>
      </c>
      <c r="O18" s="127">
        <f>IF(P18=0,0,Q18/P18)</f>
        <v>-24.087499999999999</v>
      </c>
      <c r="P18" s="121">
        <v>8</v>
      </c>
      <c r="Q18" s="109">
        <v>-192.7</v>
      </c>
    </row>
    <row r="19" spans="1:17" x14ac:dyDescent="0.4">
      <c r="A19" s="55" t="s">
        <v>11</v>
      </c>
      <c r="B19" s="47">
        <v>15</v>
      </c>
      <c r="C19" s="39">
        <f>IF(B$17=0,0,B19/B$17)</f>
        <v>0.46875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188</v>
      </c>
      <c r="O19" s="127">
        <f>IF(P19=0,0,Q19/P19)</f>
        <v>-45.5</v>
      </c>
      <c r="P19" s="121">
        <v>1</v>
      </c>
      <c r="Q19" s="109">
        <v>-45.5</v>
      </c>
    </row>
    <row r="20" spans="1:17" x14ac:dyDescent="0.4">
      <c r="A20" s="55" t="s">
        <v>13</v>
      </c>
      <c r="B20" s="47">
        <v>28</v>
      </c>
      <c r="C20" s="39">
        <f>IF(B$3=0,0,B20/B$3)</f>
        <v>0.24778761061946902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130</v>
      </c>
      <c r="O20" s="127">
        <f>IF(P20=0,0,Q20/P20)</f>
        <v>-52.48</v>
      </c>
      <c r="P20" s="121">
        <v>5</v>
      </c>
      <c r="Q20" s="109">
        <v>-262.39999999999998</v>
      </c>
    </row>
    <row r="21" spans="1:17" x14ac:dyDescent="0.4">
      <c r="A21" s="55" t="s">
        <v>196</v>
      </c>
      <c r="B21" s="47">
        <v>4</v>
      </c>
      <c r="C21" s="137">
        <v>1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-119.99999999999999</v>
      </c>
      <c r="P21" s="121">
        <v>3</v>
      </c>
      <c r="Q21" s="109">
        <v>-359.99999999999994</v>
      </c>
    </row>
    <row r="22" spans="1:17" x14ac:dyDescent="0.4">
      <c r="A22" s="55" t="s">
        <v>197</v>
      </c>
      <c r="B22" s="47">
        <v>11</v>
      </c>
      <c r="C22" s="137">
        <v>2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5150</v>
      </c>
      <c r="C23" s="41">
        <v>164800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-8521.4285714285706</v>
      </c>
      <c r="C24" s="45">
        <v>-238600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6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50800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8.8495575221238937E-3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0E6DD-5B7D-48B1-8B27-B965B42B583C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68</v>
      </c>
      <c r="F2" s="59" t="s">
        <v>23</v>
      </c>
      <c r="G2" s="46">
        <v>11</v>
      </c>
      <c r="H2" s="134">
        <f>IF(B$17=0,0,G2/B$17)</f>
        <v>0.55000000000000004</v>
      </c>
      <c r="I2" s="95">
        <v>9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-6416.666666666667</v>
      </c>
      <c r="P2" s="120">
        <v>12</v>
      </c>
      <c r="Q2" s="104">
        <v>-77000</v>
      </c>
    </row>
    <row r="3" spans="1:17" x14ac:dyDescent="0.4">
      <c r="A3" s="55" t="s">
        <v>8</v>
      </c>
      <c r="B3" s="150">
        <v>87</v>
      </c>
      <c r="C3" s="151"/>
      <c r="E3" s="63" t="s">
        <v>74</v>
      </c>
      <c r="F3" s="60" t="s">
        <v>28</v>
      </c>
      <c r="G3" s="47">
        <v>11</v>
      </c>
      <c r="H3" s="135">
        <f>IF(B$17=0,0,G3/B$17)</f>
        <v>0.55000000000000004</v>
      </c>
      <c r="I3" s="96">
        <v>6</v>
      </c>
      <c r="K3" s="38">
        <v>1</v>
      </c>
      <c r="L3" s="101">
        <v>-1.9</v>
      </c>
      <c r="N3" s="117" t="s">
        <v>135</v>
      </c>
      <c r="O3" s="124">
        <f t="shared" si="0"/>
        <v>-4436.363636363636</v>
      </c>
      <c r="P3" s="121">
        <v>11</v>
      </c>
      <c r="Q3" s="105">
        <v>-48800</v>
      </c>
    </row>
    <row r="4" spans="1:17" x14ac:dyDescent="0.4">
      <c r="A4" s="55" t="s">
        <v>6</v>
      </c>
      <c r="B4" s="152">
        <v>-208.09999999999997</v>
      </c>
      <c r="C4" s="153"/>
      <c r="E4" s="63" t="s">
        <v>66</v>
      </c>
      <c r="F4" s="60" t="s">
        <v>21</v>
      </c>
      <c r="G4" s="47">
        <v>9</v>
      </c>
      <c r="H4" s="135">
        <f>IF(B$17=0,0,G4/B$17)</f>
        <v>0.45</v>
      </c>
      <c r="I4" s="96">
        <v>7</v>
      </c>
      <c r="K4" s="38">
        <v>2</v>
      </c>
      <c r="L4" s="101">
        <v>30</v>
      </c>
      <c r="N4" s="117" t="s">
        <v>136</v>
      </c>
      <c r="O4" s="124">
        <f t="shared" si="0"/>
        <v>1440</v>
      </c>
      <c r="P4" s="121">
        <v>10</v>
      </c>
      <c r="Q4" s="105">
        <v>14400</v>
      </c>
    </row>
    <row r="5" spans="1:17" x14ac:dyDescent="0.4">
      <c r="A5" s="55" t="s">
        <v>7</v>
      </c>
      <c r="B5" s="154">
        <f>IF(B$2=0,0,B$4/B$2)</f>
        <v>-17.341666666666665</v>
      </c>
      <c r="C5" s="155"/>
      <c r="E5" s="63" t="s">
        <v>184</v>
      </c>
      <c r="F5" s="60" t="s">
        <v>185</v>
      </c>
      <c r="G5" s="47">
        <v>6</v>
      </c>
      <c r="H5" s="135">
        <f>IF(B$17=0,0,G5/B$17)</f>
        <v>0.3</v>
      </c>
      <c r="I5" s="96">
        <v>8</v>
      </c>
      <c r="K5" s="38">
        <v>3</v>
      </c>
      <c r="L5" s="101">
        <v>-10</v>
      </c>
      <c r="N5" s="117" t="s">
        <v>137</v>
      </c>
      <c r="O5" s="124">
        <f t="shared" si="0"/>
        <v>-1660</v>
      </c>
      <c r="P5" s="121">
        <v>10</v>
      </c>
      <c r="Q5" s="105">
        <v>-16600</v>
      </c>
    </row>
    <row r="6" spans="1:17" x14ac:dyDescent="0.4">
      <c r="A6" s="55" t="s">
        <v>1</v>
      </c>
      <c r="B6" s="144">
        <f>IF(B$2=0,0,(B$7*1+B$8*2+B$9*3)/B$2)</f>
        <v>2.3333333333333335</v>
      </c>
      <c r="C6" s="145"/>
      <c r="E6" s="63" t="s">
        <v>70</v>
      </c>
      <c r="F6" s="60" t="s">
        <v>12</v>
      </c>
      <c r="G6" s="47">
        <v>5</v>
      </c>
      <c r="H6" s="135">
        <f>IF(B$17=0,0,G6/B$17)</f>
        <v>0.25</v>
      </c>
      <c r="I6" s="96">
        <v>5</v>
      </c>
      <c r="K6" s="38">
        <v>4</v>
      </c>
      <c r="L6" s="101">
        <v>40</v>
      </c>
      <c r="N6" s="117" t="s">
        <v>138</v>
      </c>
      <c r="O6" s="124">
        <f t="shared" si="0"/>
        <v>-1266.6666666666667</v>
      </c>
      <c r="P6" s="121">
        <v>9</v>
      </c>
      <c r="Q6" s="105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0.25</v>
      </c>
      <c r="E7" s="63" t="s">
        <v>71</v>
      </c>
      <c r="F7" s="60" t="s">
        <v>25</v>
      </c>
      <c r="G7" s="47">
        <v>4</v>
      </c>
      <c r="H7" s="135">
        <f>IF(B$17=0,0,G7/B$17)</f>
        <v>0.2</v>
      </c>
      <c r="I7" s="96">
        <v>3</v>
      </c>
      <c r="K7" s="38">
        <v>5</v>
      </c>
      <c r="L7" s="101">
        <v>35.4</v>
      </c>
      <c r="N7" s="118" t="s">
        <v>139</v>
      </c>
      <c r="O7" s="125">
        <f t="shared" si="0"/>
        <v>4833.333333333333</v>
      </c>
      <c r="P7" s="122">
        <v>9</v>
      </c>
      <c r="Q7" s="106">
        <v>43500</v>
      </c>
    </row>
    <row r="8" spans="1:17" x14ac:dyDescent="0.4">
      <c r="A8" s="55" t="s">
        <v>3</v>
      </c>
      <c r="B8" s="47">
        <v>2</v>
      </c>
      <c r="C8" s="39">
        <f>IF(B$2=0,0,B8/B$2)</f>
        <v>0.16666666666666666</v>
      </c>
      <c r="E8" s="63" t="s">
        <v>67</v>
      </c>
      <c r="F8" s="60" t="s">
        <v>22</v>
      </c>
      <c r="G8" s="47">
        <v>3</v>
      </c>
      <c r="H8" s="135">
        <f>IF(B$17=0,0,G8/B$17)</f>
        <v>0.15</v>
      </c>
      <c r="I8" s="96">
        <v>1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0.58333333333333337</v>
      </c>
      <c r="E9" s="63" t="s">
        <v>69</v>
      </c>
      <c r="F9" s="60" t="s">
        <v>24</v>
      </c>
      <c r="G9" s="47">
        <v>3</v>
      </c>
      <c r="H9" s="135">
        <f>IF(B$17=0,0,G9/B$17)</f>
        <v>0.15</v>
      </c>
      <c r="I9" s="96">
        <v>8</v>
      </c>
      <c r="K9" s="38">
        <v>7</v>
      </c>
      <c r="L9" s="101">
        <v>-30.1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0.25</v>
      </c>
      <c r="E10" s="63" t="s">
        <v>92</v>
      </c>
      <c r="F10" s="60" t="s">
        <v>46</v>
      </c>
      <c r="G10" s="47">
        <v>2</v>
      </c>
      <c r="H10" s="135">
        <f>IF(B$17=0,0,G10/B$17)</f>
        <v>0.1</v>
      </c>
      <c r="I10" s="96">
        <v>9</v>
      </c>
      <c r="K10" s="38">
        <v>8</v>
      </c>
      <c r="L10" s="101">
        <v>-87.1</v>
      </c>
      <c r="N10" s="116" t="s">
        <v>167</v>
      </c>
      <c r="O10" s="126">
        <f>IF(P10=0,0,Q10/P10)</f>
        <v>-28.55</v>
      </c>
      <c r="P10" s="120">
        <v>2</v>
      </c>
      <c r="Q10" s="108">
        <v>-57.1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5">
        <f>IF(B$17=0,0,G11/B$17)</f>
        <v>0.05</v>
      </c>
      <c r="I11" s="96">
        <v>1</v>
      </c>
      <c r="K11" s="38">
        <v>9</v>
      </c>
      <c r="L11" s="101">
        <v>-128.6</v>
      </c>
      <c r="N11" s="117" t="s">
        <v>168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162</v>
      </c>
      <c r="B12" s="49">
        <v>2</v>
      </c>
      <c r="C12" s="42">
        <f>IF(B$2=0,0,B12/B$2)</f>
        <v>0.16666666666666666</v>
      </c>
      <c r="E12" s="63" t="s">
        <v>86</v>
      </c>
      <c r="F12" s="60" t="s">
        <v>40</v>
      </c>
      <c r="G12" s="47">
        <v>1</v>
      </c>
      <c r="H12" s="135">
        <f>IF(B$17=0,0,G12/B$17)</f>
        <v>0.05</v>
      </c>
      <c r="I12" s="96">
        <v>4</v>
      </c>
      <c r="K12" s="38">
        <v>10</v>
      </c>
      <c r="L12" s="101">
        <v>-183.7</v>
      </c>
      <c r="N12" s="118" t="s">
        <v>169</v>
      </c>
      <c r="O12" s="128">
        <f>IF(P12=0,0,Q12/P12)</f>
        <v>-3.2999999999999989</v>
      </c>
      <c r="P12" s="122">
        <v>6</v>
      </c>
      <c r="Q12" s="110">
        <v>-19.799999999999994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0.19540229885057472</v>
      </c>
      <c r="E13" s="63" t="s">
        <v>88</v>
      </c>
      <c r="F13" s="60" t="s">
        <v>42</v>
      </c>
      <c r="G13" s="47">
        <v>1</v>
      </c>
      <c r="H13" s="135">
        <f>IF(B$17=0,0,G13/B$17)</f>
        <v>0.05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21</v>
      </c>
      <c r="C14" s="39">
        <f>IF(B$3=0,0,B14/B$3)</f>
        <v>0.2413793103448276</v>
      </c>
      <c r="E14" s="63" t="s">
        <v>94</v>
      </c>
      <c r="F14" s="60" t="s">
        <v>48</v>
      </c>
      <c r="G14" s="47">
        <v>1</v>
      </c>
      <c r="H14" s="135">
        <f>IF(B$17=0,0,G14/B$17)</f>
        <v>0.05</v>
      </c>
      <c r="I14" s="96">
        <v>1</v>
      </c>
      <c r="K14" s="38">
        <v>12</v>
      </c>
      <c r="L14" s="101">
        <v>-208.09999999999997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5">
        <f>IF(B$17=0,0,G15/B$17)</f>
        <v>0</v>
      </c>
      <c r="I15" s="96">
        <v>9</v>
      </c>
      <c r="N15" s="116" t="s">
        <v>189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127</v>
      </c>
      <c r="B16" s="46">
        <v>7</v>
      </c>
      <c r="C16" s="37">
        <f>IF(B$14=0,0,B16/B$14)</f>
        <v>0.33333333333333331</v>
      </c>
      <c r="E16" s="63" t="s">
        <v>73</v>
      </c>
      <c r="F16" s="60" t="s">
        <v>27</v>
      </c>
      <c r="G16" s="47">
        <v>0</v>
      </c>
      <c r="H16" s="135">
        <f>IF(B$17=0,0,G16/B$17)</f>
        <v>0</v>
      </c>
      <c r="I16" s="96">
        <v>8</v>
      </c>
      <c r="N16" s="117" t="s">
        <v>176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0.22988505747126436</v>
      </c>
      <c r="E17" s="63" t="s">
        <v>75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N17" s="117" t="s">
        <v>130</v>
      </c>
      <c r="O17" s="127">
        <f>IF(P17=0,0,Q17/P17)</f>
        <v>-9.1875</v>
      </c>
      <c r="P17" s="121">
        <v>8</v>
      </c>
      <c r="Q17" s="109">
        <v>-73.5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131</v>
      </c>
      <c r="O18" s="127">
        <f>IF(P18=0,0,Q18/P18)</f>
        <v>-29.700000000000003</v>
      </c>
      <c r="P18" s="121">
        <v>1</v>
      </c>
      <c r="Q18" s="109">
        <v>-29.700000000000003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174</v>
      </c>
      <c r="O19" s="127">
        <f>IF(P19=0,0,Q19/P19)</f>
        <v>-35.1</v>
      </c>
      <c r="P19" s="121">
        <v>1</v>
      </c>
      <c r="Q19" s="109">
        <v>-35.1</v>
      </c>
    </row>
    <row r="20" spans="1:17" x14ac:dyDescent="0.4">
      <c r="A20" s="55" t="s">
        <v>13</v>
      </c>
      <c r="B20" s="47">
        <v>18</v>
      </c>
      <c r="C20" s="39">
        <f>IF(B$3=0,0,B20/B$3)</f>
        <v>0.20689655172413793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-45.699999999999996</v>
      </c>
      <c r="P20" s="121">
        <v>3</v>
      </c>
      <c r="Q20" s="109">
        <v>-137.1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-61.750000000000007</v>
      </c>
      <c r="P21" s="121">
        <v>6</v>
      </c>
      <c r="Q21" s="109">
        <v>-370.50000000000006</v>
      </c>
    </row>
    <row r="22" spans="1:17" x14ac:dyDescent="0.4">
      <c r="A22" s="55" t="s">
        <v>197</v>
      </c>
      <c r="B22" s="47">
        <v>16</v>
      </c>
      <c r="C22" s="137">
        <v>3</v>
      </c>
      <c r="E22" s="63" t="s">
        <v>81</v>
      </c>
      <c r="F22" s="60" t="s">
        <v>35</v>
      </c>
      <c r="G22" s="47">
        <v>0</v>
      </c>
      <c r="H22" s="135">
        <f>IF(B$17=0,0,G22/B$17)</f>
        <v>0</v>
      </c>
      <c r="I22" s="96">
        <v>4</v>
      </c>
      <c r="N22" s="117" t="s">
        <v>175</v>
      </c>
      <c r="O22" s="127">
        <f>IF(P22=0,0,Q22/P22)</f>
        <v>-135.9</v>
      </c>
      <c r="P22" s="121">
        <v>1</v>
      </c>
      <c r="Q22" s="109">
        <v>-135.9</v>
      </c>
    </row>
    <row r="23" spans="1:17" x14ac:dyDescent="0.4">
      <c r="A23" s="55" t="s">
        <v>5</v>
      </c>
      <c r="B23" s="51">
        <f>IF(B$17=0,0,C23/B$17)</f>
        <v>6480</v>
      </c>
      <c r="C23" s="41">
        <v>129600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-7411.1111111111113</v>
      </c>
      <c r="C24" s="45">
        <v>-133400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84</v>
      </c>
      <c r="F25" s="60" t="s">
        <v>38</v>
      </c>
      <c r="G25" s="47">
        <v>0</v>
      </c>
      <c r="H25" s="135">
        <f>IF(B$17=0,0,G25/B$17)</f>
        <v>0</v>
      </c>
      <c r="I25" s="96">
        <v>7</v>
      </c>
    </row>
    <row r="26" spans="1:17" x14ac:dyDescent="0.4">
      <c r="A26" s="58" t="s">
        <v>154</v>
      </c>
      <c r="B26" s="140">
        <v>65000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1.1494252873563218E-2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5">
        <f>IF(B$17=0,0,G28/B$17)</f>
        <v>0</v>
      </c>
      <c r="I28" s="96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4EC3-5142-41C3-A3F4-54613F3DF19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188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</v>
      </c>
      <c r="C2" s="149"/>
      <c r="E2" s="62" t="s">
        <v>66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68</v>
      </c>
      <c r="F3" s="60" t="s">
        <v>23</v>
      </c>
      <c r="G3" s="47">
        <v>3</v>
      </c>
      <c r="H3" s="135">
        <f>IF(B$17=0,0,G3/B$17)</f>
        <v>0.6</v>
      </c>
      <c r="I3" s="96">
        <v>7</v>
      </c>
      <c r="K3" s="38">
        <v>1</v>
      </c>
      <c r="L3" s="101">
        <v>-14.6</v>
      </c>
      <c r="N3" s="117" t="s">
        <v>135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74</v>
      </c>
      <c r="F4" s="60" t="s">
        <v>28</v>
      </c>
      <c r="G4" s="47">
        <v>3</v>
      </c>
      <c r="H4" s="135">
        <f>IF(B$17=0,0,G4/B$17)</f>
        <v>0.6</v>
      </c>
      <c r="I4" s="96">
        <v>4</v>
      </c>
      <c r="K4" s="38">
        <v>2</v>
      </c>
      <c r="L4" s="101">
        <v>22.5</v>
      </c>
      <c r="N4" s="117" t="s">
        <v>136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69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137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92</v>
      </c>
      <c r="F6" s="60" t="s">
        <v>46</v>
      </c>
      <c r="G6" s="47">
        <v>2</v>
      </c>
      <c r="H6" s="135">
        <f>IF(B$17=0,0,G6/B$17)</f>
        <v>0.4</v>
      </c>
      <c r="I6" s="96">
        <v>1</v>
      </c>
      <c r="N6" s="117" t="s">
        <v>138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184</v>
      </c>
      <c r="F7" s="60" t="s">
        <v>185</v>
      </c>
      <c r="G7" s="47">
        <v>2</v>
      </c>
      <c r="H7" s="135">
        <f>IF(B$17=0,0,G7/B$17)</f>
        <v>0.4</v>
      </c>
      <c r="I7" s="96">
        <v>4</v>
      </c>
      <c r="N7" s="118" t="s">
        <v>139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5">
        <f>IF(B$17=0,0,G8/B$17)</f>
        <v>0.2</v>
      </c>
      <c r="I8" s="96">
        <v>8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5">
        <f>IF(B$17=0,0,G9/B$17)</f>
        <v>0.2</v>
      </c>
      <c r="I9" s="96">
        <v>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5">
        <f>IF(B$17=0,0,G11/B$17)</f>
        <v>0.2</v>
      </c>
      <c r="I11" s="96">
        <v>1</v>
      </c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8</v>
      </c>
      <c r="N12" s="118" t="s">
        <v>169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189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180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176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5">
        <f>IF(B$17=0,0,G18/B$17)</f>
        <v>0</v>
      </c>
      <c r="I18" s="96">
        <v>3</v>
      </c>
      <c r="N18" s="117" t="s">
        <v>129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5">
        <f>IF(B$17=0,0,G20/B$17)</f>
        <v>0</v>
      </c>
      <c r="I20" s="96">
        <v>4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82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12</v>
      </c>
      <c r="C22" s="137">
        <v>12</v>
      </c>
      <c r="E22" s="63" t="s">
        <v>83</v>
      </c>
      <c r="F22" s="60" t="s">
        <v>37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5">
        <f>IF(B$17=0,0,G23/B$17)</f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86</v>
      </c>
      <c r="F25" s="60" t="s">
        <v>40</v>
      </c>
      <c r="G25" s="47">
        <v>0</v>
      </c>
      <c r="H25" s="135">
        <f>IF(B$17=0,0,G25/B$17)</f>
        <v>0</v>
      </c>
      <c r="I25" s="96">
        <v>10</v>
      </c>
    </row>
    <row r="26" spans="1:17" x14ac:dyDescent="0.4">
      <c r="A26" s="58" t="s">
        <v>154</v>
      </c>
      <c r="B26" s="140">
        <v>53500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198C-9898-4638-8597-D22BDEBBE57C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7</v>
      </c>
      <c r="C2" s="149"/>
      <c r="E2" s="62" t="s">
        <v>68</v>
      </c>
      <c r="F2" s="59" t="s">
        <v>23</v>
      </c>
      <c r="G2" s="46">
        <v>10</v>
      </c>
      <c r="H2" s="134">
        <f>IF(B$17=0,0,G2/B$17)</f>
        <v>0.83333333333333337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74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135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66</v>
      </c>
      <c r="F4" s="60" t="s">
        <v>21</v>
      </c>
      <c r="G4" s="47">
        <v>5</v>
      </c>
      <c r="H4" s="135">
        <f>IF(B$17=0,0,G4/B$17)</f>
        <v>0.41666666666666669</v>
      </c>
      <c r="I4" s="96">
        <v>9</v>
      </c>
      <c r="K4" s="38">
        <v>2</v>
      </c>
      <c r="L4" s="101">
        <v>-76.2</v>
      </c>
      <c r="N4" s="117" t="s">
        <v>136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184</v>
      </c>
      <c r="F5" s="60" t="s">
        <v>185</v>
      </c>
      <c r="G5" s="47">
        <v>4</v>
      </c>
      <c r="H5" s="135">
        <f>IF(B$17=0,0,G5/B$17)</f>
        <v>0.33333333333333331</v>
      </c>
      <c r="I5" s="96">
        <v>6</v>
      </c>
      <c r="K5" s="38">
        <v>3</v>
      </c>
      <c r="L5" s="101">
        <v>-78.400000000000006</v>
      </c>
      <c r="N5" s="117" t="s">
        <v>137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92</v>
      </c>
      <c r="F6" s="60" t="s">
        <v>46</v>
      </c>
      <c r="G6" s="47">
        <v>3</v>
      </c>
      <c r="H6" s="135">
        <f>IF(B$17=0,0,G6/B$17)</f>
        <v>0.25</v>
      </c>
      <c r="I6" s="96">
        <v>2</v>
      </c>
      <c r="K6" s="38">
        <v>4</v>
      </c>
      <c r="L6" s="101">
        <v>-49.800000000000004</v>
      </c>
      <c r="N6" s="117" t="s">
        <v>138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2</v>
      </c>
      <c r="H7" s="135">
        <f>IF(B$17=0,0,G7/B$17)</f>
        <v>0.16666666666666666</v>
      </c>
      <c r="I7" s="96">
        <v>10</v>
      </c>
      <c r="K7" s="38">
        <v>5</v>
      </c>
      <c r="L7" s="101">
        <v>-121</v>
      </c>
      <c r="N7" s="118" t="s">
        <v>139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71</v>
      </c>
      <c r="F8" s="60" t="s">
        <v>25</v>
      </c>
      <c r="G8" s="47">
        <v>2</v>
      </c>
      <c r="H8" s="135">
        <f>IF(B$17=0,0,G8/B$17)</f>
        <v>0.16666666666666666</v>
      </c>
      <c r="I8" s="96">
        <v>7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72</v>
      </c>
      <c r="F9" s="60" t="s">
        <v>26</v>
      </c>
      <c r="G9" s="47">
        <v>1</v>
      </c>
      <c r="H9" s="135">
        <f>IF(B$17=0,0,G9/B$17)</f>
        <v>8.3333333333333329E-2</v>
      </c>
      <c r="I9" s="96">
        <v>6</v>
      </c>
      <c r="K9" s="38">
        <v>7</v>
      </c>
      <c r="L9" s="101">
        <v>-218.2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84</v>
      </c>
      <c r="F10" s="60" t="s">
        <v>38</v>
      </c>
      <c r="G10" s="47">
        <v>1</v>
      </c>
      <c r="H10" s="135">
        <f>IF(B$17=0,0,G10/B$17)</f>
        <v>8.3333333333333329E-2</v>
      </c>
      <c r="I10" s="96">
        <v>1</v>
      </c>
      <c r="N10" s="116" t="s">
        <v>167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1</v>
      </c>
      <c r="H11" s="135">
        <f>IF(B$17=0,0,G11/B$17)</f>
        <v>8.3333333333333329E-2</v>
      </c>
      <c r="I11" s="96">
        <v>1</v>
      </c>
      <c r="N11" s="117" t="s">
        <v>168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8</v>
      </c>
      <c r="N12" s="118" t="s">
        <v>169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124</v>
      </c>
      <c r="B13" s="50">
        <v>7</v>
      </c>
      <c r="C13" s="44">
        <f>IF(B$3=0,0,B13/B$3)</f>
        <v>0.12280701754385964</v>
      </c>
      <c r="E13" s="63" t="s">
        <v>69</v>
      </c>
      <c r="F13" s="60" t="s">
        <v>24</v>
      </c>
      <c r="G13" s="47">
        <v>0</v>
      </c>
      <c r="H13" s="135">
        <f>IF(B$17=0,0,G13/B$17)</f>
        <v>0</v>
      </c>
      <c r="I13" s="96">
        <v>10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13</v>
      </c>
      <c r="C14" s="39">
        <f>IF(B$3=0,0,B14/B$3)</f>
        <v>0.22807017543859648</v>
      </c>
      <c r="E14" s="63" t="s">
        <v>73</v>
      </c>
      <c r="F14" s="60" t="s">
        <v>27</v>
      </c>
      <c r="G14" s="47">
        <v>0</v>
      </c>
      <c r="H14" s="135">
        <f>IF(B$17=0,0,G14/B$17)</f>
        <v>0</v>
      </c>
      <c r="I14" s="96">
        <v>8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</v>
      </c>
      <c r="C15" s="37">
        <f>IF(B$13=0,0,B15/B$13)</f>
        <v>0.7142857142857143</v>
      </c>
      <c r="E15" s="63" t="s">
        <v>75</v>
      </c>
      <c r="F15" s="60" t="s">
        <v>29</v>
      </c>
      <c r="G15" s="47">
        <v>0</v>
      </c>
      <c r="H15" s="135">
        <f>IF(B$17=0,0,G15/B$17)</f>
        <v>0</v>
      </c>
      <c r="I15" s="96">
        <v>4</v>
      </c>
      <c r="N15" s="116" t="s">
        <v>131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127</v>
      </c>
      <c r="B16" s="46">
        <v>5</v>
      </c>
      <c r="C16" s="37">
        <f>IF(B$14=0,0,B16/B$14)</f>
        <v>0.38461538461538464</v>
      </c>
      <c r="E16" s="63" t="s">
        <v>76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174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77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129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180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5">
        <f>IF(B$17=0,0,G19/B$17)</f>
        <v>0</v>
      </c>
      <c r="I19" s="96">
        <v>3</v>
      </c>
      <c r="N19" s="117" t="s">
        <v>130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80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188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4</v>
      </c>
    </row>
    <row r="22" spans="1:17" x14ac:dyDescent="0.4">
      <c r="A22" s="55" t="s">
        <v>197</v>
      </c>
      <c r="B22" s="47">
        <v>10</v>
      </c>
      <c r="C22" s="137">
        <v>4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87</v>
      </c>
      <c r="F25" s="60" t="s">
        <v>41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43600</v>
      </c>
      <c r="C26" s="141"/>
      <c r="E26" s="63" t="s">
        <v>88</v>
      </c>
      <c r="F26" s="60" t="s">
        <v>42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97D1-27F1-43CD-9867-02CD99D9F581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189</v>
      </c>
      <c r="B1" s="70" t="s">
        <v>189</v>
      </c>
      <c r="C1" s="70" t="s">
        <v>189</v>
      </c>
      <c r="D1" s="71" t="s">
        <v>189</v>
      </c>
      <c r="E1" s="70" t="s">
        <v>189</v>
      </c>
      <c r="F1" s="70" t="s">
        <v>189</v>
      </c>
      <c r="G1" s="70" t="s">
        <v>189</v>
      </c>
      <c r="H1" s="70" t="s">
        <v>189</v>
      </c>
      <c r="I1" s="70" t="s">
        <v>189</v>
      </c>
      <c r="J1" s="70" t="s">
        <v>189</v>
      </c>
      <c r="K1" s="70" t="s">
        <v>189</v>
      </c>
      <c r="L1" s="70" t="s">
        <v>189</v>
      </c>
      <c r="M1" s="70" t="s">
        <v>189</v>
      </c>
      <c r="N1" s="70" t="s">
        <v>189</v>
      </c>
      <c r="O1" s="70" t="s">
        <v>189</v>
      </c>
      <c r="P1" s="70" t="s">
        <v>189</v>
      </c>
      <c r="Q1" s="70" t="s">
        <v>189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0.1111111111111111</v>
      </c>
      <c r="M4" s="67">
        <v>0.1111111111111111</v>
      </c>
      <c r="N4" s="67">
        <v>1</v>
      </c>
      <c r="O4" s="67">
        <v>1</v>
      </c>
      <c r="P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6.6666666666666666E-2</v>
      </c>
      <c r="M5" s="67">
        <v>6.6666666666666666E-2</v>
      </c>
      <c r="N5" s="67">
        <v>1</v>
      </c>
      <c r="O5" s="67">
        <v>1</v>
      </c>
      <c r="P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0.10714285714285714</v>
      </c>
      <c r="M6" s="67">
        <v>0.14285714285714285</v>
      </c>
      <c r="N6" s="67">
        <v>1</v>
      </c>
      <c r="O6" s="67">
        <v>0.75</v>
      </c>
      <c r="P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0.1891891891891892</v>
      </c>
      <c r="M7" s="67">
        <v>0.16216216216216217</v>
      </c>
      <c r="N7" s="67">
        <v>0.7142857142857143</v>
      </c>
      <c r="O7" s="67">
        <v>0.66666666666666663</v>
      </c>
      <c r="P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0.23809523809523808</v>
      </c>
      <c r="G8" s="67">
        <v>0.26190476190476192</v>
      </c>
      <c r="H8" s="68">
        <v>6070</v>
      </c>
      <c r="I8" s="68">
        <v>-8300</v>
      </c>
      <c r="J8" s="67">
        <v>0.2</v>
      </c>
      <c r="K8" s="67">
        <v>0</v>
      </c>
      <c r="L8" s="67">
        <v>0.16666666666666666</v>
      </c>
      <c r="M8" s="67">
        <v>0.21428571428571427</v>
      </c>
      <c r="N8" s="67">
        <v>0.7142857142857143</v>
      </c>
      <c r="O8" s="67">
        <v>0.44444444444444442</v>
      </c>
      <c r="P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0.22916666666666666</v>
      </c>
      <c r="G9" s="67">
        <v>0.29166666666666669</v>
      </c>
      <c r="H9" s="68">
        <v>6972.727272727273</v>
      </c>
      <c r="I9" s="68">
        <v>-8585.7142857142862</v>
      </c>
      <c r="J9" s="67">
        <v>0.16666666666666666</v>
      </c>
      <c r="K9" s="67">
        <v>0</v>
      </c>
      <c r="L9" s="67">
        <v>0.14583333333333334</v>
      </c>
      <c r="M9" s="67">
        <v>0.22916666666666666</v>
      </c>
      <c r="N9" s="67">
        <v>0.7142857142857143</v>
      </c>
      <c r="O9" s="67">
        <v>0.45454545454545453</v>
      </c>
      <c r="P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0.21052631578947367</v>
      </c>
      <c r="G10" s="67">
        <v>0.2807017543859649</v>
      </c>
      <c r="H10" s="68">
        <v>6500</v>
      </c>
      <c r="I10" s="68">
        <v>-8762.5</v>
      </c>
      <c r="J10" s="67">
        <v>0.14285714285714285</v>
      </c>
      <c r="K10" s="67">
        <v>0</v>
      </c>
      <c r="L10" s="67">
        <v>0.12280701754385964</v>
      </c>
      <c r="M10" s="67">
        <v>0.22807017543859648</v>
      </c>
      <c r="N10" s="67">
        <v>0.7142857142857143</v>
      </c>
      <c r="O10" s="67">
        <v>0.38461538461538464</v>
      </c>
      <c r="P10" s="67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C075-9EE8-47E3-BD1C-6649008D4E85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188</v>
      </c>
      <c r="B1" s="70" t="s">
        <v>188</v>
      </c>
      <c r="C1" s="70" t="s">
        <v>188</v>
      </c>
      <c r="D1" s="71" t="s">
        <v>188</v>
      </c>
      <c r="E1" s="70" t="s">
        <v>188</v>
      </c>
      <c r="F1" s="70" t="s">
        <v>188</v>
      </c>
      <c r="G1" s="70" t="s">
        <v>188</v>
      </c>
      <c r="H1" s="70" t="s">
        <v>188</v>
      </c>
      <c r="I1" s="70" t="s">
        <v>188</v>
      </c>
      <c r="J1" s="70" t="s">
        <v>188</v>
      </c>
      <c r="K1" s="70" t="s">
        <v>188</v>
      </c>
      <c r="L1" s="70" t="s">
        <v>188</v>
      </c>
      <c r="M1" s="70" t="s">
        <v>188</v>
      </c>
      <c r="N1" s="70" t="s">
        <v>188</v>
      </c>
      <c r="O1" s="70" t="s">
        <v>188</v>
      </c>
      <c r="P1" s="70" t="s">
        <v>188</v>
      </c>
      <c r="Q1" s="70" t="s">
        <v>188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0.2857142857142857</v>
      </c>
      <c r="M4" s="67">
        <v>0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0.30769230769230771</v>
      </c>
      <c r="M5" s="67">
        <v>0.15384615384615385</v>
      </c>
      <c r="N5" s="67">
        <v>0.5</v>
      </c>
      <c r="O5" s="67">
        <v>0.5</v>
      </c>
      <c r="P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0.26315789473684209</v>
      </c>
      <c r="M6" s="67">
        <v>0.21052631578947367</v>
      </c>
      <c r="N6" s="67">
        <v>0.6</v>
      </c>
      <c r="O6" s="67">
        <v>0.5</v>
      </c>
      <c r="P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7D31-7B72-4421-932F-B81AC7E4CC57}">
  <sheetPr codeName="Sheet20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0.14285714285714285</v>
      </c>
      <c r="N4" s="67">
        <v>0</v>
      </c>
      <c r="O4" s="67">
        <v>0</v>
      </c>
      <c r="P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0.11764705882352941</v>
      </c>
      <c r="M5" s="67">
        <v>0.17647058823529413</v>
      </c>
      <c r="N5" s="67">
        <v>1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0.16666666666666666</v>
      </c>
      <c r="M6" s="67">
        <v>0.25</v>
      </c>
      <c r="N6" s="67">
        <v>0.75</v>
      </c>
      <c r="O6" s="67">
        <v>0.33333333333333331</v>
      </c>
      <c r="P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0.24242424242424243</v>
      </c>
      <c r="M7" s="67">
        <v>0.27272727272727271</v>
      </c>
      <c r="N7" s="67">
        <v>0.875</v>
      </c>
      <c r="O7" s="67">
        <v>0.33333333333333331</v>
      </c>
      <c r="P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0.25641025641025639</v>
      </c>
      <c r="M8" s="67">
        <v>0.28205128205128205</v>
      </c>
      <c r="N8" s="67">
        <v>0.8</v>
      </c>
      <c r="O8" s="67">
        <v>0.27272727272727271</v>
      </c>
      <c r="P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0.26666666666666666</v>
      </c>
      <c r="M9" s="67">
        <v>0.26666666666666666</v>
      </c>
      <c r="N9" s="67">
        <v>0.66666666666666663</v>
      </c>
      <c r="O9" s="67">
        <v>0.33333333333333331</v>
      </c>
      <c r="P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0.24074074074074073</v>
      </c>
      <c r="M10" s="67">
        <v>0.25925925925925924</v>
      </c>
      <c r="N10" s="67">
        <v>0.61538461538461542</v>
      </c>
      <c r="O10" s="67">
        <v>0.35714285714285715</v>
      </c>
      <c r="P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0.23333333333333334</v>
      </c>
      <c r="M11" s="67">
        <v>0.25</v>
      </c>
      <c r="N11" s="67">
        <v>0.5714285714285714</v>
      </c>
      <c r="O11" s="67">
        <v>0.33333333333333331</v>
      </c>
      <c r="P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0.20289855072463769</v>
      </c>
      <c r="M12" s="67">
        <v>0.2608695652173913</v>
      </c>
      <c r="N12" s="67">
        <v>0.5714285714285714</v>
      </c>
      <c r="O12" s="67">
        <v>0.33333333333333331</v>
      </c>
      <c r="P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0.19444444444444445</v>
      </c>
      <c r="M13" s="67">
        <v>0.25</v>
      </c>
      <c r="N13" s="67">
        <v>0.5714285714285714</v>
      </c>
      <c r="O13" s="67">
        <v>0.33333333333333331</v>
      </c>
      <c r="P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0.20987654320987653</v>
      </c>
      <c r="M14" s="67">
        <v>0.24691358024691357</v>
      </c>
      <c r="N14" s="67">
        <v>0.52941176470588236</v>
      </c>
      <c r="O14" s="67">
        <v>0.35</v>
      </c>
      <c r="P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0.22988505747126436</v>
      </c>
      <c r="G15" s="67">
        <v>0.20689655172413793</v>
      </c>
      <c r="H15" s="68">
        <v>6480</v>
      </c>
      <c r="I15" s="68">
        <v>-7411.1111111111113</v>
      </c>
      <c r="J15" s="67">
        <v>0.25</v>
      </c>
      <c r="K15" s="67">
        <v>0</v>
      </c>
      <c r="L15" s="67">
        <v>0.19540229885057472</v>
      </c>
      <c r="M15" s="67">
        <v>0.2413793103448276</v>
      </c>
      <c r="N15" s="67">
        <v>0.52941176470588236</v>
      </c>
      <c r="O15" s="67">
        <v>0.33333333333333331</v>
      </c>
      <c r="P15" s="67">
        <v>0.35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E64B5-8350-4E79-8895-FF9ECCF9C763}">
  <sheetPr codeName="Sheet18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0.14285714285714285</v>
      </c>
      <c r="M4" s="67">
        <v>0.14285714285714285</v>
      </c>
      <c r="N4" s="67">
        <v>0</v>
      </c>
      <c r="O4" s="67">
        <v>0</v>
      </c>
      <c r="P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0.15789473684210525</v>
      </c>
      <c r="M5" s="67">
        <v>0.10526315789473684</v>
      </c>
      <c r="N5" s="67">
        <v>0.33333333333333331</v>
      </c>
      <c r="O5" s="67">
        <v>0.5</v>
      </c>
      <c r="P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0.14814814814814814</v>
      </c>
      <c r="M6" s="67">
        <v>0.1111111111111111</v>
      </c>
      <c r="N6" s="67">
        <v>0.25</v>
      </c>
      <c r="O6" s="67">
        <v>0.33333333333333331</v>
      </c>
      <c r="P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0.17948717948717949</v>
      </c>
      <c r="M7" s="67">
        <v>0.10256410256410256</v>
      </c>
      <c r="N7" s="67">
        <v>0.5714285714285714</v>
      </c>
      <c r="O7" s="67">
        <v>0.25</v>
      </c>
      <c r="P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0.19148936170212766</v>
      </c>
      <c r="M8" s="67">
        <v>0.1276595744680851</v>
      </c>
      <c r="N8" s="67">
        <v>0.44444444444444442</v>
      </c>
      <c r="O8" s="67">
        <v>0.16666666666666666</v>
      </c>
      <c r="P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0.16666666666666666</v>
      </c>
      <c r="M9" s="67">
        <v>0.14814814814814814</v>
      </c>
      <c r="N9" s="67">
        <v>0.44444444444444442</v>
      </c>
      <c r="O9" s="67">
        <v>0.25</v>
      </c>
      <c r="P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0.140625</v>
      </c>
      <c r="M10" s="67">
        <v>0.1875</v>
      </c>
      <c r="N10" s="67">
        <v>0.44444444444444442</v>
      </c>
      <c r="O10" s="67">
        <v>0.33333333333333331</v>
      </c>
      <c r="P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0.14864864864864866</v>
      </c>
      <c r="M11" s="67">
        <v>0.21621621621621623</v>
      </c>
      <c r="N11" s="67">
        <v>0.45454545454545453</v>
      </c>
      <c r="O11" s="67">
        <v>0.375</v>
      </c>
      <c r="P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P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0.14432989690721648</v>
      </c>
      <c r="M13" s="67">
        <v>0.25773195876288657</v>
      </c>
      <c r="N13" s="67">
        <v>0.42857142857142855</v>
      </c>
      <c r="O13" s="67">
        <v>0.36</v>
      </c>
      <c r="P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0.13592233009708737</v>
      </c>
      <c r="M14" s="67">
        <v>0.25242718446601942</v>
      </c>
      <c r="N14" s="67">
        <v>0.42857142857142855</v>
      </c>
      <c r="O14" s="67">
        <v>0.38461538461538464</v>
      </c>
      <c r="P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0.15929203539823009</v>
      </c>
      <c r="M15" s="67">
        <v>0.23008849557522124</v>
      </c>
      <c r="N15" s="67">
        <v>0.5</v>
      </c>
      <c r="O15" s="67">
        <v>0.38461538461538464</v>
      </c>
      <c r="P15" s="67">
        <v>0.53125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504D3-9357-4209-84E7-56A654A16F5A}">
  <sheetPr codeName="Sheet16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175</v>
      </c>
      <c r="B1" s="70" t="s">
        <v>175</v>
      </c>
      <c r="C1" s="70" t="s">
        <v>175</v>
      </c>
      <c r="D1" s="71" t="s">
        <v>175</v>
      </c>
      <c r="E1" s="70" t="s">
        <v>175</v>
      </c>
      <c r="F1" s="70" t="s">
        <v>175</v>
      </c>
      <c r="G1" s="70" t="s">
        <v>175</v>
      </c>
      <c r="H1" s="70" t="s">
        <v>175</v>
      </c>
      <c r="I1" s="70" t="s">
        <v>175</v>
      </c>
      <c r="J1" s="70" t="s">
        <v>175</v>
      </c>
      <c r="K1" s="70" t="s">
        <v>175</v>
      </c>
      <c r="L1" s="70" t="s">
        <v>175</v>
      </c>
      <c r="M1" s="70" t="s">
        <v>175</v>
      </c>
      <c r="N1" s="70" t="s">
        <v>175</v>
      </c>
      <c r="O1" s="70" t="s">
        <v>175</v>
      </c>
      <c r="P1" s="70" t="s">
        <v>175</v>
      </c>
      <c r="Q1" s="70" t="s">
        <v>175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0.125</v>
      </c>
      <c r="M5" s="67">
        <v>0.375</v>
      </c>
      <c r="N5" s="67">
        <v>0</v>
      </c>
      <c r="O5" s="67">
        <v>0.16666666666666666</v>
      </c>
      <c r="P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0.15</v>
      </c>
      <c r="M6" s="67">
        <v>0.4</v>
      </c>
      <c r="N6" s="67">
        <v>0.33333333333333331</v>
      </c>
      <c r="O6" s="67">
        <v>0.375</v>
      </c>
      <c r="P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0.14285714285714285</v>
      </c>
      <c r="M7" s="67">
        <v>0.39285714285714285</v>
      </c>
      <c r="N7" s="67">
        <v>0.5</v>
      </c>
      <c r="O7" s="67">
        <v>0.45454545454545453</v>
      </c>
      <c r="P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0.15</v>
      </c>
      <c r="M8" s="67">
        <v>0.35</v>
      </c>
      <c r="N8" s="67">
        <v>0.5</v>
      </c>
      <c r="O8" s="67">
        <v>0.42857142857142855</v>
      </c>
      <c r="P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0.14893617021276595</v>
      </c>
      <c r="M9" s="67">
        <v>0.36170212765957449</v>
      </c>
      <c r="N9" s="67">
        <v>0.5714285714285714</v>
      </c>
      <c r="O9" s="67">
        <v>0.41176470588235292</v>
      </c>
      <c r="P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0.18181818181818182</v>
      </c>
      <c r="M10" s="67">
        <v>0.34545454545454546</v>
      </c>
      <c r="N10" s="67">
        <v>0.7</v>
      </c>
      <c r="O10" s="67">
        <v>0.36842105263157893</v>
      </c>
      <c r="P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0.18032786885245902</v>
      </c>
      <c r="M11" s="67">
        <v>0.34426229508196721</v>
      </c>
      <c r="N11" s="67">
        <v>0.63636363636363635</v>
      </c>
      <c r="O11" s="67">
        <v>0.33333333333333331</v>
      </c>
      <c r="P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0.29577464788732394</v>
      </c>
      <c r="G12" s="67">
        <v>0.18309859154929578</v>
      </c>
      <c r="H12" s="68">
        <v>6409.5238095238092</v>
      </c>
      <c r="I12" s="68">
        <v>-7530.7692307692305</v>
      </c>
      <c r="J12" s="67">
        <v>0</v>
      </c>
      <c r="K12" s="67">
        <v>0</v>
      </c>
      <c r="L12" s="67">
        <v>0.18309859154929578</v>
      </c>
      <c r="M12" s="67">
        <v>0.38028169014084506</v>
      </c>
      <c r="N12" s="67">
        <v>0.61538461538461542</v>
      </c>
      <c r="O12" s="67">
        <v>0.37037037037037035</v>
      </c>
      <c r="P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0.35064935064935066</v>
      </c>
      <c r="G13" s="67">
        <v>0.16883116883116883</v>
      </c>
      <c r="H13" s="68">
        <v>6788.8888888888887</v>
      </c>
      <c r="I13" s="68">
        <v>-7530.7692307692305</v>
      </c>
      <c r="J13" s="67">
        <v>0</v>
      </c>
      <c r="K13" s="67">
        <v>0.1</v>
      </c>
      <c r="L13" s="67">
        <v>0.23376623376623376</v>
      </c>
      <c r="M13" s="67">
        <v>0.36363636363636365</v>
      </c>
      <c r="N13" s="67">
        <v>0.72222222222222221</v>
      </c>
      <c r="O13" s="67">
        <v>0.39285714285714285</v>
      </c>
      <c r="P13" s="67">
        <v>0.40740740740740738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EB9AE-131D-428E-8577-B89A5F95251D}">
  <sheetPr codeName="Sheet14"/>
  <dimension ref="A1:Q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0.2857142857142857</v>
      </c>
      <c r="M4" s="67">
        <v>0.14285714285714285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0.25</v>
      </c>
      <c r="M5" s="67">
        <v>6.25E-2</v>
      </c>
      <c r="N5" s="67">
        <v>0.25</v>
      </c>
      <c r="O5" s="67">
        <v>0</v>
      </c>
      <c r="P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0.21739130434782608</v>
      </c>
      <c r="M6" s="67">
        <v>0.21739130434782608</v>
      </c>
      <c r="N6" s="67">
        <v>0.4</v>
      </c>
      <c r="O6" s="67">
        <v>0.4</v>
      </c>
      <c r="P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0.18518518518518517</v>
      </c>
      <c r="M7" s="67">
        <v>0.25925925925925924</v>
      </c>
      <c r="N7" s="67">
        <v>0.4</v>
      </c>
      <c r="O7" s="67">
        <v>0.2857142857142857</v>
      </c>
      <c r="P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0.1891891891891892</v>
      </c>
      <c r="M8" s="67">
        <v>0.21621621621621623</v>
      </c>
      <c r="N8" s="67">
        <v>0.5714285714285714</v>
      </c>
      <c r="O8" s="67">
        <v>0.375</v>
      </c>
      <c r="P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0.22448979591836735</v>
      </c>
      <c r="M9" s="67">
        <v>0.24489795918367346</v>
      </c>
      <c r="N9" s="67">
        <v>0.54545454545454541</v>
      </c>
      <c r="O9" s="67">
        <v>0.41666666666666669</v>
      </c>
      <c r="P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0.21052631578947367</v>
      </c>
      <c r="M10" s="67">
        <v>0.24561403508771928</v>
      </c>
      <c r="N10" s="67">
        <v>0.5</v>
      </c>
      <c r="O10" s="67">
        <v>0.35714285714285715</v>
      </c>
      <c r="P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0.24637681159420291</v>
      </c>
      <c r="M11" s="67">
        <v>0.2318840579710145</v>
      </c>
      <c r="N11" s="67">
        <v>0.47058823529411764</v>
      </c>
      <c r="O11" s="67">
        <v>0.375</v>
      </c>
      <c r="P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0.24675324675324675</v>
      </c>
      <c r="M12" s="67">
        <v>0.23376623376623376</v>
      </c>
      <c r="N12" s="67">
        <v>0.52631578947368418</v>
      </c>
      <c r="O12" s="67">
        <v>0.33333333333333331</v>
      </c>
      <c r="P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0.23529411764705882</v>
      </c>
      <c r="M13" s="67">
        <v>0.21176470588235294</v>
      </c>
      <c r="N13" s="67">
        <v>0.5</v>
      </c>
      <c r="O13" s="67">
        <v>0.33333333333333331</v>
      </c>
      <c r="P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0.23157894736842105</v>
      </c>
      <c r="M14" s="67">
        <v>0.21052631578947367</v>
      </c>
      <c r="N14" s="67">
        <v>0.5</v>
      </c>
      <c r="O14" s="67">
        <v>0.35</v>
      </c>
      <c r="P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P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0.22033898305084745</v>
      </c>
      <c r="M16" s="67">
        <v>0.2288135593220339</v>
      </c>
      <c r="N16" s="67">
        <v>0.46153846153846156</v>
      </c>
      <c r="O16" s="67">
        <v>0.29629629629629628</v>
      </c>
      <c r="P16" s="67">
        <v>0.34615384615384615</v>
      </c>
    </row>
    <row r="17" spans="1:16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0.22580645161290322</v>
      </c>
      <c r="M17" s="67">
        <v>0.23387096774193547</v>
      </c>
      <c r="N17" s="67">
        <v>0.4642857142857143</v>
      </c>
      <c r="O17" s="67">
        <v>0.34482758620689657</v>
      </c>
      <c r="P17" s="67">
        <v>0.31034482758620691</v>
      </c>
    </row>
    <row r="18" spans="1:16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0.22480620155038761</v>
      </c>
      <c r="M18" s="67">
        <v>0.23255813953488372</v>
      </c>
      <c r="N18" s="67">
        <v>0.48275862068965519</v>
      </c>
      <c r="O18" s="67">
        <v>0.33333333333333331</v>
      </c>
      <c r="P18" s="67">
        <v>0.3</v>
      </c>
    </row>
    <row r="19" spans="1:16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0.22627737226277372</v>
      </c>
      <c r="M19" s="67">
        <v>0.22627737226277372</v>
      </c>
      <c r="N19" s="67">
        <v>0.4838709677419355</v>
      </c>
      <c r="O19" s="67">
        <v>0.32258064516129031</v>
      </c>
      <c r="P19" s="67">
        <v>0.32258064516129031</v>
      </c>
    </row>
    <row r="20" spans="1:16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0.22758620689655173</v>
      </c>
      <c r="M20" s="67">
        <v>0.22068965517241379</v>
      </c>
      <c r="N20" s="67">
        <v>0.48484848484848486</v>
      </c>
      <c r="O20" s="67">
        <v>0.3125</v>
      </c>
      <c r="P20" s="67">
        <v>0.34375</v>
      </c>
    </row>
    <row r="21" spans="1:16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0.25641025641025639</v>
      </c>
      <c r="M21" s="67">
        <v>0.21794871794871795</v>
      </c>
      <c r="N21" s="67">
        <v>0.5</v>
      </c>
      <c r="O21" s="67">
        <v>0.3235294117647059</v>
      </c>
      <c r="P21" s="67">
        <v>0.29729729729729731</v>
      </c>
    </row>
    <row r="22" spans="1:16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0.25443786982248523</v>
      </c>
      <c r="M22" s="67">
        <v>0.21893491124260356</v>
      </c>
      <c r="N22" s="67">
        <v>0.51162790697674421</v>
      </c>
      <c r="O22" s="67">
        <v>0.35135135135135137</v>
      </c>
      <c r="P22" s="67">
        <v>0.31818181818181818</v>
      </c>
    </row>
    <row r="23" spans="1:16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0.24581005586592178</v>
      </c>
      <c r="M23" s="67">
        <v>0.21229050279329609</v>
      </c>
      <c r="N23" s="67">
        <v>0.5</v>
      </c>
      <c r="O23" s="67">
        <v>0.36842105263157893</v>
      </c>
      <c r="P23" s="67">
        <v>0.32608695652173914</v>
      </c>
    </row>
    <row r="24" spans="1:16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0.24468085106382978</v>
      </c>
      <c r="M24" s="67">
        <v>0.20744680851063829</v>
      </c>
      <c r="N24" s="67">
        <v>0.52173913043478259</v>
      </c>
      <c r="O24" s="67">
        <v>0.35897435897435898</v>
      </c>
      <c r="P24" s="67">
        <v>0.32653061224489793</v>
      </c>
    </row>
    <row r="25" spans="1:16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0.24489795918367346</v>
      </c>
      <c r="M25" s="67">
        <v>0.19897959183673469</v>
      </c>
      <c r="N25" s="67">
        <v>0.5</v>
      </c>
      <c r="O25" s="67">
        <v>0.35897435897435898</v>
      </c>
      <c r="P25" s="67">
        <v>0.32653061224489793</v>
      </c>
    </row>
    <row r="26" spans="1:16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0.24630541871921183</v>
      </c>
      <c r="M26" s="67">
        <v>0.19704433497536947</v>
      </c>
      <c r="N26" s="67">
        <v>0.48</v>
      </c>
      <c r="O26" s="67">
        <v>0.35</v>
      </c>
      <c r="P26" s="67">
        <v>0.32653061224489793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0AD8C-64C2-48BD-8359-8506234262DD}">
  <sheetPr codeName="Sheet12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0.16666666666666666</v>
      </c>
      <c r="M4" s="67">
        <v>0.16666666666666666</v>
      </c>
      <c r="N4" s="67">
        <v>1</v>
      </c>
      <c r="O4" s="67">
        <v>0</v>
      </c>
      <c r="P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0.25</v>
      </c>
      <c r="M5" s="67">
        <v>0.25</v>
      </c>
      <c r="N5" s="67">
        <v>1</v>
      </c>
      <c r="O5" s="67">
        <v>0.25</v>
      </c>
      <c r="P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0.23076923076923078</v>
      </c>
      <c r="M6" s="67">
        <v>0.30769230769230771</v>
      </c>
      <c r="N6" s="67">
        <v>0.66666666666666663</v>
      </c>
      <c r="O6" s="67">
        <v>0.375</v>
      </c>
      <c r="P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0.21212121212121213</v>
      </c>
      <c r="M7" s="67">
        <v>0.24242424242424243</v>
      </c>
      <c r="N7" s="67">
        <v>0.5714285714285714</v>
      </c>
      <c r="O7" s="67">
        <v>0.375</v>
      </c>
      <c r="P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0.18604651162790697</v>
      </c>
      <c r="M8" s="67">
        <v>0.18604651162790697</v>
      </c>
      <c r="N8" s="67">
        <v>0.625</v>
      </c>
      <c r="O8" s="67">
        <v>0.375</v>
      </c>
      <c r="P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0.21153846153846154</v>
      </c>
      <c r="M9" s="67">
        <v>0.15384615384615385</v>
      </c>
      <c r="N9" s="67">
        <v>0.63636363636363635</v>
      </c>
      <c r="O9" s="67">
        <v>0.375</v>
      </c>
      <c r="P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0.21428571428571427</v>
      </c>
      <c r="M10" s="67">
        <v>0.14285714285714285</v>
      </c>
      <c r="N10" s="67">
        <v>0.58333333333333337</v>
      </c>
      <c r="O10" s="67">
        <v>0.375</v>
      </c>
      <c r="P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0.23809523809523808</v>
      </c>
      <c r="M11" s="67">
        <v>0.12698412698412698</v>
      </c>
      <c r="N11" s="67">
        <v>0.6</v>
      </c>
      <c r="O11" s="67">
        <v>0.375</v>
      </c>
      <c r="P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0.24</v>
      </c>
      <c r="M12" s="67">
        <v>0.10666666666666667</v>
      </c>
      <c r="N12" s="67">
        <v>0.55555555555555558</v>
      </c>
      <c r="O12" s="67">
        <v>0.375</v>
      </c>
      <c r="P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0.24719101123595505</v>
      </c>
      <c r="M13" s="67">
        <v>0.10112359550561797</v>
      </c>
      <c r="N13" s="67">
        <v>0.5</v>
      </c>
      <c r="O13" s="67">
        <v>0.44444444444444442</v>
      </c>
      <c r="P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0.22549019607843138</v>
      </c>
      <c r="M14" s="67">
        <v>9.8039215686274508E-2</v>
      </c>
      <c r="N14" s="67">
        <v>0.47826086956521741</v>
      </c>
      <c r="O14" s="67">
        <v>0.4</v>
      </c>
      <c r="P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0.22321428571428573</v>
      </c>
      <c r="M15" s="67">
        <v>8.9285714285714288E-2</v>
      </c>
      <c r="N15" s="67">
        <v>0.48</v>
      </c>
      <c r="O15" s="67">
        <v>0.4</v>
      </c>
      <c r="P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0.22950819672131148</v>
      </c>
      <c r="M16" s="67">
        <v>9.8360655737704916E-2</v>
      </c>
      <c r="N16" s="67">
        <v>0.5</v>
      </c>
      <c r="O16" s="67">
        <v>0.33333333333333331</v>
      </c>
      <c r="P16" s="67">
        <v>0.40740740740740738</v>
      </c>
    </row>
    <row r="17" spans="1:16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0.2109375</v>
      </c>
      <c r="G17" s="67">
        <v>0.21875</v>
      </c>
      <c r="H17" s="68">
        <v>7314.8148148148148</v>
      </c>
      <c r="I17" s="68">
        <v>-9571.4285714285706</v>
      </c>
      <c r="J17" s="67">
        <v>0.21428571428571427</v>
      </c>
      <c r="K17" s="67">
        <v>0</v>
      </c>
      <c r="L17" s="67">
        <v>0.21875</v>
      </c>
      <c r="M17" s="67">
        <v>0.1015625</v>
      </c>
      <c r="N17" s="67">
        <v>0.5</v>
      </c>
      <c r="O17" s="67">
        <v>0.30769230769230771</v>
      </c>
      <c r="P17" s="67">
        <v>0.40740740740740738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1595-701D-495E-AECF-8772539E3569}">
  <sheetPr codeName="Sheet10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0.5</v>
      </c>
      <c r="M4" s="67">
        <v>0.16666666666666666</v>
      </c>
      <c r="N4" s="67">
        <v>1</v>
      </c>
      <c r="O4" s="67">
        <v>0</v>
      </c>
      <c r="P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0.375</v>
      </c>
      <c r="M5" s="67">
        <v>0.125</v>
      </c>
      <c r="N5" s="67">
        <v>0.66666666666666663</v>
      </c>
      <c r="O5" s="67">
        <v>0.5</v>
      </c>
      <c r="P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0.26923076923076922</v>
      </c>
      <c r="M6" s="67">
        <v>0.23076923076923078</v>
      </c>
      <c r="N6" s="67">
        <v>0.7142857142857143</v>
      </c>
      <c r="O6" s="67">
        <v>0.16666666666666666</v>
      </c>
      <c r="P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0.2857142857142857</v>
      </c>
      <c r="M7" s="67">
        <v>0.25714285714285712</v>
      </c>
      <c r="N7" s="67">
        <v>0.8</v>
      </c>
      <c r="O7" s="67">
        <v>0.33333333333333331</v>
      </c>
      <c r="P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0.24444444444444444</v>
      </c>
      <c r="M8" s="67">
        <v>0.24444444444444444</v>
      </c>
      <c r="N8" s="67">
        <v>0.72727272727272729</v>
      </c>
      <c r="O8" s="67">
        <v>0.36363636363636365</v>
      </c>
      <c r="P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0.31481481481481483</v>
      </c>
      <c r="M9" s="67">
        <v>0.22222222222222221</v>
      </c>
      <c r="N9" s="67">
        <v>0.6470588235294118</v>
      </c>
      <c r="O9" s="67">
        <v>0.33333333333333331</v>
      </c>
      <c r="P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0.32786885245901637</v>
      </c>
      <c r="M10" s="67">
        <v>0.19672131147540983</v>
      </c>
      <c r="N10" s="67">
        <v>0.6</v>
      </c>
      <c r="O10" s="67">
        <v>0.33333333333333331</v>
      </c>
      <c r="P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0.323943661971831</v>
      </c>
      <c r="M11" s="67">
        <v>0.21126760563380281</v>
      </c>
      <c r="N11" s="67">
        <v>0.56521739130434778</v>
      </c>
      <c r="O11" s="67">
        <v>0.26666666666666666</v>
      </c>
      <c r="P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0.30769230769230771</v>
      </c>
      <c r="M12" s="67">
        <v>0.21794871794871795</v>
      </c>
      <c r="N12" s="67">
        <v>0.54166666666666663</v>
      </c>
      <c r="O12" s="67">
        <v>0.23529411764705882</v>
      </c>
      <c r="P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0.32558139534883723</v>
      </c>
      <c r="M13" s="67">
        <v>0.20930232558139536</v>
      </c>
      <c r="N13" s="67">
        <v>0.5357142857142857</v>
      </c>
      <c r="O13" s="67">
        <v>0.27777777777777779</v>
      </c>
      <c r="P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0.32258064516129031</v>
      </c>
      <c r="M14" s="67">
        <v>0.20430107526881722</v>
      </c>
      <c r="N14" s="67">
        <v>0.56666666666666665</v>
      </c>
      <c r="O14" s="67">
        <v>0.26315789473684209</v>
      </c>
      <c r="P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0.31067961165048541</v>
      </c>
      <c r="M15" s="67">
        <v>0.22330097087378642</v>
      </c>
      <c r="N15" s="67">
        <v>0.59375</v>
      </c>
      <c r="O15" s="67">
        <v>0.2608695652173913</v>
      </c>
      <c r="P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0.2831858407079646</v>
      </c>
      <c r="M16" s="67">
        <v>0.24778761061946902</v>
      </c>
      <c r="N16" s="67">
        <v>0.59375</v>
      </c>
      <c r="O16" s="67">
        <v>0.25</v>
      </c>
      <c r="P16" s="67">
        <v>0.42424242424242425</v>
      </c>
    </row>
    <row r="17" spans="1:16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P17" s="67">
        <v>0.41025641025641024</v>
      </c>
    </row>
    <row r="18" spans="1:16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0.33823529411764708</v>
      </c>
      <c r="M18" s="67">
        <v>0.21323529411764705</v>
      </c>
      <c r="N18" s="67">
        <v>0.63043478260869568</v>
      </c>
      <c r="O18" s="67">
        <v>0.27586206896551724</v>
      </c>
      <c r="P18" s="67">
        <v>0.4</v>
      </c>
    </row>
    <row r="19" spans="1:16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0.32413793103448274</v>
      </c>
      <c r="M19" s="67">
        <v>0.21379310344827587</v>
      </c>
      <c r="N19" s="67">
        <v>0.63829787234042556</v>
      </c>
      <c r="O19" s="67">
        <v>0.29032258064516131</v>
      </c>
      <c r="P19" s="67">
        <v>0.40425531914893614</v>
      </c>
    </row>
    <row r="20" spans="1:16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0.33333333333333331</v>
      </c>
      <c r="M20" s="67">
        <v>0.20666666666666667</v>
      </c>
      <c r="N20" s="67">
        <v>0.66</v>
      </c>
      <c r="O20" s="67">
        <v>0.29032258064516131</v>
      </c>
      <c r="P20" s="67">
        <v>0.4</v>
      </c>
    </row>
    <row r="21" spans="1:16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0.32911392405063289</v>
      </c>
      <c r="M21" s="67">
        <v>0.19620253164556961</v>
      </c>
      <c r="N21" s="67">
        <v>0.65384615384615385</v>
      </c>
      <c r="O21" s="67">
        <v>0.29032258064516131</v>
      </c>
      <c r="P21" s="67">
        <v>0.38461538461538464</v>
      </c>
    </row>
    <row r="22" spans="1:16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0.3253012048192771</v>
      </c>
      <c r="M22" s="67">
        <v>0.18674698795180722</v>
      </c>
      <c r="N22" s="67">
        <v>0.64814814814814814</v>
      </c>
      <c r="O22" s="67">
        <v>0.29032258064516131</v>
      </c>
      <c r="P22" s="67">
        <v>0.37037037037037035</v>
      </c>
    </row>
    <row r="23" spans="1:16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0.32203389830508472</v>
      </c>
      <c r="M23" s="67">
        <v>0.1807909604519774</v>
      </c>
      <c r="N23" s="67">
        <v>0.63157894736842102</v>
      </c>
      <c r="O23" s="67">
        <v>0.28125</v>
      </c>
      <c r="P23" s="67">
        <v>0.375</v>
      </c>
    </row>
    <row r="24" spans="1:16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0.32460732984293195</v>
      </c>
      <c r="M24" s="67">
        <v>0.18848167539267016</v>
      </c>
      <c r="N24" s="67">
        <v>0.61290322580645162</v>
      </c>
      <c r="O24" s="67">
        <v>0.27777777777777779</v>
      </c>
      <c r="P24" s="67">
        <v>0.36666666666666664</v>
      </c>
    </row>
    <row r="25" spans="1:16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0.33500000000000002</v>
      </c>
      <c r="M25" s="67">
        <v>0.185</v>
      </c>
      <c r="N25" s="67">
        <v>0.62686567164179108</v>
      </c>
      <c r="O25" s="67">
        <v>0.27027027027027029</v>
      </c>
      <c r="P25" s="67">
        <v>0.34375</v>
      </c>
    </row>
    <row r="26" spans="1:16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0.33495145631067963</v>
      </c>
      <c r="M26" s="67">
        <v>0.18446601941747573</v>
      </c>
      <c r="N26" s="67">
        <v>0.6376811594202898</v>
      </c>
      <c r="O26" s="67">
        <v>0.28947368421052633</v>
      </c>
      <c r="P26" s="67">
        <v>0.34328358208955223</v>
      </c>
    </row>
    <row r="27" spans="1:16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0.32407407407407407</v>
      </c>
      <c r="M27" s="67">
        <v>0.18518518518518517</v>
      </c>
      <c r="N27" s="67">
        <v>0.6428571428571429</v>
      </c>
      <c r="O27" s="67">
        <v>0.3</v>
      </c>
      <c r="P27" s="67">
        <v>0.36231884057971014</v>
      </c>
    </row>
    <row r="28" spans="1:16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0.32444444444444442</v>
      </c>
      <c r="M28" s="67">
        <v>0.18222222222222223</v>
      </c>
      <c r="N28" s="67">
        <v>0.63013698630136983</v>
      </c>
      <c r="O28" s="67">
        <v>0.29268292682926828</v>
      </c>
      <c r="P28" s="67">
        <v>0.38028169014084506</v>
      </c>
    </row>
    <row r="29" spans="1:16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0.32017543859649122</v>
      </c>
      <c r="M29" s="67">
        <v>0.17982456140350878</v>
      </c>
      <c r="N29" s="67">
        <v>0.63013698630136983</v>
      </c>
      <c r="O29" s="67">
        <v>0.29268292682926828</v>
      </c>
      <c r="P29" s="67">
        <v>0.375</v>
      </c>
    </row>
    <row r="30" spans="1:16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0.30801687763713081</v>
      </c>
      <c r="M30" s="67">
        <v>0.17721518987341772</v>
      </c>
      <c r="N30" s="67">
        <v>0.63013698630136983</v>
      </c>
      <c r="O30" s="67">
        <v>0.2857142857142857</v>
      </c>
      <c r="P30" s="67">
        <v>0.36486486486486486</v>
      </c>
    </row>
    <row r="31" spans="1:16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0.30612244897959184</v>
      </c>
      <c r="G31" s="67">
        <v>0.15510204081632653</v>
      </c>
      <c r="H31" s="68">
        <v>9086.6666666666661</v>
      </c>
      <c r="I31" s="68">
        <v>-7563.1578947368425</v>
      </c>
      <c r="J31" s="67">
        <v>0</v>
      </c>
      <c r="K31" s="67">
        <v>7.1428571428571425E-2</v>
      </c>
      <c r="L31" s="67">
        <v>0.30612244897959184</v>
      </c>
      <c r="M31" s="67">
        <v>0.17959183673469387</v>
      </c>
      <c r="N31" s="67">
        <v>0.62666666666666671</v>
      </c>
      <c r="O31" s="67">
        <v>0.27272727272727271</v>
      </c>
      <c r="P31" s="67">
        <v>0.36</v>
      </c>
    </row>
    <row r="32" spans="1:16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0.30555555555555558</v>
      </c>
      <c r="G32" s="67">
        <v>0.15476190476190477</v>
      </c>
      <c r="H32" s="68">
        <v>8922.0779220779223</v>
      </c>
      <c r="I32" s="68">
        <v>-7502.5641025641025</v>
      </c>
      <c r="J32" s="67">
        <v>0</v>
      </c>
      <c r="K32" s="67">
        <v>6.8965517241379309E-2</v>
      </c>
      <c r="L32" s="67">
        <v>0.30555555555555558</v>
      </c>
      <c r="M32" s="67">
        <v>0.17857142857142858</v>
      </c>
      <c r="N32" s="67">
        <v>0.62337662337662336</v>
      </c>
      <c r="O32" s="67">
        <v>0.26666666666666666</v>
      </c>
      <c r="P32" s="67">
        <v>0.36363636363636365</v>
      </c>
    </row>
    <row r="33" spans="1:16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0.30152671755725191</v>
      </c>
      <c r="G33" s="67">
        <v>0.15648854961832062</v>
      </c>
      <c r="H33" s="68">
        <v>9025.316455696202</v>
      </c>
      <c r="I33" s="68">
        <v>-7478.0487804878048</v>
      </c>
      <c r="J33" s="67">
        <v>0</v>
      </c>
      <c r="K33" s="67">
        <v>6.6666666666666666E-2</v>
      </c>
      <c r="L33" s="67">
        <v>0.29770992366412213</v>
      </c>
      <c r="M33" s="67">
        <v>0.18702290076335878</v>
      </c>
      <c r="N33" s="67">
        <v>0.62820512820512819</v>
      </c>
      <c r="O33" s="67">
        <v>0.26530612244897961</v>
      </c>
      <c r="P33" s="67">
        <v>0.36708860759493672</v>
      </c>
    </row>
    <row r="34" spans="1:16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0.29962546816479402</v>
      </c>
      <c r="G34" s="67">
        <v>0.15355805243445692</v>
      </c>
      <c r="H34" s="68">
        <v>9062.5</v>
      </c>
      <c r="I34" s="68">
        <v>-7478.0487804878048</v>
      </c>
      <c r="J34" s="67">
        <v>0</v>
      </c>
      <c r="K34" s="67">
        <v>6.4516129032258063E-2</v>
      </c>
      <c r="L34" s="67">
        <v>0.29962546816479402</v>
      </c>
      <c r="M34" s="67">
        <v>0.18726591760299627</v>
      </c>
      <c r="N34" s="67">
        <v>0.625</v>
      </c>
      <c r="O34" s="67">
        <v>0.26</v>
      </c>
      <c r="P34" s="67">
        <v>0.36249999999999999</v>
      </c>
    </row>
    <row r="35" spans="1:16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0.304029304029304</v>
      </c>
      <c r="G35" s="67">
        <v>0.15018315018315018</v>
      </c>
      <c r="H35" s="68">
        <v>9150.6024096385536</v>
      </c>
      <c r="I35" s="68">
        <v>-7478.0487804878048</v>
      </c>
      <c r="J35" s="67">
        <v>0</v>
      </c>
      <c r="K35" s="67">
        <v>6.25E-2</v>
      </c>
      <c r="L35" s="67">
        <v>0.30036630036630035</v>
      </c>
      <c r="M35" s="67">
        <v>0.19413919413919414</v>
      </c>
      <c r="N35" s="67">
        <v>0.63414634146341464</v>
      </c>
      <c r="O35" s="67">
        <v>0.26415094339622641</v>
      </c>
      <c r="P35" s="67">
        <v>0.37349397590361444</v>
      </c>
    </row>
    <row r="36" spans="1:16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0.2978723404255319</v>
      </c>
      <c r="G36" s="67">
        <v>0.15602836879432624</v>
      </c>
      <c r="H36" s="68">
        <v>9184.5238095238092</v>
      </c>
      <c r="I36" s="68">
        <v>-7065.909090909091</v>
      </c>
      <c r="J36" s="67">
        <v>0</v>
      </c>
      <c r="K36" s="67">
        <v>6.0606060606060608E-2</v>
      </c>
      <c r="L36" s="67">
        <v>0.29078014184397161</v>
      </c>
      <c r="M36" s="67">
        <v>0.19503546099290781</v>
      </c>
      <c r="N36" s="67">
        <v>0.63414634146341464</v>
      </c>
      <c r="O36" s="67">
        <v>0.25454545454545452</v>
      </c>
      <c r="P36" s="67">
        <v>0.36904761904761907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CB7DB-9197-4FEA-84AC-6019AB8097DE}">
  <sheetPr codeName="Sheet8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1</v>
      </c>
      <c r="O4" s="67">
        <v>0</v>
      </c>
      <c r="P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0.375</v>
      </c>
      <c r="M5" s="67">
        <v>0.375</v>
      </c>
      <c r="N5" s="67">
        <v>0.5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0.46153846153846156</v>
      </c>
      <c r="M6" s="67">
        <v>0.26923076923076922</v>
      </c>
      <c r="N6" s="67">
        <v>0.41666666666666669</v>
      </c>
      <c r="O6" s="67">
        <v>0.42857142857142855</v>
      </c>
      <c r="P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0.45454545454545453</v>
      </c>
      <c r="M7" s="67">
        <v>0.24242424242424243</v>
      </c>
      <c r="N7" s="67">
        <v>0.46666666666666667</v>
      </c>
      <c r="O7" s="67">
        <v>0.5</v>
      </c>
      <c r="P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0.4</v>
      </c>
      <c r="M8" s="67">
        <v>0.25</v>
      </c>
      <c r="N8" s="67">
        <v>0.5</v>
      </c>
      <c r="O8" s="67">
        <v>0.6</v>
      </c>
      <c r="P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0.42</v>
      </c>
      <c r="M9" s="67">
        <v>0.24</v>
      </c>
      <c r="N9" s="67">
        <v>0.42857142857142855</v>
      </c>
      <c r="O9" s="67">
        <v>0.66666666666666663</v>
      </c>
      <c r="P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0.3728813559322034</v>
      </c>
      <c r="M10" s="67">
        <v>0.2711864406779661</v>
      </c>
      <c r="N10" s="67">
        <v>0.45454545454545453</v>
      </c>
      <c r="O10" s="67">
        <v>0.625</v>
      </c>
      <c r="P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0.34782608695652173</v>
      </c>
      <c r="M11" s="67">
        <v>0.2608695652173913</v>
      </c>
      <c r="N11" s="67">
        <v>0.45833333333333331</v>
      </c>
      <c r="O11" s="67">
        <v>0.61111111111111116</v>
      </c>
      <c r="P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0.34210526315789475</v>
      </c>
      <c r="M12" s="67">
        <v>0.25</v>
      </c>
      <c r="N12" s="67">
        <v>0.5</v>
      </c>
      <c r="O12" s="67">
        <v>0.57894736842105265</v>
      </c>
      <c r="P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0.35714285714285715</v>
      </c>
      <c r="M13" s="67">
        <v>0.25</v>
      </c>
      <c r="N13" s="67">
        <v>0.46666666666666667</v>
      </c>
      <c r="O13" s="67">
        <v>0.5714285714285714</v>
      </c>
      <c r="P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0.38043478260869568</v>
      </c>
      <c r="M14" s="67">
        <v>0.2391304347826087</v>
      </c>
      <c r="N14" s="67">
        <v>0.51428571428571423</v>
      </c>
      <c r="O14" s="67">
        <v>0.59090909090909094</v>
      </c>
      <c r="P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0.38</v>
      </c>
      <c r="M15" s="67">
        <v>0.25</v>
      </c>
      <c r="N15" s="67">
        <v>0.52631578947368418</v>
      </c>
      <c r="O15" s="67">
        <v>0.6</v>
      </c>
      <c r="P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0.3611111111111111</v>
      </c>
      <c r="M16" s="67">
        <v>0.25925925925925924</v>
      </c>
      <c r="N16" s="67">
        <v>0.51282051282051277</v>
      </c>
      <c r="O16" s="67">
        <v>0.6428571428571429</v>
      </c>
      <c r="P16" s="67">
        <v>0.3125</v>
      </c>
    </row>
    <row r="17" spans="1:16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0.37391304347826088</v>
      </c>
      <c r="M17" s="67">
        <v>0.2608695652173913</v>
      </c>
      <c r="N17" s="67">
        <v>0.53488372093023251</v>
      </c>
      <c r="O17" s="67">
        <v>0.66666666666666663</v>
      </c>
      <c r="P17" s="67">
        <v>0.30188679245283018</v>
      </c>
    </row>
    <row r="18" spans="1:16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0.36363636363636365</v>
      </c>
      <c r="M18" s="67">
        <v>0.26446280991735538</v>
      </c>
      <c r="N18" s="67">
        <v>0.54545454545454541</v>
      </c>
      <c r="O18" s="67">
        <v>0.6875</v>
      </c>
      <c r="P18" s="67">
        <v>0.3392857142857143</v>
      </c>
    </row>
    <row r="19" spans="1:16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0.35714285714285715</v>
      </c>
      <c r="M19" s="67">
        <v>0.27777777777777779</v>
      </c>
      <c r="N19" s="67">
        <v>0.53333333333333333</v>
      </c>
      <c r="O19" s="67">
        <v>0.65714285714285714</v>
      </c>
      <c r="P19" s="67">
        <v>0.35087719298245612</v>
      </c>
    </row>
    <row r="20" spans="1:16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0.35820895522388058</v>
      </c>
      <c r="M20" s="67">
        <v>0.27611940298507465</v>
      </c>
      <c r="N20" s="67">
        <v>0.54166666666666663</v>
      </c>
      <c r="O20" s="67">
        <v>0.6216216216216216</v>
      </c>
      <c r="P20" s="67">
        <v>0.33898305084745761</v>
      </c>
    </row>
    <row r="21" spans="1:16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0.35915492957746481</v>
      </c>
      <c r="M21" s="67">
        <v>0.27464788732394368</v>
      </c>
      <c r="N21" s="67">
        <v>0.5490196078431373</v>
      </c>
      <c r="O21" s="67">
        <v>0.58974358974358976</v>
      </c>
      <c r="P21" s="67">
        <v>0.32786885245901637</v>
      </c>
    </row>
    <row r="22" spans="1:16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0.36601307189542481</v>
      </c>
      <c r="M22" s="67">
        <v>0.27450980392156865</v>
      </c>
      <c r="N22" s="67">
        <v>0.5357142857142857</v>
      </c>
      <c r="O22" s="67">
        <v>0.5714285714285714</v>
      </c>
      <c r="P22" s="67">
        <v>0.35384615384615387</v>
      </c>
    </row>
    <row r="23" spans="1:16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0.3592814371257485</v>
      </c>
      <c r="M23" s="67">
        <v>0.28143712574850299</v>
      </c>
      <c r="N23" s="67">
        <v>0.55000000000000004</v>
      </c>
      <c r="O23" s="67">
        <v>0.55319148936170215</v>
      </c>
      <c r="P23" s="67">
        <v>0.38028169014084506</v>
      </c>
    </row>
    <row r="24" spans="1:16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0.36931818181818182</v>
      </c>
      <c r="M24" s="67">
        <v>0.26704545454545453</v>
      </c>
      <c r="N24" s="67">
        <v>0.55384615384615388</v>
      </c>
      <c r="O24" s="67">
        <v>0.55319148936170215</v>
      </c>
      <c r="P24" s="67">
        <v>0.3783783783783784</v>
      </c>
    </row>
    <row r="25" spans="1:16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0.36263736263736263</v>
      </c>
      <c r="M25" s="67">
        <v>0.27472527472527475</v>
      </c>
      <c r="N25" s="67">
        <v>0.56060606060606055</v>
      </c>
      <c r="O25" s="67">
        <v>0.56000000000000005</v>
      </c>
      <c r="P25" s="67">
        <v>0.38961038961038963</v>
      </c>
    </row>
    <row r="26" spans="1:16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0.36979166666666669</v>
      </c>
      <c r="M26" s="67">
        <v>0.27083333333333331</v>
      </c>
      <c r="N26" s="67">
        <v>0.56338028169014087</v>
      </c>
      <c r="O26" s="67">
        <v>0.55769230769230771</v>
      </c>
      <c r="P26" s="67">
        <v>0.40740740740740738</v>
      </c>
    </row>
    <row r="27" spans="1:16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0.35820895522388058</v>
      </c>
      <c r="M27" s="67">
        <v>0.27860696517412936</v>
      </c>
      <c r="N27" s="67">
        <v>0.55555555555555558</v>
      </c>
      <c r="O27" s="67">
        <v>0.5714285714285714</v>
      </c>
      <c r="P27" s="67">
        <v>0.40476190476190477</v>
      </c>
    </row>
    <row r="28" spans="1:16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0.35294117647058826</v>
      </c>
      <c r="M28" s="67">
        <v>0.27941176470588236</v>
      </c>
      <c r="N28" s="67">
        <v>0.55555555555555558</v>
      </c>
      <c r="O28" s="67">
        <v>0.57894736842105265</v>
      </c>
      <c r="P28" s="67">
        <v>0.40697674418604651</v>
      </c>
    </row>
    <row r="29" spans="1:16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0.34272300469483569</v>
      </c>
      <c r="M29" s="67">
        <v>0.28169014084507044</v>
      </c>
      <c r="N29" s="67">
        <v>0.56164383561643838</v>
      </c>
      <c r="O29" s="67">
        <v>0.55000000000000004</v>
      </c>
      <c r="P29" s="67">
        <v>0.39772727272727271</v>
      </c>
    </row>
    <row r="30" spans="1:16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0.34234234234234234</v>
      </c>
      <c r="M30" s="67">
        <v>0.27027027027027029</v>
      </c>
      <c r="N30" s="67">
        <v>0.55263157894736847</v>
      </c>
      <c r="O30" s="67">
        <v>0.55000000000000004</v>
      </c>
      <c r="P30" s="67">
        <v>0.4044943820224719</v>
      </c>
    </row>
    <row r="31" spans="1:16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0.34782608695652173</v>
      </c>
      <c r="M31" s="67">
        <v>0.26956521739130435</v>
      </c>
      <c r="N31" s="67">
        <v>0.5625</v>
      </c>
      <c r="O31" s="67">
        <v>0.56451612903225812</v>
      </c>
      <c r="P31" s="67">
        <v>0.4</v>
      </c>
    </row>
    <row r="32" spans="1:16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0.34599156118143459</v>
      </c>
      <c r="M32" s="67">
        <v>0.26582278481012656</v>
      </c>
      <c r="N32" s="67">
        <v>0.57317073170731703</v>
      </c>
      <c r="O32" s="67">
        <v>0.5714285714285714</v>
      </c>
      <c r="P32" s="67">
        <v>0.41</v>
      </c>
    </row>
    <row r="33" spans="1:16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0.41700404858299595</v>
      </c>
      <c r="G33" s="67">
        <v>0.15789473684210525</v>
      </c>
      <c r="H33" s="68">
        <v>8827.1844660194183</v>
      </c>
      <c r="I33" s="68">
        <v>-7628.2051282051279</v>
      </c>
      <c r="J33" s="67">
        <v>3.3333333333333333E-2</v>
      </c>
      <c r="K33" s="67">
        <v>0.16666666666666666</v>
      </c>
      <c r="L33" s="67">
        <v>0.33603238866396762</v>
      </c>
      <c r="M33" s="67">
        <v>0.27530364372469635</v>
      </c>
      <c r="N33" s="67">
        <v>0.57831325301204817</v>
      </c>
      <c r="O33" s="67">
        <v>0.55882352941176472</v>
      </c>
      <c r="P33" s="67">
        <v>0.40776699029126212</v>
      </c>
    </row>
    <row r="34" spans="1:16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0.42063492063492064</v>
      </c>
      <c r="G34" s="67">
        <v>0.15476190476190477</v>
      </c>
      <c r="H34" s="68">
        <v>8970.7547169811314</v>
      </c>
      <c r="I34" s="68">
        <v>-7628.2051282051279</v>
      </c>
      <c r="J34" s="67">
        <v>3.2258064516129031E-2</v>
      </c>
      <c r="K34" s="67">
        <v>0.19354838709677419</v>
      </c>
      <c r="L34" s="67">
        <v>0.33730158730158732</v>
      </c>
      <c r="M34" s="67">
        <v>0.27380952380952384</v>
      </c>
      <c r="N34" s="67">
        <v>0.58823529411764708</v>
      </c>
      <c r="O34" s="67">
        <v>0.56521739130434778</v>
      </c>
      <c r="P34" s="67">
        <v>0.40566037735849059</v>
      </c>
    </row>
    <row r="35" spans="1:16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0.41860465116279072</v>
      </c>
      <c r="G35" s="67">
        <v>0.15503875968992248</v>
      </c>
      <c r="H35" s="68">
        <v>9000.9259259259252</v>
      </c>
      <c r="I35" s="68">
        <v>-7837.5</v>
      </c>
      <c r="J35" s="67">
        <v>3.125E-2</v>
      </c>
      <c r="K35" s="67">
        <v>0.1875</v>
      </c>
      <c r="L35" s="67">
        <v>0.33720930232558138</v>
      </c>
      <c r="M35" s="67">
        <v>0.26744186046511625</v>
      </c>
      <c r="N35" s="67">
        <v>0.5977011494252874</v>
      </c>
      <c r="O35" s="67">
        <v>0.56521739130434778</v>
      </c>
      <c r="P35" s="67">
        <v>0.39814814814814814</v>
      </c>
    </row>
    <row r="36" spans="1:16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0.42696629213483145</v>
      </c>
      <c r="G36" s="67">
        <v>0.15355805243445692</v>
      </c>
      <c r="H36" s="68">
        <v>8933.3333333333339</v>
      </c>
      <c r="I36" s="68">
        <v>-7939.0243902439024</v>
      </c>
      <c r="J36" s="67">
        <v>3.0303030303030304E-2</v>
      </c>
      <c r="K36" s="67">
        <v>0.18181818181818182</v>
      </c>
      <c r="L36" s="67">
        <v>0.34082397003745318</v>
      </c>
      <c r="M36" s="67">
        <v>0.26217228464419473</v>
      </c>
      <c r="N36" s="67">
        <v>0.60439560439560436</v>
      </c>
      <c r="O36" s="67">
        <v>0.5714285714285714</v>
      </c>
      <c r="P36" s="67">
        <v>0.39473684210526316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34E-9C89-44B5-8EC4-B1718AC10DDA}">
  <sheetPr codeName="Sheet6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0.22222222222222221</v>
      </c>
      <c r="N4" s="67">
        <v>1</v>
      </c>
      <c r="O4" s="67">
        <v>0</v>
      </c>
      <c r="P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0.25</v>
      </c>
      <c r="N5" s="67">
        <v>0.6875</v>
      </c>
      <c r="O5" s="67">
        <v>0.33333333333333331</v>
      </c>
      <c r="P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0.32051282051282054</v>
      </c>
      <c r="M6" s="67">
        <v>0.26923076923076922</v>
      </c>
      <c r="N6" s="67">
        <v>0.56000000000000005</v>
      </c>
      <c r="O6" s="67">
        <v>0.33333333333333331</v>
      </c>
      <c r="P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0.30303030303030304</v>
      </c>
      <c r="M7" s="67">
        <v>0.26262626262626265</v>
      </c>
      <c r="N7" s="67">
        <v>0.53333333333333333</v>
      </c>
      <c r="O7" s="67">
        <v>0.30769230769230771</v>
      </c>
      <c r="P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0.29365079365079366</v>
      </c>
      <c r="M8" s="67">
        <v>0.25396825396825395</v>
      </c>
      <c r="N8" s="67">
        <v>0.54054054054054057</v>
      </c>
      <c r="O8" s="67">
        <v>0.34375</v>
      </c>
      <c r="P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0.27210884353741499</v>
      </c>
      <c r="M9" s="67">
        <v>0.23809523809523808</v>
      </c>
      <c r="N9" s="67">
        <v>0.52500000000000002</v>
      </c>
      <c r="O9" s="67">
        <v>0.37142857142857144</v>
      </c>
      <c r="P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0.2655367231638418</v>
      </c>
      <c r="M10" s="67">
        <v>0.22033898305084745</v>
      </c>
      <c r="N10" s="67">
        <v>0.48936170212765956</v>
      </c>
      <c r="O10" s="67">
        <v>0.41025641025641024</v>
      </c>
      <c r="P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0.27941176470588236</v>
      </c>
      <c r="M11" s="67">
        <v>0.21568627450980393</v>
      </c>
      <c r="N11" s="67">
        <v>0.50877192982456143</v>
      </c>
      <c r="O11" s="67">
        <v>0.40909090909090912</v>
      </c>
      <c r="P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0.27111111111111114</v>
      </c>
      <c r="M12" s="67">
        <v>0.21777777777777776</v>
      </c>
      <c r="N12" s="67">
        <v>0.50819672131147542</v>
      </c>
      <c r="O12" s="67">
        <v>0.40816326530612246</v>
      </c>
      <c r="P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0.26582278481012656</v>
      </c>
      <c r="M13" s="67">
        <v>0.22362869198312235</v>
      </c>
      <c r="N13" s="67">
        <v>0.50793650793650791</v>
      </c>
      <c r="O13" s="67">
        <v>0.41509433962264153</v>
      </c>
      <c r="P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0.26217228464419473</v>
      </c>
      <c r="M14" s="67">
        <v>0.22097378277153559</v>
      </c>
      <c r="N14" s="67">
        <v>0.51428571428571423</v>
      </c>
      <c r="O14" s="67">
        <v>0.40677966101694918</v>
      </c>
      <c r="P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0.2638888888888889</v>
      </c>
      <c r="M15" s="67">
        <v>0.21527777777777779</v>
      </c>
      <c r="N15" s="67">
        <v>0.52631578947368418</v>
      </c>
      <c r="O15" s="67">
        <v>0.38709677419354838</v>
      </c>
      <c r="P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0.27243589743589741</v>
      </c>
      <c r="M16" s="67">
        <v>0.21794871794871795</v>
      </c>
      <c r="N16" s="67">
        <v>0.51764705882352946</v>
      </c>
      <c r="O16" s="67">
        <v>0.41176470588235292</v>
      </c>
      <c r="P16" s="67">
        <v>0.33333333333333331</v>
      </c>
    </row>
    <row r="17" spans="1:16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0.26724137931034481</v>
      </c>
      <c r="M17" s="67">
        <v>0.21839080459770116</v>
      </c>
      <c r="N17" s="67">
        <v>0.5161290322580645</v>
      </c>
      <c r="O17" s="67">
        <v>0.42105263157894735</v>
      </c>
      <c r="P17" s="67">
        <v>0.34579439252336447</v>
      </c>
    </row>
    <row r="18" spans="1:16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0.26881720430107525</v>
      </c>
      <c r="M18" s="67">
        <v>0.21505376344086022</v>
      </c>
      <c r="N18" s="67">
        <v>0.52</v>
      </c>
      <c r="O18" s="67">
        <v>0.41249999999999998</v>
      </c>
      <c r="P18" s="67">
        <v>0.35652173913043478</v>
      </c>
    </row>
    <row r="19" spans="1:16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0.27205882352941174</v>
      </c>
      <c r="M19" s="67">
        <v>0.20343137254901961</v>
      </c>
      <c r="N19" s="67">
        <v>0.52252252252252251</v>
      </c>
      <c r="O19" s="67">
        <v>0.40963855421686746</v>
      </c>
      <c r="P19" s="67">
        <v>0.376</v>
      </c>
    </row>
    <row r="20" spans="1:16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0.27314814814814814</v>
      </c>
      <c r="M20" s="67">
        <v>0.20833333333333334</v>
      </c>
      <c r="N20" s="67">
        <v>0.52542372881355937</v>
      </c>
      <c r="O20" s="67">
        <v>0.4</v>
      </c>
      <c r="P20" s="67">
        <v>0.36641221374045801</v>
      </c>
    </row>
    <row r="21" spans="1:16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0.2671081677704194</v>
      </c>
      <c r="M21" s="67">
        <v>0.2119205298013245</v>
      </c>
      <c r="N21" s="67">
        <v>0.53719008264462809</v>
      </c>
      <c r="O21" s="67">
        <v>0.39583333333333331</v>
      </c>
      <c r="P21" s="67">
        <v>0.36231884057971014</v>
      </c>
    </row>
    <row r="22" spans="1:16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0.26415094339622641</v>
      </c>
      <c r="M22" s="67">
        <v>0.21174004192872117</v>
      </c>
      <c r="N22" s="67">
        <v>0.53968253968253965</v>
      </c>
      <c r="O22" s="67">
        <v>0.40594059405940597</v>
      </c>
      <c r="P22" s="67">
        <v>0.36551724137931035</v>
      </c>
    </row>
    <row r="23" spans="1:16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0.25641025641025639</v>
      </c>
      <c r="M23" s="67">
        <v>0.21893491124260356</v>
      </c>
      <c r="N23" s="67">
        <v>0.55384615384615388</v>
      </c>
      <c r="O23" s="67">
        <v>0.40540540540540543</v>
      </c>
      <c r="P23" s="67">
        <v>0.36774193548387096</v>
      </c>
    </row>
    <row r="24" spans="1:16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0.24953445065176907</v>
      </c>
      <c r="M24" s="67">
        <v>0.2271880819366853</v>
      </c>
      <c r="N24" s="67">
        <v>0.55223880597014929</v>
      </c>
      <c r="O24" s="67">
        <v>0.40163934426229508</v>
      </c>
      <c r="P24" s="67">
        <v>0.37804878048780488</v>
      </c>
    </row>
    <row r="25" spans="1:16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P25" s="67">
        <v>0.38372093023255816</v>
      </c>
    </row>
    <row r="26" spans="1:16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0.25577557755775576</v>
      </c>
      <c r="M26" s="67">
        <v>0.22937293729372937</v>
      </c>
      <c r="N26" s="67">
        <v>0.55483870967741933</v>
      </c>
      <c r="O26" s="67">
        <v>0.38848920863309355</v>
      </c>
      <c r="P26" s="67">
        <v>0.37297297297297299</v>
      </c>
    </row>
    <row r="27" spans="1:16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0.25996810207336524</v>
      </c>
      <c r="M27" s="67">
        <v>0.22966507177033493</v>
      </c>
      <c r="N27" s="67">
        <v>0.55214723926380371</v>
      </c>
      <c r="O27" s="67">
        <v>0.39583333333333331</v>
      </c>
      <c r="P27" s="67">
        <v>0.36979166666666669</v>
      </c>
    </row>
    <row r="28" spans="1:16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0.25840978593272174</v>
      </c>
      <c r="M28" s="67">
        <v>0.22935779816513763</v>
      </c>
      <c r="N28" s="67">
        <v>0.56804733727810652</v>
      </c>
      <c r="O28" s="67">
        <v>0.4</v>
      </c>
      <c r="P28" s="67">
        <v>0.36815920398009949</v>
      </c>
    </row>
    <row r="29" spans="1:16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0.25744047619047616</v>
      </c>
      <c r="M29" s="67">
        <v>0.22916666666666666</v>
      </c>
      <c r="N29" s="67">
        <v>0.5722543352601156</v>
      </c>
      <c r="O29" s="67">
        <v>0.39610389610389612</v>
      </c>
      <c r="P29" s="67">
        <v>0.36893203883495146</v>
      </c>
    </row>
    <row r="30" spans="1:16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0.2565217391304348</v>
      </c>
      <c r="M30" s="67">
        <v>0.2318840579710145</v>
      </c>
      <c r="N30" s="67">
        <v>0.57062146892655363</v>
      </c>
      <c r="O30" s="67">
        <v>0.40625</v>
      </c>
      <c r="P30" s="67">
        <v>0.37264150943396224</v>
      </c>
    </row>
    <row r="31" spans="1:16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0.25423728813559321</v>
      </c>
      <c r="M31" s="67">
        <v>0.23163841807909605</v>
      </c>
      <c r="N31" s="67">
        <v>0.56666666666666665</v>
      </c>
      <c r="O31" s="67">
        <v>0.41463414634146339</v>
      </c>
      <c r="P31" s="67">
        <v>0.3669724770642202</v>
      </c>
    </row>
    <row r="32" spans="1:16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0.25587828492392806</v>
      </c>
      <c r="M32" s="67">
        <v>0.23236514522821577</v>
      </c>
      <c r="N32" s="67">
        <v>0.572972972972973</v>
      </c>
      <c r="O32" s="67">
        <v>0.4107142857142857</v>
      </c>
      <c r="P32" s="67">
        <v>0.36771300448430494</v>
      </c>
    </row>
    <row r="33" spans="1:16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0.25702811244979917</v>
      </c>
      <c r="M33" s="67">
        <v>0.2289156626506024</v>
      </c>
      <c r="N33" s="67">
        <v>0.57291666666666663</v>
      </c>
      <c r="O33" s="67">
        <v>0.40350877192982454</v>
      </c>
      <c r="P33" s="67">
        <v>0.36403508771929827</v>
      </c>
    </row>
    <row r="34" spans="1:16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0.25810635538262</v>
      </c>
      <c r="M34" s="67">
        <v>0.22568093385214008</v>
      </c>
      <c r="N34" s="67">
        <v>0.57286432160804024</v>
      </c>
      <c r="O34" s="67">
        <v>0.39655172413793105</v>
      </c>
      <c r="P34" s="67">
        <v>0.36051502145922748</v>
      </c>
    </row>
    <row r="35" spans="1:16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0.26616915422885573</v>
      </c>
      <c r="M35" s="67">
        <v>0.22388059701492538</v>
      </c>
      <c r="N35" s="67">
        <v>0.56542056074766356</v>
      </c>
      <c r="O35" s="67">
        <v>0.39444444444444443</v>
      </c>
      <c r="P35" s="67">
        <v>0.36065573770491804</v>
      </c>
    </row>
    <row r="36" spans="1:16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0.26832151300236406</v>
      </c>
      <c r="M36" s="67">
        <v>0.22458628841607564</v>
      </c>
      <c r="N36" s="67">
        <v>0.55947136563876654</v>
      </c>
      <c r="O36" s="67">
        <v>0.39473684210526316</v>
      </c>
      <c r="P36" s="67">
        <v>0.37109375</v>
      </c>
    </row>
    <row r="37" spans="1:16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0.26327683615819208</v>
      </c>
      <c r="M37" s="67">
        <v>0.22259887005649717</v>
      </c>
      <c r="N37" s="67">
        <v>0.5622317596566524</v>
      </c>
      <c r="O37" s="67">
        <v>0.40101522842639592</v>
      </c>
      <c r="P37" s="67">
        <v>0.3707865168539326</v>
      </c>
    </row>
    <row r="38" spans="1:16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0.26229508196721313</v>
      </c>
      <c r="M38" s="67">
        <v>0.21639344262295082</v>
      </c>
      <c r="N38" s="67">
        <v>0.5625</v>
      </c>
      <c r="O38" s="67">
        <v>0.40404040404040403</v>
      </c>
      <c r="P38" s="67">
        <v>0.37681159420289856</v>
      </c>
    </row>
    <row r="39" spans="1:16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0.26645435244161358</v>
      </c>
      <c r="M39" s="67">
        <v>0.21337579617834396</v>
      </c>
      <c r="N39" s="67">
        <v>0.56573705179282874</v>
      </c>
      <c r="O39" s="67">
        <v>0.40298507462686567</v>
      </c>
      <c r="P39" s="67">
        <v>0.37323943661971831</v>
      </c>
    </row>
    <row r="40" spans="1:16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0.265625</v>
      </c>
      <c r="M40" s="67">
        <v>0.21458333333333332</v>
      </c>
      <c r="N40" s="67">
        <v>0.56862745098039214</v>
      </c>
      <c r="O40" s="67">
        <v>0.40776699029126212</v>
      </c>
      <c r="P40" s="67">
        <v>0.37586206896551722</v>
      </c>
    </row>
    <row r="41" spans="1:16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0.26666666666666666</v>
      </c>
      <c r="M41" s="67">
        <v>0.21414141414141413</v>
      </c>
      <c r="N41" s="67">
        <v>0.57196969696969702</v>
      </c>
      <c r="O41" s="67">
        <v>0.40566037735849059</v>
      </c>
      <c r="P41" s="67">
        <v>0.38795986622073581</v>
      </c>
    </row>
    <row r="42" spans="1:16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0.26352015732546707</v>
      </c>
      <c r="M42" s="67">
        <v>0.21632251720747295</v>
      </c>
      <c r="N42" s="67">
        <v>0.56716417910447758</v>
      </c>
      <c r="O42" s="67">
        <v>0.40909090909090912</v>
      </c>
      <c r="P42" s="67">
        <v>0.3888888888888889</v>
      </c>
    </row>
    <row r="43" spans="1:16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0.26120857699805067</v>
      </c>
      <c r="M43" s="67">
        <v>0.21539961013645223</v>
      </c>
      <c r="N43" s="67">
        <v>0.56716417910447758</v>
      </c>
      <c r="O43" s="67">
        <v>0.41176470588235292</v>
      </c>
      <c r="P43" s="67">
        <v>0.38834951456310679</v>
      </c>
    </row>
    <row r="44" spans="1:16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0.258309591642925</v>
      </c>
      <c r="M44" s="67">
        <v>0.21557454890788225</v>
      </c>
      <c r="N44" s="67">
        <v>0.56617647058823528</v>
      </c>
      <c r="O44" s="67">
        <v>0.40528634361233479</v>
      </c>
      <c r="P44" s="67">
        <v>0.38607594936708861</v>
      </c>
    </row>
    <row r="45" spans="1:16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0.26018518518518519</v>
      </c>
      <c r="M45" s="67">
        <v>0.21296296296296297</v>
      </c>
      <c r="N45" s="67">
        <v>0.5658362989323843</v>
      </c>
      <c r="O45" s="67">
        <v>0.40434782608695652</v>
      </c>
      <c r="P45" s="67">
        <v>0.39318885448916407</v>
      </c>
    </row>
    <row r="46" spans="1:16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0.29891304347826086</v>
      </c>
      <c r="G46" s="67">
        <v>0.18025362318840579</v>
      </c>
      <c r="H46" s="68">
        <v>7945.757575757576</v>
      </c>
      <c r="I46" s="68">
        <v>-7919.0954773869344</v>
      </c>
      <c r="J46" s="67">
        <v>6.9767441860465115E-2</v>
      </c>
      <c r="K46" s="67">
        <v>6.9767441860465115E-2</v>
      </c>
      <c r="L46" s="67">
        <v>0.26177536231884058</v>
      </c>
      <c r="M46" s="67">
        <v>0.21195652173913043</v>
      </c>
      <c r="N46" s="67">
        <v>0.56401384083044981</v>
      </c>
      <c r="O46" s="67">
        <v>0.40598290598290598</v>
      </c>
      <c r="P46" s="67">
        <v>0.39090909090909093</v>
      </c>
    </row>
    <row r="47" spans="1:16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0.29955555555555557</v>
      </c>
      <c r="G47" s="67">
        <v>0.17955555555555555</v>
      </c>
      <c r="H47" s="68">
        <v>7872.106824925816</v>
      </c>
      <c r="I47" s="68">
        <v>-7860.8910891089108</v>
      </c>
      <c r="J47" s="67">
        <v>6.8181818181818177E-2</v>
      </c>
      <c r="K47" s="67">
        <v>6.8181818181818177E-2</v>
      </c>
      <c r="L47" s="67">
        <v>0.26222222222222225</v>
      </c>
      <c r="M47" s="67">
        <v>0.21066666666666667</v>
      </c>
      <c r="N47" s="67">
        <v>0.56271186440677967</v>
      </c>
      <c r="O47" s="67">
        <v>0.4050632911392405</v>
      </c>
      <c r="P47" s="67">
        <v>0.39465875370919884</v>
      </c>
    </row>
    <row r="48" spans="1:16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0.29956709956709959</v>
      </c>
      <c r="G48" s="67">
        <v>0.17922077922077922</v>
      </c>
      <c r="H48" s="68">
        <v>7918.7861271676302</v>
      </c>
      <c r="I48" s="68">
        <v>-7864.2512077294687</v>
      </c>
      <c r="J48" s="67">
        <v>6.6666666666666666E-2</v>
      </c>
      <c r="K48" s="67">
        <v>6.6666666666666666E-2</v>
      </c>
      <c r="L48" s="67">
        <v>0.25887445887445887</v>
      </c>
      <c r="M48" s="67">
        <v>0.21818181818181817</v>
      </c>
      <c r="N48" s="67">
        <v>0.56521739130434778</v>
      </c>
      <c r="O48" s="67">
        <v>0.40476190476190477</v>
      </c>
      <c r="P48" s="67">
        <v>0.39595375722543352</v>
      </c>
    </row>
    <row r="49" spans="1:16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0.30008525149190113</v>
      </c>
      <c r="G49" s="67">
        <v>0.17902813299232737</v>
      </c>
      <c r="H49" s="68">
        <v>7922.159090909091</v>
      </c>
      <c r="I49" s="68">
        <v>-7853.333333333333</v>
      </c>
      <c r="J49" s="67">
        <v>7.2463768115942032E-2</v>
      </c>
      <c r="K49" s="67">
        <v>7.2463768115942032E-2</v>
      </c>
      <c r="L49" s="67">
        <v>0.25916453537936912</v>
      </c>
      <c r="M49" s="67">
        <v>0.21739130434782608</v>
      </c>
      <c r="N49" s="67">
        <v>0.57236842105263153</v>
      </c>
      <c r="O49" s="67">
        <v>0.40392156862745099</v>
      </c>
      <c r="P49" s="67">
        <v>0.39772727272727271</v>
      </c>
    </row>
    <row r="50" spans="1:16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0.29966329966329969</v>
      </c>
      <c r="G50" s="67">
        <v>0.17929292929292928</v>
      </c>
      <c r="H50" s="68">
        <v>7983.9887640449442</v>
      </c>
      <c r="I50" s="68">
        <v>-7919.7183098591549</v>
      </c>
      <c r="J50" s="67">
        <v>7.8014184397163122E-2</v>
      </c>
      <c r="K50" s="67">
        <v>7.8014184397163122E-2</v>
      </c>
      <c r="L50" s="67">
        <v>0.25925925925925924</v>
      </c>
      <c r="M50" s="67">
        <v>0.21885521885521886</v>
      </c>
      <c r="N50" s="67">
        <v>0.57467532467532467</v>
      </c>
      <c r="O50" s="67">
        <v>0.4</v>
      </c>
      <c r="P50" s="67">
        <v>0.3960674157303371</v>
      </c>
    </row>
    <row r="51" spans="1:16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0.30016583747927034</v>
      </c>
      <c r="G51" s="67">
        <v>0.17993366500829189</v>
      </c>
      <c r="H51" s="68">
        <v>8049.7237569060771</v>
      </c>
      <c r="I51" s="68">
        <v>-7980.6451612903229</v>
      </c>
      <c r="J51" s="67">
        <v>7.6388888888888895E-2</v>
      </c>
      <c r="K51" s="67">
        <v>7.6388888888888895E-2</v>
      </c>
      <c r="L51" s="67">
        <v>0.25870646766169153</v>
      </c>
      <c r="M51" s="67">
        <v>0.21973466003316749</v>
      </c>
      <c r="N51" s="67">
        <v>0.58012820512820518</v>
      </c>
      <c r="O51" s="67">
        <v>0.4</v>
      </c>
      <c r="P51" s="67">
        <v>0.39502762430939226</v>
      </c>
    </row>
    <row r="52" spans="1:16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0.30008110300081103</v>
      </c>
      <c r="G52" s="67">
        <v>0.18085969180859693</v>
      </c>
      <c r="H52" s="68">
        <v>8036.7567567567567</v>
      </c>
      <c r="I52" s="68">
        <v>-7928.6995515695071</v>
      </c>
      <c r="J52" s="67">
        <v>7.4829931972789115E-2</v>
      </c>
      <c r="K52" s="67">
        <v>7.4829931972789115E-2</v>
      </c>
      <c r="L52" s="67">
        <v>0.25628548256285483</v>
      </c>
      <c r="M52" s="67">
        <v>0.21897810218978103</v>
      </c>
      <c r="N52" s="67">
        <v>0.58227848101265822</v>
      </c>
      <c r="O52" s="67">
        <v>0.39629629629629631</v>
      </c>
      <c r="P52" s="67">
        <v>0.39189189189189189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</vt:vector>
  </HeadingPairs>
  <TitlesOfParts>
    <vt:vector size="40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2019-04-11T17:12:09Z</dcterms:modified>
</cp:coreProperties>
</file>