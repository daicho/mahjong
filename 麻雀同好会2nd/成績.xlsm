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chartsheets/sheet16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9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0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1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2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3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4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15.xml" ContentType="application/vnd.openxmlformats-officedocument.drawing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16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7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18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19.xml" ContentType="application/vnd.openxmlformats-officedocument.drawing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0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21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2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2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24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5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26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7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28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29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2nd\"/>
    </mc:Choice>
  </mc:AlternateContent>
  <xr:revisionPtr revIDLastSave="0" documentId="13_ncr:1_{9197121B-32EA-4CAC-BB33-AFD7F53EAAA1}" xr6:coauthVersionLast="36" xr6:coauthVersionMax="36" xr10:uidLastSave="{00000000-0000-0000-0000-000000000000}"/>
  <bookViews>
    <workbookView xWindow="0" yWindow="0" windowWidth="28800" windowHeight="13050" tabRatio="663" firstSheet="4" activeTab="4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Players" sheetId="3285" state="hidden" r:id="rId4"/>
    <sheet name="ランキング" sheetId="3332" r:id="rId5"/>
    <sheet name="全体" sheetId="4819" r:id="rId6"/>
    <sheet name="だいち" sheetId="4821" r:id="rId7"/>
    <sheet name="りくと" sheetId="4823" r:id="rId8"/>
    <sheet name="ただ" sheetId="4825" r:id="rId9"/>
    <sheet name="れんたろう" sheetId="4827" r:id="rId10"/>
    <sheet name="たかの" sheetId="4829" r:id="rId11"/>
    <sheet name="ぱぱ" sheetId="4831" r:id="rId12"/>
    <sheet name="まっつん" sheetId="4833" r:id="rId13"/>
    <sheet name="あさひ" sheetId="4835" r:id="rId14"/>
    <sheet name="いっしー" sheetId="4837" r:id="rId15"/>
    <sheet name="ほたに" sheetId="4839" r:id="rId16"/>
    <sheet name="ほたに2" sheetId="4840" state="hidden" r:id="rId17"/>
    <sheet name="いっしー2" sheetId="4838" state="hidden" r:id="rId18"/>
    <sheet name="あさひ2" sheetId="4836" state="hidden" r:id="rId19"/>
    <sheet name="まっつん2" sheetId="4834" state="hidden" r:id="rId20"/>
    <sheet name="ぱぱ2" sheetId="4832" state="hidden" r:id="rId21"/>
    <sheet name="たかの2" sheetId="4830" state="hidden" r:id="rId22"/>
    <sheet name="れんたろう2" sheetId="4828" state="hidden" r:id="rId23"/>
    <sheet name="ただ2" sheetId="4826" state="hidden" r:id="rId24"/>
    <sheet name="りくと2" sheetId="4824" state="hidden" r:id="rId25"/>
    <sheet name="だいち2" sheetId="4822" state="hidden" r:id="rId26"/>
    <sheet name="全体2" sheetId="4820" state="hidden" r:id="rId27"/>
    <sheet name="通算スコア" sheetId="3331" state="hidden" r:id="rId28"/>
    <sheet name="平均スコア" sheetId="3493" state="hidden" r:id="rId29"/>
    <sheet name="平均順位" sheetId="3183" state="hidden" r:id="rId30"/>
    <sheet name="トップ率" sheetId="3185" state="hidden" r:id="rId31"/>
    <sheet name="ラス率" sheetId="4796" state="hidden" r:id="rId32"/>
    <sheet name="アガリ率" sheetId="3189" state="hidden" r:id="rId33"/>
    <sheet name="放銃率" sheetId="3190" state="hidden" r:id="rId34"/>
    <sheet name="平均アガリ点" sheetId="3520" state="hidden" r:id="rId35"/>
    <sheet name="平均放銃点" sheetId="3521" state="hidden" r:id="rId36"/>
    <sheet name="ふっとび率" sheetId="3522" state="hidden" r:id="rId37"/>
    <sheet name="ふっとばし率" sheetId="3523" state="hidden" r:id="rId38"/>
    <sheet name="リーチ率" sheetId="3524" state="hidden" r:id="rId39"/>
    <sheet name="副露率" sheetId="3525" state="hidden" r:id="rId40"/>
    <sheet name="リーチ成功率" sheetId="3526" state="hidden" r:id="rId41"/>
    <sheet name="副露成功率" sheetId="3527" state="hidden" r:id="rId42"/>
    <sheet name="ツモ率" sheetId="3528" state="hidden" r:id="rId4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O15" i="4839" l="1"/>
  <c r="O16" i="4839"/>
  <c r="H39" i="4839"/>
  <c r="H29" i="4839"/>
  <c r="H9" i="4839"/>
  <c r="C27" i="4839"/>
  <c r="B24" i="4839"/>
  <c r="C20" i="4839"/>
  <c r="H21" i="4839"/>
  <c r="B17" i="4839"/>
  <c r="H50" i="4839" s="1"/>
  <c r="H18" i="4839"/>
  <c r="C16" i="4839"/>
  <c r="C15" i="4839"/>
  <c r="C14" i="4839"/>
  <c r="C13" i="4839"/>
  <c r="O12" i="4839"/>
  <c r="H14" i="4839"/>
  <c r="C12" i="4839"/>
  <c r="O11" i="4839"/>
  <c r="C11" i="4839"/>
  <c r="O10" i="4839"/>
  <c r="C10" i="4839"/>
  <c r="C9" i="4839"/>
  <c r="H11" i="4839"/>
  <c r="C8" i="4839"/>
  <c r="O7" i="4839"/>
  <c r="C7" i="4839"/>
  <c r="O6" i="4839"/>
  <c r="B6" i="4839"/>
  <c r="O5" i="4839"/>
  <c r="H3" i="4839"/>
  <c r="B5" i="4839"/>
  <c r="O4" i="4839"/>
  <c r="O3" i="4839"/>
  <c r="O2" i="4839"/>
  <c r="H4" i="4839"/>
  <c r="O21" i="4827"/>
  <c r="O16" i="4829"/>
  <c r="O18" i="4819"/>
  <c r="H43" i="4839" l="1"/>
  <c r="H12" i="4839"/>
  <c r="H24" i="4839"/>
  <c r="H44" i="4839"/>
  <c r="B23" i="4839"/>
  <c r="H5" i="4839"/>
  <c r="H35" i="4839"/>
  <c r="H47" i="4839"/>
  <c r="H30" i="4839"/>
  <c r="H6" i="4839"/>
  <c r="H31" i="4839"/>
  <c r="H25" i="4839"/>
  <c r="H16" i="4839"/>
  <c r="H51" i="4839"/>
  <c r="C17" i="4839"/>
  <c r="H45" i="4839"/>
  <c r="H19" i="4839"/>
  <c r="H46" i="4839"/>
  <c r="C18" i="4839"/>
  <c r="H36" i="4839"/>
  <c r="H13" i="4839"/>
  <c r="H20" i="4839"/>
  <c r="H26" i="4839"/>
  <c r="H37" i="4839"/>
  <c r="H17" i="4839"/>
  <c r="C19" i="4839"/>
  <c r="H38" i="4839"/>
  <c r="H10" i="4839"/>
  <c r="H32" i="4839"/>
  <c r="H40" i="4839"/>
  <c r="H48" i="4839"/>
  <c r="H27" i="4839"/>
  <c r="H33" i="4839"/>
  <c r="H41" i="4839"/>
  <c r="H49" i="4839"/>
  <c r="H2" i="4839"/>
  <c r="H8" i="4839"/>
  <c r="H22" i="4839"/>
  <c r="H7" i="4839"/>
  <c r="H15" i="4839"/>
  <c r="H23" i="4839"/>
  <c r="H28" i="4839"/>
  <c r="H34" i="4839"/>
  <c r="H42" i="4839"/>
  <c r="O17" i="4829" l="1"/>
  <c r="O15" i="4825"/>
  <c r="O20" i="4833"/>
  <c r="O19" i="4833"/>
  <c r="O17" i="4821" l="1"/>
  <c r="O17" i="4837"/>
  <c r="O16" i="4837" l="1"/>
  <c r="O15" i="4837"/>
  <c r="O16" i="4827"/>
  <c r="O20" i="4825"/>
  <c r="O17" i="4835" l="1"/>
  <c r="O20" i="4831"/>
  <c r="O15" i="4835"/>
  <c r="O20" i="4837"/>
  <c r="O15" i="4823"/>
  <c r="O15" i="4833"/>
  <c r="O15" i="4819"/>
  <c r="O19" i="4837"/>
  <c r="O18" i="4837"/>
  <c r="C27" i="4837"/>
  <c r="B24" i="4837"/>
  <c r="C20" i="4837"/>
  <c r="B17" i="4837"/>
  <c r="H50" i="4837" s="1"/>
  <c r="C16" i="4837"/>
  <c r="C15" i="4837"/>
  <c r="C14" i="4837"/>
  <c r="C13" i="4837"/>
  <c r="O12" i="4837"/>
  <c r="C12" i="4837"/>
  <c r="O11" i="4837"/>
  <c r="C11" i="4837"/>
  <c r="O10" i="4837"/>
  <c r="C10" i="4837"/>
  <c r="C9" i="4837"/>
  <c r="C8" i="4837"/>
  <c r="O7" i="4837"/>
  <c r="C7" i="4837"/>
  <c r="O6" i="4837"/>
  <c r="B6" i="4837"/>
  <c r="O5" i="4837"/>
  <c r="B5" i="4837"/>
  <c r="O4" i="4837"/>
  <c r="O3" i="4837"/>
  <c r="O2" i="4837"/>
  <c r="O16" i="4835"/>
  <c r="O18" i="4835"/>
  <c r="H39" i="4835"/>
  <c r="H36" i="4835"/>
  <c r="C27" i="4835"/>
  <c r="B24" i="4835"/>
  <c r="C20" i="4835"/>
  <c r="B17" i="4835"/>
  <c r="H50" i="4835" s="1"/>
  <c r="C16" i="4835"/>
  <c r="C15" i="4835"/>
  <c r="H17" i="4835"/>
  <c r="C14" i="4835"/>
  <c r="C13" i="4835"/>
  <c r="O12" i="4835"/>
  <c r="C12" i="4835"/>
  <c r="O11" i="4835"/>
  <c r="H14" i="4835"/>
  <c r="C11" i="4835"/>
  <c r="O10" i="4835"/>
  <c r="C10" i="4835"/>
  <c r="C9" i="4835"/>
  <c r="C8" i="4835"/>
  <c r="O7" i="4835"/>
  <c r="C7" i="4835"/>
  <c r="O6" i="4835"/>
  <c r="B6" i="4835"/>
  <c r="O5" i="4835"/>
  <c r="B5" i="4835"/>
  <c r="O4" i="4835"/>
  <c r="O3" i="4835"/>
  <c r="O2" i="4835"/>
  <c r="H2" i="4835"/>
  <c r="O22" i="4833"/>
  <c r="O21" i="4833"/>
  <c r="O16" i="4821"/>
  <c r="O19" i="4821"/>
  <c r="O23" i="4819"/>
  <c r="H19" i="4835" l="1"/>
  <c r="H43" i="4835"/>
  <c r="H13" i="4835"/>
  <c r="H25" i="4835"/>
  <c r="H44" i="4835"/>
  <c r="H5" i="4835"/>
  <c r="H22" i="4835"/>
  <c r="H10" i="4835"/>
  <c r="H15" i="4835"/>
  <c r="H47" i="4835"/>
  <c r="H12" i="4835"/>
  <c r="H51" i="4835"/>
  <c r="H8" i="4835"/>
  <c r="H6" i="4835"/>
  <c r="H20" i="4835"/>
  <c r="H7" i="4835"/>
  <c r="C17" i="4835"/>
  <c r="H4" i="4835"/>
  <c r="H31" i="4835"/>
  <c r="H3" i="4835"/>
  <c r="C18" i="4835"/>
  <c r="H35" i="4835"/>
  <c r="H21" i="4837"/>
  <c r="C18" i="4837"/>
  <c r="H6" i="4837"/>
  <c r="H10" i="4837"/>
  <c r="H15" i="4837"/>
  <c r="H43" i="4837"/>
  <c r="H14" i="4837"/>
  <c r="H29" i="4837"/>
  <c r="H37" i="4837"/>
  <c r="H18" i="4837"/>
  <c r="H9" i="4837"/>
  <c r="H44" i="4837"/>
  <c r="H16" i="4837"/>
  <c r="H4" i="4837"/>
  <c r="H3" i="4837"/>
  <c r="H22" i="4837"/>
  <c r="H2" i="4837"/>
  <c r="H40" i="4837"/>
  <c r="H13" i="4837"/>
  <c r="H20" i="4837"/>
  <c r="H26" i="4837"/>
  <c r="H45" i="4837"/>
  <c r="H32" i="4837"/>
  <c r="H48" i="4837"/>
  <c r="H24" i="4837"/>
  <c r="H35" i="4837"/>
  <c r="H51" i="4837"/>
  <c r="H12" i="4837"/>
  <c r="H7" i="4837"/>
  <c r="C17" i="4837"/>
  <c r="B23" i="4837"/>
  <c r="H36" i="4837"/>
  <c r="H5" i="4837"/>
  <c r="H19" i="4837"/>
  <c r="C19" i="4837"/>
  <c r="H25" i="4837"/>
  <c r="H30" i="4837"/>
  <c r="H38" i="4837"/>
  <c r="H46" i="4837"/>
  <c r="H31" i="4837"/>
  <c r="H39" i="4837"/>
  <c r="H47" i="4837"/>
  <c r="H23" i="4837"/>
  <c r="H27" i="4837"/>
  <c r="H33" i="4837"/>
  <c r="H41" i="4837"/>
  <c r="H49" i="4837"/>
  <c r="H8" i="4837"/>
  <c r="H17" i="4837"/>
  <c r="H11" i="4837"/>
  <c r="H28" i="4837"/>
  <c r="H34" i="4837"/>
  <c r="H42" i="4837"/>
  <c r="H21" i="4835"/>
  <c r="B23" i="4835"/>
  <c r="H29" i="4835"/>
  <c r="H37" i="4835"/>
  <c r="H45" i="4835"/>
  <c r="H18" i="4835"/>
  <c r="C19" i="4835"/>
  <c r="H26" i="4835"/>
  <c r="H30" i="4835"/>
  <c r="H38" i="4835"/>
  <c r="H46" i="4835"/>
  <c r="H11" i="4835"/>
  <c r="H32" i="4835"/>
  <c r="H40" i="4835"/>
  <c r="H48" i="4835"/>
  <c r="H23" i="4835"/>
  <c r="H27" i="4835"/>
  <c r="H33" i="4835"/>
  <c r="H41" i="4835"/>
  <c r="H49" i="4835"/>
  <c r="H9" i="4835"/>
  <c r="H16" i="4835"/>
  <c r="H24" i="4835"/>
  <c r="H28" i="4835"/>
  <c r="H34" i="4835"/>
  <c r="H42" i="4835"/>
  <c r="O16" i="4833" l="1"/>
  <c r="O19" i="4831"/>
  <c r="O17" i="4831"/>
  <c r="O18" i="4823"/>
  <c r="O19" i="4829" l="1"/>
  <c r="O17" i="4827"/>
  <c r="O16" i="4831"/>
  <c r="O18" i="4831"/>
  <c r="O15" i="4829" l="1"/>
  <c r="O15" i="4827"/>
  <c r="O19" i="4825"/>
  <c r="O21" i="4825"/>
  <c r="O17" i="4833"/>
  <c r="O18" i="4833"/>
  <c r="C27" i="4833"/>
  <c r="B24" i="4833"/>
  <c r="C20" i="4833"/>
  <c r="B17" i="4833"/>
  <c r="H5" i="4833" s="1"/>
  <c r="C16" i="4833"/>
  <c r="C15" i="4833"/>
  <c r="C14" i="4833"/>
  <c r="C13" i="4833"/>
  <c r="O12" i="4833"/>
  <c r="C12" i="4833"/>
  <c r="O11" i="4833"/>
  <c r="C11" i="4833"/>
  <c r="O10" i="4833"/>
  <c r="C10" i="4833"/>
  <c r="C9" i="4833"/>
  <c r="C8" i="4833"/>
  <c r="O7" i="4833"/>
  <c r="C7" i="4833"/>
  <c r="O6" i="4833"/>
  <c r="B6" i="4833"/>
  <c r="O5" i="4833"/>
  <c r="B5" i="4833"/>
  <c r="O4" i="4833"/>
  <c r="O3" i="4833"/>
  <c r="O2" i="4833"/>
  <c r="O19" i="4827"/>
  <c r="O19" i="4823"/>
  <c r="O19" i="4819"/>
  <c r="C17" i="4833" l="1"/>
  <c r="H30" i="4833"/>
  <c r="H8" i="4833"/>
  <c r="H16" i="4833"/>
  <c r="H4" i="4833"/>
  <c r="H12" i="4833"/>
  <c r="H11" i="4833"/>
  <c r="H31" i="4833"/>
  <c r="H39" i="4833"/>
  <c r="H18" i="4833"/>
  <c r="H23" i="4833"/>
  <c r="C19" i="4833"/>
  <c r="H6" i="4833"/>
  <c r="H24" i="4833"/>
  <c r="H37" i="4833"/>
  <c r="H20" i="4833"/>
  <c r="B23" i="4833"/>
  <c r="H3" i="4833"/>
  <c r="H15" i="4833"/>
  <c r="H45" i="4833"/>
  <c r="H38" i="4833"/>
  <c r="H46" i="4833"/>
  <c r="H47" i="4833"/>
  <c r="H21" i="4833"/>
  <c r="H27" i="4833"/>
  <c r="H32" i="4833"/>
  <c r="H40" i="4833"/>
  <c r="H48" i="4833"/>
  <c r="H33" i="4833"/>
  <c r="H7" i="4833"/>
  <c r="H13" i="4833"/>
  <c r="H14" i="4833"/>
  <c r="H29" i="4833"/>
  <c r="H34" i="4833"/>
  <c r="H42" i="4833"/>
  <c r="H50" i="4833"/>
  <c r="H28" i="4833"/>
  <c r="H41" i="4833"/>
  <c r="H22" i="4833"/>
  <c r="H35" i="4833"/>
  <c r="H43" i="4833"/>
  <c r="H51" i="4833"/>
  <c r="H2" i="4833"/>
  <c r="H25" i="4833"/>
  <c r="H49" i="4833"/>
  <c r="H9" i="4833"/>
  <c r="H17" i="4833"/>
  <c r="H19" i="4833"/>
  <c r="C18" i="4833"/>
  <c r="H26" i="4833"/>
  <c r="H10" i="4833"/>
  <c r="H36" i="4833"/>
  <c r="H44" i="4833"/>
  <c r="O16" i="4825" l="1"/>
  <c r="O21" i="4831"/>
  <c r="O15" i="4831"/>
  <c r="H35" i="4831"/>
  <c r="C27" i="4831"/>
  <c r="B24" i="4831"/>
  <c r="C20" i="4831"/>
  <c r="H15" i="4831"/>
  <c r="B17" i="4831"/>
  <c r="H50" i="4831" s="1"/>
  <c r="C16" i="4831"/>
  <c r="C15" i="4831"/>
  <c r="H19" i="4831"/>
  <c r="C14" i="4831"/>
  <c r="C13" i="4831"/>
  <c r="O12" i="4831"/>
  <c r="C12" i="4831"/>
  <c r="O11" i="4831"/>
  <c r="H16" i="4831"/>
  <c r="C11" i="4831"/>
  <c r="O10" i="4831"/>
  <c r="H3" i="4831"/>
  <c r="C10" i="4831"/>
  <c r="C9" i="4831"/>
  <c r="C8" i="4831"/>
  <c r="O7" i="4831"/>
  <c r="C7" i="4831"/>
  <c r="O6" i="4831"/>
  <c r="H4" i="4831"/>
  <c r="B6" i="4831"/>
  <c r="O5" i="4831"/>
  <c r="H7" i="4831"/>
  <c r="B5" i="4831"/>
  <c r="O4" i="4831"/>
  <c r="H2" i="4831"/>
  <c r="O3" i="4831"/>
  <c r="H14" i="4831"/>
  <c r="O2" i="4831"/>
  <c r="O15" i="4821"/>
  <c r="O17" i="4819"/>
  <c r="O18" i="4829"/>
  <c r="O17" i="4823"/>
  <c r="O20" i="4823"/>
  <c r="O20" i="4827"/>
  <c r="O20" i="4829"/>
  <c r="O21" i="4829"/>
  <c r="H36" i="4829"/>
  <c r="C27" i="4829"/>
  <c r="B24" i="4829"/>
  <c r="C20" i="4829"/>
  <c r="B17" i="4829"/>
  <c r="H50" i="4829" s="1"/>
  <c r="C16" i="4829"/>
  <c r="C15" i="4829"/>
  <c r="C14" i="4829"/>
  <c r="C13" i="4829"/>
  <c r="O12" i="4829"/>
  <c r="C12" i="4829"/>
  <c r="O11" i="4829"/>
  <c r="C11" i="4829"/>
  <c r="O10" i="4829"/>
  <c r="C10" i="4829"/>
  <c r="C9" i="4829"/>
  <c r="C8" i="4829"/>
  <c r="O7" i="4829"/>
  <c r="C7" i="4829"/>
  <c r="O6" i="4829"/>
  <c r="B6" i="4829"/>
  <c r="O5" i="4829"/>
  <c r="B5" i="4829"/>
  <c r="O4" i="4829"/>
  <c r="O3" i="4829"/>
  <c r="O2" i="4829"/>
  <c r="O22" i="4827"/>
  <c r="O18" i="4827"/>
  <c r="C27" i="4827"/>
  <c r="B24" i="4827"/>
  <c r="C20" i="4827"/>
  <c r="B17" i="4827"/>
  <c r="H17" i="4827" s="1"/>
  <c r="C16" i="4827"/>
  <c r="C15" i="4827"/>
  <c r="C14" i="4827"/>
  <c r="C13" i="4827"/>
  <c r="O12" i="4827"/>
  <c r="C12" i="4827"/>
  <c r="O11" i="4827"/>
  <c r="C11" i="4827"/>
  <c r="O10" i="4827"/>
  <c r="C10" i="4827"/>
  <c r="C9" i="4827"/>
  <c r="C8" i="4827"/>
  <c r="O7" i="4827"/>
  <c r="C7" i="4827"/>
  <c r="O6" i="4827"/>
  <c r="B6" i="4827"/>
  <c r="O5" i="4827"/>
  <c r="B5" i="4827"/>
  <c r="O4" i="4827"/>
  <c r="O3" i="4827"/>
  <c r="O2" i="4827"/>
  <c r="O20" i="4821"/>
  <c r="O21" i="4821"/>
  <c r="O22" i="4819"/>
  <c r="O20" i="4819"/>
  <c r="H15" i="4829" l="1"/>
  <c r="H43" i="4831"/>
  <c r="H11" i="4831"/>
  <c r="H17" i="4831"/>
  <c r="C17" i="4831"/>
  <c r="H51" i="4831"/>
  <c r="C18" i="4831"/>
  <c r="H25" i="4831"/>
  <c r="H8" i="4831"/>
  <c r="H36" i="4831"/>
  <c r="H6" i="4831"/>
  <c r="H5" i="4831"/>
  <c r="H9" i="4831"/>
  <c r="H22" i="4831"/>
  <c r="B23" i="4831"/>
  <c r="H29" i="4831"/>
  <c r="H37" i="4831"/>
  <c r="H45" i="4831"/>
  <c r="H44" i="4831"/>
  <c r="H20" i="4831"/>
  <c r="C19" i="4831"/>
  <c r="H26" i="4831"/>
  <c r="H30" i="4831"/>
  <c r="H38" i="4831"/>
  <c r="H46" i="4831"/>
  <c r="H23" i="4831"/>
  <c r="H31" i="4831"/>
  <c r="H39" i="4831"/>
  <c r="H47" i="4831"/>
  <c r="H21" i="4831"/>
  <c r="H13" i="4831"/>
  <c r="H32" i="4831"/>
  <c r="H40" i="4831"/>
  <c r="H48" i="4831"/>
  <c r="H24" i="4831"/>
  <c r="H27" i="4831"/>
  <c r="H33" i="4831"/>
  <c r="H41" i="4831"/>
  <c r="H49" i="4831"/>
  <c r="H10" i="4831"/>
  <c r="H18" i="4831"/>
  <c r="H12" i="4831"/>
  <c r="H28" i="4831"/>
  <c r="H34" i="4831"/>
  <c r="H42" i="4831"/>
  <c r="H43" i="4829"/>
  <c r="H22" i="4829"/>
  <c r="H40" i="4829"/>
  <c r="H9" i="4829"/>
  <c r="H5" i="4829"/>
  <c r="H12" i="4829"/>
  <c r="H7" i="4829"/>
  <c r="H26" i="4829"/>
  <c r="H19" i="4829"/>
  <c r="H35" i="4829"/>
  <c r="C17" i="4827"/>
  <c r="H28" i="4827"/>
  <c r="H3" i="4827"/>
  <c r="H37" i="4827"/>
  <c r="H16" i="4827"/>
  <c r="H13" i="4827"/>
  <c r="H4" i="4827"/>
  <c r="H25" i="4827"/>
  <c r="H2" i="4827"/>
  <c r="H46" i="4827"/>
  <c r="H43" i="4827"/>
  <c r="H7" i="4827"/>
  <c r="C19" i="4827"/>
  <c r="H18" i="4827"/>
  <c r="H23" i="4827"/>
  <c r="H47" i="4827"/>
  <c r="H35" i="4827"/>
  <c r="C18" i="4827"/>
  <c r="H41" i="4827"/>
  <c r="H30" i="4827"/>
  <c r="H22" i="4827"/>
  <c r="H45" i="4827"/>
  <c r="H20" i="4827"/>
  <c r="H32" i="4827"/>
  <c r="H19" i="4827"/>
  <c r="H8" i="4827"/>
  <c r="H11" i="4827"/>
  <c r="B23" i="4827"/>
  <c r="H33" i="4827"/>
  <c r="H13" i="4829"/>
  <c r="H6" i="4829"/>
  <c r="H48" i="4829"/>
  <c r="H14" i="4829"/>
  <c r="H20" i="4829"/>
  <c r="H44" i="4829"/>
  <c r="H11" i="4829"/>
  <c r="H2" i="4829"/>
  <c r="H16" i="4829"/>
  <c r="H51" i="4829"/>
  <c r="C17" i="4829"/>
  <c r="H10" i="4829"/>
  <c r="H3" i="4829"/>
  <c r="C18" i="4829"/>
  <c r="H32" i="4829"/>
  <c r="H4" i="4829"/>
  <c r="H24" i="4829"/>
  <c r="B23" i="4829"/>
  <c r="H30" i="4829"/>
  <c r="H37" i="4829"/>
  <c r="H45" i="4829"/>
  <c r="H23" i="4829"/>
  <c r="C19" i="4829"/>
  <c r="H27" i="4829"/>
  <c r="H18" i="4829"/>
  <c r="H38" i="4829"/>
  <c r="H46" i="4829"/>
  <c r="H31" i="4829"/>
  <c r="H39" i="4829"/>
  <c r="H47" i="4829"/>
  <c r="H25" i="4829"/>
  <c r="H28" i="4829"/>
  <c r="H33" i="4829"/>
  <c r="H41" i="4829"/>
  <c r="H49" i="4829"/>
  <c r="H8" i="4829"/>
  <c r="H21" i="4829"/>
  <c r="H17" i="4829"/>
  <c r="H29" i="4829"/>
  <c r="H34" i="4829"/>
  <c r="H42" i="4829"/>
  <c r="H9" i="4827"/>
  <c r="H6" i="4827"/>
  <c r="H12" i="4827"/>
  <c r="H21" i="4827"/>
  <c r="H38" i="4827"/>
  <c r="H48" i="4827"/>
  <c r="H15" i="4827"/>
  <c r="H14" i="4827"/>
  <c r="H10" i="4827"/>
  <c r="H39" i="4827"/>
  <c r="H51" i="4827"/>
  <c r="H27" i="4827"/>
  <c r="H31" i="4827"/>
  <c r="H40" i="4827"/>
  <c r="H5" i="4827"/>
  <c r="H49" i="4827"/>
  <c r="H26" i="4827"/>
  <c r="H29" i="4827"/>
  <c r="H34" i="4827"/>
  <c r="H42" i="4827"/>
  <c r="H50" i="4827"/>
  <c r="H24" i="4827"/>
  <c r="H36" i="4827"/>
  <c r="H44" i="4827"/>
  <c r="O17" i="4825" l="1"/>
  <c r="O18" i="4825"/>
  <c r="C27" i="4825"/>
  <c r="B24" i="4825"/>
  <c r="C20" i="4825"/>
  <c r="B17" i="4825"/>
  <c r="H50" i="4825" s="1"/>
  <c r="C16" i="4825"/>
  <c r="C15" i="4825"/>
  <c r="C14" i="4825"/>
  <c r="C13" i="4825"/>
  <c r="O12" i="4825"/>
  <c r="C12" i="4825"/>
  <c r="O11" i="4825"/>
  <c r="C11" i="4825"/>
  <c r="O10" i="4825"/>
  <c r="C10" i="4825"/>
  <c r="C9" i="4825"/>
  <c r="C8" i="4825"/>
  <c r="O7" i="4825"/>
  <c r="C7" i="4825"/>
  <c r="O6" i="4825"/>
  <c r="B6" i="4825"/>
  <c r="O5" i="4825"/>
  <c r="B5" i="4825"/>
  <c r="O4" i="4825"/>
  <c r="O3" i="4825"/>
  <c r="O2" i="4825"/>
  <c r="O21" i="4823"/>
  <c r="O16" i="4823"/>
  <c r="C27" i="4823"/>
  <c r="B24" i="4823"/>
  <c r="C20" i="4823"/>
  <c r="B17" i="4823"/>
  <c r="H51" i="4823" s="1"/>
  <c r="C16" i="4823"/>
  <c r="C15" i="4823"/>
  <c r="C14" i="4823"/>
  <c r="C13" i="4823"/>
  <c r="O12" i="4823"/>
  <c r="C12" i="4823"/>
  <c r="O11" i="4823"/>
  <c r="C11" i="4823"/>
  <c r="O10" i="4823"/>
  <c r="C10" i="4823"/>
  <c r="C9" i="4823"/>
  <c r="C8" i="4823"/>
  <c r="O7" i="4823"/>
  <c r="C7" i="4823"/>
  <c r="O6" i="4823"/>
  <c r="B6" i="4823"/>
  <c r="O5" i="4823"/>
  <c r="B5" i="4823"/>
  <c r="O4" i="4823"/>
  <c r="O3" i="4823"/>
  <c r="O2" i="4823"/>
  <c r="O24" i="4819"/>
  <c r="O18" i="4821"/>
  <c r="O22" i="4821"/>
  <c r="C27" i="4821"/>
  <c r="B24" i="4821"/>
  <c r="C20" i="4821"/>
  <c r="B17" i="4821"/>
  <c r="H50" i="4821" s="1"/>
  <c r="C16" i="4821"/>
  <c r="C15" i="4821"/>
  <c r="C14" i="4821"/>
  <c r="C13" i="4821"/>
  <c r="O12" i="4821"/>
  <c r="C12" i="4821"/>
  <c r="O11" i="4821"/>
  <c r="C11" i="4821"/>
  <c r="O10" i="4821"/>
  <c r="C10" i="4821"/>
  <c r="C9" i="4821"/>
  <c r="C8" i="4821"/>
  <c r="O7" i="4821"/>
  <c r="C7" i="4821"/>
  <c r="O6" i="4821"/>
  <c r="B6" i="4821"/>
  <c r="O5" i="4821"/>
  <c r="B5" i="4821"/>
  <c r="O4" i="4821"/>
  <c r="O3" i="4821"/>
  <c r="O2" i="4821"/>
  <c r="O16" i="4819"/>
  <c r="O21" i="4819"/>
  <c r="C27" i="4819"/>
  <c r="B24" i="4819"/>
  <c r="C20" i="4819"/>
  <c r="B17" i="4819"/>
  <c r="H5" i="4819" s="1"/>
  <c r="C16" i="4819"/>
  <c r="C15" i="4819"/>
  <c r="C14" i="4819"/>
  <c r="C13" i="4819"/>
  <c r="O12" i="4819"/>
  <c r="C12" i="4819"/>
  <c r="O11" i="4819"/>
  <c r="C11" i="4819"/>
  <c r="O10" i="4819"/>
  <c r="C10" i="4819"/>
  <c r="C9" i="4819"/>
  <c r="C8" i="4819"/>
  <c r="O7" i="4819"/>
  <c r="C7" i="4819"/>
  <c r="O6" i="4819"/>
  <c r="B6" i="4819"/>
  <c r="O5" i="4819"/>
  <c r="B5" i="4819"/>
  <c r="O4" i="4819"/>
  <c r="O3" i="4819"/>
  <c r="O2" i="4819"/>
  <c r="H3" i="4825" l="1"/>
  <c r="H15" i="4821"/>
  <c r="H2" i="4821"/>
  <c r="H3" i="4821"/>
  <c r="H26" i="4821"/>
  <c r="H10" i="4825"/>
  <c r="H12" i="4825"/>
  <c r="H4" i="4825"/>
  <c r="H11" i="4825"/>
  <c r="H21" i="4825"/>
  <c r="H7" i="4825"/>
  <c r="H2" i="4825"/>
  <c r="H44" i="4825"/>
  <c r="C17" i="4825"/>
  <c r="H36" i="4825"/>
  <c r="H43" i="4825"/>
  <c r="H16" i="4825"/>
  <c r="H51" i="4825"/>
  <c r="H17" i="4825"/>
  <c r="H35" i="4825"/>
  <c r="C18" i="4825"/>
  <c r="H23" i="4825"/>
  <c r="H19" i="4825"/>
  <c r="H25" i="4825"/>
  <c r="H6" i="4825"/>
  <c r="H8" i="4825"/>
  <c r="H5" i="4825"/>
  <c r="H22" i="4825"/>
  <c r="B23" i="4825"/>
  <c r="H29" i="4825"/>
  <c r="H37" i="4825"/>
  <c r="H45" i="4825"/>
  <c r="H20" i="4825"/>
  <c r="C19" i="4825"/>
  <c r="H26" i="4825"/>
  <c r="H30" i="4825"/>
  <c r="H38" i="4825"/>
  <c r="H46" i="4825"/>
  <c r="H31" i="4825"/>
  <c r="H39" i="4825"/>
  <c r="H47" i="4825"/>
  <c r="H14" i="4825"/>
  <c r="H13" i="4825"/>
  <c r="H32" i="4825"/>
  <c r="H40" i="4825"/>
  <c r="H48" i="4825"/>
  <c r="H24" i="4825"/>
  <c r="H27" i="4825"/>
  <c r="H33" i="4825"/>
  <c r="H41" i="4825"/>
  <c r="H49" i="4825"/>
  <c r="H9" i="4825"/>
  <c r="H18" i="4825"/>
  <c r="H15" i="4825"/>
  <c r="H28" i="4825"/>
  <c r="H34" i="4825"/>
  <c r="H42" i="4825"/>
  <c r="B23" i="4823"/>
  <c r="H24" i="4823"/>
  <c r="H36" i="4823"/>
  <c r="H9" i="4823"/>
  <c r="H20" i="4823"/>
  <c r="H23" i="4823"/>
  <c r="H37" i="4823"/>
  <c r="H6" i="4823"/>
  <c r="H3" i="4823"/>
  <c r="H44" i="4823"/>
  <c r="H7" i="4823"/>
  <c r="C18" i="4823"/>
  <c r="H11" i="4823"/>
  <c r="H49" i="4823"/>
  <c r="H41" i="4823"/>
  <c r="H12" i="4823"/>
  <c r="H18" i="4823"/>
  <c r="H10" i="4823"/>
  <c r="H27" i="4823"/>
  <c r="H32" i="4823"/>
  <c r="H16" i="4823"/>
  <c r="C17" i="4823"/>
  <c r="H45" i="4823"/>
  <c r="H4" i="4823"/>
  <c r="H28" i="4823"/>
  <c r="H2" i="4823"/>
  <c r="H33" i="4823"/>
  <c r="H5" i="4823"/>
  <c r="H38" i="4823"/>
  <c r="H46" i="4823"/>
  <c r="H22" i="4823"/>
  <c r="C19" i="4823"/>
  <c r="H30" i="4823"/>
  <c r="H14" i="4823"/>
  <c r="H39" i="4823"/>
  <c r="H47" i="4823"/>
  <c r="H15" i="4823"/>
  <c r="H17" i="4823"/>
  <c r="H13" i="4823"/>
  <c r="H26" i="4823"/>
  <c r="H40" i="4823"/>
  <c r="H48" i="4823"/>
  <c r="H29" i="4823"/>
  <c r="H31" i="4823"/>
  <c r="H34" i="4823"/>
  <c r="H42" i="4823"/>
  <c r="H50" i="4823"/>
  <c r="H8" i="4823"/>
  <c r="H21" i="4823"/>
  <c r="H19" i="4823"/>
  <c r="H25" i="4823"/>
  <c r="H35" i="4823"/>
  <c r="H43" i="4823"/>
  <c r="H36" i="4821"/>
  <c r="H17" i="4821"/>
  <c r="H8" i="4821"/>
  <c r="H35" i="4821"/>
  <c r="H12" i="4821"/>
  <c r="C18" i="4821"/>
  <c r="H6" i="4821"/>
  <c r="H27" i="4821"/>
  <c r="H43" i="4821"/>
  <c r="H4" i="4821"/>
  <c r="H29" i="4821"/>
  <c r="H44" i="4821"/>
  <c r="H13" i="4821"/>
  <c r="H25" i="4821"/>
  <c r="B23" i="4821"/>
  <c r="H51" i="4821"/>
  <c r="C17" i="4821"/>
  <c r="H10" i="4821"/>
  <c r="H7" i="4821"/>
  <c r="H21" i="4821"/>
  <c r="H5" i="4821"/>
  <c r="H23" i="4821"/>
  <c r="H37" i="4821"/>
  <c r="H45" i="4821"/>
  <c r="H20" i="4821"/>
  <c r="C19" i="4821"/>
  <c r="H30" i="4821"/>
  <c r="H18" i="4821"/>
  <c r="H38" i="4821"/>
  <c r="H46" i="4821"/>
  <c r="H32" i="4821"/>
  <c r="H39" i="4821"/>
  <c r="H47" i="4821"/>
  <c r="H16" i="4821"/>
  <c r="H11" i="4821"/>
  <c r="H33" i="4821"/>
  <c r="H40" i="4821"/>
  <c r="H48" i="4821"/>
  <c r="H28" i="4821"/>
  <c r="H22" i="4821"/>
  <c r="H34" i="4821"/>
  <c r="H41" i="4821"/>
  <c r="H49" i="4821"/>
  <c r="H9" i="4821"/>
  <c r="H19" i="4821"/>
  <c r="H14" i="4821"/>
  <c r="H31" i="4821"/>
  <c r="H24" i="4821"/>
  <c r="H42" i="4821"/>
  <c r="C17" i="4819"/>
  <c r="H40" i="4819"/>
  <c r="H26" i="4819"/>
  <c r="H2" i="4819"/>
  <c r="H19" i="4819"/>
  <c r="H43" i="4819"/>
  <c r="H44" i="4819"/>
  <c r="H15" i="4819"/>
  <c r="H48" i="4819"/>
  <c r="H39" i="4819"/>
  <c r="H3" i="4819"/>
  <c r="H8" i="4819"/>
  <c r="H18" i="4819"/>
  <c r="H28" i="4819"/>
  <c r="C19" i="4819"/>
  <c r="H6" i="4819"/>
  <c r="H21" i="4819"/>
  <c r="H17" i="4819"/>
  <c r="H47" i="4819"/>
  <c r="H4" i="4819"/>
  <c r="H11" i="4819"/>
  <c r="H23" i="4819"/>
  <c r="H24" i="4819"/>
  <c r="H14" i="4819"/>
  <c r="H30" i="4819"/>
  <c r="H51" i="4819"/>
  <c r="H10" i="4819"/>
  <c r="H7" i="4819"/>
  <c r="H13" i="4819"/>
  <c r="H22" i="4819"/>
  <c r="H16" i="4819"/>
  <c r="H36" i="4819"/>
  <c r="H20" i="4819"/>
  <c r="H32" i="4819"/>
  <c r="B23" i="4819"/>
  <c r="H29" i="4819"/>
  <c r="H38" i="4819"/>
  <c r="H46" i="4819"/>
  <c r="H12" i="4819"/>
  <c r="H34" i="4819"/>
  <c r="H41" i="4819"/>
  <c r="H49" i="4819"/>
  <c r="H33" i="4819"/>
  <c r="H27" i="4819"/>
  <c r="H35" i="4819"/>
  <c r="H42" i="4819"/>
  <c r="H50" i="4819"/>
  <c r="H31" i="4819"/>
  <c r="C18" i="4819"/>
  <c r="H25" i="4819"/>
  <c r="H9" i="4819"/>
  <c r="H37" i="4819"/>
  <c r="H45" i="4819"/>
  <c r="B24" i="2228" l="1"/>
  <c r="C14" i="2228" l="1"/>
  <c r="C13" i="2228"/>
  <c r="C20" i="2228"/>
  <c r="O12" i="2228" l="1"/>
  <c r="O11" i="2228"/>
  <c r="O10" i="2228"/>
  <c r="O6" i="2228"/>
  <c r="C12" i="2228" l="1"/>
  <c r="C11" i="2228"/>
  <c r="C10" i="2228"/>
  <c r="C8" i="2228"/>
  <c r="O2" i="2228" l="1"/>
  <c r="O7" i="2228"/>
  <c r="O5" i="2228"/>
  <c r="O4" i="2228"/>
  <c r="O3" i="2228"/>
  <c r="C27" i="2228" l="1"/>
  <c r="C22" i="2228" l="1"/>
  <c r="C17" i="2228" l="1"/>
  <c r="B17" i="2228"/>
  <c r="C16" i="2228"/>
  <c r="C15" i="2228"/>
  <c r="C9" i="2228"/>
  <c r="C7" i="2228"/>
  <c r="B6" i="2228"/>
  <c r="B5" i="2228"/>
  <c r="H5" i="2228" l="1"/>
  <c r="B23" i="2228"/>
  <c r="H51" i="2228"/>
  <c r="H43" i="2228"/>
  <c r="H35" i="2228"/>
  <c r="H27" i="2228"/>
  <c r="H19" i="2228"/>
  <c r="H12" i="2228"/>
  <c r="H4" i="2228"/>
  <c r="H49" i="2228"/>
  <c r="H41" i="2228"/>
  <c r="H33" i="2228"/>
  <c r="H25" i="2228"/>
  <c r="H10" i="2228"/>
  <c r="H2" i="2228"/>
  <c r="H47" i="2228"/>
  <c r="H31" i="2228"/>
  <c r="H16" i="2228"/>
  <c r="H46" i="2228"/>
  <c r="H30" i="2228"/>
  <c r="H7" i="2228"/>
  <c r="H29" i="2228"/>
  <c r="H6" i="2228"/>
  <c r="H44" i="2228"/>
  <c r="H20" i="2228"/>
  <c r="H50" i="2228"/>
  <c r="H42" i="2228"/>
  <c r="H34" i="2228"/>
  <c r="H26" i="2228"/>
  <c r="H18" i="2228"/>
  <c r="H11" i="2228"/>
  <c r="H3" i="2228"/>
  <c r="H15" i="2228"/>
  <c r="H21" i="2228"/>
  <c r="H48" i="2228"/>
  <c r="H40" i="2228"/>
  <c r="H32" i="2228"/>
  <c r="H24" i="2228"/>
  <c r="H17" i="2228"/>
  <c r="H9" i="2228"/>
  <c r="H39" i="2228"/>
  <c r="H23" i="2228"/>
  <c r="H8" i="2228"/>
  <c r="H38" i="2228"/>
  <c r="H22" i="2228"/>
  <c r="H37" i="2228"/>
  <c r="H14" i="2228"/>
  <c r="H36" i="2228"/>
  <c r="H13" i="2228"/>
  <c r="H45" i="2228"/>
  <c r="H28" i="2228"/>
  <c r="C18" i="2228"/>
  <c r="C19" i="2228"/>
</calcChain>
</file>

<file path=xl/sharedStrings.xml><?xml version="1.0" encoding="utf-8"?>
<sst xmlns="http://schemas.openxmlformats.org/spreadsheetml/2006/main" count="2654" uniqueCount="206">
  <si>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</si>
  <si>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</si>
  <si>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</si>
  <si>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</si>
  <si>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</si>
  <si>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</si>
  <si>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</si>
  <si>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</si>
  <si>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</si>
  <si>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</si>
  <si>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</si>
  <si>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</si>
  <si>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</si>
  <si>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</si>
  <si>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平均放銃点</t>
    <rPh sb="2" eb="4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</si>
  <si>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</si>
  <si>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</si>
  <si>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</si>
  <si>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</si>
  <si>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</si>
  <si>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</si>
  <si>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</si>
  <si>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</si>
  <si>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</si>
  <si>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</si>
  <si>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</si>
  <si>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</si>
  <si>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</si>
  <si>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</si>
  <si>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</si>
  <si>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</si>
  <si>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</si>
  <si>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</si>
  <si>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</si>
  <si>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</si>
  <si>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</si>
  <si>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</si>
  <si>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</si>
  <si>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</si>
  <si>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</si>
  <si>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</si>
  <si>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</si>
  <si>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</si>
  <si>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</si>
  <si>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</si>
  <si>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</si>
  <si>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</si>
  <si>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</si>
  <si>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</si>
  <si>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</si>
  <si>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</si>
  <si>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</si>
  <si>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</si>
  <si>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</si>
  <si>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</si>
  <si>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</si>
  <si>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</si>
  <si>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</si>
  <si>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</si>
  <si>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</si>
  <si>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</si>
  <si>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</si>
  <si>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</si>
  <si>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</si>
  <si>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</si>
  <si>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</si>
  <si>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</si>
  <si>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</si>
  <si>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</si>
  <si>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</si>
  <si>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</si>
  <si>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</si>
  <si>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</si>
  <si>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</si>
  <si>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</si>
  <si>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</si>
  <si>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</si>
  <si>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</si>
  <si>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</si>
  <si>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</si>
  <si>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</si>
  <si>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</si>
  <si>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</si>
  <si>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</si>
  <si>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</si>
  <si>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</si>
  <si>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</si>
  <si>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</si>
  <si>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</si>
  <si>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</si>
  <si>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</si>
  <si>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</si>
  <si>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</si>
  <si>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</si>
  <si>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</si>
  <si>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</si>
  <si>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</si>
  <si>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</si>
  <si>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</si>
  <si>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</si>
  <si>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</si>
  <si>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</si>
  <si>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</si>
  <si>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</si>
  <si>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</si>
  <si>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</si>
  <si>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</si>
  <si>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</si>
  <si>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</si>
  <si>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</si>
  <si>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</si>
  <si>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</si>
  <si>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</si>
  <si>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</si>
  <si>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</si>
  <si>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</si>
  <si>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</si>
  <si>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</si>
  <si>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</si>
  <si>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</si>
  <si>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</si>
  <si>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</si>
  <si>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</si>
  <si>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</si>
  <si>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</si>
  <si>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</si>
  <si>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</si>
  <si>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</si>
  <si>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りくと</t>
  </si>
  <si>
    <t>ただ</t>
  </si>
  <si>
    <t>Sheet1</t>
  </si>
  <si>
    <t>Sheet2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</si>
  <si>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</si>
  <si>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</si>
  <si>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</si>
  <si>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</si>
  <si>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</si>
  <si>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</si>
  <si>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</si>
  <si>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</si>
  <si>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ふっとばし</t>
    <phoneticPr fontId="1"/>
  </si>
  <si>
    <t>ふっとばし率</t>
    <rPh sb="5" eb="6">
      <t>リツ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</si>
  <si>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</si>
  <si>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</si>
  <si>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</si>
  <si>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</si>
  <si>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</si>
  <si>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</si>
  <si>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</si>
  <si>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</si>
  <si>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</si>
  <si>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</si>
  <si>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最大点数</t>
    <rPh sb="0" eb="2">
      <t>サイダイ</t>
    </rPh>
    <rPh sb="2" eb="4">
      <t>テンスウ</t>
    </rPh>
    <phoneticPr fontId="1"/>
  </si>
  <si>
    <t>最大点数</t>
    <rPh sb="2" eb="3">
      <t>テン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</si>
  <si>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</si>
  <si>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</si>
  <si>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</si>
  <si>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</si>
  <si>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</si>
  <si>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</si>
  <si>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逆転</t>
    <rPh sb="0" eb="2">
      <t>ギャクテン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</si>
  <si>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</si>
  <si>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</si>
  <si>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チョンボ数</t>
    <rPh sb="4" eb="5">
      <t>スウ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</si>
  <si>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</si>
  <si>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</si>
  <si>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</si>
  <si>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</si>
  <si>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</si>
  <si>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2019-03-31.xlsm</t>
  </si>
  <si>
    <t>Sheet3</t>
  </si>
  <si>
    <t>2019-04-02.xlsm</t>
  </si>
  <si>
    <t>れんたろう</t>
  </si>
  <si>
    <t>たかの</t>
  </si>
  <si>
    <t>ぱぱ</t>
  </si>
  <si>
    <t>Sheet4</t>
  </si>
  <si>
    <t>Sheet5</t>
  </si>
  <si>
    <t>2019-04-03.xlsm</t>
  </si>
  <si>
    <t>まっつん</t>
  </si>
  <si>
    <t>2019-04-04.xlsm</t>
  </si>
  <si>
    <t>2019-04-05.xlsm</t>
  </si>
  <si>
    <t>51</t>
    <phoneticPr fontId="1"/>
  </si>
  <si>
    <t>52</t>
    <phoneticPr fontId="1"/>
  </si>
  <si>
    <t>赤ドラ</t>
    <rPh sb="0" eb="1">
      <t>アカ</t>
    </rPh>
    <phoneticPr fontId="1"/>
  </si>
  <si>
    <t>オープン立直</t>
    <rPh sb="4" eb="6">
      <t>リーチ</t>
    </rPh>
    <phoneticPr fontId="1"/>
  </si>
  <si>
    <t>2019-04-06.xlsm</t>
  </si>
  <si>
    <t>あさひ</t>
  </si>
  <si>
    <t>いっしー</t>
  </si>
  <si>
    <t>Sheet6</t>
  </si>
  <si>
    <t>Sheet7</t>
  </si>
  <si>
    <t>Sheet8</t>
  </si>
  <si>
    <t>2019-04-07.xlsm</t>
  </si>
  <si>
    <t>2019-04-08.xlsm</t>
  </si>
  <si>
    <t>2019-04-09.xlsm</t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</si>
  <si>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</si>
  <si>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</si>
  <si>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2019-04-10.xlsm</t>
  </si>
  <si>
    <t>2019-04-11.xlsm</t>
  </si>
  <si>
    <t>2019-04-12.xlsm</t>
  </si>
  <si>
    <t>2019-04-13.xlsm</t>
  </si>
  <si>
    <t>2019-04-14.xlsm</t>
  </si>
  <si>
    <t>2019-04-15.xlsm</t>
  </si>
  <si>
    <t>2019-04-17.xlsm</t>
  </si>
  <si>
    <t>ほたに</t>
  </si>
  <si>
    <t>2019-04-18.xlsm</t>
  </si>
  <si>
    <t>ラス率</t>
    <rPh sb="2" eb="3">
      <t>リツ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</si>
</sst>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"/>
    <numFmt numFmtId="181" formatCode="yyyy/mm/dd\ hh:mm"/>
    <numFmt numFmtId="182" formatCode="0\ &quot;個&quot;"/>
    <numFmt numFmtId="183" formatCode="0&quot;位&quot;"/>
    <numFmt numFmtId="184" formatCode="0\ &quot;位&quot;"/>
    <numFmt numFmtId="185" formatCode="\+0.00;\-0.00;\±0"/>
    <numFmt numFmtId="186" formatCode="\+0;\-0;\±0"/>
    <numFmt numFmtId="187" formatCode="0.0000"/>
    <numFmt numFmtId="188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54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62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80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1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3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3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/>
    </xf>
    <xf numFmtId="183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4" fontId="0" fillId="0" borderId="6" xfId="0" applyNumberFormat="1" applyBorder="1" applyAlignment="1">
      <alignment horizontal="center" vertical="center" shrinkToFit="1"/>
    </xf>
    <xf numFmtId="184" fontId="0" fillId="0" borderId="3" xfId="0" applyNumberFormat="1" applyBorder="1" applyAlignment="1">
      <alignment horizontal="center" vertical="center" shrinkToFit="1"/>
    </xf>
    <xf numFmtId="184" fontId="0" fillId="0" borderId="5" xfId="0" applyNumberFormat="1" applyBorder="1" applyAlignment="1">
      <alignment horizontal="center" vertical="center" shrinkToFit="1"/>
    </xf>
    <xf numFmtId="185" fontId="0" fillId="0" borderId="32" xfId="0" applyNumberFormat="1" applyBorder="1" applyAlignment="1">
      <alignment horizontal="center" vertical="center" shrinkToFit="1"/>
    </xf>
    <xf numFmtId="185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5" fillId="0" borderId="0" xfId="0" applyNumberFormat="1" applyFont="1" applyBorder="1" applyAlignment="1">
      <alignment horizontal="center" vertical="center" shrinkToFit="1"/>
    </xf>
    <xf numFmtId="0" fontId="5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0" xfId="0" applyNumberFormat="1" applyFont="1" applyBorder="1" applyAlignment="1">
      <alignment horizontal="center" vertical="center" shrinkToFit="1"/>
    </xf>
    <xf numFmtId="176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86" fontId="0" fillId="0" borderId="1" xfId="0" applyNumberFormat="1" applyBorder="1" applyAlignment="1">
      <alignment horizontal="center" vertical="center" shrinkToFit="1"/>
    </xf>
    <xf numFmtId="186" fontId="0" fillId="0" borderId="2" xfId="0" applyNumberFormat="1" applyBorder="1" applyAlignment="1">
      <alignment horizontal="center" vertical="center" shrinkToFit="1"/>
    </xf>
    <xf numFmtId="186" fontId="0" fillId="0" borderId="4" xfId="0" applyNumberForma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6" fontId="0" fillId="0" borderId="40" xfId="0" applyNumberFormat="1" applyBorder="1" applyAlignment="1">
      <alignment horizontal="center" vertical="center" shrinkToFit="1"/>
    </xf>
    <xf numFmtId="49" fontId="5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8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2" fontId="0" fillId="0" borderId="23" xfId="0" applyNumberFormat="1" applyBorder="1" applyAlignment="1">
      <alignment horizontal="center" vertical="center" shrinkToFit="1"/>
    </xf>
    <xf numFmtId="182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5" fontId="0" fillId="0" borderId="25" xfId="0" applyNumberFormat="1" applyBorder="1" applyAlignment="1">
      <alignment horizontal="center" vertical="center" shrinkToFit="1"/>
    </xf>
    <xf numFmtId="185" fontId="0" fillId="0" borderId="26" xfId="0" applyNumberFormat="1" applyBorder="1" applyAlignment="1">
      <alignment horizontal="center" vertical="center" shrinkToFit="1"/>
    </xf>
    <xf numFmtId="187" fontId="0" fillId="0" borderId="29" xfId="0" applyNumberFormat="1" applyBorder="1" applyAlignment="1">
      <alignment horizontal="center" vertical="center" shrinkToFit="1"/>
    </xf>
    <xf numFmtId="187" fontId="0" fillId="0" borderId="30" xfId="0" applyNumberFormat="1" applyBorder="1" applyAlignment="1">
      <alignment horizontal="center" vertical="center" shrinkToFit="1"/>
    </xf>
    <xf numFmtId="187" fontId="0" fillId="0" borderId="38" xfId="0" applyNumberFormat="1" applyBorder="1" applyAlignment="1">
      <alignment horizontal="center" vertical="center" shrinkToFit="1"/>
    </xf>
    <xf numFmtId="187" fontId="0" fillId="0" borderId="39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12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7.xml"/><Relationship Id="rId42" Type="http://schemas.openxmlformats.org/officeDocument/2006/relationships/chartsheet" Target="chartsheets/sheet15.xml"/><Relationship Id="rId47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hartsheet" Target="chartsheets/sheet6.xml"/><Relationship Id="rId38" Type="http://schemas.openxmlformats.org/officeDocument/2006/relationships/chartsheet" Target="chartsheets/sheet11.xml"/><Relationship Id="rId46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hartsheet" Target="chartsheets/sheet2.xml"/><Relationship Id="rId41" Type="http://schemas.openxmlformats.org/officeDocument/2006/relationships/chartsheet" Target="chartsheets/sheet1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hartsheet" Target="chartsheets/sheet5.xml"/><Relationship Id="rId37" Type="http://schemas.openxmlformats.org/officeDocument/2006/relationships/chartsheet" Target="chartsheets/sheet10.xml"/><Relationship Id="rId40" Type="http://schemas.openxmlformats.org/officeDocument/2006/relationships/chartsheet" Target="chartsheets/sheet13.xml"/><Relationship Id="rId45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hartsheet" Target="chartsheets/sheet1.xml"/><Relationship Id="rId36" Type="http://schemas.openxmlformats.org/officeDocument/2006/relationships/chartsheet" Target="chartsheets/sheet9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hartsheet" Target="chartsheets/sheet4.xml"/><Relationship Id="rId44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chartsheet" Target="chartsheets/sheet3.xml"/><Relationship Id="rId35" Type="http://schemas.openxmlformats.org/officeDocument/2006/relationships/chartsheet" Target="chartsheets/sheet8.xml"/><Relationship Id="rId43" Type="http://schemas.openxmlformats.org/officeDocument/2006/relationships/chartsheet" Target="chartsheets/sheet16.xml"/><Relationship Id="rId48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全体!$K$2:$K$221</c:f>
              <c:numCache>
                <c:formatCode>General</c:formatCode>
                <c:ptCount val="22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</c:numCache>
            </c:numRef>
          </c:xVal>
          <c:yVal>
            <c:numRef>
              <c:f>全体!$L$2:$L$221</c:f>
              <c:numCache>
                <c:formatCode>\+0.0;\-0.0;\±0</c:formatCode>
                <c:ptCount val="220"/>
                <c:pt idx="0">
                  <c:v>0</c:v>
                </c:pt>
                <c:pt idx="1">
                  <c:v>-5.0999999999999996</c:v>
                </c:pt>
                <c:pt idx="2">
                  <c:v>40.4</c:v>
                </c:pt>
                <c:pt idx="3">
                  <c:v>0</c:v>
                </c:pt>
                <c:pt idx="4">
                  <c:v>2.2000000000000002</c:v>
                </c:pt>
                <c:pt idx="5">
                  <c:v>-37</c:v>
                </c:pt>
                <c:pt idx="6">
                  <c:v>0</c:v>
                </c:pt>
                <c:pt idx="7">
                  <c:v>73.3</c:v>
                </c:pt>
                <c:pt idx="8">
                  <c:v>19.699999999999996</c:v>
                </c:pt>
                <c:pt idx="9">
                  <c:v>-3.5527136788005009E-15</c:v>
                </c:pt>
                <c:pt idx="10">
                  <c:v>40.099999999999994</c:v>
                </c:pt>
                <c:pt idx="11">
                  <c:v>-11.100000000000009</c:v>
                </c:pt>
                <c:pt idx="12">
                  <c:v>-8.8817841970012523E-15</c:v>
                </c:pt>
                <c:pt idx="13">
                  <c:v>-42.100000000000009</c:v>
                </c:pt>
                <c:pt idx="14">
                  <c:v>18.79999999999999</c:v>
                </c:pt>
                <c:pt idx="15">
                  <c:v>-1.0658141036401503E-14</c:v>
                </c:pt>
                <c:pt idx="16">
                  <c:v>90.899999999999991</c:v>
                </c:pt>
                <c:pt idx="17">
                  <c:v>8.2999999999999972</c:v>
                </c:pt>
                <c:pt idx="18">
                  <c:v>-3.5527136788005009E-15</c:v>
                </c:pt>
                <c:pt idx="19">
                  <c:v>30.999999999999996</c:v>
                </c:pt>
                <c:pt idx="20">
                  <c:v>0.79999999999999716</c:v>
                </c:pt>
                <c:pt idx="21">
                  <c:v>-2.886579864025407E-15</c:v>
                </c:pt>
                <c:pt idx="22">
                  <c:v>23.699999999999996</c:v>
                </c:pt>
                <c:pt idx="23">
                  <c:v>26.299999999999997</c:v>
                </c:pt>
                <c:pt idx="24">
                  <c:v>-3.5527136788005009E-15</c:v>
                </c:pt>
                <c:pt idx="25">
                  <c:v>-31.300000000000004</c:v>
                </c:pt>
                <c:pt idx="26">
                  <c:v>1.8999999999999986</c:v>
                </c:pt>
                <c:pt idx="27">
                  <c:v>-1.3322676295501878E-15</c:v>
                </c:pt>
                <c:pt idx="28">
                  <c:v>-58.3</c:v>
                </c:pt>
                <c:pt idx="29">
                  <c:v>-9.5</c:v>
                </c:pt>
                <c:pt idx="30">
                  <c:v>0</c:v>
                </c:pt>
                <c:pt idx="31">
                  <c:v>29.1</c:v>
                </c:pt>
                <c:pt idx="32">
                  <c:v>4.3000000000000007</c:v>
                </c:pt>
                <c:pt idx="33">
                  <c:v>8.8817841970012523E-16</c:v>
                </c:pt>
                <c:pt idx="34">
                  <c:v>-7.2999999999999989</c:v>
                </c:pt>
                <c:pt idx="35">
                  <c:v>-37.199999999999996</c:v>
                </c:pt>
                <c:pt idx="36">
                  <c:v>7.1054273576010019E-15</c:v>
                </c:pt>
                <c:pt idx="37">
                  <c:v>-31.699999999999992</c:v>
                </c:pt>
                <c:pt idx="38">
                  <c:v>-33.099999999999994</c:v>
                </c:pt>
                <c:pt idx="39">
                  <c:v>7.1054273576010019E-15</c:v>
                </c:pt>
                <c:pt idx="40">
                  <c:v>-39.699999999999996</c:v>
                </c:pt>
                <c:pt idx="41">
                  <c:v>5.5000000000000071</c:v>
                </c:pt>
                <c:pt idx="42">
                  <c:v>7.1054273576010019E-15</c:v>
                </c:pt>
                <c:pt idx="43">
                  <c:v>87.1</c:v>
                </c:pt>
                <c:pt idx="44">
                  <c:v>60.399999999999991</c:v>
                </c:pt>
                <c:pt idx="45">
                  <c:v>-7.1054273576010019E-15</c:v>
                </c:pt>
                <c:pt idx="46">
                  <c:v>-48.000000000000007</c:v>
                </c:pt>
                <c:pt idx="47">
                  <c:v>-49.600000000000009</c:v>
                </c:pt>
                <c:pt idx="48">
                  <c:v>-7.1054273576010019E-15</c:v>
                </c:pt>
                <c:pt idx="49">
                  <c:v>38.399999999999991</c:v>
                </c:pt>
                <c:pt idx="50">
                  <c:v>4.0999999999999943</c:v>
                </c:pt>
                <c:pt idx="51">
                  <c:v>-5.3290705182007514E-15</c:v>
                </c:pt>
                <c:pt idx="52">
                  <c:v>27.799999999999997</c:v>
                </c:pt>
                <c:pt idx="53">
                  <c:v>25.099999999999998</c:v>
                </c:pt>
                <c:pt idx="54">
                  <c:v>-3.5527136788005009E-15</c:v>
                </c:pt>
                <c:pt idx="55">
                  <c:v>47.2</c:v>
                </c:pt>
                <c:pt idx="56">
                  <c:v>-3.5</c:v>
                </c:pt>
                <c:pt idx="57">
                  <c:v>0</c:v>
                </c:pt>
                <c:pt idx="58">
                  <c:v>-28.5</c:v>
                </c:pt>
                <c:pt idx="59">
                  <c:v>-31.9</c:v>
                </c:pt>
                <c:pt idx="60">
                  <c:v>0</c:v>
                </c:pt>
                <c:pt idx="61">
                  <c:v>28.9</c:v>
                </c:pt>
                <c:pt idx="62">
                  <c:v>3.5</c:v>
                </c:pt>
                <c:pt idx="63">
                  <c:v>0</c:v>
                </c:pt>
                <c:pt idx="64">
                  <c:v>-15.3</c:v>
                </c:pt>
                <c:pt idx="65">
                  <c:v>41</c:v>
                </c:pt>
                <c:pt idx="66">
                  <c:v>0</c:v>
                </c:pt>
                <c:pt idx="67">
                  <c:v>-15.8</c:v>
                </c:pt>
                <c:pt idx="68">
                  <c:v>57.8</c:v>
                </c:pt>
                <c:pt idx="69">
                  <c:v>0</c:v>
                </c:pt>
                <c:pt idx="70">
                  <c:v>54.6</c:v>
                </c:pt>
                <c:pt idx="71">
                  <c:v>14.600000000000001</c:v>
                </c:pt>
                <c:pt idx="72">
                  <c:v>1.7763568394002505E-15</c:v>
                </c:pt>
                <c:pt idx="73">
                  <c:v>-43.7</c:v>
                </c:pt>
                <c:pt idx="74">
                  <c:v>6.2999999999999972</c:v>
                </c:pt>
                <c:pt idx="75">
                  <c:v>-2.6645352591003757E-15</c:v>
                </c:pt>
                <c:pt idx="76">
                  <c:v>-32.5</c:v>
                </c:pt>
                <c:pt idx="77">
                  <c:v>-37.1</c:v>
                </c:pt>
                <c:pt idx="78">
                  <c:v>0</c:v>
                </c:pt>
                <c:pt idx="79">
                  <c:v>8</c:v>
                </c:pt>
                <c:pt idx="80">
                  <c:v>-29.299999999999997</c:v>
                </c:pt>
                <c:pt idx="81">
                  <c:v>3.5527136788005009E-15</c:v>
                </c:pt>
                <c:pt idx="82">
                  <c:v>-6.9999999999999964</c:v>
                </c:pt>
                <c:pt idx="83">
                  <c:v>-38.5</c:v>
                </c:pt>
                <c:pt idx="84">
                  <c:v>0</c:v>
                </c:pt>
                <c:pt idx="85">
                  <c:v>52.9</c:v>
                </c:pt>
                <c:pt idx="86">
                  <c:v>-3.1000000000000014</c:v>
                </c:pt>
                <c:pt idx="87">
                  <c:v>-1.3322676295501878E-15</c:v>
                </c:pt>
                <c:pt idx="88">
                  <c:v>22.1</c:v>
                </c:pt>
                <c:pt idx="89">
                  <c:v>24</c:v>
                </c:pt>
                <c:pt idx="90">
                  <c:v>0</c:v>
                </c:pt>
                <c:pt idx="91">
                  <c:v>22.1</c:v>
                </c:pt>
                <c:pt idx="92">
                  <c:v>24</c:v>
                </c:pt>
                <c:pt idx="93">
                  <c:v>0</c:v>
                </c:pt>
                <c:pt idx="94">
                  <c:v>25.7</c:v>
                </c:pt>
                <c:pt idx="95">
                  <c:v>1.8000000000000007</c:v>
                </c:pt>
                <c:pt idx="96">
                  <c:v>6.6613381477509392E-16</c:v>
                </c:pt>
                <c:pt idx="97">
                  <c:v>39.6</c:v>
                </c:pt>
                <c:pt idx="98">
                  <c:v>-64.199999999999989</c:v>
                </c:pt>
                <c:pt idx="99">
                  <c:v>1.4210854715202004E-14</c:v>
                </c:pt>
                <c:pt idx="100">
                  <c:v>-74.499999999999986</c:v>
                </c:pt>
                <c:pt idx="101">
                  <c:v>2.2000000000000171</c:v>
                </c:pt>
                <c:pt idx="102">
                  <c:v>1.6875389974302379E-14</c:v>
                </c:pt>
                <c:pt idx="103">
                  <c:v>-31.599999999999984</c:v>
                </c:pt>
                <c:pt idx="104">
                  <c:v>-35.799999999999983</c:v>
                </c:pt>
                <c:pt idx="105">
                  <c:v>1.4210854715202004E-14</c:v>
                </c:pt>
                <c:pt idx="106">
                  <c:v>35.300000000000011</c:v>
                </c:pt>
                <c:pt idx="107">
                  <c:v>34.000000000000014</c:v>
                </c:pt>
                <c:pt idx="108">
                  <c:v>1.4210854715202004E-14</c:v>
                </c:pt>
                <c:pt idx="109">
                  <c:v>6.1000000000000139</c:v>
                </c:pt>
                <c:pt idx="110">
                  <c:v>57.000000000000014</c:v>
                </c:pt>
                <c:pt idx="111">
                  <c:v>1.4210854715202004E-14</c:v>
                </c:pt>
                <c:pt idx="112">
                  <c:v>-5.0999999999999854</c:v>
                </c:pt>
                <c:pt idx="113">
                  <c:v>31.600000000000016</c:v>
                </c:pt>
                <c:pt idx="114">
                  <c:v>1.4210854715202004E-14</c:v>
                </c:pt>
                <c:pt idx="115">
                  <c:v>5.2000000000000144</c:v>
                </c:pt>
                <c:pt idx="116">
                  <c:v>41.500000000000014</c:v>
                </c:pt>
                <c:pt idx="117">
                  <c:v>1.4210854715202004E-14</c:v>
                </c:pt>
                <c:pt idx="118">
                  <c:v>-7.8999999999999861</c:v>
                </c:pt>
                <c:pt idx="119">
                  <c:v>55.100000000000016</c:v>
                </c:pt>
                <c:pt idx="120">
                  <c:v>1.4210854715202004E-14</c:v>
                </c:pt>
                <c:pt idx="121">
                  <c:v>-0.99999999999998579</c:v>
                </c:pt>
                <c:pt idx="122">
                  <c:v>-30.799999999999986</c:v>
                </c:pt>
                <c:pt idx="123">
                  <c:v>1.4210854715202004E-14</c:v>
                </c:pt>
                <c:pt idx="124">
                  <c:v>0.50000000000001421</c:v>
                </c:pt>
                <c:pt idx="125">
                  <c:v>29.100000000000016</c:v>
                </c:pt>
                <c:pt idx="126">
                  <c:v>1.4210854715202004E-14</c:v>
                </c:pt>
                <c:pt idx="127">
                  <c:v>-45.299999999999983</c:v>
                </c:pt>
                <c:pt idx="128">
                  <c:v>-59.299999999999983</c:v>
                </c:pt>
                <c:pt idx="129">
                  <c:v>1.4210854715202004E-14</c:v>
                </c:pt>
                <c:pt idx="130">
                  <c:v>-8.8999999999999861</c:v>
                </c:pt>
                <c:pt idx="131">
                  <c:v>-47.499999999999986</c:v>
                </c:pt>
                <c:pt idx="132">
                  <c:v>1.4210854715202004E-14</c:v>
                </c:pt>
                <c:pt idx="133">
                  <c:v>-3.4999999999999858</c:v>
                </c:pt>
                <c:pt idx="134">
                  <c:v>27.000000000000014</c:v>
                </c:pt>
                <c:pt idx="135">
                  <c:v>1.4210854715202004E-14</c:v>
                </c:pt>
                <c:pt idx="136">
                  <c:v>-55.199999999999989</c:v>
                </c:pt>
                <c:pt idx="137">
                  <c:v>-80.699999999999989</c:v>
                </c:pt>
                <c:pt idx="138">
                  <c:v>1.4210854715202004E-14</c:v>
                </c:pt>
                <c:pt idx="139">
                  <c:v>8.0000000000000142</c:v>
                </c:pt>
                <c:pt idx="140">
                  <c:v>-63.199999999999989</c:v>
                </c:pt>
                <c:pt idx="141">
                  <c:v>1.4210854715202004E-14</c:v>
                </c:pt>
                <c:pt idx="142">
                  <c:v>54.500000000000014</c:v>
                </c:pt>
                <c:pt idx="143">
                  <c:v>8.5000000000000142</c:v>
                </c:pt>
                <c:pt idx="144">
                  <c:v>1.4210854715202004E-14</c:v>
                </c:pt>
                <c:pt idx="145">
                  <c:v>-10.599999999999985</c:v>
                </c:pt>
                <c:pt idx="146">
                  <c:v>-61.79999999999999</c:v>
                </c:pt>
                <c:pt idx="147">
                  <c:v>7.1054273576010019E-15</c:v>
                </c:pt>
                <c:pt idx="148">
                  <c:v>4.6000000000000068</c:v>
                </c:pt>
                <c:pt idx="149">
                  <c:v>-25.29999999999999</c:v>
                </c:pt>
                <c:pt idx="150">
                  <c:v>1.0658141036401503E-14</c:v>
                </c:pt>
                <c:pt idx="151">
                  <c:v>-2.4999999999999893</c:v>
                </c:pt>
                <c:pt idx="152">
                  <c:v>-49.999999999999986</c:v>
                </c:pt>
                <c:pt idx="153">
                  <c:v>1.4210854715202004E-14</c:v>
                </c:pt>
                <c:pt idx="154">
                  <c:v>31.900000000000013</c:v>
                </c:pt>
                <c:pt idx="155">
                  <c:v>28.100000000000012</c:v>
                </c:pt>
                <c:pt idx="156">
                  <c:v>1.0658141036401503E-14</c:v>
                </c:pt>
                <c:pt idx="157">
                  <c:v>-55.999999999999986</c:v>
                </c:pt>
                <c:pt idx="158">
                  <c:v>13.000000000000014</c:v>
                </c:pt>
                <c:pt idx="159">
                  <c:v>1.4210854715202004E-14</c:v>
                </c:pt>
                <c:pt idx="160">
                  <c:v>12.400000000000015</c:v>
                </c:pt>
                <c:pt idx="161">
                  <c:v>49.100000000000016</c:v>
                </c:pt>
                <c:pt idx="162">
                  <c:v>1.4210854715202004E-14</c:v>
                </c:pt>
                <c:pt idx="163">
                  <c:v>-60.299999999999983</c:v>
                </c:pt>
                <c:pt idx="164">
                  <c:v>9.3000000000000114</c:v>
                </c:pt>
                <c:pt idx="165">
                  <c:v>1.0658141036401503E-14</c:v>
                </c:pt>
                <c:pt idx="166">
                  <c:v>48.500000000000014</c:v>
                </c:pt>
                <c:pt idx="167">
                  <c:v>68.000000000000014</c:v>
                </c:pt>
                <c:pt idx="168">
                  <c:v>1.4210854715202004E-14</c:v>
                </c:pt>
                <c:pt idx="169">
                  <c:v>-1.4999999999999858</c:v>
                </c:pt>
                <c:pt idx="170">
                  <c:v>-32.599999999999987</c:v>
                </c:pt>
                <c:pt idx="171">
                  <c:v>1.4210854715202004E-14</c:v>
                </c:pt>
                <c:pt idx="172">
                  <c:v>47.400000000000013</c:v>
                </c:pt>
                <c:pt idx="173">
                  <c:v>52.300000000000011</c:v>
                </c:pt>
                <c:pt idx="174">
                  <c:v>1.4210854715202004E-14</c:v>
                </c:pt>
                <c:pt idx="175">
                  <c:v>73.600000000000009</c:v>
                </c:pt>
                <c:pt idx="176">
                  <c:v>7.3000000000000114</c:v>
                </c:pt>
                <c:pt idx="177">
                  <c:v>1.1546319456101628E-14</c:v>
                </c:pt>
                <c:pt idx="178">
                  <c:v>-33.599999999999987</c:v>
                </c:pt>
                <c:pt idx="179">
                  <c:v>-32.499999999999986</c:v>
                </c:pt>
                <c:pt idx="180">
                  <c:v>1.4210854715202004E-14</c:v>
                </c:pt>
                <c:pt idx="181">
                  <c:v>5.4000000000000146</c:v>
                </c:pt>
                <c:pt idx="182">
                  <c:v>-26.899999999999984</c:v>
                </c:pt>
                <c:pt idx="183">
                  <c:v>1.4210854715202004E-14</c:v>
                </c:pt>
                <c:pt idx="184">
                  <c:v>15.100000000000014</c:v>
                </c:pt>
                <c:pt idx="185">
                  <c:v>-35.199999999999982</c:v>
                </c:pt>
                <c:pt idx="186">
                  <c:v>2.1316282072803006E-14</c:v>
                </c:pt>
                <c:pt idx="187">
                  <c:v>-28.199999999999978</c:v>
                </c:pt>
                <c:pt idx="188">
                  <c:v>-33.499999999999979</c:v>
                </c:pt>
                <c:pt idx="189">
                  <c:v>2.1316282072803006E-14</c:v>
                </c:pt>
                <c:pt idx="190">
                  <c:v>-60.899999999999977</c:v>
                </c:pt>
                <c:pt idx="191">
                  <c:v>-57.399999999999977</c:v>
                </c:pt>
                <c:pt idx="192">
                  <c:v>2.1316282072803006E-14</c:v>
                </c:pt>
                <c:pt idx="193">
                  <c:v>-57.699999999999982</c:v>
                </c:pt>
                <c:pt idx="194">
                  <c:v>-13.799999999999983</c:v>
                </c:pt>
                <c:pt idx="195">
                  <c:v>1.7763568394002505E-14</c:v>
                </c:pt>
                <c:pt idx="196">
                  <c:v>-55.499999999999986</c:v>
                </c:pt>
                <c:pt idx="197">
                  <c:v>1.5000000000000142</c:v>
                </c:pt>
                <c:pt idx="198">
                  <c:v>1.4210854715202004E-14</c:v>
                </c:pt>
                <c:pt idx="199">
                  <c:v>46.900000000000013</c:v>
                </c:pt>
                <c:pt idx="200">
                  <c:v>12.500000000000014</c:v>
                </c:pt>
                <c:pt idx="201">
                  <c:v>1.4210854715202004E-14</c:v>
                </c:pt>
                <c:pt idx="202">
                  <c:v>-59.899999999999984</c:v>
                </c:pt>
                <c:pt idx="203">
                  <c:v>4.4000000000000128</c:v>
                </c:pt>
                <c:pt idx="204">
                  <c:v>1.2434497875801753E-14</c:v>
                </c:pt>
                <c:pt idx="205">
                  <c:v>54.500000000000014</c:v>
                </c:pt>
                <c:pt idx="206">
                  <c:v>-8.9999999999999858</c:v>
                </c:pt>
                <c:pt idx="207">
                  <c:v>1.4210854715202004E-14</c:v>
                </c:pt>
                <c:pt idx="208">
                  <c:v>-55.399999999999984</c:v>
                </c:pt>
                <c:pt idx="209">
                  <c:v>-51.899999999999984</c:v>
                </c:pt>
                <c:pt idx="210">
                  <c:v>1.4210854715202004E-14</c:v>
                </c:pt>
                <c:pt idx="211">
                  <c:v>4.1000000000000139</c:v>
                </c:pt>
                <c:pt idx="212">
                  <c:v>35.200000000000017</c:v>
                </c:pt>
                <c:pt idx="213">
                  <c:v>1.4210854715202004E-14</c:v>
                </c:pt>
                <c:pt idx="214">
                  <c:v>-5.199999999999986</c:v>
                </c:pt>
                <c:pt idx="215">
                  <c:v>-32.29999999999999</c:v>
                </c:pt>
                <c:pt idx="216">
                  <c:v>7.1054273576010019E-15</c:v>
                </c:pt>
                <c:pt idx="217">
                  <c:v>30.600000000000009</c:v>
                </c:pt>
                <c:pt idx="218">
                  <c:v>-10.099999999999994</c:v>
                </c:pt>
                <c:pt idx="219">
                  <c:v>5.3290705182007514E-15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97A-46ED-AA34-6B0CF30D94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-22.831050228310502</c:v>
                </c:pt>
                <c:pt idx="1">
                  <c:v>-9.2592592592592595</c:v>
                </c:pt>
                <c:pt idx="2">
                  <c:v>35.353535353535356</c:v>
                </c:pt>
                <c:pt idx="3">
                  <c:v>-5.6497175141242941</c:v>
                </c:pt>
                <c:pt idx="4">
                  <c:v>-29.761904761904763</c:v>
                </c:pt>
                <c:pt idx="5">
                  <c:v>37.735849056603776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1A9-4CF1-BC9A-74FDE6A3F2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だいち!$K$2:$K$51</c:f>
              <c:numCache>
                <c:formatCode>General</c:formatCode>
                <c:ptCount val="5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</c:numCache>
            </c:numRef>
          </c:xVal>
          <c:yVal>
            <c:numRef>
              <c:f>だいち!$L$2:$L$51</c:f>
              <c:numCache>
                <c:formatCode>\+0.0;\-0.0;\±0</c:formatCode>
                <c:ptCount val="50"/>
                <c:pt idx="0">
                  <c:v>0</c:v>
                </c:pt>
                <c:pt idx="1">
                  <c:v>-5.0999999999999996</c:v>
                </c:pt>
                <c:pt idx="2">
                  <c:v>-2.8999999999999995</c:v>
                </c:pt>
                <c:pt idx="3">
                  <c:v>70.399999999999991</c:v>
                </c:pt>
                <c:pt idx="4">
                  <c:v>110.5</c:v>
                </c:pt>
                <c:pt idx="5">
                  <c:v>201.4</c:v>
                </c:pt>
                <c:pt idx="6">
                  <c:v>232.4</c:v>
                </c:pt>
                <c:pt idx="7">
                  <c:v>256.10000000000002</c:v>
                </c:pt>
                <c:pt idx="8">
                  <c:v>285.20000000000005</c:v>
                </c:pt>
                <c:pt idx="9">
                  <c:v>277.90000000000003</c:v>
                </c:pt>
                <c:pt idx="10">
                  <c:v>246.20000000000005</c:v>
                </c:pt>
                <c:pt idx="11">
                  <c:v>333.30000000000007</c:v>
                </c:pt>
                <c:pt idx="12">
                  <c:v>371.70000000000005</c:v>
                </c:pt>
                <c:pt idx="13">
                  <c:v>418.90000000000003</c:v>
                </c:pt>
                <c:pt idx="14">
                  <c:v>473.50000000000006</c:v>
                </c:pt>
                <c:pt idx="15">
                  <c:v>481.50000000000006</c:v>
                </c:pt>
                <c:pt idx="16">
                  <c:v>425.50000000000006</c:v>
                </c:pt>
                <c:pt idx="17">
                  <c:v>427.40000000000003</c:v>
                </c:pt>
                <c:pt idx="18">
                  <c:v>429.3</c:v>
                </c:pt>
                <c:pt idx="19">
                  <c:v>405.40000000000003</c:v>
                </c:pt>
                <c:pt idx="20">
                  <c:v>469.6</c:v>
                </c:pt>
                <c:pt idx="21">
                  <c:v>468.3</c:v>
                </c:pt>
                <c:pt idx="22">
                  <c:v>519.20000000000005</c:v>
                </c:pt>
                <c:pt idx="23">
                  <c:v>555.90000000000009</c:v>
                </c:pt>
                <c:pt idx="24">
                  <c:v>592.20000000000005</c:v>
                </c:pt>
                <c:pt idx="25">
                  <c:v>655.20000000000005</c:v>
                </c:pt>
                <c:pt idx="26">
                  <c:v>625.40000000000009</c:v>
                </c:pt>
                <c:pt idx="27">
                  <c:v>596.30000000000007</c:v>
                </c:pt>
                <c:pt idx="28">
                  <c:v>655.6</c:v>
                </c:pt>
                <c:pt idx="29">
                  <c:v>703.1</c:v>
                </c:pt>
                <c:pt idx="30">
                  <c:v>733.6</c:v>
                </c:pt>
                <c:pt idx="31">
                  <c:v>796.80000000000007</c:v>
                </c:pt>
                <c:pt idx="32">
                  <c:v>788.30000000000007</c:v>
                </c:pt>
                <c:pt idx="33">
                  <c:v>850.1</c:v>
                </c:pt>
                <c:pt idx="34">
                  <c:v>875.4</c:v>
                </c:pt>
                <c:pt idx="35">
                  <c:v>907.3</c:v>
                </c:pt>
                <c:pt idx="36">
                  <c:v>976.3</c:v>
                </c:pt>
                <c:pt idx="37">
                  <c:v>1013</c:v>
                </c:pt>
                <c:pt idx="38">
                  <c:v>1082.5999999999999</c:v>
                </c:pt>
                <c:pt idx="39">
                  <c:v>1131.0999999999999</c:v>
                </c:pt>
                <c:pt idx="40">
                  <c:v>1078.8</c:v>
                </c:pt>
                <c:pt idx="41">
                  <c:v>1114</c:v>
                </c:pt>
                <c:pt idx="42">
                  <c:v>1147.5</c:v>
                </c:pt>
                <c:pt idx="43">
                  <c:v>1151</c:v>
                </c:pt>
                <c:pt idx="44">
                  <c:v>1208</c:v>
                </c:pt>
                <c:pt idx="45">
                  <c:v>1203.5999999999999</c:v>
                </c:pt>
                <c:pt idx="46">
                  <c:v>1212.5999999999999</c:v>
                </c:pt>
                <c:pt idx="47">
                  <c:v>1264.5</c:v>
                </c:pt>
                <c:pt idx="48">
                  <c:v>1259.3</c:v>
                </c:pt>
                <c:pt idx="49">
                  <c:v>1289.8999999999999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F06-4385-B6A2-2CD99B803E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4481.6326530612241</c:v>
                </c:pt>
                <c:pt idx="1">
                  <c:v>3891.6666666666665</c:v>
                </c:pt>
                <c:pt idx="2">
                  <c:v>3204.5454545454545</c:v>
                </c:pt>
                <c:pt idx="3">
                  <c:v>3826.3157894736842</c:v>
                </c:pt>
                <c:pt idx="4">
                  <c:v>2145.7142857142858</c:v>
                </c:pt>
                <c:pt idx="5">
                  <c:v>515.15151515151513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9C4-4834-BDFD-A0937EEF3F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りくと!$K$2:$K$52</c:f>
              <c:numCache>
                <c:formatCode>General</c:formatCode>
                <c:ptCount val="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</c:numCache>
            </c:numRef>
          </c:xVal>
          <c:yVal>
            <c:numRef>
              <c:f>りくと!$L$2:$L$52</c:f>
              <c:numCache>
                <c:formatCode>\+0.0;\-0.0;\±0</c:formatCode>
                <c:ptCount val="51"/>
                <c:pt idx="0">
                  <c:v>0</c:v>
                </c:pt>
                <c:pt idx="1">
                  <c:v>45.5</c:v>
                </c:pt>
                <c:pt idx="2">
                  <c:v>6.2999999999999972</c:v>
                </c:pt>
                <c:pt idx="3">
                  <c:v>-47.300000000000004</c:v>
                </c:pt>
                <c:pt idx="4">
                  <c:v>13.599999999999994</c:v>
                </c:pt>
                <c:pt idx="5">
                  <c:v>-16.600000000000005</c:v>
                </c:pt>
                <c:pt idx="6">
                  <c:v>-14.000000000000005</c:v>
                </c:pt>
                <c:pt idx="7">
                  <c:v>-45.300000000000004</c:v>
                </c:pt>
                <c:pt idx="8">
                  <c:v>-49.6</c:v>
                </c:pt>
                <c:pt idx="9">
                  <c:v>-79.5</c:v>
                </c:pt>
                <c:pt idx="10">
                  <c:v>-80.900000000000006</c:v>
                </c:pt>
                <c:pt idx="11">
                  <c:v>-53.100000000000009</c:v>
                </c:pt>
                <c:pt idx="12">
                  <c:v>-56.500000000000007</c:v>
                </c:pt>
                <c:pt idx="13">
                  <c:v>-81.900000000000006</c:v>
                </c:pt>
                <c:pt idx="14">
                  <c:v>-25.600000000000009</c:v>
                </c:pt>
                <c:pt idx="15">
                  <c:v>47.999999999999986</c:v>
                </c:pt>
                <c:pt idx="16">
                  <c:v>41.699999999999989</c:v>
                </c:pt>
                <c:pt idx="17">
                  <c:v>94.6</c:v>
                </c:pt>
                <c:pt idx="18">
                  <c:v>116.69999999999999</c:v>
                </c:pt>
                <c:pt idx="19">
                  <c:v>138.79999999999998</c:v>
                </c:pt>
                <c:pt idx="20">
                  <c:v>164.49999999999997</c:v>
                </c:pt>
                <c:pt idx="21">
                  <c:v>204.09999999999997</c:v>
                </c:pt>
                <c:pt idx="22">
                  <c:v>239.39999999999998</c:v>
                </c:pt>
                <c:pt idx="23">
                  <c:v>245.49999999999997</c:v>
                </c:pt>
                <c:pt idx="24">
                  <c:v>240.39999999999998</c:v>
                </c:pt>
                <c:pt idx="25">
                  <c:v>245.59999999999997</c:v>
                </c:pt>
                <c:pt idx="26">
                  <c:v>237.69999999999996</c:v>
                </c:pt>
                <c:pt idx="27">
                  <c:v>236.69999999999996</c:v>
                </c:pt>
                <c:pt idx="28">
                  <c:v>191.39999999999998</c:v>
                </c:pt>
                <c:pt idx="29">
                  <c:v>182.49999999999997</c:v>
                </c:pt>
                <c:pt idx="30">
                  <c:v>178.99999999999997</c:v>
                </c:pt>
                <c:pt idx="31">
                  <c:v>186.99999999999997</c:v>
                </c:pt>
                <c:pt idx="32">
                  <c:v>241.49999999999997</c:v>
                </c:pt>
                <c:pt idx="33">
                  <c:v>230.89999999999998</c:v>
                </c:pt>
                <c:pt idx="34">
                  <c:v>235.49999999999997</c:v>
                </c:pt>
                <c:pt idx="35">
                  <c:v>232.99999999999997</c:v>
                </c:pt>
                <c:pt idx="36">
                  <c:v>176.99999999999997</c:v>
                </c:pt>
                <c:pt idx="37">
                  <c:v>189.39999999999998</c:v>
                </c:pt>
                <c:pt idx="38">
                  <c:v>129.09999999999997</c:v>
                </c:pt>
                <c:pt idx="39">
                  <c:v>127.59999999999997</c:v>
                </c:pt>
                <c:pt idx="40">
                  <c:v>174.99999999999997</c:v>
                </c:pt>
                <c:pt idx="41">
                  <c:v>248.59999999999997</c:v>
                </c:pt>
                <c:pt idx="42">
                  <c:v>214.99999999999997</c:v>
                </c:pt>
                <c:pt idx="43">
                  <c:v>230.09999999999997</c:v>
                </c:pt>
                <c:pt idx="44">
                  <c:v>169.19999999999996</c:v>
                </c:pt>
                <c:pt idx="45">
                  <c:v>111.49999999999996</c:v>
                </c:pt>
                <c:pt idx="46">
                  <c:v>55.999999999999957</c:v>
                </c:pt>
                <c:pt idx="47">
                  <c:v>-3.9000000000000412</c:v>
                </c:pt>
                <c:pt idx="48">
                  <c:v>50.599999999999959</c:v>
                </c:pt>
                <c:pt idx="49">
                  <c:v>-4.8000000000000398</c:v>
                </c:pt>
                <c:pt idx="50">
                  <c:v>-0.70000000000004015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FA9-4AAB-8CC5-3D53838A34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754</c:v>
                </c:pt>
                <c:pt idx="1">
                  <c:v>-579.59183673469386</c:v>
                </c:pt>
                <c:pt idx="2">
                  <c:v>-1148.936170212766</c:v>
                </c:pt>
                <c:pt idx="3">
                  <c:v>126.82926829268293</c:v>
                </c:pt>
                <c:pt idx="4">
                  <c:v>825.64102564102564</c:v>
                </c:pt>
                <c:pt idx="5">
                  <c:v>718.91891891891896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D1B-49AB-AFC7-948C4C2D47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ただ!$K$2:$K$24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ただ!$L$2:$L$24</c:f>
              <c:numCache>
                <c:formatCode>\+0.0;\-0.0;\±0</c:formatCode>
                <c:ptCount val="23"/>
                <c:pt idx="0">
                  <c:v>0</c:v>
                </c:pt>
                <c:pt idx="1">
                  <c:v>-40.4</c:v>
                </c:pt>
                <c:pt idx="2">
                  <c:v>-3.3999999999999986</c:v>
                </c:pt>
                <c:pt idx="3">
                  <c:v>-23.099999999999998</c:v>
                </c:pt>
                <c:pt idx="4">
                  <c:v>-31.4</c:v>
                </c:pt>
                <c:pt idx="5">
                  <c:v>-32.199999999999996</c:v>
                </c:pt>
                <c:pt idx="6">
                  <c:v>-58.5</c:v>
                </c:pt>
                <c:pt idx="7">
                  <c:v>-116.8</c:v>
                </c:pt>
                <c:pt idx="8">
                  <c:v>-79.599999999999994</c:v>
                </c:pt>
                <c:pt idx="9">
                  <c:v>-127.6</c:v>
                </c:pt>
                <c:pt idx="10">
                  <c:v>-231.39999999999998</c:v>
                </c:pt>
                <c:pt idx="11">
                  <c:v>-305.89999999999998</c:v>
                </c:pt>
                <c:pt idx="12">
                  <c:v>-337.5</c:v>
                </c:pt>
                <c:pt idx="13">
                  <c:v>-369.1</c:v>
                </c:pt>
                <c:pt idx="14">
                  <c:v>-394.6</c:v>
                </c:pt>
                <c:pt idx="15">
                  <c:v>-424.5</c:v>
                </c:pt>
                <c:pt idx="16">
                  <c:v>-472</c:v>
                </c:pt>
                <c:pt idx="17">
                  <c:v>-538.29999999999995</c:v>
                </c:pt>
                <c:pt idx="18">
                  <c:v>-537.19999999999993</c:v>
                </c:pt>
                <c:pt idx="19">
                  <c:v>-569.49999999999989</c:v>
                </c:pt>
                <c:pt idx="20">
                  <c:v>-632.99999999999989</c:v>
                </c:pt>
                <c:pt idx="21">
                  <c:v>-629.49999999999989</c:v>
                </c:pt>
                <c:pt idx="22">
                  <c:v>-670.19999999999993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578-4E11-ACB9-C80FFB2481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-2959.090909090909</c:v>
                </c:pt>
                <c:pt idx="1">
                  <c:v>-5186.363636363636</c:v>
                </c:pt>
                <c:pt idx="2">
                  <c:v>-5815.7894736842109</c:v>
                </c:pt>
                <c:pt idx="3">
                  <c:v>-2425</c:v>
                </c:pt>
                <c:pt idx="4">
                  <c:v>-2943.75</c:v>
                </c:pt>
                <c:pt idx="5">
                  <c:v>-2231.25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F60-4E96-B534-B003E80295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れんたろう!$K$2:$K$35</c:f>
              <c:numCache>
                <c:formatCode>General</c:formatCode>
                <c:ptCount val="3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</c:numCache>
            </c:numRef>
          </c:xVal>
          <c:yVal>
            <c:numRef>
              <c:f>れんたろう!$L$2:$L$35</c:f>
              <c:numCache>
                <c:formatCode>\+0.0;\-0.0;\±0</c:formatCode>
                <c:ptCount val="34"/>
                <c:pt idx="0">
                  <c:v>0</c:v>
                </c:pt>
                <c:pt idx="1">
                  <c:v>-51.2</c:v>
                </c:pt>
                <c:pt idx="2">
                  <c:v>-93.300000000000011</c:v>
                </c:pt>
                <c:pt idx="3">
                  <c:v>-60.100000000000009</c:v>
                </c:pt>
                <c:pt idx="4">
                  <c:v>-11.300000000000011</c:v>
                </c:pt>
                <c:pt idx="5">
                  <c:v>-36.100000000000009</c:v>
                </c:pt>
                <c:pt idx="6">
                  <c:v>9.0999999999999943</c:v>
                </c:pt>
                <c:pt idx="7">
                  <c:v>-51.300000000000004</c:v>
                </c:pt>
                <c:pt idx="8">
                  <c:v>-1.7000000000000028</c:v>
                </c:pt>
                <c:pt idx="9">
                  <c:v>-5.8000000000000025</c:v>
                </c:pt>
                <c:pt idx="10">
                  <c:v>-56.500000000000007</c:v>
                </c:pt>
                <c:pt idx="11">
                  <c:v>-27.600000000000009</c:v>
                </c:pt>
                <c:pt idx="12">
                  <c:v>-42.900000000000006</c:v>
                </c:pt>
                <c:pt idx="13">
                  <c:v>-58.7</c:v>
                </c:pt>
                <c:pt idx="14">
                  <c:v>-29.400000000000002</c:v>
                </c:pt>
                <c:pt idx="15">
                  <c:v>-26.3</c:v>
                </c:pt>
                <c:pt idx="16">
                  <c:v>-50.3</c:v>
                </c:pt>
                <c:pt idx="17">
                  <c:v>-74.3</c:v>
                </c:pt>
                <c:pt idx="18">
                  <c:v>-76.099999999999994</c:v>
                </c:pt>
                <c:pt idx="19">
                  <c:v>0.60000000000000853</c:v>
                </c:pt>
                <c:pt idx="20">
                  <c:v>-3.5999999999999917</c:v>
                </c:pt>
                <c:pt idx="21">
                  <c:v>-3.0999999999999917</c:v>
                </c:pt>
                <c:pt idx="22">
                  <c:v>-17.099999999999991</c:v>
                </c:pt>
                <c:pt idx="23">
                  <c:v>-55.699999999999989</c:v>
                </c:pt>
                <c:pt idx="24">
                  <c:v>-59.499999999999986</c:v>
                </c:pt>
                <c:pt idx="25">
                  <c:v>-39.999999999999986</c:v>
                </c:pt>
                <c:pt idx="26">
                  <c:v>-71.099999999999994</c:v>
                </c:pt>
                <c:pt idx="27">
                  <c:v>-66.199999999999989</c:v>
                </c:pt>
                <c:pt idx="28">
                  <c:v>-116.49999999999999</c:v>
                </c:pt>
                <c:pt idx="29">
                  <c:v>-121.79999999999998</c:v>
                </c:pt>
                <c:pt idx="30">
                  <c:v>-156.19999999999999</c:v>
                </c:pt>
                <c:pt idx="31">
                  <c:v>-91.899999999999991</c:v>
                </c:pt>
                <c:pt idx="32">
                  <c:v>-119</c:v>
                </c:pt>
                <c:pt idx="33">
                  <c:v>-108.9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4C6-40B7-A8CB-DB3068FE04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-178.78787878787878</c:v>
                </c:pt>
                <c:pt idx="1">
                  <c:v>527.27272727272725</c:v>
                </c:pt>
                <c:pt idx="2">
                  <c:v>1096.7741935483871</c:v>
                </c:pt>
                <c:pt idx="3">
                  <c:v>-2127.5862068965516</c:v>
                </c:pt>
                <c:pt idx="4">
                  <c:v>-611.11111111111109</c:v>
                </c:pt>
                <c:pt idx="5">
                  <c:v>472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74D-4AF5-A942-04A964337B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たかの!$K$2:$K$24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たかの!$L$2:$L$24</c:f>
              <c:numCache>
                <c:formatCode>\+0.0;\-0.0;\±0</c:formatCode>
                <c:ptCount val="23"/>
                <c:pt idx="0">
                  <c:v>0</c:v>
                </c:pt>
                <c:pt idx="1">
                  <c:v>11.1</c:v>
                </c:pt>
                <c:pt idx="2">
                  <c:v>-7.7000000000000011</c:v>
                </c:pt>
                <c:pt idx="3">
                  <c:v>1.7999999999999989</c:v>
                </c:pt>
                <c:pt idx="4">
                  <c:v>34.9</c:v>
                </c:pt>
                <c:pt idx="5">
                  <c:v>29.4</c:v>
                </c:pt>
                <c:pt idx="6">
                  <c:v>4.2999999999999972</c:v>
                </c:pt>
                <c:pt idx="7">
                  <c:v>7.7999999999999972</c:v>
                </c:pt>
                <c:pt idx="8">
                  <c:v>-29.5</c:v>
                </c:pt>
                <c:pt idx="9">
                  <c:v>-56.5</c:v>
                </c:pt>
                <c:pt idx="10">
                  <c:v>24.200000000000003</c:v>
                </c:pt>
                <c:pt idx="11">
                  <c:v>74.2</c:v>
                </c:pt>
                <c:pt idx="12">
                  <c:v>46.1</c:v>
                </c:pt>
                <c:pt idx="13">
                  <c:v>-3</c:v>
                </c:pt>
                <c:pt idx="14">
                  <c:v>-12.3</c:v>
                </c:pt>
                <c:pt idx="15">
                  <c:v>-80.3</c:v>
                </c:pt>
                <c:pt idx="16">
                  <c:v>-87.6</c:v>
                </c:pt>
                <c:pt idx="17">
                  <c:v>-55.099999999999994</c:v>
                </c:pt>
                <c:pt idx="18">
                  <c:v>-28.199999999999996</c:v>
                </c:pt>
                <c:pt idx="19">
                  <c:v>29.200000000000003</c:v>
                </c:pt>
                <c:pt idx="20">
                  <c:v>43</c:v>
                </c:pt>
                <c:pt idx="21">
                  <c:v>89.9</c:v>
                </c:pt>
                <c:pt idx="22">
                  <c:v>54.7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33-4AA9-B20A-3557061338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-363.63636363636363</c:v>
                </c:pt>
                <c:pt idx="1">
                  <c:v>1918.1818181818182</c:v>
                </c:pt>
                <c:pt idx="2">
                  <c:v>44.444444444444443</c:v>
                </c:pt>
                <c:pt idx="3">
                  <c:v>2100</c:v>
                </c:pt>
                <c:pt idx="4">
                  <c:v>-3562.5</c:v>
                </c:pt>
                <c:pt idx="5">
                  <c:v>-733.33333333333337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CCD-4ED6-AB9D-856CB410A0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ぱぱ!$K$2:$K$19</c:f>
              <c:numCache>
                <c:formatCode>General</c:formatCode>
                <c:ptCount val="1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</c:numCache>
            </c:numRef>
          </c:xVal>
          <c:yVal>
            <c:numRef>
              <c:f>ぱぱ!$L$2:$L$19</c:f>
              <c:numCache>
                <c:formatCode>\+0.0;\-0.0;\±0</c:formatCode>
                <c:ptCount val="18"/>
                <c:pt idx="0">
                  <c:v>0</c:v>
                </c:pt>
                <c:pt idx="1">
                  <c:v>-82.6</c:v>
                </c:pt>
                <c:pt idx="2">
                  <c:v>-122.3</c:v>
                </c:pt>
                <c:pt idx="3">
                  <c:v>-149</c:v>
                </c:pt>
                <c:pt idx="4">
                  <c:v>-150.6</c:v>
                </c:pt>
                <c:pt idx="5">
                  <c:v>-184.89999999999998</c:v>
                </c:pt>
                <c:pt idx="6">
                  <c:v>-187.59999999999997</c:v>
                </c:pt>
                <c:pt idx="7">
                  <c:v>-216.09999999999997</c:v>
                </c:pt>
                <c:pt idx="8">
                  <c:v>-219.59999999999997</c:v>
                </c:pt>
                <c:pt idx="9">
                  <c:v>-260.59999999999997</c:v>
                </c:pt>
                <c:pt idx="10">
                  <c:v>-318.39999999999998</c:v>
                </c:pt>
                <c:pt idx="11">
                  <c:v>-325.39999999999998</c:v>
                </c:pt>
                <c:pt idx="12">
                  <c:v>-289.59999999999997</c:v>
                </c:pt>
                <c:pt idx="13">
                  <c:v>-302.59999999999997</c:v>
                </c:pt>
                <c:pt idx="14">
                  <c:v>-269.99999999999994</c:v>
                </c:pt>
                <c:pt idx="15">
                  <c:v>-264.59999999999997</c:v>
                </c:pt>
                <c:pt idx="16">
                  <c:v>-292.79999999999995</c:v>
                </c:pt>
                <c:pt idx="17">
                  <c:v>-248.89999999999995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DC-46AC-8192-6D2A5E5028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-4500</c:v>
                </c:pt>
                <c:pt idx="1">
                  <c:v>-2923.5294117647059</c:v>
                </c:pt>
                <c:pt idx="2">
                  <c:v>-406.66666666666669</c:v>
                </c:pt>
                <c:pt idx="3">
                  <c:v>-4242.8571428571431</c:v>
                </c:pt>
                <c:pt idx="4">
                  <c:v>1400</c:v>
                </c:pt>
                <c:pt idx="5">
                  <c:v>383.33333333333331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475-48ED-94BC-1D7FE9872A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まっつん!$K$2:$K$17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まっつん!$L$2:$L$17</c:f>
              <c:numCache>
                <c:formatCode>\+0.0;\-0.0;\±0</c:formatCode>
                <c:ptCount val="16"/>
                <c:pt idx="0">
                  <c:v>0</c:v>
                </c:pt>
                <c:pt idx="1">
                  <c:v>-1.9</c:v>
                </c:pt>
                <c:pt idx="2">
                  <c:v>30</c:v>
                </c:pt>
                <c:pt idx="3">
                  <c:v>-10</c:v>
                </c:pt>
                <c:pt idx="4">
                  <c:v>40</c:v>
                </c:pt>
                <c:pt idx="5">
                  <c:v>35.4</c:v>
                </c:pt>
                <c:pt idx="6">
                  <c:v>3.8999999999999986</c:v>
                </c:pt>
                <c:pt idx="7">
                  <c:v>-30.1</c:v>
                </c:pt>
                <c:pt idx="8">
                  <c:v>-87.1</c:v>
                </c:pt>
                <c:pt idx="9">
                  <c:v>-128.6</c:v>
                </c:pt>
                <c:pt idx="10">
                  <c:v>-183.7</c:v>
                </c:pt>
                <c:pt idx="11">
                  <c:v>-152.89999999999998</c:v>
                </c:pt>
                <c:pt idx="12">
                  <c:v>-208.09999999999997</c:v>
                </c:pt>
                <c:pt idx="13">
                  <c:v>-209.59999999999997</c:v>
                </c:pt>
                <c:pt idx="14">
                  <c:v>-178.49999999999997</c:v>
                </c:pt>
                <c:pt idx="15">
                  <c:v>-146.19999999999999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3F2-4AD4-9847-67B4AD647F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-4773.333333333333</c:v>
                </c:pt>
                <c:pt idx="1">
                  <c:v>-3307.1428571428573</c:v>
                </c:pt>
                <c:pt idx="2">
                  <c:v>1069.2307692307693</c:v>
                </c:pt>
                <c:pt idx="3">
                  <c:v>-76.92307692307692</c:v>
                </c:pt>
                <c:pt idx="4">
                  <c:v>-375</c:v>
                </c:pt>
                <c:pt idx="5">
                  <c:v>3227.2727272727275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025-40D0-AADE-4CB4AAC16C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あさひ!$L$1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あさひ!$K$2:$K$5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あさひ!$L$2:$L$5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-14.6</c:v>
                </c:pt>
                <c:pt idx="2">
                  <c:v>22.5</c:v>
                </c:pt>
                <c:pt idx="3">
                  <c:v>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DD9-4CCD-960F-0A16CEB309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あさひ!$O$1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あさひ!$N$2:$N$7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あさひ!$O$2:$O$7</c:f>
              <c:numCache>
                <c:formatCode>\+0;\-0;\±0</c:formatCode>
                <c:ptCount val="6"/>
                <c:pt idx="0">
                  <c:v>3000</c:v>
                </c:pt>
                <c:pt idx="1">
                  <c:v>2233.3333333333335</c:v>
                </c:pt>
                <c:pt idx="2">
                  <c:v>-1000</c:v>
                </c:pt>
                <c:pt idx="3">
                  <c:v>6233.333333333333</c:v>
                </c:pt>
                <c:pt idx="4">
                  <c:v>100</c:v>
                </c:pt>
                <c:pt idx="5">
                  <c:v>-3566.6666666666665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4CF-4FDD-95AA-730C1FA6F4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いっしー!$L$2:$L$9</c:f>
              <c:numCache>
                <c:formatCode>\+0.0;\-0.0;\±0</c:formatCode>
                <c:ptCount val="8"/>
                <c:pt idx="0">
                  <c:v>0</c:v>
                </c:pt>
                <c:pt idx="1">
                  <c:v>-43.7</c:v>
                </c:pt>
                <c:pt idx="2">
                  <c:v>-76.2</c:v>
                </c:pt>
                <c:pt idx="3">
                  <c:v>-78.400000000000006</c:v>
                </c:pt>
                <c:pt idx="4">
                  <c:v>-49.800000000000004</c:v>
                </c:pt>
                <c:pt idx="5">
                  <c:v>-121</c:v>
                </c:pt>
                <c:pt idx="6">
                  <c:v>-167</c:v>
                </c:pt>
                <c:pt idx="7">
                  <c:v>-218.2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20-4E59-B37C-3C461E1F41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いっしー!$O$2:$O$7</c:f>
              <c:numCache>
                <c:formatCode>\+0;\-0;\±0</c:formatCode>
                <c:ptCount val="6"/>
                <c:pt idx="0">
                  <c:v>-3742.8571428571427</c:v>
                </c:pt>
                <c:pt idx="1">
                  <c:v>-4085.7142857142858</c:v>
                </c:pt>
                <c:pt idx="2">
                  <c:v>128.57142857142858</c:v>
                </c:pt>
                <c:pt idx="3">
                  <c:v>-7000</c:v>
                </c:pt>
                <c:pt idx="4">
                  <c:v>-2950</c:v>
                </c:pt>
                <c:pt idx="5">
                  <c:v>-4100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9A9-49D2-B748-8D5356C97F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ほたに!$L$2:$L$3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-12.5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538-4F42-A31C-062731DC7D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ほたに!$O$1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ほたに!$N$2:$N$7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ほたに!$O$2:$O$7</c:f>
              <c:numCache>
                <c:formatCode>\+0;\-0;\±0</c:formatCode>
                <c:ptCount val="6"/>
                <c:pt idx="0">
                  <c:v>-18000</c:v>
                </c:pt>
                <c:pt idx="1">
                  <c:v>12000</c:v>
                </c:pt>
                <c:pt idx="2">
                  <c:v>-10000</c:v>
                </c:pt>
                <c:pt idx="3">
                  <c:v>-1000</c:v>
                </c:pt>
                <c:pt idx="4">
                  <c:v>12000</c:v>
                </c:pt>
                <c:pt idx="5">
                  <c:v>-7500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236-4AAD-A04D-CC02F7C82A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ほたに2!$B$1:$B$2</c:f>
              <c:strCache>
                <c:ptCount val="2"/>
                <c:pt idx="0">
                  <c:v>ほたに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ほたに2!$B$3:$B$4</c:f>
              <c:numCache>
                <c:formatCode>\+0.0;\-0.0;\±0</c:formatCode>
                <c:ptCount val="2"/>
                <c:pt idx="0">
                  <c:v>0</c:v>
                </c:pt>
                <c:pt idx="1">
                  <c:v>-12.5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ほたに2!$C$1:$C$2</c:f>
              <c:strCache>
                <c:ptCount val="2"/>
                <c:pt idx="0">
                  <c:v>ほたに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ほたに2!$C$3:$C$4</c:f>
              <c:numCache>
                <c:formatCode>\+0.0;\-0.0;\±0</c:formatCode>
                <c:ptCount val="2"/>
                <c:pt idx="1">
                  <c:v>-12.5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ほたに2!$D$1:$D$2</c:f>
              <c:strCache>
                <c:ptCount val="2"/>
                <c:pt idx="0">
                  <c:v>ほたに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ほたに2!$D$3:$D$4</c:f>
              <c:numCache>
                <c:formatCode>0.00\ "位"</c:formatCode>
                <c:ptCount val="2"/>
                <c:pt idx="1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ほたに2!$E$1:$E$2</c:f>
              <c:strCache>
                <c:ptCount val="2"/>
                <c:pt idx="0">
                  <c:v>ほたに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ほたに2!$E$3:$E$4</c:f>
              <c:numCache>
                <c:formatCode>0.0%</c:formatCode>
                <c:ptCount val="2"/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ほたに2!$F$3:$F$4</c:f>
              <c:numCache>
                <c:formatCode>0.0%</c:formatCode>
                <c:ptCount val="2"/>
                <c:pt idx="1">
                  <c:v>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ほたに2!$F$1:$F$2</c15:sqref>
                        </c15:formulaRef>
                      </c:ext>
                    </c:extLst>
                    <c:strCache>
                      <c:ptCount val="2"/>
                      <c:pt idx="0">
                        <c:v>ほたに</c:v>
                      </c:pt>
                      <c:pt idx="1">
                        <c:v>ラス率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CACA-4E97-B2B6-A259DFE593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ほたに2!$G$1:$G$2</c:f>
              <c:strCache>
                <c:ptCount val="2"/>
                <c:pt idx="0">
                  <c:v>ほたに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ほたに2!$G$3:$G$4</c:f>
              <c:numCache>
                <c:formatCode>0.0%</c:formatCode>
                <c:ptCount val="2"/>
                <c:pt idx="1">
                  <c:v>0.18181818181818182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ほたに2!$H$1:$H$2</c:f>
              <c:strCache>
                <c:ptCount val="2"/>
                <c:pt idx="0">
                  <c:v>ほたに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ほたに2!$H$3:$H$4</c:f>
              <c:numCache>
                <c:formatCode>0.0%</c:formatCode>
                <c:ptCount val="2"/>
                <c:pt idx="1">
                  <c:v>0.18181818181818182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ほたに2!$I$1:$I$2</c:f>
              <c:strCache>
                <c:ptCount val="2"/>
                <c:pt idx="0">
                  <c:v>ほたに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ほたに2!$I$3:$I$4</c:f>
              <c:numCache>
                <c:formatCode>0</c:formatCode>
                <c:ptCount val="2"/>
                <c:pt idx="1">
                  <c:v>12000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ほたに2!$J$1:$J$2</c:f>
              <c:strCache>
                <c:ptCount val="2"/>
                <c:pt idx="0">
                  <c:v>ほたに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ほたに2!$J$3:$J$4</c:f>
              <c:numCache>
                <c:formatCode>0</c:formatCode>
                <c:ptCount val="2"/>
                <c:pt idx="1">
                  <c:v>-3250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ほたに2!$K$1:$K$2</c:f>
              <c:strCache>
                <c:ptCount val="2"/>
                <c:pt idx="0">
                  <c:v>ほたに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ほたに2!$K$3:$K$4</c:f>
              <c:numCache>
                <c:formatCode>0.0%</c:formatCode>
                <c:ptCount val="2"/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ほたに2!$L$1:$L$2</c:f>
              <c:strCache>
                <c:ptCount val="2"/>
                <c:pt idx="0">
                  <c:v>ほたに</c:v>
                </c:pt>
                <c:pt idx="1">
                  <c:v>ふっとばし率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ほたに2!$L$3:$L$4</c:f>
              <c:numCache>
                <c:formatCode>0.0%</c:formatCode>
                <c:ptCount val="2"/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92-4F2D-9FFC-F11712041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ほたに2!$M$1:$M$2</c:f>
              <c:strCache>
                <c:ptCount val="2"/>
                <c:pt idx="0">
                  <c:v>ほたに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ほたに2!$M$3:$M$4</c:f>
              <c:numCache>
                <c:formatCode>0.0%</c:formatCode>
                <c:ptCount val="2"/>
                <c:pt idx="1">
                  <c:v>0.18181818181818182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ほたに2!$N$1:$N$2</c:f>
              <c:strCache>
                <c:ptCount val="2"/>
                <c:pt idx="0">
                  <c:v>ほたに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ほたに2!$N$3:$N$4</c:f>
              <c:numCache>
                <c:formatCode>0.0%</c:formatCode>
                <c:ptCount val="2"/>
                <c:pt idx="1">
                  <c:v>0.18181818181818182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ほたに2!$O$1:$O$2</c:f>
              <c:strCache>
                <c:ptCount val="2"/>
                <c:pt idx="0">
                  <c:v>ほたに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ほたに2!$O$3:$O$4</c:f>
              <c:numCache>
                <c:formatCode>0.0%</c:formatCode>
                <c:ptCount val="2"/>
                <c:pt idx="1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DB-4F79-8772-CA478479E687}"/>
            </c:ext>
          </c:extLst>
        </c:ser>
        <c:ser>
          <c:idx val="1"/>
          <c:order val="1"/>
          <c:tx>
            <c:strRef>
              <c:f>ほたに2!$P$1:$P$2</c:f>
              <c:strCache>
                <c:ptCount val="2"/>
                <c:pt idx="0">
                  <c:v>ほたに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ほたに2!$P$3:$P$4</c:f>
              <c:numCache>
                <c:formatCode>0.0%</c:formatCode>
                <c:ptCount val="2"/>
                <c:pt idx="1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8EC-4223-9956-2B98420296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ほたに2!$P$1:$P$2</c:f>
              <c:strCache>
                <c:ptCount val="2"/>
                <c:pt idx="0">
                  <c:v>ほたに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ほたに2!$P$3:$P$4</c:f>
              <c:numCache>
                <c:formatCode>0.0%</c:formatCode>
                <c:ptCount val="2"/>
                <c:pt idx="1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ほたに2!$Q$1:$Q$2</c:f>
              <c:strCache>
                <c:ptCount val="2"/>
                <c:pt idx="0">
                  <c:v>ほたに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ほたに2!$Q$3:$Q$4</c:f>
              <c:numCache>
                <c:formatCode>0.0%</c:formatCode>
                <c:ptCount val="2"/>
                <c:pt idx="1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06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478F9C83-7EDD-484F-976F-4D59B21AFAB1}">
  <sheetPr codeName="グラフ24"/>
  <sheetViews>
    <sheetView zoomScale="106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90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90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90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90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90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5968692-9151-4F00-BB2C-7A88127CC1FF}">
  <sheetPr codeName="グラフ18"/>
  <sheetViews>
    <sheetView zoomScale="90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90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90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FD20A29-01D2-4611-9F01-81FE67B0662F}">
  <sheetPr codeName="グラフ21"/>
  <sheetViews>
    <sheetView zoomScale="90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90" workbookViewId="0" zoomToFit="1"/>
  </sheetViews>
  <pageMargins left="0.7" right="0.7" top="0.75" bottom="0.75" header="0.3" footer="0.3"/>
  <drawing r:id="rId1"/>
</chartsheet>
</file>

<file path=xl/chartsheets/sheet1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90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1B823ABA-5CE0-4C7A-A017-4A6DC4A8ACC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50D461EE-8A1B-47CC-A60C-B0902021923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4E7A903D-4209-44F6-9DBF-6FF73A4B2BF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6B7F5391-1DBD-43F7-ABF0-1525DA7172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57BEE3C-7D8E-455F-BB15-2BDDB20437F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61A168F4-3B83-4054-813E-32F5587DB44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3124D6D6-87AE-400B-A15F-2169898E255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B9F4006B-FAE0-4D9B-A9C3-631D0AC58D8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BEEB225C-3326-4E96-B30B-F90487730D5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BE2BB44A-148B-4539-93E0-478EB809339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F536FCD4-88A1-4D70-A2D0-020A07D39EC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4418D00C-2837-4FD8-A2A2-66AFA0E2B58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5D1C59CF-F707-401C-A104-7D1FC6E278F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415C25D8-A487-4764-8BA6-56886797F9E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5D85E67-EA8B-4CCB-A46F-AA70829EC9F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B60DEBDD-22E6-4CDC-8BB8-AA1CE64855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7D1DFF23-6174-4CCB-803E-1AB10A7CEFC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9AE2D365-8899-47B2-8C36-AF2349E9F33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79B2EABC-BB86-4CA4-B407-5B934B7123F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FE5ACCD4-5BA2-4AC7-935E-93DEBC5804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F89F8113-5FCF-42B2-B96E-11D95A9EE3A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D6BD321E-2207-45C7-9A88-0F77C0D6945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9340" cy="608342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9340" cy="608342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9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1"/>
  <sheetViews>
    <sheetView showGridLines="0" zoomScaleNormal="100" workbookViewId="0"/>
  </sheetViews>
  <sheetFormatPr defaultColWidth="9" defaultRowHeight="18.75" x14ac:dyDescent="0.4"/>
  <cols>
    <col min="1" max="1" width="13" style="1" customWidth="1"/>
    <col min="2" max="3" width="9" style="1" customWidth="1"/>
    <col min="4" max="4" width="3.625" style="1" customWidth="1"/>
    <col min="5" max="5" width="3.625" style="130" bestFit="1" customWidth="1"/>
    <col min="6" max="6" width="11" style="10" bestFit="1" customWidth="1"/>
    <col min="7" max="8" width="9" style="1" customWidth="1"/>
    <col min="9" max="9" width="9" style="33" customWidth="1"/>
    <col min="10" max="10" width="3.625" style="1" customWidth="1"/>
    <col min="11" max="11" width="3.5" style="5" customWidth="1"/>
    <col min="12" max="12" width="9" style="101" customWidth="1"/>
    <col min="13" max="13" width="3.625" style="1" customWidth="1"/>
    <col min="14" max="14" width="9" style="117" customWidth="1"/>
    <col min="15" max="15" width="9" style="127" customWidth="1"/>
    <col min="16" max="16" width="9" style="121" customWidth="1"/>
    <col min="17" max="17" width="3.625" style="109" customWidth="1"/>
    <col min="18" max="16384" width="9" style="1"/>
  </cols>
  <sheetData>
    <row r="1" spans="1:17" x14ac:dyDescent="0.4">
      <c r="A1" s="20" t="s">
        <v>0</v>
      </c>
      <c r="B1" s="146"/>
      <c r="C1" s="147"/>
      <c r="E1" s="131" t="s">
        <v>168</v>
      </c>
      <c r="F1" s="12" t="s">
        <v>116</v>
      </c>
      <c r="G1" s="26" t="s">
        <v>117</v>
      </c>
      <c r="H1" s="132" t="s">
        <v>118</v>
      </c>
      <c r="I1" s="102" t="s">
        <v>154</v>
      </c>
      <c r="K1" s="2" t="s">
        <v>20</v>
      </c>
      <c r="L1" s="35" t="s">
        <v>121</v>
      </c>
      <c r="M1" s="133"/>
      <c r="N1" s="115" t="s">
        <v>138</v>
      </c>
      <c r="O1" s="34" t="s">
        <v>139</v>
      </c>
      <c r="P1" s="119" t="s">
        <v>117</v>
      </c>
      <c r="Q1" s="103" t="s">
        <v>159</v>
      </c>
    </row>
    <row r="2" spans="1:17" x14ac:dyDescent="0.4">
      <c r="A2" s="21" t="s">
        <v>9</v>
      </c>
      <c r="B2" s="148">
        <v>0</v>
      </c>
      <c r="C2" s="149"/>
      <c r="E2" s="62" t="s">
        <v>65</v>
      </c>
      <c r="F2" s="27" t="s">
        <v>21</v>
      </c>
      <c r="G2" s="14">
        <v>0</v>
      </c>
      <c r="H2" s="134">
        <f>IF(B$17=0,0,G2/B$17)</f>
        <v>0</v>
      </c>
      <c r="I2" s="95"/>
      <c r="K2" s="3">
        <v>0</v>
      </c>
      <c r="L2" s="100">
        <v>0</v>
      </c>
      <c r="N2" s="116" t="s">
        <v>132</v>
      </c>
      <c r="O2" s="123">
        <f t="shared" ref="O2:O7" si="0">IF(P2=0,0,Q2/P2)</f>
        <v>0</v>
      </c>
      <c r="P2" s="120">
        <v>0</v>
      </c>
      <c r="Q2" s="104">
        <v>0</v>
      </c>
    </row>
    <row r="3" spans="1:17" x14ac:dyDescent="0.4">
      <c r="A3" s="22" t="s">
        <v>8</v>
      </c>
      <c r="B3" s="150">
        <v>0</v>
      </c>
      <c r="C3" s="151"/>
      <c r="E3" s="63" t="s">
        <v>66</v>
      </c>
      <c r="F3" s="28" t="s">
        <v>22</v>
      </c>
      <c r="G3" s="15">
        <v>0</v>
      </c>
      <c r="H3" s="135">
        <f t="shared" ref="H3:H51" si="1">IF(B$17=0,0,G3/B$17)</f>
        <v>0</v>
      </c>
      <c r="I3" s="96"/>
      <c r="N3" s="117" t="s">
        <v>133</v>
      </c>
      <c r="O3" s="124">
        <f t="shared" si="0"/>
        <v>0</v>
      </c>
      <c r="P3" s="121">
        <v>0</v>
      </c>
      <c r="Q3" s="105">
        <v>0</v>
      </c>
    </row>
    <row r="4" spans="1:17" x14ac:dyDescent="0.4">
      <c r="A4" s="22" t="s">
        <v>6</v>
      </c>
      <c r="B4" s="152">
        <v>0</v>
      </c>
      <c r="C4" s="153"/>
      <c r="E4" s="63" t="s">
        <v>67</v>
      </c>
      <c r="F4" s="28" t="s">
        <v>23</v>
      </c>
      <c r="G4" s="15">
        <v>0</v>
      </c>
      <c r="H4" s="135">
        <f t="shared" si="1"/>
        <v>0</v>
      </c>
      <c r="I4" s="96"/>
      <c r="N4" s="117" t="s">
        <v>134</v>
      </c>
      <c r="O4" s="124">
        <f t="shared" si="0"/>
        <v>0</v>
      </c>
      <c r="P4" s="121">
        <v>0</v>
      </c>
      <c r="Q4" s="105">
        <v>0</v>
      </c>
    </row>
    <row r="5" spans="1:17" x14ac:dyDescent="0.4">
      <c r="A5" s="22" t="s">
        <v>7</v>
      </c>
      <c r="B5" s="154">
        <f>IF(B$2=0,0,B$4/B$2)</f>
        <v>0</v>
      </c>
      <c r="C5" s="155"/>
      <c r="E5" s="63" t="s">
        <v>68</v>
      </c>
      <c r="F5" s="28" t="s">
        <v>24</v>
      </c>
      <c r="G5" s="15">
        <v>0</v>
      </c>
      <c r="H5" s="135">
        <f>IF(B$17=0,0,G5/B$17)</f>
        <v>0</v>
      </c>
      <c r="I5" s="96"/>
      <c r="N5" s="117" t="s">
        <v>135</v>
      </c>
      <c r="O5" s="124">
        <f t="shared" si="0"/>
        <v>0</v>
      </c>
      <c r="P5" s="121">
        <v>0</v>
      </c>
      <c r="Q5" s="105">
        <v>0</v>
      </c>
    </row>
    <row r="6" spans="1:17" x14ac:dyDescent="0.4">
      <c r="A6" s="22" t="s">
        <v>1</v>
      </c>
      <c r="B6" s="144">
        <f>IF(B$2=0,0,(B$7*1+B$8*2+B$9*3)/B$2)</f>
        <v>0</v>
      </c>
      <c r="C6" s="145"/>
      <c r="E6" s="63" t="s">
        <v>69</v>
      </c>
      <c r="F6" s="28" t="s">
        <v>12</v>
      </c>
      <c r="G6" s="15">
        <v>0</v>
      </c>
      <c r="H6" s="135">
        <f t="shared" si="1"/>
        <v>0</v>
      </c>
      <c r="I6" s="96"/>
      <c r="N6" s="117" t="s">
        <v>136</v>
      </c>
      <c r="O6" s="124">
        <f t="shared" si="0"/>
        <v>0</v>
      </c>
      <c r="P6" s="121">
        <v>0</v>
      </c>
      <c r="Q6" s="105">
        <v>0</v>
      </c>
    </row>
    <row r="7" spans="1:17" x14ac:dyDescent="0.4">
      <c r="A7" s="22" t="s">
        <v>2</v>
      </c>
      <c r="B7" s="15">
        <v>0</v>
      </c>
      <c r="C7" s="6">
        <f>IF(B$2=0,0,B7/B$2)</f>
        <v>0</v>
      </c>
      <c r="E7" s="63" t="s">
        <v>70</v>
      </c>
      <c r="F7" s="28" t="s">
        <v>25</v>
      </c>
      <c r="G7" s="15">
        <v>0</v>
      </c>
      <c r="H7" s="135">
        <f t="shared" si="1"/>
        <v>0</v>
      </c>
      <c r="I7" s="96"/>
      <c r="N7" s="118" t="s">
        <v>137</v>
      </c>
      <c r="O7" s="125">
        <f t="shared" si="0"/>
        <v>0</v>
      </c>
      <c r="P7" s="122">
        <v>0</v>
      </c>
      <c r="Q7" s="106">
        <v>0</v>
      </c>
    </row>
    <row r="8" spans="1:17" x14ac:dyDescent="0.4">
      <c r="A8" s="22" t="s">
        <v>3</v>
      </c>
      <c r="B8" s="15">
        <v>0</v>
      </c>
      <c r="C8" s="6">
        <f>IF(B$2=0,0,B8/B$2)</f>
        <v>0</v>
      </c>
      <c r="E8" s="63" t="s">
        <v>71</v>
      </c>
      <c r="F8" s="28" t="s">
        <v>26</v>
      </c>
      <c r="G8" s="15">
        <v>0</v>
      </c>
      <c r="H8" s="135">
        <f t="shared" si="1"/>
        <v>0</v>
      </c>
      <c r="I8" s="96"/>
      <c r="N8" s="43"/>
      <c r="O8" s="129"/>
      <c r="P8" s="113"/>
      <c r="Q8" s="111"/>
    </row>
    <row r="9" spans="1:17" x14ac:dyDescent="0.4">
      <c r="A9" s="23" t="s">
        <v>4</v>
      </c>
      <c r="B9" s="16">
        <v>0</v>
      </c>
      <c r="C9" s="7">
        <f t="shared" ref="C9" si="2">IF(B$2=0,0,B9/B$2)</f>
        <v>0</v>
      </c>
      <c r="E9" s="63" t="s">
        <v>72</v>
      </c>
      <c r="F9" s="28" t="s">
        <v>27</v>
      </c>
      <c r="G9" s="15">
        <v>0</v>
      </c>
      <c r="H9" s="135">
        <f t="shared" si="1"/>
        <v>0</v>
      </c>
      <c r="I9" s="96"/>
      <c r="N9" s="115" t="s">
        <v>164</v>
      </c>
      <c r="O9" s="34" t="s">
        <v>121</v>
      </c>
      <c r="P9" s="119" t="s">
        <v>117</v>
      </c>
      <c r="Q9" s="107" t="s">
        <v>158</v>
      </c>
    </row>
    <row r="10" spans="1:17" x14ac:dyDescent="0.4">
      <c r="A10" s="23" t="s">
        <v>19</v>
      </c>
      <c r="B10" s="16">
        <v>0</v>
      </c>
      <c r="C10" s="7">
        <f>IF(B$2=0,0,B10/B$2)</f>
        <v>0</v>
      </c>
      <c r="E10" s="63" t="s">
        <v>73</v>
      </c>
      <c r="F10" s="28" t="s">
        <v>28</v>
      </c>
      <c r="G10" s="15">
        <v>0</v>
      </c>
      <c r="H10" s="135">
        <f t="shared" si="1"/>
        <v>0</v>
      </c>
      <c r="I10" s="96"/>
      <c r="N10" s="116" t="s">
        <v>165</v>
      </c>
      <c r="O10" s="126">
        <f>IF(P10=0,0,Q10/P10)</f>
        <v>0</v>
      </c>
      <c r="P10" s="120">
        <v>0</v>
      </c>
      <c r="Q10" s="108">
        <v>0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74</v>
      </c>
      <c r="F11" s="28" t="s">
        <v>29</v>
      </c>
      <c r="G11" s="15">
        <v>0</v>
      </c>
      <c r="H11" s="135">
        <f t="shared" si="1"/>
        <v>0</v>
      </c>
      <c r="I11" s="96"/>
      <c r="N11" s="117" t="s">
        <v>166</v>
      </c>
      <c r="O11" s="127">
        <f>IF(P11=0,0,Q11/P11)</f>
        <v>0</v>
      </c>
      <c r="P11" s="121">
        <v>0</v>
      </c>
      <c r="Q11" s="109">
        <v>0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75</v>
      </c>
      <c r="F12" s="28" t="s">
        <v>30</v>
      </c>
      <c r="G12" s="15">
        <v>0</v>
      </c>
      <c r="H12" s="135">
        <f t="shared" si="1"/>
        <v>0</v>
      </c>
      <c r="I12" s="96"/>
      <c r="N12" s="118" t="s">
        <v>167</v>
      </c>
      <c r="O12" s="128">
        <f>IF(P12=0,0,Q12/P12)</f>
        <v>0</v>
      </c>
      <c r="P12" s="122">
        <v>0</v>
      </c>
      <c r="Q12" s="110">
        <v>0</v>
      </c>
    </row>
    <row r="13" spans="1:17" x14ac:dyDescent="0.4">
      <c r="A13" s="25" t="s">
        <v>122</v>
      </c>
      <c r="B13" s="17">
        <v>0</v>
      </c>
      <c r="C13" s="11">
        <f>IF(B$3=0,0,B13/B$3)</f>
        <v>0</v>
      </c>
      <c r="E13" s="63" t="s">
        <v>76</v>
      </c>
      <c r="F13" s="28" t="s">
        <v>31</v>
      </c>
      <c r="G13" s="15">
        <v>0</v>
      </c>
      <c r="H13" s="135">
        <f t="shared" si="1"/>
        <v>0</v>
      </c>
      <c r="I13" s="96"/>
      <c r="N13" s="33"/>
      <c r="O13" s="112"/>
      <c r="P13" s="114"/>
      <c r="Q13" s="112"/>
    </row>
    <row r="14" spans="1:17" x14ac:dyDescent="0.4">
      <c r="A14" s="22" t="s">
        <v>119</v>
      </c>
      <c r="B14" s="15">
        <v>0</v>
      </c>
      <c r="C14" s="6">
        <f>IF(B$3=0,0,B14/B$3)</f>
        <v>0</v>
      </c>
      <c r="E14" s="63" t="s">
        <v>77</v>
      </c>
      <c r="F14" s="28" t="s">
        <v>32</v>
      </c>
      <c r="G14" s="15">
        <v>0</v>
      </c>
      <c r="H14" s="135">
        <f t="shared" si="1"/>
        <v>0</v>
      </c>
      <c r="I14" s="96"/>
      <c r="N14" s="115" t="s">
        <v>155</v>
      </c>
      <c r="O14" s="34" t="s">
        <v>156</v>
      </c>
      <c r="P14" s="119" t="s">
        <v>157</v>
      </c>
      <c r="Q14" s="107" t="s">
        <v>158</v>
      </c>
    </row>
    <row r="15" spans="1:17" x14ac:dyDescent="0.4">
      <c r="A15" s="21" t="s">
        <v>124</v>
      </c>
      <c r="B15" s="14">
        <v>0</v>
      </c>
      <c r="C15" s="4">
        <f>IF(B$13=0,0,B15/B$13)</f>
        <v>0</v>
      </c>
      <c r="E15" s="63" t="s">
        <v>78</v>
      </c>
      <c r="F15" s="28" t="s">
        <v>33</v>
      </c>
      <c r="G15" s="15">
        <v>0</v>
      </c>
      <c r="H15" s="135">
        <f t="shared" si="1"/>
        <v>0</v>
      </c>
      <c r="I15" s="96"/>
      <c r="N15" s="116"/>
      <c r="O15" s="126"/>
      <c r="P15" s="120"/>
      <c r="Q15" s="108"/>
    </row>
    <row r="16" spans="1:17" x14ac:dyDescent="0.4">
      <c r="A16" s="21" t="s">
        <v>125</v>
      </c>
      <c r="B16" s="14">
        <v>0</v>
      </c>
      <c r="C16" s="4">
        <f>IF(B$14=0,0,B16/B$14)</f>
        <v>0</v>
      </c>
      <c r="E16" s="63" t="s">
        <v>79</v>
      </c>
      <c r="F16" s="28" t="s">
        <v>34</v>
      </c>
      <c r="G16" s="15">
        <v>0</v>
      </c>
      <c r="H16" s="135">
        <f t="shared" si="1"/>
        <v>0</v>
      </c>
      <c r="I16" s="96"/>
    </row>
    <row r="17" spans="1:9" x14ac:dyDescent="0.4">
      <c r="A17" s="21" t="s">
        <v>10</v>
      </c>
      <c r="B17" s="14">
        <f>B19+B18</f>
        <v>0</v>
      </c>
      <c r="C17" s="4">
        <f>IF(B$3=0,0,B17/B$3)</f>
        <v>0</v>
      </c>
      <c r="E17" s="63" t="s">
        <v>80</v>
      </c>
      <c r="F17" s="28" t="s">
        <v>35</v>
      </c>
      <c r="G17" s="15">
        <v>0</v>
      </c>
      <c r="H17" s="135">
        <f t="shared" si="1"/>
        <v>0</v>
      </c>
      <c r="I17" s="96"/>
    </row>
    <row r="18" spans="1:9" x14ac:dyDescent="0.4">
      <c r="A18" s="22" t="s">
        <v>12</v>
      </c>
      <c r="B18" s="15">
        <v>0</v>
      </c>
      <c r="C18" s="6">
        <f>IF(B$17=0,0,B18/B$17)</f>
        <v>0</v>
      </c>
      <c r="E18" s="63" t="s">
        <v>81</v>
      </c>
      <c r="F18" s="28" t="s">
        <v>36</v>
      </c>
      <c r="G18" s="15">
        <v>0</v>
      </c>
      <c r="H18" s="135">
        <f t="shared" si="1"/>
        <v>0</v>
      </c>
      <c r="I18" s="96"/>
    </row>
    <row r="19" spans="1:9" x14ac:dyDescent="0.4">
      <c r="A19" s="22" t="s">
        <v>11</v>
      </c>
      <c r="B19" s="15">
        <v>0</v>
      </c>
      <c r="C19" s="6">
        <f>IF(B$17=0,0,B19/B$17)</f>
        <v>0</v>
      </c>
      <c r="E19" s="63" t="s">
        <v>82</v>
      </c>
      <c r="F19" s="28" t="s">
        <v>37</v>
      </c>
      <c r="G19" s="15">
        <v>0</v>
      </c>
      <c r="H19" s="135">
        <f t="shared" si="1"/>
        <v>0</v>
      </c>
      <c r="I19" s="96"/>
    </row>
    <row r="20" spans="1:9" x14ac:dyDescent="0.4">
      <c r="A20" s="55" t="s">
        <v>13</v>
      </c>
      <c r="B20" s="47">
        <v>0</v>
      </c>
      <c r="C20" s="39">
        <f>IF(B$3=0,0,B20/B$3)</f>
        <v>0</v>
      </c>
      <c r="E20" s="63" t="s">
        <v>83</v>
      </c>
      <c r="F20" s="28" t="s">
        <v>38</v>
      </c>
      <c r="G20" s="15">
        <v>0</v>
      </c>
      <c r="H20" s="135">
        <f t="shared" si="1"/>
        <v>0</v>
      </c>
      <c r="I20" s="96"/>
    </row>
    <row r="21" spans="1:9" x14ac:dyDescent="0.4">
      <c r="A21" s="55" t="s">
        <v>194</v>
      </c>
      <c r="B21" s="47">
        <v>0</v>
      </c>
      <c r="C21" s="137">
        <v>0</v>
      </c>
      <c r="E21" s="63" t="s">
        <v>84</v>
      </c>
      <c r="F21" s="28" t="s">
        <v>39</v>
      </c>
      <c r="G21" s="15">
        <v>0</v>
      </c>
      <c r="H21" s="135">
        <f t="shared" si="1"/>
        <v>0</v>
      </c>
      <c r="I21" s="96"/>
    </row>
    <row r="22" spans="1:9" x14ac:dyDescent="0.4">
      <c r="A22" s="22" t="s">
        <v>195</v>
      </c>
      <c r="B22" s="15">
        <v>0</v>
      </c>
      <c r="C22" s="137">
        <f>IF(B$3=0,0,B22/B$3)</f>
        <v>0</v>
      </c>
      <c r="E22" s="63" t="s">
        <v>85</v>
      </c>
      <c r="F22" s="28" t="s">
        <v>40</v>
      </c>
      <c r="G22" s="15">
        <v>0</v>
      </c>
      <c r="H22" s="135">
        <f t="shared" si="1"/>
        <v>0</v>
      </c>
      <c r="I22" s="96"/>
    </row>
    <row r="23" spans="1:9" x14ac:dyDescent="0.4">
      <c r="A23" s="22" t="s">
        <v>5</v>
      </c>
      <c r="B23" s="18">
        <f>IF(B$17=0,0,C23/B$17)</f>
        <v>0</v>
      </c>
      <c r="C23" s="8">
        <v>0</v>
      </c>
      <c r="E23" s="63" t="s">
        <v>86</v>
      </c>
      <c r="F23" s="28" t="s">
        <v>41</v>
      </c>
      <c r="G23" s="15">
        <v>0</v>
      </c>
      <c r="H23" s="135">
        <f t="shared" si="1"/>
        <v>0</v>
      </c>
      <c r="I23" s="96"/>
    </row>
    <row r="24" spans="1:9" x14ac:dyDescent="0.4">
      <c r="A24" s="24" t="s">
        <v>14</v>
      </c>
      <c r="B24" s="19">
        <f>IF(B$20=0,0,C24/B$20)</f>
        <v>0</v>
      </c>
      <c r="C24" s="13">
        <v>0</v>
      </c>
      <c r="E24" s="63" t="s">
        <v>87</v>
      </c>
      <c r="F24" s="28" t="s">
        <v>42</v>
      </c>
      <c r="G24" s="15">
        <v>0</v>
      </c>
      <c r="H24" s="135">
        <f t="shared" si="1"/>
        <v>0</v>
      </c>
      <c r="I24" s="96"/>
    </row>
    <row r="25" spans="1:9" x14ac:dyDescent="0.4">
      <c r="A25" s="92" t="s">
        <v>142</v>
      </c>
      <c r="B25" s="142">
        <v>0</v>
      </c>
      <c r="C25" s="143"/>
      <c r="E25" s="63" t="s">
        <v>88</v>
      </c>
      <c r="F25" s="28" t="s">
        <v>43</v>
      </c>
      <c r="G25" s="15">
        <v>0</v>
      </c>
      <c r="H25" s="135">
        <f t="shared" si="1"/>
        <v>0</v>
      </c>
      <c r="I25" s="96"/>
    </row>
    <row r="26" spans="1:9" x14ac:dyDescent="0.4">
      <c r="A26" s="58" t="s">
        <v>152</v>
      </c>
      <c r="B26" s="140">
        <v>0</v>
      </c>
      <c r="C26" s="141"/>
      <c r="E26" s="63" t="s">
        <v>89</v>
      </c>
      <c r="F26" s="28" t="s">
        <v>44</v>
      </c>
      <c r="G26" s="15">
        <v>0</v>
      </c>
      <c r="H26" s="135">
        <f t="shared" si="1"/>
        <v>0</v>
      </c>
      <c r="I26" s="96"/>
    </row>
    <row r="27" spans="1:9" x14ac:dyDescent="0.4">
      <c r="A27" s="24" t="s">
        <v>143</v>
      </c>
      <c r="B27" s="32">
        <v>0</v>
      </c>
      <c r="C27" s="9">
        <f>IF(B$3=0,0,B27/B$3)</f>
        <v>0</v>
      </c>
      <c r="E27" s="63" t="s">
        <v>90</v>
      </c>
      <c r="F27" s="28" t="s">
        <v>45</v>
      </c>
      <c r="G27" s="15">
        <v>0</v>
      </c>
      <c r="H27" s="135">
        <f t="shared" si="1"/>
        <v>0</v>
      </c>
      <c r="I27" s="96"/>
    </row>
    <row r="28" spans="1:9" x14ac:dyDescent="0.4">
      <c r="E28" s="63" t="s">
        <v>91</v>
      </c>
      <c r="F28" s="28" t="s">
        <v>46</v>
      </c>
      <c r="G28" s="15">
        <v>0</v>
      </c>
      <c r="H28" s="135">
        <f t="shared" si="1"/>
        <v>0</v>
      </c>
      <c r="I28" s="96"/>
    </row>
    <row r="29" spans="1:9" x14ac:dyDescent="0.4">
      <c r="E29" s="63" t="s">
        <v>92</v>
      </c>
      <c r="F29" s="28" t="s">
        <v>47</v>
      </c>
      <c r="G29" s="15">
        <v>0</v>
      </c>
      <c r="H29" s="135">
        <f t="shared" si="1"/>
        <v>0</v>
      </c>
      <c r="I29" s="96"/>
    </row>
    <row r="30" spans="1:9" x14ac:dyDescent="0.4">
      <c r="E30" s="63" t="s">
        <v>93</v>
      </c>
      <c r="F30" s="28" t="s">
        <v>48</v>
      </c>
      <c r="G30" s="15">
        <v>0</v>
      </c>
      <c r="H30" s="135">
        <f t="shared" si="1"/>
        <v>0</v>
      </c>
      <c r="I30" s="96"/>
    </row>
    <row r="31" spans="1:9" x14ac:dyDescent="0.4">
      <c r="E31" s="63" t="s">
        <v>94</v>
      </c>
      <c r="F31" s="28" t="s">
        <v>49</v>
      </c>
      <c r="G31" s="15">
        <v>0</v>
      </c>
      <c r="H31" s="135">
        <f t="shared" si="1"/>
        <v>0</v>
      </c>
      <c r="I31" s="96"/>
    </row>
    <row r="32" spans="1:9" x14ac:dyDescent="0.4">
      <c r="E32" s="63" t="s">
        <v>95</v>
      </c>
      <c r="F32" s="28" t="s">
        <v>50</v>
      </c>
      <c r="G32" s="15">
        <v>0</v>
      </c>
      <c r="H32" s="135">
        <f t="shared" si="1"/>
        <v>0</v>
      </c>
      <c r="I32" s="96"/>
    </row>
    <row r="33" spans="5:9" x14ac:dyDescent="0.4">
      <c r="E33" s="63" t="s">
        <v>96</v>
      </c>
      <c r="F33" s="28" t="s">
        <v>51</v>
      </c>
      <c r="G33" s="15">
        <v>0</v>
      </c>
      <c r="H33" s="135">
        <f t="shared" si="1"/>
        <v>0</v>
      </c>
      <c r="I33" s="96"/>
    </row>
    <row r="34" spans="5:9" x14ac:dyDescent="0.4">
      <c r="E34" s="63" t="s">
        <v>97</v>
      </c>
      <c r="F34" s="28" t="s">
        <v>52</v>
      </c>
      <c r="G34" s="15">
        <v>0</v>
      </c>
      <c r="H34" s="135">
        <f t="shared" si="1"/>
        <v>0</v>
      </c>
      <c r="I34" s="96"/>
    </row>
    <row r="35" spans="5:9" x14ac:dyDescent="0.4">
      <c r="E35" s="63" t="s">
        <v>98</v>
      </c>
      <c r="F35" s="28" t="s">
        <v>53</v>
      </c>
      <c r="G35" s="15">
        <v>0</v>
      </c>
      <c r="H35" s="135">
        <f t="shared" si="1"/>
        <v>0</v>
      </c>
      <c r="I35" s="96"/>
    </row>
    <row r="36" spans="5:9" x14ac:dyDescent="0.4">
      <c r="E36" s="63" t="s">
        <v>99</v>
      </c>
      <c r="F36" s="28" t="s">
        <v>54</v>
      </c>
      <c r="G36" s="15">
        <v>0</v>
      </c>
      <c r="H36" s="135">
        <f t="shared" si="1"/>
        <v>0</v>
      </c>
      <c r="I36" s="96"/>
    </row>
    <row r="37" spans="5:9" x14ac:dyDescent="0.4">
      <c r="E37" s="63" t="s">
        <v>100</v>
      </c>
      <c r="F37" s="28" t="s">
        <v>55</v>
      </c>
      <c r="G37" s="15">
        <v>0</v>
      </c>
      <c r="H37" s="135">
        <f t="shared" si="1"/>
        <v>0</v>
      </c>
      <c r="I37" s="96"/>
    </row>
    <row r="38" spans="5:9" x14ac:dyDescent="0.4">
      <c r="E38" s="63" t="s">
        <v>101</v>
      </c>
      <c r="F38" s="28" t="s">
        <v>56</v>
      </c>
      <c r="G38" s="15">
        <v>0</v>
      </c>
      <c r="H38" s="135">
        <f t="shared" si="1"/>
        <v>0</v>
      </c>
      <c r="I38" s="96"/>
    </row>
    <row r="39" spans="5:9" x14ac:dyDescent="0.4">
      <c r="E39" s="63" t="s">
        <v>102</v>
      </c>
      <c r="F39" s="28" t="s">
        <v>57</v>
      </c>
      <c r="G39" s="15">
        <v>0</v>
      </c>
      <c r="H39" s="135">
        <f t="shared" si="1"/>
        <v>0</v>
      </c>
      <c r="I39" s="96"/>
    </row>
    <row r="40" spans="5:9" x14ac:dyDescent="0.4">
      <c r="E40" s="63" t="s">
        <v>103</v>
      </c>
      <c r="F40" s="28" t="s">
        <v>58</v>
      </c>
      <c r="G40" s="15">
        <v>0</v>
      </c>
      <c r="H40" s="135">
        <f t="shared" si="1"/>
        <v>0</v>
      </c>
      <c r="I40" s="96"/>
    </row>
    <row r="41" spans="5:9" x14ac:dyDescent="0.4">
      <c r="E41" s="63" t="s">
        <v>104</v>
      </c>
      <c r="F41" s="28" t="s">
        <v>59</v>
      </c>
      <c r="G41" s="15">
        <v>0</v>
      </c>
      <c r="H41" s="135">
        <f t="shared" si="1"/>
        <v>0</v>
      </c>
      <c r="I41" s="96"/>
    </row>
    <row r="42" spans="5:9" x14ac:dyDescent="0.4">
      <c r="E42" s="63" t="s">
        <v>105</v>
      </c>
      <c r="F42" s="28" t="s">
        <v>60</v>
      </c>
      <c r="G42" s="15">
        <v>0</v>
      </c>
      <c r="H42" s="135">
        <f t="shared" si="1"/>
        <v>0</v>
      </c>
      <c r="I42" s="96"/>
    </row>
    <row r="43" spans="5:9" x14ac:dyDescent="0.4">
      <c r="E43" s="63" t="s">
        <v>106</v>
      </c>
      <c r="F43" s="28" t="s">
        <v>113</v>
      </c>
      <c r="G43" s="15">
        <v>0</v>
      </c>
      <c r="H43" s="135">
        <f t="shared" si="1"/>
        <v>0</v>
      </c>
      <c r="I43" s="96"/>
    </row>
    <row r="44" spans="5:9" x14ac:dyDescent="0.4">
      <c r="E44" s="63" t="s">
        <v>107</v>
      </c>
      <c r="F44" s="28" t="s">
        <v>114</v>
      </c>
      <c r="G44" s="15">
        <v>0</v>
      </c>
      <c r="H44" s="135">
        <f t="shared" si="1"/>
        <v>0</v>
      </c>
      <c r="I44" s="96"/>
    </row>
    <row r="45" spans="5:9" x14ac:dyDescent="0.4">
      <c r="E45" s="63" t="s">
        <v>108</v>
      </c>
      <c r="F45" s="28" t="s">
        <v>115</v>
      </c>
      <c r="G45" s="15">
        <v>0</v>
      </c>
      <c r="H45" s="135">
        <f t="shared" si="1"/>
        <v>0</v>
      </c>
      <c r="I45" s="96"/>
    </row>
    <row r="46" spans="5:9" x14ac:dyDescent="0.4">
      <c r="E46" s="63" t="s">
        <v>109</v>
      </c>
      <c r="F46" s="28" t="s">
        <v>61</v>
      </c>
      <c r="G46" s="15">
        <v>0</v>
      </c>
      <c r="H46" s="135">
        <f t="shared" si="1"/>
        <v>0</v>
      </c>
      <c r="I46" s="96"/>
    </row>
    <row r="47" spans="5:9" x14ac:dyDescent="0.4">
      <c r="E47" s="63" t="s">
        <v>110</v>
      </c>
      <c r="F47" s="28" t="s">
        <v>62</v>
      </c>
      <c r="G47" s="15">
        <v>0</v>
      </c>
      <c r="H47" s="135">
        <f t="shared" si="1"/>
        <v>0</v>
      </c>
      <c r="I47" s="96"/>
    </row>
    <row r="48" spans="5:9" x14ac:dyDescent="0.4">
      <c r="E48" s="63" t="s">
        <v>111</v>
      </c>
      <c r="F48" s="28" t="s">
        <v>63</v>
      </c>
      <c r="G48" s="15">
        <v>0</v>
      </c>
      <c r="H48" s="135">
        <f t="shared" si="1"/>
        <v>0</v>
      </c>
      <c r="I48" s="96"/>
    </row>
    <row r="49" spans="5:9" x14ac:dyDescent="0.4">
      <c r="E49" s="63" t="s">
        <v>112</v>
      </c>
      <c r="F49" s="60" t="s">
        <v>64</v>
      </c>
      <c r="G49" s="47">
        <v>0</v>
      </c>
      <c r="H49" s="135">
        <f t="shared" si="1"/>
        <v>0</v>
      </c>
      <c r="I49" s="96"/>
    </row>
    <row r="50" spans="5:9" x14ac:dyDescent="0.4">
      <c r="E50" s="63" t="s">
        <v>181</v>
      </c>
      <c r="F50" s="60" t="s">
        <v>184</v>
      </c>
      <c r="G50" s="47">
        <v>0</v>
      </c>
      <c r="H50" s="135">
        <f t="shared" si="1"/>
        <v>0</v>
      </c>
      <c r="I50" s="96"/>
    </row>
    <row r="51" spans="5:9" x14ac:dyDescent="0.4">
      <c r="E51" s="64" t="s">
        <v>182</v>
      </c>
      <c r="F51" s="61" t="s">
        <v>183</v>
      </c>
      <c r="G51" s="49">
        <v>0</v>
      </c>
      <c r="H51" s="136">
        <f t="shared" si="1"/>
        <v>0</v>
      </c>
      <c r="I51" s="97"/>
    </row>
  </sheetData>
  <mergeCells count="8">
    <mergeCell ref="B26:C26"/>
    <mergeCell ref="B25:C25"/>
    <mergeCell ref="B6:C6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J18"/>
  <sheetViews>
    <sheetView workbookViewId="0"/>
  </sheetViews>
  <sheetFormatPr defaultColWidth="9" defaultRowHeight="18.75" x14ac:dyDescent="0.4"/>
  <cols>
    <col min="1" max="1" width="16.375" style="30" bestFit="1" customWidth="1"/>
    <col min="2" max="2" width="16.875" style="31" bestFit="1" customWidth="1"/>
    <col min="3" max="16384" width="9" style="30"/>
  </cols>
  <sheetData>
    <row r="1" spans="1:10" x14ac:dyDescent="0.4">
      <c r="A1" s="29">
        <v>32874</v>
      </c>
      <c r="B1" s="29">
        <v>2958465</v>
      </c>
    </row>
    <row r="2" spans="1:10" x14ac:dyDescent="0.4">
      <c r="A2" s="30" t="s">
        <v>169</v>
      </c>
      <c r="B2" s="31">
        <v>43555.865243055552</v>
      </c>
      <c r="C2" s="30" t="s">
        <v>130</v>
      </c>
      <c r="D2" s="30" t="s">
        <v>131</v>
      </c>
      <c r="E2" s="30" t="s">
        <v>170</v>
      </c>
    </row>
    <row r="3" spans="1:10" x14ac:dyDescent="0.4">
      <c r="A3" s="30" t="s">
        <v>171</v>
      </c>
      <c r="B3" s="31">
        <v>43557.861886574072</v>
      </c>
      <c r="C3" s="30" t="s">
        <v>130</v>
      </c>
      <c r="D3" s="30" t="s">
        <v>131</v>
      </c>
      <c r="E3" s="30" t="s">
        <v>170</v>
      </c>
      <c r="F3" s="30" t="s">
        <v>175</v>
      </c>
      <c r="G3" s="30" t="s">
        <v>176</v>
      </c>
    </row>
    <row r="4" spans="1:10" x14ac:dyDescent="0.4">
      <c r="A4" s="30" t="s">
        <v>177</v>
      </c>
      <c r="B4" s="31">
        <v>43559.023634259262</v>
      </c>
      <c r="C4" s="30" t="s">
        <v>130</v>
      </c>
      <c r="D4" s="30" t="s">
        <v>131</v>
      </c>
      <c r="E4" s="30" t="s">
        <v>170</v>
      </c>
    </row>
    <row r="5" spans="1:10" x14ac:dyDescent="0.4">
      <c r="A5" s="30" t="s">
        <v>179</v>
      </c>
      <c r="B5" s="31">
        <v>43560.077002314814</v>
      </c>
      <c r="C5" s="30" t="s">
        <v>130</v>
      </c>
      <c r="D5" s="30" t="s">
        <v>131</v>
      </c>
      <c r="E5" s="30" t="s">
        <v>170</v>
      </c>
      <c r="F5" s="30" t="s">
        <v>175</v>
      </c>
    </row>
    <row r="6" spans="1:10" x14ac:dyDescent="0.4">
      <c r="A6" s="30" t="s">
        <v>180</v>
      </c>
      <c r="B6" s="31">
        <v>43561.108229166668</v>
      </c>
      <c r="C6" s="30" t="s">
        <v>130</v>
      </c>
      <c r="D6" s="30" t="s">
        <v>131</v>
      </c>
      <c r="E6" s="30" t="s">
        <v>170</v>
      </c>
      <c r="F6" s="30" t="s">
        <v>175</v>
      </c>
      <c r="G6" s="30" t="s">
        <v>176</v>
      </c>
    </row>
    <row r="7" spans="1:10" x14ac:dyDescent="0.4">
      <c r="A7" s="30" t="s">
        <v>185</v>
      </c>
      <c r="B7" s="31">
        <v>43562.38486111111</v>
      </c>
      <c r="C7" s="30" t="s">
        <v>130</v>
      </c>
      <c r="D7" s="30" t="s">
        <v>131</v>
      </c>
      <c r="E7" s="30" t="s">
        <v>170</v>
      </c>
      <c r="F7" s="30" t="s">
        <v>175</v>
      </c>
      <c r="G7" s="30" t="s">
        <v>176</v>
      </c>
      <c r="H7" s="30" t="s">
        <v>188</v>
      </c>
      <c r="I7" s="30" t="s">
        <v>189</v>
      </c>
      <c r="J7" s="30" t="s">
        <v>190</v>
      </c>
    </row>
    <row r="8" spans="1:10" x14ac:dyDescent="0.4">
      <c r="A8" s="30" t="s">
        <v>191</v>
      </c>
      <c r="B8" s="31">
        <v>43566.4999537037</v>
      </c>
      <c r="C8" s="30" t="s">
        <v>130</v>
      </c>
      <c r="D8" s="30" t="s">
        <v>131</v>
      </c>
      <c r="E8" s="30" t="s">
        <v>170</v>
      </c>
      <c r="F8" s="30" t="s">
        <v>175</v>
      </c>
      <c r="G8" s="30" t="s">
        <v>176</v>
      </c>
      <c r="H8" s="30" t="s">
        <v>188</v>
      </c>
      <c r="I8" s="30" t="s">
        <v>189</v>
      </c>
    </row>
    <row r="9" spans="1:10" x14ac:dyDescent="0.4">
      <c r="A9" s="30" t="s">
        <v>192</v>
      </c>
      <c r="B9" s="31">
        <v>43564.018368055556</v>
      </c>
      <c r="C9" s="30" t="s">
        <v>130</v>
      </c>
      <c r="D9" s="30" t="s">
        <v>131</v>
      </c>
    </row>
    <row r="10" spans="1:10" x14ac:dyDescent="0.4">
      <c r="A10" s="30" t="s">
        <v>193</v>
      </c>
      <c r="B10" s="31">
        <v>43565.03292824074</v>
      </c>
      <c r="C10" s="30" t="s">
        <v>130</v>
      </c>
      <c r="D10" s="30" t="s">
        <v>131</v>
      </c>
      <c r="E10" s="30" t="s">
        <v>170</v>
      </c>
      <c r="F10" s="30" t="s">
        <v>175</v>
      </c>
    </row>
    <row r="11" spans="1:10" x14ac:dyDescent="0.4">
      <c r="A11" s="30" t="s">
        <v>196</v>
      </c>
      <c r="B11" s="31">
        <v>43566.030462962961</v>
      </c>
      <c r="C11" s="30" t="s">
        <v>130</v>
      </c>
      <c r="D11" s="30" t="s">
        <v>131</v>
      </c>
      <c r="E11" s="30" t="s">
        <v>170</v>
      </c>
    </row>
    <row r="12" spans="1:10" x14ac:dyDescent="0.4">
      <c r="A12" s="30" t="s">
        <v>197</v>
      </c>
      <c r="B12" s="31">
        <v>43567.091620370367</v>
      </c>
      <c r="C12" s="30" t="s">
        <v>130</v>
      </c>
      <c r="D12" s="30" t="s">
        <v>131</v>
      </c>
      <c r="E12" s="30" t="s">
        <v>170</v>
      </c>
      <c r="F12" s="30" t="s">
        <v>175</v>
      </c>
      <c r="G12" s="30" t="s">
        <v>176</v>
      </c>
    </row>
    <row r="13" spans="1:10" x14ac:dyDescent="0.4">
      <c r="A13" s="30" t="s">
        <v>198</v>
      </c>
      <c r="B13" s="31">
        <v>43568.067812499998</v>
      </c>
      <c r="C13" s="30" t="s">
        <v>130</v>
      </c>
      <c r="D13" s="30" t="s">
        <v>131</v>
      </c>
      <c r="E13" s="30" t="s">
        <v>170</v>
      </c>
    </row>
    <row r="14" spans="1:10" x14ac:dyDescent="0.4">
      <c r="A14" s="30" t="s">
        <v>199</v>
      </c>
      <c r="B14" s="31">
        <v>43569.100613425922</v>
      </c>
      <c r="C14" s="30" t="s">
        <v>130</v>
      </c>
      <c r="D14" s="30" t="s">
        <v>131</v>
      </c>
      <c r="E14" s="30" t="s">
        <v>170</v>
      </c>
      <c r="F14" s="30" t="s">
        <v>175</v>
      </c>
      <c r="G14" s="30" t="s">
        <v>176</v>
      </c>
    </row>
    <row r="15" spans="1:10" x14ac:dyDescent="0.4">
      <c r="A15" s="30" t="s">
        <v>200</v>
      </c>
      <c r="B15" s="31">
        <v>43570.006145833337</v>
      </c>
      <c r="C15" s="30" t="s">
        <v>130</v>
      </c>
      <c r="D15" s="30" t="s">
        <v>131</v>
      </c>
      <c r="E15" s="30" t="s">
        <v>170</v>
      </c>
      <c r="F15" s="30" t="s">
        <v>175</v>
      </c>
      <c r="G15" s="30" t="s">
        <v>176</v>
      </c>
      <c r="H15" s="30" t="s">
        <v>188</v>
      </c>
    </row>
    <row r="16" spans="1:10" x14ac:dyDescent="0.4">
      <c r="A16" s="30" t="s">
        <v>201</v>
      </c>
      <c r="B16" s="31">
        <v>43571.043113425927</v>
      </c>
      <c r="C16" s="30" t="s">
        <v>130</v>
      </c>
      <c r="D16" s="30" t="s">
        <v>131</v>
      </c>
    </row>
    <row r="17" spans="1:7" x14ac:dyDescent="0.4">
      <c r="A17" s="30" t="s">
        <v>202</v>
      </c>
      <c r="B17" s="31">
        <v>43573.057604166665</v>
      </c>
      <c r="C17" s="30" t="s">
        <v>130</v>
      </c>
      <c r="D17" s="30" t="s">
        <v>131</v>
      </c>
      <c r="E17" s="30" t="s">
        <v>170</v>
      </c>
    </row>
    <row r="18" spans="1:7" x14ac:dyDescent="0.4">
      <c r="A18" s="30" t="s">
        <v>204</v>
      </c>
      <c r="B18" s="31">
        <v>43574.063946759263</v>
      </c>
      <c r="C18" s="30" t="s">
        <v>130</v>
      </c>
      <c r="D18" s="30" t="s">
        <v>131</v>
      </c>
      <c r="E18" s="30" t="s">
        <v>170</v>
      </c>
      <c r="F18" s="30" t="s">
        <v>175</v>
      </c>
      <c r="G18" s="30" t="s">
        <v>176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Q3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/>
      <c r="B1" s="70"/>
      <c r="C1" s="70"/>
      <c r="E1" s="70"/>
      <c r="F1" s="70"/>
      <c r="G1" s="70"/>
      <c r="H1" s="70"/>
      <c r="I1" s="70"/>
      <c r="J1" s="70"/>
      <c r="K1" s="70"/>
      <c r="L1" s="70"/>
      <c r="M1" s="70"/>
      <c r="N1" s="70"/>
      <c r="O1" s="70"/>
      <c r="P1" s="70"/>
      <c r="Q1" s="70"/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205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A11"/>
  <sheetViews>
    <sheetView workbookViewId="0"/>
  </sheetViews>
  <sheetFormatPr defaultRowHeight="18.75" x14ac:dyDescent="0.4"/>
  <sheetData>
    <row r="1" spans="1:1" x14ac:dyDescent="0.4">
      <c r="A1" t="s">
        <v>145</v>
      </c>
    </row>
    <row r="2" spans="1:1" x14ac:dyDescent="0.4">
      <c r="A2" t="s">
        <v>127</v>
      </c>
    </row>
    <row r="3" spans="1:1" x14ac:dyDescent="0.4">
      <c r="A3" t="s">
        <v>128</v>
      </c>
    </row>
    <row r="4" spans="1:1" x14ac:dyDescent="0.4">
      <c r="A4" t="s">
        <v>129</v>
      </c>
    </row>
    <row r="5" spans="1:1" x14ac:dyDescent="0.4">
      <c r="A5" t="s">
        <v>172</v>
      </c>
    </row>
    <row r="6" spans="1:1" x14ac:dyDescent="0.4">
      <c r="A6" t="s">
        <v>173</v>
      </c>
    </row>
    <row r="7" spans="1:1" x14ac:dyDescent="0.4">
      <c r="A7" t="s">
        <v>174</v>
      </c>
    </row>
    <row r="8" spans="1:1" x14ac:dyDescent="0.4">
      <c r="A8" t="s">
        <v>178</v>
      </c>
    </row>
    <row r="9" spans="1:1" x14ac:dyDescent="0.4">
      <c r="A9" t="s">
        <v>186</v>
      </c>
    </row>
    <row r="10" spans="1:1" x14ac:dyDescent="0.4">
      <c r="A10" t="s">
        <v>187</v>
      </c>
    </row>
    <row r="11" spans="1:1" x14ac:dyDescent="0.4">
      <c r="A11" t="s">
        <v>203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K13"/>
  <sheetViews>
    <sheetView showGridLines="0" tabSelected="1" zoomScale="150" zoomScaleNormal="150" workbookViewId="0"/>
  </sheetViews>
  <sheetFormatPr defaultColWidth="9" defaultRowHeight="18.75" x14ac:dyDescent="0.4"/>
  <cols>
    <col min="1" max="1" width="6" style="83" customWidth="1"/>
    <col min="2" max="2" width="10.75" style="84" customWidth="1"/>
    <col min="3" max="3" width="10.75" style="85" customWidth="1"/>
    <col min="4" max="4" width="10.75" style="86" customWidth="1"/>
    <col min="5" max="5" width="10.75" style="99" customWidth="1"/>
    <col min="6" max="6" width="10.75" style="86" customWidth="1"/>
    <col min="7" max="7" width="10.75" style="87" customWidth="1"/>
    <col min="8" max="8" width="10.75" style="86" customWidth="1"/>
    <col min="9" max="9" width="10.75" style="88" customWidth="1"/>
    <col min="10" max="10" width="10.75" style="86" customWidth="1"/>
    <col min="11" max="11" width="10.75" style="88" customWidth="1"/>
    <col min="12" max="12" width="10.75" style="86" customWidth="1"/>
    <col min="13" max="13" width="10.75" style="89" customWidth="1"/>
    <col min="14" max="14" width="10.75" style="86" customWidth="1"/>
    <col min="15" max="15" width="10.75" style="89" customWidth="1"/>
    <col min="16" max="16" width="10.75" style="86" customWidth="1"/>
    <col min="17" max="17" width="10.75" style="90" customWidth="1"/>
    <col min="18" max="18" width="10.75" style="86" customWidth="1"/>
    <col min="19" max="19" width="10.75" style="90" customWidth="1"/>
    <col min="20" max="20" width="10.75" style="86" customWidth="1"/>
    <col min="21" max="21" width="10.75" style="88" customWidth="1"/>
    <col min="22" max="22" width="10.75" style="86" customWidth="1"/>
    <col min="23" max="23" width="10.75" style="88" customWidth="1"/>
    <col min="24" max="24" width="10.75" style="86" customWidth="1"/>
    <col min="25" max="25" width="10.75" style="89" customWidth="1"/>
    <col min="26" max="26" width="10.75" style="86" customWidth="1"/>
    <col min="27" max="27" width="10.75" style="89" customWidth="1"/>
    <col min="28" max="28" width="10.75" style="86" customWidth="1"/>
    <col min="29" max="29" width="10.75" style="89" customWidth="1"/>
    <col min="30" max="30" width="10.75" style="86" customWidth="1"/>
    <col min="31" max="31" width="10.75" style="89" customWidth="1"/>
    <col min="32" max="32" width="10.75" style="86" customWidth="1"/>
    <col min="33" max="33" width="10.75" style="89" customWidth="1"/>
    <col min="34" max="34" width="10.75" style="86" customWidth="1"/>
    <col min="35" max="35" width="10.75" style="94" customWidth="1"/>
    <col min="36" max="36" width="10.75" style="86" customWidth="1"/>
    <col min="37" max="37" width="10.75" style="91" customWidth="1"/>
    <col min="38" max="16384" width="9" style="73"/>
  </cols>
  <sheetData>
    <row r="1" spans="1:37" x14ac:dyDescent="0.4">
      <c r="A1" s="72"/>
      <c r="B1" s="160" t="s">
        <v>6</v>
      </c>
      <c r="C1" s="161"/>
      <c r="D1" s="160" t="s">
        <v>7</v>
      </c>
      <c r="E1" s="161"/>
      <c r="F1" s="160" t="s">
        <v>16</v>
      </c>
      <c r="G1" s="161"/>
      <c r="H1" s="160" t="s">
        <v>15</v>
      </c>
      <c r="I1" s="161"/>
      <c r="J1" s="160" t="s">
        <v>162</v>
      </c>
      <c r="K1" s="161"/>
      <c r="L1" s="160" t="s">
        <v>149</v>
      </c>
      <c r="M1" s="161"/>
      <c r="N1" s="160" t="s">
        <v>150</v>
      </c>
      <c r="O1" s="161"/>
      <c r="P1" s="160" t="s">
        <v>5</v>
      </c>
      <c r="Q1" s="161"/>
      <c r="R1" s="160" t="s">
        <v>17</v>
      </c>
      <c r="S1" s="161"/>
      <c r="T1" s="160" t="s">
        <v>18</v>
      </c>
      <c r="U1" s="161"/>
      <c r="V1" s="160" t="s">
        <v>141</v>
      </c>
      <c r="W1" s="161"/>
      <c r="X1" s="160" t="s">
        <v>123</v>
      </c>
      <c r="Y1" s="161"/>
      <c r="Z1" s="160" t="s">
        <v>120</v>
      </c>
      <c r="AA1" s="161"/>
      <c r="AB1" s="160" t="s">
        <v>126</v>
      </c>
      <c r="AC1" s="161"/>
      <c r="AD1" s="160" t="s">
        <v>151</v>
      </c>
      <c r="AE1" s="161"/>
      <c r="AF1" s="160" t="s">
        <v>144</v>
      </c>
      <c r="AG1" s="161"/>
      <c r="AH1" s="160" t="s">
        <v>153</v>
      </c>
      <c r="AI1" s="161"/>
      <c r="AJ1" s="160" t="s">
        <v>163</v>
      </c>
      <c r="AK1" s="161"/>
    </row>
    <row r="2" spans="1:37" x14ac:dyDescent="0.4">
      <c r="A2" s="72" t="s">
        <v>161</v>
      </c>
      <c r="B2" s="158"/>
      <c r="C2" s="159"/>
      <c r="D2" s="158"/>
      <c r="E2" s="159"/>
      <c r="F2" s="156">
        <v>0.99162119714100916</v>
      </c>
      <c r="G2" s="157"/>
      <c r="H2" s="156">
        <v>0.93750370383133685</v>
      </c>
      <c r="I2" s="157"/>
      <c r="J2" s="156">
        <v>0.97479240125082489</v>
      </c>
      <c r="K2" s="157"/>
      <c r="L2" s="156">
        <v>0.91969322540860265</v>
      </c>
      <c r="M2" s="157"/>
      <c r="N2" s="156">
        <v>0.78905088407489643</v>
      </c>
      <c r="O2" s="157"/>
      <c r="P2" s="156">
        <v>0.59972949531905373</v>
      </c>
      <c r="Q2" s="157"/>
      <c r="R2" s="156">
        <v>0.43487553185866906</v>
      </c>
      <c r="S2" s="157"/>
      <c r="T2" s="156">
        <v>0.77976026943926202</v>
      </c>
      <c r="U2" s="157"/>
      <c r="V2" s="156">
        <v>0.91725129480009904</v>
      </c>
      <c r="W2" s="157"/>
      <c r="X2" s="156">
        <v>0.65884637503665522</v>
      </c>
      <c r="Y2" s="157"/>
      <c r="Z2" s="156">
        <v>0.47471260050641351</v>
      </c>
      <c r="AA2" s="157"/>
      <c r="AB2" s="156">
        <v>0.90803206417217541</v>
      </c>
      <c r="AC2" s="157"/>
      <c r="AD2" s="156">
        <v>0.82077018333825003</v>
      </c>
      <c r="AE2" s="157"/>
      <c r="AF2" s="156">
        <v>-0.5834548137437312</v>
      </c>
      <c r="AG2" s="157"/>
      <c r="AH2" s="156">
        <v>0.91233977742670203</v>
      </c>
      <c r="AI2" s="157"/>
      <c r="AJ2" s="156">
        <v>1.0886611647287135E-2</v>
      </c>
      <c r="AK2" s="157"/>
    </row>
    <row r="3" spans="1:37" x14ac:dyDescent="0.4">
      <c r="A3" s="74">
        <v>1</v>
      </c>
      <c r="B3" s="75" t="s">
        <v>127</v>
      </c>
      <c r="C3" s="76">
        <v>1289.8999999999999</v>
      </c>
      <c r="D3" s="77" t="s">
        <v>127</v>
      </c>
      <c r="E3" s="98">
        <v>26.324489795918364</v>
      </c>
      <c r="F3" s="77" t="s">
        <v>186</v>
      </c>
      <c r="G3" s="78">
        <v>1.3333333333333333</v>
      </c>
      <c r="H3" s="77" t="s">
        <v>186</v>
      </c>
      <c r="I3" s="79">
        <v>0.66666666666666663</v>
      </c>
      <c r="J3" s="77" t="s">
        <v>186</v>
      </c>
      <c r="K3" s="79">
        <v>0</v>
      </c>
      <c r="L3" s="77" t="s">
        <v>127</v>
      </c>
      <c r="M3" s="80">
        <v>0.42297650130548303</v>
      </c>
      <c r="N3" s="77" t="s">
        <v>186</v>
      </c>
      <c r="O3" s="80">
        <v>0.10526315789473684</v>
      </c>
      <c r="P3" s="77" t="s">
        <v>203</v>
      </c>
      <c r="Q3" s="81">
        <v>12000</v>
      </c>
      <c r="R3" s="77" t="s">
        <v>203</v>
      </c>
      <c r="S3" s="81">
        <v>-3250</v>
      </c>
      <c r="T3" s="77" t="s">
        <v>186</v>
      </c>
      <c r="U3" s="79">
        <v>0</v>
      </c>
      <c r="V3" s="77" t="s">
        <v>127</v>
      </c>
      <c r="W3" s="79">
        <v>0.22448979591836735</v>
      </c>
      <c r="X3" s="77" t="s">
        <v>127</v>
      </c>
      <c r="Y3" s="80">
        <v>0.33420365535248042</v>
      </c>
      <c r="Z3" s="77" t="s">
        <v>173</v>
      </c>
      <c r="AA3" s="80">
        <v>0.35164835164835168</v>
      </c>
      <c r="AB3" s="77" t="s">
        <v>187</v>
      </c>
      <c r="AC3" s="80">
        <v>0.7142857142857143</v>
      </c>
      <c r="AD3" s="77" t="s">
        <v>127</v>
      </c>
      <c r="AE3" s="80">
        <v>0.54081632653061229</v>
      </c>
      <c r="AF3" s="77" t="s">
        <v>174</v>
      </c>
      <c r="AG3" s="80">
        <v>0.5</v>
      </c>
      <c r="AH3" s="77" t="s">
        <v>127</v>
      </c>
      <c r="AI3" s="93">
        <v>105900</v>
      </c>
      <c r="AJ3" s="77" t="s">
        <v>145</v>
      </c>
      <c r="AK3" s="82">
        <v>7</v>
      </c>
    </row>
    <row r="4" spans="1:37" x14ac:dyDescent="0.4">
      <c r="A4" s="83">
        <v>2</v>
      </c>
      <c r="B4" s="84" t="s">
        <v>186</v>
      </c>
      <c r="C4" s="85">
        <v>61</v>
      </c>
      <c r="D4" s="86" t="s">
        <v>186</v>
      </c>
      <c r="E4" s="99">
        <v>20.333333333333332</v>
      </c>
      <c r="F4" s="86" t="s">
        <v>127</v>
      </c>
      <c r="G4" s="87">
        <v>1.489795918367347</v>
      </c>
      <c r="H4" s="86" t="s">
        <v>127</v>
      </c>
      <c r="I4" s="88">
        <v>0.63265306122448983</v>
      </c>
      <c r="J4" s="86" t="s">
        <v>203</v>
      </c>
      <c r="K4" s="88">
        <v>0</v>
      </c>
      <c r="L4" s="86" t="s">
        <v>173</v>
      </c>
      <c r="M4" s="89">
        <v>0.34615384615384615</v>
      </c>
      <c r="N4" s="86" t="s">
        <v>173</v>
      </c>
      <c r="O4" s="89">
        <v>0.13736263736263737</v>
      </c>
      <c r="P4" s="86" t="s">
        <v>127</v>
      </c>
      <c r="Q4" s="90">
        <v>9259.2592592592591</v>
      </c>
      <c r="R4" s="86" t="s">
        <v>186</v>
      </c>
      <c r="S4" s="90">
        <v>-5150</v>
      </c>
      <c r="T4" s="86" t="s">
        <v>203</v>
      </c>
      <c r="U4" s="88">
        <v>0</v>
      </c>
      <c r="V4" s="86" t="s">
        <v>145</v>
      </c>
      <c r="W4" s="88">
        <v>9.5890410958904104E-2</v>
      </c>
      <c r="X4" s="86" t="s">
        <v>128</v>
      </c>
      <c r="Y4" s="89">
        <v>0.28468899521531099</v>
      </c>
      <c r="Z4" s="86" t="s">
        <v>178</v>
      </c>
      <c r="AA4" s="89">
        <v>0.29203539823008851</v>
      </c>
      <c r="AB4" s="86" t="s">
        <v>127</v>
      </c>
      <c r="AC4" s="89">
        <v>0.65625</v>
      </c>
      <c r="AD4" s="86" t="s">
        <v>186</v>
      </c>
      <c r="AE4" s="89">
        <v>0.5</v>
      </c>
      <c r="AF4" s="86" t="s">
        <v>187</v>
      </c>
      <c r="AG4" s="89">
        <v>0.5</v>
      </c>
      <c r="AH4" s="86" t="s">
        <v>145</v>
      </c>
      <c r="AI4" s="94">
        <v>105900</v>
      </c>
      <c r="AJ4" s="86" t="s">
        <v>128</v>
      </c>
      <c r="AK4" s="91">
        <v>4</v>
      </c>
    </row>
    <row r="5" spans="1:37" x14ac:dyDescent="0.4">
      <c r="A5" s="83">
        <v>3</v>
      </c>
      <c r="B5" s="84" t="s">
        <v>173</v>
      </c>
      <c r="C5" s="85">
        <v>54.7</v>
      </c>
      <c r="D5" s="86" t="s">
        <v>173</v>
      </c>
      <c r="E5" s="99">
        <v>2.4863636363636363</v>
      </c>
      <c r="F5" s="86" t="s">
        <v>173</v>
      </c>
      <c r="G5" s="87">
        <v>2</v>
      </c>
      <c r="H5" s="86" t="s">
        <v>178</v>
      </c>
      <c r="I5" s="88">
        <v>0.33333333333333331</v>
      </c>
      <c r="J5" s="86" t="s">
        <v>127</v>
      </c>
      <c r="K5" s="88">
        <v>0.12244897959183673</v>
      </c>
      <c r="L5" s="86" t="s">
        <v>145</v>
      </c>
      <c r="M5" s="89">
        <v>0.29911699779249445</v>
      </c>
      <c r="N5" s="86" t="s">
        <v>127</v>
      </c>
      <c r="O5" s="89">
        <v>0.14360313315926893</v>
      </c>
      <c r="P5" s="86" t="s">
        <v>128</v>
      </c>
      <c r="Q5" s="90">
        <v>9155</v>
      </c>
      <c r="R5" s="86" t="s">
        <v>172</v>
      </c>
      <c r="S5" s="90">
        <v>-7206.25</v>
      </c>
      <c r="T5" s="86" t="s">
        <v>127</v>
      </c>
      <c r="U5" s="88">
        <v>2.0408163265306121E-2</v>
      </c>
      <c r="V5" s="86" t="s">
        <v>172</v>
      </c>
      <c r="W5" s="88">
        <v>9.0909090909090912E-2</v>
      </c>
      <c r="X5" s="86" t="s">
        <v>186</v>
      </c>
      <c r="Y5" s="89">
        <v>0.26315789473684209</v>
      </c>
      <c r="Z5" s="86" t="s">
        <v>127</v>
      </c>
      <c r="AA5" s="89">
        <v>0.25587467362924282</v>
      </c>
      <c r="AB5" s="86" t="s">
        <v>128</v>
      </c>
      <c r="AC5" s="89">
        <v>0.6386554621848739</v>
      </c>
      <c r="AD5" s="86" t="s">
        <v>203</v>
      </c>
      <c r="AE5" s="89">
        <v>0.5</v>
      </c>
      <c r="AF5" s="86" t="s">
        <v>203</v>
      </c>
      <c r="AG5" s="89">
        <v>0.5</v>
      </c>
      <c r="AH5" s="86" t="s">
        <v>173</v>
      </c>
      <c r="AI5" s="94">
        <v>95700</v>
      </c>
      <c r="AJ5" s="86" t="s">
        <v>172</v>
      </c>
      <c r="AK5" s="91">
        <v>1</v>
      </c>
    </row>
    <row r="6" spans="1:37" x14ac:dyDescent="0.4">
      <c r="A6" s="83">
        <v>4</v>
      </c>
      <c r="B6" s="84" t="s">
        <v>145</v>
      </c>
      <c r="C6" s="85">
        <v>5.3290705182007514E-15</v>
      </c>
      <c r="D6" s="86" t="s">
        <v>145</v>
      </c>
      <c r="E6" s="99">
        <v>2.4333655334250005E-17</v>
      </c>
      <c r="F6" s="86" t="s">
        <v>145</v>
      </c>
      <c r="G6" s="87">
        <v>2</v>
      </c>
      <c r="H6" s="86" t="s">
        <v>145</v>
      </c>
      <c r="I6" s="88">
        <v>0.33333333333333331</v>
      </c>
      <c r="J6" s="86" t="s">
        <v>128</v>
      </c>
      <c r="K6" s="88">
        <v>0.3</v>
      </c>
      <c r="L6" s="86" t="s">
        <v>128</v>
      </c>
      <c r="M6" s="89">
        <v>0.28708133971291866</v>
      </c>
      <c r="N6" s="86" t="s">
        <v>172</v>
      </c>
      <c r="O6" s="89">
        <v>0.16666666666666666</v>
      </c>
      <c r="P6" s="86" t="s">
        <v>172</v>
      </c>
      <c r="Q6" s="90">
        <v>8422.8571428571431</v>
      </c>
      <c r="R6" s="86" t="s">
        <v>178</v>
      </c>
      <c r="S6" s="90">
        <v>-7250</v>
      </c>
      <c r="T6" s="86" t="s">
        <v>172</v>
      </c>
      <c r="U6" s="88">
        <v>3.0303030303030304E-2</v>
      </c>
      <c r="V6" s="86" t="s">
        <v>173</v>
      </c>
      <c r="W6" s="88">
        <v>9.0909090909090912E-2</v>
      </c>
      <c r="X6" s="86" t="s">
        <v>145</v>
      </c>
      <c r="Y6" s="89">
        <v>0.25662251655629137</v>
      </c>
      <c r="Z6" s="86" t="s">
        <v>187</v>
      </c>
      <c r="AA6" s="89">
        <v>0.22807017543859648</v>
      </c>
      <c r="AB6" s="86" t="s">
        <v>173</v>
      </c>
      <c r="AC6" s="89">
        <v>0.625</v>
      </c>
      <c r="AD6" s="86" t="s">
        <v>173</v>
      </c>
      <c r="AE6" s="89">
        <v>0.421875</v>
      </c>
      <c r="AF6" s="86" t="s">
        <v>129</v>
      </c>
      <c r="AG6" s="89">
        <v>0.48571428571428571</v>
      </c>
      <c r="AH6" s="86" t="s">
        <v>172</v>
      </c>
      <c r="AI6" s="94">
        <v>91700</v>
      </c>
      <c r="AJ6" s="86" t="s">
        <v>174</v>
      </c>
      <c r="AK6" s="91">
        <v>1</v>
      </c>
    </row>
    <row r="7" spans="1:37" x14ac:dyDescent="0.4">
      <c r="A7" s="83">
        <v>5</v>
      </c>
      <c r="B7" s="84" t="s">
        <v>128</v>
      </c>
      <c r="C7" s="85">
        <v>-0.70000000000004015</v>
      </c>
      <c r="D7" s="86" t="s">
        <v>128</v>
      </c>
      <c r="E7" s="99">
        <v>-1.4000000000000803E-2</v>
      </c>
      <c r="F7" s="86" t="s">
        <v>203</v>
      </c>
      <c r="G7" s="87">
        <v>2</v>
      </c>
      <c r="H7" s="86" t="s">
        <v>173</v>
      </c>
      <c r="I7" s="88">
        <v>0.31818181818181818</v>
      </c>
      <c r="J7" s="86" t="s">
        <v>173</v>
      </c>
      <c r="K7" s="88">
        <v>0.31818181818181818</v>
      </c>
      <c r="L7" s="86" t="s">
        <v>174</v>
      </c>
      <c r="M7" s="89">
        <v>0.28387096774193549</v>
      </c>
      <c r="N7" s="86" t="s">
        <v>128</v>
      </c>
      <c r="O7" s="89">
        <v>0.16985645933014354</v>
      </c>
      <c r="P7" s="86" t="s">
        <v>145</v>
      </c>
      <c r="Q7" s="90">
        <v>8251.8450184501853</v>
      </c>
      <c r="R7" s="86" t="s">
        <v>128</v>
      </c>
      <c r="S7" s="90">
        <v>-7530.9859154929582</v>
      </c>
      <c r="T7" s="86" t="s">
        <v>173</v>
      </c>
      <c r="U7" s="88">
        <v>4.5454545454545456E-2</v>
      </c>
      <c r="V7" s="86" t="s">
        <v>128</v>
      </c>
      <c r="W7" s="88">
        <v>0.08</v>
      </c>
      <c r="X7" s="86" t="s">
        <v>172</v>
      </c>
      <c r="Y7" s="89">
        <v>0.24305555555555555</v>
      </c>
      <c r="Z7" s="86" t="s">
        <v>174</v>
      </c>
      <c r="AA7" s="89">
        <v>0.22580645161290322</v>
      </c>
      <c r="AB7" s="86" t="s">
        <v>145</v>
      </c>
      <c r="AC7" s="89">
        <v>0.60430107526881716</v>
      </c>
      <c r="AD7" s="86" t="s">
        <v>178</v>
      </c>
      <c r="AE7" s="89">
        <v>0.39393939393939392</v>
      </c>
      <c r="AF7" s="86" t="s">
        <v>173</v>
      </c>
      <c r="AG7" s="89">
        <v>0.41269841269841268</v>
      </c>
      <c r="AH7" s="86" t="s">
        <v>128</v>
      </c>
      <c r="AI7" s="94">
        <v>88600</v>
      </c>
      <c r="AJ7" s="86" t="s">
        <v>178</v>
      </c>
      <c r="AK7" s="91">
        <v>1</v>
      </c>
    </row>
    <row r="8" spans="1:37" x14ac:dyDescent="0.4">
      <c r="A8" s="83">
        <v>6</v>
      </c>
      <c r="B8" s="84" t="s">
        <v>203</v>
      </c>
      <c r="C8" s="85">
        <v>-12.5</v>
      </c>
      <c r="D8" s="86" t="s">
        <v>172</v>
      </c>
      <c r="E8" s="99">
        <v>-3.3000000000000003</v>
      </c>
      <c r="F8" s="86" t="s">
        <v>128</v>
      </c>
      <c r="G8" s="87">
        <v>2.02</v>
      </c>
      <c r="H8" s="86" t="s">
        <v>128</v>
      </c>
      <c r="I8" s="88">
        <v>0.28000000000000003</v>
      </c>
      <c r="J8" s="86" t="s">
        <v>145</v>
      </c>
      <c r="K8" s="88">
        <v>0.33333333333333331</v>
      </c>
      <c r="L8" s="86" t="s">
        <v>186</v>
      </c>
      <c r="M8" s="89">
        <v>0.26315789473684209</v>
      </c>
      <c r="N8" s="86" t="s">
        <v>145</v>
      </c>
      <c r="O8" s="89">
        <v>0.17494481236203091</v>
      </c>
      <c r="P8" s="86" t="s">
        <v>186</v>
      </c>
      <c r="Q8" s="90">
        <v>7860</v>
      </c>
      <c r="R8" s="86" t="s">
        <v>145</v>
      </c>
      <c r="S8" s="90">
        <v>-7997.4763406940065</v>
      </c>
      <c r="T8" s="86" t="s">
        <v>145</v>
      </c>
      <c r="U8" s="88">
        <v>9.5890410958904104E-2</v>
      </c>
      <c r="V8" s="86" t="s">
        <v>174</v>
      </c>
      <c r="W8" s="88">
        <v>5.8823529411764705E-2</v>
      </c>
      <c r="X8" s="86" t="s">
        <v>129</v>
      </c>
      <c r="Y8" s="89">
        <v>0.24193548387096775</v>
      </c>
      <c r="Z8" s="86" t="s">
        <v>145</v>
      </c>
      <c r="AA8" s="89">
        <v>0.217439293598234</v>
      </c>
      <c r="AB8" s="86" t="s">
        <v>186</v>
      </c>
      <c r="AC8" s="89">
        <v>0.6</v>
      </c>
      <c r="AD8" s="86" t="s">
        <v>187</v>
      </c>
      <c r="AE8" s="89">
        <v>0.38461538461538464</v>
      </c>
      <c r="AF8" s="86" t="s">
        <v>145</v>
      </c>
      <c r="AG8" s="89">
        <v>0.4059040590405904</v>
      </c>
      <c r="AH8" s="86" t="s">
        <v>178</v>
      </c>
      <c r="AI8" s="94">
        <v>65000</v>
      </c>
      <c r="AJ8" s="86" t="s">
        <v>127</v>
      </c>
      <c r="AK8" s="91">
        <v>0</v>
      </c>
    </row>
    <row r="9" spans="1:37" x14ac:dyDescent="0.4">
      <c r="A9" s="83">
        <v>7</v>
      </c>
      <c r="B9" s="84" t="s">
        <v>172</v>
      </c>
      <c r="C9" s="85">
        <v>-108.9</v>
      </c>
      <c r="D9" s="86" t="s">
        <v>178</v>
      </c>
      <c r="E9" s="99">
        <v>-9.7466666666666661</v>
      </c>
      <c r="F9" s="86" t="s">
        <v>172</v>
      </c>
      <c r="G9" s="87">
        <v>2.1212121212121211</v>
      </c>
      <c r="H9" s="86" t="s">
        <v>172</v>
      </c>
      <c r="I9" s="88">
        <v>0.24242424242424243</v>
      </c>
      <c r="J9" s="86" t="s">
        <v>172</v>
      </c>
      <c r="K9" s="88">
        <v>0.36363636363636365</v>
      </c>
      <c r="L9" s="86" t="s">
        <v>178</v>
      </c>
      <c r="M9" s="89">
        <v>0.25663716814159293</v>
      </c>
      <c r="N9" s="86" t="s">
        <v>178</v>
      </c>
      <c r="O9" s="89">
        <v>0.17699115044247787</v>
      </c>
      <c r="P9" s="86" t="s">
        <v>129</v>
      </c>
      <c r="Q9" s="90">
        <v>7302.8571428571431</v>
      </c>
      <c r="R9" s="86" t="s">
        <v>174</v>
      </c>
      <c r="S9" s="90">
        <v>-8067.5675675675675</v>
      </c>
      <c r="T9" s="86" t="s">
        <v>174</v>
      </c>
      <c r="U9" s="88">
        <v>0.11764705882352941</v>
      </c>
      <c r="V9" s="86" t="s">
        <v>129</v>
      </c>
      <c r="W9" s="88">
        <v>0</v>
      </c>
      <c r="X9" s="86" t="s">
        <v>173</v>
      </c>
      <c r="Y9" s="89">
        <v>0.21978021978021978</v>
      </c>
      <c r="Z9" s="86" t="s">
        <v>186</v>
      </c>
      <c r="AA9" s="89">
        <v>0.21052631578947367</v>
      </c>
      <c r="AB9" s="86" t="s">
        <v>172</v>
      </c>
      <c r="AC9" s="89">
        <v>0.55714285714285716</v>
      </c>
      <c r="AD9" s="86" t="s">
        <v>145</v>
      </c>
      <c r="AE9" s="89">
        <v>0.37817258883248733</v>
      </c>
      <c r="AF9" s="86" t="s">
        <v>127</v>
      </c>
      <c r="AG9" s="89">
        <v>0.39506172839506171</v>
      </c>
      <c r="AH9" s="86" t="s">
        <v>174</v>
      </c>
      <c r="AI9" s="94">
        <v>58900</v>
      </c>
      <c r="AJ9" s="86" t="s">
        <v>129</v>
      </c>
      <c r="AK9" s="91">
        <v>0</v>
      </c>
    </row>
    <row r="10" spans="1:37" x14ac:dyDescent="0.4">
      <c r="A10" s="83">
        <v>8</v>
      </c>
      <c r="B10" s="84" t="s">
        <v>178</v>
      </c>
      <c r="C10" s="85">
        <v>-146.19999999999999</v>
      </c>
      <c r="D10" s="86" t="s">
        <v>203</v>
      </c>
      <c r="E10" s="99">
        <v>-12.5</v>
      </c>
      <c r="F10" s="86" t="s">
        <v>178</v>
      </c>
      <c r="G10" s="87">
        <v>2.1333333333333333</v>
      </c>
      <c r="H10" s="86" t="s">
        <v>174</v>
      </c>
      <c r="I10" s="88">
        <v>0.17647058823529413</v>
      </c>
      <c r="J10" s="86" t="s">
        <v>174</v>
      </c>
      <c r="K10" s="88">
        <v>0.41176470588235292</v>
      </c>
      <c r="L10" s="86" t="s">
        <v>172</v>
      </c>
      <c r="M10" s="89">
        <v>0.24305555555555555</v>
      </c>
      <c r="N10" s="86" t="s">
        <v>203</v>
      </c>
      <c r="O10" s="89">
        <v>0.18181818181818182</v>
      </c>
      <c r="P10" s="86" t="s">
        <v>173</v>
      </c>
      <c r="Q10" s="90">
        <v>6749.2063492063489</v>
      </c>
      <c r="R10" s="86" t="s">
        <v>127</v>
      </c>
      <c r="S10" s="90">
        <v>-8087.272727272727</v>
      </c>
      <c r="T10" s="86" t="s">
        <v>128</v>
      </c>
      <c r="U10" s="88">
        <v>0.14000000000000001</v>
      </c>
      <c r="V10" s="86" t="s">
        <v>178</v>
      </c>
      <c r="W10" s="88">
        <v>0</v>
      </c>
      <c r="X10" s="86" t="s">
        <v>174</v>
      </c>
      <c r="Y10" s="89">
        <v>0.18709677419354839</v>
      </c>
      <c r="Z10" s="86" t="s">
        <v>203</v>
      </c>
      <c r="AA10" s="89">
        <v>0.18181818181818182</v>
      </c>
      <c r="AB10" s="86" t="s">
        <v>174</v>
      </c>
      <c r="AC10" s="89">
        <v>0.55172413793103448</v>
      </c>
      <c r="AD10" s="86" t="s">
        <v>174</v>
      </c>
      <c r="AE10" s="89">
        <v>0.31428571428571428</v>
      </c>
      <c r="AF10" s="86" t="s">
        <v>128</v>
      </c>
      <c r="AG10" s="89">
        <v>0.39166666666666666</v>
      </c>
      <c r="AH10" s="86" t="s">
        <v>186</v>
      </c>
      <c r="AI10" s="94">
        <v>53500</v>
      </c>
      <c r="AJ10" s="86" t="s">
        <v>173</v>
      </c>
      <c r="AK10" s="91">
        <v>0</v>
      </c>
    </row>
    <row r="11" spans="1:37" x14ac:dyDescent="0.4">
      <c r="A11" s="83">
        <v>9</v>
      </c>
      <c r="B11" s="84" t="s">
        <v>187</v>
      </c>
      <c r="C11" s="85">
        <v>-218.2</v>
      </c>
      <c r="D11" s="86" t="s">
        <v>174</v>
      </c>
      <c r="E11" s="99">
        <v>-14.641176470588233</v>
      </c>
      <c r="F11" s="86" t="s">
        <v>174</v>
      </c>
      <c r="G11" s="87">
        <v>2.2352941176470589</v>
      </c>
      <c r="H11" s="86" t="s">
        <v>187</v>
      </c>
      <c r="I11" s="88">
        <v>0.14285714285714285</v>
      </c>
      <c r="J11" s="86" t="s">
        <v>178</v>
      </c>
      <c r="K11" s="88">
        <v>0.46666666666666667</v>
      </c>
      <c r="L11" s="86" t="s">
        <v>187</v>
      </c>
      <c r="M11" s="89">
        <v>0.21052631578947367</v>
      </c>
      <c r="N11" s="86" t="s">
        <v>129</v>
      </c>
      <c r="O11" s="89">
        <v>0.22043010752688172</v>
      </c>
      <c r="P11" s="86" t="s">
        <v>187</v>
      </c>
      <c r="Q11" s="90">
        <v>6500</v>
      </c>
      <c r="R11" s="86" t="s">
        <v>173</v>
      </c>
      <c r="S11" s="90">
        <v>-8384</v>
      </c>
      <c r="T11" s="86" t="s">
        <v>187</v>
      </c>
      <c r="U11" s="88">
        <v>0.14285714285714285</v>
      </c>
      <c r="V11" s="86" t="s">
        <v>186</v>
      </c>
      <c r="W11" s="88">
        <v>0</v>
      </c>
      <c r="X11" s="86" t="s">
        <v>203</v>
      </c>
      <c r="Y11" s="89">
        <v>0.18181818181818182</v>
      </c>
      <c r="Z11" s="86" t="s">
        <v>172</v>
      </c>
      <c r="AA11" s="89">
        <v>0.17708333333333334</v>
      </c>
      <c r="AB11" s="86" t="s">
        <v>178</v>
      </c>
      <c r="AC11" s="89">
        <v>0.55000000000000004</v>
      </c>
      <c r="AD11" s="86" t="s">
        <v>172</v>
      </c>
      <c r="AE11" s="89">
        <v>0.31372549019607843</v>
      </c>
      <c r="AF11" s="86" t="s">
        <v>178</v>
      </c>
      <c r="AG11" s="89">
        <v>0.37931034482758619</v>
      </c>
      <c r="AH11" s="86" t="s">
        <v>129</v>
      </c>
      <c r="AI11" s="94">
        <v>52200</v>
      </c>
      <c r="AJ11" s="86" t="s">
        <v>186</v>
      </c>
      <c r="AK11" s="91">
        <v>0</v>
      </c>
    </row>
    <row r="12" spans="1:37" x14ac:dyDescent="0.4">
      <c r="A12" s="83">
        <v>10</v>
      </c>
      <c r="B12" s="84" t="s">
        <v>174</v>
      </c>
      <c r="C12" s="85">
        <v>-248.89999999999995</v>
      </c>
      <c r="D12" s="86" t="s">
        <v>129</v>
      </c>
      <c r="E12" s="99">
        <v>-30.463636363636361</v>
      </c>
      <c r="F12" s="86" t="s">
        <v>129</v>
      </c>
      <c r="G12" s="87">
        <v>2.5454545454545454</v>
      </c>
      <c r="H12" s="86" t="s">
        <v>129</v>
      </c>
      <c r="I12" s="88">
        <v>9.0909090909090912E-2</v>
      </c>
      <c r="J12" s="86" t="s">
        <v>129</v>
      </c>
      <c r="K12" s="88">
        <v>0.63636363636363635</v>
      </c>
      <c r="L12" s="86" t="s">
        <v>129</v>
      </c>
      <c r="M12" s="89">
        <v>0.18817204301075269</v>
      </c>
      <c r="N12" s="86" t="s">
        <v>174</v>
      </c>
      <c r="O12" s="89">
        <v>0.23870967741935484</v>
      </c>
      <c r="P12" s="86" t="s">
        <v>178</v>
      </c>
      <c r="Q12" s="90">
        <v>6362.0689655172409</v>
      </c>
      <c r="R12" s="86" t="s">
        <v>187</v>
      </c>
      <c r="S12" s="90">
        <v>-8762.5</v>
      </c>
      <c r="T12" s="86" t="s">
        <v>178</v>
      </c>
      <c r="U12" s="88">
        <v>0.2</v>
      </c>
      <c r="V12" s="86" t="s">
        <v>187</v>
      </c>
      <c r="W12" s="88">
        <v>0</v>
      </c>
      <c r="X12" s="86" t="s">
        <v>178</v>
      </c>
      <c r="Y12" s="89">
        <v>0.17699115044247787</v>
      </c>
      <c r="Z12" s="86" t="s">
        <v>128</v>
      </c>
      <c r="AA12" s="89">
        <v>0.17224880382775121</v>
      </c>
      <c r="AB12" s="86" t="s">
        <v>203</v>
      </c>
      <c r="AC12" s="89">
        <v>0.5</v>
      </c>
      <c r="AD12" s="86" t="s">
        <v>128</v>
      </c>
      <c r="AE12" s="89">
        <v>0.2361111111111111</v>
      </c>
      <c r="AF12" s="86" t="s">
        <v>172</v>
      </c>
      <c r="AG12" s="89">
        <v>0.35714285714285715</v>
      </c>
      <c r="AH12" s="86" t="s">
        <v>187</v>
      </c>
      <c r="AI12" s="94">
        <v>43600</v>
      </c>
      <c r="AJ12" s="86" t="s">
        <v>187</v>
      </c>
      <c r="AK12" s="91">
        <v>0</v>
      </c>
    </row>
    <row r="13" spans="1:37" x14ac:dyDescent="0.4">
      <c r="A13" s="83">
        <v>11</v>
      </c>
      <c r="B13" s="84" t="s">
        <v>129</v>
      </c>
      <c r="C13" s="85">
        <v>-670.19999999999993</v>
      </c>
      <c r="D13" s="86" t="s">
        <v>187</v>
      </c>
      <c r="E13" s="99">
        <v>-31.171428571428571</v>
      </c>
      <c r="F13" s="86" t="s">
        <v>187</v>
      </c>
      <c r="G13" s="87">
        <v>2.5714285714285716</v>
      </c>
      <c r="H13" s="86" t="s">
        <v>203</v>
      </c>
      <c r="I13" s="88">
        <v>0</v>
      </c>
      <c r="J13" s="86" t="s">
        <v>187</v>
      </c>
      <c r="K13" s="88">
        <v>0.7142857142857143</v>
      </c>
      <c r="L13" s="86" t="s">
        <v>203</v>
      </c>
      <c r="M13" s="89">
        <v>0.18181818181818182</v>
      </c>
      <c r="N13" s="86" t="s">
        <v>187</v>
      </c>
      <c r="O13" s="89">
        <v>0.2807017543859649</v>
      </c>
      <c r="P13" s="86" t="s">
        <v>174</v>
      </c>
      <c r="Q13" s="90">
        <v>6311.363636363636</v>
      </c>
      <c r="R13" s="86" t="s">
        <v>129</v>
      </c>
      <c r="S13" s="90">
        <v>-9748.7804878048773</v>
      </c>
      <c r="T13" s="86" t="s">
        <v>129</v>
      </c>
      <c r="U13" s="88">
        <v>0.22727272727272727</v>
      </c>
      <c r="V13" s="86" t="s">
        <v>203</v>
      </c>
      <c r="W13" s="88">
        <v>0</v>
      </c>
      <c r="X13" s="86" t="s">
        <v>187</v>
      </c>
      <c r="Y13" s="89">
        <v>0.12280701754385964</v>
      </c>
      <c r="Z13" s="86" t="s">
        <v>129</v>
      </c>
      <c r="AA13" s="89">
        <v>0.11827956989247312</v>
      </c>
      <c r="AB13" s="86" t="s">
        <v>129</v>
      </c>
      <c r="AC13" s="89">
        <v>0.46666666666666667</v>
      </c>
      <c r="AD13" s="86" t="s">
        <v>129</v>
      </c>
      <c r="AE13" s="89">
        <v>0.18181818181818182</v>
      </c>
      <c r="AF13" s="86" t="s">
        <v>186</v>
      </c>
      <c r="AG13" s="89">
        <v>0.2</v>
      </c>
      <c r="AH13" s="86" t="s">
        <v>203</v>
      </c>
      <c r="AI13" s="94">
        <v>22500</v>
      </c>
      <c r="AJ13" s="86" t="s">
        <v>203</v>
      </c>
      <c r="AK13" s="91">
        <v>0</v>
      </c>
    </row>
  </sheetData>
  <sortState ref="AJ3:AK42">
    <sortCondition descending="1" ref="AK1"/>
  </sortState>
  <mergeCells count="36">
    <mergeCell ref="N1:O1"/>
    <mergeCell ref="AH1:AI1"/>
    <mergeCell ref="B1:C1"/>
    <mergeCell ref="D1:E1"/>
    <mergeCell ref="F1:G1"/>
    <mergeCell ref="H1:I1"/>
    <mergeCell ref="L1:M1"/>
    <mergeCell ref="J1:K1"/>
    <mergeCell ref="AJ1:AK1"/>
    <mergeCell ref="P1:Q1"/>
    <mergeCell ref="R1:S1"/>
    <mergeCell ref="T1:U1"/>
    <mergeCell ref="V1:W1"/>
    <mergeCell ref="X1:Y1"/>
    <mergeCell ref="Z1:AA1"/>
    <mergeCell ref="AB1:AC1"/>
    <mergeCell ref="AD1:AE1"/>
    <mergeCell ref="AF1:AG1"/>
    <mergeCell ref="B2:C2"/>
    <mergeCell ref="D2:E2"/>
    <mergeCell ref="F2:G2"/>
    <mergeCell ref="H2:I2"/>
    <mergeCell ref="L2:M2"/>
    <mergeCell ref="J2:K2"/>
    <mergeCell ref="N2:O2"/>
    <mergeCell ref="P2:Q2"/>
    <mergeCell ref="R2:S2"/>
    <mergeCell ref="T2:U2"/>
    <mergeCell ref="V2:W2"/>
    <mergeCell ref="AF2:AG2"/>
    <mergeCell ref="AH2:AI2"/>
    <mergeCell ref="AJ2:AK2"/>
    <mergeCell ref="X2:Y2"/>
    <mergeCell ref="Z2:AA2"/>
    <mergeCell ref="AB2:AC2"/>
    <mergeCell ref="AD2:AE2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E8514C-C69D-4105-AFFA-2AC76E9ED67D}">
  <sheetPr codeName="Sheet4"/>
  <dimension ref="A1:Q22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0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1" customWidth="1"/>
    <col min="13" max="13" width="3.625" style="33" customWidth="1"/>
    <col min="14" max="14" width="9" style="117" customWidth="1"/>
    <col min="15" max="15" width="9" style="127" customWidth="1"/>
    <col min="16" max="16" width="9" style="121" customWidth="1"/>
    <col min="17" max="17" width="3.625" style="109" customWidth="1"/>
    <col min="18" max="16384" width="9" style="33"/>
  </cols>
  <sheetData>
    <row r="1" spans="1:17" x14ac:dyDescent="0.4">
      <c r="A1" s="53" t="s">
        <v>0</v>
      </c>
      <c r="B1" s="146" t="s">
        <v>145</v>
      </c>
      <c r="C1" s="147"/>
      <c r="E1" s="131" t="s">
        <v>168</v>
      </c>
      <c r="F1" s="139" t="s">
        <v>116</v>
      </c>
      <c r="G1" s="138" t="s">
        <v>117</v>
      </c>
      <c r="H1" s="132" t="s">
        <v>118</v>
      </c>
      <c r="I1" s="139" t="s">
        <v>154</v>
      </c>
      <c r="K1" s="34" t="s">
        <v>20</v>
      </c>
      <c r="L1" s="35" t="s">
        <v>121</v>
      </c>
      <c r="M1" s="133"/>
      <c r="N1" s="115" t="s">
        <v>138</v>
      </c>
      <c r="O1" s="34" t="s">
        <v>139</v>
      </c>
      <c r="P1" s="119" t="s">
        <v>117</v>
      </c>
      <c r="Q1" s="103" t="s">
        <v>158</v>
      </c>
    </row>
    <row r="2" spans="1:17" x14ac:dyDescent="0.4">
      <c r="A2" s="54" t="s">
        <v>9</v>
      </c>
      <c r="B2" s="148">
        <v>219</v>
      </c>
      <c r="C2" s="149"/>
      <c r="E2" s="62" t="s">
        <v>67</v>
      </c>
      <c r="F2" s="59" t="s">
        <v>23</v>
      </c>
      <c r="G2" s="46">
        <v>394</v>
      </c>
      <c r="H2" s="134">
        <f>IF(B$17=0,0,G2/B$17)</f>
        <v>0.72693726937269376</v>
      </c>
      <c r="I2" s="95">
        <v>6</v>
      </c>
      <c r="K2" s="36">
        <v>0</v>
      </c>
      <c r="L2" s="100">
        <v>0</v>
      </c>
      <c r="N2" s="116" t="s">
        <v>132</v>
      </c>
      <c r="O2" s="123">
        <f t="shared" ref="O2:O7" si="0">IF(P2=0,0,Q2/P2)</f>
        <v>-22.831050228310502</v>
      </c>
      <c r="P2" s="120">
        <v>219</v>
      </c>
      <c r="Q2" s="104">
        <v>-5000</v>
      </c>
    </row>
    <row r="3" spans="1:17" x14ac:dyDescent="0.4">
      <c r="A3" s="55" t="s">
        <v>8</v>
      </c>
      <c r="B3" s="150">
        <v>1812</v>
      </c>
      <c r="C3" s="151"/>
      <c r="E3" s="63" t="s">
        <v>73</v>
      </c>
      <c r="F3" s="60" t="s">
        <v>28</v>
      </c>
      <c r="G3" s="47">
        <v>289</v>
      </c>
      <c r="H3" s="135">
        <f>IF(B$17=0,0,G3/B$17)</f>
        <v>0.53321033210332103</v>
      </c>
      <c r="I3" s="96">
        <v>6</v>
      </c>
      <c r="K3" s="38">
        <v>1</v>
      </c>
      <c r="L3" s="101">
        <v>-5.0999999999999996</v>
      </c>
      <c r="N3" s="117" t="s">
        <v>133</v>
      </c>
      <c r="O3" s="124">
        <f t="shared" si="0"/>
        <v>-9.2592592592592595</v>
      </c>
      <c r="P3" s="121">
        <v>216</v>
      </c>
      <c r="Q3" s="105">
        <v>-2000</v>
      </c>
    </row>
    <row r="4" spans="1:17" x14ac:dyDescent="0.4">
      <c r="A4" s="55" t="s">
        <v>6</v>
      </c>
      <c r="B4" s="152">
        <v>5.3290705182007514E-15</v>
      </c>
      <c r="C4" s="153"/>
      <c r="E4" s="63" t="s">
        <v>65</v>
      </c>
      <c r="F4" s="60" t="s">
        <v>21</v>
      </c>
      <c r="G4" s="47">
        <v>270</v>
      </c>
      <c r="H4" s="135">
        <f>IF(B$17=0,0,G4/B$17)</f>
        <v>0.49815498154981552</v>
      </c>
      <c r="I4" s="96">
        <v>7</v>
      </c>
      <c r="K4" s="38">
        <v>2</v>
      </c>
      <c r="L4" s="101">
        <v>40.4</v>
      </c>
      <c r="N4" s="117" t="s">
        <v>134</v>
      </c>
      <c r="O4" s="124">
        <f t="shared" si="0"/>
        <v>35.353535353535356</v>
      </c>
      <c r="P4" s="121">
        <v>198</v>
      </c>
      <c r="Q4" s="105">
        <v>7000</v>
      </c>
    </row>
    <row r="5" spans="1:17" x14ac:dyDescent="0.4">
      <c r="A5" s="55" t="s">
        <v>7</v>
      </c>
      <c r="B5" s="154">
        <f>IF(B$2=0,0,B$4/B$2)</f>
        <v>2.4333655334250005E-17</v>
      </c>
      <c r="C5" s="155"/>
      <c r="E5" s="63" t="s">
        <v>182</v>
      </c>
      <c r="F5" s="60" t="s">
        <v>183</v>
      </c>
      <c r="G5" s="47">
        <v>207</v>
      </c>
      <c r="H5" s="135">
        <f>IF(B$17=0,0,G5/B$17)</f>
        <v>0.38191881918819187</v>
      </c>
      <c r="I5" s="96">
        <v>6</v>
      </c>
      <c r="K5" s="38">
        <v>3</v>
      </c>
      <c r="L5" s="101">
        <v>0</v>
      </c>
      <c r="N5" s="117" t="s">
        <v>135</v>
      </c>
      <c r="O5" s="124">
        <f t="shared" si="0"/>
        <v>-5.6497175141242941</v>
      </c>
      <c r="P5" s="121">
        <v>177</v>
      </c>
      <c r="Q5" s="105">
        <v>-1000</v>
      </c>
    </row>
    <row r="6" spans="1:17" x14ac:dyDescent="0.4">
      <c r="A6" s="55" t="s">
        <v>1</v>
      </c>
      <c r="B6" s="144">
        <f>IF(B$2=0,0,(B$7*1+B$8*2+B$9*3)/B$2)</f>
        <v>2</v>
      </c>
      <c r="C6" s="145"/>
      <c r="E6" s="63" t="s">
        <v>68</v>
      </c>
      <c r="F6" s="60" t="s">
        <v>24</v>
      </c>
      <c r="G6" s="47">
        <v>151</v>
      </c>
      <c r="H6" s="135">
        <f>IF(B$17=0,0,G6/B$17)</f>
        <v>0.27859778597785978</v>
      </c>
      <c r="I6" s="96">
        <v>6</v>
      </c>
      <c r="K6" s="38">
        <v>4</v>
      </c>
      <c r="L6" s="101">
        <v>2.2000000000000002</v>
      </c>
      <c r="N6" s="117" t="s">
        <v>136</v>
      </c>
      <c r="O6" s="124">
        <f t="shared" si="0"/>
        <v>-29.761904761904763</v>
      </c>
      <c r="P6" s="121">
        <v>168</v>
      </c>
      <c r="Q6" s="105">
        <v>-5000</v>
      </c>
    </row>
    <row r="7" spans="1:17" x14ac:dyDescent="0.4">
      <c r="A7" s="55" t="s">
        <v>2</v>
      </c>
      <c r="B7" s="47">
        <v>73</v>
      </c>
      <c r="C7" s="39">
        <f>IF(B$2=0,0,B7/B$2)</f>
        <v>0.33333333333333331</v>
      </c>
      <c r="E7" s="63" t="s">
        <v>69</v>
      </c>
      <c r="F7" s="60" t="s">
        <v>12</v>
      </c>
      <c r="G7" s="47">
        <v>151</v>
      </c>
      <c r="H7" s="135">
        <f>IF(B$17=0,0,G7/B$17)</f>
        <v>0.27859778597785978</v>
      </c>
      <c r="I7" s="96">
        <v>5</v>
      </c>
      <c r="K7" s="38">
        <v>5</v>
      </c>
      <c r="L7" s="101">
        <v>-37</v>
      </c>
      <c r="N7" s="118" t="s">
        <v>137</v>
      </c>
      <c r="O7" s="125">
        <f t="shared" si="0"/>
        <v>37.735849056603776</v>
      </c>
      <c r="P7" s="122">
        <v>159</v>
      </c>
      <c r="Q7" s="106">
        <v>6000</v>
      </c>
    </row>
    <row r="8" spans="1:17" x14ac:dyDescent="0.4">
      <c r="A8" s="55" t="s">
        <v>3</v>
      </c>
      <c r="B8" s="47">
        <v>73</v>
      </c>
      <c r="C8" s="39">
        <f>IF(B$2=0,0,B8/B$2)</f>
        <v>0.33333333333333331</v>
      </c>
      <c r="E8" s="63" t="s">
        <v>70</v>
      </c>
      <c r="F8" s="60" t="s">
        <v>25</v>
      </c>
      <c r="G8" s="47">
        <v>99</v>
      </c>
      <c r="H8" s="135">
        <f>IF(B$17=0,0,G8/B$17)</f>
        <v>0.18265682656826568</v>
      </c>
      <c r="I8" s="96">
        <v>6</v>
      </c>
      <c r="K8" s="38">
        <v>6</v>
      </c>
      <c r="L8" s="101">
        <v>0</v>
      </c>
      <c r="N8" s="43"/>
      <c r="O8" s="129"/>
      <c r="P8" s="113"/>
      <c r="Q8" s="111"/>
    </row>
    <row r="9" spans="1:17" x14ac:dyDescent="0.4">
      <c r="A9" s="56" t="s">
        <v>4</v>
      </c>
      <c r="B9" s="48">
        <v>73</v>
      </c>
      <c r="C9" s="40">
        <f t="shared" ref="C9" si="1">IF(B$2=0,0,B9/B$2)</f>
        <v>0.33333333333333331</v>
      </c>
      <c r="E9" s="63" t="s">
        <v>90</v>
      </c>
      <c r="F9" s="60" t="s">
        <v>45</v>
      </c>
      <c r="G9" s="47">
        <v>77</v>
      </c>
      <c r="H9" s="135">
        <f>IF(B$17=0,0,G9/B$17)</f>
        <v>0.14206642066420663</v>
      </c>
      <c r="I9" s="96">
        <v>8</v>
      </c>
      <c r="K9" s="38">
        <v>7</v>
      </c>
      <c r="L9" s="101">
        <v>73.3</v>
      </c>
      <c r="N9" s="115" t="s">
        <v>164</v>
      </c>
      <c r="O9" s="34" t="s">
        <v>121</v>
      </c>
      <c r="P9" s="119" t="s">
        <v>117</v>
      </c>
      <c r="Q9" s="107" t="s">
        <v>158</v>
      </c>
    </row>
    <row r="10" spans="1:17" x14ac:dyDescent="0.4">
      <c r="A10" s="56" t="s">
        <v>19</v>
      </c>
      <c r="B10" s="48">
        <v>21</v>
      </c>
      <c r="C10" s="40">
        <f>IF(B$2=0,0,B10/B$2)</f>
        <v>9.5890410958904104E-2</v>
      </c>
      <c r="E10" s="63" t="s">
        <v>66</v>
      </c>
      <c r="F10" s="60" t="s">
        <v>22</v>
      </c>
      <c r="G10" s="47">
        <v>65</v>
      </c>
      <c r="H10" s="135">
        <f>IF(B$17=0,0,G10/B$17)</f>
        <v>0.11992619926199262</v>
      </c>
      <c r="I10" s="96">
        <v>6</v>
      </c>
      <c r="K10" s="38">
        <v>8</v>
      </c>
      <c r="L10" s="101">
        <v>19.699999999999996</v>
      </c>
      <c r="N10" s="116" t="s">
        <v>165</v>
      </c>
      <c r="O10" s="126">
        <f>IF(P10=0,0,Q10/P10)</f>
        <v>-3.8863013698630127</v>
      </c>
      <c r="P10" s="120">
        <v>73</v>
      </c>
      <c r="Q10" s="108">
        <v>-283.69999999999993</v>
      </c>
    </row>
    <row r="11" spans="1:17" x14ac:dyDescent="0.4">
      <c r="A11" s="56" t="s">
        <v>140</v>
      </c>
      <c r="B11" s="48">
        <v>21</v>
      </c>
      <c r="C11" s="40">
        <f>IF(B$2=0,0,B11/B$2)</f>
        <v>9.5890410958904104E-2</v>
      </c>
      <c r="E11" s="63" t="s">
        <v>71</v>
      </c>
      <c r="F11" s="60" t="s">
        <v>26</v>
      </c>
      <c r="G11" s="47">
        <v>60</v>
      </c>
      <c r="H11" s="135">
        <f>IF(B$17=0,0,G11/B$17)</f>
        <v>0.11070110701107011</v>
      </c>
      <c r="I11" s="96">
        <v>5</v>
      </c>
      <c r="K11" s="38">
        <v>9</v>
      </c>
      <c r="L11" s="101">
        <v>-3.5527136788005009E-15</v>
      </c>
      <c r="N11" s="117" t="s">
        <v>166</v>
      </c>
      <c r="O11" s="127">
        <f>IF(P11=0,0,Q11/P11)</f>
        <v>-6.5616438356164384</v>
      </c>
      <c r="P11" s="121">
        <v>73</v>
      </c>
      <c r="Q11" s="109">
        <v>-479</v>
      </c>
    </row>
    <row r="12" spans="1:17" x14ac:dyDescent="0.4">
      <c r="A12" s="57" t="s">
        <v>160</v>
      </c>
      <c r="B12" s="49">
        <v>22</v>
      </c>
      <c r="C12" s="42">
        <f>IF(B$2=0,0,B12/B$2)</f>
        <v>0.1004566210045662</v>
      </c>
      <c r="E12" s="63" t="s">
        <v>87</v>
      </c>
      <c r="F12" s="60" t="s">
        <v>42</v>
      </c>
      <c r="G12" s="47">
        <v>36</v>
      </c>
      <c r="H12" s="135">
        <f>IF(B$17=0,0,G12/B$17)</f>
        <v>6.6420664206642069E-2</v>
      </c>
      <c r="I12" s="96">
        <v>5</v>
      </c>
      <c r="K12" s="38">
        <v>10</v>
      </c>
      <c r="L12" s="101">
        <v>40.099999999999994</v>
      </c>
      <c r="N12" s="118" t="s">
        <v>167</v>
      </c>
      <c r="O12" s="128">
        <f>IF(P12=0,0,Q12/P12)</f>
        <v>10.447945205479453</v>
      </c>
      <c r="P12" s="122">
        <v>73</v>
      </c>
      <c r="Q12" s="110">
        <v>762.7</v>
      </c>
    </row>
    <row r="13" spans="1:17" x14ac:dyDescent="0.4">
      <c r="A13" s="58" t="s">
        <v>122</v>
      </c>
      <c r="B13" s="50">
        <v>465</v>
      </c>
      <c r="C13" s="44">
        <f>IF(B$3=0,0,B13/B$3)</f>
        <v>0.25662251655629137</v>
      </c>
      <c r="E13" s="63" t="s">
        <v>72</v>
      </c>
      <c r="F13" s="60" t="s">
        <v>27</v>
      </c>
      <c r="G13" s="47">
        <v>32</v>
      </c>
      <c r="H13" s="135">
        <f>IF(B$17=0,0,G13/B$17)</f>
        <v>5.9040590405904057E-2</v>
      </c>
      <c r="I13" s="96">
        <v>6</v>
      </c>
      <c r="K13" s="38">
        <v>11</v>
      </c>
      <c r="L13" s="101">
        <v>-11.100000000000009</v>
      </c>
      <c r="N13" s="33"/>
      <c r="O13" s="112"/>
      <c r="P13" s="114"/>
      <c r="Q13" s="112"/>
    </row>
    <row r="14" spans="1:17" x14ac:dyDescent="0.4">
      <c r="A14" s="55" t="s">
        <v>119</v>
      </c>
      <c r="B14" s="47">
        <v>394</v>
      </c>
      <c r="C14" s="39">
        <f>IF(B$3=0,0,B14/B$3)</f>
        <v>0.217439293598234</v>
      </c>
      <c r="E14" s="63" t="s">
        <v>84</v>
      </c>
      <c r="F14" s="60" t="s">
        <v>39</v>
      </c>
      <c r="G14" s="47">
        <v>22</v>
      </c>
      <c r="H14" s="135">
        <f>IF(B$17=0,0,G14/B$17)</f>
        <v>4.0590405904059039E-2</v>
      </c>
      <c r="I14" s="96">
        <v>5</v>
      </c>
      <c r="K14" s="38">
        <v>12</v>
      </c>
      <c r="L14" s="101">
        <v>-8.8817841970012523E-15</v>
      </c>
      <c r="N14" s="115" t="s">
        <v>155</v>
      </c>
      <c r="O14" s="34" t="s">
        <v>121</v>
      </c>
      <c r="P14" s="119" t="s">
        <v>117</v>
      </c>
      <c r="Q14" s="107" t="s">
        <v>158</v>
      </c>
    </row>
    <row r="15" spans="1:17" x14ac:dyDescent="0.4">
      <c r="A15" s="54" t="s">
        <v>124</v>
      </c>
      <c r="B15" s="46">
        <v>281</v>
      </c>
      <c r="C15" s="37">
        <f>IF(B$13=0,0,B15/B$13)</f>
        <v>0.60430107526881716</v>
      </c>
      <c r="E15" s="63" t="s">
        <v>82</v>
      </c>
      <c r="F15" s="60" t="s">
        <v>37</v>
      </c>
      <c r="G15" s="47">
        <v>14</v>
      </c>
      <c r="H15" s="135">
        <f>IF(B$17=0,0,G15/B$17)</f>
        <v>2.5830258302583026E-2</v>
      </c>
      <c r="I15" s="96">
        <v>4</v>
      </c>
      <c r="K15" s="38">
        <v>13</v>
      </c>
      <c r="L15" s="101">
        <v>-42.100000000000009</v>
      </c>
      <c r="N15" s="116" t="s">
        <v>187</v>
      </c>
      <c r="O15" s="126">
        <f>IF(P15=0,0,Q15/P15)</f>
        <v>46.75714285714286</v>
      </c>
      <c r="P15" s="120">
        <v>14</v>
      </c>
      <c r="Q15" s="108">
        <v>654.6</v>
      </c>
    </row>
    <row r="16" spans="1:17" x14ac:dyDescent="0.4">
      <c r="A16" s="54" t="s">
        <v>125</v>
      </c>
      <c r="B16" s="46">
        <v>149</v>
      </c>
      <c r="C16" s="37">
        <f>IF(B$14=0,0,B16/B$14)</f>
        <v>0.37817258883248733</v>
      </c>
      <c r="E16" s="63" t="s">
        <v>79</v>
      </c>
      <c r="F16" s="60" t="s">
        <v>34</v>
      </c>
      <c r="G16" s="47">
        <v>10</v>
      </c>
      <c r="H16" s="135">
        <f>IF(B$17=0,0,G16/B$17)</f>
        <v>1.8450184501845018E-2</v>
      </c>
      <c r="I16" s="96">
        <v>5</v>
      </c>
      <c r="K16" s="38">
        <v>14</v>
      </c>
      <c r="L16" s="101">
        <v>18.79999999999999</v>
      </c>
      <c r="N16" s="117" t="s">
        <v>129</v>
      </c>
      <c r="O16" s="127">
        <f>IF(P16=0,0,Q16/P16)</f>
        <v>45.695454545454545</v>
      </c>
      <c r="P16" s="121">
        <v>44</v>
      </c>
      <c r="Q16" s="109">
        <v>2010.6000000000001</v>
      </c>
    </row>
    <row r="17" spans="1:17" x14ac:dyDescent="0.4">
      <c r="A17" s="54" t="s">
        <v>10</v>
      </c>
      <c r="B17" s="46">
        <f>B19+B18</f>
        <v>542</v>
      </c>
      <c r="C17" s="37">
        <f>IF(B$3=0,0,B17/B$3)</f>
        <v>0.29911699779249445</v>
      </c>
      <c r="E17" s="63" t="s">
        <v>92</v>
      </c>
      <c r="F17" s="60" t="s">
        <v>47</v>
      </c>
      <c r="G17" s="47">
        <v>10</v>
      </c>
      <c r="H17" s="135">
        <f>IF(B$17=0,0,G17/B$17)</f>
        <v>1.8450184501845018E-2</v>
      </c>
      <c r="I17" s="96">
        <v>3</v>
      </c>
      <c r="K17" s="38">
        <v>15</v>
      </c>
      <c r="L17" s="101">
        <v>-1.0658141036401503E-14</v>
      </c>
      <c r="N17" s="117" t="s">
        <v>174</v>
      </c>
      <c r="O17" s="127">
        <f>IF(P17=0,0,Q17/P17)</f>
        <v>21.961764705882356</v>
      </c>
      <c r="P17" s="121">
        <v>34</v>
      </c>
      <c r="Q17" s="109">
        <v>746.7</v>
      </c>
    </row>
    <row r="18" spans="1:17" x14ac:dyDescent="0.4">
      <c r="A18" s="55" t="s">
        <v>12</v>
      </c>
      <c r="B18" s="47">
        <v>220</v>
      </c>
      <c r="C18" s="39">
        <f>IF(B$17=0,0,B18/B$17)</f>
        <v>0.4059040590405904</v>
      </c>
      <c r="E18" s="63" t="s">
        <v>80</v>
      </c>
      <c r="F18" s="60" t="s">
        <v>35</v>
      </c>
      <c r="G18" s="47">
        <v>6</v>
      </c>
      <c r="H18" s="135">
        <f>IF(B$17=0,0,G18/B$17)</f>
        <v>1.107011070110701E-2</v>
      </c>
      <c r="I18" s="96">
        <v>4</v>
      </c>
      <c r="K18" s="38">
        <v>16</v>
      </c>
      <c r="L18" s="101">
        <v>90.899999999999991</v>
      </c>
      <c r="N18" s="117" t="s">
        <v>203</v>
      </c>
      <c r="O18" s="127">
        <f>IF(P18=0,0,Q18/P18)</f>
        <v>18.75</v>
      </c>
      <c r="P18" s="121">
        <v>2</v>
      </c>
      <c r="Q18" s="109">
        <v>37.5</v>
      </c>
    </row>
    <row r="19" spans="1:17" x14ac:dyDescent="0.4">
      <c r="A19" s="55" t="s">
        <v>11</v>
      </c>
      <c r="B19" s="47">
        <v>322</v>
      </c>
      <c r="C19" s="39">
        <f>IF(B$17=0,0,B19/B$17)</f>
        <v>0.59409594095940954</v>
      </c>
      <c r="E19" s="63" t="s">
        <v>76</v>
      </c>
      <c r="F19" s="60" t="s">
        <v>31</v>
      </c>
      <c r="G19" s="47">
        <v>5</v>
      </c>
      <c r="H19" s="135">
        <f>IF(B$17=0,0,G19/B$17)</f>
        <v>9.2250922509225092E-3</v>
      </c>
      <c r="I19" s="96">
        <v>3</v>
      </c>
      <c r="K19" s="38">
        <v>17</v>
      </c>
      <c r="L19" s="101">
        <v>8.2999999999999972</v>
      </c>
      <c r="N19" s="117" t="s">
        <v>178</v>
      </c>
      <c r="O19" s="127">
        <f>IF(P19=0,0,Q19/P19)</f>
        <v>14.619999999999997</v>
      </c>
      <c r="P19" s="121">
        <v>30</v>
      </c>
      <c r="Q19" s="109">
        <v>438.59999999999991</v>
      </c>
    </row>
    <row r="20" spans="1:17" x14ac:dyDescent="0.4">
      <c r="A20" s="55" t="s">
        <v>13</v>
      </c>
      <c r="B20" s="47">
        <v>317</v>
      </c>
      <c r="C20" s="39">
        <f>IF(B$3=0,0,B20/B$3)</f>
        <v>0.17494481236203091</v>
      </c>
      <c r="E20" s="63" t="s">
        <v>181</v>
      </c>
      <c r="F20" s="60" t="s">
        <v>184</v>
      </c>
      <c r="G20" s="47">
        <v>5</v>
      </c>
      <c r="H20" s="135">
        <f>IF(B$17=0,0,G20/B$17)</f>
        <v>9.2250922509225092E-3</v>
      </c>
      <c r="I20" s="96">
        <v>3</v>
      </c>
      <c r="K20" s="38">
        <v>18</v>
      </c>
      <c r="L20" s="101">
        <v>-3.5527136788005009E-15</v>
      </c>
      <c r="N20" s="117" t="s">
        <v>172</v>
      </c>
      <c r="O20" s="127">
        <f>IF(P20=0,0,Q20/P20)</f>
        <v>4.950000000000002</v>
      </c>
      <c r="P20" s="121">
        <v>66</v>
      </c>
      <c r="Q20" s="109">
        <v>326.7000000000001</v>
      </c>
    </row>
    <row r="21" spans="1:17" x14ac:dyDescent="0.4">
      <c r="A21" s="55" t="s">
        <v>194</v>
      </c>
      <c r="B21" s="47">
        <v>7</v>
      </c>
      <c r="C21" s="137">
        <v>0</v>
      </c>
      <c r="E21" s="63" t="s">
        <v>74</v>
      </c>
      <c r="F21" s="60" t="s">
        <v>29</v>
      </c>
      <c r="G21" s="47">
        <v>3</v>
      </c>
      <c r="H21" s="135">
        <f>IF(B$17=0,0,G21/B$17)</f>
        <v>5.5350553505535052E-3</v>
      </c>
      <c r="I21" s="96">
        <v>3</v>
      </c>
      <c r="K21" s="38">
        <v>19</v>
      </c>
      <c r="L21" s="101">
        <v>30.999999999999996</v>
      </c>
      <c r="N21" s="117" t="s">
        <v>128</v>
      </c>
      <c r="O21" s="127">
        <f>IF(P21=0,0,Q21/P21)</f>
        <v>2.0999999999998183E-2</v>
      </c>
      <c r="P21" s="121">
        <v>100</v>
      </c>
      <c r="Q21" s="109">
        <v>2.0999999999998185</v>
      </c>
    </row>
    <row r="22" spans="1:17" x14ac:dyDescent="0.4">
      <c r="A22" s="55" t="s">
        <v>195</v>
      </c>
      <c r="B22" s="47">
        <v>31</v>
      </c>
      <c r="C22" s="137">
        <v>3</v>
      </c>
      <c r="E22" s="63" t="s">
        <v>75</v>
      </c>
      <c r="F22" s="60" t="s">
        <v>30</v>
      </c>
      <c r="G22" s="47">
        <v>2</v>
      </c>
      <c r="H22" s="135">
        <f>IF(B$17=0,0,G22/B$17)</f>
        <v>3.6900369003690036E-3</v>
      </c>
      <c r="I22" s="96">
        <v>2</v>
      </c>
      <c r="K22" s="38">
        <v>20</v>
      </c>
      <c r="L22" s="101">
        <v>0.79999999999999716</v>
      </c>
      <c r="N22" s="117" t="s">
        <v>173</v>
      </c>
      <c r="O22" s="127">
        <f>IF(P22=0,0,Q22/P22)</f>
        <v>-3.7295454545454563</v>
      </c>
      <c r="P22" s="121">
        <v>44</v>
      </c>
      <c r="Q22" s="109">
        <v>-164.10000000000008</v>
      </c>
    </row>
    <row r="23" spans="1:17" x14ac:dyDescent="0.4">
      <c r="A23" s="55" t="s">
        <v>5</v>
      </c>
      <c r="B23" s="51">
        <f>IF(B$17=0,0,C23/B$17)</f>
        <v>8251.8450184501853</v>
      </c>
      <c r="C23" s="41">
        <v>4472500</v>
      </c>
      <c r="E23" s="63" t="s">
        <v>78</v>
      </c>
      <c r="F23" s="60" t="s">
        <v>33</v>
      </c>
      <c r="G23" s="47">
        <v>2</v>
      </c>
      <c r="H23" s="135">
        <f>IF(B$17=0,0,G23/B$17)</f>
        <v>3.6900369003690036E-3</v>
      </c>
      <c r="I23" s="96">
        <v>3</v>
      </c>
      <c r="K23" s="38">
        <v>21</v>
      </c>
      <c r="L23" s="101">
        <v>-2.886579864025407E-15</v>
      </c>
      <c r="N23" s="117" t="s">
        <v>186</v>
      </c>
      <c r="O23" s="127">
        <f>IF(P23=0,0,Q23/P23)</f>
        <v>-30.5</v>
      </c>
      <c r="P23" s="121">
        <v>6</v>
      </c>
      <c r="Q23" s="109">
        <v>-183</v>
      </c>
    </row>
    <row r="24" spans="1:17" x14ac:dyDescent="0.4">
      <c r="A24" s="57" t="s">
        <v>14</v>
      </c>
      <c r="B24" s="52">
        <f>IF(B$20=0,0,C24/B$20)</f>
        <v>-7997.4763406940065</v>
      </c>
      <c r="C24" s="45">
        <v>-2535200</v>
      </c>
      <c r="E24" s="63" t="s">
        <v>93</v>
      </c>
      <c r="F24" s="60" t="s">
        <v>48</v>
      </c>
      <c r="G24" s="47">
        <v>2</v>
      </c>
      <c r="H24" s="135">
        <f>IF(B$17=0,0,G24/B$17)</f>
        <v>3.6900369003690036E-3</v>
      </c>
      <c r="I24" s="96">
        <v>3</v>
      </c>
      <c r="K24" s="38">
        <v>22</v>
      </c>
      <c r="L24" s="101">
        <v>23.699999999999996</v>
      </c>
      <c r="N24" s="117" t="s">
        <v>127</v>
      </c>
      <c r="O24" s="127">
        <f>IF(P24=0,0,Q24/P24)</f>
        <v>-39.486734693877551</v>
      </c>
      <c r="P24" s="121">
        <v>98</v>
      </c>
      <c r="Q24" s="109">
        <v>-3869.7</v>
      </c>
    </row>
    <row r="25" spans="1:17" x14ac:dyDescent="0.4">
      <c r="A25" s="92" t="s">
        <v>142</v>
      </c>
      <c r="B25" s="142">
        <v>7</v>
      </c>
      <c r="C25" s="143"/>
      <c r="E25" s="63" t="s">
        <v>85</v>
      </c>
      <c r="F25" s="60" t="s">
        <v>40</v>
      </c>
      <c r="G25" s="47">
        <v>1</v>
      </c>
      <c r="H25" s="135">
        <f>IF(B$17=0,0,G25/B$17)</f>
        <v>1.8450184501845018E-3</v>
      </c>
      <c r="I25" s="96">
        <v>2</v>
      </c>
      <c r="K25" s="38">
        <v>23</v>
      </c>
      <c r="L25" s="101">
        <v>26.299999999999997</v>
      </c>
    </row>
    <row r="26" spans="1:17" x14ac:dyDescent="0.4">
      <c r="A26" s="58" t="s">
        <v>152</v>
      </c>
      <c r="B26" s="140">
        <v>105900</v>
      </c>
      <c r="C26" s="141"/>
      <c r="E26" s="63" t="s">
        <v>86</v>
      </c>
      <c r="F26" s="60" t="s">
        <v>41</v>
      </c>
      <c r="G26" s="47">
        <v>1</v>
      </c>
      <c r="H26" s="135">
        <f>IF(B$17=0,0,G26/B$17)</f>
        <v>1.8450184501845018E-3</v>
      </c>
      <c r="I26" s="96">
        <v>2</v>
      </c>
      <c r="K26" s="38">
        <v>24</v>
      </c>
      <c r="L26" s="101">
        <v>-3.5527136788005009E-15</v>
      </c>
    </row>
    <row r="27" spans="1:17" x14ac:dyDescent="0.4">
      <c r="A27" s="57" t="s">
        <v>143</v>
      </c>
      <c r="B27" s="65">
        <v>7</v>
      </c>
      <c r="C27" s="42">
        <f>IF(B$3=0,0,B27/B$3)</f>
        <v>3.8631346578366448E-3</v>
      </c>
      <c r="E27" s="63" t="s">
        <v>88</v>
      </c>
      <c r="F27" s="60" t="s">
        <v>43</v>
      </c>
      <c r="G27" s="47">
        <v>1</v>
      </c>
      <c r="H27" s="135">
        <f>IF(B$17=0,0,G27/B$17)</f>
        <v>1.8450184501845018E-3</v>
      </c>
      <c r="I27" s="96">
        <v>2</v>
      </c>
      <c r="K27" s="38">
        <v>25</v>
      </c>
      <c r="L27" s="101">
        <v>-31.300000000000004</v>
      </c>
    </row>
    <row r="28" spans="1:17" x14ac:dyDescent="0.4">
      <c r="E28" s="63" t="s">
        <v>89</v>
      </c>
      <c r="F28" s="60" t="s">
        <v>44</v>
      </c>
      <c r="G28" s="47">
        <v>1</v>
      </c>
      <c r="H28" s="135">
        <f>IF(B$17=0,0,G28/B$17)</f>
        <v>1.8450184501845018E-3</v>
      </c>
      <c r="I28" s="96">
        <v>2</v>
      </c>
      <c r="K28" s="38">
        <v>26</v>
      </c>
      <c r="L28" s="101">
        <v>1.8999999999999986</v>
      </c>
    </row>
    <row r="29" spans="1:17" x14ac:dyDescent="0.4">
      <c r="E29" s="63" t="s">
        <v>91</v>
      </c>
      <c r="F29" s="60" t="s">
        <v>46</v>
      </c>
      <c r="G29" s="47">
        <v>1</v>
      </c>
      <c r="H29" s="135">
        <f>IF(B$17=0,0,G29/B$17)</f>
        <v>1.8450184501845018E-3</v>
      </c>
      <c r="I29" s="96">
        <v>2</v>
      </c>
      <c r="K29" s="38">
        <v>27</v>
      </c>
      <c r="L29" s="101">
        <v>-1.3322676295501878E-15</v>
      </c>
    </row>
    <row r="30" spans="1:17" x14ac:dyDescent="0.4">
      <c r="E30" s="63" t="s">
        <v>96</v>
      </c>
      <c r="F30" s="60" t="s">
        <v>51</v>
      </c>
      <c r="G30" s="47">
        <v>1</v>
      </c>
      <c r="H30" s="135">
        <f>IF(B$17=0,0,G30/B$17)</f>
        <v>1.8450184501845018E-3</v>
      </c>
      <c r="I30" s="96">
        <v>2</v>
      </c>
      <c r="K30" s="38">
        <v>28</v>
      </c>
      <c r="L30" s="101">
        <v>-58.3</v>
      </c>
    </row>
    <row r="31" spans="1:17" x14ac:dyDescent="0.4">
      <c r="E31" s="63" t="s">
        <v>77</v>
      </c>
      <c r="F31" s="60" t="s">
        <v>32</v>
      </c>
      <c r="G31" s="47">
        <v>0</v>
      </c>
      <c r="H31" s="135">
        <f>IF(B$17=0,0,G31/B$17)</f>
        <v>0</v>
      </c>
      <c r="I31" s="96">
        <v>1</v>
      </c>
      <c r="K31" s="38">
        <v>29</v>
      </c>
      <c r="L31" s="101">
        <v>-9.5</v>
      </c>
    </row>
    <row r="32" spans="1:17" x14ac:dyDescent="0.4">
      <c r="E32" s="63" t="s">
        <v>81</v>
      </c>
      <c r="F32" s="60" t="s">
        <v>36</v>
      </c>
      <c r="G32" s="47">
        <v>0</v>
      </c>
      <c r="H32" s="135">
        <f>IF(B$17=0,0,G32/B$17)</f>
        <v>0</v>
      </c>
      <c r="I32" s="96">
        <v>1</v>
      </c>
      <c r="K32" s="38">
        <v>30</v>
      </c>
      <c r="L32" s="101">
        <v>0</v>
      </c>
    </row>
    <row r="33" spans="5:12" x14ac:dyDescent="0.4">
      <c r="E33" s="63" t="s">
        <v>83</v>
      </c>
      <c r="F33" s="60" t="s">
        <v>38</v>
      </c>
      <c r="G33" s="47">
        <v>0</v>
      </c>
      <c r="H33" s="135">
        <f>IF(B$17=0,0,G33/B$17)</f>
        <v>0</v>
      </c>
      <c r="I33" s="96">
        <v>1</v>
      </c>
      <c r="K33" s="38">
        <v>31</v>
      </c>
      <c r="L33" s="101">
        <v>29.1</v>
      </c>
    </row>
    <row r="34" spans="5:12" x14ac:dyDescent="0.4">
      <c r="E34" s="63" t="s">
        <v>94</v>
      </c>
      <c r="F34" s="60" t="s">
        <v>49</v>
      </c>
      <c r="G34" s="47">
        <v>0</v>
      </c>
      <c r="H34" s="135">
        <f>IF(B$17=0,0,G34/B$17)</f>
        <v>0</v>
      </c>
      <c r="I34" s="96">
        <v>1</v>
      </c>
      <c r="K34" s="38">
        <v>32</v>
      </c>
      <c r="L34" s="101">
        <v>4.3000000000000007</v>
      </c>
    </row>
    <row r="35" spans="5:12" x14ac:dyDescent="0.4">
      <c r="E35" s="63" t="s">
        <v>95</v>
      </c>
      <c r="F35" s="60" t="s">
        <v>50</v>
      </c>
      <c r="G35" s="47">
        <v>0</v>
      </c>
      <c r="H35" s="135">
        <f>IF(B$17=0,0,G35/B$17)</f>
        <v>0</v>
      </c>
      <c r="I35" s="96">
        <v>1</v>
      </c>
      <c r="K35" s="38">
        <v>33</v>
      </c>
      <c r="L35" s="101">
        <v>8.8817841970012523E-16</v>
      </c>
    </row>
    <row r="36" spans="5:12" x14ac:dyDescent="0.4">
      <c r="E36" s="63" t="s">
        <v>97</v>
      </c>
      <c r="F36" s="60" t="s">
        <v>52</v>
      </c>
      <c r="G36" s="47">
        <v>0</v>
      </c>
      <c r="H36" s="135">
        <f>IF(B$17=0,0,G36/B$17)</f>
        <v>0</v>
      </c>
      <c r="I36" s="96">
        <v>1</v>
      </c>
      <c r="K36" s="38">
        <v>34</v>
      </c>
      <c r="L36" s="101">
        <v>-7.2999999999999989</v>
      </c>
    </row>
    <row r="37" spans="5:12" x14ac:dyDescent="0.4">
      <c r="E37" s="63" t="s">
        <v>98</v>
      </c>
      <c r="F37" s="60" t="s">
        <v>53</v>
      </c>
      <c r="G37" s="47">
        <v>0</v>
      </c>
      <c r="H37" s="135">
        <f>IF(B$17=0,0,G37/B$17)</f>
        <v>0</v>
      </c>
      <c r="I37" s="96">
        <v>1</v>
      </c>
      <c r="K37" s="38">
        <v>35</v>
      </c>
      <c r="L37" s="101">
        <v>-37.199999999999996</v>
      </c>
    </row>
    <row r="38" spans="5:12" x14ac:dyDescent="0.4">
      <c r="E38" s="63" t="s">
        <v>99</v>
      </c>
      <c r="F38" s="60" t="s">
        <v>54</v>
      </c>
      <c r="G38" s="47">
        <v>0</v>
      </c>
      <c r="H38" s="135">
        <f>IF(B$17=0,0,G38/B$17)</f>
        <v>0</v>
      </c>
      <c r="I38" s="96">
        <v>1</v>
      </c>
      <c r="K38" s="38">
        <v>36</v>
      </c>
      <c r="L38" s="101">
        <v>7.1054273576010019E-15</v>
      </c>
    </row>
    <row r="39" spans="5:12" x14ac:dyDescent="0.4">
      <c r="E39" s="63" t="s">
        <v>100</v>
      </c>
      <c r="F39" s="60" t="s">
        <v>55</v>
      </c>
      <c r="G39" s="47">
        <v>0</v>
      </c>
      <c r="H39" s="135">
        <f>IF(B$17=0,0,G39/B$17)</f>
        <v>0</v>
      </c>
      <c r="I39" s="96">
        <v>1</v>
      </c>
      <c r="K39" s="38">
        <v>37</v>
      </c>
      <c r="L39" s="101">
        <v>-31.699999999999992</v>
      </c>
    </row>
    <row r="40" spans="5:12" x14ac:dyDescent="0.4">
      <c r="E40" s="63" t="s">
        <v>101</v>
      </c>
      <c r="F40" s="60" t="s">
        <v>56</v>
      </c>
      <c r="G40" s="47">
        <v>0</v>
      </c>
      <c r="H40" s="135">
        <f>IF(B$17=0,0,G40/B$17)</f>
        <v>0</v>
      </c>
      <c r="I40" s="96">
        <v>1</v>
      </c>
      <c r="K40" s="38">
        <v>38</v>
      </c>
      <c r="L40" s="101">
        <v>-33.099999999999994</v>
      </c>
    </row>
    <row r="41" spans="5:12" x14ac:dyDescent="0.4">
      <c r="E41" s="63" t="s">
        <v>102</v>
      </c>
      <c r="F41" s="60" t="s">
        <v>57</v>
      </c>
      <c r="G41" s="47">
        <v>0</v>
      </c>
      <c r="H41" s="135">
        <f>IF(B$17=0,0,G41/B$17)</f>
        <v>0</v>
      </c>
      <c r="I41" s="96">
        <v>1</v>
      </c>
      <c r="K41" s="38">
        <v>39</v>
      </c>
      <c r="L41" s="101">
        <v>7.1054273576010019E-15</v>
      </c>
    </row>
    <row r="42" spans="5:12" x14ac:dyDescent="0.4">
      <c r="E42" s="63" t="s">
        <v>103</v>
      </c>
      <c r="F42" s="60" t="s">
        <v>58</v>
      </c>
      <c r="G42" s="47">
        <v>0</v>
      </c>
      <c r="H42" s="135">
        <f>IF(B$17=0,0,G42/B$17)</f>
        <v>0</v>
      </c>
      <c r="I42" s="96">
        <v>1</v>
      </c>
      <c r="K42" s="38">
        <v>40</v>
      </c>
      <c r="L42" s="101">
        <v>-39.699999999999996</v>
      </c>
    </row>
    <row r="43" spans="5:12" x14ac:dyDescent="0.4">
      <c r="E43" s="63" t="s">
        <v>104</v>
      </c>
      <c r="F43" s="60" t="s">
        <v>59</v>
      </c>
      <c r="G43" s="47">
        <v>0</v>
      </c>
      <c r="H43" s="135">
        <f>IF(B$17=0,0,G43/B$17)</f>
        <v>0</v>
      </c>
      <c r="I43" s="96">
        <v>1</v>
      </c>
      <c r="K43" s="38">
        <v>41</v>
      </c>
      <c r="L43" s="101">
        <v>5.5000000000000071</v>
      </c>
    </row>
    <row r="44" spans="5:12" x14ac:dyDescent="0.4">
      <c r="E44" s="63" t="s">
        <v>105</v>
      </c>
      <c r="F44" s="60" t="s">
        <v>60</v>
      </c>
      <c r="G44" s="47">
        <v>0</v>
      </c>
      <c r="H44" s="135">
        <f>IF(B$17=0,0,G44/B$17)</f>
        <v>0</v>
      </c>
      <c r="I44" s="96">
        <v>1</v>
      </c>
      <c r="K44" s="38">
        <v>42</v>
      </c>
      <c r="L44" s="101">
        <v>7.1054273576010019E-15</v>
      </c>
    </row>
    <row r="45" spans="5:12" x14ac:dyDescent="0.4">
      <c r="E45" s="63" t="s">
        <v>106</v>
      </c>
      <c r="F45" s="60" t="s">
        <v>113</v>
      </c>
      <c r="G45" s="47">
        <v>0</v>
      </c>
      <c r="H45" s="135">
        <f>IF(B$17=0,0,G45/B$17)</f>
        <v>0</v>
      </c>
      <c r="I45" s="96">
        <v>1</v>
      </c>
      <c r="K45" s="38">
        <v>43</v>
      </c>
      <c r="L45" s="101">
        <v>87.1</v>
      </c>
    </row>
    <row r="46" spans="5:12" x14ac:dyDescent="0.4">
      <c r="E46" s="63" t="s">
        <v>107</v>
      </c>
      <c r="F46" s="60" t="s">
        <v>114</v>
      </c>
      <c r="G46" s="47">
        <v>0</v>
      </c>
      <c r="H46" s="135">
        <f>IF(B$17=0,0,G46/B$17)</f>
        <v>0</v>
      </c>
      <c r="I46" s="96">
        <v>1</v>
      </c>
      <c r="K46" s="38">
        <v>44</v>
      </c>
      <c r="L46" s="101">
        <v>60.399999999999991</v>
      </c>
    </row>
    <row r="47" spans="5:12" x14ac:dyDescent="0.4">
      <c r="E47" s="63" t="s">
        <v>108</v>
      </c>
      <c r="F47" s="60" t="s">
        <v>115</v>
      </c>
      <c r="G47" s="47">
        <v>0</v>
      </c>
      <c r="H47" s="135">
        <f>IF(B$17=0,0,G47/B$17)</f>
        <v>0</v>
      </c>
      <c r="I47" s="96">
        <v>1</v>
      </c>
      <c r="K47" s="38">
        <v>45</v>
      </c>
      <c r="L47" s="101">
        <v>-7.1054273576010019E-15</v>
      </c>
    </row>
    <row r="48" spans="5:12" x14ac:dyDescent="0.4">
      <c r="E48" s="63" t="s">
        <v>109</v>
      </c>
      <c r="F48" s="60" t="s">
        <v>61</v>
      </c>
      <c r="G48" s="47">
        <v>0</v>
      </c>
      <c r="H48" s="135">
        <f>IF(B$17=0,0,G48/B$17)</f>
        <v>0</v>
      </c>
      <c r="I48" s="96">
        <v>1</v>
      </c>
      <c r="K48" s="38">
        <v>46</v>
      </c>
      <c r="L48" s="101">
        <v>-48.000000000000007</v>
      </c>
    </row>
    <row r="49" spans="5:12" x14ac:dyDescent="0.4">
      <c r="E49" s="63" t="s">
        <v>110</v>
      </c>
      <c r="F49" s="60" t="s">
        <v>62</v>
      </c>
      <c r="G49" s="47">
        <v>0</v>
      </c>
      <c r="H49" s="135">
        <f>IF(B$17=0,0,G49/B$17)</f>
        <v>0</v>
      </c>
      <c r="I49" s="96">
        <v>1</v>
      </c>
      <c r="K49" s="38">
        <v>47</v>
      </c>
      <c r="L49" s="101">
        <v>-49.600000000000009</v>
      </c>
    </row>
    <row r="50" spans="5:12" x14ac:dyDescent="0.4">
      <c r="E50" s="63" t="s">
        <v>111</v>
      </c>
      <c r="F50" s="60" t="s">
        <v>63</v>
      </c>
      <c r="G50" s="47">
        <v>0</v>
      </c>
      <c r="H50" s="135">
        <f>IF(B$17=0,0,G50/B$17)</f>
        <v>0</v>
      </c>
      <c r="I50" s="96">
        <v>1</v>
      </c>
      <c r="K50" s="38">
        <v>48</v>
      </c>
      <c r="L50" s="101">
        <v>-7.1054273576010019E-15</v>
      </c>
    </row>
    <row r="51" spans="5:12" x14ac:dyDescent="0.4">
      <c r="E51" s="64" t="s">
        <v>112</v>
      </c>
      <c r="F51" s="61" t="s">
        <v>64</v>
      </c>
      <c r="G51" s="49">
        <v>0</v>
      </c>
      <c r="H51" s="136">
        <f>IF(B$17=0,0,G51/B$17)</f>
        <v>0</v>
      </c>
      <c r="I51" s="97">
        <v>1</v>
      </c>
      <c r="K51" s="38">
        <v>49</v>
      </c>
      <c r="L51" s="101">
        <v>38.399999999999991</v>
      </c>
    </row>
    <row r="52" spans="5:12" x14ac:dyDescent="0.4">
      <c r="K52" s="38">
        <v>50</v>
      </c>
      <c r="L52" s="101">
        <v>4.0999999999999943</v>
      </c>
    </row>
    <row r="53" spans="5:12" x14ac:dyDescent="0.4">
      <c r="K53" s="38">
        <v>51</v>
      </c>
      <c r="L53" s="101">
        <v>-5.3290705182007514E-15</v>
      </c>
    </row>
    <row r="54" spans="5:12" x14ac:dyDescent="0.4">
      <c r="K54" s="38">
        <v>52</v>
      </c>
      <c r="L54" s="101">
        <v>27.799999999999997</v>
      </c>
    </row>
    <row r="55" spans="5:12" x14ac:dyDescent="0.4">
      <c r="K55" s="38">
        <v>53</v>
      </c>
      <c r="L55" s="101">
        <v>25.099999999999998</v>
      </c>
    </row>
    <row r="56" spans="5:12" x14ac:dyDescent="0.4">
      <c r="K56" s="38">
        <v>54</v>
      </c>
      <c r="L56" s="101">
        <v>-3.5527136788005009E-15</v>
      </c>
    </row>
    <row r="57" spans="5:12" x14ac:dyDescent="0.4">
      <c r="K57" s="38">
        <v>55</v>
      </c>
      <c r="L57" s="101">
        <v>47.2</v>
      </c>
    </row>
    <row r="58" spans="5:12" x14ac:dyDescent="0.4">
      <c r="K58" s="38">
        <v>56</v>
      </c>
      <c r="L58" s="101">
        <v>-3.5</v>
      </c>
    </row>
    <row r="59" spans="5:12" x14ac:dyDescent="0.4">
      <c r="K59" s="38">
        <v>57</v>
      </c>
      <c r="L59" s="101">
        <v>0</v>
      </c>
    </row>
    <row r="60" spans="5:12" x14ac:dyDescent="0.4">
      <c r="K60" s="38">
        <v>58</v>
      </c>
      <c r="L60" s="101">
        <v>-28.5</v>
      </c>
    </row>
    <row r="61" spans="5:12" x14ac:dyDescent="0.4">
      <c r="K61" s="38">
        <v>59</v>
      </c>
      <c r="L61" s="101">
        <v>-31.9</v>
      </c>
    </row>
    <row r="62" spans="5:12" x14ac:dyDescent="0.4">
      <c r="K62" s="38">
        <v>60</v>
      </c>
      <c r="L62" s="101">
        <v>0</v>
      </c>
    </row>
    <row r="63" spans="5:12" x14ac:dyDescent="0.4">
      <c r="K63" s="38">
        <v>61</v>
      </c>
      <c r="L63" s="101">
        <v>28.9</v>
      </c>
    </row>
    <row r="64" spans="5:12" x14ac:dyDescent="0.4">
      <c r="K64" s="38">
        <v>62</v>
      </c>
      <c r="L64" s="101">
        <v>3.5</v>
      </c>
    </row>
    <row r="65" spans="11:12" x14ac:dyDescent="0.4">
      <c r="K65" s="38">
        <v>63</v>
      </c>
      <c r="L65" s="101">
        <v>0</v>
      </c>
    </row>
    <row r="66" spans="11:12" x14ac:dyDescent="0.4">
      <c r="K66" s="38">
        <v>64</v>
      </c>
      <c r="L66" s="101">
        <v>-15.3</v>
      </c>
    </row>
    <row r="67" spans="11:12" x14ac:dyDescent="0.4">
      <c r="K67" s="38">
        <v>65</v>
      </c>
      <c r="L67" s="101">
        <v>41</v>
      </c>
    </row>
    <row r="68" spans="11:12" x14ac:dyDescent="0.4">
      <c r="K68" s="38">
        <v>66</v>
      </c>
      <c r="L68" s="101">
        <v>0</v>
      </c>
    </row>
    <row r="69" spans="11:12" x14ac:dyDescent="0.4">
      <c r="K69" s="38">
        <v>67</v>
      </c>
      <c r="L69" s="101">
        <v>-15.8</v>
      </c>
    </row>
    <row r="70" spans="11:12" x14ac:dyDescent="0.4">
      <c r="K70" s="38">
        <v>68</v>
      </c>
      <c r="L70" s="101">
        <v>57.8</v>
      </c>
    </row>
    <row r="71" spans="11:12" x14ac:dyDescent="0.4">
      <c r="K71" s="38">
        <v>69</v>
      </c>
      <c r="L71" s="101">
        <v>0</v>
      </c>
    </row>
    <row r="72" spans="11:12" x14ac:dyDescent="0.4">
      <c r="K72" s="38">
        <v>70</v>
      </c>
      <c r="L72" s="101">
        <v>54.6</v>
      </c>
    </row>
    <row r="73" spans="11:12" x14ac:dyDescent="0.4">
      <c r="K73" s="38">
        <v>71</v>
      </c>
      <c r="L73" s="101">
        <v>14.600000000000001</v>
      </c>
    </row>
    <row r="74" spans="11:12" x14ac:dyDescent="0.4">
      <c r="K74" s="38">
        <v>72</v>
      </c>
      <c r="L74" s="101">
        <v>1.7763568394002505E-15</v>
      </c>
    </row>
    <row r="75" spans="11:12" x14ac:dyDescent="0.4">
      <c r="K75" s="38">
        <v>73</v>
      </c>
      <c r="L75" s="101">
        <v>-43.7</v>
      </c>
    </row>
    <row r="76" spans="11:12" x14ac:dyDescent="0.4">
      <c r="K76" s="38">
        <v>74</v>
      </c>
      <c r="L76" s="101">
        <v>6.2999999999999972</v>
      </c>
    </row>
    <row r="77" spans="11:12" x14ac:dyDescent="0.4">
      <c r="K77" s="38">
        <v>75</v>
      </c>
      <c r="L77" s="101">
        <v>-2.6645352591003757E-15</v>
      </c>
    </row>
    <row r="78" spans="11:12" x14ac:dyDescent="0.4">
      <c r="K78" s="38">
        <v>76</v>
      </c>
      <c r="L78" s="101">
        <v>-32.5</v>
      </c>
    </row>
    <row r="79" spans="11:12" x14ac:dyDescent="0.4">
      <c r="K79" s="38">
        <v>77</v>
      </c>
      <c r="L79" s="101">
        <v>-37.1</v>
      </c>
    </row>
    <row r="80" spans="11:12" x14ac:dyDescent="0.4">
      <c r="K80" s="38">
        <v>78</v>
      </c>
      <c r="L80" s="101">
        <v>0</v>
      </c>
    </row>
    <row r="81" spans="11:12" x14ac:dyDescent="0.4">
      <c r="K81" s="38">
        <v>79</v>
      </c>
      <c r="L81" s="101">
        <v>8</v>
      </c>
    </row>
    <row r="82" spans="11:12" x14ac:dyDescent="0.4">
      <c r="K82" s="38">
        <v>80</v>
      </c>
      <c r="L82" s="101">
        <v>-29.299999999999997</v>
      </c>
    </row>
    <row r="83" spans="11:12" x14ac:dyDescent="0.4">
      <c r="K83" s="38">
        <v>81</v>
      </c>
      <c r="L83" s="101">
        <v>3.5527136788005009E-15</v>
      </c>
    </row>
    <row r="84" spans="11:12" x14ac:dyDescent="0.4">
      <c r="K84" s="38">
        <v>82</v>
      </c>
      <c r="L84" s="101">
        <v>-6.9999999999999964</v>
      </c>
    </row>
    <row r="85" spans="11:12" x14ac:dyDescent="0.4">
      <c r="K85" s="38">
        <v>83</v>
      </c>
      <c r="L85" s="101">
        <v>-38.5</v>
      </c>
    </row>
    <row r="86" spans="11:12" x14ac:dyDescent="0.4">
      <c r="K86" s="38">
        <v>84</v>
      </c>
      <c r="L86" s="101">
        <v>0</v>
      </c>
    </row>
    <row r="87" spans="11:12" x14ac:dyDescent="0.4">
      <c r="K87" s="38">
        <v>85</v>
      </c>
      <c r="L87" s="101">
        <v>52.9</v>
      </c>
    </row>
    <row r="88" spans="11:12" x14ac:dyDescent="0.4">
      <c r="K88" s="38">
        <v>86</v>
      </c>
      <c r="L88" s="101">
        <v>-3.1000000000000014</v>
      </c>
    </row>
    <row r="89" spans="11:12" x14ac:dyDescent="0.4">
      <c r="K89" s="38">
        <v>87</v>
      </c>
      <c r="L89" s="101">
        <v>-1.3322676295501878E-15</v>
      </c>
    </row>
    <row r="90" spans="11:12" x14ac:dyDescent="0.4">
      <c r="K90" s="38">
        <v>88</v>
      </c>
      <c r="L90" s="101">
        <v>22.1</v>
      </c>
    </row>
    <row r="91" spans="11:12" x14ac:dyDescent="0.4">
      <c r="K91" s="38">
        <v>89</v>
      </c>
      <c r="L91" s="101">
        <v>24</v>
      </c>
    </row>
    <row r="92" spans="11:12" x14ac:dyDescent="0.4">
      <c r="K92" s="38">
        <v>90</v>
      </c>
      <c r="L92" s="101">
        <v>0</v>
      </c>
    </row>
    <row r="93" spans="11:12" x14ac:dyDescent="0.4">
      <c r="K93" s="38">
        <v>91</v>
      </c>
      <c r="L93" s="101">
        <v>22.1</v>
      </c>
    </row>
    <row r="94" spans="11:12" x14ac:dyDescent="0.4">
      <c r="K94" s="38">
        <v>92</v>
      </c>
      <c r="L94" s="101">
        <v>24</v>
      </c>
    </row>
    <row r="95" spans="11:12" x14ac:dyDescent="0.4">
      <c r="K95" s="38">
        <v>93</v>
      </c>
      <c r="L95" s="101">
        <v>0</v>
      </c>
    </row>
    <row r="96" spans="11:12" x14ac:dyDescent="0.4">
      <c r="K96" s="38">
        <v>94</v>
      </c>
      <c r="L96" s="101">
        <v>25.7</v>
      </c>
    </row>
    <row r="97" spans="11:12" x14ac:dyDescent="0.4">
      <c r="K97" s="38">
        <v>95</v>
      </c>
      <c r="L97" s="101">
        <v>1.8000000000000007</v>
      </c>
    </row>
    <row r="98" spans="11:12" x14ac:dyDescent="0.4">
      <c r="K98" s="38">
        <v>96</v>
      </c>
      <c r="L98" s="101">
        <v>6.6613381477509392E-16</v>
      </c>
    </row>
    <row r="99" spans="11:12" x14ac:dyDescent="0.4">
      <c r="K99" s="38">
        <v>97</v>
      </c>
      <c r="L99" s="101">
        <v>39.6</v>
      </c>
    </row>
    <row r="100" spans="11:12" x14ac:dyDescent="0.4">
      <c r="K100" s="38">
        <v>98</v>
      </c>
      <c r="L100" s="101">
        <v>-64.199999999999989</v>
      </c>
    </row>
    <row r="101" spans="11:12" x14ac:dyDescent="0.4">
      <c r="K101" s="38">
        <v>99</v>
      </c>
      <c r="L101" s="101">
        <v>1.4210854715202004E-14</v>
      </c>
    </row>
    <row r="102" spans="11:12" x14ac:dyDescent="0.4">
      <c r="K102" s="38">
        <v>100</v>
      </c>
      <c r="L102" s="101">
        <v>-74.499999999999986</v>
      </c>
    </row>
    <row r="103" spans="11:12" x14ac:dyDescent="0.4">
      <c r="K103" s="38">
        <v>101</v>
      </c>
      <c r="L103" s="101">
        <v>2.2000000000000171</v>
      </c>
    </row>
    <row r="104" spans="11:12" x14ac:dyDescent="0.4">
      <c r="K104" s="38">
        <v>102</v>
      </c>
      <c r="L104" s="101">
        <v>1.6875389974302379E-14</v>
      </c>
    </row>
    <row r="105" spans="11:12" x14ac:dyDescent="0.4">
      <c r="K105" s="38">
        <v>103</v>
      </c>
      <c r="L105" s="101">
        <v>-31.599999999999984</v>
      </c>
    </row>
    <row r="106" spans="11:12" x14ac:dyDescent="0.4">
      <c r="K106" s="38">
        <v>104</v>
      </c>
      <c r="L106" s="101">
        <v>-35.799999999999983</v>
      </c>
    </row>
    <row r="107" spans="11:12" x14ac:dyDescent="0.4">
      <c r="K107" s="38">
        <v>105</v>
      </c>
      <c r="L107" s="101">
        <v>1.4210854715202004E-14</v>
      </c>
    </row>
    <row r="108" spans="11:12" x14ac:dyDescent="0.4">
      <c r="K108" s="38">
        <v>106</v>
      </c>
      <c r="L108" s="101">
        <v>35.300000000000011</v>
      </c>
    </row>
    <row r="109" spans="11:12" x14ac:dyDescent="0.4">
      <c r="K109" s="38">
        <v>107</v>
      </c>
      <c r="L109" s="101">
        <v>34.000000000000014</v>
      </c>
    </row>
    <row r="110" spans="11:12" x14ac:dyDescent="0.4">
      <c r="K110" s="38">
        <v>108</v>
      </c>
      <c r="L110" s="101">
        <v>1.4210854715202004E-14</v>
      </c>
    </row>
    <row r="111" spans="11:12" x14ac:dyDescent="0.4">
      <c r="K111" s="38">
        <v>109</v>
      </c>
      <c r="L111" s="101">
        <v>6.1000000000000139</v>
      </c>
    </row>
    <row r="112" spans="11:12" x14ac:dyDescent="0.4">
      <c r="K112" s="38">
        <v>110</v>
      </c>
      <c r="L112" s="101">
        <v>57.000000000000014</v>
      </c>
    </row>
    <row r="113" spans="11:12" x14ac:dyDescent="0.4">
      <c r="K113" s="38">
        <v>111</v>
      </c>
      <c r="L113" s="101">
        <v>1.4210854715202004E-14</v>
      </c>
    </row>
    <row r="114" spans="11:12" x14ac:dyDescent="0.4">
      <c r="K114" s="38">
        <v>112</v>
      </c>
      <c r="L114" s="101">
        <v>-5.0999999999999854</v>
      </c>
    </row>
    <row r="115" spans="11:12" x14ac:dyDescent="0.4">
      <c r="K115" s="38">
        <v>113</v>
      </c>
      <c r="L115" s="101">
        <v>31.600000000000016</v>
      </c>
    </row>
    <row r="116" spans="11:12" x14ac:dyDescent="0.4">
      <c r="K116" s="38">
        <v>114</v>
      </c>
      <c r="L116" s="101">
        <v>1.4210854715202004E-14</v>
      </c>
    </row>
    <row r="117" spans="11:12" x14ac:dyDescent="0.4">
      <c r="K117" s="38">
        <v>115</v>
      </c>
      <c r="L117" s="101">
        <v>5.2000000000000144</v>
      </c>
    </row>
    <row r="118" spans="11:12" x14ac:dyDescent="0.4">
      <c r="K118" s="38">
        <v>116</v>
      </c>
      <c r="L118" s="101">
        <v>41.500000000000014</v>
      </c>
    </row>
    <row r="119" spans="11:12" x14ac:dyDescent="0.4">
      <c r="K119" s="38">
        <v>117</v>
      </c>
      <c r="L119" s="101">
        <v>1.4210854715202004E-14</v>
      </c>
    </row>
    <row r="120" spans="11:12" x14ac:dyDescent="0.4">
      <c r="K120" s="38">
        <v>118</v>
      </c>
      <c r="L120" s="101">
        <v>-7.8999999999999861</v>
      </c>
    </row>
    <row r="121" spans="11:12" x14ac:dyDescent="0.4">
      <c r="K121" s="38">
        <v>119</v>
      </c>
      <c r="L121" s="101">
        <v>55.100000000000016</v>
      </c>
    </row>
    <row r="122" spans="11:12" x14ac:dyDescent="0.4">
      <c r="K122" s="38">
        <v>120</v>
      </c>
      <c r="L122" s="101">
        <v>1.4210854715202004E-14</v>
      </c>
    </row>
    <row r="123" spans="11:12" x14ac:dyDescent="0.4">
      <c r="K123" s="38">
        <v>121</v>
      </c>
      <c r="L123" s="101">
        <v>-0.99999999999998579</v>
      </c>
    </row>
    <row r="124" spans="11:12" x14ac:dyDescent="0.4">
      <c r="K124" s="38">
        <v>122</v>
      </c>
      <c r="L124" s="101">
        <v>-30.799999999999986</v>
      </c>
    </row>
    <row r="125" spans="11:12" x14ac:dyDescent="0.4">
      <c r="K125" s="38">
        <v>123</v>
      </c>
      <c r="L125" s="101">
        <v>1.4210854715202004E-14</v>
      </c>
    </row>
    <row r="126" spans="11:12" x14ac:dyDescent="0.4">
      <c r="K126" s="38">
        <v>124</v>
      </c>
      <c r="L126" s="101">
        <v>0.50000000000001421</v>
      </c>
    </row>
    <row r="127" spans="11:12" x14ac:dyDescent="0.4">
      <c r="K127" s="38">
        <v>125</v>
      </c>
      <c r="L127" s="101">
        <v>29.100000000000016</v>
      </c>
    </row>
    <row r="128" spans="11:12" x14ac:dyDescent="0.4">
      <c r="K128" s="38">
        <v>126</v>
      </c>
      <c r="L128" s="101">
        <v>1.4210854715202004E-14</v>
      </c>
    </row>
    <row r="129" spans="11:12" x14ac:dyDescent="0.4">
      <c r="K129" s="38">
        <v>127</v>
      </c>
      <c r="L129" s="101">
        <v>-45.299999999999983</v>
      </c>
    </row>
    <row r="130" spans="11:12" x14ac:dyDescent="0.4">
      <c r="K130" s="38">
        <v>128</v>
      </c>
      <c r="L130" s="101">
        <v>-59.299999999999983</v>
      </c>
    </row>
    <row r="131" spans="11:12" x14ac:dyDescent="0.4">
      <c r="K131" s="38">
        <v>129</v>
      </c>
      <c r="L131" s="101">
        <v>1.4210854715202004E-14</v>
      </c>
    </row>
    <row r="132" spans="11:12" x14ac:dyDescent="0.4">
      <c r="K132" s="38">
        <v>130</v>
      </c>
      <c r="L132" s="101">
        <v>-8.8999999999999861</v>
      </c>
    </row>
    <row r="133" spans="11:12" x14ac:dyDescent="0.4">
      <c r="K133" s="38">
        <v>131</v>
      </c>
      <c r="L133" s="101">
        <v>-47.499999999999986</v>
      </c>
    </row>
    <row r="134" spans="11:12" x14ac:dyDescent="0.4">
      <c r="K134" s="38">
        <v>132</v>
      </c>
      <c r="L134" s="101">
        <v>1.4210854715202004E-14</v>
      </c>
    </row>
    <row r="135" spans="11:12" x14ac:dyDescent="0.4">
      <c r="K135" s="38">
        <v>133</v>
      </c>
      <c r="L135" s="101">
        <v>-3.4999999999999858</v>
      </c>
    </row>
    <row r="136" spans="11:12" x14ac:dyDescent="0.4">
      <c r="K136" s="38">
        <v>134</v>
      </c>
      <c r="L136" s="101">
        <v>27.000000000000014</v>
      </c>
    </row>
    <row r="137" spans="11:12" x14ac:dyDescent="0.4">
      <c r="K137" s="38">
        <v>135</v>
      </c>
      <c r="L137" s="101">
        <v>1.4210854715202004E-14</v>
      </c>
    </row>
    <row r="138" spans="11:12" x14ac:dyDescent="0.4">
      <c r="K138" s="38">
        <v>136</v>
      </c>
      <c r="L138" s="101">
        <v>-55.199999999999989</v>
      </c>
    </row>
    <row r="139" spans="11:12" x14ac:dyDescent="0.4">
      <c r="K139" s="38">
        <v>137</v>
      </c>
      <c r="L139" s="101">
        <v>-80.699999999999989</v>
      </c>
    </row>
    <row r="140" spans="11:12" x14ac:dyDescent="0.4">
      <c r="K140" s="38">
        <v>138</v>
      </c>
      <c r="L140" s="101">
        <v>1.4210854715202004E-14</v>
      </c>
    </row>
    <row r="141" spans="11:12" x14ac:dyDescent="0.4">
      <c r="K141" s="38">
        <v>139</v>
      </c>
      <c r="L141" s="101">
        <v>8.0000000000000142</v>
      </c>
    </row>
    <row r="142" spans="11:12" x14ac:dyDescent="0.4">
      <c r="K142" s="38">
        <v>140</v>
      </c>
      <c r="L142" s="101">
        <v>-63.199999999999989</v>
      </c>
    </row>
    <row r="143" spans="11:12" x14ac:dyDescent="0.4">
      <c r="K143" s="38">
        <v>141</v>
      </c>
      <c r="L143" s="101">
        <v>1.4210854715202004E-14</v>
      </c>
    </row>
    <row r="144" spans="11:12" x14ac:dyDescent="0.4">
      <c r="K144" s="38">
        <v>142</v>
      </c>
      <c r="L144" s="101">
        <v>54.500000000000014</v>
      </c>
    </row>
    <row r="145" spans="11:12" x14ac:dyDescent="0.4">
      <c r="K145" s="38">
        <v>143</v>
      </c>
      <c r="L145" s="101">
        <v>8.5000000000000142</v>
      </c>
    </row>
    <row r="146" spans="11:12" x14ac:dyDescent="0.4">
      <c r="K146" s="38">
        <v>144</v>
      </c>
      <c r="L146" s="101">
        <v>1.4210854715202004E-14</v>
      </c>
    </row>
    <row r="147" spans="11:12" x14ac:dyDescent="0.4">
      <c r="K147" s="38">
        <v>145</v>
      </c>
      <c r="L147" s="101">
        <v>-10.599999999999985</v>
      </c>
    </row>
    <row r="148" spans="11:12" x14ac:dyDescent="0.4">
      <c r="K148" s="38">
        <v>146</v>
      </c>
      <c r="L148" s="101">
        <v>-61.79999999999999</v>
      </c>
    </row>
    <row r="149" spans="11:12" x14ac:dyDescent="0.4">
      <c r="K149" s="38">
        <v>147</v>
      </c>
      <c r="L149" s="101">
        <v>7.1054273576010019E-15</v>
      </c>
    </row>
    <row r="150" spans="11:12" x14ac:dyDescent="0.4">
      <c r="K150" s="38">
        <v>148</v>
      </c>
      <c r="L150" s="101">
        <v>4.6000000000000068</v>
      </c>
    </row>
    <row r="151" spans="11:12" x14ac:dyDescent="0.4">
      <c r="K151" s="38">
        <v>149</v>
      </c>
      <c r="L151" s="101">
        <v>-25.29999999999999</v>
      </c>
    </row>
    <row r="152" spans="11:12" x14ac:dyDescent="0.4">
      <c r="K152" s="38">
        <v>150</v>
      </c>
      <c r="L152" s="101">
        <v>1.0658141036401503E-14</v>
      </c>
    </row>
    <row r="153" spans="11:12" x14ac:dyDescent="0.4">
      <c r="K153" s="38">
        <v>151</v>
      </c>
      <c r="L153" s="101">
        <v>-2.4999999999999893</v>
      </c>
    </row>
    <row r="154" spans="11:12" x14ac:dyDescent="0.4">
      <c r="K154" s="38">
        <v>152</v>
      </c>
      <c r="L154" s="101">
        <v>-49.999999999999986</v>
      </c>
    </row>
    <row r="155" spans="11:12" x14ac:dyDescent="0.4">
      <c r="K155" s="38">
        <v>153</v>
      </c>
      <c r="L155" s="101">
        <v>1.4210854715202004E-14</v>
      </c>
    </row>
    <row r="156" spans="11:12" x14ac:dyDescent="0.4">
      <c r="K156" s="38">
        <v>154</v>
      </c>
      <c r="L156" s="101">
        <v>31.900000000000013</v>
      </c>
    </row>
    <row r="157" spans="11:12" x14ac:dyDescent="0.4">
      <c r="K157" s="38">
        <v>155</v>
      </c>
      <c r="L157" s="101">
        <v>28.100000000000012</v>
      </c>
    </row>
    <row r="158" spans="11:12" x14ac:dyDescent="0.4">
      <c r="K158" s="38">
        <v>156</v>
      </c>
      <c r="L158" s="101">
        <v>1.0658141036401503E-14</v>
      </c>
    </row>
    <row r="159" spans="11:12" x14ac:dyDescent="0.4">
      <c r="K159" s="38">
        <v>157</v>
      </c>
      <c r="L159" s="101">
        <v>-55.999999999999986</v>
      </c>
    </row>
    <row r="160" spans="11:12" x14ac:dyDescent="0.4">
      <c r="K160" s="38">
        <v>158</v>
      </c>
      <c r="L160" s="101">
        <v>13.000000000000014</v>
      </c>
    </row>
    <row r="161" spans="11:12" x14ac:dyDescent="0.4">
      <c r="K161" s="38">
        <v>159</v>
      </c>
      <c r="L161" s="101">
        <v>1.4210854715202004E-14</v>
      </c>
    </row>
    <row r="162" spans="11:12" x14ac:dyDescent="0.4">
      <c r="K162" s="38">
        <v>160</v>
      </c>
      <c r="L162" s="101">
        <v>12.400000000000015</v>
      </c>
    </row>
    <row r="163" spans="11:12" x14ac:dyDescent="0.4">
      <c r="K163" s="38">
        <v>161</v>
      </c>
      <c r="L163" s="101">
        <v>49.100000000000016</v>
      </c>
    </row>
    <row r="164" spans="11:12" x14ac:dyDescent="0.4">
      <c r="K164" s="38">
        <v>162</v>
      </c>
      <c r="L164" s="101">
        <v>1.4210854715202004E-14</v>
      </c>
    </row>
    <row r="165" spans="11:12" x14ac:dyDescent="0.4">
      <c r="K165" s="38">
        <v>163</v>
      </c>
      <c r="L165" s="101">
        <v>-60.299999999999983</v>
      </c>
    </row>
    <row r="166" spans="11:12" x14ac:dyDescent="0.4">
      <c r="K166" s="38">
        <v>164</v>
      </c>
      <c r="L166" s="101">
        <v>9.3000000000000114</v>
      </c>
    </row>
    <row r="167" spans="11:12" x14ac:dyDescent="0.4">
      <c r="K167" s="38">
        <v>165</v>
      </c>
      <c r="L167" s="101">
        <v>1.0658141036401503E-14</v>
      </c>
    </row>
    <row r="168" spans="11:12" x14ac:dyDescent="0.4">
      <c r="K168" s="38">
        <v>166</v>
      </c>
      <c r="L168" s="101">
        <v>48.500000000000014</v>
      </c>
    </row>
    <row r="169" spans="11:12" x14ac:dyDescent="0.4">
      <c r="K169" s="38">
        <v>167</v>
      </c>
      <c r="L169" s="101">
        <v>68.000000000000014</v>
      </c>
    </row>
    <row r="170" spans="11:12" x14ac:dyDescent="0.4">
      <c r="K170" s="38">
        <v>168</v>
      </c>
      <c r="L170" s="101">
        <v>1.4210854715202004E-14</v>
      </c>
    </row>
    <row r="171" spans="11:12" x14ac:dyDescent="0.4">
      <c r="K171" s="38">
        <v>169</v>
      </c>
      <c r="L171" s="101">
        <v>-1.4999999999999858</v>
      </c>
    </row>
    <row r="172" spans="11:12" x14ac:dyDescent="0.4">
      <c r="K172" s="38">
        <v>170</v>
      </c>
      <c r="L172" s="101">
        <v>-32.599999999999987</v>
      </c>
    </row>
    <row r="173" spans="11:12" x14ac:dyDescent="0.4">
      <c r="K173" s="38">
        <v>171</v>
      </c>
      <c r="L173" s="101">
        <v>1.4210854715202004E-14</v>
      </c>
    </row>
    <row r="174" spans="11:12" x14ac:dyDescent="0.4">
      <c r="K174" s="38">
        <v>172</v>
      </c>
      <c r="L174" s="101">
        <v>47.400000000000013</v>
      </c>
    </row>
    <row r="175" spans="11:12" x14ac:dyDescent="0.4">
      <c r="K175" s="38">
        <v>173</v>
      </c>
      <c r="L175" s="101">
        <v>52.300000000000011</v>
      </c>
    </row>
    <row r="176" spans="11:12" x14ac:dyDescent="0.4">
      <c r="K176" s="38">
        <v>174</v>
      </c>
      <c r="L176" s="101">
        <v>1.4210854715202004E-14</v>
      </c>
    </row>
    <row r="177" spans="11:12" x14ac:dyDescent="0.4">
      <c r="K177" s="38">
        <v>175</v>
      </c>
      <c r="L177" s="101">
        <v>73.600000000000009</v>
      </c>
    </row>
    <row r="178" spans="11:12" x14ac:dyDescent="0.4">
      <c r="K178" s="38">
        <v>176</v>
      </c>
      <c r="L178" s="101">
        <v>7.3000000000000114</v>
      </c>
    </row>
    <row r="179" spans="11:12" x14ac:dyDescent="0.4">
      <c r="K179" s="38">
        <v>177</v>
      </c>
      <c r="L179" s="101">
        <v>1.1546319456101628E-14</v>
      </c>
    </row>
    <row r="180" spans="11:12" x14ac:dyDescent="0.4">
      <c r="K180" s="38">
        <v>178</v>
      </c>
      <c r="L180" s="101">
        <v>-33.599999999999987</v>
      </c>
    </row>
    <row r="181" spans="11:12" x14ac:dyDescent="0.4">
      <c r="K181" s="38">
        <v>179</v>
      </c>
      <c r="L181" s="101">
        <v>-32.499999999999986</v>
      </c>
    </row>
    <row r="182" spans="11:12" x14ac:dyDescent="0.4">
      <c r="K182" s="38">
        <v>180</v>
      </c>
      <c r="L182" s="101">
        <v>1.4210854715202004E-14</v>
      </c>
    </row>
    <row r="183" spans="11:12" x14ac:dyDescent="0.4">
      <c r="K183" s="38">
        <v>181</v>
      </c>
      <c r="L183" s="101">
        <v>5.4000000000000146</v>
      </c>
    </row>
    <row r="184" spans="11:12" x14ac:dyDescent="0.4">
      <c r="K184" s="38">
        <v>182</v>
      </c>
      <c r="L184" s="101">
        <v>-26.899999999999984</v>
      </c>
    </row>
    <row r="185" spans="11:12" x14ac:dyDescent="0.4">
      <c r="K185" s="38">
        <v>183</v>
      </c>
      <c r="L185" s="101">
        <v>1.4210854715202004E-14</v>
      </c>
    </row>
    <row r="186" spans="11:12" x14ac:dyDescent="0.4">
      <c r="K186" s="38">
        <v>184</v>
      </c>
      <c r="L186" s="101">
        <v>15.100000000000014</v>
      </c>
    </row>
    <row r="187" spans="11:12" x14ac:dyDescent="0.4">
      <c r="K187" s="38">
        <v>185</v>
      </c>
      <c r="L187" s="101">
        <v>-35.199999999999982</v>
      </c>
    </row>
    <row r="188" spans="11:12" x14ac:dyDescent="0.4">
      <c r="K188" s="38">
        <v>186</v>
      </c>
      <c r="L188" s="101">
        <v>2.1316282072803006E-14</v>
      </c>
    </row>
    <row r="189" spans="11:12" x14ac:dyDescent="0.4">
      <c r="K189" s="38">
        <v>187</v>
      </c>
      <c r="L189" s="101">
        <v>-28.199999999999978</v>
      </c>
    </row>
    <row r="190" spans="11:12" x14ac:dyDescent="0.4">
      <c r="K190" s="38">
        <v>188</v>
      </c>
      <c r="L190" s="101">
        <v>-33.499999999999979</v>
      </c>
    </row>
    <row r="191" spans="11:12" x14ac:dyDescent="0.4">
      <c r="K191" s="38">
        <v>189</v>
      </c>
      <c r="L191" s="101">
        <v>2.1316282072803006E-14</v>
      </c>
    </row>
    <row r="192" spans="11:12" x14ac:dyDescent="0.4">
      <c r="K192" s="38">
        <v>190</v>
      </c>
      <c r="L192" s="101">
        <v>-60.899999999999977</v>
      </c>
    </row>
    <row r="193" spans="11:12" x14ac:dyDescent="0.4">
      <c r="K193" s="38">
        <v>191</v>
      </c>
      <c r="L193" s="101">
        <v>-57.399999999999977</v>
      </c>
    </row>
    <row r="194" spans="11:12" x14ac:dyDescent="0.4">
      <c r="K194" s="38">
        <v>192</v>
      </c>
      <c r="L194" s="101">
        <v>2.1316282072803006E-14</v>
      </c>
    </row>
    <row r="195" spans="11:12" x14ac:dyDescent="0.4">
      <c r="K195" s="38">
        <v>193</v>
      </c>
      <c r="L195" s="101">
        <v>-57.699999999999982</v>
      </c>
    </row>
    <row r="196" spans="11:12" x14ac:dyDescent="0.4">
      <c r="K196" s="38">
        <v>194</v>
      </c>
      <c r="L196" s="101">
        <v>-13.799999999999983</v>
      </c>
    </row>
    <row r="197" spans="11:12" x14ac:dyDescent="0.4">
      <c r="K197" s="38">
        <v>195</v>
      </c>
      <c r="L197" s="101">
        <v>1.7763568394002505E-14</v>
      </c>
    </row>
    <row r="198" spans="11:12" x14ac:dyDescent="0.4">
      <c r="K198" s="38">
        <v>196</v>
      </c>
      <c r="L198" s="101">
        <v>-55.499999999999986</v>
      </c>
    </row>
    <row r="199" spans="11:12" x14ac:dyDescent="0.4">
      <c r="K199" s="38">
        <v>197</v>
      </c>
      <c r="L199" s="101">
        <v>1.5000000000000142</v>
      </c>
    </row>
    <row r="200" spans="11:12" x14ac:dyDescent="0.4">
      <c r="K200" s="38">
        <v>198</v>
      </c>
      <c r="L200" s="101">
        <v>1.4210854715202004E-14</v>
      </c>
    </row>
    <row r="201" spans="11:12" x14ac:dyDescent="0.4">
      <c r="K201" s="38">
        <v>199</v>
      </c>
      <c r="L201" s="101">
        <v>46.900000000000013</v>
      </c>
    </row>
    <row r="202" spans="11:12" x14ac:dyDescent="0.4">
      <c r="K202" s="38">
        <v>200</v>
      </c>
      <c r="L202" s="101">
        <v>12.500000000000014</v>
      </c>
    </row>
    <row r="203" spans="11:12" x14ac:dyDescent="0.4">
      <c r="K203" s="38">
        <v>201</v>
      </c>
      <c r="L203" s="101">
        <v>1.4210854715202004E-14</v>
      </c>
    </row>
    <row r="204" spans="11:12" x14ac:dyDescent="0.4">
      <c r="K204" s="38">
        <v>202</v>
      </c>
      <c r="L204" s="101">
        <v>-59.899999999999984</v>
      </c>
    </row>
    <row r="205" spans="11:12" x14ac:dyDescent="0.4">
      <c r="K205" s="38">
        <v>203</v>
      </c>
      <c r="L205" s="101">
        <v>4.4000000000000128</v>
      </c>
    </row>
    <row r="206" spans="11:12" x14ac:dyDescent="0.4">
      <c r="K206" s="38">
        <v>204</v>
      </c>
      <c r="L206" s="101">
        <v>1.2434497875801753E-14</v>
      </c>
    </row>
    <row r="207" spans="11:12" x14ac:dyDescent="0.4">
      <c r="K207" s="38">
        <v>205</v>
      </c>
      <c r="L207" s="101">
        <v>54.500000000000014</v>
      </c>
    </row>
    <row r="208" spans="11:12" x14ac:dyDescent="0.4">
      <c r="K208" s="38">
        <v>206</v>
      </c>
      <c r="L208" s="101">
        <v>-8.9999999999999858</v>
      </c>
    </row>
    <row r="209" spans="11:12" x14ac:dyDescent="0.4">
      <c r="K209" s="38">
        <v>207</v>
      </c>
      <c r="L209" s="101">
        <v>1.4210854715202004E-14</v>
      </c>
    </row>
    <row r="210" spans="11:12" x14ac:dyDescent="0.4">
      <c r="K210" s="38">
        <v>208</v>
      </c>
      <c r="L210" s="101">
        <v>-55.399999999999984</v>
      </c>
    </row>
    <row r="211" spans="11:12" x14ac:dyDescent="0.4">
      <c r="K211" s="38">
        <v>209</v>
      </c>
      <c r="L211" s="101">
        <v>-51.899999999999984</v>
      </c>
    </row>
    <row r="212" spans="11:12" x14ac:dyDescent="0.4">
      <c r="K212" s="38">
        <v>210</v>
      </c>
      <c r="L212" s="101">
        <v>1.4210854715202004E-14</v>
      </c>
    </row>
    <row r="213" spans="11:12" x14ac:dyDescent="0.4">
      <c r="K213" s="38">
        <v>211</v>
      </c>
      <c r="L213" s="101">
        <v>4.1000000000000139</v>
      </c>
    </row>
    <row r="214" spans="11:12" x14ac:dyDescent="0.4">
      <c r="K214" s="38">
        <v>212</v>
      </c>
      <c r="L214" s="101">
        <v>35.200000000000017</v>
      </c>
    </row>
    <row r="215" spans="11:12" x14ac:dyDescent="0.4">
      <c r="K215" s="38">
        <v>213</v>
      </c>
      <c r="L215" s="101">
        <v>1.4210854715202004E-14</v>
      </c>
    </row>
    <row r="216" spans="11:12" x14ac:dyDescent="0.4">
      <c r="K216" s="38">
        <v>214</v>
      </c>
      <c r="L216" s="101">
        <v>-5.199999999999986</v>
      </c>
    </row>
    <row r="217" spans="11:12" x14ac:dyDescent="0.4">
      <c r="K217" s="38">
        <v>215</v>
      </c>
      <c r="L217" s="101">
        <v>-32.29999999999999</v>
      </c>
    </row>
    <row r="218" spans="11:12" x14ac:dyDescent="0.4">
      <c r="K218" s="38">
        <v>216</v>
      </c>
      <c r="L218" s="101">
        <v>7.1054273576010019E-15</v>
      </c>
    </row>
    <row r="219" spans="11:12" x14ac:dyDescent="0.4">
      <c r="K219" s="38">
        <v>217</v>
      </c>
      <c r="L219" s="101">
        <v>30.600000000000009</v>
      </c>
    </row>
    <row r="220" spans="11:12" x14ac:dyDescent="0.4">
      <c r="K220" s="38">
        <v>218</v>
      </c>
      <c r="L220" s="101">
        <v>-10.099999999999994</v>
      </c>
    </row>
    <row r="221" spans="11:12" x14ac:dyDescent="0.4">
      <c r="K221" s="38">
        <v>219</v>
      </c>
      <c r="L221" s="101">
        <v>5.3290705182007514E-15</v>
      </c>
    </row>
  </sheetData>
  <sortState ref="N15:Q24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12035E-F7C2-4290-8D88-AEAFAB9F8999}">
  <sheetPr codeName="Sheet7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0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1" customWidth="1"/>
    <col min="13" max="13" width="3.625" style="33" customWidth="1"/>
    <col min="14" max="14" width="9" style="117" customWidth="1"/>
    <col min="15" max="15" width="9" style="127" customWidth="1"/>
    <col min="16" max="16" width="9" style="121" customWidth="1"/>
    <col min="17" max="17" width="3.625" style="109" customWidth="1"/>
    <col min="18" max="16384" width="9" style="33"/>
  </cols>
  <sheetData>
    <row r="1" spans="1:17" x14ac:dyDescent="0.4">
      <c r="A1" s="53" t="s">
        <v>0</v>
      </c>
      <c r="B1" s="146" t="s">
        <v>127</v>
      </c>
      <c r="C1" s="147"/>
      <c r="E1" s="131" t="s">
        <v>168</v>
      </c>
      <c r="F1" s="139" t="s">
        <v>116</v>
      </c>
      <c r="G1" s="138" t="s">
        <v>117</v>
      </c>
      <c r="H1" s="132" t="s">
        <v>118</v>
      </c>
      <c r="I1" s="139" t="s">
        <v>154</v>
      </c>
      <c r="K1" s="34" t="s">
        <v>20</v>
      </c>
      <c r="L1" s="35" t="s">
        <v>121</v>
      </c>
      <c r="M1" s="133"/>
      <c r="N1" s="115" t="s">
        <v>138</v>
      </c>
      <c r="O1" s="34" t="s">
        <v>139</v>
      </c>
      <c r="P1" s="119" t="s">
        <v>117</v>
      </c>
      <c r="Q1" s="103" t="s">
        <v>158</v>
      </c>
    </row>
    <row r="2" spans="1:17" x14ac:dyDescent="0.4">
      <c r="A2" s="54" t="s">
        <v>9</v>
      </c>
      <c r="B2" s="148">
        <v>49</v>
      </c>
      <c r="C2" s="149"/>
      <c r="E2" s="62" t="s">
        <v>67</v>
      </c>
      <c r="F2" s="59" t="s">
        <v>23</v>
      </c>
      <c r="G2" s="46">
        <v>135</v>
      </c>
      <c r="H2" s="134">
        <f>IF(B$17=0,0,G2/B$17)</f>
        <v>0.83333333333333337</v>
      </c>
      <c r="I2" s="95">
        <v>3</v>
      </c>
      <c r="K2" s="36">
        <v>0</v>
      </c>
      <c r="L2" s="100">
        <v>0</v>
      </c>
      <c r="N2" s="116" t="s">
        <v>132</v>
      </c>
      <c r="O2" s="123">
        <f t="shared" ref="O2:O7" si="0">IF(P2=0,0,Q2/P2)</f>
        <v>4481.6326530612241</v>
      </c>
      <c r="P2" s="120">
        <v>49</v>
      </c>
      <c r="Q2" s="104">
        <v>219600</v>
      </c>
    </row>
    <row r="3" spans="1:17" x14ac:dyDescent="0.4">
      <c r="A3" s="55" t="s">
        <v>8</v>
      </c>
      <c r="B3" s="150">
        <v>383</v>
      </c>
      <c r="C3" s="151"/>
      <c r="E3" s="63" t="s">
        <v>73</v>
      </c>
      <c r="F3" s="60" t="s">
        <v>28</v>
      </c>
      <c r="G3" s="47">
        <v>90</v>
      </c>
      <c r="H3" s="135">
        <f>IF(B$17=0,0,G3/B$17)</f>
        <v>0.55555555555555558</v>
      </c>
      <c r="I3" s="96">
        <v>5</v>
      </c>
      <c r="K3" s="38">
        <v>1</v>
      </c>
      <c r="L3" s="101">
        <v>-5.0999999999999996</v>
      </c>
      <c r="N3" s="117" t="s">
        <v>133</v>
      </c>
      <c r="O3" s="124">
        <f t="shared" si="0"/>
        <v>3891.6666666666665</v>
      </c>
      <c r="P3" s="121">
        <v>48</v>
      </c>
      <c r="Q3" s="105">
        <v>186800</v>
      </c>
    </row>
    <row r="4" spans="1:17" x14ac:dyDescent="0.4">
      <c r="A4" s="55" t="s">
        <v>6</v>
      </c>
      <c r="B4" s="152">
        <v>1289.8999999999999</v>
      </c>
      <c r="C4" s="153"/>
      <c r="E4" s="63" t="s">
        <v>65</v>
      </c>
      <c r="F4" s="60" t="s">
        <v>21</v>
      </c>
      <c r="G4" s="47">
        <v>83</v>
      </c>
      <c r="H4" s="135">
        <f>IF(B$17=0,0,G4/B$17)</f>
        <v>0.51234567901234573</v>
      </c>
      <c r="I4" s="96">
        <v>5</v>
      </c>
      <c r="K4" s="38">
        <v>2</v>
      </c>
      <c r="L4" s="101">
        <v>-2.8999999999999995</v>
      </c>
      <c r="N4" s="117" t="s">
        <v>134</v>
      </c>
      <c r="O4" s="124">
        <f t="shared" si="0"/>
        <v>3204.5454545454545</v>
      </c>
      <c r="P4" s="121">
        <v>44</v>
      </c>
      <c r="Q4" s="105">
        <v>141000</v>
      </c>
    </row>
    <row r="5" spans="1:17" x14ac:dyDescent="0.4">
      <c r="A5" s="55" t="s">
        <v>7</v>
      </c>
      <c r="B5" s="154">
        <f>IF(B$2=0,0,B$4/B$2)</f>
        <v>26.324489795918364</v>
      </c>
      <c r="C5" s="155"/>
      <c r="E5" s="63" t="s">
        <v>182</v>
      </c>
      <c r="F5" s="60" t="s">
        <v>183</v>
      </c>
      <c r="G5" s="47">
        <v>70</v>
      </c>
      <c r="H5" s="135">
        <f>IF(B$17=0,0,G5/B$17)</f>
        <v>0.43209876543209874</v>
      </c>
      <c r="I5" s="96">
        <v>2</v>
      </c>
      <c r="K5" s="38">
        <v>3</v>
      </c>
      <c r="L5" s="101">
        <v>70.399999999999991</v>
      </c>
      <c r="N5" s="117" t="s">
        <v>135</v>
      </c>
      <c r="O5" s="124">
        <f t="shared" si="0"/>
        <v>3826.3157894736842</v>
      </c>
      <c r="P5" s="121">
        <v>38</v>
      </c>
      <c r="Q5" s="105">
        <v>145400</v>
      </c>
    </row>
    <row r="6" spans="1:17" x14ac:dyDescent="0.4">
      <c r="A6" s="55" t="s">
        <v>1</v>
      </c>
      <c r="B6" s="144">
        <f>IF(B$2=0,0,(B$7*1+B$8*2+B$9*3)/B$2)</f>
        <v>1.489795918367347</v>
      </c>
      <c r="C6" s="145"/>
      <c r="E6" s="63" t="s">
        <v>68</v>
      </c>
      <c r="F6" s="60" t="s">
        <v>24</v>
      </c>
      <c r="G6" s="47">
        <v>54</v>
      </c>
      <c r="H6" s="135">
        <f>IF(B$17=0,0,G6/B$17)</f>
        <v>0.33333333333333331</v>
      </c>
      <c r="I6" s="96">
        <v>4</v>
      </c>
      <c r="K6" s="38">
        <v>4</v>
      </c>
      <c r="L6" s="101">
        <v>110.5</v>
      </c>
      <c r="N6" s="117" t="s">
        <v>136</v>
      </c>
      <c r="O6" s="124">
        <f t="shared" si="0"/>
        <v>2145.7142857142858</v>
      </c>
      <c r="P6" s="121">
        <v>35</v>
      </c>
      <c r="Q6" s="105">
        <v>75100</v>
      </c>
    </row>
    <row r="7" spans="1:17" x14ac:dyDescent="0.4">
      <c r="A7" s="55" t="s">
        <v>2</v>
      </c>
      <c r="B7" s="47">
        <v>31</v>
      </c>
      <c r="C7" s="39">
        <f>IF(B$2=0,0,B7/B$2)</f>
        <v>0.63265306122448983</v>
      </c>
      <c r="E7" s="63" t="s">
        <v>69</v>
      </c>
      <c r="F7" s="60" t="s">
        <v>12</v>
      </c>
      <c r="G7" s="47">
        <v>36</v>
      </c>
      <c r="H7" s="135">
        <f>IF(B$17=0,0,G7/B$17)</f>
        <v>0.22222222222222221</v>
      </c>
      <c r="I7" s="96">
        <v>8</v>
      </c>
      <c r="K7" s="38">
        <v>5</v>
      </c>
      <c r="L7" s="101">
        <v>201.4</v>
      </c>
      <c r="N7" s="118" t="s">
        <v>137</v>
      </c>
      <c r="O7" s="125">
        <f t="shared" si="0"/>
        <v>515.15151515151513</v>
      </c>
      <c r="P7" s="122">
        <v>33</v>
      </c>
      <c r="Q7" s="106">
        <v>17000</v>
      </c>
    </row>
    <row r="8" spans="1:17" x14ac:dyDescent="0.4">
      <c r="A8" s="55" t="s">
        <v>3</v>
      </c>
      <c r="B8" s="47">
        <v>12</v>
      </c>
      <c r="C8" s="39">
        <f>IF(B$2=0,0,B8/B$2)</f>
        <v>0.24489795918367346</v>
      </c>
      <c r="E8" s="63" t="s">
        <v>90</v>
      </c>
      <c r="F8" s="60" t="s">
        <v>45</v>
      </c>
      <c r="G8" s="47">
        <v>30</v>
      </c>
      <c r="H8" s="135">
        <f>IF(B$17=0,0,G8/B$17)</f>
        <v>0.18518518518518517</v>
      </c>
      <c r="I8" s="96">
        <v>4</v>
      </c>
      <c r="K8" s="38">
        <v>6</v>
      </c>
      <c r="L8" s="101">
        <v>232.4</v>
      </c>
      <c r="N8" s="43"/>
      <c r="O8" s="129"/>
      <c r="P8" s="113"/>
      <c r="Q8" s="111"/>
    </row>
    <row r="9" spans="1:17" x14ac:dyDescent="0.4">
      <c r="A9" s="56" t="s">
        <v>4</v>
      </c>
      <c r="B9" s="48">
        <v>6</v>
      </c>
      <c r="C9" s="40">
        <f t="shared" ref="C9" si="1">IF(B$2=0,0,B9/B$2)</f>
        <v>0.12244897959183673</v>
      </c>
      <c r="E9" s="63" t="s">
        <v>70</v>
      </c>
      <c r="F9" s="60" t="s">
        <v>25</v>
      </c>
      <c r="G9" s="47">
        <v>29</v>
      </c>
      <c r="H9" s="135">
        <f>IF(B$17=0,0,G9/B$17)</f>
        <v>0.17901234567901234</v>
      </c>
      <c r="I9" s="96">
        <v>7</v>
      </c>
      <c r="K9" s="38">
        <v>7</v>
      </c>
      <c r="L9" s="101">
        <v>256.10000000000002</v>
      </c>
      <c r="N9" s="115" t="s">
        <v>164</v>
      </c>
      <c r="O9" s="34" t="s">
        <v>121</v>
      </c>
      <c r="P9" s="119" t="s">
        <v>117</v>
      </c>
      <c r="Q9" s="107" t="s">
        <v>158</v>
      </c>
    </row>
    <row r="10" spans="1:17" x14ac:dyDescent="0.4">
      <c r="A10" s="56" t="s">
        <v>19</v>
      </c>
      <c r="B10" s="48">
        <v>1</v>
      </c>
      <c r="C10" s="40">
        <f>IF(B$2=0,0,B10/B$2)</f>
        <v>2.0408163265306121E-2</v>
      </c>
      <c r="E10" s="63" t="s">
        <v>66</v>
      </c>
      <c r="F10" s="60" t="s">
        <v>22</v>
      </c>
      <c r="G10" s="47">
        <v>23</v>
      </c>
      <c r="H10" s="135">
        <f>IF(B$17=0,0,G10/B$17)</f>
        <v>0.1419753086419753</v>
      </c>
      <c r="I10" s="96">
        <v>3</v>
      </c>
      <c r="K10" s="38">
        <v>8</v>
      </c>
      <c r="L10" s="101">
        <v>285.20000000000005</v>
      </c>
      <c r="N10" s="116" t="s">
        <v>165</v>
      </c>
      <c r="O10" s="126">
        <f>IF(P10=0,0,Q10/P10)</f>
        <v>17.606666666666666</v>
      </c>
      <c r="P10" s="120">
        <v>15</v>
      </c>
      <c r="Q10" s="108">
        <v>264.09999999999997</v>
      </c>
    </row>
    <row r="11" spans="1:17" x14ac:dyDescent="0.4">
      <c r="A11" s="56" t="s">
        <v>140</v>
      </c>
      <c r="B11" s="48">
        <v>11</v>
      </c>
      <c r="C11" s="40">
        <f>IF(B$2=0,0,B11/B$2)</f>
        <v>0.22448979591836735</v>
      </c>
      <c r="E11" s="63" t="s">
        <v>87</v>
      </c>
      <c r="F11" s="60" t="s">
        <v>42</v>
      </c>
      <c r="G11" s="47">
        <v>15</v>
      </c>
      <c r="H11" s="135">
        <f>IF(B$17=0,0,G11/B$17)</f>
        <v>9.2592592592592587E-2</v>
      </c>
      <c r="I11" s="96">
        <v>2</v>
      </c>
      <c r="K11" s="38">
        <v>9</v>
      </c>
      <c r="L11" s="101">
        <v>277.90000000000003</v>
      </c>
      <c r="N11" s="117" t="s">
        <v>166</v>
      </c>
      <c r="O11" s="127">
        <f>IF(P11=0,0,Q11/P11)</f>
        <v>19.166666666666668</v>
      </c>
      <c r="P11" s="121">
        <v>15</v>
      </c>
      <c r="Q11" s="109">
        <v>287.5</v>
      </c>
    </row>
    <row r="12" spans="1:17" x14ac:dyDescent="0.4">
      <c r="A12" s="57" t="s">
        <v>160</v>
      </c>
      <c r="B12" s="49">
        <v>10</v>
      </c>
      <c r="C12" s="42">
        <f>IF(B$2=0,0,B12/B$2)</f>
        <v>0.20408163265306123</v>
      </c>
      <c r="E12" s="63" t="s">
        <v>71</v>
      </c>
      <c r="F12" s="60" t="s">
        <v>26</v>
      </c>
      <c r="G12" s="47">
        <v>13</v>
      </c>
      <c r="H12" s="135">
        <f>IF(B$17=0,0,G12/B$17)</f>
        <v>8.0246913580246909E-2</v>
      </c>
      <c r="I12" s="96">
        <v>7</v>
      </c>
      <c r="K12" s="38">
        <v>10</v>
      </c>
      <c r="L12" s="101">
        <v>246.20000000000005</v>
      </c>
      <c r="N12" s="118" t="s">
        <v>167</v>
      </c>
      <c r="O12" s="128">
        <f>IF(P12=0,0,Q12/P12)</f>
        <v>38.857894736842105</v>
      </c>
      <c r="P12" s="122">
        <v>19</v>
      </c>
      <c r="Q12" s="110">
        <v>738.30000000000007</v>
      </c>
    </row>
    <row r="13" spans="1:17" x14ac:dyDescent="0.4">
      <c r="A13" s="58" t="s">
        <v>122</v>
      </c>
      <c r="B13" s="50">
        <v>128</v>
      </c>
      <c r="C13" s="44">
        <f>IF(B$3=0,0,B13/B$3)</f>
        <v>0.33420365535248042</v>
      </c>
      <c r="E13" s="63" t="s">
        <v>72</v>
      </c>
      <c r="F13" s="60" t="s">
        <v>27</v>
      </c>
      <c r="G13" s="47">
        <v>10</v>
      </c>
      <c r="H13" s="135">
        <f>IF(B$17=0,0,G13/B$17)</f>
        <v>6.1728395061728392E-2</v>
      </c>
      <c r="I13" s="96">
        <v>5</v>
      </c>
      <c r="K13" s="38">
        <v>11</v>
      </c>
      <c r="L13" s="101">
        <v>333.30000000000007</v>
      </c>
      <c r="N13" s="33"/>
      <c r="O13" s="112"/>
      <c r="P13" s="114"/>
      <c r="Q13" s="112"/>
    </row>
    <row r="14" spans="1:17" x14ac:dyDescent="0.4">
      <c r="A14" s="55" t="s">
        <v>119</v>
      </c>
      <c r="B14" s="47">
        <v>98</v>
      </c>
      <c r="C14" s="39">
        <f>IF(B$3=0,0,B14/B$3)</f>
        <v>0.25587467362924282</v>
      </c>
      <c r="E14" s="63" t="s">
        <v>84</v>
      </c>
      <c r="F14" s="60" t="s">
        <v>39</v>
      </c>
      <c r="G14" s="47">
        <v>9</v>
      </c>
      <c r="H14" s="135">
        <f>IF(B$17=0,0,G14/B$17)</f>
        <v>5.5555555555555552E-2</v>
      </c>
      <c r="I14" s="96">
        <v>3</v>
      </c>
      <c r="K14" s="38">
        <v>12</v>
      </c>
      <c r="L14" s="101">
        <v>371.70000000000005</v>
      </c>
      <c r="N14" s="115" t="s">
        <v>155</v>
      </c>
      <c r="O14" s="34" t="s">
        <v>121</v>
      </c>
      <c r="P14" s="119" t="s">
        <v>117</v>
      </c>
      <c r="Q14" s="107" t="s">
        <v>158</v>
      </c>
    </row>
    <row r="15" spans="1:17" x14ac:dyDescent="0.4">
      <c r="A15" s="54" t="s">
        <v>124</v>
      </c>
      <c r="B15" s="46">
        <v>84</v>
      </c>
      <c r="C15" s="37">
        <f>IF(B$13=0,0,B15/B$13)</f>
        <v>0.65625</v>
      </c>
      <c r="E15" s="63" t="s">
        <v>82</v>
      </c>
      <c r="F15" s="60" t="s">
        <v>37</v>
      </c>
      <c r="G15" s="47">
        <v>4</v>
      </c>
      <c r="H15" s="135">
        <f>IF(B$17=0,0,G15/B$17)</f>
        <v>2.4691358024691357E-2</v>
      </c>
      <c r="I15" s="96">
        <v>5</v>
      </c>
      <c r="K15" s="38">
        <v>13</v>
      </c>
      <c r="L15" s="101">
        <v>418.90000000000003</v>
      </c>
      <c r="N15" s="116" t="s">
        <v>174</v>
      </c>
      <c r="O15" s="126">
        <f>IF(P15=0,0,Q15/P15)</f>
        <v>100.74</v>
      </c>
      <c r="P15" s="120">
        <v>5</v>
      </c>
      <c r="Q15" s="108">
        <v>503.7</v>
      </c>
    </row>
    <row r="16" spans="1:17" x14ac:dyDescent="0.4">
      <c r="A16" s="54" t="s">
        <v>125</v>
      </c>
      <c r="B16" s="46">
        <v>53</v>
      </c>
      <c r="C16" s="37">
        <f>IF(B$14=0,0,B16/B$14)</f>
        <v>0.54081632653061229</v>
      </c>
      <c r="E16" s="63" t="s">
        <v>79</v>
      </c>
      <c r="F16" s="60" t="s">
        <v>34</v>
      </c>
      <c r="G16" s="47">
        <v>3</v>
      </c>
      <c r="H16" s="135">
        <f>IF(B$17=0,0,G16/B$17)</f>
        <v>1.8518518518518517E-2</v>
      </c>
      <c r="I16" s="96">
        <v>4</v>
      </c>
      <c r="K16" s="38">
        <v>14</v>
      </c>
      <c r="L16" s="101">
        <v>473.50000000000006</v>
      </c>
      <c r="N16" s="117" t="s">
        <v>186</v>
      </c>
      <c r="O16" s="127">
        <f>IF(P16=0,0,Q16/P16)</f>
        <v>69.2</v>
      </c>
      <c r="P16" s="121">
        <v>1</v>
      </c>
      <c r="Q16" s="109">
        <v>69.2</v>
      </c>
    </row>
    <row r="17" spans="1:17" x14ac:dyDescent="0.4">
      <c r="A17" s="54" t="s">
        <v>10</v>
      </c>
      <c r="B17" s="46">
        <f>B19+B18</f>
        <v>162</v>
      </c>
      <c r="C17" s="37">
        <f>IF(B$3=0,0,B17/B$3)</f>
        <v>0.42297650130548303</v>
      </c>
      <c r="E17" s="63" t="s">
        <v>74</v>
      </c>
      <c r="F17" s="60" t="s">
        <v>29</v>
      </c>
      <c r="G17" s="47">
        <v>2</v>
      </c>
      <c r="H17" s="135">
        <f>IF(B$17=0,0,G17/B$17)</f>
        <v>1.2345679012345678E-2</v>
      </c>
      <c r="I17" s="96">
        <v>1</v>
      </c>
      <c r="K17" s="38">
        <v>15</v>
      </c>
      <c r="L17" s="101">
        <v>481.50000000000006</v>
      </c>
      <c r="N17" s="117" t="s">
        <v>187</v>
      </c>
      <c r="O17" s="127">
        <f>IF(P17=0,0,Q17/P17)</f>
        <v>56.8</v>
      </c>
      <c r="P17" s="121">
        <v>4</v>
      </c>
      <c r="Q17" s="109">
        <v>227.2</v>
      </c>
    </row>
    <row r="18" spans="1:17" x14ac:dyDescent="0.4">
      <c r="A18" s="55" t="s">
        <v>12</v>
      </c>
      <c r="B18" s="47">
        <v>64</v>
      </c>
      <c r="C18" s="39">
        <f>IF(B$17=0,0,B18/B$17)</f>
        <v>0.39506172839506171</v>
      </c>
      <c r="E18" s="63" t="s">
        <v>92</v>
      </c>
      <c r="F18" s="60" t="s">
        <v>47</v>
      </c>
      <c r="G18" s="47">
        <v>2</v>
      </c>
      <c r="H18" s="135">
        <f>IF(B$17=0,0,G18/B$17)</f>
        <v>1.2345679012345678E-2</v>
      </c>
      <c r="I18" s="96">
        <v>5</v>
      </c>
      <c r="K18" s="38">
        <v>16</v>
      </c>
      <c r="L18" s="101">
        <v>425.50000000000006</v>
      </c>
      <c r="N18" s="117" t="s">
        <v>129</v>
      </c>
      <c r="O18" s="127">
        <f>IF(P18=0,0,Q18/P18)</f>
        <v>54.900000000000006</v>
      </c>
      <c r="P18" s="121">
        <v>13</v>
      </c>
      <c r="Q18" s="109">
        <v>713.7</v>
      </c>
    </row>
    <row r="19" spans="1:17" x14ac:dyDescent="0.4">
      <c r="A19" s="55" t="s">
        <v>11</v>
      </c>
      <c r="B19" s="47">
        <v>98</v>
      </c>
      <c r="C19" s="39">
        <f>IF(B$17=0,0,B19/B$17)</f>
        <v>0.60493827160493829</v>
      </c>
      <c r="E19" s="63" t="s">
        <v>76</v>
      </c>
      <c r="F19" s="60" t="s">
        <v>31</v>
      </c>
      <c r="G19" s="47">
        <v>1</v>
      </c>
      <c r="H19" s="135">
        <f>IF(B$17=0,0,G19/B$17)</f>
        <v>6.1728395061728392E-3</v>
      </c>
      <c r="I19" s="96">
        <v>5</v>
      </c>
      <c r="K19" s="38">
        <v>17</v>
      </c>
      <c r="L19" s="101">
        <v>427.40000000000003</v>
      </c>
      <c r="N19" s="117" t="s">
        <v>178</v>
      </c>
      <c r="O19" s="127">
        <f>IF(P19=0,0,Q19/P19)</f>
        <v>48.9375</v>
      </c>
      <c r="P19" s="121">
        <v>8</v>
      </c>
      <c r="Q19" s="109">
        <v>391.5</v>
      </c>
    </row>
    <row r="20" spans="1:17" x14ac:dyDescent="0.4">
      <c r="A20" s="55" t="s">
        <v>13</v>
      </c>
      <c r="B20" s="47">
        <v>55</v>
      </c>
      <c r="C20" s="39">
        <f>IF(B$3=0,0,B20/B$3)</f>
        <v>0.14360313315926893</v>
      </c>
      <c r="E20" s="63" t="s">
        <v>78</v>
      </c>
      <c r="F20" s="60" t="s">
        <v>33</v>
      </c>
      <c r="G20" s="47">
        <v>1</v>
      </c>
      <c r="H20" s="135">
        <f>IF(B$17=0,0,G20/B$17)</f>
        <v>6.1728395061728392E-3</v>
      </c>
      <c r="I20" s="96">
        <v>2</v>
      </c>
      <c r="K20" s="38">
        <v>18</v>
      </c>
      <c r="L20" s="101">
        <v>429.3</v>
      </c>
      <c r="N20" s="117" t="s">
        <v>173</v>
      </c>
      <c r="O20" s="127">
        <f>IF(P20=0,0,Q20/P20)</f>
        <v>39.800000000000004</v>
      </c>
      <c r="P20" s="121">
        <v>10</v>
      </c>
      <c r="Q20" s="109">
        <v>398.00000000000006</v>
      </c>
    </row>
    <row r="21" spans="1:17" x14ac:dyDescent="0.4">
      <c r="A21" s="55" t="s">
        <v>194</v>
      </c>
      <c r="B21" s="47">
        <v>7</v>
      </c>
      <c r="C21" s="137">
        <v>1</v>
      </c>
      <c r="E21" s="63" t="s">
        <v>80</v>
      </c>
      <c r="F21" s="60" t="s">
        <v>35</v>
      </c>
      <c r="G21" s="47">
        <v>1</v>
      </c>
      <c r="H21" s="135">
        <f>IF(B$17=0,0,G21/B$17)</f>
        <v>6.1728395061728392E-3</v>
      </c>
      <c r="I21" s="96">
        <v>5</v>
      </c>
      <c r="K21" s="38">
        <v>19</v>
      </c>
      <c r="L21" s="101">
        <v>405.40000000000003</v>
      </c>
      <c r="N21" s="117" t="s">
        <v>172</v>
      </c>
      <c r="O21" s="127">
        <f>IF(P21=0,0,Q21/P21)</f>
        <v>29.414285714285711</v>
      </c>
      <c r="P21" s="121">
        <v>21</v>
      </c>
      <c r="Q21" s="109">
        <v>617.69999999999993</v>
      </c>
    </row>
    <row r="22" spans="1:17" x14ac:dyDescent="0.4">
      <c r="A22" s="55" t="s">
        <v>195</v>
      </c>
      <c r="B22" s="47">
        <v>27</v>
      </c>
      <c r="C22" s="137">
        <v>9</v>
      </c>
      <c r="E22" s="63" t="s">
        <v>88</v>
      </c>
      <c r="F22" s="60" t="s">
        <v>43</v>
      </c>
      <c r="G22" s="47">
        <v>1</v>
      </c>
      <c r="H22" s="135">
        <f>IF(B$17=0,0,G22/B$17)</f>
        <v>6.1728395061728392E-3</v>
      </c>
      <c r="I22" s="96">
        <v>1</v>
      </c>
      <c r="K22" s="38">
        <v>20</v>
      </c>
      <c r="L22" s="101">
        <v>469.6</v>
      </c>
      <c r="N22" s="117" t="s">
        <v>128</v>
      </c>
      <c r="O22" s="127">
        <f>IF(P22=0,0,Q22/P22)</f>
        <v>26.352777777777778</v>
      </c>
      <c r="P22" s="121">
        <v>36</v>
      </c>
      <c r="Q22" s="109">
        <v>948.7</v>
      </c>
    </row>
    <row r="23" spans="1:17" x14ac:dyDescent="0.4">
      <c r="A23" s="55" t="s">
        <v>5</v>
      </c>
      <c r="B23" s="51">
        <f>IF(B$17=0,0,C23/B$17)</f>
        <v>9259.2592592592591</v>
      </c>
      <c r="C23" s="41">
        <v>1500000</v>
      </c>
      <c r="E23" s="63" t="s">
        <v>91</v>
      </c>
      <c r="F23" s="60" t="s">
        <v>46</v>
      </c>
      <c r="G23" s="47">
        <v>1</v>
      </c>
      <c r="H23" s="135">
        <f>IF(B$17=0,0,G23/B$17)</f>
        <v>6.1728395061728392E-3</v>
      </c>
      <c r="I23" s="96">
        <v>1</v>
      </c>
      <c r="K23" s="38">
        <v>21</v>
      </c>
      <c r="L23" s="101">
        <v>468.3</v>
      </c>
    </row>
    <row r="24" spans="1:17" x14ac:dyDescent="0.4">
      <c r="A24" s="57" t="s">
        <v>14</v>
      </c>
      <c r="B24" s="52">
        <f>IF(B$20=0,0,C24/B$20)</f>
        <v>-8087.272727272727</v>
      </c>
      <c r="C24" s="45">
        <v>-444800</v>
      </c>
      <c r="E24" s="63" t="s">
        <v>96</v>
      </c>
      <c r="F24" s="60" t="s">
        <v>51</v>
      </c>
      <c r="G24" s="47">
        <v>1</v>
      </c>
      <c r="H24" s="135">
        <f>IF(B$17=0,0,G24/B$17)</f>
        <v>6.1728395061728392E-3</v>
      </c>
      <c r="I24" s="96">
        <v>1</v>
      </c>
      <c r="K24" s="38">
        <v>22</v>
      </c>
      <c r="L24" s="101">
        <v>519.20000000000005</v>
      </c>
    </row>
    <row r="25" spans="1:17" x14ac:dyDescent="0.4">
      <c r="A25" s="92" t="s">
        <v>142</v>
      </c>
      <c r="B25" s="142">
        <v>7</v>
      </c>
      <c r="C25" s="143"/>
      <c r="E25" s="63" t="s">
        <v>75</v>
      </c>
      <c r="F25" s="60" t="s">
        <v>30</v>
      </c>
      <c r="G25" s="47">
        <v>0</v>
      </c>
      <c r="H25" s="135">
        <f>IF(B$17=0,0,G25/B$17)</f>
        <v>0</v>
      </c>
      <c r="I25" s="96">
        <v>3</v>
      </c>
      <c r="K25" s="38">
        <v>23</v>
      </c>
      <c r="L25" s="101">
        <v>555.90000000000009</v>
      </c>
    </row>
    <row r="26" spans="1:17" x14ac:dyDescent="0.4">
      <c r="A26" s="58" t="s">
        <v>152</v>
      </c>
      <c r="B26" s="140">
        <v>105900</v>
      </c>
      <c r="C26" s="141"/>
      <c r="E26" s="63" t="s">
        <v>77</v>
      </c>
      <c r="F26" s="60" t="s">
        <v>32</v>
      </c>
      <c r="G26" s="47">
        <v>0</v>
      </c>
      <c r="H26" s="135">
        <f>IF(B$17=0,0,G26/B$17)</f>
        <v>0</v>
      </c>
      <c r="I26" s="96">
        <v>1</v>
      </c>
      <c r="K26" s="38">
        <v>24</v>
      </c>
      <c r="L26" s="101">
        <v>592.20000000000005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81</v>
      </c>
      <c r="F27" s="60" t="s">
        <v>36</v>
      </c>
      <c r="G27" s="47">
        <v>0</v>
      </c>
      <c r="H27" s="135">
        <f>IF(B$17=0,0,G27/B$17)</f>
        <v>0</v>
      </c>
      <c r="I27" s="96">
        <v>1</v>
      </c>
      <c r="K27" s="38">
        <v>25</v>
      </c>
      <c r="L27" s="101">
        <v>655.20000000000005</v>
      </c>
    </row>
    <row r="28" spans="1:17" x14ac:dyDescent="0.4">
      <c r="E28" s="63" t="s">
        <v>83</v>
      </c>
      <c r="F28" s="60" t="s">
        <v>38</v>
      </c>
      <c r="G28" s="47">
        <v>0</v>
      </c>
      <c r="H28" s="135">
        <f>IF(B$17=0,0,G28/B$17)</f>
        <v>0</v>
      </c>
      <c r="I28" s="96">
        <v>1</v>
      </c>
      <c r="K28" s="38">
        <v>26</v>
      </c>
      <c r="L28" s="101">
        <v>625.40000000000009</v>
      </c>
    </row>
    <row r="29" spans="1:17" x14ac:dyDescent="0.4">
      <c r="E29" s="63" t="s">
        <v>85</v>
      </c>
      <c r="F29" s="60" t="s">
        <v>40</v>
      </c>
      <c r="G29" s="47">
        <v>0</v>
      </c>
      <c r="H29" s="135">
        <f>IF(B$17=0,0,G29/B$17)</f>
        <v>0</v>
      </c>
      <c r="I29" s="96">
        <v>3</v>
      </c>
      <c r="K29" s="38">
        <v>27</v>
      </c>
      <c r="L29" s="101">
        <v>596.30000000000007</v>
      </c>
    </row>
    <row r="30" spans="1:17" x14ac:dyDescent="0.4">
      <c r="E30" s="63" t="s">
        <v>86</v>
      </c>
      <c r="F30" s="60" t="s">
        <v>41</v>
      </c>
      <c r="G30" s="47">
        <v>0</v>
      </c>
      <c r="H30" s="135">
        <f>IF(B$17=0,0,G30/B$17)</f>
        <v>0</v>
      </c>
      <c r="I30" s="96">
        <v>3</v>
      </c>
      <c r="K30" s="38">
        <v>28</v>
      </c>
      <c r="L30" s="101">
        <v>655.6</v>
      </c>
    </row>
    <row r="31" spans="1:17" x14ac:dyDescent="0.4">
      <c r="E31" s="63" t="s">
        <v>89</v>
      </c>
      <c r="F31" s="60" t="s">
        <v>44</v>
      </c>
      <c r="G31" s="47">
        <v>0</v>
      </c>
      <c r="H31" s="135">
        <f>IF(B$17=0,0,G31/B$17)</f>
        <v>0</v>
      </c>
      <c r="I31" s="96">
        <v>3</v>
      </c>
      <c r="K31" s="38">
        <v>29</v>
      </c>
      <c r="L31" s="101">
        <v>703.1</v>
      </c>
    </row>
    <row r="32" spans="1:17" x14ac:dyDescent="0.4">
      <c r="E32" s="63" t="s">
        <v>93</v>
      </c>
      <c r="F32" s="60" t="s">
        <v>48</v>
      </c>
      <c r="G32" s="47">
        <v>0</v>
      </c>
      <c r="H32" s="135">
        <f>IF(B$17=0,0,G32/B$17)</f>
        <v>0</v>
      </c>
      <c r="I32" s="96">
        <v>4</v>
      </c>
      <c r="K32" s="38">
        <v>30</v>
      </c>
      <c r="L32" s="101">
        <v>733.6</v>
      </c>
    </row>
    <row r="33" spans="5:12" x14ac:dyDescent="0.4">
      <c r="E33" s="63" t="s">
        <v>94</v>
      </c>
      <c r="F33" s="60" t="s">
        <v>49</v>
      </c>
      <c r="G33" s="47">
        <v>0</v>
      </c>
      <c r="H33" s="135">
        <f>IF(B$17=0,0,G33/B$17)</f>
        <v>0</v>
      </c>
      <c r="I33" s="96">
        <v>1</v>
      </c>
      <c r="K33" s="38">
        <v>31</v>
      </c>
      <c r="L33" s="101">
        <v>796.80000000000007</v>
      </c>
    </row>
    <row r="34" spans="5:12" x14ac:dyDescent="0.4">
      <c r="E34" s="63" t="s">
        <v>95</v>
      </c>
      <c r="F34" s="60" t="s">
        <v>50</v>
      </c>
      <c r="G34" s="47">
        <v>0</v>
      </c>
      <c r="H34" s="135">
        <f>IF(B$17=0,0,G34/B$17)</f>
        <v>0</v>
      </c>
      <c r="I34" s="96">
        <v>1</v>
      </c>
      <c r="K34" s="38">
        <v>32</v>
      </c>
      <c r="L34" s="101">
        <v>788.30000000000007</v>
      </c>
    </row>
    <row r="35" spans="5:12" x14ac:dyDescent="0.4">
      <c r="E35" s="63" t="s">
        <v>97</v>
      </c>
      <c r="F35" s="60" t="s">
        <v>52</v>
      </c>
      <c r="G35" s="47">
        <v>0</v>
      </c>
      <c r="H35" s="135">
        <f>IF(B$17=0,0,G35/B$17)</f>
        <v>0</v>
      </c>
      <c r="I35" s="96">
        <v>1</v>
      </c>
      <c r="K35" s="38">
        <v>33</v>
      </c>
      <c r="L35" s="101">
        <v>850.1</v>
      </c>
    </row>
    <row r="36" spans="5:12" x14ac:dyDescent="0.4">
      <c r="E36" s="63" t="s">
        <v>98</v>
      </c>
      <c r="F36" s="60" t="s">
        <v>53</v>
      </c>
      <c r="G36" s="47">
        <v>0</v>
      </c>
      <c r="H36" s="135">
        <f>IF(B$17=0,0,G36/B$17)</f>
        <v>0</v>
      </c>
      <c r="I36" s="96">
        <v>1</v>
      </c>
      <c r="K36" s="38">
        <v>34</v>
      </c>
      <c r="L36" s="101">
        <v>875.4</v>
      </c>
    </row>
    <row r="37" spans="5:12" x14ac:dyDescent="0.4">
      <c r="E37" s="63" t="s">
        <v>99</v>
      </c>
      <c r="F37" s="60" t="s">
        <v>54</v>
      </c>
      <c r="G37" s="47">
        <v>0</v>
      </c>
      <c r="H37" s="135">
        <f>IF(B$17=0,0,G37/B$17)</f>
        <v>0</v>
      </c>
      <c r="I37" s="96">
        <v>1</v>
      </c>
      <c r="K37" s="38">
        <v>35</v>
      </c>
      <c r="L37" s="101">
        <v>907.3</v>
      </c>
    </row>
    <row r="38" spans="5:12" x14ac:dyDescent="0.4">
      <c r="E38" s="63" t="s">
        <v>100</v>
      </c>
      <c r="F38" s="60" t="s">
        <v>55</v>
      </c>
      <c r="G38" s="47">
        <v>0</v>
      </c>
      <c r="H38" s="135">
        <f>IF(B$17=0,0,G38/B$17)</f>
        <v>0</v>
      </c>
      <c r="I38" s="96">
        <v>1</v>
      </c>
      <c r="K38" s="38">
        <v>36</v>
      </c>
      <c r="L38" s="101">
        <v>976.3</v>
      </c>
    </row>
    <row r="39" spans="5:12" x14ac:dyDescent="0.4">
      <c r="E39" s="63" t="s">
        <v>101</v>
      </c>
      <c r="F39" s="60" t="s">
        <v>56</v>
      </c>
      <c r="G39" s="47">
        <v>0</v>
      </c>
      <c r="H39" s="135">
        <f>IF(B$17=0,0,G39/B$17)</f>
        <v>0</v>
      </c>
      <c r="I39" s="96">
        <v>1</v>
      </c>
      <c r="K39" s="38">
        <v>37</v>
      </c>
      <c r="L39" s="101">
        <v>1013</v>
      </c>
    </row>
    <row r="40" spans="5:12" x14ac:dyDescent="0.4">
      <c r="E40" s="63" t="s">
        <v>102</v>
      </c>
      <c r="F40" s="60" t="s">
        <v>57</v>
      </c>
      <c r="G40" s="47">
        <v>0</v>
      </c>
      <c r="H40" s="135">
        <f>IF(B$17=0,0,G40/B$17)</f>
        <v>0</v>
      </c>
      <c r="I40" s="96">
        <v>1</v>
      </c>
      <c r="K40" s="38">
        <v>38</v>
      </c>
      <c r="L40" s="101">
        <v>1082.5999999999999</v>
      </c>
    </row>
    <row r="41" spans="5:12" x14ac:dyDescent="0.4">
      <c r="E41" s="63" t="s">
        <v>103</v>
      </c>
      <c r="F41" s="60" t="s">
        <v>58</v>
      </c>
      <c r="G41" s="47">
        <v>0</v>
      </c>
      <c r="H41" s="135">
        <f>IF(B$17=0,0,G41/B$17)</f>
        <v>0</v>
      </c>
      <c r="I41" s="96">
        <v>1</v>
      </c>
      <c r="K41" s="38">
        <v>39</v>
      </c>
      <c r="L41" s="101">
        <v>1131.0999999999999</v>
      </c>
    </row>
    <row r="42" spans="5:12" x14ac:dyDescent="0.4">
      <c r="E42" s="63" t="s">
        <v>104</v>
      </c>
      <c r="F42" s="60" t="s">
        <v>59</v>
      </c>
      <c r="G42" s="47">
        <v>0</v>
      </c>
      <c r="H42" s="135">
        <f>IF(B$17=0,0,G42/B$17)</f>
        <v>0</v>
      </c>
      <c r="I42" s="96">
        <v>1</v>
      </c>
      <c r="K42" s="38">
        <v>40</v>
      </c>
      <c r="L42" s="101">
        <v>1078.8</v>
      </c>
    </row>
    <row r="43" spans="5:12" x14ac:dyDescent="0.4">
      <c r="E43" s="63" t="s">
        <v>105</v>
      </c>
      <c r="F43" s="60" t="s">
        <v>60</v>
      </c>
      <c r="G43" s="47">
        <v>0</v>
      </c>
      <c r="H43" s="135">
        <f>IF(B$17=0,0,G43/B$17)</f>
        <v>0</v>
      </c>
      <c r="I43" s="96">
        <v>1</v>
      </c>
      <c r="K43" s="38">
        <v>41</v>
      </c>
      <c r="L43" s="101">
        <v>1114</v>
      </c>
    </row>
    <row r="44" spans="5:12" x14ac:dyDescent="0.4">
      <c r="E44" s="63" t="s">
        <v>106</v>
      </c>
      <c r="F44" s="60" t="s">
        <v>113</v>
      </c>
      <c r="G44" s="47">
        <v>0</v>
      </c>
      <c r="H44" s="135">
        <f>IF(B$17=0,0,G44/B$17)</f>
        <v>0</v>
      </c>
      <c r="I44" s="96">
        <v>1</v>
      </c>
      <c r="K44" s="38">
        <v>42</v>
      </c>
      <c r="L44" s="101">
        <v>1147.5</v>
      </c>
    </row>
    <row r="45" spans="5:12" x14ac:dyDescent="0.4">
      <c r="E45" s="63" t="s">
        <v>107</v>
      </c>
      <c r="F45" s="60" t="s">
        <v>114</v>
      </c>
      <c r="G45" s="47">
        <v>0</v>
      </c>
      <c r="H45" s="135">
        <f>IF(B$17=0,0,G45/B$17)</f>
        <v>0</v>
      </c>
      <c r="I45" s="96">
        <v>1</v>
      </c>
      <c r="K45" s="38">
        <v>43</v>
      </c>
      <c r="L45" s="101">
        <v>1151</v>
      </c>
    </row>
    <row r="46" spans="5:12" x14ac:dyDescent="0.4">
      <c r="E46" s="63" t="s">
        <v>108</v>
      </c>
      <c r="F46" s="60" t="s">
        <v>115</v>
      </c>
      <c r="G46" s="47">
        <v>0</v>
      </c>
      <c r="H46" s="135">
        <f>IF(B$17=0,0,G46/B$17)</f>
        <v>0</v>
      </c>
      <c r="I46" s="96">
        <v>1</v>
      </c>
      <c r="K46" s="38">
        <v>44</v>
      </c>
      <c r="L46" s="101">
        <v>1208</v>
      </c>
    </row>
    <row r="47" spans="5:12" x14ac:dyDescent="0.4">
      <c r="E47" s="63" t="s">
        <v>109</v>
      </c>
      <c r="F47" s="60" t="s">
        <v>61</v>
      </c>
      <c r="G47" s="47">
        <v>0</v>
      </c>
      <c r="H47" s="135">
        <f>IF(B$17=0,0,G47/B$17)</f>
        <v>0</v>
      </c>
      <c r="I47" s="96">
        <v>1</v>
      </c>
      <c r="K47" s="38">
        <v>45</v>
      </c>
      <c r="L47" s="101">
        <v>1203.5999999999999</v>
      </c>
    </row>
    <row r="48" spans="5:12" x14ac:dyDescent="0.4">
      <c r="E48" s="63" t="s">
        <v>110</v>
      </c>
      <c r="F48" s="60" t="s">
        <v>62</v>
      </c>
      <c r="G48" s="47">
        <v>0</v>
      </c>
      <c r="H48" s="135">
        <f>IF(B$17=0,0,G48/B$17)</f>
        <v>0</v>
      </c>
      <c r="I48" s="96">
        <v>1</v>
      </c>
      <c r="K48" s="38">
        <v>46</v>
      </c>
      <c r="L48" s="101">
        <v>1212.5999999999999</v>
      </c>
    </row>
    <row r="49" spans="5:12" x14ac:dyDescent="0.4">
      <c r="E49" s="63" t="s">
        <v>111</v>
      </c>
      <c r="F49" s="60" t="s">
        <v>63</v>
      </c>
      <c r="G49" s="47">
        <v>0</v>
      </c>
      <c r="H49" s="135">
        <f>IF(B$17=0,0,G49/B$17)</f>
        <v>0</v>
      </c>
      <c r="I49" s="96">
        <v>1</v>
      </c>
      <c r="K49" s="38">
        <v>47</v>
      </c>
      <c r="L49" s="101">
        <v>1264.5</v>
      </c>
    </row>
    <row r="50" spans="5:12" x14ac:dyDescent="0.4">
      <c r="E50" s="63" t="s">
        <v>112</v>
      </c>
      <c r="F50" s="60" t="s">
        <v>64</v>
      </c>
      <c r="G50" s="47">
        <v>0</v>
      </c>
      <c r="H50" s="135">
        <f>IF(B$17=0,0,G50/B$17)</f>
        <v>0</v>
      </c>
      <c r="I50" s="96">
        <v>1</v>
      </c>
      <c r="K50" s="38">
        <v>48</v>
      </c>
      <c r="L50" s="101">
        <v>1259.3</v>
      </c>
    </row>
    <row r="51" spans="5:12" x14ac:dyDescent="0.4">
      <c r="E51" s="64" t="s">
        <v>181</v>
      </c>
      <c r="F51" s="61" t="s">
        <v>184</v>
      </c>
      <c r="G51" s="49">
        <v>0</v>
      </c>
      <c r="H51" s="136">
        <f>IF(B$17=0,0,G51/B$17)</f>
        <v>0</v>
      </c>
      <c r="I51" s="97">
        <v>4</v>
      </c>
      <c r="K51" s="38">
        <v>49</v>
      </c>
      <c r="L51" s="101">
        <v>1289.8999999999999</v>
      </c>
    </row>
  </sheetData>
  <sortState ref="N15:Q22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0AA4F2-FEF6-4AA4-B715-4063685687A3}">
  <sheetPr codeName="Sheet9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0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1" customWidth="1"/>
    <col min="13" max="13" width="3.625" style="33" customWidth="1"/>
    <col min="14" max="14" width="9" style="117" customWidth="1"/>
    <col min="15" max="15" width="9" style="127" customWidth="1"/>
    <col min="16" max="16" width="9" style="121" customWidth="1"/>
    <col min="17" max="17" width="3.625" style="109" customWidth="1"/>
    <col min="18" max="16384" width="9" style="33"/>
  </cols>
  <sheetData>
    <row r="1" spans="1:17" x14ac:dyDescent="0.4">
      <c r="A1" s="53" t="s">
        <v>0</v>
      </c>
      <c r="B1" s="146" t="s">
        <v>128</v>
      </c>
      <c r="C1" s="147"/>
      <c r="E1" s="131" t="s">
        <v>168</v>
      </c>
      <c r="F1" s="139" t="s">
        <v>116</v>
      </c>
      <c r="G1" s="138" t="s">
        <v>117</v>
      </c>
      <c r="H1" s="132" t="s">
        <v>118</v>
      </c>
      <c r="I1" s="139" t="s">
        <v>154</v>
      </c>
      <c r="K1" s="34" t="s">
        <v>20</v>
      </c>
      <c r="L1" s="35" t="s">
        <v>121</v>
      </c>
      <c r="M1" s="133"/>
      <c r="N1" s="115" t="s">
        <v>138</v>
      </c>
      <c r="O1" s="34" t="s">
        <v>139</v>
      </c>
      <c r="P1" s="119" t="s">
        <v>117</v>
      </c>
      <c r="Q1" s="103" t="s">
        <v>158</v>
      </c>
    </row>
    <row r="2" spans="1:17" x14ac:dyDescent="0.4">
      <c r="A2" s="54" t="s">
        <v>9</v>
      </c>
      <c r="B2" s="148">
        <v>50</v>
      </c>
      <c r="C2" s="149"/>
      <c r="E2" s="62" t="s">
        <v>67</v>
      </c>
      <c r="F2" s="59" t="s">
        <v>23</v>
      </c>
      <c r="G2" s="46">
        <v>78</v>
      </c>
      <c r="H2" s="134">
        <f>IF(B$17=0,0,G2/B$17)</f>
        <v>0.65</v>
      </c>
      <c r="I2" s="95">
        <v>8</v>
      </c>
      <c r="K2" s="36">
        <v>0</v>
      </c>
      <c r="L2" s="100">
        <v>0</v>
      </c>
      <c r="N2" s="116" t="s">
        <v>132</v>
      </c>
      <c r="O2" s="123">
        <f t="shared" ref="O2:O7" si="0">IF(P2=0,0,Q2/P2)</f>
        <v>754</v>
      </c>
      <c r="P2" s="120">
        <v>50</v>
      </c>
      <c r="Q2" s="104">
        <v>37700</v>
      </c>
    </row>
    <row r="3" spans="1:17" x14ac:dyDescent="0.4">
      <c r="A3" s="55" t="s">
        <v>8</v>
      </c>
      <c r="B3" s="150">
        <v>418</v>
      </c>
      <c r="C3" s="151"/>
      <c r="E3" s="63" t="s">
        <v>65</v>
      </c>
      <c r="F3" s="60" t="s">
        <v>21</v>
      </c>
      <c r="G3" s="47">
        <v>71</v>
      </c>
      <c r="H3" s="135">
        <f>IF(B$17=0,0,G3/B$17)</f>
        <v>0.59166666666666667</v>
      </c>
      <c r="I3" s="96">
        <v>2</v>
      </c>
      <c r="K3" s="38">
        <v>1</v>
      </c>
      <c r="L3" s="101">
        <v>45.5</v>
      </c>
      <c r="N3" s="117" t="s">
        <v>133</v>
      </c>
      <c r="O3" s="124">
        <f t="shared" si="0"/>
        <v>-579.59183673469386</v>
      </c>
      <c r="P3" s="121">
        <v>49</v>
      </c>
      <c r="Q3" s="105">
        <v>-28400</v>
      </c>
    </row>
    <row r="4" spans="1:17" x14ac:dyDescent="0.4">
      <c r="A4" s="55" t="s">
        <v>6</v>
      </c>
      <c r="B4" s="152">
        <v>-0.70000000000004015</v>
      </c>
      <c r="C4" s="153"/>
      <c r="E4" s="63" t="s">
        <v>73</v>
      </c>
      <c r="F4" s="60" t="s">
        <v>28</v>
      </c>
      <c r="G4" s="47">
        <v>50</v>
      </c>
      <c r="H4" s="135">
        <f>IF(B$17=0,0,G4/B$17)</f>
        <v>0.41666666666666669</v>
      </c>
      <c r="I4" s="96">
        <v>10</v>
      </c>
      <c r="K4" s="38">
        <v>2</v>
      </c>
      <c r="L4" s="101">
        <v>6.2999999999999972</v>
      </c>
      <c r="N4" s="117" t="s">
        <v>134</v>
      </c>
      <c r="O4" s="124">
        <f t="shared" si="0"/>
        <v>-1148.936170212766</v>
      </c>
      <c r="P4" s="121">
        <v>47</v>
      </c>
      <c r="Q4" s="105">
        <v>-54000</v>
      </c>
    </row>
    <row r="5" spans="1:17" x14ac:dyDescent="0.4">
      <c r="A5" s="55" t="s">
        <v>7</v>
      </c>
      <c r="B5" s="154">
        <f>IF(B$2=0,0,B$4/B$2)</f>
        <v>-1.4000000000000803E-2</v>
      </c>
      <c r="C5" s="155"/>
      <c r="E5" s="63" t="s">
        <v>182</v>
      </c>
      <c r="F5" s="60" t="s">
        <v>183</v>
      </c>
      <c r="G5" s="47">
        <v>49</v>
      </c>
      <c r="H5" s="135">
        <f>IF(B$17=0,0,G5/B$17)</f>
        <v>0.40833333333333333</v>
      </c>
      <c r="I5" s="96">
        <v>3</v>
      </c>
      <c r="K5" s="38">
        <v>3</v>
      </c>
      <c r="L5" s="101">
        <v>-47.300000000000004</v>
      </c>
      <c r="N5" s="117" t="s">
        <v>135</v>
      </c>
      <c r="O5" s="124">
        <f t="shared" si="0"/>
        <v>126.82926829268293</v>
      </c>
      <c r="P5" s="121">
        <v>41</v>
      </c>
      <c r="Q5" s="105">
        <v>5200</v>
      </c>
    </row>
    <row r="6" spans="1:17" x14ac:dyDescent="0.4">
      <c r="A6" s="55" t="s">
        <v>1</v>
      </c>
      <c r="B6" s="144">
        <f>IF(B$2=0,0,(B$7*1+B$8*2+B$9*3)/B$2)</f>
        <v>2.02</v>
      </c>
      <c r="C6" s="145"/>
      <c r="E6" s="63" t="s">
        <v>68</v>
      </c>
      <c r="F6" s="60" t="s">
        <v>24</v>
      </c>
      <c r="G6" s="47">
        <v>44</v>
      </c>
      <c r="H6" s="135">
        <f>IF(B$17=0,0,G6/B$17)</f>
        <v>0.36666666666666664</v>
      </c>
      <c r="I6" s="96">
        <v>3</v>
      </c>
      <c r="K6" s="38">
        <v>4</v>
      </c>
      <c r="L6" s="101">
        <v>13.599999999999994</v>
      </c>
      <c r="N6" s="117" t="s">
        <v>136</v>
      </c>
      <c r="O6" s="124">
        <f t="shared" si="0"/>
        <v>825.64102564102564</v>
      </c>
      <c r="P6" s="121">
        <v>39</v>
      </c>
      <c r="Q6" s="105">
        <v>32200</v>
      </c>
    </row>
    <row r="7" spans="1:17" x14ac:dyDescent="0.4">
      <c r="A7" s="55" t="s">
        <v>2</v>
      </c>
      <c r="B7" s="47">
        <v>14</v>
      </c>
      <c r="C7" s="39">
        <f>IF(B$2=0,0,B7/B$2)</f>
        <v>0.28000000000000003</v>
      </c>
      <c r="E7" s="63" t="s">
        <v>69</v>
      </c>
      <c r="F7" s="60" t="s">
        <v>12</v>
      </c>
      <c r="G7" s="47">
        <v>43</v>
      </c>
      <c r="H7" s="135">
        <f>IF(B$17=0,0,G7/B$17)</f>
        <v>0.35833333333333334</v>
      </c>
      <c r="I7" s="96">
        <v>4</v>
      </c>
      <c r="K7" s="38">
        <v>5</v>
      </c>
      <c r="L7" s="101">
        <v>-16.600000000000005</v>
      </c>
      <c r="N7" s="118" t="s">
        <v>137</v>
      </c>
      <c r="O7" s="125">
        <f t="shared" si="0"/>
        <v>718.91891891891896</v>
      </c>
      <c r="P7" s="122">
        <v>37</v>
      </c>
      <c r="Q7" s="106">
        <v>26600</v>
      </c>
    </row>
    <row r="8" spans="1:17" x14ac:dyDescent="0.4">
      <c r="A8" s="55" t="s">
        <v>3</v>
      </c>
      <c r="B8" s="47">
        <v>21</v>
      </c>
      <c r="C8" s="39">
        <f>IF(B$2=0,0,B8/B$2)</f>
        <v>0.42</v>
      </c>
      <c r="E8" s="63" t="s">
        <v>70</v>
      </c>
      <c r="F8" s="60" t="s">
        <v>25</v>
      </c>
      <c r="G8" s="47">
        <v>26</v>
      </c>
      <c r="H8" s="135">
        <f>IF(B$17=0,0,G8/B$17)</f>
        <v>0.21666666666666667</v>
      </c>
      <c r="I8" s="96">
        <v>3</v>
      </c>
      <c r="K8" s="38">
        <v>6</v>
      </c>
      <c r="L8" s="101">
        <v>-14.000000000000005</v>
      </c>
      <c r="N8" s="43"/>
      <c r="O8" s="129"/>
      <c r="P8" s="113"/>
      <c r="Q8" s="111"/>
    </row>
    <row r="9" spans="1:17" x14ac:dyDescent="0.4">
      <c r="A9" s="56" t="s">
        <v>4</v>
      </c>
      <c r="B9" s="48">
        <v>15</v>
      </c>
      <c r="C9" s="40">
        <f t="shared" ref="C9" si="1">IF(B$2=0,0,B9/B$2)</f>
        <v>0.3</v>
      </c>
      <c r="E9" s="63" t="s">
        <v>71</v>
      </c>
      <c r="F9" s="60" t="s">
        <v>26</v>
      </c>
      <c r="G9" s="47">
        <v>19</v>
      </c>
      <c r="H9" s="135">
        <f>IF(B$17=0,0,G9/B$17)</f>
        <v>0.15833333333333333</v>
      </c>
      <c r="I9" s="96">
        <v>2</v>
      </c>
      <c r="K9" s="38">
        <v>7</v>
      </c>
      <c r="L9" s="101">
        <v>-45.300000000000004</v>
      </c>
      <c r="N9" s="115" t="s">
        <v>164</v>
      </c>
      <c r="O9" s="34" t="s">
        <v>121</v>
      </c>
      <c r="P9" s="119" t="s">
        <v>117</v>
      </c>
      <c r="Q9" s="107" t="s">
        <v>158</v>
      </c>
    </row>
    <row r="10" spans="1:17" x14ac:dyDescent="0.4">
      <c r="A10" s="56" t="s">
        <v>19</v>
      </c>
      <c r="B10" s="48">
        <v>7</v>
      </c>
      <c r="C10" s="40">
        <f>IF(B$2=0,0,B10/B$2)</f>
        <v>0.14000000000000001</v>
      </c>
      <c r="E10" s="63" t="s">
        <v>66</v>
      </c>
      <c r="F10" s="60" t="s">
        <v>22</v>
      </c>
      <c r="G10" s="47">
        <v>16</v>
      </c>
      <c r="H10" s="135">
        <f>IF(B$17=0,0,G10/B$17)</f>
        <v>0.13333333333333333</v>
      </c>
      <c r="I10" s="96">
        <v>5</v>
      </c>
      <c r="K10" s="38">
        <v>8</v>
      </c>
      <c r="L10" s="101">
        <v>-49.6</v>
      </c>
      <c r="N10" s="116" t="s">
        <v>165</v>
      </c>
      <c r="O10" s="126">
        <f>IF(P10=0,0,Q10/P10)</f>
        <v>0.69999999999999818</v>
      </c>
      <c r="P10" s="120">
        <v>26</v>
      </c>
      <c r="Q10" s="108">
        <v>18.199999999999953</v>
      </c>
    </row>
    <row r="11" spans="1:17" x14ac:dyDescent="0.4">
      <c r="A11" s="56" t="s">
        <v>140</v>
      </c>
      <c r="B11" s="48">
        <v>4</v>
      </c>
      <c r="C11" s="40">
        <f>IF(B$2=0,0,B11/B$2)</f>
        <v>0.08</v>
      </c>
      <c r="E11" s="63" t="s">
        <v>90</v>
      </c>
      <c r="F11" s="60" t="s">
        <v>45</v>
      </c>
      <c r="G11" s="47">
        <v>10</v>
      </c>
      <c r="H11" s="135">
        <f>IF(B$17=0,0,G11/B$17)</f>
        <v>8.3333333333333329E-2</v>
      </c>
      <c r="I11" s="96">
        <v>10</v>
      </c>
      <c r="K11" s="38">
        <v>9</v>
      </c>
      <c r="L11" s="101">
        <v>-79.5</v>
      </c>
      <c r="N11" s="117" t="s">
        <v>166</v>
      </c>
      <c r="O11" s="127">
        <f>IF(P11=0,0,Q11/P11)</f>
        <v>-7.26</v>
      </c>
      <c r="P11" s="121">
        <v>15</v>
      </c>
      <c r="Q11" s="109">
        <v>-108.89999999999999</v>
      </c>
    </row>
    <row r="12" spans="1:17" x14ac:dyDescent="0.4">
      <c r="A12" s="57" t="s">
        <v>160</v>
      </c>
      <c r="B12" s="49">
        <v>4</v>
      </c>
      <c r="C12" s="42">
        <f>IF(B$2=0,0,B12/B$2)</f>
        <v>0.08</v>
      </c>
      <c r="E12" s="63" t="s">
        <v>87</v>
      </c>
      <c r="F12" s="60" t="s">
        <v>42</v>
      </c>
      <c r="G12" s="47">
        <v>8</v>
      </c>
      <c r="H12" s="135">
        <f>IF(B$17=0,0,G12/B$17)</f>
        <v>6.6666666666666666E-2</v>
      </c>
      <c r="I12" s="96">
        <v>4</v>
      </c>
      <c r="K12" s="38">
        <v>10</v>
      </c>
      <c r="L12" s="101">
        <v>-80.900000000000006</v>
      </c>
      <c r="N12" s="118" t="s">
        <v>167</v>
      </c>
      <c r="O12" s="128">
        <f>IF(P12=0,0,Q12/P12)</f>
        <v>10</v>
      </c>
      <c r="P12" s="122">
        <v>9</v>
      </c>
      <c r="Q12" s="110">
        <v>90</v>
      </c>
    </row>
    <row r="13" spans="1:17" x14ac:dyDescent="0.4">
      <c r="A13" s="58" t="s">
        <v>122</v>
      </c>
      <c r="B13" s="50">
        <v>119</v>
      </c>
      <c r="C13" s="44">
        <f>IF(B$3=0,0,B13/B$3)</f>
        <v>0.28468899521531099</v>
      </c>
      <c r="E13" s="63" t="s">
        <v>82</v>
      </c>
      <c r="F13" s="60" t="s">
        <v>37</v>
      </c>
      <c r="G13" s="47">
        <v>5</v>
      </c>
      <c r="H13" s="135">
        <f>IF(B$17=0,0,G13/B$17)</f>
        <v>4.1666666666666664E-2</v>
      </c>
      <c r="I13" s="96">
        <v>3</v>
      </c>
      <c r="K13" s="38">
        <v>11</v>
      </c>
      <c r="L13" s="101">
        <v>-53.100000000000009</v>
      </c>
      <c r="N13" s="33"/>
      <c r="O13" s="112"/>
      <c r="P13" s="114"/>
      <c r="Q13" s="112"/>
    </row>
    <row r="14" spans="1:17" x14ac:dyDescent="0.4">
      <c r="A14" s="55" t="s">
        <v>119</v>
      </c>
      <c r="B14" s="47">
        <v>72</v>
      </c>
      <c r="C14" s="39">
        <f>IF(B$3=0,0,B14/B$3)</f>
        <v>0.17224880382775121</v>
      </c>
      <c r="E14" s="63" t="s">
        <v>92</v>
      </c>
      <c r="F14" s="60" t="s">
        <v>47</v>
      </c>
      <c r="G14" s="47">
        <v>5</v>
      </c>
      <c r="H14" s="135">
        <f>IF(B$17=0,0,G14/B$17)</f>
        <v>4.1666666666666664E-2</v>
      </c>
      <c r="I14" s="96">
        <v>2</v>
      </c>
      <c r="K14" s="38">
        <v>12</v>
      </c>
      <c r="L14" s="101">
        <v>-56.500000000000007</v>
      </c>
      <c r="N14" s="115" t="s">
        <v>155</v>
      </c>
      <c r="O14" s="34" t="s">
        <v>121</v>
      </c>
      <c r="P14" s="119" t="s">
        <v>117</v>
      </c>
      <c r="Q14" s="107" t="s">
        <v>158</v>
      </c>
    </row>
    <row r="15" spans="1:17" x14ac:dyDescent="0.4">
      <c r="A15" s="54" t="s">
        <v>124</v>
      </c>
      <c r="B15" s="46">
        <v>76</v>
      </c>
      <c r="C15" s="37">
        <f>IF(B$13=0,0,B15/B$13)</f>
        <v>0.6386554621848739</v>
      </c>
      <c r="E15" s="63" t="s">
        <v>72</v>
      </c>
      <c r="F15" s="60" t="s">
        <v>27</v>
      </c>
      <c r="G15" s="47">
        <v>4</v>
      </c>
      <c r="H15" s="135">
        <f>IF(B$17=0,0,G15/B$17)</f>
        <v>3.3333333333333333E-2</v>
      </c>
      <c r="I15" s="96">
        <v>8</v>
      </c>
      <c r="K15" s="38">
        <v>13</v>
      </c>
      <c r="L15" s="101">
        <v>-81.900000000000006</v>
      </c>
      <c r="N15" s="116" t="s">
        <v>187</v>
      </c>
      <c r="O15" s="126">
        <f>IF(P15=0,0,Q15/P15)</f>
        <v>64.425000000000011</v>
      </c>
      <c r="P15" s="120">
        <v>4</v>
      </c>
      <c r="Q15" s="108">
        <v>257.70000000000005</v>
      </c>
    </row>
    <row r="16" spans="1:17" x14ac:dyDescent="0.4">
      <c r="A16" s="54" t="s">
        <v>125</v>
      </c>
      <c r="B16" s="46">
        <v>17</v>
      </c>
      <c r="C16" s="37">
        <f>IF(B$14=0,0,B16/B$14)</f>
        <v>0.2361111111111111</v>
      </c>
      <c r="E16" s="63" t="s">
        <v>181</v>
      </c>
      <c r="F16" s="60" t="s">
        <v>184</v>
      </c>
      <c r="G16" s="47">
        <v>3</v>
      </c>
      <c r="H16" s="135">
        <f>IF(B$17=0,0,G16/B$17)</f>
        <v>2.5000000000000001E-2</v>
      </c>
      <c r="I16" s="96">
        <v>2</v>
      </c>
      <c r="K16" s="38">
        <v>14</v>
      </c>
      <c r="L16" s="101">
        <v>-25.600000000000009</v>
      </c>
      <c r="N16" s="117" t="s">
        <v>129</v>
      </c>
      <c r="O16" s="127">
        <f>IF(P16=0,0,Q16/P16)</f>
        <v>22.99285714285714</v>
      </c>
      <c r="P16" s="121">
        <v>14</v>
      </c>
      <c r="Q16" s="109">
        <v>321.89999999999998</v>
      </c>
    </row>
    <row r="17" spans="1:17" x14ac:dyDescent="0.4">
      <c r="A17" s="54" t="s">
        <v>10</v>
      </c>
      <c r="B17" s="46">
        <f>B19+B18</f>
        <v>120</v>
      </c>
      <c r="C17" s="37">
        <f>IF(B$3=0,0,B17/B$3)</f>
        <v>0.28708133971291866</v>
      </c>
      <c r="E17" s="63" t="s">
        <v>75</v>
      </c>
      <c r="F17" s="60" t="s">
        <v>30</v>
      </c>
      <c r="G17" s="47">
        <v>2</v>
      </c>
      <c r="H17" s="135">
        <f>IF(B$17=0,0,G17/B$17)</f>
        <v>1.6666666666666666E-2</v>
      </c>
      <c r="I17" s="96">
        <v>1</v>
      </c>
      <c r="K17" s="38">
        <v>15</v>
      </c>
      <c r="L17" s="101">
        <v>47.999999999999986</v>
      </c>
      <c r="N17" s="117" t="s">
        <v>172</v>
      </c>
      <c r="O17" s="127">
        <f>IF(P17=0,0,Q17/P17)</f>
        <v>21.681250000000009</v>
      </c>
      <c r="P17" s="121">
        <v>16</v>
      </c>
      <c r="Q17" s="109">
        <v>346.90000000000015</v>
      </c>
    </row>
    <row r="18" spans="1:17" x14ac:dyDescent="0.4">
      <c r="A18" s="55" t="s">
        <v>12</v>
      </c>
      <c r="B18" s="47">
        <v>47</v>
      </c>
      <c r="C18" s="39">
        <f>IF(B$17=0,0,B18/B$17)</f>
        <v>0.39166666666666666</v>
      </c>
      <c r="E18" s="63" t="s">
        <v>80</v>
      </c>
      <c r="F18" s="60" t="s">
        <v>35</v>
      </c>
      <c r="G18" s="47">
        <v>2</v>
      </c>
      <c r="H18" s="135">
        <f>IF(B$17=0,0,G18/B$17)</f>
        <v>1.6666666666666666E-2</v>
      </c>
      <c r="I18" s="96">
        <v>3</v>
      </c>
      <c r="K18" s="38">
        <v>16</v>
      </c>
      <c r="L18" s="101">
        <v>41.699999999999989</v>
      </c>
      <c r="N18" s="117" t="s">
        <v>174</v>
      </c>
      <c r="O18" s="127">
        <f>IF(P18=0,0,Q18/P18)</f>
        <v>10.462499999999999</v>
      </c>
      <c r="P18" s="121">
        <v>8</v>
      </c>
      <c r="Q18" s="109">
        <v>83.699999999999989</v>
      </c>
    </row>
    <row r="19" spans="1:17" x14ac:dyDescent="0.4">
      <c r="A19" s="55" t="s">
        <v>11</v>
      </c>
      <c r="B19" s="47">
        <v>73</v>
      </c>
      <c r="C19" s="39">
        <f>IF(B$17=0,0,B19/B$17)</f>
        <v>0.60833333333333328</v>
      </c>
      <c r="E19" s="63" t="s">
        <v>84</v>
      </c>
      <c r="F19" s="60" t="s">
        <v>39</v>
      </c>
      <c r="G19" s="47">
        <v>2</v>
      </c>
      <c r="H19" s="135">
        <f>IF(B$17=0,0,G19/B$17)</f>
        <v>1.6666666666666666E-2</v>
      </c>
      <c r="I19" s="96">
        <v>9</v>
      </c>
      <c r="K19" s="38">
        <v>17</v>
      </c>
      <c r="L19" s="101">
        <v>94.6</v>
      </c>
      <c r="N19" s="117" t="s">
        <v>178</v>
      </c>
      <c r="O19" s="127">
        <f>IF(P19=0,0,Q19/P19)</f>
        <v>-0.75</v>
      </c>
      <c r="P19" s="121">
        <v>10</v>
      </c>
      <c r="Q19" s="109">
        <v>-7.5</v>
      </c>
    </row>
    <row r="20" spans="1:17" x14ac:dyDescent="0.4">
      <c r="A20" s="55" t="s">
        <v>13</v>
      </c>
      <c r="B20" s="47">
        <v>71</v>
      </c>
      <c r="C20" s="39">
        <f>IF(B$3=0,0,B20/B$3)</f>
        <v>0.16985645933014354</v>
      </c>
      <c r="E20" s="63" t="s">
        <v>74</v>
      </c>
      <c r="F20" s="60" t="s">
        <v>29</v>
      </c>
      <c r="G20" s="47">
        <v>1</v>
      </c>
      <c r="H20" s="135">
        <f>IF(B$17=0,0,G20/B$17)</f>
        <v>8.3333333333333332E-3</v>
      </c>
      <c r="I20" s="96">
        <v>2</v>
      </c>
      <c r="K20" s="38">
        <v>18</v>
      </c>
      <c r="L20" s="101">
        <v>116.69999999999999</v>
      </c>
      <c r="N20" s="117" t="s">
        <v>173</v>
      </c>
      <c r="O20" s="127">
        <f>IF(P20=0,0,Q20/P20)</f>
        <v>-4.6749999999999998</v>
      </c>
      <c r="P20" s="121">
        <v>12</v>
      </c>
      <c r="Q20" s="109">
        <v>-56.099999999999994</v>
      </c>
    </row>
    <row r="21" spans="1:17" x14ac:dyDescent="0.4">
      <c r="A21" s="55" t="s">
        <v>194</v>
      </c>
      <c r="B21" s="47">
        <v>5</v>
      </c>
      <c r="C21" s="137">
        <v>1</v>
      </c>
      <c r="E21" s="63" t="s">
        <v>76</v>
      </c>
      <c r="F21" s="60" t="s">
        <v>31</v>
      </c>
      <c r="G21" s="47">
        <v>1</v>
      </c>
      <c r="H21" s="135">
        <f>IF(B$17=0,0,G21/B$17)</f>
        <v>8.3333333333333332E-3</v>
      </c>
      <c r="I21" s="96">
        <v>4</v>
      </c>
      <c r="K21" s="38">
        <v>19</v>
      </c>
      <c r="L21" s="101">
        <v>138.79999999999998</v>
      </c>
      <c r="N21" s="117" t="s">
        <v>127</v>
      </c>
      <c r="O21" s="127">
        <f>IF(P21=0,0,Q21/P21)</f>
        <v>-26.352777777777778</v>
      </c>
      <c r="P21" s="121">
        <v>36</v>
      </c>
      <c r="Q21" s="109">
        <v>-948.7</v>
      </c>
    </row>
    <row r="22" spans="1:17" x14ac:dyDescent="0.4">
      <c r="A22" s="55" t="s">
        <v>195</v>
      </c>
      <c r="B22" s="47">
        <v>24</v>
      </c>
      <c r="C22" s="137">
        <v>2</v>
      </c>
      <c r="E22" s="63" t="s">
        <v>78</v>
      </c>
      <c r="F22" s="60" t="s">
        <v>33</v>
      </c>
      <c r="G22" s="47">
        <v>1</v>
      </c>
      <c r="H22" s="135">
        <f>IF(B$17=0,0,G22/B$17)</f>
        <v>8.3333333333333332E-3</v>
      </c>
      <c r="I22" s="96">
        <v>1</v>
      </c>
      <c r="K22" s="38">
        <v>20</v>
      </c>
      <c r="L22" s="101">
        <v>164.49999999999997</v>
      </c>
    </row>
    <row r="23" spans="1:17" x14ac:dyDescent="0.4">
      <c r="A23" s="55" t="s">
        <v>5</v>
      </c>
      <c r="B23" s="51">
        <f>IF(B$17=0,0,C23/B$17)</f>
        <v>9155</v>
      </c>
      <c r="C23" s="41">
        <v>1098600</v>
      </c>
      <c r="E23" s="63" t="s">
        <v>79</v>
      </c>
      <c r="F23" s="60" t="s">
        <v>34</v>
      </c>
      <c r="G23" s="47">
        <v>1</v>
      </c>
      <c r="H23" s="135">
        <f>IF(B$17=0,0,G23/B$17)</f>
        <v>8.3333333333333332E-3</v>
      </c>
      <c r="I23" s="96">
        <v>6</v>
      </c>
      <c r="K23" s="38">
        <v>21</v>
      </c>
      <c r="L23" s="101">
        <v>204.09999999999997</v>
      </c>
    </row>
    <row r="24" spans="1:17" x14ac:dyDescent="0.4">
      <c r="A24" s="57" t="s">
        <v>14</v>
      </c>
      <c r="B24" s="52">
        <f>IF(B$20=0,0,C24/B$20)</f>
        <v>-7530.9859154929582</v>
      </c>
      <c r="C24" s="45">
        <v>-534700</v>
      </c>
      <c r="E24" s="63" t="s">
        <v>85</v>
      </c>
      <c r="F24" s="60" t="s">
        <v>40</v>
      </c>
      <c r="G24" s="47">
        <v>1</v>
      </c>
      <c r="H24" s="135">
        <f>IF(B$17=0,0,G24/B$17)</f>
        <v>8.3333333333333332E-3</v>
      </c>
      <c r="I24" s="96">
        <v>1</v>
      </c>
      <c r="K24" s="38">
        <v>22</v>
      </c>
      <c r="L24" s="101">
        <v>239.39999999999998</v>
      </c>
    </row>
    <row r="25" spans="1:17" x14ac:dyDescent="0.4">
      <c r="A25" s="92" t="s">
        <v>142</v>
      </c>
      <c r="B25" s="142">
        <v>5</v>
      </c>
      <c r="C25" s="143"/>
      <c r="E25" s="63" t="s">
        <v>89</v>
      </c>
      <c r="F25" s="60" t="s">
        <v>44</v>
      </c>
      <c r="G25" s="47">
        <v>1</v>
      </c>
      <c r="H25" s="135">
        <f>IF(B$17=0,0,G25/B$17)</f>
        <v>8.3333333333333332E-3</v>
      </c>
      <c r="I25" s="96">
        <v>1</v>
      </c>
      <c r="K25" s="38">
        <v>23</v>
      </c>
      <c r="L25" s="101">
        <v>245.49999999999997</v>
      </c>
    </row>
    <row r="26" spans="1:17" x14ac:dyDescent="0.4">
      <c r="A26" s="58" t="s">
        <v>152</v>
      </c>
      <c r="B26" s="140">
        <v>88600</v>
      </c>
      <c r="C26" s="141"/>
      <c r="E26" s="63" t="s">
        <v>93</v>
      </c>
      <c r="F26" s="60" t="s">
        <v>48</v>
      </c>
      <c r="G26" s="47">
        <v>1</v>
      </c>
      <c r="H26" s="135">
        <f>IF(B$17=0,0,G26/B$17)</f>
        <v>8.3333333333333332E-3</v>
      </c>
      <c r="I26" s="96">
        <v>2</v>
      </c>
      <c r="K26" s="38">
        <v>24</v>
      </c>
      <c r="L26" s="101">
        <v>240.39999999999998</v>
      </c>
    </row>
    <row r="27" spans="1:17" x14ac:dyDescent="0.4">
      <c r="A27" s="57" t="s">
        <v>143</v>
      </c>
      <c r="B27" s="65">
        <v>4</v>
      </c>
      <c r="C27" s="42">
        <f>IF(B$3=0,0,B27/B$3)</f>
        <v>9.5693779904306216E-3</v>
      </c>
      <c r="E27" s="63" t="s">
        <v>77</v>
      </c>
      <c r="F27" s="60" t="s">
        <v>32</v>
      </c>
      <c r="G27" s="47">
        <v>0</v>
      </c>
      <c r="H27" s="135">
        <f>IF(B$17=0,0,G27/B$17)</f>
        <v>0</v>
      </c>
      <c r="I27" s="96">
        <v>1</v>
      </c>
      <c r="K27" s="38">
        <v>25</v>
      </c>
      <c r="L27" s="101">
        <v>245.59999999999997</v>
      </c>
    </row>
    <row r="28" spans="1:17" x14ac:dyDescent="0.4">
      <c r="E28" s="63" t="s">
        <v>81</v>
      </c>
      <c r="F28" s="60" t="s">
        <v>36</v>
      </c>
      <c r="G28" s="47">
        <v>0</v>
      </c>
      <c r="H28" s="135">
        <f>IF(B$17=0,0,G28/B$17)</f>
        <v>0</v>
      </c>
      <c r="I28" s="96">
        <v>1</v>
      </c>
      <c r="K28" s="38">
        <v>26</v>
      </c>
      <c r="L28" s="101">
        <v>237.69999999999996</v>
      </c>
    </row>
    <row r="29" spans="1:17" x14ac:dyDescent="0.4">
      <c r="E29" s="63" t="s">
        <v>83</v>
      </c>
      <c r="F29" s="60" t="s">
        <v>38</v>
      </c>
      <c r="G29" s="47">
        <v>0</v>
      </c>
      <c r="H29" s="135">
        <f>IF(B$17=0,0,G29/B$17)</f>
        <v>0</v>
      </c>
      <c r="I29" s="96">
        <v>1</v>
      </c>
      <c r="K29" s="38">
        <v>27</v>
      </c>
      <c r="L29" s="101">
        <v>236.69999999999996</v>
      </c>
    </row>
    <row r="30" spans="1:17" x14ac:dyDescent="0.4">
      <c r="E30" s="63" t="s">
        <v>86</v>
      </c>
      <c r="F30" s="60" t="s">
        <v>41</v>
      </c>
      <c r="G30" s="47">
        <v>0</v>
      </c>
      <c r="H30" s="135">
        <f>IF(B$17=0,0,G30/B$17)</f>
        <v>0</v>
      </c>
      <c r="I30" s="96">
        <v>3</v>
      </c>
      <c r="K30" s="38">
        <v>28</v>
      </c>
      <c r="L30" s="101">
        <v>191.39999999999998</v>
      </c>
    </row>
    <row r="31" spans="1:17" x14ac:dyDescent="0.4">
      <c r="E31" s="63" t="s">
        <v>88</v>
      </c>
      <c r="F31" s="60" t="s">
        <v>43</v>
      </c>
      <c r="G31" s="47">
        <v>0</v>
      </c>
      <c r="H31" s="135">
        <f>IF(B$17=0,0,G31/B$17)</f>
        <v>0</v>
      </c>
      <c r="I31" s="96">
        <v>3</v>
      </c>
      <c r="K31" s="38">
        <v>29</v>
      </c>
      <c r="L31" s="101">
        <v>182.49999999999997</v>
      </c>
    </row>
    <row r="32" spans="1:17" x14ac:dyDescent="0.4">
      <c r="E32" s="63" t="s">
        <v>91</v>
      </c>
      <c r="F32" s="60" t="s">
        <v>46</v>
      </c>
      <c r="G32" s="47">
        <v>0</v>
      </c>
      <c r="H32" s="135">
        <f>IF(B$17=0,0,G32/B$17)</f>
        <v>0</v>
      </c>
      <c r="I32" s="96">
        <v>3</v>
      </c>
      <c r="K32" s="38">
        <v>30</v>
      </c>
      <c r="L32" s="101">
        <v>178.99999999999997</v>
      </c>
    </row>
    <row r="33" spans="5:12" x14ac:dyDescent="0.4">
      <c r="E33" s="63" t="s">
        <v>94</v>
      </c>
      <c r="F33" s="60" t="s">
        <v>49</v>
      </c>
      <c r="G33" s="47">
        <v>0</v>
      </c>
      <c r="H33" s="135">
        <f>IF(B$17=0,0,G33/B$17)</f>
        <v>0</v>
      </c>
      <c r="I33" s="96">
        <v>1</v>
      </c>
      <c r="K33" s="38">
        <v>31</v>
      </c>
      <c r="L33" s="101">
        <v>186.99999999999997</v>
      </c>
    </row>
    <row r="34" spans="5:12" x14ac:dyDescent="0.4">
      <c r="E34" s="63" t="s">
        <v>95</v>
      </c>
      <c r="F34" s="60" t="s">
        <v>50</v>
      </c>
      <c r="G34" s="47">
        <v>0</v>
      </c>
      <c r="H34" s="135">
        <f>IF(B$17=0,0,G34/B$17)</f>
        <v>0</v>
      </c>
      <c r="I34" s="96">
        <v>1</v>
      </c>
      <c r="K34" s="38">
        <v>32</v>
      </c>
      <c r="L34" s="101">
        <v>241.49999999999997</v>
      </c>
    </row>
    <row r="35" spans="5:12" x14ac:dyDescent="0.4">
      <c r="E35" s="63" t="s">
        <v>96</v>
      </c>
      <c r="F35" s="60" t="s">
        <v>51</v>
      </c>
      <c r="G35" s="47">
        <v>0</v>
      </c>
      <c r="H35" s="135">
        <f>IF(B$17=0,0,G35/B$17)</f>
        <v>0</v>
      </c>
      <c r="I35" s="96">
        <v>3</v>
      </c>
      <c r="K35" s="38">
        <v>33</v>
      </c>
      <c r="L35" s="101">
        <v>230.89999999999998</v>
      </c>
    </row>
    <row r="36" spans="5:12" x14ac:dyDescent="0.4">
      <c r="E36" s="63" t="s">
        <v>97</v>
      </c>
      <c r="F36" s="60" t="s">
        <v>52</v>
      </c>
      <c r="G36" s="47">
        <v>0</v>
      </c>
      <c r="H36" s="135">
        <f>IF(B$17=0,0,G36/B$17)</f>
        <v>0</v>
      </c>
      <c r="I36" s="96">
        <v>1</v>
      </c>
      <c r="K36" s="38">
        <v>34</v>
      </c>
      <c r="L36" s="101">
        <v>235.49999999999997</v>
      </c>
    </row>
    <row r="37" spans="5:12" x14ac:dyDescent="0.4">
      <c r="E37" s="63" t="s">
        <v>98</v>
      </c>
      <c r="F37" s="60" t="s">
        <v>53</v>
      </c>
      <c r="G37" s="47">
        <v>0</v>
      </c>
      <c r="H37" s="135">
        <f>IF(B$17=0,0,G37/B$17)</f>
        <v>0</v>
      </c>
      <c r="I37" s="96">
        <v>1</v>
      </c>
      <c r="K37" s="38">
        <v>35</v>
      </c>
      <c r="L37" s="101">
        <v>232.99999999999997</v>
      </c>
    </row>
    <row r="38" spans="5:12" x14ac:dyDescent="0.4">
      <c r="E38" s="63" t="s">
        <v>99</v>
      </c>
      <c r="F38" s="60" t="s">
        <v>54</v>
      </c>
      <c r="G38" s="47">
        <v>0</v>
      </c>
      <c r="H38" s="135">
        <f>IF(B$17=0,0,G38/B$17)</f>
        <v>0</v>
      </c>
      <c r="I38" s="96">
        <v>1</v>
      </c>
      <c r="K38" s="38">
        <v>36</v>
      </c>
      <c r="L38" s="101">
        <v>176.99999999999997</v>
      </c>
    </row>
    <row r="39" spans="5:12" x14ac:dyDescent="0.4">
      <c r="E39" s="63" t="s">
        <v>100</v>
      </c>
      <c r="F39" s="60" t="s">
        <v>55</v>
      </c>
      <c r="G39" s="47">
        <v>0</v>
      </c>
      <c r="H39" s="135">
        <f>IF(B$17=0,0,G39/B$17)</f>
        <v>0</v>
      </c>
      <c r="I39" s="96">
        <v>1</v>
      </c>
      <c r="K39" s="38">
        <v>37</v>
      </c>
      <c r="L39" s="101">
        <v>189.39999999999998</v>
      </c>
    </row>
    <row r="40" spans="5:12" x14ac:dyDescent="0.4">
      <c r="E40" s="63" t="s">
        <v>101</v>
      </c>
      <c r="F40" s="60" t="s">
        <v>56</v>
      </c>
      <c r="G40" s="47">
        <v>0</v>
      </c>
      <c r="H40" s="135">
        <f>IF(B$17=0,0,G40/B$17)</f>
        <v>0</v>
      </c>
      <c r="I40" s="96">
        <v>1</v>
      </c>
      <c r="K40" s="38">
        <v>38</v>
      </c>
      <c r="L40" s="101">
        <v>129.09999999999997</v>
      </c>
    </row>
    <row r="41" spans="5:12" x14ac:dyDescent="0.4">
      <c r="E41" s="63" t="s">
        <v>102</v>
      </c>
      <c r="F41" s="60" t="s">
        <v>57</v>
      </c>
      <c r="G41" s="47">
        <v>0</v>
      </c>
      <c r="H41" s="135">
        <f>IF(B$17=0,0,G41/B$17)</f>
        <v>0</v>
      </c>
      <c r="I41" s="96">
        <v>1</v>
      </c>
      <c r="K41" s="38">
        <v>39</v>
      </c>
      <c r="L41" s="101">
        <v>127.59999999999997</v>
      </c>
    </row>
    <row r="42" spans="5:12" x14ac:dyDescent="0.4">
      <c r="E42" s="63" t="s">
        <v>103</v>
      </c>
      <c r="F42" s="60" t="s">
        <v>58</v>
      </c>
      <c r="G42" s="47">
        <v>0</v>
      </c>
      <c r="H42" s="135">
        <f>IF(B$17=0,0,G42/B$17)</f>
        <v>0</v>
      </c>
      <c r="I42" s="96">
        <v>1</v>
      </c>
      <c r="K42" s="38">
        <v>40</v>
      </c>
      <c r="L42" s="101">
        <v>174.99999999999997</v>
      </c>
    </row>
    <row r="43" spans="5:12" x14ac:dyDescent="0.4">
      <c r="E43" s="63" t="s">
        <v>104</v>
      </c>
      <c r="F43" s="60" t="s">
        <v>59</v>
      </c>
      <c r="G43" s="47">
        <v>0</v>
      </c>
      <c r="H43" s="135">
        <f>IF(B$17=0,0,G43/B$17)</f>
        <v>0</v>
      </c>
      <c r="I43" s="96">
        <v>1</v>
      </c>
      <c r="K43" s="38">
        <v>41</v>
      </c>
      <c r="L43" s="101">
        <v>248.59999999999997</v>
      </c>
    </row>
    <row r="44" spans="5:12" x14ac:dyDescent="0.4">
      <c r="E44" s="63" t="s">
        <v>105</v>
      </c>
      <c r="F44" s="60" t="s">
        <v>60</v>
      </c>
      <c r="G44" s="47">
        <v>0</v>
      </c>
      <c r="H44" s="135">
        <f>IF(B$17=0,0,G44/B$17)</f>
        <v>0</v>
      </c>
      <c r="I44" s="96">
        <v>1</v>
      </c>
      <c r="K44" s="38">
        <v>42</v>
      </c>
      <c r="L44" s="101">
        <v>214.99999999999997</v>
      </c>
    </row>
    <row r="45" spans="5:12" x14ac:dyDescent="0.4">
      <c r="E45" s="63" t="s">
        <v>106</v>
      </c>
      <c r="F45" s="60" t="s">
        <v>113</v>
      </c>
      <c r="G45" s="47">
        <v>0</v>
      </c>
      <c r="H45" s="135">
        <f>IF(B$17=0,0,G45/B$17)</f>
        <v>0</v>
      </c>
      <c r="I45" s="96">
        <v>1</v>
      </c>
      <c r="K45" s="38">
        <v>43</v>
      </c>
      <c r="L45" s="101">
        <v>230.09999999999997</v>
      </c>
    </row>
    <row r="46" spans="5:12" x14ac:dyDescent="0.4">
      <c r="E46" s="63" t="s">
        <v>107</v>
      </c>
      <c r="F46" s="60" t="s">
        <v>114</v>
      </c>
      <c r="G46" s="47">
        <v>0</v>
      </c>
      <c r="H46" s="135">
        <f>IF(B$17=0,0,G46/B$17)</f>
        <v>0</v>
      </c>
      <c r="I46" s="96">
        <v>1</v>
      </c>
      <c r="K46" s="38">
        <v>44</v>
      </c>
      <c r="L46" s="101">
        <v>169.19999999999996</v>
      </c>
    </row>
    <row r="47" spans="5:12" x14ac:dyDescent="0.4">
      <c r="E47" s="63" t="s">
        <v>108</v>
      </c>
      <c r="F47" s="60" t="s">
        <v>115</v>
      </c>
      <c r="G47" s="47">
        <v>0</v>
      </c>
      <c r="H47" s="135">
        <f>IF(B$17=0,0,G47/B$17)</f>
        <v>0</v>
      </c>
      <c r="I47" s="96">
        <v>1</v>
      </c>
      <c r="K47" s="38">
        <v>45</v>
      </c>
      <c r="L47" s="101">
        <v>111.49999999999996</v>
      </c>
    </row>
    <row r="48" spans="5:12" x14ac:dyDescent="0.4">
      <c r="E48" s="63" t="s">
        <v>109</v>
      </c>
      <c r="F48" s="60" t="s">
        <v>61</v>
      </c>
      <c r="G48" s="47">
        <v>0</v>
      </c>
      <c r="H48" s="135">
        <f>IF(B$17=0,0,G48/B$17)</f>
        <v>0</v>
      </c>
      <c r="I48" s="96">
        <v>1</v>
      </c>
      <c r="K48" s="38">
        <v>46</v>
      </c>
      <c r="L48" s="101">
        <v>55.999999999999957</v>
      </c>
    </row>
    <row r="49" spans="5:12" x14ac:dyDescent="0.4">
      <c r="E49" s="63" t="s">
        <v>110</v>
      </c>
      <c r="F49" s="60" t="s">
        <v>62</v>
      </c>
      <c r="G49" s="47">
        <v>0</v>
      </c>
      <c r="H49" s="135">
        <f>IF(B$17=0,0,G49/B$17)</f>
        <v>0</v>
      </c>
      <c r="I49" s="96">
        <v>1</v>
      </c>
      <c r="K49" s="38">
        <v>47</v>
      </c>
      <c r="L49" s="101">
        <v>-3.9000000000000412</v>
      </c>
    </row>
    <row r="50" spans="5:12" x14ac:dyDescent="0.4">
      <c r="E50" s="63" t="s">
        <v>111</v>
      </c>
      <c r="F50" s="60" t="s">
        <v>63</v>
      </c>
      <c r="G50" s="47">
        <v>0</v>
      </c>
      <c r="H50" s="135">
        <f>IF(B$17=0,0,G50/B$17)</f>
        <v>0</v>
      </c>
      <c r="I50" s="96">
        <v>1</v>
      </c>
      <c r="K50" s="38">
        <v>48</v>
      </c>
      <c r="L50" s="101">
        <v>50.599999999999959</v>
      </c>
    </row>
    <row r="51" spans="5:12" x14ac:dyDescent="0.4">
      <c r="E51" s="64" t="s">
        <v>112</v>
      </c>
      <c r="F51" s="61" t="s">
        <v>64</v>
      </c>
      <c r="G51" s="49">
        <v>0</v>
      </c>
      <c r="H51" s="136">
        <f>IF(B$17=0,0,G51/B$17)</f>
        <v>0</v>
      </c>
      <c r="I51" s="97">
        <v>1</v>
      </c>
      <c r="K51" s="38">
        <v>49</v>
      </c>
      <c r="L51" s="101">
        <v>-4.8000000000000398</v>
      </c>
    </row>
    <row r="52" spans="5:12" x14ac:dyDescent="0.4">
      <c r="K52" s="38">
        <v>50</v>
      </c>
      <c r="L52" s="101">
        <v>-0.70000000000004015</v>
      </c>
    </row>
  </sheetData>
  <sortState ref="N15:Q21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07F56E-DECD-4B20-8669-2180D3F17BE3}">
  <sheetPr codeName="Sheet11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0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1" customWidth="1"/>
    <col min="13" max="13" width="3.625" style="33" customWidth="1"/>
    <col min="14" max="14" width="9" style="117" customWidth="1"/>
    <col min="15" max="15" width="9" style="127" customWidth="1"/>
    <col min="16" max="16" width="9" style="121" customWidth="1"/>
    <col min="17" max="17" width="3.625" style="109" customWidth="1"/>
    <col min="18" max="16384" width="9" style="33"/>
  </cols>
  <sheetData>
    <row r="1" spans="1:17" x14ac:dyDescent="0.4">
      <c r="A1" s="53" t="s">
        <v>0</v>
      </c>
      <c r="B1" s="146" t="s">
        <v>129</v>
      </c>
      <c r="C1" s="147"/>
      <c r="E1" s="131" t="s">
        <v>168</v>
      </c>
      <c r="F1" s="139" t="s">
        <v>116</v>
      </c>
      <c r="G1" s="138" t="s">
        <v>117</v>
      </c>
      <c r="H1" s="132" t="s">
        <v>118</v>
      </c>
      <c r="I1" s="139" t="s">
        <v>154</v>
      </c>
      <c r="K1" s="34" t="s">
        <v>20</v>
      </c>
      <c r="L1" s="35" t="s">
        <v>121</v>
      </c>
      <c r="M1" s="133"/>
      <c r="N1" s="115" t="s">
        <v>138</v>
      </c>
      <c r="O1" s="34" t="s">
        <v>139</v>
      </c>
      <c r="P1" s="119" t="s">
        <v>117</v>
      </c>
      <c r="Q1" s="103" t="s">
        <v>158</v>
      </c>
    </row>
    <row r="2" spans="1:17" x14ac:dyDescent="0.4">
      <c r="A2" s="54" t="s">
        <v>9</v>
      </c>
      <c r="B2" s="148">
        <v>22</v>
      </c>
      <c r="C2" s="149"/>
      <c r="E2" s="62" t="s">
        <v>67</v>
      </c>
      <c r="F2" s="59" t="s">
        <v>23</v>
      </c>
      <c r="G2" s="46">
        <v>30</v>
      </c>
      <c r="H2" s="134">
        <f>IF(B$17=0,0,G2/B$17)</f>
        <v>0.8571428571428571</v>
      </c>
      <c r="I2" s="95">
        <v>2</v>
      </c>
      <c r="K2" s="36">
        <v>0</v>
      </c>
      <c r="L2" s="100">
        <v>0</v>
      </c>
      <c r="N2" s="116" t="s">
        <v>132</v>
      </c>
      <c r="O2" s="123">
        <f t="shared" ref="O2:O7" si="0">IF(P2=0,0,Q2/P2)</f>
        <v>-2959.090909090909</v>
      </c>
      <c r="P2" s="120">
        <v>22</v>
      </c>
      <c r="Q2" s="104">
        <v>-65100</v>
      </c>
    </row>
    <row r="3" spans="1:17" x14ac:dyDescent="0.4">
      <c r="A3" s="55" t="s">
        <v>8</v>
      </c>
      <c r="B3" s="150">
        <v>186</v>
      </c>
      <c r="C3" s="151"/>
      <c r="E3" s="63" t="s">
        <v>65</v>
      </c>
      <c r="F3" s="60" t="s">
        <v>21</v>
      </c>
      <c r="G3" s="47">
        <v>20</v>
      </c>
      <c r="H3" s="135">
        <f>IF(B$17=0,0,G3/B$17)</f>
        <v>0.5714285714285714</v>
      </c>
      <c r="I3" s="96">
        <v>3</v>
      </c>
      <c r="K3" s="38">
        <v>1</v>
      </c>
      <c r="L3" s="101">
        <v>-40.4</v>
      </c>
      <c r="N3" s="117" t="s">
        <v>133</v>
      </c>
      <c r="O3" s="124">
        <f t="shared" si="0"/>
        <v>-5186.363636363636</v>
      </c>
      <c r="P3" s="121">
        <v>22</v>
      </c>
      <c r="Q3" s="105">
        <v>-114100</v>
      </c>
    </row>
    <row r="4" spans="1:17" x14ac:dyDescent="0.4">
      <c r="A4" s="55" t="s">
        <v>6</v>
      </c>
      <c r="B4" s="152">
        <v>-670.19999999999993</v>
      </c>
      <c r="C4" s="153"/>
      <c r="E4" s="63" t="s">
        <v>69</v>
      </c>
      <c r="F4" s="60" t="s">
        <v>12</v>
      </c>
      <c r="G4" s="47">
        <v>13</v>
      </c>
      <c r="H4" s="135">
        <f>IF(B$17=0,0,G4/B$17)</f>
        <v>0.37142857142857144</v>
      </c>
      <c r="I4" s="96">
        <v>3</v>
      </c>
      <c r="K4" s="38">
        <v>2</v>
      </c>
      <c r="L4" s="101">
        <v>-3.3999999999999986</v>
      </c>
      <c r="N4" s="117" t="s">
        <v>134</v>
      </c>
      <c r="O4" s="124">
        <f t="shared" si="0"/>
        <v>-5815.7894736842109</v>
      </c>
      <c r="P4" s="121">
        <v>19</v>
      </c>
      <c r="Q4" s="105">
        <v>-110500</v>
      </c>
    </row>
    <row r="5" spans="1:17" x14ac:dyDescent="0.4">
      <c r="A5" s="55" t="s">
        <v>7</v>
      </c>
      <c r="B5" s="154">
        <f>IF(B$2=0,0,B$4/B$2)</f>
        <v>-30.463636363636361</v>
      </c>
      <c r="C5" s="155"/>
      <c r="E5" s="63" t="s">
        <v>182</v>
      </c>
      <c r="F5" s="60" t="s">
        <v>183</v>
      </c>
      <c r="G5" s="47">
        <v>12</v>
      </c>
      <c r="H5" s="135">
        <f>IF(B$17=0,0,G5/B$17)</f>
        <v>0.34285714285714286</v>
      </c>
      <c r="I5" s="96">
        <v>8</v>
      </c>
      <c r="K5" s="38">
        <v>3</v>
      </c>
      <c r="L5" s="101">
        <v>-23.099999999999998</v>
      </c>
      <c r="N5" s="117" t="s">
        <v>135</v>
      </c>
      <c r="O5" s="124">
        <f t="shared" si="0"/>
        <v>-2425</v>
      </c>
      <c r="P5" s="121">
        <v>16</v>
      </c>
      <c r="Q5" s="105">
        <v>-38800</v>
      </c>
    </row>
    <row r="6" spans="1:17" x14ac:dyDescent="0.4">
      <c r="A6" s="55" t="s">
        <v>1</v>
      </c>
      <c r="B6" s="144">
        <f>IF(B$2=0,0,(B$7*1+B$8*2+B$9*3)/B$2)</f>
        <v>2.5454545454545454</v>
      </c>
      <c r="C6" s="145"/>
      <c r="E6" s="63" t="s">
        <v>68</v>
      </c>
      <c r="F6" s="60" t="s">
        <v>24</v>
      </c>
      <c r="G6" s="47">
        <v>10</v>
      </c>
      <c r="H6" s="135">
        <f>IF(B$17=0,0,G6/B$17)</f>
        <v>0.2857142857142857</v>
      </c>
      <c r="I6" s="96">
        <v>5</v>
      </c>
      <c r="K6" s="38">
        <v>4</v>
      </c>
      <c r="L6" s="101">
        <v>-31.4</v>
      </c>
      <c r="N6" s="117" t="s">
        <v>136</v>
      </c>
      <c r="O6" s="124">
        <f t="shared" si="0"/>
        <v>-2943.75</v>
      </c>
      <c r="P6" s="121">
        <v>16</v>
      </c>
      <c r="Q6" s="105">
        <v>-47100</v>
      </c>
    </row>
    <row r="7" spans="1:17" x14ac:dyDescent="0.4">
      <c r="A7" s="55" t="s">
        <v>2</v>
      </c>
      <c r="B7" s="47">
        <v>2</v>
      </c>
      <c r="C7" s="39">
        <f>IF(B$2=0,0,B7/B$2)</f>
        <v>9.0909090909090912E-2</v>
      </c>
      <c r="E7" s="63" t="s">
        <v>73</v>
      </c>
      <c r="F7" s="60" t="s">
        <v>28</v>
      </c>
      <c r="G7" s="47">
        <v>9</v>
      </c>
      <c r="H7" s="135">
        <f>IF(B$17=0,0,G7/B$17)</f>
        <v>0.25714285714285712</v>
      </c>
      <c r="I7" s="96">
        <v>11</v>
      </c>
      <c r="K7" s="38">
        <v>5</v>
      </c>
      <c r="L7" s="101">
        <v>-32.199999999999996</v>
      </c>
      <c r="N7" s="118" t="s">
        <v>137</v>
      </c>
      <c r="O7" s="125">
        <f t="shared" si="0"/>
        <v>-2231.25</v>
      </c>
      <c r="P7" s="122">
        <v>16</v>
      </c>
      <c r="Q7" s="106">
        <v>-35700</v>
      </c>
    </row>
    <row r="8" spans="1:17" x14ac:dyDescent="0.4">
      <c r="A8" s="55" t="s">
        <v>3</v>
      </c>
      <c r="B8" s="47">
        <v>6</v>
      </c>
      <c r="C8" s="39">
        <f>IF(B$2=0,0,B8/B$2)</f>
        <v>0.27272727272727271</v>
      </c>
      <c r="E8" s="63" t="s">
        <v>71</v>
      </c>
      <c r="F8" s="60" t="s">
        <v>26</v>
      </c>
      <c r="G8" s="47">
        <v>8</v>
      </c>
      <c r="H8" s="135">
        <f>IF(B$17=0,0,G8/B$17)</f>
        <v>0.22857142857142856</v>
      </c>
      <c r="I8" s="96">
        <v>1</v>
      </c>
      <c r="K8" s="38">
        <v>6</v>
      </c>
      <c r="L8" s="101">
        <v>-58.5</v>
      </c>
      <c r="N8" s="43"/>
      <c r="O8" s="129"/>
      <c r="P8" s="113"/>
      <c r="Q8" s="111"/>
    </row>
    <row r="9" spans="1:17" x14ac:dyDescent="0.4">
      <c r="A9" s="56" t="s">
        <v>4</v>
      </c>
      <c r="B9" s="48">
        <v>14</v>
      </c>
      <c r="C9" s="40">
        <f t="shared" ref="C9" si="1">IF(B$2=0,0,B9/B$2)</f>
        <v>0.63636363636363635</v>
      </c>
      <c r="E9" s="63" t="s">
        <v>70</v>
      </c>
      <c r="F9" s="60" t="s">
        <v>25</v>
      </c>
      <c r="G9" s="47">
        <v>7</v>
      </c>
      <c r="H9" s="135">
        <f>IF(B$17=0,0,G9/B$17)</f>
        <v>0.2</v>
      </c>
      <c r="I9" s="96">
        <v>4</v>
      </c>
      <c r="K9" s="38">
        <v>7</v>
      </c>
      <c r="L9" s="101">
        <v>-116.8</v>
      </c>
      <c r="N9" s="115" t="s">
        <v>164</v>
      </c>
      <c r="O9" s="34" t="s">
        <v>121</v>
      </c>
      <c r="P9" s="119" t="s">
        <v>117</v>
      </c>
      <c r="Q9" s="107" t="s">
        <v>158</v>
      </c>
    </row>
    <row r="10" spans="1:17" x14ac:dyDescent="0.4">
      <c r="A10" s="56" t="s">
        <v>19</v>
      </c>
      <c r="B10" s="48">
        <v>5</v>
      </c>
      <c r="C10" s="40">
        <f>IF(B$2=0,0,B10/B$2)</f>
        <v>0.22727272727272727</v>
      </c>
      <c r="E10" s="63" t="s">
        <v>72</v>
      </c>
      <c r="F10" s="60" t="s">
        <v>27</v>
      </c>
      <c r="G10" s="47">
        <v>5</v>
      </c>
      <c r="H10" s="135">
        <f>IF(B$17=0,0,G10/B$17)</f>
        <v>0.14285714285714285</v>
      </c>
      <c r="I10" s="96">
        <v>2</v>
      </c>
      <c r="K10" s="38">
        <v>8</v>
      </c>
      <c r="L10" s="101">
        <v>-79.599999999999994</v>
      </c>
      <c r="N10" s="116" t="s">
        <v>165</v>
      </c>
      <c r="O10" s="126">
        <f>IF(P10=0,0,Q10/P10)</f>
        <v>-38.342857142857142</v>
      </c>
      <c r="P10" s="120">
        <v>7</v>
      </c>
      <c r="Q10" s="108">
        <v>-268.39999999999998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90</v>
      </c>
      <c r="F11" s="60" t="s">
        <v>45</v>
      </c>
      <c r="G11" s="47">
        <v>5</v>
      </c>
      <c r="H11" s="135">
        <f>IF(B$17=0,0,G11/B$17)</f>
        <v>0.14285714285714285</v>
      </c>
      <c r="I11" s="96">
        <v>7</v>
      </c>
      <c r="K11" s="38">
        <v>9</v>
      </c>
      <c r="L11" s="101">
        <v>-127.6</v>
      </c>
      <c r="N11" s="117" t="s">
        <v>166</v>
      </c>
      <c r="O11" s="127">
        <f>IF(P11=0,0,Q11/P11)</f>
        <v>-31.090000000000003</v>
      </c>
      <c r="P11" s="121">
        <v>10</v>
      </c>
      <c r="Q11" s="109">
        <v>-310.90000000000003</v>
      </c>
    </row>
    <row r="12" spans="1:17" x14ac:dyDescent="0.4">
      <c r="A12" s="57" t="s">
        <v>160</v>
      </c>
      <c r="B12" s="49">
        <v>1</v>
      </c>
      <c r="C12" s="42">
        <f>IF(B$2=0,0,B12/B$2)</f>
        <v>4.5454545454545456E-2</v>
      </c>
      <c r="E12" s="63" t="s">
        <v>66</v>
      </c>
      <c r="F12" s="60" t="s">
        <v>22</v>
      </c>
      <c r="G12" s="47">
        <v>4</v>
      </c>
      <c r="H12" s="135">
        <f>IF(B$17=0,0,G12/B$17)</f>
        <v>0.11428571428571428</v>
      </c>
      <c r="I12" s="96">
        <v>7</v>
      </c>
      <c r="K12" s="38">
        <v>10</v>
      </c>
      <c r="L12" s="101">
        <v>-231.39999999999998</v>
      </c>
      <c r="N12" s="118" t="s">
        <v>167</v>
      </c>
      <c r="O12" s="128">
        <f>IF(P12=0,0,Q12/P12)</f>
        <v>-18.18</v>
      </c>
      <c r="P12" s="122">
        <v>5</v>
      </c>
      <c r="Q12" s="110">
        <v>-90.899999999999991</v>
      </c>
    </row>
    <row r="13" spans="1:17" x14ac:dyDescent="0.4">
      <c r="A13" s="58" t="s">
        <v>122</v>
      </c>
      <c r="B13" s="50">
        <v>45</v>
      </c>
      <c r="C13" s="44">
        <f>IF(B$3=0,0,B13/B$3)</f>
        <v>0.24193548387096775</v>
      </c>
      <c r="E13" s="63" t="s">
        <v>87</v>
      </c>
      <c r="F13" s="60" t="s">
        <v>42</v>
      </c>
      <c r="G13" s="47">
        <v>2</v>
      </c>
      <c r="H13" s="135">
        <f>IF(B$17=0,0,G13/B$17)</f>
        <v>5.7142857142857141E-2</v>
      </c>
      <c r="I13" s="96">
        <v>6</v>
      </c>
      <c r="K13" s="38">
        <v>11</v>
      </c>
      <c r="L13" s="101">
        <v>-305.89999999999998</v>
      </c>
      <c r="N13" s="33"/>
      <c r="O13" s="112"/>
      <c r="P13" s="114"/>
      <c r="Q13" s="112"/>
    </row>
    <row r="14" spans="1:17" x14ac:dyDescent="0.4">
      <c r="A14" s="55" t="s">
        <v>119</v>
      </c>
      <c r="B14" s="47">
        <v>22</v>
      </c>
      <c r="C14" s="39">
        <f>IF(B$3=0,0,B14/B$3)</f>
        <v>0.11827956989247312</v>
      </c>
      <c r="E14" s="63" t="s">
        <v>79</v>
      </c>
      <c r="F14" s="60" t="s">
        <v>34</v>
      </c>
      <c r="G14" s="47">
        <v>1</v>
      </c>
      <c r="H14" s="135">
        <f>IF(B$17=0,0,G14/B$17)</f>
        <v>2.8571428571428571E-2</v>
      </c>
      <c r="I14" s="96">
        <v>3</v>
      </c>
      <c r="K14" s="38">
        <v>12</v>
      </c>
      <c r="L14" s="101">
        <v>-337.5</v>
      </c>
      <c r="N14" s="115" t="s">
        <v>155</v>
      </c>
      <c r="O14" s="34" t="s">
        <v>121</v>
      </c>
      <c r="P14" s="119" t="s">
        <v>117</v>
      </c>
      <c r="Q14" s="107" t="s">
        <v>158</v>
      </c>
    </row>
    <row r="15" spans="1:17" x14ac:dyDescent="0.4">
      <c r="A15" s="54" t="s">
        <v>124</v>
      </c>
      <c r="B15" s="46">
        <v>21</v>
      </c>
      <c r="C15" s="37">
        <f>IF(B$13=0,0,B15/B$13)</f>
        <v>0.46666666666666667</v>
      </c>
      <c r="E15" s="63" t="s">
        <v>84</v>
      </c>
      <c r="F15" s="60" t="s">
        <v>39</v>
      </c>
      <c r="G15" s="47">
        <v>1</v>
      </c>
      <c r="H15" s="135">
        <f>IF(B$17=0,0,G15/B$17)</f>
        <v>2.8571428571428571E-2</v>
      </c>
      <c r="I15" s="96">
        <v>8</v>
      </c>
      <c r="K15" s="38">
        <v>13</v>
      </c>
      <c r="L15" s="101">
        <v>-369.1</v>
      </c>
      <c r="N15" s="116" t="s">
        <v>178</v>
      </c>
      <c r="O15" s="126">
        <f>IF(P15=0,0,Q15/P15)</f>
        <v>29.700000000000003</v>
      </c>
      <c r="P15" s="120">
        <v>1</v>
      </c>
      <c r="Q15" s="108">
        <v>29.700000000000003</v>
      </c>
    </row>
    <row r="16" spans="1:17" x14ac:dyDescent="0.4">
      <c r="A16" s="54" t="s">
        <v>125</v>
      </c>
      <c r="B16" s="46">
        <v>4</v>
      </c>
      <c r="C16" s="37">
        <f>IF(B$14=0,0,B16/B$14)</f>
        <v>0.18181818181818182</v>
      </c>
      <c r="E16" s="63" t="s">
        <v>74</v>
      </c>
      <c r="F16" s="60" t="s">
        <v>29</v>
      </c>
      <c r="G16" s="47">
        <v>0</v>
      </c>
      <c r="H16" s="135">
        <f>IF(B$17=0,0,G16/B$17)</f>
        <v>0</v>
      </c>
      <c r="I16" s="96">
        <v>4</v>
      </c>
      <c r="K16" s="38">
        <v>14</v>
      </c>
      <c r="L16" s="101">
        <v>-394.6</v>
      </c>
      <c r="N16" s="117" t="s">
        <v>174</v>
      </c>
      <c r="O16" s="127">
        <f>IF(P16=0,0,Q16/P16)</f>
        <v>-19.3</v>
      </c>
      <c r="P16" s="121">
        <v>4</v>
      </c>
      <c r="Q16" s="109">
        <v>-77.2</v>
      </c>
    </row>
    <row r="17" spans="1:17" x14ac:dyDescent="0.4">
      <c r="A17" s="54" t="s">
        <v>10</v>
      </c>
      <c r="B17" s="46">
        <f>B19+B18</f>
        <v>35</v>
      </c>
      <c r="C17" s="37">
        <f>IF(B$3=0,0,B17/B$3)</f>
        <v>0.18817204301075269</v>
      </c>
      <c r="E17" s="63" t="s">
        <v>75</v>
      </c>
      <c r="F17" s="60" t="s">
        <v>30</v>
      </c>
      <c r="G17" s="47">
        <v>0</v>
      </c>
      <c r="H17" s="135">
        <f>IF(B$17=0,0,G17/B$17)</f>
        <v>0</v>
      </c>
      <c r="I17" s="96">
        <v>3</v>
      </c>
      <c r="K17" s="38">
        <v>15</v>
      </c>
      <c r="L17" s="101">
        <v>-424.5</v>
      </c>
      <c r="N17" s="117" t="s">
        <v>128</v>
      </c>
      <c r="O17" s="127">
        <f>IF(P17=0,0,Q17/P17)</f>
        <v>-22.99285714285714</v>
      </c>
      <c r="P17" s="121">
        <v>14</v>
      </c>
      <c r="Q17" s="109">
        <v>-321.89999999999998</v>
      </c>
    </row>
    <row r="18" spans="1:17" x14ac:dyDescent="0.4">
      <c r="A18" s="55" t="s">
        <v>12</v>
      </c>
      <c r="B18" s="47">
        <v>17</v>
      </c>
      <c r="C18" s="39">
        <f>IF(B$17=0,0,B18/B$17)</f>
        <v>0.48571428571428571</v>
      </c>
      <c r="E18" s="63" t="s">
        <v>76</v>
      </c>
      <c r="F18" s="60" t="s">
        <v>31</v>
      </c>
      <c r="G18" s="47">
        <v>0</v>
      </c>
      <c r="H18" s="135">
        <f>IF(B$17=0,0,G18/B$17)</f>
        <v>0</v>
      </c>
      <c r="I18" s="96">
        <v>6</v>
      </c>
      <c r="K18" s="38">
        <v>16</v>
      </c>
      <c r="L18" s="101">
        <v>-472</v>
      </c>
      <c r="N18" s="117" t="s">
        <v>127</v>
      </c>
      <c r="O18" s="127">
        <f>IF(P18=0,0,Q18/P18)</f>
        <v>-54.900000000000006</v>
      </c>
      <c r="P18" s="121">
        <v>13</v>
      </c>
      <c r="Q18" s="109">
        <v>-713.7</v>
      </c>
    </row>
    <row r="19" spans="1:17" x14ac:dyDescent="0.4">
      <c r="A19" s="55" t="s">
        <v>11</v>
      </c>
      <c r="B19" s="47">
        <v>18</v>
      </c>
      <c r="C19" s="39">
        <f>IF(B$17=0,0,B19/B$17)</f>
        <v>0.51428571428571423</v>
      </c>
      <c r="E19" s="63" t="s">
        <v>77</v>
      </c>
      <c r="F19" s="60" t="s">
        <v>32</v>
      </c>
      <c r="G19" s="47">
        <v>0</v>
      </c>
      <c r="H19" s="135">
        <f>IF(B$17=0,0,G19/B$17)</f>
        <v>0</v>
      </c>
      <c r="I19" s="96">
        <v>1</v>
      </c>
      <c r="K19" s="38">
        <v>17</v>
      </c>
      <c r="L19" s="101">
        <v>-538.29999999999995</v>
      </c>
      <c r="N19" s="117" t="s">
        <v>173</v>
      </c>
      <c r="O19" s="127">
        <f>IF(P19=0,0,Q19/P19)</f>
        <v>-70.183333333333323</v>
      </c>
      <c r="P19" s="121">
        <v>6</v>
      </c>
      <c r="Q19" s="109">
        <v>-421.09999999999997</v>
      </c>
    </row>
    <row r="20" spans="1:17" x14ac:dyDescent="0.4">
      <c r="A20" s="55" t="s">
        <v>13</v>
      </c>
      <c r="B20" s="47">
        <v>41</v>
      </c>
      <c r="C20" s="39">
        <f>IF(B$3=0,0,B20/B$3)</f>
        <v>0.22043010752688172</v>
      </c>
      <c r="E20" s="63" t="s">
        <v>78</v>
      </c>
      <c r="F20" s="60" t="s">
        <v>33</v>
      </c>
      <c r="G20" s="47">
        <v>0</v>
      </c>
      <c r="H20" s="135">
        <f>IF(B$17=0,0,G20/B$17)</f>
        <v>0</v>
      </c>
      <c r="I20" s="96">
        <v>4</v>
      </c>
      <c r="K20" s="38">
        <v>18</v>
      </c>
      <c r="L20" s="101">
        <v>-537.19999999999993</v>
      </c>
      <c r="N20" s="117" t="s">
        <v>187</v>
      </c>
      <c r="O20" s="127">
        <f>IF(P20=0,0,Q20/P20)</f>
        <v>-72.3</v>
      </c>
      <c r="P20" s="121">
        <v>1</v>
      </c>
      <c r="Q20" s="109">
        <v>-72.3</v>
      </c>
    </row>
    <row r="21" spans="1:17" x14ac:dyDescent="0.4">
      <c r="A21" s="55" t="s">
        <v>194</v>
      </c>
      <c r="B21" s="47">
        <v>4</v>
      </c>
      <c r="C21" s="137">
        <v>0</v>
      </c>
      <c r="E21" s="63" t="s">
        <v>80</v>
      </c>
      <c r="F21" s="60" t="s">
        <v>35</v>
      </c>
      <c r="G21" s="47">
        <v>0</v>
      </c>
      <c r="H21" s="135">
        <f>IF(B$17=0,0,G21/B$17)</f>
        <v>0</v>
      </c>
      <c r="I21" s="96">
        <v>6</v>
      </c>
      <c r="K21" s="38">
        <v>19</v>
      </c>
      <c r="L21" s="101">
        <v>-569.49999999999989</v>
      </c>
      <c r="N21" s="117" t="s">
        <v>172</v>
      </c>
      <c r="O21" s="127">
        <f>IF(P21=0,0,Q21/P21)</f>
        <v>-86.820000000000007</v>
      </c>
      <c r="P21" s="121">
        <v>5</v>
      </c>
      <c r="Q21" s="109">
        <v>-434.1</v>
      </c>
    </row>
    <row r="22" spans="1:17" x14ac:dyDescent="0.4">
      <c r="A22" s="55" t="s">
        <v>195</v>
      </c>
      <c r="B22" s="47">
        <v>19</v>
      </c>
      <c r="C22" s="137">
        <v>0</v>
      </c>
      <c r="E22" s="63" t="s">
        <v>81</v>
      </c>
      <c r="F22" s="60" t="s">
        <v>36</v>
      </c>
      <c r="G22" s="47">
        <v>0</v>
      </c>
      <c r="H22" s="135">
        <f>IF(B$17=0,0,G22/B$17)</f>
        <v>0</v>
      </c>
      <c r="I22" s="96">
        <v>1</v>
      </c>
      <c r="K22" s="38">
        <v>20</v>
      </c>
      <c r="L22" s="101">
        <v>-632.99999999999989</v>
      </c>
    </row>
    <row r="23" spans="1:17" x14ac:dyDescent="0.4">
      <c r="A23" s="55" t="s">
        <v>5</v>
      </c>
      <c r="B23" s="51">
        <f>IF(B$17=0,0,C23/B$17)</f>
        <v>7302.8571428571431</v>
      </c>
      <c r="C23" s="41">
        <v>255600</v>
      </c>
      <c r="E23" s="63" t="s">
        <v>82</v>
      </c>
      <c r="F23" s="60" t="s">
        <v>37</v>
      </c>
      <c r="G23" s="47">
        <v>0</v>
      </c>
      <c r="H23" s="135">
        <f>IF(B$17=0,0,G23/B$17)</f>
        <v>0</v>
      </c>
      <c r="I23" s="96">
        <v>7</v>
      </c>
      <c r="K23" s="38">
        <v>21</v>
      </c>
      <c r="L23" s="101">
        <v>-629.49999999999989</v>
      </c>
    </row>
    <row r="24" spans="1:17" x14ac:dyDescent="0.4">
      <c r="A24" s="57" t="s">
        <v>14</v>
      </c>
      <c r="B24" s="52">
        <f>IF(B$20=0,0,C24/B$20)</f>
        <v>-9748.7804878048773</v>
      </c>
      <c r="C24" s="45">
        <v>-399700</v>
      </c>
      <c r="E24" s="63" t="s">
        <v>83</v>
      </c>
      <c r="F24" s="60" t="s">
        <v>38</v>
      </c>
      <c r="G24" s="47">
        <v>0</v>
      </c>
      <c r="H24" s="135">
        <f>IF(B$17=0,0,G24/B$17)</f>
        <v>0</v>
      </c>
      <c r="I24" s="96">
        <v>1</v>
      </c>
      <c r="K24" s="38">
        <v>22</v>
      </c>
      <c r="L24" s="101">
        <v>-670.19999999999993</v>
      </c>
    </row>
    <row r="25" spans="1:17" x14ac:dyDescent="0.4">
      <c r="A25" s="92" t="s">
        <v>142</v>
      </c>
      <c r="B25" s="142">
        <v>7</v>
      </c>
      <c r="C25" s="143"/>
      <c r="E25" s="63" t="s">
        <v>85</v>
      </c>
      <c r="F25" s="60" t="s">
        <v>40</v>
      </c>
      <c r="G25" s="47">
        <v>0</v>
      </c>
      <c r="H25" s="135">
        <f>IF(B$17=0,0,G25/B$17)</f>
        <v>0</v>
      </c>
      <c r="I25" s="96">
        <v>3</v>
      </c>
    </row>
    <row r="26" spans="1:17" x14ac:dyDescent="0.4">
      <c r="A26" s="58" t="s">
        <v>152</v>
      </c>
      <c r="B26" s="140">
        <v>52200</v>
      </c>
      <c r="C26" s="141"/>
      <c r="E26" s="63" t="s">
        <v>86</v>
      </c>
      <c r="F26" s="60" t="s">
        <v>41</v>
      </c>
      <c r="G26" s="47">
        <v>0</v>
      </c>
      <c r="H26" s="135">
        <f>IF(B$17=0,0,G26/B$17)</f>
        <v>0</v>
      </c>
      <c r="I26" s="96">
        <v>3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88</v>
      </c>
      <c r="F27" s="60" t="s">
        <v>43</v>
      </c>
      <c r="G27" s="47">
        <v>0</v>
      </c>
      <c r="H27" s="135">
        <f>IF(B$17=0,0,G27/B$17)</f>
        <v>0</v>
      </c>
      <c r="I27" s="96">
        <v>3</v>
      </c>
    </row>
    <row r="28" spans="1:17" x14ac:dyDescent="0.4">
      <c r="E28" s="63" t="s">
        <v>89</v>
      </c>
      <c r="F28" s="60" t="s">
        <v>44</v>
      </c>
      <c r="G28" s="47">
        <v>0</v>
      </c>
      <c r="H28" s="135">
        <f>IF(B$17=0,0,G28/B$17)</f>
        <v>0</v>
      </c>
      <c r="I28" s="96">
        <v>3</v>
      </c>
    </row>
    <row r="29" spans="1:17" x14ac:dyDescent="0.4">
      <c r="E29" s="63" t="s">
        <v>91</v>
      </c>
      <c r="F29" s="60" t="s">
        <v>46</v>
      </c>
      <c r="G29" s="47">
        <v>0</v>
      </c>
      <c r="H29" s="135">
        <f>IF(B$17=0,0,G29/B$17)</f>
        <v>0</v>
      </c>
      <c r="I29" s="96">
        <v>3</v>
      </c>
    </row>
    <row r="30" spans="1:17" x14ac:dyDescent="0.4">
      <c r="E30" s="63" t="s">
        <v>92</v>
      </c>
      <c r="F30" s="60" t="s">
        <v>47</v>
      </c>
      <c r="G30" s="47">
        <v>0</v>
      </c>
      <c r="H30" s="135">
        <f>IF(B$17=0,0,G30/B$17)</f>
        <v>0</v>
      </c>
      <c r="I30" s="96">
        <v>6</v>
      </c>
    </row>
    <row r="31" spans="1:17" x14ac:dyDescent="0.4">
      <c r="E31" s="63" t="s">
        <v>93</v>
      </c>
      <c r="F31" s="60" t="s">
        <v>48</v>
      </c>
      <c r="G31" s="47">
        <v>0</v>
      </c>
      <c r="H31" s="135">
        <f>IF(B$17=0,0,G31/B$17)</f>
        <v>0</v>
      </c>
      <c r="I31" s="96">
        <v>4</v>
      </c>
    </row>
    <row r="32" spans="1:17" x14ac:dyDescent="0.4">
      <c r="E32" s="63" t="s">
        <v>94</v>
      </c>
      <c r="F32" s="60" t="s">
        <v>49</v>
      </c>
      <c r="G32" s="47">
        <v>0</v>
      </c>
      <c r="H32" s="135">
        <f>IF(B$17=0,0,G32/B$17)</f>
        <v>0</v>
      </c>
      <c r="I32" s="96">
        <v>1</v>
      </c>
    </row>
    <row r="33" spans="5:9" x14ac:dyDescent="0.4">
      <c r="E33" s="63" t="s">
        <v>95</v>
      </c>
      <c r="F33" s="60" t="s">
        <v>50</v>
      </c>
      <c r="G33" s="47">
        <v>0</v>
      </c>
      <c r="H33" s="135">
        <f>IF(B$17=0,0,G33/B$17)</f>
        <v>0</v>
      </c>
      <c r="I33" s="96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5">
        <f>IF(B$17=0,0,G34/B$17)</f>
        <v>0</v>
      </c>
      <c r="I34" s="96">
        <v>3</v>
      </c>
    </row>
    <row r="35" spans="5:9" x14ac:dyDescent="0.4">
      <c r="E35" s="63" t="s">
        <v>97</v>
      </c>
      <c r="F35" s="60" t="s">
        <v>52</v>
      </c>
      <c r="G35" s="47">
        <v>0</v>
      </c>
      <c r="H35" s="135">
        <f>IF(B$17=0,0,G35/B$17)</f>
        <v>0</v>
      </c>
      <c r="I35" s="96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5">
        <f>IF(B$17=0,0,G36/B$17)</f>
        <v>0</v>
      </c>
      <c r="I36" s="96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5">
        <f>IF(B$17=0,0,G37/B$17)</f>
        <v>0</v>
      </c>
      <c r="I37" s="96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5">
        <f>IF(B$17=0,0,G38/B$17)</f>
        <v>0</v>
      </c>
      <c r="I38" s="96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5">
        <f>IF(B$17=0,0,G39/B$17)</f>
        <v>0</v>
      </c>
      <c r="I39" s="96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5">
        <f>IF(B$17=0,0,G40/B$17)</f>
        <v>0</v>
      </c>
      <c r="I40" s="96">
        <v>1</v>
      </c>
    </row>
    <row r="41" spans="5:9" x14ac:dyDescent="0.4">
      <c r="E41" s="63" t="s">
        <v>103</v>
      </c>
      <c r="F41" s="60" t="s">
        <v>58</v>
      </c>
      <c r="G41" s="47">
        <v>0</v>
      </c>
      <c r="H41" s="135">
        <f>IF(B$17=0,0,G41/B$17)</f>
        <v>0</v>
      </c>
      <c r="I41" s="96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5">
        <f>IF(B$17=0,0,G42/B$17)</f>
        <v>0</v>
      </c>
      <c r="I42" s="96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5">
        <f>IF(B$17=0,0,G43/B$17)</f>
        <v>0</v>
      </c>
      <c r="I43" s="96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5">
        <f>IF(B$17=0,0,G44/B$17)</f>
        <v>0</v>
      </c>
      <c r="I44" s="96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5">
        <f>IF(B$17=0,0,G45/B$17)</f>
        <v>0</v>
      </c>
      <c r="I45" s="96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5">
        <f>IF(B$17=0,0,G46/B$17)</f>
        <v>0</v>
      </c>
      <c r="I46" s="96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5">
        <f>IF(B$17=0,0,G47/B$17)</f>
        <v>0</v>
      </c>
      <c r="I47" s="96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5">
        <f>IF(B$17=0,0,G48/B$17)</f>
        <v>0</v>
      </c>
      <c r="I48" s="96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5">
        <f>IF(B$17=0,0,G49/B$17)</f>
        <v>0</v>
      </c>
      <c r="I49" s="96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5">
        <f>IF(B$17=0,0,G50/B$17)</f>
        <v>0</v>
      </c>
      <c r="I50" s="96">
        <v>1</v>
      </c>
    </row>
    <row r="51" spans="5:9" x14ac:dyDescent="0.4">
      <c r="E51" s="64" t="s">
        <v>181</v>
      </c>
      <c r="F51" s="61" t="s">
        <v>184</v>
      </c>
      <c r="G51" s="49">
        <v>0</v>
      </c>
      <c r="H51" s="136">
        <f>IF(B$17=0,0,G51/B$17)</f>
        <v>0</v>
      </c>
      <c r="I51" s="97">
        <v>4</v>
      </c>
    </row>
  </sheetData>
  <sortState ref="N15:Q21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B72E8A-D02F-4F02-BBB0-E0670CE3A8F6}">
  <sheetPr codeName="Sheet13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0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1" customWidth="1"/>
    <col min="13" max="13" width="3.625" style="33" customWidth="1"/>
    <col min="14" max="14" width="9" style="117" customWidth="1"/>
    <col min="15" max="15" width="9" style="127" customWidth="1"/>
    <col min="16" max="16" width="9" style="121" customWidth="1"/>
    <col min="17" max="17" width="3.625" style="109" customWidth="1"/>
    <col min="18" max="16384" width="9" style="33"/>
  </cols>
  <sheetData>
    <row r="1" spans="1:17" x14ac:dyDescent="0.4">
      <c r="A1" s="53" t="s">
        <v>0</v>
      </c>
      <c r="B1" s="146" t="s">
        <v>172</v>
      </c>
      <c r="C1" s="147"/>
      <c r="E1" s="131" t="s">
        <v>168</v>
      </c>
      <c r="F1" s="139" t="s">
        <v>116</v>
      </c>
      <c r="G1" s="138" t="s">
        <v>117</v>
      </c>
      <c r="H1" s="132" t="s">
        <v>118</v>
      </c>
      <c r="I1" s="139" t="s">
        <v>154</v>
      </c>
      <c r="K1" s="34" t="s">
        <v>20</v>
      </c>
      <c r="L1" s="35" t="s">
        <v>121</v>
      </c>
      <c r="M1" s="133"/>
      <c r="N1" s="115" t="s">
        <v>138</v>
      </c>
      <c r="O1" s="34" t="s">
        <v>139</v>
      </c>
      <c r="P1" s="119" t="s">
        <v>117</v>
      </c>
      <c r="Q1" s="103" t="s">
        <v>158</v>
      </c>
    </row>
    <row r="2" spans="1:17" x14ac:dyDescent="0.4">
      <c r="A2" s="54" t="s">
        <v>9</v>
      </c>
      <c r="B2" s="148">
        <v>33</v>
      </c>
      <c r="C2" s="149"/>
      <c r="E2" s="62" t="s">
        <v>67</v>
      </c>
      <c r="F2" s="59" t="s">
        <v>23</v>
      </c>
      <c r="G2" s="46">
        <v>49</v>
      </c>
      <c r="H2" s="134">
        <f>IF(B$17=0,0,G2/B$17)</f>
        <v>0.7</v>
      </c>
      <c r="I2" s="95">
        <v>7</v>
      </c>
      <c r="K2" s="36">
        <v>0</v>
      </c>
      <c r="L2" s="100">
        <v>0</v>
      </c>
      <c r="N2" s="116" t="s">
        <v>132</v>
      </c>
      <c r="O2" s="123">
        <f t="shared" ref="O2:O7" si="0">IF(P2=0,0,Q2/P2)</f>
        <v>-178.78787878787878</v>
      </c>
      <c r="P2" s="120">
        <v>33</v>
      </c>
      <c r="Q2" s="104">
        <v>-5900</v>
      </c>
    </row>
    <row r="3" spans="1:17" x14ac:dyDescent="0.4">
      <c r="A3" s="55" t="s">
        <v>8</v>
      </c>
      <c r="B3" s="150">
        <v>288</v>
      </c>
      <c r="C3" s="151"/>
      <c r="E3" s="63" t="s">
        <v>65</v>
      </c>
      <c r="F3" s="60" t="s">
        <v>21</v>
      </c>
      <c r="G3" s="47">
        <v>36</v>
      </c>
      <c r="H3" s="135">
        <f>IF(B$17=0,0,G3/B$17)</f>
        <v>0.51428571428571423</v>
      </c>
      <c r="I3" s="96">
        <v>4</v>
      </c>
      <c r="K3" s="38">
        <v>1</v>
      </c>
      <c r="L3" s="101">
        <v>-51.2</v>
      </c>
      <c r="N3" s="117" t="s">
        <v>133</v>
      </c>
      <c r="O3" s="124">
        <f t="shared" si="0"/>
        <v>527.27272727272725</v>
      </c>
      <c r="P3" s="121">
        <v>33</v>
      </c>
      <c r="Q3" s="105">
        <v>17400</v>
      </c>
    </row>
    <row r="4" spans="1:17" x14ac:dyDescent="0.4">
      <c r="A4" s="55" t="s">
        <v>6</v>
      </c>
      <c r="B4" s="152">
        <v>-108.9</v>
      </c>
      <c r="C4" s="153"/>
      <c r="E4" s="63" t="s">
        <v>73</v>
      </c>
      <c r="F4" s="60" t="s">
        <v>28</v>
      </c>
      <c r="G4" s="47">
        <v>36</v>
      </c>
      <c r="H4" s="135">
        <f>IF(B$17=0,0,G4/B$17)</f>
        <v>0.51428571428571423</v>
      </c>
      <c r="I4" s="96">
        <v>7</v>
      </c>
      <c r="K4" s="38">
        <v>2</v>
      </c>
      <c r="L4" s="101">
        <v>-93.300000000000011</v>
      </c>
      <c r="N4" s="117" t="s">
        <v>134</v>
      </c>
      <c r="O4" s="124">
        <f t="shared" si="0"/>
        <v>1096.7741935483871</v>
      </c>
      <c r="P4" s="121">
        <v>31</v>
      </c>
      <c r="Q4" s="105">
        <v>34000</v>
      </c>
    </row>
    <row r="5" spans="1:17" x14ac:dyDescent="0.4">
      <c r="A5" s="55" t="s">
        <v>7</v>
      </c>
      <c r="B5" s="154">
        <f>IF(B$2=0,0,B$4/B$2)</f>
        <v>-3.3000000000000003</v>
      </c>
      <c r="C5" s="155"/>
      <c r="E5" s="63" t="s">
        <v>182</v>
      </c>
      <c r="F5" s="60" t="s">
        <v>183</v>
      </c>
      <c r="G5" s="47">
        <v>22</v>
      </c>
      <c r="H5" s="135">
        <f>IF(B$17=0,0,G5/B$17)</f>
        <v>0.31428571428571428</v>
      </c>
      <c r="I5" s="96">
        <v>10</v>
      </c>
      <c r="K5" s="38">
        <v>3</v>
      </c>
      <c r="L5" s="101">
        <v>-60.100000000000009</v>
      </c>
      <c r="N5" s="117" t="s">
        <v>135</v>
      </c>
      <c r="O5" s="124">
        <f t="shared" si="0"/>
        <v>-2127.5862068965516</v>
      </c>
      <c r="P5" s="121">
        <v>29</v>
      </c>
      <c r="Q5" s="105">
        <v>-61700</v>
      </c>
    </row>
    <row r="6" spans="1:17" x14ac:dyDescent="0.4">
      <c r="A6" s="55" t="s">
        <v>1</v>
      </c>
      <c r="B6" s="144">
        <f>IF(B$2=0,0,(B$7*1+B$8*2+B$9*3)/B$2)</f>
        <v>2.1212121212121211</v>
      </c>
      <c r="C6" s="145"/>
      <c r="E6" s="63" t="s">
        <v>69</v>
      </c>
      <c r="F6" s="60" t="s">
        <v>12</v>
      </c>
      <c r="G6" s="47">
        <v>17</v>
      </c>
      <c r="H6" s="135">
        <f>IF(B$17=0,0,G6/B$17)</f>
        <v>0.24285714285714285</v>
      </c>
      <c r="I6" s="96">
        <v>7</v>
      </c>
      <c r="K6" s="38">
        <v>4</v>
      </c>
      <c r="L6" s="101">
        <v>-11.300000000000011</v>
      </c>
      <c r="N6" s="117" t="s">
        <v>136</v>
      </c>
      <c r="O6" s="124">
        <f t="shared" si="0"/>
        <v>-611.11111111111109</v>
      </c>
      <c r="P6" s="121">
        <v>27</v>
      </c>
      <c r="Q6" s="105">
        <v>-16500</v>
      </c>
    </row>
    <row r="7" spans="1:17" x14ac:dyDescent="0.4">
      <c r="A7" s="55" t="s">
        <v>2</v>
      </c>
      <c r="B7" s="47">
        <v>8</v>
      </c>
      <c r="C7" s="39">
        <f>IF(B$2=0,0,B7/B$2)</f>
        <v>0.24242424242424243</v>
      </c>
      <c r="E7" s="63" t="s">
        <v>70</v>
      </c>
      <c r="F7" s="60" t="s">
        <v>25</v>
      </c>
      <c r="G7" s="47">
        <v>16</v>
      </c>
      <c r="H7" s="135">
        <f>IF(B$17=0,0,G7/B$17)</f>
        <v>0.22857142857142856</v>
      </c>
      <c r="I7" s="96">
        <v>2</v>
      </c>
      <c r="K7" s="38">
        <v>5</v>
      </c>
      <c r="L7" s="101">
        <v>-36.100000000000009</v>
      </c>
      <c r="N7" s="118" t="s">
        <v>137</v>
      </c>
      <c r="O7" s="125">
        <f t="shared" si="0"/>
        <v>472</v>
      </c>
      <c r="P7" s="122">
        <v>25</v>
      </c>
      <c r="Q7" s="106">
        <v>11800</v>
      </c>
    </row>
    <row r="8" spans="1:17" x14ac:dyDescent="0.4">
      <c r="A8" s="55" t="s">
        <v>3</v>
      </c>
      <c r="B8" s="47">
        <v>13</v>
      </c>
      <c r="C8" s="39">
        <f>IF(B$2=0,0,B8/B$2)</f>
        <v>0.39393939393939392</v>
      </c>
      <c r="E8" s="63" t="s">
        <v>68</v>
      </c>
      <c r="F8" s="60" t="s">
        <v>24</v>
      </c>
      <c r="G8" s="47">
        <v>15</v>
      </c>
      <c r="H8" s="135">
        <f>IF(B$17=0,0,G8/B$17)</f>
        <v>0.21428571428571427</v>
      </c>
      <c r="I8" s="96">
        <v>7</v>
      </c>
      <c r="K8" s="38">
        <v>6</v>
      </c>
      <c r="L8" s="101">
        <v>9.0999999999999943</v>
      </c>
      <c r="N8" s="43"/>
      <c r="O8" s="129"/>
      <c r="P8" s="113"/>
      <c r="Q8" s="111"/>
    </row>
    <row r="9" spans="1:17" x14ac:dyDescent="0.4">
      <c r="A9" s="56" t="s">
        <v>4</v>
      </c>
      <c r="B9" s="48">
        <v>12</v>
      </c>
      <c r="C9" s="40">
        <f t="shared" ref="C9" si="1">IF(B$2=0,0,B9/B$2)</f>
        <v>0.36363636363636365</v>
      </c>
      <c r="E9" s="63" t="s">
        <v>66</v>
      </c>
      <c r="F9" s="60" t="s">
        <v>22</v>
      </c>
      <c r="G9" s="47">
        <v>12</v>
      </c>
      <c r="H9" s="135">
        <f>IF(B$17=0,0,G9/B$17)</f>
        <v>0.17142857142857143</v>
      </c>
      <c r="I9" s="96">
        <v>2</v>
      </c>
      <c r="K9" s="38">
        <v>7</v>
      </c>
      <c r="L9" s="101">
        <v>-51.300000000000004</v>
      </c>
      <c r="N9" s="115" t="s">
        <v>164</v>
      </c>
      <c r="O9" s="34" t="s">
        <v>121</v>
      </c>
      <c r="P9" s="119" t="s">
        <v>117</v>
      </c>
      <c r="Q9" s="107" t="s">
        <v>158</v>
      </c>
    </row>
    <row r="10" spans="1:17" x14ac:dyDescent="0.4">
      <c r="A10" s="56" t="s">
        <v>19</v>
      </c>
      <c r="B10" s="48">
        <v>1</v>
      </c>
      <c r="C10" s="40">
        <f>IF(B$2=0,0,B10/B$2)</f>
        <v>3.0303030303030304E-2</v>
      </c>
      <c r="E10" s="63" t="s">
        <v>90</v>
      </c>
      <c r="F10" s="60" t="s">
        <v>45</v>
      </c>
      <c r="G10" s="47">
        <v>11</v>
      </c>
      <c r="H10" s="135">
        <f>IF(B$17=0,0,G10/B$17)</f>
        <v>0.15714285714285714</v>
      </c>
      <c r="I10" s="96">
        <v>6</v>
      </c>
      <c r="K10" s="38">
        <v>8</v>
      </c>
      <c r="L10" s="101">
        <v>-1.7000000000000028</v>
      </c>
      <c r="N10" s="116" t="s">
        <v>165</v>
      </c>
      <c r="O10" s="126">
        <f>IF(P10=0,0,Q10/P10)</f>
        <v>1.2285714285714278</v>
      </c>
      <c r="P10" s="120">
        <v>7</v>
      </c>
      <c r="Q10" s="108">
        <v>8.5999999999999943</v>
      </c>
    </row>
    <row r="11" spans="1:17" x14ac:dyDescent="0.4">
      <c r="A11" s="56" t="s">
        <v>140</v>
      </c>
      <c r="B11" s="48">
        <v>3</v>
      </c>
      <c r="C11" s="40">
        <f>IF(B$2=0,0,B11/B$2)</f>
        <v>9.0909090909090912E-2</v>
      </c>
      <c r="E11" s="63" t="s">
        <v>71</v>
      </c>
      <c r="F11" s="60" t="s">
        <v>26</v>
      </c>
      <c r="G11" s="47">
        <v>8</v>
      </c>
      <c r="H11" s="135">
        <f>IF(B$17=0,0,G11/B$17)</f>
        <v>0.11428571428571428</v>
      </c>
      <c r="I11" s="96">
        <v>4</v>
      </c>
      <c r="K11" s="38">
        <v>9</v>
      </c>
      <c r="L11" s="101">
        <v>-5.8000000000000025</v>
      </c>
      <c r="N11" s="117" t="s">
        <v>166</v>
      </c>
      <c r="O11" s="127">
        <f>IF(P11=0,0,Q11/P11)</f>
        <v>-8.9833333333333325</v>
      </c>
      <c r="P11" s="121">
        <v>12</v>
      </c>
      <c r="Q11" s="109">
        <v>-107.79999999999998</v>
      </c>
    </row>
    <row r="12" spans="1:17" x14ac:dyDescent="0.4">
      <c r="A12" s="57" t="s">
        <v>160</v>
      </c>
      <c r="B12" s="49">
        <v>3</v>
      </c>
      <c r="C12" s="42">
        <f>IF(B$2=0,0,B12/B$2)</f>
        <v>9.0909090909090912E-2</v>
      </c>
      <c r="E12" s="63" t="s">
        <v>72</v>
      </c>
      <c r="F12" s="60" t="s">
        <v>27</v>
      </c>
      <c r="G12" s="47">
        <v>6</v>
      </c>
      <c r="H12" s="135">
        <f>IF(B$17=0,0,G12/B$17)</f>
        <v>8.5714285714285715E-2</v>
      </c>
      <c r="I12" s="96">
        <v>3</v>
      </c>
      <c r="K12" s="38">
        <v>10</v>
      </c>
      <c r="L12" s="101">
        <v>-56.500000000000007</v>
      </c>
      <c r="N12" s="118" t="s">
        <v>167</v>
      </c>
      <c r="O12" s="128">
        <f>IF(P12=0,0,Q12/P12)</f>
        <v>-0.69285714285714317</v>
      </c>
      <c r="P12" s="122">
        <v>14</v>
      </c>
      <c r="Q12" s="110">
        <v>-9.7000000000000046</v>
      </c>
    </row>
    <row r="13" spans="1:17" x14ac:dyDescent="0.4">
      <c r="A13" s="58" t="s">
        <v>122</v>
      </c>
      <c r="B13" s="50">
        <v>70</v>
      </c>
      <c r="C13" s="44">
        <f>IF(B$3=0,0,B13/B$3)</f>
        <v>0.24305555555555555</v>
      </c>
      <c r="E13" s="63" t="s">
        <v>87</v>
      </c>
      <c r="F13" s="60" t="s">
        <v>42</v>
      </c>
      <c r="G13" s="47">
        <v>5</v>
      </c>
      <c r="H13" s="135">
        <f>IF(B$17=0,0,G13/B$17)</f>
        <v>7.1428571428571425E-2</v>
      </c>
      <c r="I13" s="96">
        <v>3</v>
      </c>
      <c r="K13" s="38">
        <v>11</v>
      </c>
      <c r="L13" s="101">
        <v>-27.600000000000009</v>
      </c>
      <c r="N13" s="33"/>
      <c r="O13" s="112"/>
      <c r="P13" s="114"/>
      <c r="Q13" s="112"/>
    </row>
    <row r="14" spans="1:17" x14ac:dyDescent="0.4">
      <c r="A14" s="55" t="s">
        <v>119</v>
      </c>
      <c r="B14" s="47">
        <v>51</v>
      </c>
      <c r="C14" s="39">
        <f>IF(B$3=0,0,B14/B$3)</f>
        <v>0.17708333333333334</v>
      </c>
      <c r="E14" s="63" t="s">
        <v>84</v>
      </c>
      <c r="F14" s="60" t="s">
        <v>39</v>
      </c>
      <c r="G14" s="47">
        <v>4</v>
      </c>
      <c r="H14" s="135">
        <f>IF(B$17=0,0,G14/B$17)</f>
        <v>5.7142857142857141E-2</v>
      </c>
      <c r="I14" s="96">
        <v>2</v>
      </c>
      <c r="K14" s="38">
        <v>12</v>
      </c>
      <c r="L14" s="101">
        <v>-42.900000000000006</v>
      </c>
      <c r="N14" s="115" t="s">
        <v>155</v>
      </c>
      <c r="O14" s="34" t="s">
        <v>121</v>
      </c>
      <c r="P14" s="119" t="s">
        <v>117</v>
      </c>
      <c r="Q14" s="107" t="s">
        <v>158</v>
      </c>
    </row>
    <row r="15" spans="1:17" x14ac:dyDescent="0.4">
      <c r="A15" s="54" t="s">
        <v>124</v>
      </c>
      <c r="B15" s="46">
        <v>39</v>
      </c>
      <c r="C15" s="37">
        <f>IF(B$13=0,0,B15/B$13)</f>
        <v>0.55714285714285716</v>
      </c>
      <c r="E15" s="63" t="s">
        <v>79</v>
      </c>
      <c r="F15" s="60" t="s">
        <v>34</v>
      </c>
      <c r="G15" s="47">
        <v>3</v>
      </c>
      <c r="H15" s="135">
        <f>IF(B$17=0,0,G15/B$17)</f>
        <v>4.2857142857142858E-2</v>
      </c>
      <c r="I15" s="96">
        <v>1</v>
      </c>
      <c r="K15" s="38">
        <v>13</v>
      </c>
      <c r="L15" s="101">
        <v>-58.7</v>
      </c>
      <c r="N15" s="116" t="s">
        <v>129</v>
      </c>
      <c r="O15" s="126">
        <f>IF(P15=0,0,Q15/P15)</f>
        <v>86.820000000000007</v>
      </c>
      <c r="P15" s="120">
        <v>5</v>
      </c>
      <c r="Q15" s="108">
        <v>434.1</v>
      </c>
    </row>
    <row r="16" spans="1:17" x14ac:dyDescent="0.4">
      <c r="A16" s="54" t="s">
        <v>125</v>
      </c>
      <c r="B16" s="46">
        <v>16</v>
      </c>
      <c r="C16" s="37">
        <f>IF(B$14=0,0,B16/B$14)</f>
        <v>0.31372549019607843</v>
      </c>
      <c r="E16" s="63" t="s">
        <v>76</v>
      </c>
      <c r="F16" s="60" t="s">
        <v>31</v>
      </c>
      <c r="G16" s="47">
        <v>2</v>
      </c>
      <c r="H16" s="135">
        <f>IF(B$17=0,0,G16/B$17)</f>
        <v>2.8571428571428571E-2</v>
      </c>
      <c r="I16" s="96">
        <v>2</v>
      </c>
      <c r="K16" s="38">
        <v>14</v>
      </c>
      <c r="L16" s="101">
        <v>-29.400000000000002</v>
      </c>
      <c r="N16" s="117" t="s">
        <v>187</v>
      </c>
      <c r="O16" s="127">
        <f>IF(P16=0,0,Q16/P16)</f>
        <v>25.400000000000002</v>
      </c>
      <c r="P16" s="121">
        <v>2</v>
      </c>
      <c r="Q16" s="109">
        <v>50.800000000000004</v>
      </c>
    </row>
    <row r="17" spans="1:17" x14ac:dyDescent="0.4">
      <c r="A17" s="54" t="s">
        <v>10</v>
      </c>
      <c r="B17" s="46">
        <f>B19+B18</f>
        <v>70</v>
      </c>
      <c r="C17" s="37">
        <f>IF(B$3=0,0,B17/B$3)</f>
        <v>0.24305555555555555</v>
      </c>
      <c r="E17" s="63" t="s">
        <v>181</v>
      </c>
      <c r="F17" s="60" t="s">
        <v>184</v>
      </c>
      <c r="G17" s="47">
        <v>2</v>
      </c>
      <c r="H17" s="135">
        <f>IF(B$17=0,0,G17/B$17)</f>
        <v>2.8571428571428571E-2</v>
      </c>
      <c r="I17" s="96">
        <v>1</v>
      </c>
      <c r="K17" s="38">
        <v>15</v>
      </c>
      <c r="L17" s="101">
        <v>-26.3</v>
      </c>
      <c r="N17" s="117" t="s">
        <v>174</v>
      </c>
      <c r="O17" s="127">
        <f>IF(P17=0,0,Q17/P17)</f>
        <v>15.190000000000001</v>
      </c>
      <c r="P17" s="121">
        <v>10</v>
      </c>
      <c r="Q17" s="109">
        <v>151.9</v>
      </c>
    </row>
    <row r="18" spans="1:17" x14ac:dyDescent="0.4">
      <c r="A18" s="55" t="s">
        <v>12</v>
      </c>
      <c r="B18" s="47">
        <v>25</v>
      </c>
      <c r="C18" s="39">
        <f>IF(B$17=0,0,B18/B$17)</f>
        <v>0.35714285714285715</v>
      </c>
      <c r="E18" s="63" t="s">
        <v>82</v>
      </c>
      <c r="F18" s="60" t="s">
        <v>37</v>
      </c>
      <c r="G18" s="47">
        <v>1</v>
      </c>
      <c r="H18" s="135">
        <f>IF(B$17=0,0,G18/B$17)</f>
        <v>1.4285714285714285E-2</v>
      </c>
      <c r="I18" s="96">
        <v>6</v>
      </c>
      <c r="K18" s="38">
        <v>16</v>
      </c>
      <c r="L18" s="101">
        <v>-50.3</v>
      </c>
      <c r="N18" s="117" t="s">
        <v>173</v>
      </c>
      <c r="O18" s="127">
        <f>IF(P18=0,0,Q18/P18)</f>
        <v>5.2555555555555546</v>
      </c>
      <c r="P18" s="121">
        <v>9</v>
      </c>
      <c r="Q18" s="109">
        <v>47.29999999999999</v>
      </c>
    </row>
    <row r="19" spans="1:17" x14ac:dyDescent="0.4">
      <c r="A19" s="55" t="s">
        <v>11</v>
      </c>
      <c r="B19" s="47">
        <v>45</v>
      </c>
      <c r="C19" s="39">
        <f>IF(B$17=0,0,B19/B$17)</f>
        <v>0.6428571428571429</v>
      </c>
      <c r="E19" s="63" t="s">
        <v>93</v>
      </c>
      <c r="F19" s="60" t="s">
        <v>48</v>
      </c>
      <c r="G19" s="47">
        <v>1</v>
      </c>
      <c r="H19" s="135">
        <f>IF(B$17=0,0,G19/B$17)</f>
        <v>1.4285714285714285E-2</v>
      </c>
      <c r="I19" s="96">
        <v>1</v>
      </c>
      <c r="K19" s="38">
        <v>17</v>
      </c>
      <c r="L19" s="101">
        <v>-74.3</v>
      </c>
      <c r="N19" s="117" t="s">
        <v>178</v>
      </c>
      <c r="O19" s="127">
        <f>IF(P19=0,0,Q19/P19)</f>
        <v>-12.149999999999999</v>
      </c>
      <c r="P19" s="121">
        <v>2</v>
      </c>
      <c r="Q19" s="109">
        <v>-24.299999999999997</v>
      </c>
    </row>
    <row r="20" spans="1:17" x14ac:dyDescent="0.4">
      <c r="A20" s="55" t="s">
        <v>13</v>
      </c>
      <c r="B20" s="47">
        <v>48</v>
      </c>
      <c r="C20" s="39">
        <f>IF(B$3=0,0,B20/B$3)</f>
        <v>0.16666666666666666</v>
      </c>
      <c r="E20" s="63" t="s">
        <v>74</v>
      </c>
      <c r="F20" s="60" t="s">
        <v>29</v>
      </c>
      <c r="G20" s="47">
        <v>0</v>
      </c>
      <c r="H20" s="135">
        <f>IF(B$17=0,0,G20/B$17)</f>
        <v>0</v>
      </c>
      <c r="I20" s="96">
        <v>4</v>
      </c>
      <c r="K20" s="38">
        <v>18</v>
      </c>
      <c r="L20" s="101">
        <v>-76.099999999999994</v>
      </c>
      <c r="N20" s="117" t="s">
        <v>128</v>
      </c>
      <c r="O20" s="127">
        <f>IF(P20=0,0,Q20/P20)</f>
        <v>-21.681250000000009</v>
      </c>
      <c r="P20" s="121">
        <v>16</v>
      </c>
      <c r="Q20" s="109">
        <v>-346.90000000000015</v>
      </c>
    </row>
    <row r="21" spans="1:17" x14ac:dyDescent="0.4">
      <c r="A21" s="55" t="s">
        <v>194</v>
      </c>
      <c r="B21" s="47">
        <v>4</v>
      </c>
      <c r="C21" s="137">
        <v>0</v>
      </c>
      <c r="E21" s="63" t="s">
        <v>75</v>
      </c>
      <c r="F21" s="60" t="s">
        <v>30</v>
      </c>
      <c r="G21" s="47">
        <v>0</v>
      </c>
      <c r="H21" s="135">
        <f>IF(B$17=0,0,G21/B$17)</f>
        <v>0</v>
      </c>
      <c r="I21" s="96">
        <v>3</v>
      </c>
      <c r="K21" s="38">
        <v>19</v>
      </c>
      <c r="L21" s="101">
        <v>0.60000000000000853</v>
      </c>
      <c r="N21" s="117" t="s">
        <v>203</v>
      </c>
      <c r="O21" s="127">
        <f>IF(P21=0,0,Q21/P21)</f>
        <v>-21.9</v>
      </c>
      <c r="P21" s="121">
        <v>1</v>
      </c>
      <c r="Q21" s="109">
        <v>-21.9</v>
      </c>
    </row>
    <row r="22" spans="1:17" x14ac:dyDescent="0.4">
      <c r="A22" s="55" t="s">
        <v>195</v>
      </c>
      <c r="B22" s="47">
        <v>20</v>
      </c>
      <c r="C22" s="137">
        <v>3</v>
      </c>
      <c r="E22" s="63" t="s">
        <v>77</v>
      </c>
      <c r="F22" s="60" t="s">
        <v>32</v>
      </c>
      <c r="G22" s="47">
        <v>0</v>
      </c>
      <c r="H22" s="135">
        <f>IF(B$17=0,0,G22/B$17)</f>
        <v>0</v>
      </c>
      <c r="I22" s="96">
        <v>1</v>
      </c>
      <c r="K22" s="38">
        <v>20</v>
      </c>
      <c r="L22" s="101">
        <v>-3.5999999999999917</v>
      </c>
      <c r="N22" s="117" t="s">
        <v>127</v>
      </c>
      <c r="O22" s="127">
        <f>IF(P22=0,0,Q22/P22)</f>
        <v>-29.414285714285718</v>
      </c>
      <c r="P22" s="121">
        <v>21</v>
      </c>
      <c r="Q22" s="109">
        <v>-617.70000000000005</v>
      </c>
    </row>
    <row r="23" spans="1:17" x14ac:dyDescent="0.4">
      <c r="A23" s="55" t="s">
        <v>5</v>
      </c>
      <c r="B23" s="51">
        <f>IF(B$17=0,0,C23/B$17)</f>
        <v>8422.8571428571431</v>
      </c>
      <c r="C23" s="41">
        <v>589600</v>
      </c>
      <c r="E23" s="63" t="s">
        <v>78</v>
      </c>
      <c r="F23" s="60" t="s">
        <v>33</v>
      </c>
      <c r="G23" s="47">
        <v>0</v>
      </c>
      <c r="H23" s="135">
        <f>IF(B$17=0,0,G23/B$17)</f>
        <v>0</v>
      </c>
      <c r="I23" s="96">
        <v>4</v>
      </c>
      <c r="K23" s="38">
        <v>21</v>
      </c>
      <c r="L23" s="101">
        <v>-3.0999999999999917</v>
      </c>
    </row>
    <row r="24" spans="1:17" x14ac:dyDescent="0.4">
      <c r="A24" s="57" t="s">
        <v>14</v>
      </c>
      <c r="B24" s="52">
        <f>IF(B$20=0,0,C24/B$20)</f>
        <v>-7206.25</v>
      </c>
      <c r="C24" s="45">
        <v>-345900</v>
      </c>
      <c r="E24" s="63" t="s">
        <v>80</v>
      </c>
      <c r="F24" s="60" t="s">
        <v>35</v>
      </c>
      <c r="G24" s="47">
        <v>0</v>
      </c>
      <c r="H24" s="135">
        <f>IF(B$17=0,0,G24/B$17)</f>
        <v>0</v>
      </c>
      <c r="I24" s="96">
        <v>6</v>
      </c>
      <c r="K24" s="38">
        <v>22</v>
      </c>
      <c r="L24" s="101">
        <v>-17.099999999999991</v>
      </c>
    </row>
    <row r="25" spans="1:17" x14ac:dyDescent="0.4">
      <c r="A25" s="92" t="s">
        <v>142</v>
      </c>
      <c r="B25" s="142">
        <v>4</v>
      </c>
      <c r="C25" s="143"/>
      <c r="E25" s="63" t="s">
        <v>81</v>
      </c>
      <c r="F25" s="60" t="s">
        <v>36</v>
      </c>
      <c r="G25" s="47">
        <v>0</v>
      </c>
      <c r="H25" s="135">
        <f>IF(B$17=0,0,G25/B$17)</f>
        <v>0</v>
      </c>
      <c r="I25" s="96">
        <v>1</v>
      </c>
      <c r="K25" s="38">
        <v>23</v>
      </c>
      <c r="L25" s="101">
        <v>-55.699999999999989</v>
      </c>
    </row>
    <row r="26" spans="1:17" x14ac:dyDescent="0.4">
      <c r="A26" s="58" t="s">
        <v>152</v>
      </c>
      <c r="B26" s="140">
        <v>91700</v>
      </c>
      <c r="C26" s="141"/>
      <c r="E26" s="63" t="s">
        <v>83</v>
      </c>
      <c r="F26" s="60" t="s">
        <v>38</v>
      </c>
      <c r="G26" s="47">
        <v>0</v>
      </c>
      <c r="H26" s="135">
        <f>IF(B$17=0,0,G26/B$17)</f>
        <v>0</v>
      </c>
      <c r="I26" s="96">
        <v>1</v>
      </c>
      <c r="K26" s="38">
        <v>24</v>
      </c>
      <c r="L26" s="101">
        <v>-59.499999999999986</v>
      </c>
    </row>
    <row r="27" spans="1:17" x14ac:dyDescent="0.4">
      <c r="A27" s="57" t="s">
        <v>143</v>
      </c>
      <c r="B27" s="65">
        <v>1</v>
      </c>
      <c r="C27" s="42">
        <f>IF(B$3=0,0,B27/B$3)</f>
        <v>3.472222222222222E-3</v>
      </c>
      <c r="E27" s="63" t="s">
        <v>85</v>
      </c>
      <c r="F27" s="60" t="s">
        <v>40</v>
      </c>
      <c r="G27" s="47">
        <v>0</v>
      </c>
      <c r="H27" s="135">
        <f>IF(B$17=0,0,G27/B$17)</f>
        <v>0</v>
      </c>
      <c r="I27" s="96">
        <v>3</v>
      </c>
      <c r="K27" s="38">
        <v>25</v>
      </c>
      <c r="L27" s="101">
        <v>-39.999999999999986</v>
      </c>
    </row>
    <row r="28" spans="1:17" x14ac:dyDescent="0.4">
      <c r="E28" s="63" t="s">
        <v>86</v>
      </c>
      <c r="F28" s="60" t="s">
        <v>41</v>
      </c>
      <c r="G28" s="47">
        <v>0</v>
      </c>
      <c r="H28" s="135">
        <f>IF(B$17=0,0,G28/B$17)</f>
        <v>0</v>
      </c>
      <c r="I28" s="96">
        <v>3</v>
      </c>
      <c r="K28" s="38">
        <v>26</v>
      </c>
      <c r="L28" s="101">
        <v>-71.099999999999994</v>
      </c>
    </row>
    <row r="29" spans="1:17" x14ac:dyDescent="0.4">
      <c r="E29" s="63" t="s">
        <v>88</v>
      </c>
      <c r="F29" s="60" t="s">
        <v>43</v>
      </c>
      <c r="G29" s="47">
        <v>0</v>
      </c>
      <c r="H29" s="135">
        <f>IF(B$17=0,0,G29/B$17)</f>
        <v>0</v>
      </c>
      <c r="I29" s="96">
        <v>3</v>
      </c>
      <c r="K29" s="38">
        <v>27</v>
      </c>
      <c r="L29" s="101">
        <v>-66.199999999999989</v>
      </c>
    </row>
    <row r="30" spans="1:17" x14ac:dyDescent="0.4">
      <c r="E30" s="63" t="s">
        <v>89</v>
      </c>
      <c r="F30" s="60" t="s">
        <v>44</v>
      </c>
      <c r="G30" s="47">
        <v>0</v>
      </c>
      <c r="H30" s="135">
        <f>IF(B$17=0,0,G30/B$17)</f>
        <v>0</v>
      </c>
      <c r="I30" s="96">
        <v>3</v>
      </c>
      <c r="K30" s="38">
        <v>28</v>
      </c>
      <c r="L30" s="101">
        <v>-116.49999999999999</v>
      </c>
    </row>
    <row r="31" spans="1:17" x14ac:dyDescent="0.4">
      <c r="E31" s="63" t="s">
        <v>91</v>
      </c>
      <c r="F31" s="60" t="s">
        <v>46</v>
      </c>
      <c r="G31" s="47">
        <v>0</v>
      </c>
      <c r="H31" s="135">
        <f>IF(B$17=0,0,G31/B$17)</f>
        <v>0</v>
      </c>
      <c r="I31" s="96">
        <v>3</v>
      </c>
      <c r="K31" s="38">
        <v>29</v>
      </c>
      <c r="L31" s="101">
        <v>-121.79999999999998</v>
      </c>
    </row>
    <row r="32" spans="1:17" x14ac:dyDescent="0.4">
      <c r="E32" s="63" t="s">
        <v>92</v>
      </c>
      <c r="F32" s="60" t="s">
        <v>47</v>
      </c>
      <c r="G32" s="47">
        <v>0</v>
      </c>
      <c r="H32" s="135">
        <f>IF(B$17=0,0,G32/B$17)</f>
        <v>0</v>
      </c>
      <c r="I32" s="96">
        <v>6</v>
      </c>
      <c r="K32" s="38">
        <v>30</v>
      </c>
      <c r="L32" s="101">
        <v>-156.19999999999999</v>
      </c>
    </row>
    <row r="33" spans="5:12" x14ac:dyDescent="0.4">
      <c r="E33" s="63" t="s">
        <v>94</v>
      </c>
      <c r="F33" s="60" t="s">
        <v>49</v>
      </c>
      <c r="G33" s="47">
        <v>0</v>
      </c>
      <c r="H33" s="135">
        <f>IF(B$17=0,0,G33/B$17)</f>
        <v>0</v>
      </c>
      <c r="I33" s="96">
        <v>1</v>
      </c>
      <c r="K33" s="38">
        <v>31</v>
      </c>
      <c r="L33" s="101">
        <v>-91.899999999999991</v>
      </c>
    </row>
    <row r="34" spans="5:12" x14ac:dyDescent="0.4">
      <c r="E34" s="63" t="s">
        <v>95</v>
      </c>
      <c r="F34" s="60" t="s">
        <v>50</v>
      </c>
      <c r="G34" s="47">
        <v>0</v>
      </c>
      <c r="H34" s="135">
        <f>IF(B$17=0,0,G34/B$17)</f>
        <v>0</v>
      </c>
      <c r="I34" s="96">
        <v>1</v>
      </c>
      <c r="K34" s="38">
        <v>32</v>
      </c>
      <c r="L34" s="101">
        <v>-119</v>
      </c>
    </row>
    <row r="35" spans="5:12" x14ac:dyDescent="0.4">
      <c r="E35" s="63" t="s">
        <v>96</v>
      </c>
      <c r="F35" s="60" t="s">
        <v>51</v>
      </c>
      <c r="G35" s="47">
        <v>0</v>
      </c>
      <c r="H35" s="135">
        <f>IF(B$17=0,0,G35/B$17)</f>
        <v>0</v>
      </c>
      <c r="I35" s="96">
        <v>3</v>
      </c>
      <c r="K35" s="38">
        <v>33</v>
      </c>
      <c r="L35" s="101">
        <v>-108.9</v>
      </c>
    </row>
    <row r="36" spans="5:12" x14ac:dyDescent="0.4">
      <c r="E36" s="63" t="s">
        <v>97</v>
      </c>
      <c r="F36" s="60" t="s">
        <v>52</v>
      </c>
      <c r="G36" s="47">
        <v>0</v>
      </c>
      <c r="H36" s="135">
        <f>IF(B$17=0,0,G36/B$17)</f>
        <v>0</v>
      </c>
      <c r="I36" s="96">
        <v>1</v>
      </c>
    </row>
    <row r="37" spans="5:12" x14ac:dyDescent="0.4">
      <c r="E37" s="63" t="s">
        <v>98</v>
      </c>
      <c r="F37" s="60" t="s">
        <v>53</v>
      </c>
      <c r="G37" s="47">
        <v>0</v>
      </c>
      <c r="H37" s="135">
        <f>IF(B$17=0,0,G37/B$17)</f>
        <v>0</v>
      </c>
      <c r="I37" s="96">
        <v>1</v>
      </c>
    </row>
    <row r="38" spans="5:12" x14ac:dyDescent="0.4">
      <c r="E38" s="63" t="s">
        <v>99</v>
      </c>
      <c r="F38" s="60" t="s">
        <v>54</v>
      </c>
      <c r="G38" s="47">
        <v>0</v>
      </c>
      <c r="H38" s="135">
        <f>IF(B$17=0,0,G38/B$17)</f>
        <v>0</v>
      </c>
      <c r="I38" s="96">
        <v>1</v>
      </c>
    </row>
    <row r="39" spans="5:12" x14ac:dyDescent="0.4">
      <c r="E39" s="63" t="s">
        <v>100</v>
      </c>
      <c r="F39" s="60" t="s">
        <v>55</v>
      </c>
      <c r="G39" s="47">
        <v>0</v>
      </c>
      <c r="H39" s="135">
        <f>IF(B$17=0,0,G39/B$17)</f>
        <v>0</v>
      </c>
      <c r="I39" s="96">
        <v>1</v>
      </c>
    </row>
    <row r="40" spans="5:12" x14ac:dyDescent="0.4">
      <c r="E40" s="63" t="s">
        <v>101</v>
      </c>
      <c r="F40" s="60" t="s">
        <v>56</v>
      </c>
      <c r="G40" s="47">
        <v>0</v>
      </c>
      <c r="H40" s="135">
        <f>IF(B$17=0,0,G40/B$17)</f>
        <v>0</v>
      </c>
      <c r="I40" s="96">
        <v>1</v>
      </c>
    </row>
    <row r="41" spans="5:12" x14ac:dyDescent="0.4">
      <c r="E41" s="63" t="s">
        <v>102</v>
      </c>
      <c r="F41" s="60" t="s">
        <v>57</v>
      </c>
      <c r="G41" s="47">
        <v>0</v>
      </c>
      <c r="H41" s="135">
        <f>IF(B$17=0,0,G41/B$17)</f>
        <v>0</v>
      </c>
      <c r="I41" s="96">
        <v>1</v>
      </c>
    </row>
    <row r="42" spans="5:12" x14ac:dyDescent="0.4">
      <c r="E42" s="63" t="s">
        <v>103</v>
      </c>
      <c r="F42" s="60" t="s">
        <v>58</v>
      </c>
      <c r="G42" s="47">
        <v>0</v>
      </c>
      <c r="H42" s="135">
        <f>IF(B$17=0,0,G42/B$17)</f>
        <v>0</v>
      </c>
      <c r="I42" s="96">
        <v>1</v>
      </c>
    </row>
    <row r="43" spans="5:12" x14ac:dyDescent="0.4">
      <c r="E43" s="63" t="s">
        <v>104</v>
      </c>
      <c r="F43" s="60" t="s">
        <v>59</v>
      </c>
      <c r="G43" s="47">
        <v>0</v>
      </c>
      <c r="H43" s="135">
        <f>IF(B$17=0,0,G43/B$17)</f>
        <v>0</v>
      </c>
      <c r="I43" s="96">
        <v>1</v>
      </c>
    </row>
    <row r="44" spans="5:12" x14ac:dyDescent="0.4">
      <c r="E44" s="63" t="s">
        <v>105</v>
      </c>
      <c r="F44" s="60" t="s">
        <v>60</v>
      </c>
      <c r="G44" s="47">
        <v>0</v>
      </c>
      <c r="H44" s="135">
        <f>IF(B$17=0,0,G44/B$17)</f>
        <v>0</v>
      </c>
      <c r="I44" s="96">
        <v>1</v>
      </c>
    </row>
    <row r="45" spans="5:12" x14ac:dyDescent="0.4">
      <c r="E45" s="63" t="s">
        <v>106</v>
      </c>
      <c r="F45" s="60" t="s">
        <v>113</v>
      </c>
      <c r="G45" s="47">
        <v>0</v>
      </c>
      <c r="H45" s="135">
        <f>IF(B$17=0,0,G45/B$17)</f>
        <v>0</v>
      </c>
      <c r="I45" s="96">
        <v>1</v>
      </c>
    </row>
    <row r="46" spans="5:12" x14ac:dyDescent="0.4">
      <c r="E46" s="63" t="s">
        <v>107</v>
      </c>
      <c r="F46" s="60" t="s">
        <v>114</v>
      </c>
      <c r="G46" s="47">
        <v>0</v>
      </c>
      <c r="H46" s="135">
        <f>IF(B$17=0,0,G46/B$17)</f>
        <v>0</v>
      </c>
      <c r="I46" s="96">
        <v>1</v>
      </c>
    </row>
    <row r="47" spans="5:12" x14ac:dyDescent="0.4">
      <c r="E47" s="63" t="s">
        <v>108</v>
      </c>
      <c r="F47" s="60" t="s">
        <v>115</v>
      </c>
      <c r="G47" s="47">
        <v>0</v>
      </c>
      <c r="H47" s="135">
        <f>IF(B$17=0,0,G47/B$17)</f>
        <v>0</v>
      </c>
      <c r="I47" s="96">
        <v>1</v>
      </c>
    </row>
    <row r="48" spans="5:12" x14ac:dyDescent="0.4">
      <c r="E48" s="63" t="s">
        <v>109</v>
      </c>
      <c r="F48" s="60" t="s">
        <v>61</v>
      </c>
      <c r="G48" s="47">
        <v>0</v>
      </c>
      <c r="H48" s="135">
        <f>IF(B$17=0,0,G48/B$17)</f>
        <v>0</v>
      </c>
      <c r="I48" s="96">
        <v>1</v>
      </c>
    </row>
    <row r="49" spans="5:9" x14ac:dyDescent="0.4">
      <c r="E49" s="63" t="s">
        <v>110</v>
      </c>
      <c r="F49" s="60" t="s">
        <v>62</v>
      </c>
      <c r="G49" s="47">
        <v>0</v>
      </c>
      <c r="H49" s="135">
        <f>IF(B$17=0,0,G49/B$17)</f>
        <v>0</v>
      </c>
      <c r="I49" s="96">
        <v>1</v>
      </c>
    </row>
    <row r="50" spans="5:9" x14ac:dyDescent="0.4">
      <c r="E50" s="63" t="s">
        <v>111</v>
      </c>
      <c r="F50" s="60" t="s">
        <v>63</v>
      </c>
      <c r="G50" s="47">
        <v>0</v>
      </c>
      <c r="H50" s="135">
        <f>IF(B$17=0,0,G50/B$17)</f>
        <v>0</v>
      </c>
      <c r="I50" s="96">
        <v>1</v>
      </c>
    </row>
    <row r="51" spans="5:9" x14ac:dyDescent="0.4">
      <c r="E51" s="64" t="s">
        <v>112</v>
      </c>
      <c r="F51" s="61" t="s">
        <v>64</v>
      </c>
      <c r="G51" s="49">
        <v>0</v>
      </c>
      <c r="H51" s="136">
        <f>IF(B$17=0,0,G51/B$17)</f>
        <v>0</v>
      </c>
      <c r="I51" s="97">
        <v>1</v>
      </c>
    </row>
  </sheetData>
  <sortState ref="N15:Q22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705900-ACE4-4B76-A1C5-0326FAE0867A}">
  <sheetPr codeName="Sheet15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0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1" customWidth="1"/>
    <col min="13" max="13" width="3.625" style="33" customWidth="1"/>
    <col min="14" max="14" width="9" style="117" customWidth="1"/>
    <col min="15" max="15" width="9" style="127" customWidth="1"/>
    <col min="16" max="16" width="9" style="121" customWidth="1"/>
    <col min="17" max="17" width="3.625" style="109" customWidth="1"/>
    <col min="18" max="16384" width="9" style="33"/>
  </cols>
  <sheetData>
    <row r="1" spans="1:17" x14ac:dyDescent="0.4">
      <c r="A1" s="53" t="s">
        <v>0</v>
      </c>
      <c r="B1" s="146" t="s">
        <v>173</v>
      </c>
      <c r="C1" s="147"/>
      <c r="E1" s="131" t="s">
        <v>168</v>
      </c>
      <c r="F1" s="139" t="s">
        <v>116</v>
      </c>
      <c r="G1" s="138" t="s">
        <v>117</v>
      </c>
      <c r="H1" s="132" t="s">
        <v>118</v>
      </c>
      <c r="I1" s="139" t="s">
        <v>154</v>
      </c>
      <c r="K1" s="34" t="s">
        <v>20</v>
      </c>
      <c r="L1" s="35" t="s">
        <v>121</v>
      </c>
      <c r="M1" s="133"/>
      <c r="N1" s="115" t="s">
        <v>138</v>
      </c>
      <c r="O1" s="34" t="s">
        <v>139</v>
      </c>
      <c r="P1" s="119" t="s">
        <v>117</v>
      </c>
      <c r="Q1" s="103" t="s">
        <v>158</v>
      </c>
    </row>
    <row r="2" spans="1:17" x14ac:dyDescent="0.4">
      <c r="A2" s="54" t="s">
        <v>9</v>
      </c>
      <c r="B2" s="148">
        <v>22</v>
      </c>
      <c r="C2" s="149"/>
      <c r="E2" s="62" t="s">
        <v>73</v>
      </c>
      <c r="F2" s="59" t="s">
        <v>28</v>
      </c>
      <c r="G2" s="46">
        <v>48</v>
      </c>
      <c r="H2" s="134">
        <f>IF(B$17=0,0,G2/B$17)</f>
        <v>0.76190476190476186</v>
      </c>
      <c r="I2" s="95">
        <v>2</v>
      </c>
      <c r="K2" s="36">
        <v>0</v>
      </c>
      <c r="L2" s="100">
        <v>0</v>
      </c>
      <c r="N2" s="116" t="s">
        <v>132</v>
      </c>
      <c r="O2" s="123">
        <f t="shared" ref="O2:O7" si="0">IF(P2=0,0,Q2/P2)</f>
        <v>-363.63636363636363</v>
      </c>
      <c r="P2" s="120">
        <v>22</v>
      </c>
      <c r="Q2" s="104">
        <v>-8000</v>
      </c>
    </row>
    <row r="3" spans="1:17" x14ac:dyDescent="0.4">
      <c r="A3" s="55" t="s">
        <v>8</v>
      </c>
      <c r="B3" s="150">
        <v>182</v>
      </c>
      <c r="C3" s="151"/>
      <c r="E3" s="63" t="s">
        <v>67</v>
      </c>
      <c r="F3" s="60" t="s">
        <v>23</v>
      </c>
      <c r="G3" s="47">
        <v>38</v>
      </c>
      <c r="H3" s="135">
        <f>IF(B$17=0,0,G3/B$17)</f>
        <v>0.60317460317460314</v>
      </c>
      <c r="I3" s="96">
        <v>9</v>
      </c>
      <c r="K3" s="38">
        <v>1</v>
      </c>
      <c r="L3" s="101">
        <v>11.1</v>
      </c>
      <c r="N3" s="117" t="s">
        <v>133</v>
      </c>
      <c r="O3" s="124">
        <f t="shared" si="0"/>
        <v>1918.1818181818182</v>
      </c>
      <c r="P3" s="121">
        <v>22</v>
      </c>
      <c r="Q3" s="105">
        <v>42200</v>
      </c>
    </row>
    <row r="4" spans="1:17" x14ac:dyDescent="0.4">
      <c r="A4" s="55" t="s">
        <v>6</v>
      </c>
      <c r="B4" s="152">
        <v>54.7</v>
      </c>
      <c r="C4" s="153"/>
      <c r="E4" s="63" t="s">
        <v>182</v>
      </c>
      <c r="F4" s="60" t="s">
        <v>183</v>
      </c>
      <c r="G4" s="47">
        <v>25</v>
      </c>
      <c r="H4" s="135">
        <f>IF(B$17=0,0,G4/B$17)</f>
        <v>0.3968253968253968</v>
      </c>
      <c r="I4" s="96">
        <v>5</v>
      </c>
      <c r="K4" s="38">
        <v>2</v>
      </c>
      <c r="L4" s="101">
        <v>-7.7000000000000011</v>
      </c>
      <c r="N4" s="117" t="s">
        <v>134</v>
      </c>
      <c r="O4" s="124">
        <f t="shared" si="0"/>
        <v>44.444444444444443</v>
      </c>
      <c r="P4" s="121">
        <v>18</v>
      </c>
      <c r="Q4" s="105">
        <v>800</v>
      </c>
    </row>
    <row r="5" spans="1:17" x14ac:dyDescent="0.4">
      <c r="A5" s="55" t="s">
        <v>7</v>
      </c>
      <c r="B5" s="154">
        <f>IF(B$2=0,0,B$4/B$2)</f>
        <v>2.4863636363636363</v>
      </c>
      <c r="C5" s="155"/>
      <c r="E5" s="63" t="s">
        <v>65</v>
      </c>
      <c r="F5" s="60" t="s">
        <v>21</v>
      </c>
      <c r="G5" s="47">
        <v>24</v>
      </c>
      <c r="H5" s="135">
        <f>IF(B$17=0,0,G5/B$17)</f>
        <v>0.38095238095238093</v>
      </c>
      <c r="I5" s="96">
        <v>9</v>
      </c>
      <c r="K5" s="38">
        <v>3</v>
      </c>
      <c r="L5" s="101">
        <v>1.7999999999999989</v>
      </c>
      <c r="N5" s="117" t="s">
        <v>135</v>
      </c>
      <c r="O5" s="124">
        <f t="shared" si="0"/>
        <v>2100</v>
      </c>
      <c r="P5" s="121">
        <v>16</v>
      </c>
      <c r="Q5" s="105">
        <v>33600</v>
      </c>
    </row>
    <row r="6" spans="1:17" x14ac:dyDescent="0.4">
      <c r="A6" s="55" t="s">
        <v>1</v>
      </c>
      <c r="B6" s="144">
        <f>IF(B$2=0,0,(B$7*1+B$8*2+B$9*3)/B$2)</f>
        <v>2</v>
      </c>
      <c r="C6" s="145"/>
      <c r="E6" s="63" t="s">
        <v>69</v>
      </c>
      <c r="F6" s="60" t="s">
        <v>12</v>
      </c>
      <c r="G6" s="47">
        <v>16</v>
      </c>
      <c r="H6" s="135">
        <f>IF(B$17=0,0,G6/B$17)</f>
        <v>0.25396825396825395</v>
      </c>
      <c r="I6" s="96">
        <v>6</v>
      </c>
      <c r="K6" s="38">
        <v>4</v>
      </c>
      <c r="L6" s="101">
        <v>34.9</v>
      </c>
      <c r="N6" s="117" t="s">
        <v>136</v>
      </c>
      <c r="O6" s="124">
        <f t="shared" si="0"/>
        <v>-3562.5</v>
      </c>
      <c r="P6" s="121">
        <v>16</v>
      </c>
      <c r="Q6" s="105">
        <v>-57000</v>
      </c>
    </row>
    <row r="7" spans="1:17" x14ac:dyDescent="0.4">
      <c r="A7" s="55" t="s">
        <v>2</v>
      </c>
      <c r="B7" s="47">
        <v>7</v>
      </c>
      <c r="C7" s="39">
        <f>IF(B$2=0,0,B7/B$2)</f>
        <v>0.31818181818181818</v>
      </c>
      <c r="E7" s="63" t="s">
        <v>68</v>
      </c>
      <c r="F7" s="60" t="s">
        <v>24</v>
      </c>
      <c r="G7" s="47">
        <v>13</v>
      </c>
      <c r="H7" s="135">
        <f>IF(B$17=0,0,G7/B$17)</f>
        <v>0.20634920634920634</v>
      </c>
      <c r="I7" s="96">
        <v>8</v>
      </c>
      <c r="K7" s="38">
        <v>5</v>
      </c>
      <c r="L7" s="101">
        <v>29.4</v>
      </c>
      <c r="N7" s="118" t="s">
        <v>137</v>
      </c>
      <c r="O7" s="125">
        <f t="shared" si="0"/>
        <v>-733.33333333333337</v>
      </c>
      <c r="P7" s="122">
        <v>15</v>
      </c>
      <c r="Q7" s="106">
        <v>-11000</v>
      </c>
    </row>
    <row r="8" spans="1:17" x14ac:dyDescent="0.4">
      <c r="A8" s="55" t="s">
        <v>3</v>
      </c>
      <c r="B8" s="47">
        <v>8</v>
      </c>
      <c r="C8" s="39">
        <f>IF(B$2=0,0,B8/B$2)</f>
        <v>0.36363636363636365</v>
      </c>
      <c r="E8" s="63" t="s">
        <v>70</v>
      </c>
      <c r="F8" s="60" t="s">
        <v>25</v>
      </c>
      <c r="G8" s="47">
        <v>7</v>
      </c>
      <c r="H8" s="135">
        <f>IF(B$17=0,0,G8/B$17)</f>
        <v>0.1111111111111111</v>
      </c>
      <c r="I8" s="96">
        <v>11</v>
      </c>
      <c r="K8" s="38">
        <v>6</v>
      </c>
      <c r="L8" s="101">
        <v>4.2999999999999972</v>
      </c>
      <c r="N8" s="43"/>
      <c r="O8" s="129"/>
      <c r="P8" s="113"/>
      <c r="Q8" s="111"/>
    </row>
    <row r="9" spans="1:17" x14ac:dyDescent="0.4">
      <c r="A9" s="56" t="s">
        <v>4</v>
      </c>
      <c r="B9" s="48">
        <v>7</v>
      </c>
      <c r="C9" s="40">
        <f t="shared" ref="C9" si="1">IF(B$2=0,0,B9/B$2)</f>
        <v>0.31818181818181818</v>
      </c>
      <c r="E9" s="63" t="s">
        <v>71</v>
      </c>
      <c r="F9" s="60" t="s">
        <v>26</v>
      </c>
      <c r="G9" s="47">
        <v>5</v>
      </c>
      <c r="H9" s="135">
        <f>IF(B$17=0,0,G9/B$17)</f>
        <v>7.9365079365079361E-2</v>
      </c>
      <c r="I9" s="96">
        <v>8</v>
      </c>
      <c r="K9" s="38">
        <v>7</v>
      </c>
      <c r="L9" s="101">
        <v>7.7999999999999972</v>
      </c>
      <c r="N9" s="115" t="s">
        <v>164</v>
      </c>
      <c r="O9" s="34" t="s">
        <v>121</v>
      </c>
      <c r="P9" s="119" t="s">
        <v>117</v>
      </c>
      <c r="Q9" s="107" t="s">
        <v>158</v>
      </c>
    </row>
    <row r="10" spans="1:17" x14ac:dyDescent="0.4">
      <c r="A10" s="56" t="s">
        <v>19</v>
      </c>
      <c r="B10" s="48">
        <v>1</v>
      </c>
      <c r="C10" s="40">
        <f>IF(B$2=0,0,B10/B$2)</f>
        <v>4.5454545454545456E-2</v>
      </c>
      <c r="E10" s="63" t="s">
        <v>90</v>
      </c>
      <c r="F10" s="60" t="s">
        <v>45</v>
      </c>
      <c r="G10" s="47">
        <v>5</v>
      </c>
      <c r="H10" s="135">
        <f>IF(B$17=0,0,G10/B$17)</f>
        <v>7.9365079365079361E-2</v>
      </c>
      <c r="I10" s="96">
        <v>11</v>
      </c>
      <c r="K10" s="38">
        <v>8</v>
      </c>
      <c r="L10" s="101">
        <v>-29.5</v>
      </c>
      <c r="N10" s="116" t="s">
        <v>165</v>
      </c>
      <c r="O10" s="126">
        <f>IF(P10=0,0,Q10/P10)</f>
        <v>-12.014285714285718</v>
      </c>
      <c r="P10" s="120">
        <v>7</v>
      </c>
      <c r="Q10" s="108">
        <v>-84.100000000000023</v>
      </c>
    </row>
    <row r="11" spans="1:17" x14ac:dyDescent="0.4">
      <c r="A11" s="56" t="s">
        <v>140</v>
      </c>
      <c r="B11" s="48">
        <v>2</v>
      </c>
      <c r="C11" s="40">
        <f>IF(B$2=0,0,B11/B$2)</f>
        <v>9.0909090909090912E-2</v>
      </c>
      <c r="E11" s="63" t="s">
        <v>66</v>
      </c>
      <c r="F11" s="60" t="s">
        <v>22</v>
      </c>
      <c r="G11" s="47">
        <v>4</v>
      </c>
      <c r="H11" s="135">
        <f>IF(B$17=0,0,G11/B$17)</f>
        <v>6.3492063492063489E-2</v>
      </c>
      <c r="I11" s="96">
        <v>8</v>
      </c>
      <c r="K11" s="38">
        <v>9</v>
      </c>
      <c r="L11" s="101">
        <v>-56.5</v>
      </c>
      <c r="N11" s="117" t="s">
        <v>166</v>
      </c>
      <c r="O11" s="127">
        <f>IF(P11=0,0,Q11/P11)</f>
        <v>20.7</v>
      </c>
      <c r="P11" s="121">
        <v>6</v>
      </c>
      <c r="Q11" s="109">
        <v>124.19999999999999</v>
      </c>
    </row>
    <row r="12" spans="1:17" x14ac:dyDescent="0.4">
      <c r="A12" s="57" t="s">
        <v>160</v>
      </c>
      <c r="B12" s="49">
        <v>1</v>
      </c>
      <c r="C12" s="42">
        <f>IF(B$2=0,0,B12/B$2)</f>
        <v>4.5454545454545456E-2</v>
      </c>
      <c r="E12" s="63" t="s">
        <v>82</v>
      </c>
      <c r="F12" s="60" t="s">
        <v>37</v>
      </c>
      <c r="G12" s="47">
        <v>3</v>
      </c>
      <c r="H12" s="135">
        <f>IF(B$17=0,0,G12/B$17)</f>
        <v>4.7619047619047616E-2</v>
      </c>
      <c r="I12" s="96">
        <v>2</v>
      </c>
      <c r="K12" s="38">
        <v>10</v>
      </c>
      <c r="L12" s="101">
        <v>24.200000000000003</v>
      </c>
      <c r="N12" s="118" t="s">
        <v>167</v>
      </c>
      <c r="O12" s="128">
        <f>IF(P12=0,0,Q12/P12)</f>
        <v>1.6222222222222227</v>
      </c>
      <c r="P12" s="122">
        <v>9</v>
      </c>
      <c r="Q12" s="110">
        <v>14.600000000000005</v>
      </c>
    </row>
    <row r="13" spans="1:17" x14ac:dyDescent="0.4">
      <c r="A13" s="58" t="s">
        <v>122</v>
      </c>
      <c r="B13" s="50">
        <v>40</v>
      </c>
      <c r="C13" s="44">
        <f>IF(B$3=0,0,B13/B$3)</f>
        <v>0.21978021978021978</v>
      </c>
      <c r="E13" s="63" t="s">
        <v>87</v>
      </c>
      <c r="F13" s="60" t="s">
        <v>42</v>
      </c>
      <c r="G13" s="47">
        <v>3</v>
      </c>
      <c r="H13" s="135">
        <f>IF(B$17=0,0,G13/B$17)</f>
        <v>4.7619047619047616E-2</v>
      </c>
      <c r="I13" s="96">
        <v>7</v>
      </c>
      <c r="K13" s="38">
        <v>11</v>
      </c>
      <c r="L13" s="101">
        <v>74.2</v>
      </c>
      <c r="N13" s="33"/>
      <c r="O13" s="112"/>
      <c r="P13" s="114"/>
      <c r="Q13" s="112"/>
    </row>
    <row r="14" spans="1:17" x14ac:dyDescent="0.4">
      <c r="A14" s="55" t="s">
        <v>119</v>
      </c>
      <c r="B14" s="47">
        <v>64</v>
      </c>
      <c r="C14" s="39">
        <f>IF(B$3=0,0,B14/B$3)</f>
        <v>0.35164835164835168</v>
      </c>
      <c r="E14" s="63" t="s">
        <v>72</v>
      </c>
      <c r="F14" s="60" t="s">
        <v>27</v>
      </c>
      <c r="G14" s="47">
        <v>2</v>
      </c>
      <c r="H14" s="135">
        <f>IF(B$17=0,0,G14/B$17)</f>
        <v>3.1746031746031744E-2</v>
      </c>
      <c r="I14" s="96">
        <v>9</v>
      </c>
      <c r="K14" s="38">
        <v>12</v>
      </c>
      <c r="L14" s="101">
        <v>46.1</v>
      </c>
      <c r="N14" s="115" t="s">
        <v>155</v>
      </c>
      <c r="O14" s="34" t="s">
        <v>121</v>
      </c>
      <c r="P14" s="119" t="s">
        <v>117</v>
      </c>
      <c r="Q14" s="107" t="s">
        <v>158</v>
      </c>
    </row>
    <row r="15" spans="1:17" x14ac:dyDescent="0.4">
      <c r="A15" s="54" t="s">
        <v>124</v>
      </c>
      <c r="B15" s="46">
        <v>25</v>
      </c>
      <c r="C15" s="37">
        <f>IF(B$13=0,0,B15/B$13)</f>
        <v>0.625</v>
      </c>
      <c r="E15" s="63" t="s">
        <v>79</v>
      </c>
      <c r="F15" s="60" t="s">
        <v>34</v>
      </c>
      <c r="G15" s="47">
        <v>2</v>
      </c>
      <c r="H15" s="135">
        <f>IF(B$17=0,0,G15/B$17)</f>
        <v>3.1746031746031744E-2</v>
      </c>
      <c r="I15" s="96">
        <v>2</v>
      </c>
      <c r="K15" s="38">
        <v>13</v>
      </c>
      <c r="L15" s="101">
        <v>-3</v>
      </c>
      <c r="N15" s="116" t="s">
        <v>129</v>
      </c>
      <c r="O15" s="126">
        <f>IF(P15=0,0,Q15/P15)</f>
        <v>70.183333333333323</v>
      </c>
      <c r="P15" s="120">
        <v>6</v>
      </c>
      <c r="Q15" s="108">
        <v>421.09999999999997</v>
      </c>
    </row>
    <row r="16" spans="1:17" x14ac:dyDescent="0.4">
      <c r="A16" s="54" t="s">
        <v>125</v>
      </c>
      <c r="B16" s="46">
        <v>27</v>
      </c>
      <c r="C16" s="37">
        <f>IF(B$14=0,0,B16/B$14)</f>
        <v>0.421875</v>
      </c>
      <c r="E16" s="63" t="s">
        <v>80</v>
      </c>
      <c r="F16" s="60" t="s">
        <v>35</v>
      </c>
      <c r="G16" s="47">
        <v>2</v>
      </c>
      <c r="H16" s="135">
        <f>IF(B$17=0,0,G16/B$17)</f>
        <v>3.1746031746031744E-2</v>
      </c>
      <c r="I16" s="96">
        <v>1</v>
      </c>
      <c r="K16" s="38">
        <v>14</v>
      </c>
      <c r="L16" s="101">
        <v>-12.3</v>
      </c>
      <c r="N16" s="117" t="s">
        <v>203</v>
      </c>
      <c r="O16" s="127">
        <f>IF(P16=0,0,Q16/P16)</f>
        <v>59.4</v>
      </c>
      <c r="P16" s="121">
        <v>1</v>
      </c>
      <c r="Q16" s="109">
        <v>59.4</v>
      </c>
    </row>
    <row r="17" spans="1:17" x14ac:dyDescent="0.4">
      <c r="A17" s="54" t="s">
        <v>10</v>
      </c>
      <c r="B17" s="46">
        <f>B19+B18</f>
        <v>63</v>
      </c>
      <c r="C17" s="37">
        <f>IF(B$3=0,0,B17/B$3)</f>
        <v>0.34615384615384615</v>
      </c>
      <c r="E17" s="63" t="s">
        <v>84</v>
      </c>
      <c r="F17" s="60" t="s">
        <v>39</v>
      </c>
      <c r="G17" s="47">
        <v>2</v>
      </c>
      <c r="H17" s="135">
        <f>IF(B$17=0,0,G17/B$17)</f>
        <v>3.1746031746031744E-2</v>
      </c>
      <c r="I17" s="96">
        <v>7</v>
      </c>
      <c r="K17" s="38">
        <v>15</v>
      </c>
      <c r="L17" s="101">
        <v>-80.3</v>
      </c>
      <c r="N17" s="117" t="s">
        <v>178</v>
      </c>
      <c r="O17" s="127">
        <f>IF(P17=0,0,Q17/P17)</f>
        <v>34.799999999999997</v>
      </c>
      <c r="P17" s="121">
        <v>2</v>
      </c>
      <c r="Q17" s="109">
        <v>69.599999999999994</v>
      </c>
    </row>
    <row r="18" spans="1:17" x14ac:dyDescent="0.4">
      <c r="A18" s="55" t="s">
        <v>12</v>
      </c>
      <c r="B18" s="47">
        <v>26</v>
      </c>
      <c r="C18" s="39">
        <f>IF(B$17=0,0,B18/B$17)</f>
        <v>0.41269841269841268</v>
      </c>
      <c r="E18" s="63" t="s">
        <v>92</v>
      </c>
      <c r="F18" s="60" t="s">
        <v>47</v>
      </c>
      <c r="G18" s="47">
        <v>1</v>
      </c>
      <c r="H18" s="135">
        <f>IF(B$17=0,0,G18/B$17)</f>
        <v>1.5873015873015872E-2</v>
      </c>
      <c r="I18" s="96">
        <v>4</v>
      </c>
      <c r="K18" s="38">
        <v>16</v>
      </c>
      <c r="L18" s="101">
        <v>-87.6</v>
      </c>
      <c r="N18" s="117" t="s">
        <v>128</v>
      </c>
      <c r="O18" s="127">
        <f>IF(P18=0,0,Q18/P18)</f>
        <v>4.6749999999999963</v>
      </c>
      <c r="P18" s="121">
        <v>12</v>
      </c>
      <c r="Q18" s="109">
        <v>56.099999999999959</v>
      </c>
    </row>
    <row r="19" spans="1:17" x14ac:dyDescent="0.4">
      <c r="A19" s="55" t="s">
        <v>11</v>
      </c>
      <c r="B19" s="47">
        <v>37</v>
      </c>
      <c r="C19" s="39">
        <f>IF(B$17=0,0,B19/B$17)</f>
        <v>0.58730158730158732</v>
      </c>
      <c r="E19" s="63" t="s">
        <v>74</v>
      </c>
      <c r="F19" s="60" t="s">
        <v>29</v>
      </c>
      <c r="G19" s="47">
        <v>0</v>
      </c>
      <c r="H19" s="135">
        <f>IF(B$17=0,0,G19/B$17)</f>
        <v>0</v>
      </c>
      <c r="I19" s="96">
        <v>4</v>
      </c>
      <c r="K19" s="38">
        <v>17</v>
      </c>
      <c r="L19" s="101">
        <v>-55.099999999999994</v>
      </c>
      <c r="N19" s="117" t="s">
        <v>174</v>
      </c>
      <c r="O19" s="127">
        <f>IF(P19=0,0,Q19/P19)</f>
        <v>0.80000000000000249</v>
      </c>
      <c r="P19" s="121">
        <v>4</v>
      </c>
      <c r="Q19" s="109">
        <v>3.2000000000000099</v>
      </c>
    </row>
    <row r="20" spans="1:17" x14ac:dyDescent="0.4">
      <c r="A20" s="55" t="s">
        <v>13</v>
      </c>
      <c r="B20" s="47">
        <v>25</v>
      </c>
      <c r="C20" s="39">
        <f>IF(B$3=0,0,B20/B$3)</f>
        <v>0.13736263736263737</v>
      </c>
      <c r="E20" s="63" t="s">
        <v>75</v>
      </c>
      <c r="F20" s="60" t="s">
        <v>30</v>
      </c>
      <c r="G20" s="47">
        <v>0</v>
      </c>
      <c r="H20" s="135">
        <f>IF(B$17=0,0,G20/B$17)</f>
        <v>0</v>
      </c>
      <c r="I20" s="96">
        <v>3</v>
      </c>
      <c r="K20" s="38">
        <v>18</v>
      </c>
      <c r="L20" s="101">
        <v>-28.199999999999996</v>
      </c>
      <c r="N20" s="117" t="s">
        <v>172</v>
      </c>
      <c r="O20" s="127">
        <f>IF(P20=0,0,Q20/P20)</f>
        <v>-5.2555555555555573</v>
      </c>
      <c r="P20" s="121">
        <v>9</v>
      </c>
      <c r="Q20" s="109">
        <v>-47.300000000000018</v>
      </c>
    </row>
    <row r="21" spans="1:17" x14ac:dyDescent="0.4">
      <c r="A21" s="55" t="s">
        <v>194</v>
      </c>
      <c r="B21" s="47">
        <v>10</v>
      </c>
      <c r="C21" s="137">
        <v>0</v>
      </c>
      <c r="E21" s="63" t="s">
        <v>76</v>
      </c>
      <c r="F21" s="60" t="s">
        <v>31</v>
      </c>
      <c r="G21" s="47">
        <v>0</v>
      </c>
      <c r="H21" s="135">
        <f>IF(B$17=0,0,G21/B$17)</f>
        <v>0</v>
      </c>
      <c r="I21" s="96">
        <v>6</v>
      </c>
      <c r="K21" s="38">
        <v>19</v>
      </c>
      <c r="L21" s="101">
        <v>29.200000000000003</v>
      </c>
      <c r="N21" s="117" t="s">
        <v>127</v>
      </c>
      <c r="O21" s="127">
        <f>IF(P21=0,0,Q21/P21)</f>
        <v>-39.799999999999997</v>
      </c>
      <c r="P21" s="121">
        <v>10</v>
      </c>
      <c r="Q21" s="109">
        <v>-398</v>
      </c>
    </row>
    <row r="22" spans="1:17" x14ac:dyDescent="0.4">
      <c r="A22" s="55" t="s">
        <v>195</v>
      </c>
      <c r="B22" s="47">
        <v>23</v>
      </c>
      <c r="C22" s="137">
        <v>6</v>
      </c>
      <c r="E22" s="63" t="s">
        <v>77</v>
      </c>
      <c r="F22" s="60" t="s">
        <v>32</v>
      </c>
      <c r="G22" s="47">
        <v>0</v>
      </c>
      <c r="H22" s="135">
        <f>IF(B$17=0,0,G22/B$17)</f>
        <v>0</v>
      </c>
      <c r="I22" s="96">
        <v>1</v>
      </c>
      <c r="K22" s="38">
        <v>20</v>
      </c>
      <c r="L22" s="101">
        <v>43</v>
      </c>
    </row>
    <row r="23" spans="1:17" x14ac:dyDescent="0.4">
      <c r="A23" s="55" t="s">
        <v>5</v>
      </c>
      <c r="B23" s="51">
        <f>IF(B$17=0,0,C23/B$17)</f>
        <v>6749.2063492063489</v>
      </c>
      <c r="C23" s="41">
        <v>425200</v>
      </c>
      <c r="E23" s="63" t="s">
        <v>78</v>
      </c>
      <c r="F23" s="60" t="s">
        <v>33</v>
      </c>
      <c r="G23" s="47">
        <v>0</v>
      </c>
      <c r="H23" s="135">
        <f>IF(B$17=0,0,G23/B$17)</f>
        <v>0</v>
      </c>
      <c r="I23" s="96">
        <v>4</v>
      </c>
      <c r="K23" s="38">
        <v>21</v>
      </c>
      <c r="L23" s="101">
        <v>89.9</v>
      </c>
    </row>
    <row r="24" spans="1:17" x14ac:dyDescent="0.4">
      <c r="A24" s="57" t="s">
        <v>14</v>
      </c>
      <c r="B24" s="52">
        <f>IF(B$20=0,0,C24/B$20)</f>
        <v>-8384</v>
      </c>
      <c r="C24" s="45">
        <v>-209600</v>
      </c>
      <c r="E24" s="63" t="s">
        <v>81</v>
      </c>
      <c r="F24" s="60" t="s">
        <v>36</v>
      </c>
      <c r="G24" s="47">
        <v>0</v>
      </c>
      <c r="H24" s="135">
        <f>IF(B$17=0,0,G24/B$17)</f>
        <v>0</v>
      </c>
      <c r="I24" s="96">
        <v>1</v>
      </c>
      <c r="K24" s="38">
        <v>22</v>
      </c>
      <c r="L24" s="101">
        <v>54.7</v>
      </c>
    </row>
    <row r="25" spans="1:17" x14ac:dyDescent="0.4">
      <c r="A25" s="92" t="s">
        <v>142</v>
      </c>
      <c r="B25" s="142">
        <v>6</v>
      </c>
      <c r="C25" s="143"/>
      <c r="E25" s="63" t="s">
        <v>83</v>
      </c>
      <c r="F25" s="60" t="s">
        <v>38</v>
      </c>
      <c r="G25" s="47">
        <v>0</v>
      </c>
      <c r="H25" s="135">
        <f>IF(B$17=0,0,G25/B$17)</f>
        <v>0</v>
      </c>
      <c r="I25" s="96">
        <v>1</v>
      </c>
    </row>
    <row r="26" spans="1:17" x14ac:dyDescent="0.4">
      <c r="A26" s="58" t="s">
        <v>152</v>
      </c>
      <c r="B26" s="140">
        <v>95700</v>
      </c>
      <c r="C26" s="141"/>
      <c r="E26" s="63" t="s">
        <v>85</v>
      </c>
      <c r="F26" s="60" t="s">
        <v>40</v>
      </c>
      <c r="G26" s="47">
        <v>0</v>
      </c>
      <c r="H26" s="135">
        <f>IF(B$17=0,0,G26/B$17)</f>
        <v>0</v>
      </c>
      <c r="I26" s="96">
        <v>3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86</v>
      </c>
      <c r="F27" s="60" t="s">
        <v>41</v>
      </c>
      <c r="G27" s="47">
        <v>0</v>
      </c>
      <c r="H27" s="135">
        <f>IF(B$17=0,0,G27/B$17)</f>
        <v>0</v>
      </c>
      <c r="I27" s="96">
        <v>3</v>
      </c>
    </row>
    <row r="28" spans="1:17" x14ac:dyDescent="0.4">
      <c r="E28" s="63" t="s">
        <v>88</v>
      </c>
      <c r="F28" s="60" t="s">
        <v>43</v>
      </c>
      <c r="G28" s="47">
        <v>0</v>
      </c>
      <c r="H28" s="135">
        <f>IF(B$17=0,0,G28/B$17)</f>
        <v>0</v>
      </c>
      <c r="I28" s="96">
        <v>3</v>
      </c>
    </row>
    <row r="29" spans="1:17" x14ac:dyDescent="0.4">
      <c r="E29" s="63" t="s">
        <v>89</v>
      </c>
      <c r="F29" s="60" t="s">
        <v>44</v>
      </c>
      <c r="G29" s="47">
        <v>0</v>
      </c>
      <c r="H29" s="135">
        <f>IF(B$17=0,0,G29/B$17)</f>
        <v>0</v>
      </c>
      <c r="I29" s="96">
        <v>3</v>
      </c>
    </row>
    <row r="30" spans="1:17" x14ac:dyDescent="0.4">
      <c r="E30" s="63" t="s">
        <v>91</v>
      </c>
      <c r="F30" s="60" t="s">
        <v>46</v>
      </c>
      <c r="G30" s="47">
        <v>0</v>
      </c>
      <c r="H30" s="135">
        <f>IF(B$17=0,0,G30/B$17)</f>
        <v>0</v>
      </c>
      <c r="I30" s="96">
        <v>3</v>
      </c>
    </row>
    <row r="31" spans="1:17" x14ac:dyDescent="0.4">
      <c r="E31" s="63" t="s">
        <v>93</v>
      </c>
      <c r="F31" s="60" t="s">
        <v>48</v>
      </c>
      <c r="G31" s="47">
        <v>0</v>
      </c>
      <c r="H31" s="135">
        <f>IF(B$17=0,0,G31/B$17)</f>
        <v>0</v>
      </c>
      <c r="I31" s="96">
        <v>4</v>
      </c>
    </row>
    <row r="32" spans="1:17" x14ac:dyDescent="0.4">
      <c r="E32" s="63" t="s">
        <v>94</v>
      </c>
      <c r="F32" s="60" t="s">
        <v>49</v>
      </c>
      <c r="G32" s="47">
        <v>0</v>
      </c>
      <c r="H32" s="135">
        <f>IF(B$17=0,0,G32/B$17)</f>
        <v>0</v>
      </c>
      <c r="I32" s="96">
        <v>1</v>
      </c>
    </row>
    <row r="33" spans="5:9" x14ac:dyDescent="0.4">
      <c r="E33" s="63" t="s">
        <v>95</v>
      </c>
      <c r="F33" s="60" t="s">
        <v>50</v>
      </c>
      <c r="G33" s="47">
        <v>0</v>
      </c>
      <c r="H33" s="135">
        <f>IF(B$17=0,0,G33/B$17)</f>
        <v>0</v>
      </c>
      <c r="I33" s="96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5">
        <f>IF(B$17=0,0,G34/B$17)</f>
        <v>0</v>
      </c>
      <c r="I34" s="96">
        <v>3</v>
      </c>
    </row>
    <row r="35" spans="5:9" x14ac:dyDescent="0.4">
      <c r="E35" s="63" t="s">
        <v>97</v>
      </c>
      <c r="F35" s="60" t="s">
        <v>52</v>
      </c>
      <c r="G35" s="47">
        <v>0</v>
      </c>
      <c r="H35" s="135">
        <f>IF(B$17=0,0,G35/B$17)</f>
        <v>0</v>
      </c>
      <c r="I35" s="96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5">
        <f>IF(B$17=0,0,G36/B$17)</f>
        <v>0</v>
      </c>
      <c r="I36" s="96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5">
        <f>IF(B$17=0,0,G37/B$17)</f>
        <v>0</v>
      </c>
      <c r="I37" s="96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5">
        <f>IF(B$17=0,0,G38/B$17)</f>
        <v>0</v>
      </c>
      <c r="I38" s="96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5">
        <f>IF(B$17=0,0,G39/B$17)</f>
        <v>0</v>
      </c>
      <c r="I39" s="96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5">
        <f>IF(B$17=0,0,G40/B$17)</f>
        <v>0</v>
      </c>
      <c r="I40" s="96">
        <v>1</v>
      </c>
    </row>
    <row r="41" spans="5:9" x14ac:dyDescent="0.4">
      <c r="E41" s="63" t="s">
        <v>103</v>
      </c>
      <c r="F41" s="60" t="s">
        <v>58</v>
      </c>
      <c r="G41" s="47">
        <v>0</v>
      </c>
      <c r="H41" s="135">
        <f>IF(B$17=0,0,G41/B$17)</f>
        <v>0</v>
      </c>
      <c r="I41" s="96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5">
        <f>IF(B$17=0,0,G42/B$17)</f>
        <v>0</v>
      </c>
      <c r="I42" s="96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5">
        <f>IF(B$17=0,0,G43/B$17)</f>
        <v>0</v>
      </c>
      <c r="I43" s="96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5">
        <f>IF(B$17=0,0,G44/B$17)</f>
        <v>0</v>
      </c>
      <c r="I44" s="96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5">
        <f>IF(B$17=0,0,G45/B$17)</f>
        <v>0</v>
      </c>
      <c r="I45" s="96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5">
        <f>IF(B$17=0,0,G46/B$17)</f>
        <v>0</v>
      </c>
      <c r="I46" s="96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5">
        <f>IF(B$17=0,0,G47/B$17)</f>
        <v>0</v>
      </c>
      <c r="I47" s="96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5">
        <f>IF(B$17=0,0,G48/B$17)</f>
        <v>0</v>
      </c>
      <c r="I48" s="96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5">
        <f>IF(B$17=0,0,G49/B$17)</f>
        <v>0</v>
      </c>
      <c r="I49" s="96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5">
        <f>IF(B$17=0,0,G50/B$17)</f>
        <v>0</v>
      </c>
      <c r="I50" s="96">
        <v>1</v>
      </c>
    </row>
    <row r="51" spans="5:9" x14ac:dyDescent="0.4">
      <c r="E51" s="64" t="s">
        <v>181</v>
      </c>
      <c r="F51" s="61" t="s">
        <v>184</v>
      </c>
      <c r="G51" s="49">
        <v>0</v>
      </c>
      <c r="H51" s="136">
        <f>IF(B$17=0,0,G51/B$17)</f>
        <v>0</v>
      </c>
      <c r="I51" s="97">
        <v>4</v>
      </c>
    </row>
  </sheetData>
  <sortState ref="N15:Q21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9353EC-7411-4D8B-AC62-A53CD4ECB08D}">
  <sheetPr codeName="Sheet17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0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1" customWidth="1"/>
    <col min="13" max="13" width="3.625" style="33" customWidth="1"/>
    <col min="14" max="14" width="9" style="117" customWidth="1"/>
    <col min="15" max="15" width="9" style="127" customWidth="1"/>
    <col min="16" max="16" width="9" style="121" customWidth="1"/>
    <col min="17" max="17" width="3.625" style="109" customWidth="1"/>
    <col min="18" max="16384" width="9" style="33"/>
  </cols>
  <sheetData>
    <row r="1" spans="1:17" x14ac:dyDescent="0.4">
      <c r="A1" s="53" t="s">
        <v>0</v>
      </c>
      <c r="B1" s="146" t="s">
        <v>174</v>
      </c>
      <c r="C1" s="147"/>
      <c r="E1" s="131" t="s">
        <v>168</v>
      </c>
      <c r="F1" s="139" t="s">
        <v>116</v>
      </c>
      <c r="G1" s="138" t="s">
        <v>117</v>
      </c>
      <c r="H1" s="132" t="s">
        <v>118</v>
      </c>
      <c r="I1" s="139" t="s">
        <v>154</v>
      </c>
      <c r="K1" s="34" t="s">
        <v>20</v>
      </c>
      <c r="L1" s="35" t="s">
        <v>121</v>
      </c>
      <c r="M1" s="133"/>
      <c r="N1" s="115" t="s">
        <v>138</v>
      </c>
      <c r="O1" s="34" t="s">
        <v>139</v>
      </c>
      <c r="P1" s="119" t="s">
        <v>117</v>
      </c>
      <c r="Q1" s="103" t="s">
        <v>158</v>
      </c>
    </row>
    <row r="2" spans="1:17" x14ac:dyDescent="0.4">
      <c r="A2" s="54" t="s">
        <v>9</v>
      </c>
      <c r="B2" s="148">
        <v>17</v>
      </c>
      <c r="C2" s="149"/>
      <c r="E2" s="62" t="s">
        <v>67</v>
      </c>
      <c r="F2" s="59" t="s">
        <v>23</v>
      </c>
      <c r="G2" s="46">
        <v>36</v>
      </c>
      <c r="H2" s="134">
        <f>IF(B$17=0,0,G2/B$17)</f>
        <v>0.81818181818181823</v>
      </c>
      <c r="I2" s="95">
        <v>5</v>
      </c>
      <c r="K2" s="36">
        <v>0</v>
      </c>
      <c r="L2" s="100">
        <v>0</v>
      </c>
      <c r="N2" s="116" t="s">
        <v>132</v>
      </c>
      <c r="O2" s="123">
        <f t="shared" ref="O2:O7" si="0">IF(P2=0,0,Q2/P2)</f>
        <v>-4500</v>
      </c>
      <c r="P2" s="120">
        <v>17</v>
      </c>
      <c r="Q2" s="104">
        <v>-76500</v>
      </c>
    </row>
    <row r="3" spans="1:17" x14ac:dyDescent="0.4">
      <c r="A3" s="55" t="s">
        <v>8</v>
      </c>
      <c r="B3" s="150">
        <v>155</v>
      </c>
      <c r="C3" s="151"/>
      <c r="E3" s="63" t="s">
        <v>73</v>
      </c>
      <c r="F3" s="60" t="s">
        <v>28</v>
      </c>
      <c r="G3" s="47">
        <v>20</v>
      </c>
      <c r="H3" s="135">
        <f>IF(B$17=0,0,G3/B$17)</f>
        <v>0.45454545454545453</v>
      </c>
      <c r="I3" s="96">
        <v>9</v>
      </c>
      <c r="K3" s="38">
        <v>1</v>
      </c>
      <c r="L3" s="101">
        <v>-82.6</v>
      </c>
      <c r="N3" s="117" t="s">
        <v>133</v>
      </c>
      <c r="O3" s="124">
        <f t="shared" si="0"/>
        <v>-2923.5294117647059</v>
      </c>
      <c r="P3" s="121">
        <v>17</v>
      </c>
      <c r="Q3" s="105">
        <v>-49700</v>
      </c>
    </row>
    <row r="4" spans="1:17" x14ac:dyDescent="0.4">
      <c r="A4" s="55" t="s">
        <v>6</v>
      </c>
      <c r="B4" s="152">
        <v>-248.89999999999995</v>
      </c>
      <c r="C4" s="153"/>
      <c r="E4" s="63" t="s">
        <v>69</v>
      </c>
      <c r="F4" s="60" t="s">
        <v>12</v>
      </c>
      <c r="G4" s="47">
        <v>17</v>
      </c>
      <c r="H4" s="135">
        <f>IF(B$17=0,0,G4/B$17)</f>
        <v>0.38636363636363635</v>
      </c>
      <c r="I4" s="96">
        <v>2</v>
      </c>
      <c r="K4" s="38">
        <v>2</v>
      </c>
      <c r="L4" s="101">
        <v>-122.3</v>
      </c>
      <c r="N4" s="117" t="s">
        <v>134</v>
      </c>
      <c r="O4" s="124">
        <f t="shared" si="0"/>
        <v>-406.66666666666669</v>
      </c>
      <c r="P4" s="121">
        <v>15</v>
      </c>
      <c r="Q4" s="105">
        <v>-6100</v>
      </c>
    </row>
    <row r="5" spans="1:17" x14ac:dyDescent="0.4">
      <c r="A5" s="55" t="s">
        <v>7</v>
      </c>
      <c r="B5" s="154">
        <f>IF(B$2=0,0,B$4/B$2)</f>
        <v>-14.641176470588233</v>
      </c>
      <c r="C5" s="155"/>
      <c r="E5" s="63" t="s">
        <v>65</v>
      </c>
      <c r="F5" s="60" t="s">
        <v>21</v>
      </c>
      <c r="G5" s="47">
        <v>16</v>
      </c>
      <c r="H5" s="135">
        <f>IF(B$17=0,0,G5/B$17)</f>
        <v>0.36363636363636365</v>
      </c>
      <c r="I5" s="96">
        <v>11</v>
      </c>
      <c r="K5" s="38">
        <v>3</v>
      </c>
      <c r="L5" s="101">
        <v>-149</v>
      </c>
      <c r="N5" s="117" t="s">
        <v>135</v>
      </c>
      <c r="O5" s="124">
        <f t="shared" si="0"/>
        <v>-4242.8571428571431</v>
      </c>
      <c r="P5" s="121">
        <v>14</v>
      </c>
      <c r="Q5" s="105">
        <v>-59400</v>
      </c>
    </row>
    <row r="6" spans="1:17" x14ac:dyDescent="0.4">
      <c r="A6" s="55" t="s">
        <v>1</v>
      </c>
      <c r="B6" s="144">
        <f>IF(B$2=0,0,(B$7*1+B$8*2+B$9*3)/B$2)</f>
        <v>2.2352941176470589</v>
      </c>
      <c r="C6" s="145"/>
      <c r="E6" s="63" t="s">
        <v>182</v>
      </c>
      <c r="F6" s="60" t="s">
        <v>183</v>
      </c>
      <c r="G6" s="47">
        <v>12</v>
      </c>
      <c r="H6" s="135">
        <f>IF(B$17=0,0,G6/B$17)</f>
        <v>0.27272727272727271</v>
      </c>
      <c r="I6" s="96">
        <v>11</v>
      </c>
      <c r="K6" s="38">
        <v>4</v>
      </c>
      <c r="L6" s="101">
        <v>-150.6</v>
      </c>
      <c r="N6" s="117" t="s">
        <v>136</v>
      </c>
      <c r="O6" s="124">
        <f t="shared" si="0"/>
        <v>1400</v>
      </c>
      <c r="P6" s="121">
        <v>13</v>
      </c>
      <c r="Q6" s="105">
        <v>18200</v>
      </c>
    </row>
    <row r="7" spans="1:17" x14ac:dyDescent="0.4">
      <c r="A7" s="55" t="s">
        <v>2</v>
      </c>
      <c r="B7" s="47">
        <v>3</v>
      </c>
      <c r="C7" s="39">
        <f>IF(B$2=0,0,B7/B$2)</f>
        <v>0.17647058823529413</v>
      </c>
      <c r="E7" s="63" t="s">
        <v>68</v>
      </c>
      <c r="F7" s="60" t="s">
        <v>24</v>
      </c>
      <c r="G7" s="47">
        <v>7</v>
      </c>
      <c r="H7" s="135">
        <f>IF(B$17=0,0,G7/B$17)</f>
        <v>0.15909090909090909</v>
      </c>
      <c r="I7" s="96">
        <v>9</v>
      </c>
      <c r="K7" s="38">
        <v>5</v>
      </c>
      <c r="L7" s="101">
        <v>-184.89999999999998</v>
      </c>
      <c r="N7" s="118" t="s">
        <v>137</v>
      </c>
      <c r="O7" s="125">
        <f t="shared" si="0"/>
        <v>383.33333333333331</v>
      </c>
      <c r="P7" s="122">
        <v>12</v>
      </c>
      <c r="Q7" s="106">
        <v>4600</v>
      </c>
    </row>
    <row r="8" spans="1:17" x14ac:dyDescent="0.4">
      <c r="A8" s="55" t="s">
        <v>3</v>
      </c>
      <c r="B8" s="47">
        <v>7</v>
      </c>
      <c r="C8" s="39">
        <f>IF(B$2=0,0,B8/B$2)</f>
        <v>0.41176470588235292</v>
      </c>
      <c r="E8" s="63" t="s">
        <v>90</v>
      </c>
      <c r="F8" s="60" t="s">
        <v>45</v>
      </c>
      <c r="G8" s="47">
        <v>7</v>
      </c>
      <c r="H8" s="135">
        <f>IF(B$17=0,0,G8/B$17)</f>
        <v>0.15909090909090909</v>
      </c>
      <c r="I8" s="96">
        <v>5</v>
      </c>
      <c r="K8" s="38">
        <v>6</v>
      </c>
      <c r="L8" s="101">
        <v>-187.59999999999997</v>
      </c>
      <c r="N8" s="43"/>
      <c r="O8" s="129"/>
      <c r="P8" s="113"/>
      <c r="Q8" s="111"/>
    </row>
    <row r="9" spans="1:17" x14ac:dyDescent="0.4">
      <c r="A9" s="56" t="s">
        <v>4</v>
      </c>
      <c r="B9" s="48">
        <v>7</v>
      </c>
      <c r="C9" s="40">
        <f t="shared" ref="C9" si="1">IF(B$2=0,0,B9/B$2)</f>
        <v>0.41176470588235292</v>
      </c>
      <c r="E9" s="63" t="s">
        <v>71</v>
      </c>
      <c r="F9" s="60" t="s">
        <v>26</v>
      </c>
      <c r="G9" s="47">
        <v>6</v>
      </c>
      <c r="H9" s="135">
        <f>IF(B$17=0,0,G9/B$17)</f>
        <v>0.13636363636363635</v>
      </c>
      <c r="I9" s="96">
        <v>3</v>
      </c>
      <c r="K9" s="38">
        <v>7</v>
      </c>
      <c r="L9" s="101">
        <v>-216.09999999999997</v>
      </c>
      <c r="N9" s="115" t="s">
        <v>164</v>
      </c>
      <c r="O9" s="34" t="s">
        <v>121</v>
      </c>
      <c r="P9" s="119" t="s">
        <v>117</v>
      </c>
      <c r="Q9" s="107" t="s">
        <v>158</v>
      </c>
    </row>
    <row r="10" spans="1:17" x14ac:dyDescent="0.4">
      <c r="A10" s="56" t="s">
        <v>19</v>
      </c>
      <c r="B10" s="48">
        <v>2</v>
      </c>
      <c r="C10" s="40">
        <f>IF(B$2=0,0,B10/B$2)</f>
        <v>0.11764705882352941</v>
      </c>
      <c r="E10" s="63" t="s">
        <v>70</v>
      </c>
      <c r="F10" s="60" t="s">
        <v>25</v>
      </c>
      <c r="G10" s="47">
        <v>5</v>
      </c>
      <c r="H10" s="135">
        <f>IF(B$17=0,0,G10/B$17)</f>
        <v>0.11363636363636363</v>
      </c>
      <c r="I10" s="96">
        <v>10</v>
      </c>
      <c r="K10" s="38">
        <v>8</v>
      </c>
      <c r="L10" s="101">
        <v>-219.59999999999997</v>
      </c>
      <c r="N10" s="116" t="s">
        <v>165</v>
      </c>
      <c r="O10" s="126">
        <f>IF(P10=0,0,Q10/P10)</f>
        <v>-13.520000000000001</v>
      </c>
      <c r="P10" s="120">
        <v>5</v>
      </c>
      <c r="Q10" s="108">
        <v>-67.600000000000009</v>
      </c>
    </row>
    <row r="11" spans="1:17" x14ac:dyDescent="0.4">
      <c r="A11" s="56" t="s">
        <v>140</v>
      </c>
      <c r="B11" s="48">
        <v>1</v>
      </c>
      <c r="C11" s="40">
        <f>IF(B$2=0,0,B11/B$2)</f>
        <v>5.8823529411764705E-2</v>
      </c>
      <c r="E11" s="63" t="s">
        <v>72</v>
      </c>
      <c r="F11" s="60" t="s">
        <v>27</v>
      </c>
      <c r="G11" s="47">
        <v>3</v>
      </c>
      <c r="H11" s="135">
        <f>IF(B$17=0,0,G11/B$17)</f>
        <v>6.8181818181818177E-2</v>
      </c>
      <c r="I11" s="96">
        <v>4</v>
      </c>
      <c r="K11" s="38">
        <v>9</v>
      </c>
      <c r="L11" s="101">
        <v>-260.59999999999997</v>
      </c>
      <c r="N11" s="117" t="s">
        <v>166</v>
      </c>
      <c r="O11" s="127">
        <f>IF(P11=0,0,Q11/P11)</f>
        <v>-14.349999999999998</v>
      </c>
      <c r="P11" s="121">
        <v>8</v>
      </c>
      <c r="Q11" s="109">
        <v>-114.79999999999998</v>
      </c>
    </row>
    <row r="12" spans="1:17" x14ac:dyDescent="0.4">
      <c r="A12" s="57" t="s">
        <v>160</v>
      </c>
      <c r="B12" s="49">
        <v>1</v>
      </c>
      <c r="C12" s="42">
        <f>IF(B$2=0,0,B12/B$2)</f>
        <v>5.8823529411764705E-2</v>
      </c>
      <c r="E12" s="63" t="s">
        <v>84</v>
      </c>
      <c r="F12" s="60" t="s">
        <v>39</v>
      </c>
      <c r="G12" s="47">
        <v>2</v>
      </c>
      <c r="H12" s="135">
        <f>IF(B$17=0,0,G12/B$17)</f>
        <v>4.5454545454545456E-2</v>
      </c>
      <c r="I12" s="96">
        <v>4</v>
      </c>
      <c r="K12" s="38">
        <v>10</v>
      </c>
      <c r="L12" s="101">
        <v>-318.39999999999998</v>
      </c>
      <c r="N12" s="118" t="s">
        <v>167</v>
      </c>
      <c r="O12" s="128">
        <f>IF(P12=0,0,Q12/P12)</f>
        <v>-16.625</v>
      </c>
      <c r="P12" s="122">
        <v>4</v>
      </c>
      <c r="Q12" s="110">
        <v>-66.5</v>
      </c>
    </row>
    <row r="13" spans="1:17" x14ac:dyDescent="0.4">
      <c r="A13" s="58" t="s">
        <v>122</v>
      </c>
      <c r="B13" s="50">
        <v>29</v>
      </c>
      <c r="C13" s="44">
        <f>IF(B$3=0,0,B13/B$3)</f>
        <v>0.18709677419354839</v>
      </c>
      <c r="E13" s="63" t="s">
        <v>87</v>
      </c>
      <c r="F13" s="60" t="s">
        <v>42</v>
      </c>
      <c r="G13" s="47">
        <v>2</v>
      </c>
      <c r="H13" s="135">
        <f>IF(B$17=0,0,G13/B$17)</f>
        <v>4.5454545454545456E-2</v>
      </c>
      <c r="I13" s="96">
        <v>8</v>
      </c>
      <c r="K13" s="38">
        <v>11</v>
      </c>
      <c r="L13" s="101">
        <v>-325.39999999999998</v>
      </c>
      <c r="N13" s="33"/>
      <c r="O13" s="112"/>
      <c r="P13" s="114"/>
      <c r="Q13" s="112"/>
    </row>
    <row r="14" spans="1:17" x14ac:dyDescent="0.4">
      <c r="A14" s="55" t="s">
        <v>119</v>
      </c>
      <c r="B14" s="47">
        <v>35</v>
      </c>
      <c r="C14" s="39">
        <f>IF(B$3=0,0,B14/B$3)</f>
        <v>0.22580645161290322</v>
      </c>
      <c r="E14" s="63" t="s">
        <v>66</v>
      </c>
      <c r="F14" s="60" t="s">
        <v>22</v>
      </c>
      <c r="G14" s="47">
        <v>1</v>
      </c>
      <c r="H14" s="135">
        <f>IF(B$17=0,0,G14/B$17)</f>
        <v>2.2727272727272728E-2</v>
      </c>
      <c r="I14" s="96">
        <v>9</v>
      </c>
      <c r="K14" s="38">
        <v>12</v>
      </c>
      <c r="L14" s="101">
        <v>-289.59999999999997</v>
      </c>
      <c r="N14" s="115" t="s">
        <v>155</v>
      </c>
      <c r="O14" s="34" t="s">
        <v>121</v>
      </c>
      <c r="P14" s="119" t="s">
        <v>117</v>
      </c>
      <c r="Q14" s="107" t="s">
        <v>158</v>
      </c>
    </row>
    <row r="15" spans="1:17" x14ac:dyDescent="0.4">
      <c r="A15" s="54" t="s">
        <v>124</v>
      </c>
      <c r="B15" s="46">
        <v>16</v>
      </c>
      <c r="C15" s="37">
        <f>IF(B$13=0,0,B15/B$13)</f>
        <v>0.55172413793103448</v>
      </c>
      <c r="E15" s="63" t="s">
        <v>80</v>
      </c>
      <c r="F15" s="60" t="s">
        <v>35</v>
      </c>
      <c r="G15" s="47">
        <v>1</v>
      </c>
      <c r="H15" s="135">
        <f>IF(B$17=0,0,G15/B$17)</f>
        <v>2.2727272727272728E-2</v>
      </c>
      <c r="I15" s="96">
        <v>2</v>
      </c>
      <c r="K15" s="38">
        <v>13</v>
      </c>
      <c r="L15" s="101">
        <v>-302.59999999999997</v>
      </c>
      <c r="N15" s="116" t="s">
        <v>129</v>
      </c>
      <c r="O15" s="126">
        <f>IF(P15=0,0,Q15/P15)</f>
        <v>19.3</v>
      </c>
      <c r="P15" s="120">
        <v>4</v>
      </c>
      <c r="Q15" s="108">
        <v>77.2</v>
      </c>
    </row>
    <row r="16" spans="1:17" x14ac:dyDescent="0.4">
      <c r="A16" s="54" t="s">
        <v>125</v>
      </c>
      <c r="B16" s="46">
        <v>11</v>
      </c>
      <c r="C16" s="37">
        <f>IF(B$14=0,0,B16/B$14)</f>
        <v>0.31428571428571428</v>
      </c>
      <c r="E16" s="63" t="s">
        <v>74</v>
      </c>
      <c r="F16" s="60" t="s">
        <v>29</v>
      </c>
      <c r="G16" s="47">
        <v>0</v>
      </c>
      <c r="H16" s="135">
        <f>IF(B$17=0,0,G16/B$17)</f>
        <v>0</v>
      </c>
      <c r="I16" s="96">
        <v>4</v>
      </c>
      <c r="K16" s="38">
        <v>14</v>
      </c>
      <c r="L16" s="101">
        <v>-269.99999999999994</v>
      </c>
      <c r="N16" s="117" t="s">
        <v>173</v>
      </c>
      <c r="O16" s="127">
        <f>IF(P16=0,0,Q16/P16)</f>
        <v>-0.8000000000000016</v>
      </c>
      <c r="P16" s="121">
        <v>4</v>
      </c>
      <c r="Q16" s="109">
        <v>-3.2000000000000064</v>
      </c>
    </row>
    <row r="17" spans="1:17" x14ac:dyDescent="0.4">
      <c r="A17" s="54" t="s">
        <v>10</v>
      </c>
      <c r="B17" s="46">
        <f>B19+B18</f>
        <v>44</v>
      </c>
      <c r="C17" s="37">
        <f>IF(B$3=0,0,B17/B$3)</f>
        <v>0.28387096774193549</v>
      </c>
      <c r="E17" s="63" t="s">
        <v>75</v>
      </c>
      <c r="F17" s="60" t="s">
        <v>30</v>
      </c>
      <c r="G17" s="47">
        <v>0</v>
      </c>
      <c r="H17" s="135">
        <f>IF(B$17=0,0,G17/B$17)</f>
        <v>0</v>
      </c>
      <c r="I17" s="96">
        <v>3</v>
      </c>
      <c r="K17" s="38">
        <v>15</v>
      </c>
      <c r="L17" s="101">
        <v>-264.59999999999997</v>
      </c>
      <c r="N17" s="117" t="s">
        <v>128</v>
      </c>
      <c r="O17" s="127">
        <f>IF(P17=0,0,Q17/P17)</f>
        <v>-10.462499999999997</v>
      </c>
      <c r="P17" s="121">
        <v>8</v>
      </c>
      <c r="Q17" s="109">
        <v>-83.699999999999974</v>
      </c>
    </row>
    <row r="18" spans="1:17" x14ac:dyDescent="0.4">
      <c r="A18" s="55" t="s">
        <v>12</v>
      </c>
      <c r="B18" s="47">
        <v>22</v>
      </c>
      <c r="C18" s="39">
        <f>IF(B$17=0,0,B18/B$17)</f>
        <v>0.5</v>
      </c>
      <c r="E18" s="63" t="s">
        <v>76</v>
      </c>
      <c r="F18" s="60" t="s">
        <v>31</v>
      </c>
      <c r="G18" s="47">
        <v>0</v>
      </c>
      <c r="H18" s="135">
        <f>IF(B$17=0,0,G18/B$17)</f>
        <v>0</v>
      </c>
      <c r="I18" s="96">
        <v>6</v>
      </c>
      <c r="K18" s="38">
        <v>16</v>
      </c>
      <c r="L18" s="101">
        <v>-292.79999999999995</v>
      </c>
      <c r="N18" s="117" t="s">
        <v>172</v>
      </c>
      <c r="O18" s="127">
        <f>IF(P18=0,0,Q18/P18)</f>
        <v>-15.189999999999998</v>
      </c>
      <c r="P18" s="121">
        <v>10</v>
      </c>
      <c r="Q18" s="109">
        <v>-151.89999999999998</v>
      </c>
    </row>
    <row r="19" spans="1:17" x14ac:dyDescent="0.4">
      <c r="A19" s="55" t="s">
        <v>11</v>
      </c>
      <c r="B19" s="47">
        <v>22</v>
      </c>
      <c r="C19" s="39">
        <f>IF(B$17=0,0,B19/B$17)</f>
        <v>0.5</v>
      </c>
      <c r="E19" s="63" t="s">
        <v>77</v>
      </c>
      <c r="F19" s="60" t="s">
        <v>32</v>
      </c>
      <c r="G19" s="47">
        <v>0</v>
      </c>
      <c r="H19" s="135">
        <f>IF(B$17=0,0,G19/B$17)</f>
        <v>0</v>
      </c>
      <c r="I19" s="96">
        <v>1</v>
      </c>
      <c r="K19" s="38">
        <v>17</v>
      </c>
      <c r="L19" s="101">
        <v>-248.89999999999995</v>
      </c>
      <c r="N19" s="117" t="s">
        <v>178</v>
      </c>
      <c r="O19" s="127">
        <f>IF(P19=0,0,Q19/P19)</f>
        <v>-17.950000000000003</v>
      </c>
      <c r="P19" s="121">
        <v>2</v>
      </c>
      <c r="Q19" s="109">
        <v>-35.900000000000006</v>
      </c>
    </row>
    <row r="20" spans="1:17" x14ac:dyDescent="0.4">
      <c r="A20" s="55" t="s">
        <v>13</v>
      </c>
      <c r="B20" s="47">
        <v>37</v>
      </c>
      <c r="C20" s="39">
        <f>IF(B$3=0,0,B20/B$3)</f>
        <v>0.23870967741935484</v>
      </c>
      <c r="E20" s="63" t="s">
        <v>78</v>
      </c>
      <c r="F20" s="60" t="s">
        <v>33</v>
      </c>
      <c r="G20" s="47">
        <v>0</v>
      </c>
      <c r="H20" s="135">
        <f>IF(B$17=0,0,G20/B$17)</f>
        <v>0</v>
      </c>
      <c r="I20" s="96">
        <v>4</v>
      </c>
      <c r="N20" s="117" t="s">
        <v>186</v>
      </c>
      <c r="O20" s="127">
        <f>IF(P20=0,0,Q20/P20)</f>
        <v>-45.5</v>
      </c>
      <c r="P20" s="121">
        <v>1</v>
      </c>
      <c r="Q20" s="109">
        <v>-45.5</v>
      </c>
    </row>
    <row r="21" spans="1:17" x14ac:dyDescent="0.4">
      <c r="A21" s="55" t="s">
        <v>194</v>
      </c>
      <c r="B21" s="47">
        <v>4</v>
      </c>
      <c r="C21" s="137">
        <v>0</v>
      </c>
      <c r="E21" s="63" t="s">
        <v>79</v>
      </c>
      <c r="F21" s="60" t="s">
        <v>34</v>
      </c>
      <c r="G21" s="47">
        <v>0</v>
      </c>
      <c r="H21" s="135">
        <f>IF(B$17=0,0,G21/B$17)</f>
        <v>0</v>
      </c>
      <c r="I21" s="96">
        <v>7</v>
      </c>
      <c r="N21" s="117" t="s">
        <v>127</v>
      </c>
      <c r="O21" s="127">
        <f>IF(P21=0,0,Q21/P21)</f>
        <v>-100.73999999999998</v>
      </c>
      <c r="P21" s="121">
        <v>5</v>
      </c>
      <c r="Q21" s="109">
        <v>-503.69999999999993</v>
      </c>
    </row>
    <row r="22" spans="1:17" x14ac:dyDescent="0.4">
      <c r="A22" s="55" t="s">
        <v>195</v>
      </c>
      <c r="B22" s="47">
        <v>11</v>
      </c>
      <c r="C22" s="137">
        <v>1</v>
      </c>
      <c r="E22" s="63" t="s">
        <v>81</v>
      </c>
      <c r="F22" s="60" t="s">
        <v>36</v>
      </c>
      <c r="G22" s="47">
        <v>0</v>
      </c>
      <c r="H22" s="135">
        <f>IF(B$17=0,0,G22/B$17)</f>
        <v>0</v>
      </c>
      <c r="I22" s="96">
        <v>1</v>
      </c>
    </row>
    <row r="23" spans="1:17" x14ac:dyDescent="0.4">
      <c r="A23" s="55" t="s">
        <v>5</v>
      </c>
      <c r="B23" s="51">
        <f>IF(B$17=0,0,C23/B$17)</f>
        <v>6311.363636363636</v>
      </c>
      <c r="C23" s="41">
        <v>277700</v>
      </c>
      <c r="E23" s="63" t="s">
        <v>82</v>
      </c>
      <c r="F23" s="60" t="s">
        <v>37</v>
      </c>
      <c r="G23" s="47">
        <v>0</v>
      </c>
      <c r="H23" s="135">
        <f>IF(B$17=0,0,G23/B$17)</f>
        <v>0</v>
      </c>
      <c r="I23" s="96">
        <v>7</v>
      </c>
    </row>
    <row r="24" spans="1:17" x14ac:dyDescent="0.4">
      <c r="A24" s="57" t="s">
        <v>14</v>
      </c>
      <c r="B24" s="52">
        <f>IF(B$20=0,0,C24/B$20)</f>
        <v>-8067.5675675675675</v>
      </c>
      <c r="C24" s="45">
        <v>-298500</v>
      </c>
      <c r="E24" s="63" t="s">
        <v>83</v>
      </c>
      <c r="F24" s="60" t="s">
        <v>38</v>
      </c>
      <c r="G24" s="47">
        <v>0</v>
      </c>
      <c r="H24" s="135">
        <f>IF(B$17=0,0,G24/B$17)</f>
        <v>0</v>
      </c>
      <c r="I24" s="96">
        <v>1</v>
      </c>
    </row>
    <row r="25" spans="1:17" x14ac:dyDescent="0.4">
      <c r="A25" s="92" t="s">
        <v>142</v>
      </c>
      <c r="B25" s="142">
        <v>6</v>
      </c>
      <c r="C25" s="143"/>
      <c r="E25" s="63" t="s">
        <v>85</v>
      </c>
      <c r="F25" s="60" t="s">
        <v>40</v>
      </c>
      <c r="G25" s="47">
        <v>0</v>
      </c>
      <c r="H25" s="135">
        <f>IF(B$17=0,0,G25/B$17)</f>
        <v>0</v>
      </c>
      <c r="I25" s="96">
        <v>3</v>
      </c>
    </row>
    <row r="26" spans="1:17" x14ac:dyDescent="0.4">
      <c r="A26" s="58" t="s">
        <v>152</v>
      </c>
      <c r="B26" s="140">
        <v>58900</v>
      </c>
      <c r="C26" s="141"/>
      <c r="E26" s="63" t="s">
        <v>86</v>
      </c>
      <c r="F26" s="60" t="s">
        <v>41</v>
      </c>
      <c r="G26" s="47">
        <v>0</v>
      </c>
      <c r="H26" s="135">
        <f>IF(B$17=0,0,G26/B$17)</f>
        <v>0</v>
      </c>
      <c r="I26" s="96">
        <v>3</v>
      </c>
    </row>
    <row r="27" spans="1:17" x14ac:dyDescent="0.4">
      <c r="A27" s="57" t="s">
        <v>143</v>
      </c>
      <c r="B27" s="65">
        <v>1</v>
      </c>
      <c r="C27" s="42">
        <f>IF(B$3=0,0,B27/B$3)</f>
        <v>6.4516129032258064E-3</v>
      </c>
      <c r="E27" s="63" t="s">
        <v>88</v>
      </c>
      <c r="F27" s="60" t="s">
        <v>43</v>
      </c>
      <c r="G27" s="47">
        <v>0</v>
      </c>
      <c r="H27" s="135">
        <f>IF(B$17=0,0,G27/B$17)</f>
        <v>0</v>
      </c>
      <c r="I27" s="96">
        <v>3</v>
      </c>
    </row>
    <row r="28" spans="1:17" x14ac:dyDescent="0.4">
      <c r="E28" s="63" t="s">
        <v>89</v>
      </c>
      <c r="F28" s="60" t="s">
        <v>44</v>
      </c>
      <c r="G28" s="47">
        <v>0</v>
      </c>
      <c r="H28" s="135">
        <f>IF(B$17=0,0,G28/B$17)</f>
        <v>0</v>
      </c>
      <c r="I28" s="96">
        <v>3</v>
      </c>
    </row>
    <row r="29" spans="1:17" x14ac:dyDescent="0.4">
      <c r="E29" s="63" t="s">
        <v>91</v>
      </c>
      <c r="F29" s="60" t="s">
        <v>46</v>
      </c>
      <c r="G29" s="47">
        <v>0</v>
      </c>
      <c r="H29" s="135">
        <f>IF(B$17=0,0,G29/B$17)</f>
        <v>0</v>
      </c>
      <c r="I29" s="96">
        <v>3</v>
      </c>
    </row>
    <row r="30" spans="1:17" x14ac:dyDescent="0.4">
      <c r="E30" s="63" t="s">
        <v>92</v>
      </c>
      <c r="F30" s="60" t="s">
        <v>47</v>
      </c>
      <c r="G30" s="47">
        <v>0</v>
      </c>
      <c r="H30" s="135">
        <f>IF(B$17=0,0,G30/B$17)</f>
        <v>0</v>
      </c>
      <c r="I30" s="96">
        <v>6</v>
      </c>
    </row>
    <row r="31" spans="1:17" x14ac:dyDescent="0.4">
      <c r="E31" s="63" t="s">
        <v>93</v>
      </c>
      <c r="F31" s="60" t="s">
        <v>48</v>
      </c>
      <c r="G31" s="47">
        <v>0</v>
      </c>
      <c r="H31" s="135">
        <f>IF(B$17=0,0,G31/B$17)</f>
        <v>0</v>
      </c>
      <c r="I31" s="96">
        <v>4</v>
      </c>
    </row>
    <row r="32" spans="1:17" x14ac:dyDescent="0.4">
      <c r="E32" s="63" t="s">
        <v>94</v>
      </c>
      <c r="F32" s="60" t="s">
        <v>49</v>
      </c>
      <c r="G32" s="47">
        <v>0</v>
      </c>
      <c r="H32" s="135">
        <f>IF(B$17=0,0,G32/B$17)</f>
        <v>0</v>
      </c>
      <c r="I32" s="96">
        <v>1</v>
      </c>
    </row>
    <row r="33" spans="5:9" x14ac:dyDescent="0.4">
      <c r="E33" s="63" t="s">
        <v>95</v>
      </c>
      <c r="F33" s="60" t="s">
        <v>50</v>
      </c>
      <c r="G33" s="47">
        <v>0</v>
      </c>
      <c r="H33" s="135">
        <f>IF(B$17=0,0,G33/B$17)</f>
        <v>0</v>
      </c>
      <c r="I33" s="96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5">
        <f>IF(B$17=0,0,G34/B$17)</f>
        <v>0</v>
      </c>
      <c r="I34" s="96">
        <v>3</v>
      </c>
    </row>
    <row r="35" spans="5:9" x14ac:dyDescent="0.4">
      <c r="E35" s="63" t="s">
        <v>97</v>
      </c>
      <c r="F35" s="60" t="s">
        <v>52</v>
      </c>
      <c r="G35" s="47">
        <v>0</v>
      </c>
      <c r="H35" s="135">
        <f>IF(B$17=0,0,G35/B$17)</f>
        <v>0</v>
      </c>
      <c r="I35" s="96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5">
        <f>IF(B$17=0,0,G36/B$17)</f>
        <v>0</v>
      </c>
      <c r="I36" s="96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5">
        <f>IF(B$17=0,0,G37/B$17)</f>
        <v>0</v>
      </c>
      <c r="I37" s="96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5">
        <f>IF(B$17=0,0,G38/B$17)</f>
        <v>0</v>
      </c>
      <c r="I38" s="96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5">
        <f>IF(B$17=0,0,G39/B$17)</f>
        <v>0</v>
      </c>
      <c r="I39" s="96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5">
        <f>IF(B$17=0,0,G40/B$17)</f>
        <v>0</v>
      </c>
      <c r="I40" s="96">
        <v>1</v>
      </c>
    </row>
    <row r="41" spans="5:9" x14ac:dyDescent="0.4">
      <c r="E41" s="63" t="s">
        <v>103</v>
      </c>
      <c r="F41" s="60" t="s">
        <v>58</v>
      </c>
      <c r="G41" s="47">
        <v>0</v>
      </c>
      <c r="H41" s="135">
        <f>IF(B$17=0,0,G41/B$17)</f>
        <v>0</v>
      </c>
      <c r="I41" s="96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5">
        <f>IF(B$17=0,0,G42/B$17)</f>
        <v>0</v>
      </c>
      <c r="I42" s="96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5">
        <f>IF(B$17=0,0,G43/B$17)</f>
        <v>0</v>
      </c>
      <c r="I43" s="96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5">
        <f>IF(B$17=0,0,G44/B$17)</f>
        <v>0</v>
      </c>
      <c r="I44" s="96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5">
        <f>IF(B$17=0,0,G45/B$17)</f>
        <v>0</v>
      </c>
      <c r="I45" s="96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5">
        <f>IF(B$17=0,0,G46/B$17)</f>
        <v>0</v>
      </c>
      <c r="I46" s="96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5">
        <f>IF(B$17=0,0,G47/B$17)</f>
        <v>0</v>
      </c>
      <c r="I47" s="96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5">
        <f>IF(B$17=0,0,G48/B$17)</f>
        <v>0</v>
      </c>
      <c r="I48" s="96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5">
        <f>IF(B$17=0,0,G49/B$17)</f>
        <v>0</v>
      </c>
      <c r="I49" s="96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5">
        <f>IF(B$17=0,0,G50/B$17)</f>
        <v>0</v>
      </c>
      <c r="I50" s="96">
        <v>1</v>
      </c>
    </row>
    <row r="51" spans="5:9" x14ac:dyDescent="0.4">
      <c r="E51" s="64" t="s">
        <v>181</v>
      </c>
      <c r="F51" s="61" t="s">
        <v>184</v>
      </c>
      <c r="G51" s="49">
        <v>0</v>
      </c>
      <c r="H51" s="136">
        <f>IF(B$17=0,0,G51/B$17)</f>
        <v>0</v>
      </c>
      <c r="I51" s="97">
        <v>4</v>
      </c>
    </row>
  </sheetData>
  <sortState ref="N15:Q21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84A6B5-EDFD-4A28-86E1-8299326B9343}">
  <sheetPr codeName="Sheet19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0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1" customWidth="1"/>
    <col min="13" max="13" width="3.625" style="33" customWidth="1"/>
    <col min="14" max="14" width="9" style="117" customWidth="1"/>
    <col min="15" max="15" width="9" style="127" customWidth="1"/>
    <col min="16" max="16" width="9" style="121" customWidth="1"/>
    <col min="17" max="17" width="3.625" style="109" customWidth="1"/>
    <col min="18" max="16384" width="9" style="33"/>
  </cols>
  <sheetData>
    <row r="1" spans="1:17" x14ac:dyDescent="0.4">
      <c r="A1" s="53" t="s">
        <v>0</v>
      </c>
      <c r="B1" s="146" t="s">
        <v>178</v>
      </c>
      <c r="C1" s="147"/>
      <c r="E1" s="131" t="s">
        <v>168</v>
      </c>
      <c r="F1" s="139" t="s">
        <v>116</v>
      </c>
      <c r="G1" s="138" t="s">
        <v>117</v>
      </c>
      <c r="H1" s="132" t="s">
        <v>118</v>
      </c>
      <c r="I1" s="139" t="s">
        <v>154</v>
      </c>
      <c r="K1" s="34" t="s">
        <v>20</v>
      </c>
      <c r="L1" s="35" t="s">
        <v>121</v>
      </c>
      <c r="M1" s="133"/>
      <c r="N1" s="115" t="s">
        <v>138</v>
      </c>
      <c r="O1" s="34" t="s">
        <v>139</v>
      </c>
      <c r="P1" s="119" t="s">
        <v>117</v>
      </c>
      <c r="Q1" s="103" t="s">
        <v>158</v>
      </c>
    </row>
    <row r="2" spans="1:17" x14ac:dyDescent="0.4">
      <c r="A2" s="54" t="s">
        <v>9</v>
      </c>
      <c r="B2" s="148">
        <v>15</v>
      </c>
      <c r="C2" s="149"/>
      <c r="E2" s="62" t="s">
        <v>73</v>
      </c>
      <c r="F2" s="59" t="s">
        <v>28</v>
      </c>
      <c r="G2" s="46">
        <v>22</v>
      </c>
      <c r="H2" s="134">
        <f>IF(B$17=0,0,G2/B$17)</f>
        <v>0.75862068965517238</v>
      </c>
      <c r="I2" s="95">
        <v>3</v>
      </c>
      <c r="K2" s="36">
        <v>0</v>
      </c>
      <c r="L2" s="100">
        <v>0</v>
      </c>
      <c r="N2" s="116" t="s">
        <v>132</v>
      </c>
      <c r="O2" s="123">
        <f t="shared" ref="O2:O7" si="0">IF(P2=0,0,Q2/P2)</f>
        <v>-4773.333333333333</v>
      </c>
      <c r="P2" s="120">
        <v>15</v>
      </c>
      <c r="Q2" s="104">
        <v>-71600</v>
      </c>
    </row>
    <row r="3" spans="1:17" x14ac:dyDescent="0.4">
      <c r="A3" s="55" t="s">
        <v>8</v>
      </c>
      <c r="B3" s="150">
        <v>113</v>
      </c>
      <c r="C3" s="151"/>
      <c r="E3" s="63" t="s">
        <v>67</v>
      </c>
      <c r="F3" s="60" t="s">
        <v>23</v>
      </c>
      <c r="G3" s="47">
        <v>12</v>
      </c>
      <c r="H3" s="135">
        <f>IF(B$17=0,0,G3/B$17)</f>
        <v>0.41379310344827586</v>
      </c>
      <c r="I3" s="96">
        <v>11</v>
      </c>
      <c r="K3" s="38">
        <v>1</v>
      </c>
      <c r="L3" s="101">
        <v>-1.9</v>
      </c>
      <c r="N3" s="117" t="s">
        <v>133</v>
      </c>
      <c r="O3" s="124">
        <f t="shared" si="0"/>
        <v>-3307.1428571428573</v>
      </c>
      <c r="P3" s="121">
        <v>14</v>
      </c>
      <c r="Q3" s="105">
        <v>-46300</v>
      </c>
    </row>
    <row r="4" spans="1:17" x14ac:dyDescent="0.4">
      <c r="A4" s="55" t="s">
        <v>6</v>
      </c>
      <c r="B4" s="152">
        <v>-146.19999999999999</v>
      </c>
      <c r="C4" s="153"/>
      <c r="E4" s="63" t="s">
        <v>65</v>
      </c>
      <c r="F4" s="60" t="s">
        <v>21</v>
      </c>
      <c r="G4" s="47">
        <v>11</v>
      </c>
      <c r="H4" s="135">
        <f>IF(B$17=0,0,G4/B$17)</f>
        <v>0.37931034482758619</v>
      </c>
      <c r="I4" s="96">
        <v>10</v>
      </c>
      <c r="K4" s="38">
        <v>2</v>
      </c>
      <c r="L4" s="101">
        <v>30</v>
      </c>
      <c r="N4" s="117" t="s">
        <v>134</v>
      </c>
      <c r="O4" s="124">
        <f t="shared" si="0"/>
        <v>1069.2307692307693</v>
      </c>
      <c r="P4" s="121">
        <v>13</v>
      </c>
      <c r="Q4" s="105">
        <v>13900</v>
      </c>
    </row>
    <row r="5" spans="1:17" x14ac:dyDescent="0.4">
      <c r="A5" s="55" t="s">
        <v>7</v>
      </c>
      <c r="B5" s="154">
        <f>IF(B$2=0,0,B$4/B$2)</f>
        <v>-9.7466666666666661</v>
      </c>
      <c r="C5" s="155"/>
      <c r="E5" s="63" t="s">
        <v>182</v>
      </c>
      <c r="F5" s="60" t="s">
        <v>183</v>
      </c>
      <c r="G5" s="47">
        <v>10</v>
      </c>
      <c r="H5" s="135">
        <f>IF(B$17=0,0,G5/B$17)</f>
        <v>0.34482758620689657</v>
      </c>
      <c r="I5" s="96">
        <v>7</v>
      </c>
      <c r="K5" s="38">
        <v>3</v>
      </c>
      <c r="L5" s="101">
        <v>-10</v>
      </c>
      <c r="N5" s="117" t="s">
        <v>135</v>
      </c>
      <c r="O5" s="124">
        <f t="shared" si="0"/>
        <v>-76.92307692307692</v>
      </c>
      <c r="P5" s="121">
        <v>13</v>
      </c>
      <c r="Q5" s="105">
        <v>-1000</v>
      </c>
    </row>
    <row r="6" spans="1:17" x14ac:dyDescent="0.4">
      <c r="A6" s="55" t="s">
        <v>1</v>
      </c>
      <c r="B6" s="144">
        <f>IF(B$2=0,0,(B$7*1+B$8*2+B$9*3)/B$2)</f>
        <v>2.1333333333333333</v>
      </c>
      <c r="C6" s="145"/>
      <c r="E6" s="63" t="s">
        <v>69</v>
      </c>
      <c r="F6" s="60" t="s">
        <v>12</v>
      </c>
      <c r="G6" s="47">
        <v>5</v>
      </c>
      <c r="H6" s="135">
        <f>IF(B$17=0,0,G6/B$17)</f>
        <v>0.17241379310344829</v>
      </c>
      <c r="I6" s="96">
        <v>10</v>
      </c>
      <c r="K6" s="38">
        <v>4</v>
      </c>
      <c r="L6" s="101">
        <v>40</v>
      </c>
      <c r="N6" s="117" t="s">
        <v>136</v>
      </c>
      <c r="O6" s="124">
        <f t="shared" si="0"/>
        <v>-375</v>
      </c>
      <c r="P6" s="121">
        <v>12</v>
      </c>
      <c r="Q6" s="105">
        <v>-4500</v>
      </c>
    </row>
    <row r="7" spans="1:17" x14ac:dyDescent="0.4">
      <c r="A7" s="55" t="s">
        <v>2</v>
      </c>
      <c r="B7" s="47">
        <v>5</v>
      </c>
      <c r="C7" s="39">
        <f>IF(B$2=0,0,B7/B$2)</f>
        <v>0.33333333333333331</v>
      </c>
      <c r="E7" s="63" t="s">
        <v>70</v>
      </c>
      <c r="F7" s="60" t="s">
        <v>25</v>
      </c>
      <c r="G7" s="47">
        <v>5</v>
      </c>
      <c r="H7" s="135">
        <f>IF(B$17=0,0,G7/B$17)</f>
        <v>0.17241379310344829</v>
      </c>
      <c r="I7" s="96">
        <v>8</v>
      </c>
      <c r="K7" s="38">
        <v>5</v>
      </c>
      <c r="L7" s="101">
        <v>35.4</v>
      </c>
      <c r="N7" s="118" t="s">
        <v>137</v>
      </c>
      <c r="O7" s="125">
        <f t="shared" si="0"/>
        <v>3227.2727272727275</v>
      </c>
      <c r="P7" s="122">
        <v>11</v>
      </c>
      <c r="Q7" s="106">
        <v>35500</v>
      </c>
    </row>
    <row r="8" spans="1:17" x14ac:dyDescent="0.4">
      <c r="A8" s="55" t="s">
        <v>3</v>
      </c>
      <c r="B8" s="47">
        <v>3</v>
      </c>
      <c r="C8" s="39">
        <f>IF(B$2=0,0,B8/B$2)</f>
        <v>0.2</v>
      </c>
      <c r="E8" s="63" t="s">
        <v>66</v>
      </c>
      <c r="F8" s="60" t="s">
        <v>22</v>
      </c>
      <c r="G8" s="47">
        <v>4</v>
      </c>
      <c r="H8" s="135">
        <f>IF(B$17=0,0,G8/B$17)</f>
        <v>0.13793103448275862</v>
      </c>
      <c r="I8" s="96">
        <v>4</v>
      </c>
      <c r="K8" s="38">
        <v>6</v>
      </c>
      <c r="L8" s="101">
        <v>3.8999999999999986</v>
      </c>
      <c r="N8" s="43"/>
      <c r="O8" s="129"/>
      <c r="P8" s="113"/>
      <c r="Q8" s="111"/>
    </row>
    <row r="9" spans="1:17" x14ac:dyDescent="0.4">
      <c r="A9" s="56" t="s">
        <v>4</v>
      </c>
      <c r="B9" s="48">
        <v>7</v>
      </c>
      <c r="C9" s="40">
        <f t="shared" ref="C9" si="1">IF(B$2=0,0,B9/B$2)</f>
        <v>0.46666666666666667</v>
      </c>
      <c r="E9" s="63" t="s">
        <v>68</v>
      </c>
      <c r="F9" s="60" t="s">
        <v>24</v>
      </c>
      <c r="G9" s="47">
        <v>4</v>
      </c>
      <c r="H9" s="135">
        <f>IF(B$17=0,0,G9/B$17)</f>
        <v>0.13793103448275862</v>
      </c>
      <c r="I9" s="96">
        <v>10</v>
      </c>
      <c r="K9" s="38">
        <v>7</v>
      </c>
      <c r="L9" s="101">
        <v>-30.1</v>
      </c>
      <c r="N9" s="115" t="s">
        <v>164</v>
      </c>
      <c r="O9" s="34" t="s">
        <v>121</v>
      </c>
      <c r="P9" s="119" t="s">
        <v>117</v>
      </c>
      <c r="Q9" s="107" t="s">
        <v>158</v>
      </c>
    </row>
    <row r="10" spans="1:17" x14ac:dyDescent="0.4">
      <c r="A10" s="56" t="s">
        <v>19</v>
      </c>
      <c r="B10" s="48">
        <v>3</v>
      </c>
      <c r="C10" s="40">
        <f>IF(B$2=0,0,B10/B$2)</f>
        <v>0.2</v>
      </c>
      <c r="E10" s="63" t="s">
        <v>90</v>
      </c>
      <c r="F10" s="60" t="s">
        <v>45</v>
      </c>
      <c r="G10" s="47">
        <v>3</v>
      </c>
      <c r="H10" s="135">
        <f>IF(B$17=0,0,G10/B$17)</f>
        <v>0.10344827586206896</v>
      </c>
      <c r="I10" s="96">
        <v>9</v>
      </c>
      <c r="K10" s="38">
        <v>8</v>
      </c>
      <c r="L10" s="101">
        <v>-87.1</v>
      </c>
      <c r="N10" s="116" t="s">
        <v>165</v>
      </c>
      <c r="O10" s="126">
        <f>IF(P10=0,0,Q10/P10)</f>
        <v>-8.2666666666666675</v>
      </c>
      <c r="P10" s="120">
        <v>3</v>
      </c>
      <c r="Q10" s="108">
        <v>-24.800000000000004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92</v>
      </c>
      <c r="F11" s="60" t="s">
        <v>47</v>
      </c>
      <c r="G11" s="47">
        <v>2</v>
      </c>
      <c r="H11" s="135">
        <f>IF(B$17=0,0,G11/B$17)</f>
        <v>6.8965517241379309E-2</v>
      </c>
      <c r="I11" s="96">
        <v>1</v>
      </c>
      <c r="K11" s="38">
        <v>9</v>
      </c>
      <c r="L11" s="101">
        <v>-128.6</v>
      </c>
      <c r="N11" s="117" t="s">
        <v>166</v>
      </c>
      <c r="O11" s="127">
        <f>IF(P11=0,0,Q11/P11)</f>
        <v>-32.799999999999997</v>
      </c>
      <c r="P11" s="121">
        <v>4</v>
      </c>
      <c r="Q11" s="109">
        <v>-131.19999999999999</v>
      </c>
    </row>
    <row r="12" spans="1:17" x14ac:dyDescent="0.4">
      <c r="A12" s="57" t="s">
        <v>160</v>
      </c>
      <c r="B12" s="49">
        <v>2</v>
      </c>
      <c r="C12" s="42">
        <f>IF(B$2=0,0,B12/B$2)</f>
        <v>0.13333333333333333</v>
      </c>
      <c r="E12" s="63" t="s">
        <v>72</v>
      </c>
      <c r="F12" s="60" t="s">
        <v>27</v>
      </c>
      <c r="G12" s="47">
        <v>1</v>
      </c>
      <c r="H12" s="135">
        <f>IF(B$17=0,0,G12/B$17)</f>
        <v>3.4482758620689655E-2</v>
      </c>
      <c r="I12" s="96">
        <v>7</v>
      </c>
      <c r="K12" s="38">
        <v>10</v>
      </c>
      <c r="L12" s="101">
        <v>-183.7</v>
      </c>
      <c r="N12" s="118" t="s">
        <v>167</v>
      </c>
      <c r="O12" s="128">
        <f>IF(P12=0,0,Q12/P12)</f>
        <v>1.225000000000001</v>
      </c>
      <c r="P12" s="122">
        <v>8</v>
      </c>
      <c r="Q12" s="110">
        <v>9.8000000000000078</v>
      </c>
    </row>
    <row r="13" spans="1:17" x14ac:dyDescent="0.4">
      <c r="A13" s="58" t="s">
        <v>122</v>
      </c>
      <c r="B13" s="50">
        <v>20</v>
      </c>
      <c r="C13" s="44">
        <f>IF(B$3=0,0,B13/B$3)</f>
        <v>0.17699115044247787</v>
      </c>
      <c r="E13" s="63" t="s">
        <v>76</v>
      </c>
      <c r="F13" s="60" t="s">
        <v>31</v>
      </c>
      <c r="G13" s="47">
        <v>1</v>
      </c>
      <c r="H13" s="135">
        <f>IF(B$17=0,0,G13/B$17)</f>
        <v>3.4482758620689655E-2</v>
      </c>
      <c r="I13" s="96">
        <v>1</v>
      </c>
      <c r="K13" s="38">
        <v>11</v>
      </c>
      <c r="L13" s="101">
        <v>-152.89999999999998</v>
      </c>
      <c r="N13" s="33"/>
      <c r="O13" s="112"/>
      <c r="P13" s="114"/>
      <c r="Q13" s="112"/>
    </row>
    <row r="14" spans="1:17" x14ac:dyDescent="0.4">
      <c r="A14" s="55" t="s">
        <v>119</v>
      </c>
      <c r="B14" s="47">
        <v>33</v>
      </c>
      <c r="C14" s="39">
        <f>IF(B$3=0,0,B14/B$3)</f>
        <v>0.29203539823008851</v>
      </c>
      <c r="E14" s="63" t="s">
        <v>84</v>
      </c>
      <c r="F14" s="60" t="s">
        <v>39</v>
      </c>
      <c r="G14" s="47">
        <v>1</v>
      </c>
      <c r="H14" s="135">
        <f>IF(B$17=0,0,G14/B$17)</f>
        <v>3.4482758620689655E-2</v>
      </c>
      <c r="I14" s="96">
        <v>6</v>
      </c>
      <c r="K14" s="38">
        <v>12</v>
      </c>
      <c r="L14" s="101">
        <v>-208.09999999999997</v>
      </c>
      <c r="N14" s="115" t="s">
        <v>155</v>
      </c>
      <c r="O14" s="34" t="s">
        <v>121</v>
      </c>
      <c r="P14" s="119" t="s">
        <v>117</v>
      </c>
      <c r="Q14" s="107" t="s">
        <v>158</v>
      </c>
    </row>
    <row r="15" spans="1:17" x14ac:dyDescent="0.4">
      <c r="A15" s="54" t="s">
        <v>124</v>
      </c>
      <c r="B15" s="46">
        <v>11</v>
      </c>
      <c r="C15" s="37">
        <f>IF(B$13=0,0,B15/B$13)</f>
        <v>0.55000000000000004</v>
      </c>
      <c r="E15" s="63" t="s">
        <v>86</v>
      </c>
      <c r="F15" s="60" t="s">
        <v>41</v>
      </c>
      <c r="G15" s="47">
        <v>1</v>
      </c>
      <c r="H15" s="135">
        <f>IF(B$17=0,0,G15/B$17)</f>
        <v>3.4482758620689655E-2</v>
      </c>
      <c r="I15" s="96">
        <v>1</v>
      </c>
      <c r="K15" s="38">
        <v>13</v>
      </c>
      <c r="L15" s="101">
        <v>-209.59999999999997</v>
      </c>
      <c r="N15" s="116" t="s">
        <v>187</v>
      </c>
      <c r="O15" s="126">
        <f>IF(P15=0,0,Q15/P15)</f>
        <v>60.800000000000004</v>
      </c>
      <c r="P15" s="120">
        <v>2</v>
      </c>
      <c r="Q15" s="108">
        <v>121.60000000000001</v>
      </c>
    </row>
    <row r="16" spans="1:17" x14ac:dyDescent="0.4">
      <c r="A16" s="54" t="s">
        <v>125</v>
      </c>
      <c r="B16" s="46">
        <v>13</v>
      </c>
      <c r="C16" s="37">
        <f>IF(B$14=0,0,B16/B$14)</f>
        <v>0.39393939393939392</v>
      </c>
      <c r="E16" s="63" t="s">
        <v>71</v>
      </c>
      <c r="F16" s="60" t="s">
        <v>26</v>
      </c>
      <c r="G16" s="47">
        <v>0</v>
      </c>
      <c r="H16" s="135">
        <f>IF(B$17=0,0,G16/B$17)</f>
        <v>0</v>
      </c>
      <c r="I16" s="96">
        <v>9</v>
      </c>
      <c r="K16" s="38">
        <v>14</v>
      </c>
      <c r="L16" s="101">
        <v>-178.49999999999997</v>
      </c>
      <c r="N16" s="117" t="s">
        <v>174</v>
      </c>
      <c r="O16" s="127">
        <f>IF(P16=0,0,Q16/P16)</f>
        <v>17.95</v>
      </c>
      <c r="P16" s="121">
        <v>2</v>
      </c>
      <c r="Q16" s="109">
        <v>35.9</v>
      </c>
    </row>
    <row r="17" spans="1:17" x14ac:dyDescent="0.4">
      <c r="A17" s="54" t="s">
        <v>10</v>
      </c>
      <c r="B17" s="46">
        <f>B19+B18</f>
        <v>29</v>
      </c>
      <c r="C17" s="37">
        <f>IF(B$3=0,0,B17/B$3)</f>
        <v>0.25663716814159293</v>
      </c>
      <c r="E17" s="63" t="s">
        <v>74</v>
      </c>
      <c r="F17" s="60" t="s">
        <v>29</v>
      </c>
      <c r="G17" s="47">
        <v>0</v>
      </c>
      <c r="H17" s="135">
        <f>IF(B$17=0,0,G17/B$17)</f>
        <v>0</v>
      </c>
      <c r="I17" s="96">
        <v>4</v>
      </c>
      <c r="K17" s="38">
        <v>15</v>
      </c>
      <c r="L17" s="101">
        <v>-146.19999999999999</v>
      </c>
      <c r="N17" s="117" t="s">
        <v>172</v>
      </c>
      <c r="O17" s="127">
        <f>IF(P17=0,0,Q17/P17)</f>
        <v>12.149999999999999</v>
      </c>
      <c r="P17" s="121">
        <v>2</v>
      </c>
      <c r="Q17" s="109">
        <v>24.299999999999997</v>
      </c>
    </row>
    <row r="18" spans="1:17" x14ac:dyDescent="0.4">
      <c r="A18" s="55" t="s">
        <v>12</v>
      </c>
      <c r="B18" s="47">
        <v>11</v>
      </c>
      <c r="C18" s="39">
        <f>IF(B$17=0,0,B18/B$17)</f>
        <v>0.37931034482758619</v>
      </c>
      <c r="E18" s="63" t="s">
        <v>75</v>
      </c>
      <c r="F18" s="60" t="s">
        <v>30</v>
      </c>
      <c r="G18" s="47">
        <v>0</v>
      </c>
      <c r="H18" s="135">
        <f>IF(B$17=0,0,G18/B$17)</f>
        <v>0</v>
      </c>
      <c r="I18" s="96">
        <v>3</v>
      </c>
      <c r="N18" s="117" t="s">
        <v>128</v>
      </c>
      <c r="O18" s="127">
        <f>IF(P18=0,0,Q18/P18)</f>
        <v>0.75000000000000022</v>
      </c>
      <c r="P18" s="121">
        <v>10</v>
      </c>
      <c r="Q18" s="109">
        <v>7.5000000000000018</v>
      </c>
    </row>
    <row r="19" spans="1:17" x14ac:dyDescent="0.4">
      <c r="A19" s="55" t="s">
        <v>11</v>
      </c>
      <c r="B19" s="47">
        <v>18</v>
      </c>
      <c r="C19" s="39">
        <f>IF(B$17=0,0,B19/B$17)</f>
        <v>0.62068965517241381</v>
      </c>
      <c r="E19" s="63" t="s">
        <v>77</v>
      </c>
      <c r="F19" s="60" t="s">
        <v>32</v>
      </c>
      <c r="G19" s="47">
        <v>0</v>
      </c>
      <c r="H19" s="135">
        <f>IF(B$17=0,0,G19/B$17)</f>
        <v>0</v>
      </c>
      <c r="I19" s="96">
        <v>1</v>
      </c>
      <c r="N19" s="117" t="s">
        <v>129</v>
      </c>
      <c r="O19" s="127">
        <f>IF(P19=0,0,Q19/P19)</f>
        <v>-29.700000000000003</v>
      </c>
      <c r="P19" s="121">
        <v>1</v>
      </c>
      <c r="Q19" s="109">
        <v>-29.700000000000003</v>
      </c>
    </row>
    <row r="20" spans="1:17" x14ac:dyDescent="0.4">
      <c r="A20" s="55" t="s">
        <v>13</v>
      </c>
      <c r="B20" s="47">
        <v>20</v>
      </c>
      <c r="C20" s="39">
        <f>IF(B$3=0,0,B20/B$3)</f>
        <v>0.17699115044247787</v>
      </c>
      <c r="E20" s="63" t="s">
        <v>78</v>
      </c>
      <c r="F20" s="60" t="s">
        <v>33</v>
      </c>
      <c r="G20" s="47">
        <v>0</v>
      </c>
      <c r="H20" s="135">
        <f>IF(B$17=0,0,G20/B$17)</f>
        <v>0</v>
      </c>
      <c r="I20" s="96">
        <v>4</v>
      </c>
      <c r="N20" s="117" t="s">
        <v>173</v>
      </c>
      <c r="O20" s="127">
        <f>IF(P20=0,0,Q20/P20)</f>
        <v>-34.800000000000004</v>
      </c>
      <c r="P20" s="121">
        <v>2</v>
      </c>
      <c r="Q20" s="109">
        <v>-69.600000000000009</v>
      </c>
    </row>
    <row r="21" spans="1:17" x14ac:dyDescent="0.4">
      <c r="A21" s="55" t="s">
        <v>194</v>
      </c>
      <c r="B21" s="47">
        <v>4</v>
      </c>
      <c r="C21" s="137">
        <v>0</v>
      </c>
      <c r="E21" s="63" t="s">
        <v>79</v>
      </c>
      <c r="F21" s="60" t="s">
        <v>34</v>
      </c>
      <c r="G21" s="47">
        <v>0</v>
      </c>
      <c r="H21" s="135">
        <f>IF(B$17=0,0,G21/B$17)</f>
        <v>0</v>
      </c>
      <c r="I21" s="96">
        <v>7</v>
      </c>
      <c r="N21" s="117" t="s">
        <v>186</v>
      </c>
      <c r="O21" s="127">
        <f>IF(P21=0,0,Q21/P21)</f>
        <v>-45.699999999999996</v>
      </c>
      <c r="P21" s="121">
        <v>3</v>
      </c>
      <c r="Q21" s="109">
        <v>-137.1</v>
      </c>
    </row>
    <row r="22" spans="1:17" x14ac:dyDescent="0.4">
      <c r="A22" s="55" t="s">
        <v>195</v>
      </c>
      <c r="B22" s="47">
        <v>16</v>
      </c>
      <c r="C22" s="137">
        <v>6</v>
      </c>
      <c r="E22" s="63" t="s">
        <v>80</v>
      </c>
      <c r="F22" s="60" t="s">
        <v>35</v>
      </c>
      <c r="G22" s="47">
        <v>0</v>
      </c>
      <c r="H22" s="135">
        <f>IF(B$17=0,0,G22/B$17)</f>
        <v>0</v>
      </c>
      <c r="I22" s="96">
        <v>6</v>
      </c>
      <c r="N22" s="117" t="s">
        <v>127</v>
      </c>
      <c r="O22" s="127">
        <f>IF(P22=0,0,Q22/P22)</f>
        <v>-48.937500000000007</v>
      </c>
      <c r="P22" s="121">
        <v>8</v>
      </c>
      <c r="Q22" s="109">
        <v>-391.50000000000006</v>
      </c>
    </row>
    <row r="23" spans="1:17" x14ac:dyDescent="0.4">
      <c r="A23" s="55" t="s">
        <v>5</v>
      </c>
      <c r="B23" s="51">
        <f>IF(B$17=0,0,C23/B$17)</f>
        <v>6362.0689655172409</v>
      </c>
      <c r="C23" s="41">
        <v>184500</v>
      </c>
      <c r="E23" s="63" t="s">
        <v>81</v>
      </c>
      <c r="F23" s="60" t="s">
        <v>36</v>
      </c>
      <c r="G23" s="47">
        <v>0</v>
      </c>
      <c r="H23" s="135">
        <f>IF(B$17=0,0,G23/B$17)</f>
        <v>0</v>
      </c>
      <c r="I23" s="96">
        <v>1</v>
      </c>
    </row>
    <row r="24" spans="1:17" x14ac:dyDescent="0.4">
      <c r="A24" s="57" t="s">
        <v>14</v>
      </c>
      <c r="B24" s="52">
        <f>IF(B$20=0,0,C24/B$20)</f>
        <v>-7250</v>
      </c>
      <c r="C24" s="45">
        <v>-145000</v>
      </c>
      <c r="E24" s="63" t="s">
        <v>82</v>
      </c>
      <c r="F24" s="60" t="s">
        <v>37</v>
      </c>
      <c r="G24" s="47">
        <v>0</v>
      </c>
      <c r="H24" s="135">
        <f>IF(B$17=0,0,G24/B$17)</f>
        <v>0</v>
      </c>
      <c r="I24" s="96">
        <v>7</v>
      </c>
    </row>
    <row r="25" spans="1:17" x14ac:dyDescent="0.4">
      <c r="A25" s="92" t="s">
        <v>142</v>
      </c>
      <c r="B25" s="142">
        <v>5</v>
      </c>
      <c r="C25" s="143"/>
      <c r="E25" s="63" t="s">
        <v>83</v>
      </c>
      <c r="F25" s="60" t="s">
        <v>38</v>
      </c>
      <c r="G25" s="47">
        <v>0</v>
      </c>
      <c r="H25" s="135">
        <f>IF(B$17=0,0,G25/B$17)</f>
        <v>0</v>
      </c>
      <c r="I25" s="96">
        <v>1</v>
      </c>
    </row>
    <row r="26" spans="1:17" x14ac:dyDescent="0.4">
      <c r="A26" s="58" t="s">
        <v>152</v>
      </c>
      <c r="B26" s="140">
        <v>65000</v>
      </c>
      <c r="C26" s="141"/>
      <c r="E26" s="63" t="s">
        <v>85</v>
      </c>
      <c r="F26" s="60" t="s">
        <v>40</v>
      </c>
      <c r="G26" s="47">
        <v>0</v>
      </c>
      <c r="H26" s="135">
        <f>IF(B$17=0,0,G26/B$17)</f>
        <v>0</v>
      </c>
      <c r="I26" s="96">
        <v>3</v>
      </c>
    </row>
    <row r="27" spans="1:17" x14ac:dyDescent="0.4">
      <c r="A27" s="57" t="s">
        <v>143</v>
      </c>
      <c r="B27" s="65">
        <v>1</v>
      </c>
      <c r="C27" s="42">
        <f>IF(B$3=0,0,B27/B$3)</f>
        <v>8.8495575221238937E-3</v>
      </c>
      <c r="E27" s="63" t="s">
        <v>87</v>
      </c>
      <c r="F27" s="60" t="s">
        <v>42</v>
      </c>
      <c r="G27" s="47">
        <v>0</v>
      </c>
      <c r="H27" s="135">
        <f>IF(B$17=0,0,G27/B$17)</f>
        <v>0</v>
      </c>
      <c r="I27" s="96">
        <v>9</v>
      </c>
    </row>
    <row r="28" spans="1:17" x14ac:dyDescent="0.4">
      <c r="E28" s="63" t="s">
        <v>88</v>
      </c>
      <c r="F28" s="60" t="s">
        <v>43</v>
      </c>
      <c r="G28" s="47">
        <v>0</v>
      </c>
      <c r="H28" s="135">
        <f>IF(B$17=0,0,G28/B$17)</f>
        <v>0</v>
      </c>
      <c r="I28" s="96">
        <v>3</v>
      </c>
    </row>
    <row r="29" spans="1:17" x14ac:dyDescent="0.4">
      <c r="E29" s="63" t="s">
        <v>89</v>
      </c>
      <c r="F29" s="60" t="s">
        <v>44</v>
      </c>
      <c r="G29" s="47">
        <v>0</v>
      </c>
      <c r="H29" s="135">
        <f>IF(B$17=0,0,G29/B$17)</f>
        <v>0</v>
      </c>
      <c r="I29" s="96">
        <v>3</v>
      </c>
    </row>
    <row r="30" spans="1:17" x14ac:dyDescent="0.4">
      <c r="E30" s="63" t="s">
        <v>91</v>
      </c>
      <c r="F30" s="60" t="s">
        <v>46</v>
      </c>
      <c r="G30" s="47">
        <v>0</v>
      </c>
      <c r="H30" s="135">
        <f>IF(B$17=0,0,G30/B$17)</f>
        <v>0</v>
      </c>
      <c r="I30" s="96">
        <v>3</v>
      </c>
    </row>
    <row r="31" spans="1:17" x14ac:dyDescent="0.4">
      <c r="E31" s="63" t="s">
        <v>93</v>
      </c>
      <c r="F31" s="60" t="s">
        <v>48</v>
      </c>
      <c r="G31" s="47">
        <v>0</v>
      </c>
      <c r="H31" s="135">
        <f>IF(B$17=0,0,G31/B$17)</f>
        <v>0</v>
      </c>
      <c r="I31" s="96">
        <v>4</v>
      </c>
    </row>
    <row r="32" spans="1:17" x14ac:dyDescent="0.4">
      <c r="E32" s="63" t="s">
        <v>94</v>
      </c>
      <c r="F32" s="60" t="s">
        <v>49</v>
      </c>
      <c r="G32" s="47">
        <v>0</v>
      </c>
      <c r="H32" s="135">
        <f>IF(B$17=0,0,G32/B$17)</f>
        <v>0</v>
      </c>
      <c r="I32" s="96">
        <v>1</v>
      </c>
    </row>
    <row r="33" spans="5:9" x14ac:dyDescent="0.4">
      <c r="E33" s="63" t="s">
        <v>95</v>
      </c>
      <c r="F33" s="60" t="s">
        <v>50</v>
      </c>
      <c r="G33" s="47">
        <v>0</v>
      </c>
      <c r="H33" s="135">
        <f>IF(B$17=0,0,G33/B$17)</f>
        <v>0</v>
      </c>
      <c r="I33" s="96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5">
        <f>IF(B$17=0,0,G34/B$17)</f>
        <v>0</v>
      </c>
      <c r="I34" s="96">
        <v>3</v>
      </c>
    </row>
    <row r="35" spans="5:9" x14ac:dyDescent="0.4">
      <c r="E35" s="63" t="s">
        <v>97</v>
      </c>
      <c r="F35" s="60" t="s">
        <v>52</v>
      </c>
      <c r="G35" s="47">
        <v>0</v>
      </c>
      <c r="H35" s="135">
        <f>IF(B$17=0,0,G35/B$17)</f>
        <v>0</v>
      </c>
      <c r="I35" s="96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5">
        <f>IF(B$17=0,0,G36/B$17)</f>
        <v>0</v>
      </c>
      <c r="I36" s="96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5">
        <f>IF(B$17=0,0,G37/B$17)</f>
        <v>0</v>
      </c>
      <c r="I37" s="96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5">
        <f>IF(B$17=0,0,G38/B$17)</f>
        <v>0</v>
      </c>
      <c r="I38" s="96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5">
        <f>IF(B$17=0,0,G39/B$17)</f>
        <v>0</v>
      </c>
      <c r="I39" s="96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5">
        <f>IF(B$17=0,0,G40/B$17)</f>
        <v>0</v>
      </c>
      <c r="I40" s="96">
        <v>1</v>
      </c>
    </row>
    <row r="41" spans="5:9" x14ac:dyDescent="0.4">
      <c r="E41" s="63" t="s">
        <v>103</v>
      </c>
      <c r="F41" s="60" t="s">
        <v>58</v>
      </c>
      <c r="G41" s="47">
        <v>0</v>
      </c>
      <c r="H41" s="135">
        <f>IF(B$17=0,0,G41/B$17)</f>
        <v>0</v>
      </c>
      <c r="I41" s="96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5">
        <f>IF(B$17=0,0,G42/B$17)</f>
        <v>0</v>
      </c>
      <c r="I42" s="96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5">
        <f>IF(B$17=0,0,G43/B$17)</f>
        <v>0</v>
      </c>
      <c r="I43" s="96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5">
        <f>IF(B$17=0,0,G44/B$17)</f>
        <v>0</v>
      </c>
      <c r="I44" s="96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5">
        <f>IF(B$17=0,0,G45/B$17)</f>
        <v>0</v>
      </c>
      <c r="I45" s="96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5">
        <f>IF(B$17=0,0,G46/B$17)</f>
        <v>0</v>
      </c>
      <c r="I46" s="96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5">
        <f>IF(B$17=0,0,G47/B$17)</f>
        <v>0</v>
      </c>
      <c r="I47" s="96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5">
        <f>IF(B$17=0,0,G48/B$17)</f>
        <v>0</v>
      </c>
      <c r="I48" s="96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5">
        <f>IF(B$17=0,0,G49/B$17)</f>
        <v>0</v>
      </c>
      <c r="I49" s="96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5">
        <f>IF(B$17=0,0,G50/B$17)</f>
        <v>0</v>
      </c>
      <c r="I50" s="96">
        <v>1</v>
      </c>
    </row>
    <row r="51" spans="5:9" x14ac:dyDescent="0.4">
      <c r="E51" s="64" t="s">
        <v>181</v>
      </c>
      <c r="F51" s="61" t="s">
        <v>184</v>
      </c>
      <c r="G51" s="49">
        <v>0</v>
      </c>
      <c r="H51" s="136">
        <f>IF(B$17=0,0,G51/B$17)</f>
        <v>0</v>
      </c>
      <c r="I51" s="97">
        <v>4</v>
      </c>
    </row>
  </sheetData>
  <sortState ref="N15:Q22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A040D4-0BDF-407C-B0F7-72FF124E9892}">
  <sheetPr codeName="Sheet21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0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1" customWidth="1"/>
    <col min="13" max="13" width="3.625" style="33" customWidth="1"/>
    <col min="14" max="14" width="9" style="117" customWidth="1"/>
    <col min="15" max="15" width="9" style="127" customWidth="1"/>
    <col min="16" max="16" width="9" style="121" customWidth="1"/>
    <col min="17" max="17" width="3.625" style="109" customWidth="1"/>
    <col min="18" max="16384" width="9" style="33"/>
  </cols>
  <sheetData>
    <row r="1" spans="1:17" x14ac:dyDescent="0.4">
      <c r="A1" s="53" t="s">
        <v>0</v>
      </c>
      <c r="B1" s="146" t="s">
        <v>186</v>
      </c>
      <c r="C1" s="147"/>
      <c r="E1" s="131" t="s">
        <v>168</v>
      </c>
      <c r="F1" s="139" t="s">
        <v>116</v>
      </c>
      <c r="G1" s="138" t="s">
        <v>117</v>
      </c>
      <c r="H1" s="132" t="s">
        <v>118</v>
      </c>
      <c r="I1" s="139" t="s">
        <v>154</v>
      </c>
      <c r="K1" s="34" t="s">
        <v>20</v>
      </c>
      <c r="L1" s="35" t="s">
        <v>121</v>
      </c>
      <c r="M1" s="133"/>
      <c r="N1" s="115" t="s">
        <v>138</v>
      </c>
      <c r="O1" s="34" t="s">
        <v>139</v>
      </c>
      <c r="P1" s="119" t="s">
        <v>117</v>
      </c>
      <c r="Q1" s="103" t="s">
        <v>158</v>
      </c>
    </row>
    <row r="2" spans="1:17" x14ac:dyDescent="0.4">
      <c r="A2" s="54" t="s">
        <v>9</v>
      </c>
      <c r="B2" s="148">
        <v>3</v>
      </c>
      <c r="C2" s="149"/>
      <c r="E2" s="62" t="s">
        <v>65</v>
      </c>
      <c r="F2" s="59" t="s">
        <v>21</v>
      </c>
      <c r="G2" s="46">
        <v>3</v>
      </c>
      <c r="H2" s="134">
        <f>IF(B$17=0,0,G2/B$17)</f>
        <v>0.6</v>
      </c>
      <c r="I2" s="95">
        <v>1</v>
      </c>
      <c r="K2" s="36">
        <v>0</v>
      </c>
      <c r="L2" s="100">
        <v>0</v>
      </c>
      <c r="N2" s="116" t="s">
        <v>132</v>
      </c>
      <c r="O2" s="123">
        <f t="shared" ref="O2:O7" si="0">IF(P2=0,0,Q2/P2)</f>
        <v>3000</v>
      </c>
      <c r="P2" s="120">
        <v>3</v>
      </c>
      <c r="Q2" s="104">
        <v>9000</v>
      </c>
    </row>
    <row r="3" spans="1:17" x14ac:dyDescent="0.4">
      <c r="A3" s="55" t="s">
        <v>8</v>
      </c>
      <c r="B3" s="150">
        <v>19</v>
      </c>
      <c r="C3" s="151"/>
      <c r="E3" s="63" t="s">
        <v>67</v>
      </c>
      <c r="F3" s="60" t="s">
        <v>23</v>
      </c>
      <c r="G3" s="47">
        <v>3</v>
      </c>
      <c r="H3" s="135">
        <f>IF(B$17=0,0,G3/B$17)</f>
        <v>0.6</v>
      </c>
      <c r="I3" s="96">
        <v>10</v>
      </c>
      <c r="K3" s="38">
        <v>1</v>
      </c>
      <c r="L3" s="101">
        <v>-14.6</v>
      </c>
      <c r="N3" s="117" t="s">
        <v>133</v>
      </c>
      <c r="O3" s="124">
        <f t="shared" si="0"/>
        <v>2233.3333333333335</v>
      </c>
      <c r="P3" s="121">
        <v>3</v>
      </c>
      <c r="Q3" s="105">
        <v>6700</v>
      </c>
    </row>
    <row r="4" spans="1:17" x14ac:dyDescent="0.4">
      <c r="A4" s="55" t="s">
        <v>6</v>
      </c>
      <c r="B4" s="152">
        <v>61</v>
      </c>
      <c r="C4" s="153"/>
      <c r="E4" s="63" t="s">
        <v>73</v>
      </c>
      <c r="F4" s="60" t="s">
        <v>28</v>
      </c>
      <c r="G4" s="47">
        <v>3</v>
      </c>
      <c r="H4" s="135">
        <f>IF(B$17=0,0,G4/B$17)</f>
        <v>0.6</v>
      </c>
      <c r="I4" s="96">
        <v>4</v>
      </c>
      <c r="K4" s="38">
        <v>2</v>
      </c>
      <c r="L4" s="101">
        <v>22.5</v>
      </c>
      <c r="N4" s="117" t="s">
        <v>134</v>
      </c>
      <c r="O4" s="124">
        <f t="shared" si="0"/>
        <v>-1000</v>
      </c>
      <c r="P4" s="121">
        <v>3</v>
      </c>
      <c r="Q4" s="105">
        <v>-3000</v>
      </c>
    </row>
    <row r="5" spans="1:17" x14ac:dyDescent="0.4">
      <c r="A5" s="55" t="s">
        <v>7</v>
      </c>
      <c r="B5" s="154">
        <f>IF(B$2=0,0,B$4/B$2)</f>
        <v>20.333333333333332</v>
      </c>
      <c r="C5" s="155"/>
      <c r="E5" s="63" t="s">
        <v>68</v>
      </c>
      <c r="F5" s="60" t="s">
        <v>24</v>
      </c>
      <c r="G5" s="47">
        <v>2</v>
      </c>
      <c r="H5" s="135">
        <f>IF(B$17=0,0,G5/B$17)</f>
        <v>0.4</v>
      </c>
      <c r="I5" s="96">
        <v>2</v>
      </c>
      <c r="K5" s="38">
        <v>3</v>
      </c>
      <c r="L5" s="101">
        <v>61</v>
      </c>
      <c r="N5" s="117" t="s">
        <v>135</v>
      </c>
      <c r="O5" s="124">
        <f t="shared" si="0"/>
        <v>6233.333333333333</v>
      </c>
      <c r="P5" s="121">
        <v>3</v>
      </c>
      <c r="Q5" s="105">
        <v>18700</v>
      </c>
    </row>
    <row r="6" spans="1:17" x14ac:dyDescent="0.4">
      <c r="A6" s="55" t="s">
        <v>1</v>
      </c>
      <c r="B6" s="144">
        <f>IF(B$2=0,0,(B$7*1+B$8*2+B$9*3)/B$2)</f>
        <v>1.3333333333333333</v>
      </c>
      <c r="C6" s="145"/>
      <c r="E6" s="63" t="s">
        <v>90</v>
      </c>
      <c r="F6" s="60" t="s">
        <v>45</v>
      </c>
      <c r="G6" s="47">
        <v>2</v>
      </c>
      <c r="H6" s="135">
        <f>IF(B$17=0,0,G6/B$17)</f>
        <v>0.4</v>
      </c>
      <c r="I6" s="96">
        <v>2</v>
      </c>
      <c r="N6" s="117" t="s">
        <v>136</v>
      </c>
      <c r="O6" s="124">
        <f t="shared" si="0"/>
        <v>100</v>
      </c>
      <c r="P6" s="121">
        <v>3</v>
      </c>
      <c r="Q6" s="105">
        <v>300</v>
      </c>
    </row>
    <row r="7" spans="1:17" x14ac:dyDescent="0.4">
      <c r="A7" s="55" t="s">
        <v>2</v>
      </c>
      <c r="B7" s="47">
        <v>2</v>
      </c>
      <c r="C7" s="39">
        <f>IF(B$2=0,0,B7/B$2)</f>
        <v>0.66666666666666663</v>
      </c>
      <c r="E7" s="63" t="s">
        <v>182</v>
      </c>
      <c r="F7" s="60" t="s">
        <v>183</v>
      </c>
      <c r="G7" s="47">
        <v>2</v>
      </c>
      <c r="H7" s="135">
        <f>IF(B$17=0,0,G7/B$17)</f>
        <v>0.4</v>
      </c>
      <c r="I7" s="96">
        <v>4</v>
      </c>
      <c r="N7" s="118" t="s">
        <v>137</v>
      </c>
      <c r="O7" s="125">
        <f t="shared" si="0"/>
        <v>-3566.6666666666665</v>
      </c>
      <c r="P7" s="122">
        <v>3</v>
      </c>
      <c r="Q7" s="106">
        <v>-10700</v>
      </c>
    </row>
    <row r="8" spans="1:17" x14ac:dyDescent="0.4">
      <c r="A8" s="55" t="s">
        <v>3</v>
      </c>
      <c r="B8" s="47">
        <v>1</v>
      </c>
      <c r="C8" s="39">
        <f>IF(B$2=0,0,B8/B$2)</f>
        <v>0.33333333333333331</v>
      </c>
      <c r="E8" s="63" t="s">
        <v>69</v>
      </c>
      <c r="F8" s="60" t="s">
        <v>12</v>
      </c>
      <c r="G8" s="47">
        <v>1</v>
      </c>
      <c r="H8" s="135">
        <f>IF(B$17=0,0,G8/B$17)</f>
        <v>0.2</v>
      </c>
      <c r="I8" s="96">
        <v>9</v>
      </c>
      <c r="N8" s="43"/>
      <c r="O8" s="129"/>
      <c r="P8" s="113"/>
      <c r="Q8" s="111"/>
    </row>
    <row r="9" spans="1:17" x14ac:dyDescent="0.4">
      <c r="A9" s="56" t="s">
        <v>4</v>
      </c>
      <c r="B9" s="48">
        <v>0</v>
      </c>
      <c r="C9" s="40">
        <f t="shared" ref="C9" si="1">IF(B$2=0,0,B9/B$2)</f>
        <v>0</v>
      </c>
      <c r="E9" s="63" t="s">
        <v>70</v>
      </c>
      <c r="F9" s="60" t="s">
        <v>25</v>
      </c>
      <c r="G9" s="47">
        <v>1</v>
      </c>
      <c r="H9" s="135">
        <f>IF(B$17=0,0,G9/B$17)</f>
        <v>0.2</v>
      </c>
      <c r="I9" s="96">
        <v>4</v>
      </c>
      <c r="N9" s="115" t="s">
        <v>164</v>
      </c>
      <c r="O9" s="34" t="s">
        <v>121</v>
      </c>
      <c r="P9" s="119" t="s">
        <v>117</v>
      </c>
      <c r="Q9" s="107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72</v>
      </c>
      <c r="F10" s="60" t="s">
        <v>27</v>
      </c>
      <c r="G10" s="47">
        <v>1</v>
      </c>
      <c r="H10" s="135">
        <f>IF(B$17=0,0,G10/B$17)</f>
        <v>0.2</v>
      </c>
      <c r="I10" s="96">
        <v>1</v>
      </c>
      <c r="N10" s="116" t="s">
        <v>165</v>
      </c>
      <c r="O10" s="126">
        <f>IF(P10=0,0,Q10/P10)</f>
        <v>0</v>
      </c>
      <c r="P10" s="120">
        <v>0</v>
      </c>
      <c r="Q10" s="108">
        <v>0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87</v>
      </c>
      <c r="F11" s="60" t="s">
        <v>42</v>
      </c>
      <c r="G11" s="47">
        <v>1</v>
      </c>
      <c r="H11" s="135">
        <f>IF(B$17=0,0,G11/B$17)</f>
        <v>0.2</v>
      </c>
      <c r="I11" s="96">
        <v>1</v>
      </c>
      <c r="N11" s="117" t="s">
        <v>166</v>
      </c>
      <c r="O11" s="127">
        <f>IF(P11=0,0,Q11/P11)</f>
        <v>0</v>
      </c>
      <c r="P11" s="121">
        <v>0</v>
      </c>
      <c r="Q11" s="109">
        <v>0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66</v>
      </c>
      <c r="F12" s="60" t="s">
        <v>22</v>
      </c>
      <c r="G12" s="47">
        <v>0</v>
      </c>
      <c r="H12" s="135">
        <f>IF(B$17=0,0,G12/B$17)</f>
        <v>0</v>
      </c>
      <c r="I12" s="96">
        <v>10</v>
      </c>
      <c r="N12" s="118" t="s">
        <v>167</v>
      </c>
      <c r="O12" s="128">
        <f>IF(P12=0,0,Q12/P12)</f>
        <v>20.333333333333332</v>
      </c>
      <c r="P12" s="122">
        <v>3</v>
      </c>
      <c r="Q12" s="110">
        <v>61</v>
      </c>
    </row>
    <row r="13" spans="1:17" x14ac:dyDescent="0.4">
      <c r="A13" s="58" t="s">
        <v>122</v>
      </c>
      <c r="B13" s="50">
        <v>5</v>
      </c>
      <c r="C13" s="44">
        <f>IF(B$3=0,0,B13/B$3)</f>
        <v>0.26315789473684209</v>
      </c>
      <c r="E13" s="63" t="s">
        <v>71</v>
      </c>
      <c r="F13" s="60" t="s">
        <v>26</v>
      </c>
      <c r="G13" s="47">
        <v>0</v>
      </c>
      <c r="H13" s="135">
        <f>IF(B$17=0,0,G13/B$17)</f>
        <v>0</v>
      </c>
      <c r="I13" s="96">
        <v>9</v>
      </c>
      <c r="N13" s="33"/>
      <c r="O13" s="112"/>
      <c r="P13" s="114"/>
      <c r="Q13" s="112"/>
    </row>
    <row r="14" spans="1:17" x14ac:dyDescent="0.4">
      <c r="A14" s="55" t="s">
        <v>119</v>
      </c>
      <c r="B14" s="47">
        <v>4</v>
      </c>
      <c r="C14" s="39">
        <f>IF(B$3=0,0,B14/B$3)</f>
        <v>0.21052631578947367</v>
      </c>
      <c r="E14" s="63" t="s">
        <v>74</v>
      </c>
      <c r="F14" s="60" t="s">
        <v>29</v>
      </c>
      <c r="G14" s="47">
        <v>0</v>
      </c>
      <c r="H14" s="135">
        <f>IF(B$17=0,0,G14/B$17)</f>
        <v>0</v>
      </c>
      <c r="I14" s="96">
        <v>4</v>
      </c>
      <c r="N14" s="115" t="s">
        <v>155</v>
      </c>
      <c r="O14" s="34" t="s">
        <v>121</v>
      </c>
      <c r="P14" s="119" t="s">
        <v>117</v>
      </c>
      <c r="Q14" s="107" t="s">
        <v>158</v>
      </c>
    </row>
    <row r="15" spans="1:17" x14ac:dyDescent="0.4">
      <c r="A15" s="54" t="s">
        <v>124</v>
      </c>
      <c r="B15" s="46">
        <v>3</v>
      </c>
      <c r="C15" s="37">
        <f>IF(B$13=0,0,B15/B$13)</f>
        <v>0.6</v>
      </c>
      <c r="E15" s="63" t="s">
        <v>75</v>
      </c>
      <c r="F15" s="60" t="s">
        <v>30</v>
      </c>
      <c r="G15" s="47">
        <v>0</v>
      </c>
      <c r="H15" s="135">
        <f>IF(B$17=0,0,G15/B$17)</f>
        <v>0</v>
      </c>
      <c r="I15" s="96">
        <v>3</v>
      </c>
      <c r="N15" s="116" t="s">
        <v>187</v>
      </c>
      <c r="O15" s="126">
        <f>IF(P15=0,0,Q15/P15)</f>
        <v>69.599999999999994</v>
      </c>
      <c r="P15" s="120">
        <v>1</v>
      </c>
      <c r="Q15" s="108">
        <v>69.599999999999994</v>
      </c>
    </row>
    <row r="16" spans="1:17" x14ac:dyDescent="0.4">
      <c r="A16" s="54" t="s">
        <v>125</v>
      </c>
      <c r="B16" s="46">
        <v>2</v>
      </c>
      <c r="C16" s="37">
        <f>IF(B$14=0,0,B16/B$14)</f>
        <v>0.5</v>
      </c>
      <c r="E16" s="63" t="s">
        <v>76</v>
      </c>
      <c r="F16" s="60" t="s">
        <v>31</v>
      </c>
      <c r="G16" s="47">
        <v>0</v>
      </c>
      <c r="H16" s="135">
        <f>IF(B$17=0,0,G16/B$17)</f>
        <v>0</v>
      </c>
      <c r="I16" s="96">
        <v>6</v>
      </c>
      <c r="N16" s="117" t="s">
        <v>178</v>
      </c>
      <c r="O16" s="127">
        <f>IF(P16=0,0,Q16/P16)</f>
        <v>45.699999999999996</v>
      </c>
      <c r="P16" s="121">
        <v>3</v>
      </c>
      <c r="Q16" s="109">
        <v>137.1</v>
      </c>
    </row>
    <row r="17" spans="1:17" x14ac:dyDescent="0.4">
      <c r="A17" s="54" t="s">
        <v>10</v>
      </c>
      <c r="B17" s="46">
        <f>B19+B18</f>
        <v>5</v>
      </c>
      <c r="C17" s="37">
        <f>IF(B$3=0,0,B17/B$3)</f>
        <v>0.26315789473684209</v>
      </c>
      <c r="E17" s="63" t="s">
        <v>77</v>
      </c>
      <c r="F17" s="60" t="s">
        <v>32</v>
      </c>
      <c r="G17" s="47">
        <v>0</v>
      </c>
      <c r="H17" s="135">
        <f>IF(B$17=0,0,G17/B$17)</f>
        <v>0</v>
      </c>
      <c r="I17" s="96">
        <v>1</v>
      </c>
      <c r="N17" s="117" t="s">
        <v>174</v>
      </c>
      <c r="O17" s="127">
        <f>IF(P17=0,0,Q17/P17)</f>
        <v>45.5</v>
      </c>
      <c r="P17" s="121">
        <v>1</v>
      </c>
      <c r="Q17" s="109">
        <v>45.5</v>
      </c>
    </row>
    <row r="18" spans="1:17" x14ac:dyDescent="0.4">
      <c r="A18" s="55" t="s">
        <v>12</v>
      </c>
      <c r="B18" s="47">
        <v>1</v>
      </c>
      <c r="C18" s="39">
        <f>IF(B$17=0,0,B18/B$17)</f>
        <v>0.2</v>
      </c>
      <c r="E18" s="63" t="s">
        <v>78</v>
      </c>
      <c r="F18" s="60" t="s">
        <v>33</v>
      </c>
      <c r="G18" s="47">
        <v>0</v>
      </c>
      <c r="H18" s="135">
        <f>IF(B$17=0,0,G18/B$17)</f>
        <v>0</v>
      </c>
      <c r="I18" s="96">
        <v>4</v>
      </c>
      <c r="N18" s="117" t="s">
        <v>127</v>
      </c>
      <c r="O18" s="127">
        <f>IF(P18=0,0,Q18/P18)</f>
        <v>-69.2</v>
      </c>
      <c r="P18" s="121">
        <v>1</v>
      </c>
      <c r="Q18" s="109">
        <v>-69.2</v>
      </c>
    </row>
    <row r="19" spans="1:17" x14ac:dyDescent="0.4">
      <c r="A19" s="55" t="s">
        <v>11</v>
      </c>
      <c r="B19" s="47">
        <v>4</v>
      </c>
      <c r="C19" s="39">
        <f>IF(B$17=0,0,B19/B$17)</f>
        <v>0.8</v>
      </c>
      <c r="E19" s="63" t="s">
        <v>79</v>
      </c>
      <c r="F19" s="60" t="s">
        <v>34</v>
      </c>
      <c r="G19" s="47">
        <v>0</v>
      </c>
      <c r="H19" s="135">
        <f>IF(B$17=0,0,G19/B$17)</f>
        <v>0</v>
      </c>
      <c r="I19" s="96">
        <v>7</v>
      </c>
    </row>
    <row r="20" spans="1:17" x14ac:dyDescent="0.4">
      <c r="A20" s="55" t="s">
        <v>13</v>
      </c>
      <c r="B20" s="47">
        <v>2</v>
      </c>
      <c r="C20" s="39">
        <f>IF(B$3=0,0,B20/B$3)</f>
        <v>0.10526315789473684</v>
      </c>
      <c r="E20" s="63" t="s">
        <v>80</v>
      </c>
      <c r="F20" s="60" t="s">
        <v>35</v>
      </c>
      <c r="G20" s="47">
        <v>0</v>
      </c>
      <c r="H20" s="135">
        <f>IF(B$17=0,0,G20/B$17)</f>
        <v>0</v>
      </c>
      <c r="I20" s="96">
        <v>6</v>
      </c>
    </row>
    <row r="21" spans="1:17" x14ac:dyDescent="0.4">
      <c r="A21" s="55" t="s">
        <v>194</v>
      </c>
      <c r="B21" s="47">
        <v>2</v>
      </c>
      <c r="C21" s="137">
        <v>0</v>
      </c>
      <c r="E21" s="63" t="s">
        <v>81</v>
      </c>
      <c r="F21" s="60" t="s">
        <v>36</v>
      </c>
      <c r="G21" s="47">
        <v>0</v>
      </c>
      <c r="H21" s="135">
        <f>IF(B$17=0,0,G21/B$17)</f>
        <v>0</v>
      </c>
      <c r="I21" s="96">
        <v>1</v>
      </c>
    </row>
    <row r="22" spans="1:17" x14ac:dyDescent="0.4">
      <c r="A22" s="55" t="s">
        <v>195</v>
      </c>
      <c r="B22" s="47">
        <v>12</v>
      </c>
      <c r="C22" s="137">
        <v>12</v>
      </c>
      <c r="E22" s="63" t="s">
        <v>82</v>
      </c>
      <c r="F22" s="60" t="s">
        <v>37</v>
      </c>
      <c r="G22" s="47">
        <v>0</v>
      </c>
      <c r="H22" s="135">
        <f>IF(B$17=0,0,G22/B$17)</f>
        <v>0</v>
      </c>
      <c r="I22" s="96">
        <v>7</v>
      </c>
    </row>
    <row r="23" spans="1:17" x14ac:dyDescent="0.4">
      <c r="A23" s="55" t="s">
        <v>5</v>
      </c>
      <c r="B23" s="51">
        <f>IF(B$17=0,0,C23/B$17)</f>
        <v>7860</v>
      </c>
      <c r="C23" s="41">
        <v>39300</v>
      </c>
      <c r="E23" s="63" t="s">
        <v>83</v>
      </c>
      <c r="F23" s="60" t="s">
        <v>38</v>
      </c>
      <c r="G23" s="47">
        <v>0</v>
      </c>
      <c r="H23" s="135">
        <f>IF(B$17=0,0,G23/B$17)</f>
        <v>0</v>
      </c>
      <c r="I23" s="96">
        <v>1</v>
      </c>
    </row>
    <row r="24" spans="1:17" x14ac:dyDescent="0.4">
      <c r="A24" s="57" t="s">
        <v>14</v>
      </c>
      <c r="B24" s="52">
        <f>IF(B$20=0,0,C24/B$20)</f>
        <v>-5150</v>
      </c>
      <c r="C24" s="45">
        <v>-10300</v>
      </c>
      <c r="E24" s="63" t="s">
        <v>84</v>
      </c>
      <c r="F24" s="60" t="s">
        <v>39</v>
      </c>
      <c r="G24" s="47">
        <v>0</v>
      </c>
      <c r="H24" s="135">
        <f>IF(B$17=0,0,G24/B$17)</f>
        <v>0</v>
      </c>
      <c r="I24" s="96">
        <v>10</v>
      </c>
    </row>
    <row r="25" spans="1:17" x14ac:dyDescent="0.4">
      <c r="A25" s="92" t="s">
        <v>142</v>
      </c>
      <c r="B25" s="142">
        <v>3</v>
      </c>
      <c r="C25" s="143"/>
      <c r="E25" s="63" t="s">
        <v>85</v>
      </c>
      <c r="F25" s="60" t="s">
        <v>40</v>
      </c>
      <c r="G25" s="47">
        <v>0</v>
      </c>
      <c r="H25" s="135">
        <f>IF(B$17=0,0,G25/B$17)</f>
        <v>0</v>
      </c>
      <c r="I25" s="96">
        <v>3</v>
      </c>
    </row>
    <row r="26" spans="1:17" x14ac:dyDescent="0.4">
      <c r="A26" s="58" t="s">
        <v>152</v>
      </c>
      <c r="B26" s="140">
        <v>53500</v>
      </c>
      <c r="C26" s="141"/>
      <c r="E26" s="63" t="s">
        <v>86</v>
      </c>
      <c r="F26" s="60" t="s">
        <v>41</v>
      </c>
      <c r="G26" s="47">
        <v>0</v>
      </c>
      <c r="H26" s="135">
        <f>IF(B$17=0,0,G26/B$17)</f>
        <v>0</v>
      </c>
      <c r="I26" s="96">
        <v>3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88</v>
      </c>
      <c r="F27" s="60" t="s">
        <v>43</v>
      </c>
      <c r="G27" s="47">
        <v>0</v>
      </c>
      <c r="H27" s="135">
        <f>IF(B$17=0,0,G27/B$17)</f>
        <v>0</v>
      </c>
      <c r="I27" s="96">
        <v>3</v>
      </c>
    </row>
    <row r="28" spans="1:17" x14ac:dyDescent="0.4">
      <c r="E28" s="63" t="s">
        <v>89</v>
      </c>
      <c r="F28" s="60" t="s">
        <v>44</v>
      </c>
      <c r="G28" s="47">
        <v>0</v>
      </c>
      <c r="H28" s="135">
        <f>IF(B$17=0,0,G28/B$17)</f>
        <v>0</v>
      </c>
      <c r="I28" s="96">
        <v>3</v>
      </c>
    </row>
    <row r="29" spans="1:17" x14ac:dyDescent="0.4">
      <c r="E29" s="63" t="s">
        <v>91</v>
      </c>
      <c r="F29" s="60" t="s">
        <v>46</v>
      </c>
      <c r="G29" s="47">
        <v>0</v>
      </c>
      <c r="H29" s="135">
        <f>IF(B$17=0,0,G29/B$17)</f>
        <v>0</v>
      </c>
      <c r="I29" s="96">
        <v>3</v>
      </c>
    </row>
    <row r="30" spans="1:17" x14ac:dyDescent="0.4">
      <c r="E30" s="63" t="s">
        <v>92</v>
      </c>
      <c r="F30" s="60" t="s">
        <v>47</v>
      </c>
      <c r="G30" s="47">
        <v>0</v>
      </c>
      <c r="H30" s="135">
        <f>IF(B$17=0,0,G30/B$17)</f>
        <v>0</v>
      </c>
      <c r="I30" s="96">
        <v>6</v>
      </c>
    </row>
    <row r="31" spans="1:17" x14ac:dyDescent="0.4">
      <c r="E31" s="63" t="s">
        <v>93</v>
      </c>
      <c r="F31" s="60" t="s">
        <v>48</v>
      </c>
      <c r="G31" s="47">
        <v>0</v>
      </c>
      <c r="H31" s="135">
        <f>IF(B$17=0,0,G31/B$17)</f>
        <v>0</v>
      </c>
      <c r="I31" s="96">
        <v>4</v>
      </c>
    </row>
    <row r="32" spans="1:17" x14ac:dyDescent="0.4">
      <c r="E32" s="63" t="s">
        <v>94</v>
      </c>
      <c r="F32" s="60" t="s">
        <v>49</v>
      </c>
      <c r="G32" s="47">
        <v>0</v>
      </c>
      <c r="H32" s="135">
        <f>IF(B$17=0,0,G32/B$17)</f>
        <v>0</v>
      </c>
      <c r="I32" s="96">
        <v>1</v>
      </c>
    </row>
    <row r="33" spans="5:9" x14ac:dyDescent="0.4">
      <c r="E33" s="63" t="s">
        <v>95</v>
      </c>
      <c r="F33" s="60" t="s">
        <v>50</v>
      </c>
      <c r="G33" s="47">
        <v>0</v>
      </c>
      <c r="H33" s="135">
        <f>IF(B$17=0,0,G33/B$17)</f>
        <v>0</v>
      </c>
      <c r="I33" s="96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5">
        <f>IF(B$17=0,0,G34/B$17)</f>
        <v>0</v>
      </c>
      <c r="I34" s="96">
        <v>3</v>
      </c>
    </row>
    <row r="35" spans="5:9" x14ac:dyDescent="0.4">
      <c r="E35" s="63" t="s">
        <v>97</v>
      </c>
      <c r="F35" s="60" t="s">
        <v>52</v>
      </c>
      <c r="G35" s="47">
        <v>0</v>
      </c>
      <c r="H35" s="135">
        <f>IF(B$17=0,0,G35/B$17)</f>
        <v>0</v>
      </c>
      <c r="I35" s="96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5">
        <f>IF(B$17=0,0,G36/B$17)</f>
        <v>0</v>
      </c>
      <c r="I36" s="96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5">
        <f>IF(B$17=0,0,G37/B$17)</f>
        <v>0</v>
      </c>
      <c r="I37" s="96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5">
        <f>IF(B$17=0,0,G38/B$17)</f>
        <v>0</v>
      </c>
      <c r="I38" s="96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5">
        <f>IF(B$17=0,0,G39/B$17)</f>
        <v>0</v>
      </c>
      <c r="I39" s="96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5">
        <f>IF(B$17=0,0,G40/B$17)</f>
        <v>0</v>
      </c>
      <c r="I40" s="96">
        <v>1</v>
      </c>
    </row>
    <row r="41" spans="5:9" x14ac:dyDescent="0.4">
      <c r="E41" s="63" t="s">
        <v>103</v>
      </c>
      <c r="F41" s="60" t="s">
        <v>58</v>
      </c>
      <c r="G41" s="47">
        <v>0</v>
      </c>
      <c r="H41" s="135">
        <f>IF(B$17=0,0,G41/B$17)</f>
        <v>0</v>
      </c>
      <c r="I41" s="96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5">
        <f>IF(B$17=0,0,G42/B$17)</f>
        <v>0</v>
      </c>
      <c r="I42" s="96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5">
        <f>IF(B$17=0,0,G43/B$17)</f>
        <v>0</v>
      </c>
      <c r="I43" s="96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5">
        <f>IF(B$17=0,0,G44/B$17)</f>
        <v>0</v>
      </c>
      <c r="I44" s="96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5">
        <f>IF(B$17=0,0,G45/B$17)</f>
        <v>0</v>
      </c>
      <c r="I45" s="96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5">
        <f>IF(B$17=0,0,G46/B$17)</f>
        <v>0</v>
      </c>
      <c r="I46" s="96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5">
        <f>IF(B$17=0,0,G47/B$17)</f>
        <v>0</v>
      </c>
      <c r="I47" s="96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5">
        <f>IF(B$17=0,0,G48/B$17)</f>
        <v>0</v>
      </c>
      <c r="I48" s="96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5">
        <f>IF(B$17=0,0,G49/B$17)</f>
        <v>0</v>
      </c>
      <c r="I49" s="96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5">
        <f>IF(B$17=0,0,G50/B$17)</f>
        <v>0</v>
      </c>
      <c r="I50" s="96">
        <v>1</v>
      </c>
    </row>
    <row r="51" spans="5:9" x14ac:dyDescent="0.4">
      <c r="E51" s="64" t="s">
        <v>181</v>
      </c>
      <c r="F51" s="61" t="s">
        <v>184</v>
      </c>
      <c r="G51" s="49">
        <v>0</v>
      </c>
      <c r="H51" s="136">
        <f>IF(B$17=0,0,G51/B$17)</f>
        <v>0</v>
      </c>
      <c r="I51" s="97">
        <v>4</v>
      </c>
    </row>
  </sheetData>
  <sortState ref="N15:Q18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2DEFE1-B11E-4E4B-B63A-05FB6F078173}">
  <sheetPr codeName="Sheet23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0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1" customWidth="1"/>
    <col min="13" max="13" width="3.625" style="33" customWidth="1"/>
    <col min="14" max="14" width="9" style="117" customWidth="1"/>
    <col min="15" max="15" width="9" style="127" customWidth="1"/>
    <col min="16" max="16" width="9" style="121" customWidth="1"/>
    <col min="17" max="17" width="3.625" style="109" customWidth="1"/>
    <col min="18" max="16384" width="9" style="33"/>
  </cols>
  <sheetData>
    <row r="1" spans="1:17" x14ac:dyDescent="0.4">
      <c r="A1" s="53" t="s">
        <v>0</v>
      </c>
      <c r="B1" s="146" t="s">
        <v>187</v>
      </c>
      <c r="C1" s="147"/>
      <c r="E1" s="131" t="s">
        <v>168</v>
      </c>
      <c r="F1" s="139" t="s">
        <v>116</v>
      </c>
      <c r="G1" s="138" t="s">
        <v>117</v>
      </c>
      <c r="H1" s="132" t="s">
        <v>118</v>
      </c>
      <c r="I1" s="139" t="s">
        <v>154</v>
      </c>
      <c r="K1" s="34" t="s">
        <v>20</v>
      </c>
      <c r="L1" s="35" t="s">
        <v>121</v>
      </c>
      <c r="M1" s="133"/>
      <c r="N1" s="115" t="s">
        <v>138</v>
      </c>
      <c r="O1" s="34" t="s">
        <v>139</v>
      </c>
      <c r="P1" s="119" t="s">
        <v>117</v>
      </c>
      <c r="Q1" s="103" t="s">
        <v>158</v>
      </c>
    </row>
    <row r="2" spans="1:17" x14ac:dyDescent="0.4">
      <c r="A2" s="54" t="s">
        <v>9</v>
      </c>
      <c r="B2" s="148">
        <v>7</v>
      </c>
      <c r="C2" s="149"/>
      <c r="E2" s="62" t="s">
        <v>67</v>
      </c>
      <c r="F2" s="59" t="s">
        <v>23</v>
      </c>
      <c r="G2" s="46">
        <v>10</v>
      </c>
      <c r="H2" s="134">
        <f>IF(B$17=0,0,G2/B$17)</f>
        <v>0.83333333333333337</v>
      </c>
      <c r="I2" s="95">
        <v>3</v>
      </c>
      <c r="K2" s="36">
        <v>0</v>
      </c>
      <c r="L2" s="100">
        <v>0</v>
      </c>
      <c r="N2" s="116" t="s">
        <v>132</v>
      </c>
      <c r="O2" s="123">
        <f t="shared" ref="O2:O7" si="0">IF(P2=0,0,Q2/P2)</f>
        <v>-3742.8571428571427</v>
      </c>
      <c r="P2" s="120">
        <v>7</v>
      </c>
      <c r="Q2" s="104">
        <v>-26200</v>
      </c>
    </row>
    <row r="3" spans="1:17" x14ac:dyDescent="0.4">
      <c r="A3" s="55" t="s">
        <v>8</v>
      </c>
      <c r="B3" s="150">
        <v>57</v>
      </c>
      <c r="C3" s="151"/>
      <c r="E3" s="63" t="s">
        <v>73</v>
      </c>
      <c r="F3" s="60" t="s">
        <v>28</v>
      </c>
      <c r="G3" s="47">
        <v>10</v>
      </c>
      <c r="H3" s="135">
        <f>IF(B$17=0,0,G3/B$17)</f>
        <v>0.83333333333333337</v>
      </c>
      <c r="I3" s="96">
        <v>1</v>
      </c>
      <c r="K3" s="38">
        <v>1</v>
      </c>
      <c r="L3" s="101">
        <v>-43.7</v>
      </c>
      <c r="N3" s="117" t="s">
        <v>133</v>
      </c>
      <c r="O3" s="124">
        <f t="shared" si="0"/>
        <v>-4085.7142857142858</v>
      </c>
      <c r="P3" s="121">
        <v>7</v>
      </c>
      <c r="Q3" s="105">
        <v>-28600</v>
      </c>
    </row>
    <row r="4" spans="1:17" x14ac:dyDescent="0.4">
      <c r="A4" s="55" t="s">
        <v>6</v>
      </c>
      <c r="B4" s="152">
        <v>-218.2</v>
      </c>
      <c r="C4" s="153"/>
      <c r="E4" s="63" t="s">
        <v>65</v>
      </c>
      <c r="F4" s="60" t="s">
        <v>21</v>
      </c>
      <c r="G4" s="47">
        <v>5</v>
      </c>
      <c r="H4" s="135">
        <f>IF(B$17=0,0,G4/B$17)</f>
        <v>0.41666666666666669</v>
      </c>
      <c r="I4" s="96">
        <v>8</v>
      </c>
      <c r="K4" s="38">
        <v>2</v>
      </c>
      <c r="L4" s="101">
        <v>-76.2</v>
      </c>
      <c r="N4" s="117" t="s">
        <v>134</v>
      </c>
      <c r="O4" s="124">
        <f t="shared" si="0"/>
        <v>128.57142857142858</v>
      </c>
      <c r="P4" s="121">
        <v>7</v>
      </c>
      <c r="Q4" s="105">
        <v>900</v>
      </c>
    </row>
    <row r="5" spans="1:17" x14ac:dyDescent="0.4">
      <c r="A5" s="55" t="s">
        <v>7</v>
      </c>
      <c r="B5" s="154">
        <f>IF(B$2=0,0,B$4/B$2)</f>
        <v>-31.171428571428571</v>
      </c>
      <c r="C5" s="155"/>
      <c r="E5" s="63" t="s">
        <v>182</v>
      </c>
      <c r="F5" s="60" t="s">
        <v>183</v>
      </c>
      <c r="G5" s="47">
        <v>4</v>
      </c>
      <c r="H5" s="135">
        <f>IF(B$17=0,0,G5/B$17)</f>
        <v>0.33333333333333331</v>
      </c>
      <c r="I5" s="96">
        <v>9</v>
      </c>
      <c r="K5" s="38">
        <v>3</v>
      </c>
      <c r="L5" s="101">
        <v>-78.400000000000006</v>
      </c>
      <c r="N5" s="117" t="s">
        <v>135</v>
      </c>
      <c r="O5" s="124">
        <f t="shared" si="0"/>
        <v>-7000</v>
      </c>
      <c r="P5" s="121">
        <v>6</v>
      </c>
      <c r="Q5" s="105">
        <v>-42000</v>
      </c>
    </row>
    <row r="6" spans="1:17" x14ac:dyDescent="0.4">
      <c r="A6" s="55" t="s">
        <v>1</v>
      </c>
      <c r="B6" s="144">
        <f>IF(B$2=0,0,(B$7*1+B$8*2+B$9*3)/B$2)</f>
        <v>2.5714285714285716</v>
      </c>
      <c r="C6" s="145"/>
      <c r="E6" s="63" t="s">
        <v>90</v>
      </c>
      <c r="F6" s="60" t="s">
        <v>45</v>
      </c>
      <c r="G6" s="47">
        <v>3</v>
      </c>
      <c r="H6" s="135">
        <f>IF(B$17=0,0,G6/B$17)</f>
        <v>0.25</v>
      </c>
      <c r="I6" s="96">
        <v>3</v>
      </c>
      <c r="K6" s="38">
        <v>4</v>
      </c>
      <c r="L6" s="101">
        <v>-49.800000000000004</v>
      </c>
      <c r="N6" s="117" t="s">
        <v>136</v>
      </c>
      <c r="O6" s="124">
        <f t="shared" si="0"/>
        <v>-2950</v>
      </c>
      <c r="P6" s="121">
        <v>6</v>
      </c>
      <c r="Q6" s="105">
        <v>-17700</v>
      </c>
    </row>
    <row r="7" spans="1:17" x14ac:dyDescent="0.4">
      <c r="A7" s="55" t="s">
        <v>2</v>
      </c>
      <c r="B7" s="47">
        <v>1</v>
      </c>
      <c r="C7" s="39">
        <f>IF(B$2=0,0,B7/B$2)</f>
        <v>0.14285714285714285</v>
      </c>
      <c r="E7" s="63" t="s">
        <v>69</v>
      </c>
      <c r="F7" s="60" t="s">
        <v>12</v>
      </c>
      <c r="G7" s="47">
        <v>2</v>
      </c>
      <c r="H7" s="135">
        <f>IF(B$17=0,0,G7/B$17)</f>
        <v>0.16666666666666666</v>
      </c>
      <c r="I7" s="96">
        <v>11</v>
      </c>
      <c r="K7" s="38">
        <v>5</v>
      </c>
      <c r="L7" s="101">
        <v>-121</v>
      </c>
      <c r="N7" s="118" t="s">
        <v>137</v>
      </c>
      <c r="O7" s="125">
        <f t="shared" si="0"/>
        <v>-4100</v>
      </c>
      <c r="P7" s="122">
        <v>6</v>
      </c>
      <c r="Q7" s="106">
        <v>-24600</v>
      </c>
    </row>
    <row r="8" spans="1:17" x14ac:dyDescent="0.4">
      <c r="A8" s="55" t="s">
        <v>3</v>
      </c>
      <c r="B8" s="47">
        <v>1</v>
      </c>
      <c r="C8" s="39">
        <f>IF(B$2=0,0,B8/B$2)</f>
        <v>0.14285714285714285</v>
      </c>
      <c r="E8" s="63" t="s">
        <v>70</v>
      </c>
      <c r="F8" s="60" t="s">
        <v>25</v>
      </c>
      <c r="G8" s="47">
        <v>2</v>
      </c>
      <c r="H8" s="135">
        <f>IF(B$17=0,0,G8/B$17)</f>
        <v>0.16666666666666666</v>
      </c>
      <c r="I8" s="96">
        <v>9</v>
      </c>
      <c r="K8" s="38">
        <v>6</v>
      </c>
      <c r="L8" s="101">
        <v>-167</v>
      </c>
      <c r="N8" s="43"/>
      <c r="O8" s="129"/>
      <c r="P8" s="113"/>
      <c r="Q8" s="111"/>
    </row>
    <row r="9" spans="1:17" x14ac:dyDescent="0.4">
      <c r="A9" s="56" t="s">
        <v>4</v>
      </c>
      <c r="B9" s="48">
        <v>5</v>
      </c>
      <c r="C9" s="40">
        <f t="shared" ref="C9" si="1">IF(B$2=0,0,B9/B$2)</f>
        <v>0.7142857142857143</v>
      </c>
      <c r="E9" s="63" t="s">
        <v>71</v>
      </c>
      <c r="F9" s="60" t="s">
        <v>26</v>
      </c>
      <c r="G9" s="47">
        <v>1</v>
      </c>
      <c r="H9" s="135">
        <f>IF(B$17=0,0,G9/B$17)</f>
        <v>8.3333333333333329E-2</v>
      </c>
      <c r="I9" s="96">
        <v>6</v>
      </c>
      <c r="K9" s="38">
        <v>7</v>
      </c>
      <c r="L9" s="101">
        <v>-218.2</v>
      </c>
      <c r="N9" s="115" t="s">
        <v>164</v>
      </c>
      <c r="O9" s="34" t="s">
        <v>121</v>
      </c>
      <c r="P9" s="119" t="s">
        <v>117</v>
      </c>
      <c r="Q9" s="107" t="s">
        <v>158</v>
      </c>
    </row>
    <row r="10" spans="1:17" x14ac:dyDescent="0.4">
      <c r="A10" s="56" t="s">
        <v>19</v>
      </c>
      <c r="B10" s="48">
        <v>1</v>
      </c>
      <c r="C10" s="40">
        <f>IF(B$2=0,0,B10/B$2)</f>
        <v>0.14285714285714285</v>
      </c>
      <c r="E10" s="63" t="s">
        <v>82</v>
      </c>
      <c r="F10" s="60" t="s">
        <v>37</v>
      </c>
      <c r="G10" s="47">
        <v>1</v>
      </c>
      <c r="H10" s="135">
        <f>IF(B$17=0,0,G10/B$17)</f>
        <v>8.3333333333333329E-2</v>
      </c>
      <c r="I10" s="96">
        <v>1</v>
      </c>
      <c r="N10" s="116" t="s">
        <v>165</v>
      </c>
      <c r="O10" s="126">
        <f>IF(P10=0,0,Q10/P10)</f>
        <v>-43.233333333333327</v>
      </c>
      <c r="P10" s="120">
        <v>3</v>
      </c>
      <c r="Q10" s="108">
        <v>-129.69999999999999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84</v>
      </c>
      <c r="F11" s="60" t="s">
        <v>39</v>
      </c>
      <c r="G11" s="47">
        <v>1</v>
      </c>
      <c r="H11" s="135">
        <f>IF(B$17=0,0,G11/B$17)</f>
        <v>8.3333333333333329E-2</v>
      </c>
      <c r="I11" s="96">
        <v>1</v>
      </c>
      <c r="N11" s="117" t="s">
        <v>166</v>
      </c>
      <c r="O11" s="127">
        <f>IF(P11=0,0,Q11/P11)</f>
        <v>-39.033333333333339</v>
      </c>
      <c r="P11" s="121">
        <v>3</v>
      </c>
      <c r="Q11" s="109">
        <v>-117.10000000000001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66</v>
      </c>
      <c r="F12" s="60" t="s">
        <v>22</v>
      </c>
      <c r="G12" s="47">
        <v>0</v>
      </c>
      <c r="H12" s="135">
        <f>IF(B$17=0,0,G12/B$17)</f>
        <v>0</v>
      </c>
      <c r="I12" s="96">
        <v>10</v>
      </c>
      <c r="N12" s="118" t="s">
        <v>167</v>
      </c>
      <c r="O12" s="128">
        <f>IF(P12=0,0,Q12/P12)</f>
        <v>28.6</v>
      </c>
      <c r="P12" s="122">
        <v>1</v>
      </c>
      <c r="Q12" s="110">
        <v>28.6</v>
      </c>
    </row>
    <row r="13" spans="1:17" x14ac:dyDescent="0.4">
      <c r="A13" s="58" t="s">
        <v>122</v>
      </c>
      <c r="B13" s="50">
        <v>7</v>
      </c>
      <c r="C13" s="44">
        <f>IF(B$3=0,0,B13/B$3)</f>
        <v>0.12280701754385964</v>
      </c>
      <c r="E13" s="63" t="s">
        <v>68</v>
      </c>
      <c r="F13" s="60" t="s">
        <v>24</v>
      </c>
      <c r="G13" s="47">
        <v>0</v>
      </c>
      <c r="H13" s="135">
        <f>IF(B$17=0,0,G13/B$17)</f>
        <v>0</v>
      </c>
      <c r="I13" s="96">
        <v>11</v>
      </c>
      <c r="N13" s="33"/>
      <c r="O13" s="112"/>
      <c r="P13" s="114"/>
      <c r="Q13" s="112"/>
    </row>
    <row r="14" spans="1:17" x14ac:dyDescent="0.4">
      <c r="A14" s="55" t="s">
        <v>119</v>
      </c>
      <c r="B14" s="47">
        <v>13</v>
      </c>
      <c r="C14" s="39">
        <f>IF(B$3=0,0,B14/B$3)</f>
        <v>0.22807017543859648</v>
      </c>
      <c r="E14" s="63" t="s">
        <v>72</v>
      </c>
      <c r="F14" s="60" t="s">
        <v>27</v>
      </c>
      <c r="G14" s="47">
        <v>0</v>
      </c>
      <c r="H14" s="135">
        <f>IF(B$17=0,0,G14/B$17)</f>
        <v>0</v>
      </c>
      <c r="I14" s="96">
        <v>10</v>
      </c>
      <c r="N14" s="115" t="s">
        <v>155</v>
      </c>
      <c r="O14" s="34" t="s">
        <v>121</v>
      </c>
      <c r="P14" s="119" t="s">
        <v>117</v>
      </c>
      <c r="Q14" s="107" t="s">
        <v>158</v>
      </c>
    </row>
    <row r="15" spans="1:17" x14ac:dyDescent="0.4">
      <c r="A15" s="54" t="s">
        <v>124</v>
      </c>
      <c r="B15" s="46">
        <v>5</v>
      </c>
      <c r="C15" s="37">
        <f>IF(B$13=0,0,B15/B$13)</f>
        <v>0.7142857142857143</v>
      </c>
      <c r="E15" s="63" t="s">
        <v>74</v>
      </c>
      <c r="F15" s="60" t="s">
        <v>29</v>
      </c>
      <c r="G15" s="47">
        <v>0</v>
      </c>
      <c r="H15" s="135">
        <f>IF(B$17=0,0,G15/B$17)</f>
        <v>0</v>
      </c>
      <c r="I15" s="96">
        <v>4</v>
      </c>
      <c r="N15" s="116" t="s">
        <v>129</v>
      </c>
      <c r="O15" s="126">
        <f>IF(P15=0,0,Q15/P15)</f>
        <v>72.3</v>
      </c>
      <c r="P15" s="120">
        <v>1</v>
      </c>
      <c r="Q15" s="108">
        <v>72.3</v>
      </c>
    </row>
    <row r="16" spans="1:17" x14ac:dyDescent="0.4">
      <c r="A16" s="54" t="s">
        <v>125</v>
      </c>
      <c r="B16" s="46">
        <v>5</v>
      </c>
      <c r="C16" s="37">
        <f>IF(B$14=0,0,B16/B$14)</f>
        <v>0.38461538461538464</v>
      </c>
      <c r="E16" s="63" t="s">
        <v>75</v>
      </c>
      <c r="F16" s="60" t="s">
        <v>30</v>
      </c>
      <c r="G16" s="47">
        <v>0</v>
      </c>
      <c r="H16" s="135">
        <f>IF(B$17=0,0,G16/B$17)</f>
        <v>0</v>
      </c>
      <c r="I16" s="96">
        <v>3</v>
      </c>
      <c r="N16" s="117" t="s">
        <v>172</v>
      </c>
      <c r="O16" s="127">
        <f>IF(P16=0,0,Q16/P16)</f>
        <v>-25.400000000000002</v>
      </c>
      <c r="P16" s="121">
        <v>2</v>
      </c>
      <c r="Q16" s="109">
        <v>-50.800000000000004</v>
      </c>
    </row>
    <row r="17" spans="1:17" x14ac:dyDescent="0.4">
      <c r="A17" s="54" t="s">
        <v>10</v>
      </c>
      <c r="B17" s="46">
        <f>B19+B18</f>
        <v>12</v>
      </c>
      <c r="C17" s="37">
        <f>IF(B$3=0,0,B17/B$3)</f>
        <v>0.21052631578947367</v>
      </c>
      <c r="E17" s="63" t="s">
        <v>76</v>
      </c>
      <c r="F17" s="60" t="s">
        <v>31</v>
      </c>
      <c r="G17" s="47">
        <v>0</v>
      </c>
      <c r="H17" s="135">
        <f>IF(B$17=0,0,G17/B$17)</f>
        <v>0</v>
      </c>
      <c r="I17" s="96">
        <v>6</v>
      </c>
      <c r="N17" s="117" t="s">
        <v>127</v>
      </c>
      <c r="O17" s="127">
        <f>IF(P17=0,0,Q17/P17)</f>
        <v>-56.8</v>
      </c>
      <c r="P17" s="121">
        <v>4</v>
      </c>
      <c r="Q17" s="109">
        <v>-227.2</v>
      </c>
    </row>
    <row r="18" spans="1:17" x14ac:dyDescent="0.4">
      <c r="A18" s="55" t="s">
        <v>12</v>
      </c>
      <c r="B18" s="47">
        <v>6</v>
      </c>
      <c r="C18" s="39">
        <f>IF(B$17=0,0,B18/B$17)</f>
        <v>0.5</v>
      </c>
      <c r="E18" s="63" t="s">
        <v>77</v>
      </c>
      <c r="F18" s="60" t="s">
        <v>32</v>
      </c>
      <c r="G18" s="47">
        <v>0</v>
      </c>
      <c r="H18" s="135">
        <f>IF(B$17=0,0,G18/B$17)</f>
        <v>0</v>
      </c>
      <c r="I18" s="96">
        <v>1</v>
      </c>
      <c r="N18" s="117" t="s">
        <v>178</v>
      </c>
      <c r="O18" s="127">
        <f>IF(P18=0,0,Q18/P18)</f>
        <v>-60.800000000000004</v>
      </c>
      <c r="P18" s="121">
        <v>2</v>
      </c>
      <c r="Q18" s="109">
        <v>-121.60000000000001</v>
      </c>
    </row>
    <row r="19" spans="1:17" x14ac:dyDescent="0.4">
      <c r="A19" s="55" t="s">
        <v>11</v>
      </c>
      <c r="B19" s="47">
        <v>6</v>
      </c>
      <c r="C19" s="39">
        <f>IF(B$17=0,0,B19/B$17)</f>
        <v>0.5</v>
      </c>
      <c r="E19" s="63" t="s">
        <v>78</v>
      </c>
      <c r="F19" s="60" t="s">
        <v>33</v>
      </c>
      <c r="G19" s="47">
        <v>0</v>
      </c>
      <c r="H19" s="135">
        <f>IF(B$17=0,0,G19/B$17)</f>
        <v>0</v>
      </c>
      <c r="I19" s="96">
        <v>4</v>
      </c>
      <c r="N19" s="117" t="s">
        <v>128</v>
      </c>
      <c r="O19" s="127">
        <f>IF(P19=0,0,Q19/P19)</f>
        <v>-64.424999999999997</v>
      </c>
      <c r="P19" s="121">
        <v>4</v>
      </c>
      <c r="Q19" s="109">
        <v>-257.7</v>
      </c>
    </row>
    <row r="20" spans="1:17" x14ac:dyDescent="0.4">
      <c r="A20" s="55" t="s">
        <v>13</v>
      </c>
      <c r="B20" s="47">
        <v>16</v>
      </c>
      <c r="C20" s="39">
        <f>IF(B$3=0,0,B20/B$3)</f>
        <v>0.2807017543859649</v>
      </c>
      <c r="E20" s="63" t="s">
        <v>79</v>
      </c>
      <c r="F20" s="60" t="s">
        <v>34</v>
      </c>
      <c r="G20" s="47">
        <v>0</v>
      </c>
      <c r="H20" s="135">
        <f>IF(B$17=0,0,G20/B$17)</f>
        <v>0</v>
      </c>
      <c r="I20" s="96">
        <v>7</v>
      </c>
      <c r="N20" s="117" t="s">
        <v>186</v>
      </c>
      <c r="O20" s="127">
        <f>IF(P20=0,0,Q20/P20)</f>
        <v>-69.599999999999994</v>
      </c>
      <c r="P20" s="121">
        <v>1</v>
      </c>
      <c r="Q20" s="109">
        <v>-69.599999999999994</v>
      </c>
    </row>
    <row r="21" spans="1:17" x14ac:dyDescent="0.4">
      <c r="A21" s="55" t="s">
        <v>194</v>
      </c>
      <c r="B21" s="47">
        <v>2</v>
      </c>
      <c r="C21" s="137">
        <v>0</v>
      </c>
      <c r="E21" s="63" t="s">
        <v>80</v>
      </c>
      <c r="F21" s="60" t="s">
        <v>35</v>
      </c>
      <c r="G21" s="47">
        <v>0</v>
      </c>
      <c r="H21" s="135">
        <f>IF(B$17=0,0,G21/B$17)</f>
        <v>0</v>
      </c>
      <c r="I21" s="96">
        <v>6</v>
      </c>
    </row>
    <row r="22" spans="1:17" x14ac:dyDescent="0.4">
      <c r="A22" s="55" t="s">
        <v>195</v>
      </c>
      <c r="B22" s="47">
        <v>10</v>
      </c>
      <c r="C22" s="137">
        <v>4</v>
      </c>
      <c r="E22" s="63" t="s">
        <v>81</v>
      </c>
      <c r="F22" s="60" t="s">
        <v>36</v>
      </c>
      <c r="G22" s="47">
        <v>0</v>
      </c>
      <c r="H22" s="135">
        <f>IF(B$17=0,0,G22/B$17)</f>
        <v>0</v>
      </c>
      <c r="I22" s="96">
        <v>1</v>
      </c>
    </row>
    <row r="23" spans="1:17" x14ac:dyDescent="0.4">
      <c r="A23" s="55" t="s">
        <v>5</v>
      </c>
      <c r="B23" s="51">
        <f>IF(B$17=0,0,C23/B$17)</f>
        <v>6500</v>
      </c>
      <c r="C23" s="41">
        <v>78000</v>
      </c>
      <c r="E23" s="63" t="s">
        <v>83</v>
      </c>
      <c r="F23" s="60" t="s">
        <v>38</v>
      </c>
      <c r="G23" s="47">
        <v>0</v>
      </c>
      <c r="H23" s="135">
        <f>IF(B$17=0,0,G23/B$17)</f>
        <v>0</v>
      </c>
      <c r="I23" s="96">
        <v>1</v>
      </c>
    </row>
    <row r="24" spans="1:17" x14ac:dyDescent="0.4">
      <c r="A24" s="57" t="s">
        <v>14</v>
      </c>
      <c r="B24" s="52">
        <f>IF(B$20=0,0,C24/B$20)</f>
        <v>-8762.5</v>
      </c>
      <c r="C24" s="45">
        <v>-140200</v>
      </c>
      <c r="E24" s="63" t="s">
        <v>85</v>
      </c>
      <c r="F24" s="60" t="s">
        <v>40</v>
      </c>
      <c r="G24" s="47">
        <v>0</v>
      </c>
      <c r="H24" s="135">
        <f>IF(B$17=0,0,G24/B$17)</f>
        <v>0</v>
      </c>
      <c r="I24" s="96">
        <v>3</v>
      </c>
    </row>
    <row r="25" spans="1:17" x14ac:dyDescent="0.4">
      <c r="A25" s="92" t="s">
        <v>142</v>
      </c>
      <c r="B25" s="142">
        <v>5</v>
      </c>
      <c r="C25" s="143"/>
      <c r="E25" s="63" t="s">
        <v>86</v>
      </c>
      <c r="F25" s="60" t="s">
        <v>41</v>
      </c>
      <c r="G25" s="47">
        <v>0</v>
      </c>
      <c r="H25" s="135">
        <f>IF(B$17=0,0,G25/B$17)</f>
        <v>0</v>
      </c>
      <c r="I25" s="96">
        <v>3</v>
      </c>
    </row>
    <row r="26" spans="1:17" x14ac:dyDescent="0.4">
      <c r="A26" s="58" t="s">
        <v>152</v>
      </c>
      <c r="B26" s="140">
        <v>43600</v>
      </c>
      <c r="C26" s="141"/>
      <c r="E26" s="63" t="s">
        <v>87</v>
      </c>
      <c r="F26" s="60" t="s">
        <v>42</v>
      </c>
      <c r="G26" s="47">
        <v>0</v>
      </c>
      <c r="H26" s="135">
        <f>IF(B$17=0,0,G26/B$17)</f>
        <v>0</v>
      </c>
      <c r="I26" s="96">
        <v>9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88</v>
      </c>
      <c r="F27" s="60" t="s">
        <v>43</v>
      </c>
      <c r="G27" s="47">
        <v>0</v>
      </c>
      <c r="H27" s="135">
        <f>IF(B$17=0,0,G27/B$17)</f>
        <v>0</v>
      </c>
      <c r="I27" s="96">
        <v>3</v>
      </c>
    </row>
    <row r="28" spans="1:17" x14ac:dyDescent="0.4">
      <c r="E28" s="63" t="s">
        <v>89</v>
      </c>
      <c r="F28" s="60" t="s">
        <v>44</v>
      </c>
      <c r="G28" s="47">
        <v>0</v>
      </c>
      <c r="H28" s="135">
        <f>IF(B$17=0,0,G28/B$17)</f>
        <v>0</v>
      </c>
      <c r="I28" s="96">
        <v>3</v>
      </c>
    </row>
    <row r="29" spans="1:17" x14ac:dyDescent="0.4">
      <c r="E29" s="63" t="s">
        <v>91</v>
      </c>
      <c r="F29" s="60" t="s">
        <v>46</v>
      </c>
      <c r="G29" s="47">
        <v>0</v>
      </c>
      <c r="H29" s="135">
        <f>IF(B$17=0,0,G29/B$17)</f>
        <v>0</v>
      </c>
      <c r="I29" s="96">
        <v>3</v>
      </c>
    </row>
    <row r="30" spans="1:17" x14ac:dyDescent="0.4">
      <c r="E30" s="63" t="s">
        <v>92</v>
      </c>
      <c r="F30" s="60" t="s">
        <v>47</v>
      </c>
      <c r="G30" s="47">
        <v>0</v>
      </c>
      <c r="H30" s="135">
        <f>IF(B$17=0,0,G30/B$17)</f>
        <v>0</v>
      </c>
      <c r="I30" s="96">
        <v>6</v>
      </c>
    </row>
    <row r="31" spans="1:17" x14ac:dyDescent="0.4">
      <c r="E31" s="63" t="s">
        <v>93</v>
      </c>
      <c r="F31" s="60" t="s">
        <v>48</v>
      </c>
      <c r="G31" s="47">
        <v>0</v>
      </c>
      <c r="H31" s="135">
        <f>IF(B$17=0,0,G31/B$17)</f>
        <v>0</v>
      </c>
      <c r="I31" s="96">
        <v>4</v>
      </c>
    </row>
    <row r="32" spans="1:17" x14ac:dyDescent="0.4">
      <c r="E32" s="63" t="s">
        <v>94</v>
      </c>
      <c r="F32" s="60" t="s">
        <v>49</v>
      </c>
      <c r="G32" s="47">
        <v>0</v>
      </c>
      <c r="H32" s="135">
        <f>IF(B$17=0,0,G32/B$17)</f>
        <v>0</v>
      </c>
      <c r="I32" s="96">
        <v>1</v>
      </c>
    </row>
    <row r="33" spans="5:9" x14ac:dyDescent="0.4">
      <c r="E33" s="63" t="s">
        <v>95</v>
      </c>
      <c r="F33" s="60" t="s">
        <v>50</v>
      </c>
      <c r="G33" s="47">
        <v>0</v>
      </c>
      <c r="H33" s="135">
        <f>IF(B$17=0,0,G33/B$17)</f>
        <v>0</v>
      </c>
      <c r="I33" s="96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5">
        <f>IF(B$17=0,0,G34/B$17)</f>
        <v>0</v>
      </c>
      <c r="I34" s="96">
        <v>3</v>
      </c>
    </row>
    <row r="35" spans="5:9" x14ac:dyDescent="0.4">
      <c r="E35" s="63" t="s">
        <v>97</v>
      </c>
      <c r="F35" s="60" t="s">
        <v>52</v>
      </c>
      <c r="G35" s="47">
        <v>0</v>
      </c>
      <c r="H35" s="135">
        <f>IF(B$17=0,0,G35/B$17)</f>
        <v>0</v>
      </c>
      <c r="I35" s="96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5">
        <f>IF(B$17=0,0,G36/B$17)</f>
        <v>0</v>
      </c>
      <c r="I36" s="96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5">
        <f>IF(B$17=0,0,G37/B$17)</f>
        <v>0</v>
      </c>
      <c r="I37" s="96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5">
        <f>IF(B$17=0,0,G38/B$17)</f>
        <v>0</v>
      </c>
      <c r="I38" s="96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5">
        <f>IF(B$17=0,0,G39/B$17)</f>
        <v>0</v>
      </c>
      <c r="I39" s="96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5">
        <f>IF(B$17=0,0,G40/B$17)</f>
        <v>0</v>
      </c>
      <c r="I40" s="96">
        <v>1</v>
      </c>
    </row>
    <row r="41" spans="5:9" x14ac:dyDescent="0.4">
      <c r="E41" s="63" t="s">
        <v>103</v>
      </c>
      <c r="F41" s="60" t="s">
        <v>58</v>
      </c>
      <c r="G41" s="47">
        <v>0</v>
      </c>
      <c r="H41" s="135">
        <f>IF(B$17=0,0,G41/B$17)</f>
        <v>0</v>
      </c>
      <c r="I41" s="96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5">
        <f>IF(B$17=0,0,G42/B$17)</f>
        <v>0</v>
      </c>
      <c r="I42" s="96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5">
        <f>IF(B$17=0,0,G43/B$17)</f>
        <v>0</v>
      </c>
      <c r="I43" s="96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5">
        <f>IF(B$17=0,0,G44/B$17)</f>
        <v>0</v>
      </c>
      <c r="I44" s="96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5">
        <f>IF(B$17=0,0,G45/B$17)</f>
        <v>0</v>
      </c>
      <c r="I45" s="96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5">
        <f>IF(B$17=0,0,G46/B$17)</f>
        <v>0</v>
      </c>
      <c r="I46" s="96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5">
        <f>IF(B$17=0,0,G47/B$17)</f>
        <v>0</v>
      </c>
      <c r="I47" s="96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5">
        <f>IF(B$17=0,0,G48/B$17)</f>
        <v>0</v>
      </c>
      <c r="I48" s="96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5">
        <f>IF(B$17=0,0,G49/B$17)</f>
        <v>0</v>
      </c>
      <c r="I49" s="96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5">
        <f>IF(B$17=0,0,G50/B$17)</f>
        <v>0</v>
      </c>
      <c r="I50" s="96">
        <v>1</v>
      </c>
    </row>
    <row r="51" spans="5:9" x14ac:dyDescent="0.4">
      <c r="E51" s="64" t="s">
        <v>181</v>
      </c>
      <c r="F51" s="61" t="s">
        <v>184</v>
      </c>
      <c r="G51" s="49">
        <v>0</v>
      </c>
      <c r="H51" s="136">
        <f>IF(B$17=0,0,G51/B$17)</f>
        <v>0</v>
      </c>
      <c r="I51" s="97">
        <v>4</v>
      </c>
    </row>
  </sheetData>
  <sortState ref="N15:Q20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238280-BD68-457F-BE25-C621BC8D72F5}">
  <sheetPr codeName="Sheet25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0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1" customWidth="1"/>
    <col min="13" max="13" width="3.625" style="33" customWidth="1"/>
    <col min="14" max="14" width="9" style="117" customWidth="1"/>
    <col min="15" max="15" width="9" style="127" customWidth="1"/>
    <col min="16" max="16" width="9" style="121" customWidth="1"/>
    <col min="17" max="17" width="3.625" style="109" customWidth="1"/>
    <col min="18" max="16384" width="9" style="33"/>
  </cols>
  <sheetData>
    <row r="1" spans="1:17" x14ac:dyDescent="0.4">
      <c r="A1" s="53" t="s">
        <v>0</v>
      </c>
      <c r="B1" s="146" t="s">
        <v>203</v>
      </c>
      <c r="C1" s="147"/>
      <c r="E1" s="131" t="s">
        <v>168</v>
      </c>
      <c r="F1" s="139" t="s">
        <v>116</v>
      </c>
      <c r="G1" s="138" t="s">
        <v>117</v>
      </c>
      <c r="H1" s="132" t="s">
        <v>118</v>
      </c>
      <c r="I1" s="139" t="s">
        <v>154</v>
      </c>
      <c r="K1" s="34" t="s">
        <v>20</v>
      </c>
      <c r="L1" s="35" t="s">
        <v>121</v>
      </c>
      <c r="M1" s="133"/>
      <c r="N1" s="115" t="s">
        <v>138</v>
      </c>
      <c r="O1" s="34" t="s">
        <v>139</v>
      </c>
      <c r="P1" s="119" t="s">
        <v>117</v>
      </c>
      <c r="Q1" s="103" t="s">
        <v>158</v>
      </c>
    </row>
    <row r="2" spans="1:17" x14ac:dyDescent="0.4">
      <c r="A2" s="54" t="s">
        <v>9</v>
      </c>
      <c r="B2" s="148">
        <v>1</v>
      </c>
      <c r="C2" s="149"/>
      <c r="E2" s="62" t="s">
        <v>67</v>
      </c>
      <c r="F2" s="59" t="s">
        <v>23</v>
      </c>
      <c r="G2" s="46">
        <v>3</v>
      </c>
      <c r="H2" s="134">
        <f>IF(B$17=0,0,G2/B$17)</f>
        <v>1.5</v>
      </c>
      <c r="I2" s="95">
        <v>1</v>
      </c>
      <c r="K2" s="36">
        <v>0</v>
      </c>
      <c r="L2" s="100">
        <v>0</v>
      </c>
      <c r="N2" s="116" t="s">
        <v>132</v>
      </c>
      <c r="O2" s="123">
        <f t="shared" ref="O2:O7" si="0">IF(P2=0,0,Q2/P2)</f>
        <v>-18000</v>
      </c>
      <c r="P2" s="120">
        <v>1</v>
      </c>
      <c r="Q2" s="104">
        <v>-18000</v>
      </c>
    </row>
    <row r="3" spans="1:17" x14ac:dyDescent="0.4">
      <c r="A3" s="55" t="s">
        <v>8</v>
      </c>
      <c r="B3" s="150">
        <v>11</v>
      </c>
      <c r="C3" s="151"/>
      <c r="E3" s="63" t="s">
        <v>68</v>
      </c>
      <c r="F3" s="60" t="s">
        <v>24</v>
      </c>
      <c r="G3" s="47">
        <v>2</v>
      </c>
      <c r="H3" s="135">
        <f>IF(B$17=0,0,G3/B$17)</f>
        <v>1</v>
      </c>
      <c r="I3" s="96">
        <v>1</v>
      </c>
      <c r="K3" s="38">
        <v>1</v>
      </c>
      <c r="L3" s="101">
        <v>-12.5</v>
      </c>
      <c r="N3" s="117" t="s">
        <v>133</v>
      </c>
      <c r="O3" s="124">
        <f t="shared" si="0"/>
        <v>12000</v>
      </c>
      <c r="P3" s="121">
        <v>1</v>
      </c>
      <c r="Q3" s="105">
        <v>12000</v>
      </c>
    </row>
    <row r="4" spans="1:17" x14ac:dyDescent="0.4">
      <c r="A4" s="55" t="s">
        <v>6</v>
      </c>
      <c r="B4" s="152">
        <v>-12.5</v>
      </c>
      <c r="C4" s="153"/>
      <c r="E4" s="63" t="s">
        <v>65</v>
      </c>
      <c r="F4" s="60" t="s">
        <v>21</v>
      </c>
      <c r="G4" s="47">
        <v>1</v>
      </c>
      <c r="H4" s="135">
        <f>IF(B$17=0,0,G4/B$17)</f>
        <v>0.5</v>
      </c>
      <c r="I4" s="96">
        <v>6</v>
      </c>
      <c r="N4" s="117" t="s">
        <v>134</v>
      </c>
      <c r="O4" s="124">
        <f t="shared" si="0"/>
        <v>-10000</v>
      </c>
      <c r="P4" s="121">
        <v>1</v>
      </c>
      <c r="Q4" s="105">
        <v>-10000</v>
      </c>
    </row>
    <row r="5" spans="1:17" x14ac:dyDescent="0.4">
      <c r="A5" s="55" t="s">
        <v>7</v>
      </c>
      <c r="B5" s="154">
        <f>IF(B$2=0,0,B$4/B$2)</f>
        <v>-12.5</v>
      </c>
      <c r="C5" s="155"/>
      <c r="E5" s="63" t="s">
        <v>66</v>
      </c>
      <c r="F5" s="60" t="s">
        <v>22</v>
      </c>
      <c r="G5" s="47">
        <v>1</v>
      </c>
      <c r="H5" s="135">
        <f>IF(B$17=0,0,G5/B$17)</f>
        <v>0.5</v>
      </c>
      <c r="I5" s="96">
        <v>1</v>
      </c>
      <c r="N5" s="117" t="s">
        <v>135</v>
      </c>
      <c r="O5" s="124">
        <f t="shared" si="0"/>
        <v>-1000</v>
      </c>
      <c r="P5" s="121">
        <v>1</v>
      </c>
      <c r="Q5" s="105">
        <v>-1000</v>
      </c>
    </row>
    <row r="6" spans="1:17" x14ac:dyDescent="0.4">
      <c r="A6" s="55" t="s">
        <v>1</v>
      </c>
      <c r="B6" s="144">
        <f>IF(B$2=0,0,(B$7*1+B$8*2+B$9*3)/B$2)</f>
        <v>2</v>
      </c>
      <c r="C6" s="145"/>
      <c r="E6" s="63" t="s">
        <v>69</v>
      </c>
      <c r="F6" s="60" t="s">
        <v>12</v>
      </c>
      <c r="G6" s="47">
        <v>1</v>
      </c>
      <c r="H6" s="135">
        <f>IF(B$17=0,0,G6/B$17)</f>
        <v>0.5</v>
      </c>
      <c r="I6" s="96">
        <v>1</v>
      </c>
      <c r="N6" s="117" t="s">
        <v>136</v>
      </c>
      <c r="O6" s="124">
        <f t="shared" si="0"/>
        <v>12000</v>
      </c>
      <c r="P6" s="121">
        <v>1</v>
      </c>
      <c r="Q6" s="105">
        <v>12000</v>
      </c>
    </row>
    <row r="7" spans="1:17" x14ac:dyDescent="0.4">
      <c r="A7" s="55" t="s">
        <v>2</v>
      </c>
      <c r="B7" s="47">
        <v>0</v>
      </c>
      <c r="C7" s="39">
        <f>IF(B$2=0,0,B7/B$2)</f>
        <v>0</v>
      </c>
      <c r="E7" s="63" t="s">
        <v>70</v>
      </c>
      <c r="F7" s="60" t="s">
        <v>25</v>
      </c>
      <c r="G7" s="47">
        <v>1</v>
      </c>
      <c r="H7" s="135">
        <f>IF(B$17=0,0,G7/B$17)</f>
        <v>0.5</v>
      </c>
      <c r="I7" s="96">
        <v>1</v>
      </c>
      <c r="N7" s="118" t="s">
        <v>137</v>
      </c>
      <c r="O7" s="125">
        <f t="shared" si="0"/>
        <v>-7500</v>
      </c>
      <c r="P7" s="122">
        <v>1</v>
      </c>
      <c r="Q7" s="106">
        <v>-7500</v>
      </c>
    </row>
    <row r="8" spans="1:17" x14ac:dyDescent="0.4">
      <c r="A8" s="55" t="s">
        <v>3</v>
      </c>
      <c r="B8" s="47">
        <v>1</v>
      </c>
      <c r="C8" s="39">
        <f>IF(B$2=0,0,B8/B$2)</f>
        <v>1</v>
      </c>
      <c r="E8" s="63" t="s">
        <v>73</v>
      </c>
      <c r="F8" s="60" t="s">
        <v>28</v>
      </c>
      <c r="G8" s="47">
        <v>1</v>
      </c>
      <c r="H8" s="135">
        <f>IF(B$17=0,0,G8/B$17)</f>
        <v>0.5</v>
      </c>
      <c r="I8" s="96">
        <v>8</v>
      </c>
      <c r="N8" s="43"/>
      <c r="O8" s="129"/>
      <c r="P8" s="113"/>
      <c r="Q8" s="111"/>
    </row>
    <row r="9" spans="1:17" x14ac:dyDescent="0.4">
      <c r="A9" s="56" t="s">
        <v>4</v>
      </c>
      <c r="B9" s="48">
        <v>0</v>
      </c>
      <c r="C9" s="40">
        <f t="shared" ref="C9" si="1">IF(B$2=0,0,B9/B$2)</f>
        <v>0</v>
      </c>
      <c r="E9" s="63" t="s">
        <v>90</v>
      </c>
      <c r="F9" s="60" t="s">
        <v>45</v>
      </c>
      <c r="G9" s="47">
        <v>1</v>
      </c>
      <c r="H9" s="135">
        <f>IF(B$17=0,0,G9/B$17)</f>
        <v>0.5</v>
      </c>
      <c r="I9" s="96">
        <v>1</v>
      </c>
      <c r="N9" s="115" t="s">
        <v>164</v>
      </c>
      <c r="O9" s="34" t="s">
        <v>121</v>
      </c>
      <c r="P9" s="119" t="s">
        <v>117</v>
      </c>
      <c r="Q9" s="107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182</v>
      </c>
      <c r="F10" s="60" t="s">
        <v>183</v>
      </c>
      <c r="G10" s="47">
        <v>1</v>
      </c>
      <c r="H10" s="135">
        <f>IF(B$17=0,0,G10/B$17)</f>
        <v>0.5</v>
      </c>
      <c r="I10" s="96">
        <v>1</v>
      </c>
      <c r="N10" s="116" t="s">
        <v>165</v>
      </c>
      <c r="O10" s="126">
        <f>IF(P10=0,0,Q10/P10)</f>
        <v>0</v>
      </c>
      <c r="P10" s="120">
        <v>0</v>
      </c>
      <c r="Q10" s="108">
        <v>0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71</v>
      </c>
      <c r="F11" s="60" t="s">
        <v>26</v>
      </c>
      <c r="G11" s="47">
        <v>0</v>
      </c>
      <c r="H11" s="135">
        <f>IF(B$17=0,0,G11/B$17)</f>
        <v>0</v>
      </c>
      <c r="I11" s="96">
        <v>9</v>
      </c>
      <c r="N11" s="117" t="s">
        <v>166</v>
      </c>
      <c r="O11" s="127">
        <f>IF(P11=0,0,Q11/P11)</f>
        <v>0</v>
      </c>
      <c r="P11" s="121">
        <v>0</v>
      </c>
      <c r="Q11" s="109">
        <v>0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72</v>
      </c>
      <c r="F12" s="60" t="s">
        <v>27</v>
      </c>
      <c r="G12" s="47">
        <v>0</v>
      </c>
      <c r="H12" s="135">
        <f>IF(B$17=0,0,G12/B$17)</f>
        <v>0</v>
      </c>
      <c r="I12" s="96">
        <v>10</v>
      </c>
      <c r="N12" s="118" t="s">
        <v>167</v>
      </c>
      <c r="O12" s="128">
        <f>IF(P12=0,0,Q12/P12)</f>
        <v>-12.5</v>
      </c>
      <c r="P12" s="122">
        <v>1</v>
      </c>
      <c r="Q12" s="110">
        <v>-12.5</v>
      </c>
    </row>
    <row r="13" spans="1:17" x14ac:dyDescent="0.4">
      <c r="A13" s="58" t="s">
        <v>122</v>
      </c>
      <c r="B13" s="50">
        <v>2</v>
      </c>
      <c r="C13" s="44">
        <f>IF(B$3=0,0,B13/B$3)</f>
        <v>0.18181818181818182</v>
      </c>
      <c r="E13" s="63" t="s">
        <v>74</v>
      </c>
      <c r="F13" s="60" t="s">
        <v>29</v>
      </c>
      <c r="G13" s="47">
        <v>0</v>
      </c>
      <c r="H13" s="135">
        <f>IF(B$17=0,0,G13/B$17)</f>
        <v>0</v>
      </c>
      <c r="I13" s="96">
        <v>4</v>
      </c>
      <c r="N13" s="33"/>
      <c r="O13" s="112"/>
      <c r="P13" s="114"/>
      <c r="Q13" s="112"/>
    </row>
    <row r="14" spans="1:17" x14ac:dyDescent="0.4">
      <c r="A14" s="55" t="s">
        <v>119</v>
      </c>
      <c r="B14" s="47">
        <v>2</v>
      </c>
      <c r="C14" s="39">
        <f>IF(B$3=0,0,B14/B$3)</f>
        <v>0.18181818181818182</v>
      </c>
      <c r="E14" s="63" t="s">
        <v>75</v>
      </c>
      <c r="F14" s="60" t="s">
        <v>30</v>
      </c>
      <c r="G14" s="47">
        <v>0</v>
      </c>
      <c r="H14" s="135">
        <f>IF(B$17=0,0,G14/B$17)</f>
        <v>0</v>
      </c>
      <c r="I14" s="96">
        <v>3</v>
      </c>
      <c r="N14" s="115" t="s">
        <v>155</v>
      </c>
      <c r="O14" s="34" t="s">
        <v>121</v>
      </c>
      <c r="P14" s="119" t="s">
        <v>117</v>
      </c>
      <c r="Q14" s="107" t="s">
        <v>158</v>
      </c>
    </row>
    <row r="15" spans="1:17" x14ac:dyDescent="0.4">
      <c r="A15" s="54" t="s">
        <v>124</v>
      </c>
      <c r="B15" s="46">
        <v>1</v>
      </c>
      <c r="C15" s="37">
        <f>IF(B$13=0,0,B15/B$13)</f>
        <v>0.5</v>
      </c>
      <c r="E15" s="63" t="s">
        <v>76</v>
      </c>
      <c r="F15" s="60" t="s">
        <v>31</v>
      </c>
      <c r="G15" s="47">
        <v>0</v>
      </c>
      <c r="H15" s="135">
        <f>IF(B$17=0,0,G15/B$17)</f>
        <v>0</v>
      </c>
      <c r="I15" s="96">
        <v>6</v>
      </c>
      <c r="N15" s="116" t="s">
        <v>172</v>
      </c>
      <c r="O15" s="126">
        <f>IF(P15=0,0,Q15/P15)</f>
        <v>21.9</v>
      </c>
      <c r="P15" s="120">
        <v>1</v>
      </c>
      <c r="Q15" s="108">
        <v>21.9</v>
      </c>
    </row>
    <row r="16" spans="1:17" x14ac:dyDescent="0.4">
      <c r="A16" s="54" t="s">
        <v>125</v>
      </c>
      <c r="B16" s="46">
        <v>1</v>
      </c>
      <c r="C16" s="37">
        <f>IF(B$14=0,0,B16/B$14)</f>
        <v>0.5</v>
      </c>
      <c r="E16" s="63" t="s">
        <v>77</v>
      </c>
      <c r="F16" s="60" t="s">
        <v>32</v>
      </c>
      <c r="G16" s="47">
        <v>0</v>
      </c>
      <c r="H16" s="135">
        <f>IF(B$17=0,0,G16/B$17)</f>
        <v>0</v>
      </c>
      <c r="I16" s="96">
        <v>1</v>
      </c>
      <c r="N16" s="117" t="s">
        <v>173</v>
      </c>
      <c r="O16" s="127">
        <f>IF(P16=0,0,Q16/P16)</f>
        <v>-59.4</v>
      </c>
      <c r="P16" s="121">
        <v>1</v>
      </c>
      <c r="Q16" s="109">
        <v>-59.4</v>
      </c>
    </row>
    <row r="17" spans="1:9" x14ac:dyDescent="0.4">
      <c r="A17" s="54" t="s">
        <v>10</v>
      </c>
      <c r="B17" s="46">
        <f>B19+B18</f>
        <v>2</v>
      </c>
      <c r="C17" s="37">
        <f>IF(B$3=0,0,B17/B$3)</f>
        <v>0.18181818181818182</v>
      </c>
      <c r="E17" s="63" t="s">
        <v>78</v>
      </c>
      <c r="F17" s="60" t="s">
        <v>33</v>
      </c>
      <c r="G17" s="47">
        <v>0</v>
      </c>
      <c r="H17" s="135">
        <f>IF(B$17=0,0,G17/B$17)</f>
        <v>0</v>
      </c>
      <c r="I17" s="96">
        <v>4</v>
      </c>
    </row>
    <row r="18" spans="1:9" x14ac:dyDescent="0.4">
      <c r="A18" s="55" t="s">
        <v>12</v>
      </c>
      <c r="B18" s="47">
        <v>1</v>
      </c>
      <c r="C18" s="39">
        <f>IF(B$17=0,0,B18/B$17)</f>
        <v>0.5</v>
      </c>
      <c r="E18" s="63" t="s">
        <v>79</v>
      </c>
      <c r="F18" s="60" t="s">
        <v>34</v>
      </c>
      <c r="G18" s="47">
        <v>0</v>
      </c>
      <c r="H18" s="135">
        <f>IF(B$17=0,0,G18/B$17)</f>
        <v>0</v>
      </c>
      <c r="I18" s="96">
        <v>7</v>
      </c>
    </row>
    <row r="19" spans="1:9" x14ac:dyDescent="0.4">
      <c r="A19" s="55" t="s">
        <v>11</v>
      </c>
      <c r="B19" s="47">
        <v>1</v>
      </c>
      <c r="C19" s="39">
        <f>IF(B$17=0,0,B19/B$17)</f>
        <v>0.5</v>
      </c>
      <c r="E19" s="63" t="s">
        <v>80</v>
      </c>
      <c r="F19" s="60" t="s">
        <v>35</v>
      </c>
      <c r="G19" s="47">
        <v>0</v>
      </c>
      <c r="H19" s="135">
        <f>IF(B$17=0,0,G19/B$17)</f>
        <v>0</v>
      </c>
      <c r="I19" s="96">
        <v>6</v>
      </c>
    </row>
    <row r="20" spans="1:9" x14ac:dyDescent="0.4">
      <c r="A20" s="55" t="s">
        <v>13</v>
      </c>
      <c r="B20" s="47">
        <v>2</v>
      </c>
      <c r="C20" s="39">
        <f>IF(B$3=0,0,B20/B$3)</f>
        <v>0.18181818181818182</v>
      </c>
      <c r="E20" s="63" t="s">
        <v>81</v>
      </c>
      <c r="F20" s="60" t="s">
        <v>36</v>
      </c>
      <c r="G20" s="47">
        <v>0</v>
      </c>
      <c r="H20" s="135">
        <f>IF(B$17=0,0,G20/B$17)</f>
        <v>0</v>
      </c>
      <c r="I20" s="96">
        <v>1</v>
      </c>
    </row>
    <row r="21" spans="1:9" x14ac:dyDescent="0.4">
      <c r="A21" s="55" t="s">
        <v>194</v>
      </c>
      <c r="B21" s="47">
        <v>1</v>
      </c>
      <c r="C21" s="137">
        <v>0</v>
      </c>
      <c r="E21" s="63" t="s">
        <v>82</v>
      </c>
      <c r="F21" s="60" t="s">
        <v>37</v>
      </c>
      <c r="G21" s="47">
        <v>0</v>
      </c>
      <c r="H21" s="135">
        <f>IF(B$17=0,0,G21/B$17)</f>
        <v>0</v>
      </c>
      <c r="I21" s="96">
        <v>7</v>
      </c>
    </row>
    <row r="22" spans="1:9" x14ac:dyDescent="0.4">
      <c r="A22" s="55" t="s">
        <v>195</v>
      </c>
      <c r="B22" s="47">
        <v>5</v>
      </c>
      <c r="C22" s="137">
        <v>5</v>
      </c>
      <c r="E22" s="63" t="s">
        <v>83</v>
      </c>
      <c r="F22" s="60" t="s">
        <v>38</v>
      </c>
      <c r="G22" s="47">
        <v>0</v>
      </c>
      <c r="H22" s="135">
        <f>IF(B$17=0,0,G22/B$17)</f>
        <v>0</v>
      </c>
      <c r="I22" s="96">
        <v>1</v>
      </c>
    </row>
    <row r="23" spans="1:9" x14ac:dyDescent="0.4">
      <c r="A23" s="55" t="s">
        <v>5</v>
      </c>
      <c r="B23" s="51">
        <f>IF(B$17=0,0,C23/B$17)</f>
        <v>12000</v>
      </c>
      <c r="C23" s="41">
        <v>24000</v>
      </c>
      <c r="E23" s="63" t="s">
        <v>84</v>
      </c>
      <c r="F23" s="60" t="s">
        <v>39</v>
      </c>
      <c r="G23" s="47">
        <v>0</v>
      </c>
      <c r="H23" s="135">
        <f>IF(B$17=0,0,G23/B$17)</f>
        <v>0</v>
      </c>
      <c r="I23" s="96">
        <v>10</v>
      </c>
    </row>
    <row r="24" spans="1:9" x14ac:dyDescent="0.4">
      <c r="A24" s="57" t="s">
        <v>14</v>
      </c>
      <c r="B24" s="52">
        <f>IF(B$20=0,0,C24/B$20)</f>
        <v>-3250</v>
      </c>
      <c r="C24" s="45">
        <v>-6500</v>
      </c>
      <c r="E24" s="63" t="s">
        <v>85</v>
      </c>
      <c r="F24" s="60" t="s">
        <v>40</v>
      </c>
      <c r="G24" s="47">
        <v>0</v>
      </c>
      <c r="H24" s="135">
        <f>IF(B$17=0,0,G24/B$17)</f>
        <v>0</v>
      </c>
      <c r="I24" s="96">
        <v>3</v>
      </c>
    </row>
    <row r="25" spans="1:9" x14ac:dyDescent="0.4">
      <c r="A25" s="92" t="s">
        <v>142</v>
      </c>
      <c r="B25" s="142">
        <v>3</v>
      </c>
      <c r="C25" s="143"/>
      <c r="E25" s="63" t="s">
        <v>86</v>
      </c>
      <c r="F25" s="60" t="s">
        <v>41</v>
      </c>
      <c r="G25" s="47">
        <v>0</v>
      </c>
      <c r="H25" s="135">
        <f>IF(B$17=0,0,G25/B$17)</f>
        <v>0</v>
      </c>
      <c r="I25" s="96">
        <v>3</v>
      </c>
    </row>
    <row r="26" spans="1:9" x14ac:dyDescent="0.4">
      <c r="A26" s="58" t="s">
        <v>152</v>
      </c>
      <c r="B26" s="140">
        <v>22500</v>
      </c>
      <c r="C26" s="141"/>
      <c r="E26" s="63" t="s">
        <v>87</v>
      </c>
      <c r="F26" s="60" t="s">
        <v>42</v>
      </c>
      <c r="G26" s="47">
        <v>0</v>
      </c>
      <c r="H26" s="135">
        <f>IF(B$17=0,0,G26/B$17)</f>
        <v>0</v>
      </c>
      <c r="I26" s="96">
        <v>9</v>
      </c>
    </row>
    <row r="27" spans="1:9" x14ac:dyDescent="0.4">
      <c r="A27" s="57" t="s">
        <v>143</v>
      </c>
      <c r="B27" s="65">
        <v>0</v>
      </c>
      <c r="C27" s="42">
        <f>IF(B$3=0,0,B27/B$3)</f>
        <v>0</v>
      </c>
      <c r="E27" s="63" t="s">
        <v>88</v>
      </c>
      <c r="F27" s="60" t="s">
        <v>43</v>
      </c>
      <c r="G27" s="47">
        <v>0</v>
      </c>
      <c r="H27" s="135">
        <f>IF(B$17=0,0,G27/B$17)</f>
        <v>0</v>
      </c>
      <c r="I27" s="96">
        <v>3</v>
      </c>
    </row>
    <row r="28" spans="1:9" x14ac:dyDescent="0.4">
      <c r="E28" s="63" t="s">
        <v>89</v>
      </c>
      <c r="F28" s="60" t="s">
        <v>44</v>
      </c>
      <c r="G28" s="47">
        <v>0</v>
      </c>
      <c r="H28" s="135">
        <f>IF(B$17=0,0,G28/B$17)</f>
        <v>0</v>
      </c>
      <c r="I28" s="96">
        <v>3</v>
      </c>
    </row>
    <row r="29" spans="1:9" x14ac:dyDescent="0.4">
      <c r="E29" s="63" t="s">
        <v>91</v>
      </c>
      <c r="F29" s="60" t="s">
        <v>46</v>
      </c>
      <c r="G29" s="47">
        <v>0</v>
      </c>
      <c r="H29" s="135">
        <f>IF(B$17=0,0,G29/B$17)</f>
        <v>0</v>
      </c>
      <c r="I29" s="96">
        <v>3</v>
      </c>
    </row>
    <row r="30" spans="1:9" x14ac:dyDescent="0.4">
      <c r="E30" s="63" t="s">
        <v>92</v>
      </c>
      <c r="F30" s="60" t="s">
        <v>47</v>
      </c>
      <c r="G30" s="47">
        <v>0</v>
      </c>
      <c r="H30" s="135">
        <f>IF(B$17=0,0,G30/B$17)</f>
        <v>0</v>
      </c>
      <c r="I30" s="96">
        <v>6</v>
      </c>
    </row>
    <row r="31" spans="1:9" x14ac:dyDescent="0.4">
      <c r="E31" s="63" t="s">
        <v>93</v>
      </c>
      <c r="F31" s="60" t="s">
        <v>48</v>
      </c>
      <c r="G31" s="47">
        <v>0</v>
      </c>
      <c r="H31" s="135">
        <f>IF(B$17=0,0,G31/B$17)</f>
        <v>0</v>
      </c>
      <c r="I31" s="96">
        <v>4</v>
      </c>
    </row>
    <row r="32" spans="1:9" x14ac:dyDescent="0.4">
      <c r="E32" s="63" t="s">
        <v>94</v>
      </c>
      <c r="F32" s="60" t="s">
        <v>49</v>
      </c>
      <c r="G32" s="47">
        <v>0</v>
      </c>
      <c r="H32" s="135">
        <f>IF(B$17=0,0,G32/B$17)</f>
        <v>0</v>
      </c>
      <c r="I32" s="96">
        <v>1</v>
      </c>
    </row>
    <row r="33" spans="5:9" x14ac:dyDescent="0.4">
      <c r="E33" s="63" t="s">
        <v>95</v>
      </c>
      <c r="F33" s="60" t="s">
        <v>50</v>
      </c>
      <c r="G33" s="47">
        <v>0</v>
      </c>
      <c r="H33" s="135">
        <f>IF(B$17=0,0,G33/B$17)</f>
        <v>0</v>
      </c>
      <c r="I33" s="96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5">
        <f>IF(B$17=0,0,G34/B$17)</f>
        <v>0</v>
      </c>
      <c r="I34" s="96">
        <v>3</v>
      </c>
    </row>
    <row r="35" spans="5:9" x14ac:dyDescent="0.4">
      <c r="E35" s="63" t="s">
        <v>97</v>
      </c>
      <c r="F35" s="60" t="s">
        <v>52</v>
      </c>
      <c r="G35" s="47">
        <v>0</v>
      </c>
      <c r="H35" s="135">
        <f>IF(B$17=0,0,G35/B$17)</f>
        <v>0</v>
      </c>
      <c r="I35" s="96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5">
        <f>IF(B$17=0,0,G36/B$17)</f>
        <v>0</v>
      </c>
      <c r="I36" s="96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5">
        <f>IF(B$17=0,0,G37/B$17)</f>
        <v>0</v>
      </c>
      <c r="I37" s="96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5">
        <f>IF(B$17=0,0,G38/B$17)</f>
        <v>0</v>
      </c>
      <c r="I38" s="96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5">
        <f>IF(B$17=0,0,G39/B$17)</f>
        <v>0</v>
      </c>
      <c r="I39" s="96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5">
        <f>IF(B$17=0,0,G40/B$17)</f>
        <v>0</v>
      </c>
      <c r="I40" s="96">
        <v>1</v>
      </c>
    </row>
    <row r="41" spans="5:9" x14ac:dyDescent="0.4">
      <c r="E41" s="63" t="s">
        <v>103</v>
      </c>
      <c r="F41" s="60" t="s">
        <v>58</v>
      </c>
      <c r="G41" s="47">
        <v>0</v>
      </c>
      <c r="H41" s="135">
        <f>IF(B$17=0,0,G41/B$17)</f>
        <v>0</v>
      </c>
      <c r="I41" s="96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5">
        <f>IF(B$17=0,0,G42/B$17)</f>
        <v>0</v>
      </c>
      <c r="I42" s="96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5">
        <f>IF(B$17=0,0,G43/B$17)</f>
        <v>0</v>
      </c>
      <c r="I43" s="96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5">
        <f>IF(B$17=0,0,G44/B$17)</f>
        <v>0</v>
      </c>
      <c r="I44" s="96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5">
        <f>IF(B$17=0,0,G45/B$17)</f>
        <v>0</v>
      </c>
      <c r="I45" s="96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5">
        <f>IF(B$17=0,0,G46/B$17)</f>
        <v>0</v>
      </c>
      <c r="I46" s="96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5">
        <f>IF(B$17=0,0,G47/B$17)</f>
        <v>0</v>
      </c>
      <c r="I47" s="96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5">
        <f>IF(B$17=0,0,G48/B$17)</f>
        <v>0</v>
      </c>
      <c r="I48" s="96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5">
        <f>IF(B$17=0,0,G49/B$17)</f>
        <v>0</v>
      </c>
      <c r="I49" s="96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5">
        <f>IF(B$17=0,0,G50/B$17)</f>
        <v>0</v>
      </c>
      <c r="I50" s="96">
        <v>1</v>
      </c>
    </row>
    <row r="51" spans="5:9" x14ac:dyDescent="0.4">
      <c r="E51" s="64" t="s">
        <v>181</v>
      </c>
      <c r="F51" s="61" t="s">
        <v>184</v>
      </c>
      <c r="G51" s="49">
        <v>0</v>
      </c>
      <c r="H51" s="136">
        <f>IF(B$17=0,0,G51/B$17)</f>
        <v>0</v>
      </c>
      <c r="I51" s="97">
        <v>4</v>
      </c>
    </row>
  </sheetData>
  <sortState ref="N15:Q16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FE6F0-E228-4FB3-8236-685BE5FA8472}">
  <sheetPr codeName="Sheet26"/>
  <dimension ref="A1:Q4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203</v>
      </c>
      <c r="B1" s="70" t="s">
        <v>203</v>
      </c>
      <c r="C1" s="70" t="s">
        <v>203</v>
      </c>
      <c r="D1" s="71" t="s">
        <v>203</v>
      </c>
      <c r="E1" s="70" t="s">
        <v>203</v>
      </c>
      <c r="F1" s="70" t="s">
        <v>203</v>
      </c>
      <c r="G1" s="70" t="s">
        <v>203</v>
      </c>
      <c r="H1" s="70" t="s">
        <v>203</v>
      </c>
      <c r="I1" s="70" t="s">
        <v>203</v>
      </c>
      <c r="J1" s="70" t="s">
        <v>203</v>
      </c>
      <c r="K1" s="70" t="s">
        <v>203</v>
      </c>
      <c r="L1" s="70" t="s">
        <v>203</v>
      </c>
      <c r="M1" s="70" t="s">
        <v>203</v>
      </c>
      <c r="N1" s="70" t="s">
        <v>203</v>
      </c>
      <c r="O1" s="70" t="s">
        <v>203</v>
      </c>
      <c r="P1" s="70" t="s">
        <v>203</v>
      </c>
      <c r="Q1" s="70" t="s">
        <v>203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-12.5</v>
      </c>
      <c r="C4" s="66">
        <v>-12.5</v>
      </c>
      <c r="D4" s="71">
        <v>2</v>
      </c>
      <c r="E4" s="67">
        <v>0</v>
      </c>
      <c r="F4" s="67">
        <v>0</v>
      </c>
      <c r="G4" s="67">
        <v>0.18181818181818182</v>
      </c>
      <c r="H4" s="67">
        <v>0.18181818181818182</v>
      </c>
      <c r="I4" s="68">
        <v>12000</v>
      </c>
      <c r="J4" s="68">
        <v>-3250</v>
      </c>
      <c r="K4" s="67">
        <v>0</v>
      </c>
      <c r="L4" s="67">
        <v>0</v>
      </c>
      <c r="M4" s="67">
        <v>0.18181818181818182</v>
      </c>
      <c r="N4" s="67">
        <v>0.18181818181818182</v>
      </c>
      <c r="O4" s="67">
        <v>0.5</v>
      </c>
      <c r="P4" s="67">
        <v>0.5</v>
      </c>
      <c r="Q4" s="67">
        <v>0.5</v>
      </c>
    </row>
  </sheetData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572309-E75D-4433-8513-0E834D1AC560}">
  <sheetPr codeName="Sheet24"/>
  <dimension ref="A1:Q10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187</v>
      </c>
      <c r="B1" s="70" t="s">
        <v>187</v>
      </c>
      <c r="C1" s="70" t="s">
        <v>187</v>
      </c>
      <c r="D1" s="71" t="s">
        <v>187</v>
      </c>
      <c r="E1" s="70" t="s">
        <v>187</v>
      </c>
      <c r="F1" s="70" t="s">
        <v>187</v>
      </c>
      <c r="G1" s="70" t="s">
        <v>187</v>
      </c>
      <c r="H1" s="70" t="s">
        <v>187</v>
      </c>
      <c r="I1" s="70" t="s">
        <v>187</v>
      </c>
      <c r="J1" s="70" t="s">
        <v>187</v>
      </c>
      <c r="K1" s="70" t="s">
        <v>187</v>
      </c>
      <c r="L1" s="70" t="s">
        <v>187</v>
      </c>
      <c r="M1" s="70" t="s">
        <v>187</v>
      </c>
      <c r="N1" s="70" t="s">
        <v>187</v>
      </c>
      <c r="O1" s="70" t="s">
        <v>187</v>
      </c>
      <c r="P1" s="70" t="s">
        <v>187</v>
      </c>
      <c r="Q1" s="70" t="s">
        <v>187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-43.7</v>
      </c>
      <c r="C4" s="66">
        <v>-43.7</v>
      </c>
      <c r="D4" s="71">
        <v>3</v>
      </c>
      <c r="E4" s="67">
        <v>0</v>
      </c>
      <c r="F4" s="67">
        <v>1</v>
      </c>
      <c r="G4" s="67">
        <v>0.22222222222222221</v>
      </c>
      <c r="H4" s="67">
        <v>0.33333333333333331</v>
      </c>
      <c r="I4" s="68">
        <v>3650</v>
      </c>
      <c r="J4" s="68">
        <v>-8566.6666666666661</v>
      </c>
      <c r="K4" s="67">
        <v>0</v>
      </c>
      <c r="L4" s="67">
        <v>0</v>
      </c>
      <c r="M4" s="67">
        <v>0.1111111111111111</v>
      </c>
      <c r="N4" s="67">
        <v>0.1111111111111111</v>
      </c>
      <c r="O4" s="67">
        <v>1</v>
      </c>
      <c r="P4" s="67">
        <v>1</v>
      </c>
      <c r="Q4" s="67">
        <v>0.5</v>
      </c>
    </row>
    <row r="5" spans="1:17" x14ac:dyDescent="0.4">
      <c r="A5" s="69">
        <v>2</v>
      </c>
      <c r="B5" s="66">
        <v>-76.2</v>
      </c>
      <c r="C5" s="66">
        <v>-38.1</v>
      </c>
      <c r="D5" s="71">
        <v>3</v>
      </c>
      <c r="E5" s="67">
        <v>0</v>
      </c>
      <c r="F5" s="67">
        <v>1</v>
      </c>
      <c r="G5" s="67">
        <v>0.2</v>
      </c>
      <c r="H5" s="67">
        <v>0.33333333333333331</v>
      </c>
      <c r="I5" s="68">
        <v>3366.6666666666665</v>
      </c>
      <c r="J5" s="68">
        <v>-6940</v>
      </c>
      <c r="K5" s="67">
        <v>0</v>
      </c>
      <c r="L5" s="67">
        <v>0</v>
      </c>
      <c r="M5" s="67">
        <v>6.6666666666666666E-2</v>
      </c>
      <c r="N5" s="67">
        <v>6.6666666666666666E-2</v>
      </c>
      <c r="O5" s="67">
        <v>1</v>
      </c>
      <c r="P5" s="67">
        <v>1</v>
      </c>
      <c r="Q5" s="67">
        <v>0.66666666666666663</v>
      </c>
    </row>
    <row r="6" spans="1:17" x14ac:dyDescent="0.4">
      <c r="A6" s="69">
        <v>3</v>
      </c>
      <c r="B6" s="66">
        <v>-78.400000000000006</v>
      </c>
      <c r="C6" s="66">
        <v>-26.133333333333336</v>
      </c>
      <c r="D6" s="71">
        <v>2.6666666666666665</v>
      </c>
      <c r="E6" s="67">
        <v>0</v>
      </c>
      <c r="F6" s="67">
        <v>0.66666666666666663</v>
      </c>
      <c r="G6" s="67">
        <v>0.25</v>
      </c>
      <c r="H6" s="67">
        <v>0.25</v>
      </c>
      <c r="I6" s="68">
        <v>5014.2857142857147</v>
      </c>
      <c r="J6" s="68">
        <v>-7200</v>
      </c>
      <c r="K6" s="67">
        <v>0</v>
      </c>
      <c r="L6" s="67">
        <v>0</v>
      </c>
      <c r="M6" s="67">
        <v>0.10714285714285714</v>
      </c>
      <c r="N6" s="67">
        <v>0.14285714285714285</v>
      </c>
      <c r="O6" s="67">
        <v>1</v>
      </c>
      <c r="P6" s="67">
        <v>0.75</v>
      </c>
      <c r="Q6" s="67">
        <v>0.42857142857142855</v>
      </c>
    </row>
    <row r="7" spans="1:17" x14ac:dyDescent="0.4">
      <c r="A7" s="69">
        <v>4</v>
      </c>
      <c r="B7" s="66">
        <v>-49.800000000000004</v>
      </c>
      <c r="C7" s="66">
        <v>-12.450000000000001</v>
      </c>
      <c r="D7" s="71">
        <v>2.25</v>
      </c>
      <c r="E7" s="67">
        <v>0.25</v>
      </c>
      <c r="F7" s="67">
        <v>0.5</v>
      </c>
      <c r="G7" s="67">
        <v>0.27027027027027029</v>
      </c>
      <c r="H7" s="67">
        <v>0.21621621621621623</v>
      </c>
      <c r="I7" s="68">
        <v>6070</v>
      </c>
      <c r="J7" s="68">
        <v>-6700</v>
      </c>
      <c r="K7" s="67">
        <v>0</v>
      </c>
      <c r="L7" s="67">
        <v>0</v>
      </c>
      <c r="M7" s="67">
        <v>0.1891891891891892</v>
      </c>
      <c r="N7" s="67">
        <v>0.16216216216216217</v>
      </c>
      <c r="O7" s="67">
        <v>0.7142857142857143</v>
      </c>
      <c r="P7" s="67">
        <v>0.66666666666666663</v>
      </c>
      <c r="Q7" s="67">
        <v>0.6</v>
      </c>
    </row>
    <row r="8" spans="1:17" x14ac:dyDescent="0.4">
      <c r="A8" s="69">
        <v>5</v>
      </c>
      <c r="B8" s="66">
        <v>-121</v>
      </c>
      <c r="C8" s="66">
        <v>-24.2</v>
      </c>
      <c r="D8" s="71">
        <v>2.4</v>
      </c>
      <c r="E8" s="67">
        <v>0.2</v>
      </c>
      <c r="F8" s="67">
        <v>0.6</v>
      </c>
      <c r="G8" s="67">
        <v>0.23809523809523808</v>
      </c>
      <c r="H8" s="67">
        <v>0.26190476190476192</v>
      </c>
      <c r="I8" s="68">
        <v>6070</v>
      </c>
      <c r="J8" s="68">
        <v>-8300</v>
      </c>
      <c r="K8" s="67">
        <v>0.2</v>
      </c>
      <c r="L8" s="67">
        <v>0</v>
      </c>
      <c r="M8" s="67">
        <v>0.16666666666666666</v>
      </c>
      <c r="N8" s="67">
        <v>0.21428571428571427</v>
      </c>
      <c r="O8" s="67">
        <v>0.7142857142857143</v>
      </c>
      <c r="P8" s="67">
        <v>0.44444444444444442</v>
      </c>
      <c r="Q8" s="67">
        <v>0.6</v>
      </c>
    </row>
    <row r="9" spans="1:17" x14ac:dyDescent="0.4">
      <c r="A9" s="69">
        <v>6</v>
      </c>
      <c r="B9" s="66">
        <v>-167</v>
      </c>
      <c r="C9" s="66">
        <v>-27.833333333333332</v>
      </c>
      <c r="D9" s="71">
        <v>2.5</v>
      </c>
      <c r="E9" s="67">
        <v>0.16666666666666666</v>
      </c>
      <c r="F9" s="67">
        <v>0.66666666666666663</v>
      </c>
      <c r="G9" s="67">
        <v>0.22916666666666666</v>
      </c>
      <c r="H9" s="67">
        <v>0.29166666666666669</v>
      </c>
      <c r="I9" s="68">
        <v>6972.727272727273</v>
      </c>
      <c r="J9" s="68">
        <v>-8585.7142857142862</v>
      </c>
      <c r="K9" s="67">
        <v>0.16666666666666666</v>
      </c>
      <c r="L9" s="67">
        <v>0</v>
      </c>
      <c r="M9" s="67">
        <v>0.14583333333333334</v>
      </c>
      <c r="N9" s="67">
        <v>0.22916666666666666</v>
      </c>
      <c r="O9" s="67">
        <v>0.7142857142857143</v>
      </c>
      <c r="P9" s="67">
        <v>0.45454545454545453</v>
      </c>
      <c r="Q9" s="67">
        <v>0.54545454545454541</v>
      </c>
    </row>
    <row r="10" spans="1:17" x14ac:dyDescent="0.4">
      <c r="A10" s="69">
        <v>7</v>
      </c>
      <c r="B10" s="66">
        <v>-218.2</v>
      </c>
      <c r="C10" s="66">
        <v>-31.171428571428571</v>
      </c>
      <c r="D10" s="71">
        <v>2.5714285714285716</v>
      </c>
      <c r="E10" s="67">
        <v>0.14285714285714285</v>
      </c>
      <c r="F10" s="67">
        <v>0.7142857142857143</v>
      </c>
      <c r="G10" s="67">
        <v>0.21052631578947367</v>
      </c>
      <c r="H10" s="67">
        <v>0.2807017543859649</v>
      </c>
      <c r="I10" s="68">
        <v>6500</v>
      </c>
      <c r="J10" s="68">
        <v>-8762.5</v>
      </c>
      <c r="K10" s="67">
        <v>0.14285714285714285</v>
      </c>
      <c r="L10" s="67">
        <v>0</v>
      </c>
      <c r="M10" s="67">
        <v>0.12280701754385964</v>
      </c>
      <c r="N10" s="67">
        <v>0.22807017543859648</v>
      </c>
      <c r="O10" s="67">
        <v>0.7142857142857143</v>
      </c>
      <c r="P10" s="67">
        <v>0.38461538461538464</v>
      </c>
      <c r="Q10" s="67">
        <v>0.5</v>
      </c>
    </row>
  </sheetData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67AB14-8E6C-4CE3-A606-24CFAD2F2DBD}">
  <sheetPr codeName="Sheet22"/>
  <dimension ref="A1:Q6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186</v>
      </c>
      <c r="B1" s="70" t="s">
        <v>186</v>
      </c>
      <c r="C1" s="70" t="s">
        <v>186</v>
      </c>
      <c r="D1" s="71" t="s">
        <v>186</v>
      </c>
      <c r="E1" s="70" t="s">
        <v>186</v>
      </c>
      <c r="F1" s="70" t="s">
        <v>186</v>
      </c>
      <c r="G1" s="70" t="s">
        <v>186</v>
      </c>
      <c r="H1" s="70" t="s">
        <v>186</v>
      </c>
      <c r="I1" s="70" t="s">
        <v>186</v>
      </c>
      <c r="J1" s="70" t="s">
        <v>186</v>
      </c>
      <c r="K1" s="70" t="s">
        <v>186</v>
      </c>
      <c r="L1" s="70" t="s">
        <v>186</v>
      </c>
      <c r="M1" s="70" t="s">
        <v>186</v>
      </c>
      <c r="N1" s="70" t="s">
        <v>186</v>
      </c>
      <c r="O1" s="70" t="s">
        <v>186</v>
      </c>
      <c r="P1" s="70" t="s">
        <v>186</v>
      </c>
      <c r="Q1" s="70" t="s">
        <v>186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-14.6</v>
      </c>
      <c r="C4" s="66">
        <v>-14.6</v>
      </c>
      <c r="D4" s="71">
        <v>2</v>
      </c>
      <c r="E4" s="67">
        <v>0</v>
      </c>
      <c r="F4" s="67">
        <v>0</v>
      </c>
      <c r="G4" s="67">
        <v>0</v>
      </c>
      <c r="H4" s="67">
        <v>0.2857142857142857</v>
      </c>
      <c r="I4" s="68">
        <v>0</v>
      </c>
      <c r="J4" s="68">
        <v>-5150</v>
      </c>
      <c r="K4" s="67">
        <v>0</v>
      </c>
      <c r="L4" s="67">
        <v>0</v>
      </c>
      <c r="M4" s="67">
        <v>0.2857142857142857</v>
      </c>
      <c r="N4" s="67">
        <v>0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22.5</v>
      </c>
      <c r="C5" s="66">
        <v>11.25</v>
      </c>
      <c r="D5" s="71">
        <v>1.5</v>
      </c>
      <c r="E5" s="67">
        <v>0.5</v>
      </c>
      <c r="F5" s="67">
        <v>0</v>
      </c>
      <c r="G5" s="67">
        <v>0.23076923076923078</v>
      </c>
      <c r="H5" s="67">
        <v>0.15384615384615385</v>
      </c>
      <c r="I5" s="68">
        <v>6433.333333333333</v>
      </c>
      <c r="J5" s="68">
        <v>-5150</v>
      </c>
      <c r="K5" s="67">
        <v>0</v>
      </c>
      <c r="L5" s="67">
        <v>0</v>
      </c>
      <c r="M5" s="67">
        <v>0.30769230769230771</v>
      </c>
      <c r="N5" s="67">
        <v>0.15384615384615385</v>
      </c>
      <c r="O5" s="67">
        <v>0.5</v>
      </c>
      <c r="P5" s="67">
        <v>0.5</v>
      </c>
      <c r="Q5" s="67">
        <v>0.33333333333333331</v>
      </c>
    </row>
    <row r="6" spans="1:17" x14ac:dyDescent="0.4">
      <c r="A6" s="69">
        <v>3</v>
      </c>
      <c r="B6" s="66">
        <v>61</v>
      </c>
      <c r="C6" s="66">
        <v>20.333333333333332</v>
      </c>
      <c r="D6" s="71">
        <v>1.3333333333333333</v>
      </c>
      <c r="E6" s="67">
        <v>0.66666666666666663</v>
      </c>
      <c r="F6" s="67">
        <v>0</v>
      </c>
      <c r="G6" s="67">
        <v>0.26315789473684209</v>
      </c>
      <c r="H6" s="67">
        <v>0.10526315789473684</v>
      </c>
      <c r="I6" s="68">
        <v>7860</v>
      </c>
      <c r="J6" s="68">
        <v>-5150</v>
      </c>
      <c r="K6" s="67">
        <v>0</v>
      </c>
      <c r="L6" s="67">
        <v>0</v>
      </c>
      <c r="M6" s="67">
        <v>0.26315789473684209</v>
      </c>
      <c r="N6" s="67">
        <v>0.21052631578947367</v>
      </c>
      <c r="O6" s="67">
        <v>0.6</v>
      </c>
      <c r="P6" s="67">
        <v>0.5</v>
      </c>
      <c r="Q6" s="67">
        <v>0.2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D2C82A-784F-4B7C-B324-59EC8EEEAF92}">
  <sheetPr codeName="Sheet20"/>
  <dimension ref="A1:Q18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178</v>
      </c>
      <c r="B1" s="70" t="s">
        <v>178</v>
      </c>
      <c r="C1" s="70" t="s">
        <v>178</v>
      </c>
      <c r="D1" s="71" t="s">
        <v>178</v>
      </c>
      <c r="E1" s="70" t="s">
        <v>178</v>
      </c>
      <c r="F1" s="70" t="s">
        <v>178</v>
      </c>
      <c r="G1" s="70" t="s">
        <v>178</v>
      </c>
      <c r="H1" s="70" t="s">
        <v>178</v>
      </c>
      <c r="I1" s="70" t="s">
        <v>178</v>
      </c>
      <c r="J1" s="70" t="s">
        <v>178</v>
      </c>
      <c r="K1" s="70" t="s">
        <v>178</v>
      </c>
      <c r="L1" s="70" t="s">
        <v>178</v>
      </c>
      <c r="M1" s="70" t="s">
        <v>178</v>
      </c>
      <c r="N1" s="70" t="s">
        <v>178</v>
      </c>
      <c r="O1" s="70" t="s">
        <v>178</v>
      </c>
      <c r="P1" s="70" t="s">
        <v>178</v>
      </c>
      <c r="Q1" s="70" t="s">
        <v>178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-1.9</v>
      </c>
      <c r="C4" s="66">
        <v>-1.9</v>
      </c>
      <c r="D4" s="71">
        <v>2</v>
      </c>
      <c r="E4" s="67">
        <v>0</v>
      </c>
      <c r="F4" s="67">
        <v>0</v>
      </c>
      <c r="G4" s="67">
        <v>0.2857142857142857</v>
      </c>
      <c r="H4" s="67">
        <v>0.14285714285714285</v>
      </c>
      <c r="I4" s="68">
        <v>7050</v>
      </c>
      <c r="J4" s="68">
        <v>-3900</v>
      </c>
      <c r="K4" s="67">
        <v>0</v>
      </c>
      <c r="L4" s="67">
        <v>0</v>
      </c>
      <c r="M4" s="67">
        <v>0</v>
      </c>
      <c r="N4" s="67">
        <v>0.14285714285714285</v>
      </c>
      <c r="O4" s="67">
        <v>0</v>
      </c>
      <c r="P4" s="67">
        <v>0</v>
      </c>
      <c r="Q4" s="67">
        <v>0.5</v>
      </c>
    </row>
    <row r="5" spans="1:17" x14ac:dyDescent="0.4">
      <c r="A5" s="69">
        <v>2</v>
      </c>
      <c r="B5" s="66">
        <v>30</v>
      </c>
      <c r="C5" s="66">
        <v>15</v>
      </c>
      <c r="D5" s="71">
        <v>1.5</v>
      </c>
      <c r="E5" s="67">
        <v>0.5</v>
      </c>
      <c r="F5" s="67">
        <v>0</v>
      </c>
      <c r="G5" s="67">
        <v>0.29411764705882354</v>
      </c>
      <c r="H5" s="67">
        <v>0.17647058823529413</v>
      </c>
      <c r="I5" s="68">
        <v>8800</v>
      </c>
      <c r="J5" s="68">
        <v>-2933.3333333333335</v>
      </c>
      <c r="K5" s="67">
        <v>0</v>
      </c>
      <c r="L5" s="67">
        <v>0</v>
      </c>
      <c r="M5" s="67">
        <v>0.11764705882352941</v>
      </c>
      <c r="N5" s="67">
        <v>0.17647058823529413</v>
      </c>
      <c r="O5" s="67">
        <v>1</v>
      </c>
      <c r="P5" s="67">
        <v>0.33333333333333331</v>
      </c>
      <c r="Q5" s="67">
        <v>0.4</v>
      </c>
    </row>
    <row r="6" spans="1:17" x14ac:dyDescent="0.4">
      <c r="A6" s="69">
        <v>3</v>
      </c>
      <c r="B6" s="66">
        <v>-10</v>
      </c>
      <c r="C6" s="66">
        <v>-3.3333333333333335</v>
      </c>
      <c r="D6" s="71">
        <v>2</v>
      </c>
      <c r="E6" s="67">
        <v>0.33333333333333331</v>
      </c>
      <c r="F6" s="67">
        <v>0.33333333333333331</v>
      </c>
      <c r="G6" s="67">
        <v>0.29166666666666669</v>
      </c>
      <c r="H6" s="67">
        <v>0.20833333333333334</v>
      </c>
      <c r="I6" s="68">
        <v>6828.5714285714284</v>
      </c>
      <c r="J6" s="68">
        <v>-6560</v>
      </c>
      <c r="K6" s="67">
        <v>0</v>
      </c>
      <c r="L6" s="67">
        <v>0</v>
      </c>
      <c r="M6" s="67">
        <v>0.16666666666666666</v>
      </c>
      <c r="N6" s="67">
        <v>0.25</v>
      </c>
      <c r="O6" s="67">
        <v>0.75</v>
      </c>
      <c r="P6" s="67">
        <v>0.33333333333333331</v>
      </c>
      <c r="Q6" s="67">
        <v>0.42857142857142855</v>
      </c>
    </row>
    <row r="7" spans="1:17" x14ac:dyDescent="0.4">
      <c r="A7" s="69">
        <v>4</v>
      </c>
      <c r="B7" s="66">
        <v>40</v>
      </c>
      <c r="C7" s="66">
        <v>10</v>
      </c>
      <c r="D7" s="71">
        <v>1.75</v>
      </c>
      <c r="E7" s="67">
        <v>0.5</v>
      </c>
      <c r="F7" s="67">
        <v>0.25</v>
      </c>
      <c r="G7" s="67">
        <v>0.36363636363636365</v>
      </c>
      <c r="H7" s="67">
        <v>0.15151515151515152</v>
      </c>
      <c r="I7" s="68">
        <v>7050</v>
      </c>
      <c r="J7" s="68">
        <v>-6560</v>
      </c>
      <c r="K7" s="67">
        <v>0</v>
      </c>
      <c r="L7" s="67">
        <v>0</v>
      </c>
      <c r="M7" s="67">
        <v>0.24242424242424243</v>
      </c>
      <c r="N7" s="67">
        <v>0.27272727272727271</v>
      </c>
      <c r="O7" s="67">
        <v>0.875</v>
      </c>
      <c r="P7" s="67">
        <v>0.33333333333333331</v>
      </c>
      <c r="Q7" s="67">
        <v>0.33333333333333331</v>
      </c>
    </row>
    <row r="8" spans="1:17" x14ac:dyDescent="0.4">
      <c r="A8" s="69">
        <v>5</v>
      </c>
      <c r="B8" s="66">
        <v>35.4</v>
      </c>
      <c r="C8" s="66">
        <v>7.08</v>
      </c>
      <c r="D8" s="71">
        <v>1.8</v>
      </c>
      <c r="E8" s="67">
        <v>0.4</v>
      </c>
      <c r="F8" s="67">
        <v>0.2</v>
      </c>
      <c r="G8" s="67">
        <v>0.33333333333333331</v>
      </c>
      <c r="H8" s="67">
        <v>0.15384615384615385</v>
      </c>
      <c r="I8" s="68">
        <v>6607.6923076923076</v>
      </c>
      <c r="J8" s="68">
        <v>-6116.666666666667</v>
      </c>
      <c r="K8" s="67">
        <v>0</v>
      </c>
      <c r="L8" s="67">
        <v>0</v>
      </c>
      <c r="M8" s="67">
        <v>0.25641025641025639</v>
      </c>
      <c r="N8" s="67">
        <v>0.28205128205128205</v>
      </c>
      <c r="O8" s="67">
        <v>0.8</v>
      </c>
      <c r="P8" s="67">
        <v>0.27272727272727271</v>
      </c>
      <c r="Q8" s="67">
        <v>0.30769230769230771</v>
      </c>
    </row>
    <row r="9" spans="1:17" x14ac:dyDescent="0.4">
      <c r="A9" s="69">
        <v>6</v>
      </c>
      <c r="B9" s="66">
        <v>3.8999999999999986</v>
      </c>
      <c r="C9" s="66">
        <v>0.6499999999999998</v>
      </c>
      <c r="D9" s="71">
        <v>2</v>
      </c>
      <c r="E9" s="67">
        <v>0.33333333333333331</v>
      </c>
      <c r="F9" s="67">
        <v>0.33333333333333331</v>
      </c>
      <c r="G9" s="67">
        <v>0.31111111111111112</v>
      </c>
      <c r="H9" s="67">
        <v>0.2</v>
      </c>
      <c r="I9" s="68">
        <v>6414.2857142857147</v>
      </c>
      <c r="J9" s="68">
        <v>-5400</v>
      </c>
      <c r="K9" s="67">
        <v>0</v>
      </c>
      <c r="L9" s="67">
        <v>0</v>
      </c>
      <c r="M9" s="67">
        <v>0.26666666666666666</v>
      </c>
      <c r="N9" s="67">
        <v>0.26666666666666666</v>
      </c>
      <c r="O9" s="67">
        <v>0.66666666666666663</v>
      </c>
      <c r="P9" s="67">
        <v>0.33333333333333331</v>
      </c>
      <c r="Q9" s="67">
        <v>0.2857142857142857</v>
      </c>
    </row>
    <row r="10" spans="1:17" x14ac:dyDescent="0.4">
      <c r="A10" s="69">
        <v>7</v>
      </c>
      <c r="B10" s="66">
        <v>-30.1</v>
      </c>
      <c r="C10" s="66">
        <v>-4.3</v>
      </c>
      <c r="D10" s="71">
        <v>2.1428571428571428</v>
      </c>
      <c r="E10" s="67">
        <v>0.2857142857142857</v>
      </c>
      <c r="F10" s="67">
        <v>0.42857142857142855</v>
      </c>
      <c r="G10" s="67">
        <v>0.27777777777777779</v>
      </c>
      <c r="H10" s="67">
        <v>0.18518518518518517</v>
      </c>
      <c r="I10" s="68">
        <v>6253.333333333333</v>
      </c>
      <c r="J10" s="68">
        <v>-6060</v>
      </c>
      <c r="K10" s="67">
        <v>0</v>
      </c>
      <c r="L10" s="67">
        <v>0</v>
      </c>
      <c r="M10" s="67">
        <v>0.24074074074074073</v>
      </c>
      <c r="N10" s="67">
        <v>0.25925925925925924</v>
      </c>
      <c r="O10" s="67">
        <v>0.61538461538461542</v>
      </c>
      <c r="P10" s="67">
        <v>0.35714285714285715</v>
      </c>
      <c r="Q10" s="67">
        <v>0.33333333333333331</v>
      </c>
    </row>
    <row r="11" spans="1:17" x14ac:dyDescent="0.4">
      <c r="A11" s="69">
        <v>8</v>
      </c>
      <c r="B11" s="66">
        <v>-87.1</v>
      </c>
      <c r="C11" s="66">
        <v>-10.887499999999999</v>
      </c>
      <c r="D11" s="71">
        <v>2.25</v>
      </c>
      <c r="E11" s="67">
        <v>0.25</v>
      </c>
      <c r="F11" s="67">
        <v>0.5</v>
      </c>
      <c r="G11" s="67">
        <v>0.25</v>
      </c>
      <c r="H11" s="67">
        <v>0.18333333333333332</v>
      </c>
      <c r="I11" s="68">
        <v>6253.333333333333</v>
      </c>
      <c r="J11" s="68">
        <v>-6236.363636363636</v>
      </c>
      <c r="K11" s="67">
        <v>0.125</v>
      </c>
      <c r="L11" s="67">
        <v>0</v>
      </c>
      <c r="M11" s="67">
        <v>0.23333333333333334</v>
      </c>
      <c r="N11" s="67">
        <v>0.25</v>
      </c>
      <c r="O11" s="67">
        <v>0.5714285714285714</v>
      </c>
      <c r="P11" s="67">
        <v>0.33333333333333331</v>
      </c>
      <c r="Q11" s="67">
        <v>0.33333333333333331</v>
      </c>
    </row>
    <row r="12" spans="1:17" x14ac:dyDescent="0.4">
      <c r="A12" s="69">
        <v>9</v>
      </c>
      <c r="B12" s="66">
        <v>-128.6</v>
      </c>
      <c r="C12" s="66">
        <v>-14.288888888888888</v>
      </c>
      <c r="D12" s="71">
        <v>2.3333333333333335</v>
      </c>
      <c r="E12" s="67">
        <v>0.22222222222222221</v>
      </c>
      <c r="F12" s="67">
        <v>0.55555555555555558</v>
      </c>
      <c r="G12" s="67">
        <v>0.24637681159420291</v>
      </c>
      <c r="H12" s="67">
        <v>0.17391304347826086</v>
      </c>
      <c r="I12" s="68">
        <v>5694.1176470588234</v>
      </c>
      <c r="J12" s="68">
        <v>-6358.333333333333</v>
      </c>
      <c r="K12" s="67">
        <v>0.1111111111111111</v>
      </c>
      <c r="L12" s="67">
        <v>0</v>
      </c>
      <c r="M12" s="67">
        <v>0.20289855072463769</v>
      </c>
      <c r="N12" s="67">
        <v>0.2608695652173913</v>
      </c>
      <c r="O12" s="67">
        <v>0.5714285714285714</v>
      </c>
      <c r="P12" s="67">
        <v>0.33333333333333331</v>
      </c>
      <c r="Q12" s="67">
        <v>0.29411764705882354</v>
      </c>
    </row>
    <row r="13" spans="1:17" x14ac:dyDescent="0.4">
      <c r="A13" s="69">
        <v>10</v>
      </c>
      <c r="B13" s="66">
        <v>-183.7</v>
      </c>
      <c r="C13" s="66">
        <v>-18.369999999999997</v>
      </c>
      <c r="D13" s="71">
        <v>2.4</v>
      </c>
      <c r="E13" s="67">
        <v>0.2</v>
      </c>
      <c r="F13" s="67">
        <v>0.6</v>
      </c>
      <c r="G13" s="67">
        <v>0.2361111111111111</v>
      </c>
      <c r="H13" s="67">
        <v>0.19444444444444445</v>
      </c>
      <c r="I13" s="68">
        <v>5694.1176470588234</v>
      </c>
      <c r="J13" s="68">
        <v>-6921.4285714285716</v>
      </c>
      <c r="K13" s="67">
        <v>0.2</v>
      </c>
      <c r="L13" s="67">
        <v>0</v>
      </c>
      <c r="M13" s="67">
        <v>0.19444444444444445</v>
      </c>
      <c r="N13" s="67">
        <v>0.25</v>
      </c>
      <c r="O13" s="67">
        <v>0.5714285714285714</v>
      </c>
      <c r="P13" s="67">
        <v>0.33333333333333331</v>
      </c>
      <c r="Q13" s="67">
        <v>0.29411764705882354</v>
      </c>
    </row>
    <row r="14" spans="1:17" x14ac:dyDescent="0.4">
      <c r="A14" s="69">
        <v>11</v>
      </c>
      <c r="B14" s="66">
        <v>-152.89999999999998</v>
      </c>
      <c r="C14" s="66">
        <v>-13.899999999999999</v>
      </c>
      <c r="D14" s="71">
        <v>2.2727272727272729</v>
      </c>
      <c r="E14" s="67">
        <v>0.27272727272727271</v>
      </c>
      <c r="F14" s="67">
        <v>0.54545454545454541</v>
      </c>
      <c r="G14" s="67">
        <v>0.24691358024691357</v>
      </c>
      <c r="H14" s="67">
        <v>0.20987654320987653</v>
      </c>
      <c r="I14" s="68">
        <v>6480</v>
      </c>
      <c r="J14" s="68">
        <v>-7141.1764705882351</v>
      </c>
      <c r="K14" s="67">
        <v>0.18181818181818182</v>
      </c>
      <c r="L14" s="67">
        <v>0</v>
      </c>
      <c r="M14" s="67">
        <v>0.20987654320987653</v>
      </c>
      <c r="N14" s="67">
        <v>0.24691358024691357</v>
      </c>
      <c r="O14" s="67">
        <v>0.52941176470588236</v>
      </c>
      <c r="P14" s="67">
        <v>0.35</v>
      </c>
      <c r="Q14" s="67">
        <v>0.35</v>
      </c>
    </row>
    <row r="15" spans="1:17" x14ac:dyDescent="0.4">
      <c r="A15" s="69">
        <v>12</v>
      </c>
      <c r="B15" s="66">
        <v>-208.09999999999997</v>
      </c>
      <c r="C15" s="66">
        <v>-17.341666666666665</v>
      </c>
      <c r="D15" s="71">
        <v>2.3333333333333335</v>
      </c>
      <c r="E15" s="67">
        <v>0.25</v>
      </c>
      <c r="F15" s="67">
        <v>0.58333333333333337</v>
      </c>
      <c r="G15" s="67">
        <v>0.22988505747126436</v>
      </c>
      <c r="H15" s="67">
        <v>0.20689655172413793</v>
      </c>
      <c r="I15" s="68">
        <v>6480</v>
      </c>
      <c r="J15" s="68">
        <v>-7411.1111111111113</v>
      </c>
      <c r="K15" s="67">
        <v>0.25</v>
      </c>
      <c r="L15" s="67">
        <v>0</v>
      </c>
      <c r="M15" s="67">
        <v>0.19540229885057472</v>
      </c>
      <c r="N15" s="67">
        <v>0.2413793103448276</v>
      </c>
      <c r="O15" s="67">
        <v>0.52941176470588236</v>
      </c>
      <c r="P15" s="67">
        <v>0.33333333333333331</v>
      </c>
      <c r="Q15" s="67">
        <v>0.35</v>
      </c>
    </row>
    <row r="16" spans="1:17" x14ac:dyDescent="0.4">
      <c r="A16" s="69">
        <v>13</v>
      </c>
      <c r="B16" s="66">
        <v>-209.59999999999997</v>
      </c>
      <c r="C16" s="66">
        <v>-16.123076923076919</v>
      </c>
      <c r="D16" s="71">
        <v>2.3076923076923075</v>
      </c>
      <c r="E16" s="67">
        <v>0.23076923076923078</v>
      </c>
      <c r="F16" s="67">
        <v>0.53846153846153844</v>
      </c>
      <c r="G16" s="67">
        <v>0.23404255319148937</v>
      </c>
      <c r="H16" s="67">
        <v>0.20212765957446807</v>
      </c>
      <c r="I16" s="68">
        <v>6218.181818181818</v>
      </c>
      <c r="J16" s="68">
        <v>-7426.3157894736842</v>
      </c>
      <c r="K16" s="67">
        <v>0.23076923076923078</v>
      </c>
      <c r="L16" s="67">
        <v>0</v>
      </c>
      <c r="M16" s="67">
        <v>0.18085106382978725</v>
      </c>
      <c r="N16" s="67">
        <v>0.25531914893617019</v>
      </c>
      <c r="O16" s="67">
        <v>0.52941176470588236</v>
      </c>
      <c r="P16" s="67">
        <v>0.375</v>
      </c>
      <c r="Q16" s="67">
        <v>0.40909090909090912</v>
      </c>
    </row>
    <row r="17" spans="1:17" x14ac:dyDescent="0.4">
      <c r="A17" s="69">
        <v>14</v>
      </c>
      <c r="B17" s="66">
        <v>-178.49999999999997</v>
      </c>
      <c r="C17" s="66">
        <v>-12.749999999999998</v>
      </c>
      <c r="D17" s="71">
        <v>2.2142857142857144</v>
      </c>
      <c r="E17" s="67">
        <v>0.2857142857142857</v>
      </c>
      <c r="F17" s="67">
        <v>0.5</v>
      </c>
      <c r="G17" s="67">
        <v>0.25242718446601942</v>
      </c>
      <c r="H17" s="67">
        <v>0.18446601941747573</v>
      </c>
      <c r="I17" s="68">
        <v>6103.8461538461543</v>
      </c>
      <c r="J17" s="68">
        <v>-7426.3157894736842</v>
      </c>
      <c r="K17" s="67">
        <v>0.21428571428571427</v>
      </c>
      <c r="L17" s="67">
        <v>0</v>
      </c>
      <c r="M17" s="67">
        <v>0.18446601941747573</v>
      </c>
      <c r="N17" s="67">
        <v>0.25242718446601942</v>
      </c>
      <c r="O17" s="67">
        <v>0.57894736842105265</v>
      </c>
      <c r="P17" s="67">
        <v>0.38461538461538464</v>
      </c>
      <c r="Q17" s="67">
        <v>0.38461538461538464</v>
      </c>
    </row>
    <row r="18" spans="1:17" x14ac:dyDescent="0.4">
      <c r="A18" s="69">
        <v>15</v>
      </c>
      <c r="B18" s="66">
        <v>-146.19999999999999</v>
      </c>
      <c r="C18" s="66">
        <v>-9.7466666666666661</v>
      </c>
      <c r="D18" s="71">
        <v>2.1333333333333333</v>
      </c>
      <c r="E18" s="67">
        <v>0.33333333333333331</v>
      </c>
      <c r="F18" s="67">
        <v>0.46666666666666667</v>
      </c>
      <c r="G18" s="67">
        <v>0.25663716814159293</v>
      </c>
      <c r="H18" s="67">
        <v>0.17699115044247787</v>
      </c>
      <c r="I18" s="68">
        <v>6362.0689655172409</v>
      </c>
      <c r="J18" s="68">
        <v>-7250</v>
      </c>
      <c r="K18" s="67">
        <v>0.2</v>
      </c>
      <c r="L18" s="67">
        <v>0</v>
      </c>
      <c r="M18" s="67">
        <v>0.17699115044247787</v>
      </c>
      <c r="N18" s="67">
        <v>0.29203539823008851</v>
      </c>
      <c r="O18" s="67">
        <v>0.55000000000000004</v>
      </c>
      <c r="P18" s="67">
        <v>0.39393939393939392</v>
      </c>
      <c r="Q18" s="67">
        <v>0.37931034482758619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DF11A0-2E16-4F66-AEF4-ADE79C6884F3}">
  <sheetPr codeName="Sheet18"/>
  <dimension ref="A1:Q20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174</v>
      </c>
      <c r="B1" s="70" t="s">
        <v>174</v>
      </c>
      <c r="C1" s="70" t="s">
        <v>174</v>
      </c>
      <c r="D1" s="71" t="s">
        <v>174</v>
      </c>
      <c r="E1" s="70" t="s">
        <v>174</v>
      </c>
      <c r="F1" s="70" t="s">
        <v>174</v>
      </c>
      <c r="G1" s="70" t="s">
        <v>174</v>
      </c>
      <c r="H1" s="70" t="s">
        <v>174</v>
      </c>
      <c r="I1" s="70" t="s">
        <v>174</v>
      </c>
      <c r="J1" s="70" t="s">
        <v>174</v>
      </c>
      <c r="K1" s="70" t="s">
        <v>174</v>
      </c>
      <c r="L1" s="70" t="s">
        <v>174</v>
      </c>
      <c r="M1" s="70" t="s">
        <v>174</v>
      </c>
      <c r="N1" s="70" t="s">
        <v>174</v>
      </c>
      <c r="O1" s="70" t="s">
        <v>174</v>
      </c>
      <c r="P1" s="70" t="s">
        <v>174</v>
      </c>
      <c r="Q1" s="70" t="s">
        <v>174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-82.6</v>
      </c>
      <c r="C4" s="66">
        <v>-82.6</v>
      </c>
      <c r="D4" s="71">
        <v>3</v>
      </c>
      <c r="E4" s="67">
        <v>0</v>
      </c>
      <c r="F4" s="67">
        <v>1</v>
      </c>
      <c r="G4" s="67">
        <v>0.14285714285714285</v>
      </c>
      <c r="H4" s="67">
        <v>0.2857142857142857</v>
      </c>
      <c r="I4" s="68">
        <v>4000</v>
      </c>
      <c r="J4" s="68">
        <v>-20800</v>
      </c>
      <c r="K4" s="67">
        <v>1</v>
      </c>
      <c r="L4" s="67">
        <v>0</v>
      </c>
      <c r="M4" s="67">
        <v>0.14285714285714285</v>
      </c>
      <c r="N4" s="67">
        <v>0.14285714285714285</v>
      </c>
      <c r="O4" s="67">
        <v>0</v>
      </c>
      <c r="P4" s="67">
        <v>0</v>
      </c>
      <c r="Q4" s="67">
        <v>1</v>
      </c>
    </row>
    <row r="5" spans="1:17" x14ac:dyDescent="0.4">
      <c r="A5" s="69">
        <v>2</v>
      </c>
      <c r="B5" s="66">
        <v>-122.3</v>
      </c>
      <c r="C5" s="66">
        <v>-61.15</v>
      </c>
      <c r="D5" s="71">
        <v>3</v>
      </c>
      <c r="E5" s="67">
        <v>0</v>
      </c>
      <c r="F5" s="67">
        <v>1</v>
      </c>
      <c r="G5" s="67">
        <v>0.26315789473684209</v>
      </c>
      <c r="H5" s="67">
        <v>0.26315789473684209</v>
      </c>
      <c r="I5" s="68">
        <v>4220</v>
      </c>
      <c r="J5" s="68">
        <v>-14080</v>
      </c>
      <c r="K5" s="67">
        <v>0.5</v>
      </c>
      <c r="L5" s="67">
        <v>0</v>
      </c>
      <c r="M5" s="67">
        <v>0.15789473684210525</v>
      </c>
      <c r="N5" s="67">
        <v>0.10526315789473684</v>
      </c>
      <c r="O5" s="67">
        <v>0.33333333333333331</v>
      </c>
      <c r="P5" s="67">
        <v>0.5</v>
      </c>
      <c r="Q5" s="67">
        <v>0.8</v>
      </c>
    </row>
    <row r="6" spans="1:17" x14ac:dyDescent="0.4">
      <c r="A6" s="69">
        <v>3</v>
      </c>
      <c r="B6" s="66">
        <v>-149</v>
      </c>
      <c r="C6" s="66">
        <v>-49.666666666666664</v>
      </c>
      <c r="D6" s="71">
        <v>2.6666666666666665</v>
      </c>
      <c r="E6" s="67">
        <v>0</v>
      </c>
      <c r="F6" s="67">
        <v>0.66666666666666663</v>
      </c>
      <c r="G6" s="67">
        <v>0.18518518518518517</v>
      </c>
      <c r="H6" s="67">
        <v>0.25925925925925924</v>
      </c>
      <c r="I6" s="68">
        <v>4220</v>
      </c>
      <c r="J6" s="68">
        <v>-12600</v>
      </c>
      <c r="K6" s="67">
        <v>0.33333333333333331</v>
      </c>
      <c r="L6" s="67">
        <v>0</v>
      </c>
      <c r="M6" s="67">
        <v>0.14814814814814814</v>
      </c>
      <c r="N6" s="67">
        <v>0.1111111111111111</v>
      </c>
      <c r="O6" s="67">
        <v>0.25</v>
      </c>
      <c r="P6" s="67">
        <v>0.33333333333333331</v>
      </c>
      <c r="Q6" s="67">
        <v>0.8</v>
      </c>
    </row>
    <row r="7" spans="1:17" x14ac:dyDescent="0.4">
      <c r="A7" s="69">
        <v>4</v>
      </c>
      <c r="B7" s="66">
        <v>-150.6</v>
      </c>
      <c r="C7" s="66">
        <v>-37.65</v>
      </c>
      <c r="D7" s="71">
        <v>2.5</v>
      </c>
      <c r="E7" s="67">
        <v>0</v>
      </c>
      <c r="F7" s="67">
        <v>0.5</v>
      </c>
      <c r="G7" s="67">
        <v>0.23076923076923078</v>
      </c>
      <c r="H7" s="67">
        <v>0.23076923076923078</v>
      </c>
      <c r="I7" s="68">
        <v>3633.3333333333335</v>
      </c>
      <c r="J7" s="68">
        <v>-11011.111111111111</v>
      </c>
      <c r="K7" s="67">
        <v>0.25</v>
      </c>
      <c r="L7" s="67">
        <v>0</v>
      </c>
      <c r="M7" s="67">
        <v>0.17948717948717949</v>
      </c>
      <c r="N7" s="67">
        <v>0.10256410256410256</v>
      </c>
      <c r="O7" s="67">
        <v>0.5714285714285714</v>
      </c>
      <c r="P7" s="67">
        <v>0.25</v>
      </c>
      <c r="Q7" s="67">
        <v>0.77777777777777779</v>
      </c>
    </row>
    <row r="8" spans="1:17" x14ac:dyDescent="0.4">
      <c r="A8" s="69">
        <v>5</v>
      </c>
      <c r="B8" s="66">
        <v>-184.89999999999998</v>
      </c>
      <c r="C8" s="66">
        <v>-36.979999999999997</v>
      </c>
      <c r="D8" s="71">
        <v>2.6</v>
      </c>
      <c r="E8" s="67">
        <v>0</v>
      </c>
      <c r="F8" s="67">
        <v>0.6</v>
      </c>
      <c r="G8" s="67">
        <v>0.19148936170212766</v>
      </c>
      <c r="H8" s="67">
        <v>0.23404255319148937</v>
      </c>
      <c r="I8" s="68">
        <v>3633.3333333333335</v>
      </c>
      <c r="J8" s="68">
        <v>-9836.363636363636</v>
      </c>
      <c r="K8" s="67">
        <v>0.2</v>
      </c>
      <c r="L8" s="67">
        <v>0</v>
      </c>
      <c r="M8" s="67">
        <v>0.19148936170212766</v>
      </c>
      <c r="N8" s="67">
        <v>0.1276595744680851</v>
      </c>
      <c r="O8" s="67">
        <v>0.44444444444444442</v>
      </c>
      <c r="P8" s="67">
        <v>0.16666666666666666</v>
      </c>
      <c r="Q8" s="67">
        <v>0.77777777777777779</v>
      </c>
    </row>
    <row r="9" spans="1:17" x14ac:dyDescent="0.4">
      <c r="A9" s="69">
        <v>6</v>
      </c>
      <c r="B9" s="66">
        <v>-187.59999999999997</v>
      </c>
      <c r="C9" s="66">
        <v>-31.266666666666662</v>
      </c>
      <c r="D9" s="71">
        <v>2.5</v>
      </c>
      <c r="E9" s="67">
        <v>0</v>
      </c>
      <c r="F9" s="67">
        <v>0.5</v>
      </c>
      <c r="G9" s="67">
        <v>0.18518518518518517</v>
      </c>
      <c r="H9" s="67">
        <v>0.22222222222222221</v>
      </c>
      <c r="I9" s="68">
        <v>3850</v>
      </c>
      <c r="J9" s="68">
        <v>-9183.3333333333339</v>
      </c>
      <c r="K9" s="67">
        <v>0.16666666666666666</v>
      </c>
      <c r="L9" s="67">
        <v>0</v>
      </c>
      <c r="M9" s="67">
        <v>0.16666666666666666</v>
      </c>
      <c r="N9" s="67">
        <v>0.14814814814814814</v>
      </c>
      <c r="O9" s="67">
        <v>0.44444444444444442</v>
      </c>
      <c r="P9" s="67">
        <v>0.25</v>
      </c>
      <c r="Q9" s="67">
        <v>0.7</v>
      </c>
    </row>
    <row r="10" spans="1:17" x14ac:dyDescent="0.4">
      <c r="A10" s="69">
        <v>7</v>
      </c>
      <c r="B10" s="66">
        <v>-216.09999999999997</v>
      </c>
      <c r="C10" s="66">
        <v>-30.871428571428567</v>
      </c>
      <c r="D10" s="71">
        <v>2.5714285714285716</v>
      </c>
      <c r="E10" s="67">
        <v>0</v>
      </c>
      <c r="F10" s="67">
        <v>0.5714285714285714</v>
      </c>
      <c r="G10" s="67">
        <v>0.203125</v>
      </c>
      <c r="H10" s="67">
        <v>0.203125</v>
      </c>
      <c r="I10" s="68">
        <v>4323.0769230769229</v>
      </c>
      <c r="J10" s="68">
        <v>-9069.2307692307695</v>
      </c>
      <c r="K10" s="67">
        <v>0.14285714285714285</v>
      </c>
      <c r="L10" s="67">
        <v>0</v>
      </c>
      <c r="M10" s="67">
        <v>0.140625</v>
      </c>
      <c r="N10" s="67">
        <v>0.1875</v>
      </c>
      <c r="O10" s="67">
        <v>0.44444444444444442</v>
      </c>
      <c r="P10" s="67">
        <v>0.33333333333333331</v>
      </c>
      <c r="Q10" s="67">
        <v>0.61538461538461542</v>
      </c>
    </row>
    <row r="11" spans="1:17" x14ac:dyDescent="0.4">
      <c r="A11" s="69">
        <v>8</v>
      </c>
      <c r="B11" s="66">
        <v>-219.59999999999997</v>
      </c>
      <c r="C11" s="66">
        <v>-27.449999999999996</v>
      </c>
      <c r="D11" s="71">
        <v>2.5</v>
      </c>
      <c r="E11" s="67">
        <v>0</v>
      </c>
      <c r="F11" s="67">
        <v>0.5</v>
      </c>
      <c r="G11" s="67">
        <v>0.24324324324324326</v>
      </c>
      <c r="H11" s="67">
        <v>0.1891891891891892</v>
      </c>
      <c r="I11" s="68">
        <v>4200</v>
      </c>
      <c r="J11" s="68">
        <v>-9250</v>
      </c>
      <c r="K11" s="67">
        <v>0.125</v>
      </c>
      <c r="L11" s="67">
        <v>0</v>
      </c>
      <c r="M11" s="67">
        <v>0.14864864864864866</v>
      </c>
      <c r="N11" s="67">
        <v>0.21621621621621623</v>
      </c>
      <c r="O11" s="67">
        <v>0.45454545454545453</v>
      </c>
      <c r="P11" s="67">
        <v>0.375</v>
      </c>
      <c r="Q11" s="67">
        <v>0.55555555555555558</v>
      </c>
    </row>
    <row r="12" spans="1:17" x14ac:dyDescent="0.4">
      <c r="A12" s="69">
        <v>9</v>
      </c>
      <c r="B12" s="66">
        <v>-260.59999999999997</v>
      </c>
      <c r="C12" s="66">
        <v>-28.955555555555552</v>
      </c>
      <c r="D12" s="71">
        <v>2.5555555555555554</v>
      </c>
      <c r="E12" s="67">
        <v>0</v>
      </c>
      <c r="F12" s="67">
        <v>0.55555555555555558</v>
      </c>
      <c r="G12" s="67">
        <v>0.23809523809523808</v>
      </c>
      <c r="H12" s="67">
        <v>0.21428571428571427</v>
      </c>
      <c r="I12" s="68">
        <v>4085</v>
      </c>
      <c r="J12" s="68">
        <v>-8144.4444444444443</v>
      </c>
      <c r="K12" s="67">
        <v>0.1111111111111111</v>
      </c>
      <c r="L12" s="67">
        <v>0</v>
      </c>
      <c r="M12" s="67">
        <v>0.14285714285714285</v>
      </c>
      <c r="N12" s="67">
        <v>0.23809523809523808</v>
      </c>
      <c r="O12" s="67">
        <v>0.41666666666666669</v>
      </c>
      <c r="P12" s="67">
        <v>0.3</v>
      </c>
      <c r="Q12" s="67">
        <v>0.6</v>
      </c>
    </row>
    <row r="13" spans="1:17" x14ac:dyDescent="0.4">
      <c r="A13" s="69">
        <v>10</v>
      </c>
      <c r="B13" s="66">
        <v>-318.39999999999998</v>
      </c>
      <c r="C13" s="66">
        <v>-31.839999999999996</v>
      </c>
      <c r="D13" s="71">
        <v>2.6</v>
      </c>
      <c r="E13" s="67">
        <v>0</v>
      </c>
      <c r="F13" s="67">
        <v>0.6</v>
      </c>
      <c r="G13" s="67">
        <v>0.25773195876288657</v>
      </c>
      <c r="H13" s="67">
        <v>0.23711340206185566</v>
      </c>
      <c r="I13" s="68">
        <v>4756</v>
      </c>
      <c r="J13" s="68">
        <v>-9313.04347826087</v>
      </c>
      <c r="K13" s="67">
        <v>0.2</v>
      </c>
      <c r="L13" s="67">
        <v>0</v>
      </c>
      <c r="M13" s="67">
        <v>0.14432989690721648</v>
      </c>
      <c r="N13" s="67">
        <v>0.25773195876288657</v>
      </c>
      <c r="O13" s="67">
        <v>0.42857142857142855</v>
      </c>
      <c r="P13" s="67">
        <v>0.36</v>
      </c>
      <c r="Q13" s="67">
        <v>0.52</v>
      </c>
    </row>
    <row r="14" spans="1:17" x14ac:dyDescent="0.4">
      <c r="A14" s="69">
        <v>11</v>
      </c>
      <c r="B14" s="66">
        <v>-325.39999999999998</v>
      </c>
      <c r="C14" s="66">
        <v>-29.581818181818178</v>
      </c>
      <c r="D14" s="71">
        <v>2.5454545454545454</v>
      </c>
      <c r="E14" s="67">
        <v>0</v>
      </c>
      <c r="F14" s="67">
        <v>0.54545454545454541</v>
      </c>
      <c r="G14" s="67">
        <v>0.27184466019417475</v>
      </c>
      <c r="H14" s="67">
        <v>0.24271844660194175</v>
      </c>
      <c r="I14" s="68">
        <v>4528.5714285714284</v>
      </c>
      <c r="J14" s="68">
        <v>-9204</v>
      </c>
      <c r="K14" s="67">
        <v>0.18181818181818182</v>
      </c>
      <c r="L14" s="67">
        <v>0</v>
      </c>
      <c r="M14" s="67">
        <v>0.13592233009708737</v>
      </c>
      <c r="N14" s="67">
        <v>0.25242718446601942</v>
      </c>
      <c r="O14" s="67">
        <v>0.42857142857142855</v>
      </c>
      <c r="P14" s="67">
        <v>0.38461538461538464</v>
      </c>
      <c r="Q14" s="67">
        <v>0.5</v>
      </c>
    </row>
    <row r="15" spans="1:17" x14ac:dyDescent="0.4">
      <c r="A15" s="69">
        <v>12</v>
      </c>
      <c r="B15" s="66">
        <v>-289.59999999999997</v>
      </c>
      <c r="C15" s="66">
        <v>-24.133333333333329</v>
      </c>
      <c r="D15" s="71">
        <v>2.4166666666666665</v>
      </c>
      <c r="E15" s="67">
        <v>8.3333333333333329E-2</v>
      </c>
      <c r="F15" s="67">
        <v>0.5</v>
      </c>
      <c r="G15" s="67">
        <v>0.2831858407079646</v>
      </c>
      <c r="H15" s="67">
        <v>0.24778761061946902</v>
      </c>
      <c r="I15" s="68">
        <v>5150</v>
      </c>
      <c r="J15" s="68">
        <v>-8521.4285714285706</v>
      </c>
      <c r="K15" s="67">
        <v>0.16666666666666666</v>
      </c>
      <c r="L15" s="67">
        <v>0</v>
      </c>
      <c r="M15" s="67">
        <v>0.15929203539823009</v>
      </c>
      <c r="N15" s="67">
        <v>0.23008849557522124</v>
      </c>
      <c r="O15" s="67">
        <v>0.5</v>
      </c>
      <c r="P15" s="67">
        <v>0.38461538461538464</v>
      </c>
      <c r="Q15" s="67">
        <v>0.53125</v>
      </c>
    </row>
    <row r="16" spans="1:17" x14ac:dyDescent="0.4">
      <c r="A16" s="69">
        <v>13</v>
      </c>
      <c r="B16" s="66">
        <v>-302.59999999999997</v>
      </c>
      <c r="C16" s="66">
        <v>-23.276923076923076</v>
      </c>
      <c r="D16" s="71">
        <v>2.3846153846153846</v>
      </c>
      <c r="E16" s="67">
        <v>7.6923076923076927E-2</v>
      </c>
      <c r="F16" s="67">
        <v>0.46153846153846156</v>
      </c>
      <c r="G16" s="67">
        <v>0.27350427350427353</v>
      </c>
      <c r="H16" s="67">
        <v>0.23931623931623933</v>
      </c>
      <c r="I16" s="68">
        <v>5150</v>
      </c>
      <c r="J16" s="68">
        <v>-8521.4285714285706</v>
      </c>
      <c r="K16" s="67">
        <v>0.15384615384615385</v>
      </c>
      <c r="L16" s="67">
        <v>0</v>
      </c>
      <c r="M16" s="67">
        <v>0.17094017094017094</v>
      </c>
      <c r="N16" s="67">
        <v>0.23076923076923078</v>
      </c>
      <c r="O16" s="67">
        <v>0.45</v>
      </c>
      <c r="P16" s="67">
        <v>0.37037037037037035</v>
      </c>
      <c r="Q16" s="67">
        <v>0.53125</v>
      </c>
    </row>
    <row r="17" spans="1:17" x14ac:dyDescent="0.4">
      <c r="A17" s="69">
        <v>14</v>
      </c>
      <c r="B17" s="66">
        <v>-269.99999999999994</v>
      </c>
      <c r="C17" s="66">
        <v>-19.285714285714281</v>
      </c>
      <c r="D17" s="71">
        <v>2.2857142857142856</v>
      </c>
      <c r="E17" s="67">
        <v>0.14285714285714285</v>
      </c>
      <c r="F17" s="67">
        <v>0.42857142857142855</v>
      </c>
      <c r="G17" s="67">
        <v>0.27777777777777779</v>
      </c>
      <c r="H17" s="67">
        <v>0.23809523809523808</v>
      </c>
      <c r="I17" s="68">
        <v>5451.4285714285716</v>
      </c>
      <c r="J17" s="68">
        <v>-8170</v>
      </c>
      <c r="K17" s="67">
        <v>0.14285714285714285</v>
      </c>
      <c r="L17" s="67">
        <v>0</v>
      </c>
      <c r="M17" s="67">
        <v>0.18253968253968253</v>
      </c>
      <c r="N17" s="67">
        <v>0.23809523809523808</v>
      </c>
      <c r="O17" s="67">
        <v>0.47826086956521741</v>
      </c>
      <c r="P17" s="67">
        <v>0.33333333333333331</v>
      </c>
      <c r="Q17" s="67">
        <v>0.51428571428571423</v>
      </c>
    </row>
    <row r="18" spans="1:17" x14ac:dyDescent="0.4">
      <c r="A18" s="69">
        <v>15</v>
      </c>
      <c r="B18" s="66">
        <v>-264.59999999999997</v>
      </c>
      <c r="C18" s="66">
        <v>-17.639999999999997</v>
      </c>
      <c r="D18" s="71">
        <v>2.2666666666666666</v>
      </c>
      <c r="E18" s="67">
        <v>0.13333333333333333</v>
      </c>
      <c r="F18" s="67">
        <v>0.4</v>
      </c>
      <c r="G18" s="67">
        <v>0.28358208955223879</v>
      </c>
      <c r="H18" s="67">
        <v>0.2462686567164179</v>
      </c>
      <c r="I18" s="68">
        <v>5676.3157894736842</v>
      </c>
      <c r="J18" s="68">
        <v>-7996.969696969697</v>
      </c>
      <c r="K18" s="67">
        <v>0.13333333333333333</v>
      </c>
      <c r="L18" s="67">
        <v>0</v>
      </c>
      <c r="M18" s="67">
        <v>0.19402985074626866</v>
      </c>
      <c r="N18" s="67">
        <v>0.23134328358208955</v>
      </c>
      <c r="O18" s="67">
        <v>0.53846153846153844</v>
      </c>
      <c r="P18" s="67">
        <v>0.32258064516129031</v>
      </c>
      <c r="Q18" s="67">
        <v>0.52631578947368418</v>
      </c>
    </row>
    <row r="19" spans="1:17" x14ac:dyDescent="0.4">
      <c r="A19" s="69">
        <v>16</v>
      </c>
      <c r="B19" s="66">
        <v>-292.79999999999995</v>
      </c>
      <c r="C19" s="66">
        <v>-18.299999999999997</v>
      </c>
      <c r="D19" s="71">
        <v>2.3125</v>
      </c>
      <c r="E19" s="67">
        <v>0.125</v>
      </c>
      <c r="F19" s="67">
        <v>0.4375</v>
      </c>
      <c r="G19" s="67">
        <v>0.2857142857142857</v>
      </c>
      <c r="H19" s="67">
        <v>0.24285714285714285</v>
      </c>
      <c r="I19" s="68">
        <v>5682.5</v>
      </c>
      <c r="J19" s="68">
        <v>-8114.7058823529414</v>
      </c>
      <c r="K19" s="67">
        <v>0.125</v>
      </c>
      <c r="L19" s="67">
        <v>0</v>
      </c>
      <c r="M19" s="67">
        <v>0.18571428571428572</v>
      </c>
      <c r="N19" s="67">
        <v>0.22857142857142856</v>
      </c>
      <c r="O19" s="67">
        <v>0.53846153846153844</v>
      </c>
      <c r="P19" s="67">
        <v>0.3125</v>
      </c>
      <c r="Q19" s="67">
        <v>0.5</v>
      </c>
    </row>
    <row r="20" spans="1:17" x14ac:dyDescent="0.4">
      <c r="A20" s="69">
        <v>17</v>
      </c>
      <c r="B20" s="66">
        <v>-248.89999999999995</v>
      </c>
      <c r="C20" s="66">
        <v>-14.641176470588233</v>
      </c>
      <c r="D20" s="71">
        <v>2.2352941176470589</v>
      </c>
      <c r="E20" s="67">
        <v>0.17647058823529413</v>
      </c>
      <c r="F20" s="67">
        <v>0.41176470588235292</v>
      </c>
      <c r="G20" s="67">
        <v>0.28387096774193549</v>
      </c>
      <c r="H20" s="67">
        <v>0.23870967741935484</v>
      </c>
      <c r="I20" s="68">
        <v>6311.363636363636</v>
      </c>
      <c r="J20" s="68">
        <v>-8067.5675675675675</v>
      </c>
      <c r="K20" s="67">
        <v>0.11764705882352941</v>
      </c>
      <c r="L20" s="67">
        <v>5.8823529411764705E-2</v>
      </c>
      <c r="M20" s="67">
        <v>0.18709677419354839</v>
      </c>
      <c r="N20" s="67">
        <v>0.22580645161290322</v>
      </c>
      <c r="O20" s="67">
        <v>0.55172413793103448</v>
      </c>
      <c r="P20" s="67">
        <v>0.31428571428571428</v>
      </c>
      <c r="Q20" s="67">
        <v>0.5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186CA1-F8A6-4ABF-994B-C4BFD93F04E2}">
  <sheetPr codeName="Sheet16"/>
  <dimension ref="A1:Q25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173</v>
      </c>
      <c r="B1" s="70" t="s">
        <v>173</v>
      </c>
      <c r="C1" s="70" t="s">
        <v>173</v>
      </c>
      <c r="D1" s="71" t="s">
        <v>173</v>
      </c>
      <c r="E1" s="70" t="s">
        <v>173</v>
      </c>
      <c r="F1" s="70" t="s">
        <v>173</v>
      </c>
      <c r="G1" s="70" t="s">
        <v>173</v>
      </c>
      <c r="H1" s="70" t="s">
        <v>173</v>
      </c>
      <c r="I1" s="70" t="s">
        <v>173</v>
      </c>
      <c r="J1" s="70" t="s">
        <v>173</v>
      </c>
      <c r="K1" s="70" t="s">
        <v>173</v>
      </c>
      <c r="L1" s="70" t="s">
        <v>173</v>
      </c>
      <c r="M1" s="70" t="s">
        <v>173</v>
      </c>
      <c r="N1" s="70" t="s">
        <v>173</v>
      </c>
      <c r="O1" s="70" t="s">
        <v>173</v>
      </c>
      <c r="P1" s="70" t="s">
        <v>173</v>
      </c>
      <c r="Q1" s="70" t="s">
        <v>173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11.1</v>
      </c>
      <c r="C4" s="66">
        <v>11.1</v>
      </c>
      <c r="D4" s="71">
        <v>2</v>
      </c>
      <c r="E4" s="67">
        <v>0</v>
      </c>
      <c r="F4" s="67">
        <v>0</v>
      </c>
      <c r="G4" s="67">
        <v>0.14285714285714285</v>
      </c>
      <c r="H4" s="67">
        <v>0.14285714285714285</v>
      </c>
      <c r="I4" s="68">
        <v>8000</v>
      </c>
      <c r="J4" s="68">
        <v>-3900</v>
      </c>
      <c r="K4" s="67">
        <v>0</v>
      </c>
      <c r="L4" s="67">
        <v>0</v>
      </c>
      <c r="M4" s="67">
        <v>0</v>
      </c>
      <c r="N4" s="67">
        <v>0.42857142857142855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-7.7000000000000011</v>
      </c>
      <c r="C5" s="66">
        <v>-3.8500000000000005</v>
      </c>
      <c r="D5" s="71">
        <v>2</v>
      </c>
      <c r="E5" s="67">
        <v>0</v>
      </c>
      <c r="F5" s="67">
        <v>0</v>
      </c>
      <c r="G5" s="67">
        <v>0.125</v>
      </c>
      <c r="H5" s="67">
        <v>0.125</v>
      </c>
      <c r="I5" s="68">
        <v>5050</v>
      </c>
      <c r="J5" s="68">
        <v>-6750</v>
      </c>
      <c r="K5" s="67">
        <v>0</v>
      </c>
      <c r="L5" s="67">
        <v>0</v>
      </c>
      <c r="M5" s="67">
        <v>0.125</v>
      </c>
      <c r="N5" s="67">
        <v>0.375</v>
      </c>
      <c r="O5" s="67">
        <v>0</v>
      </c>
      <c r="P5" s="67">
        <v>0.16666666666666666</v>
      </c>
      <c r="Q5" s="67">
        <v>0.5</v>
      </c>
    </row>
    <row r="6" spans="1:17" x14ac:dyDescent="0.4">
      <c r="A6" s="69">
        <v>3</v>
      </c>
      <c r="B6" s="66">
        <v>1.7999999999999989</v>
      </c>
      <c r="C6" s="66">
        <v>0.59999999999999964</v>
      </c>
      <c r="D6" s="71">
        <v>2</v>
      </c>
      <c r="E6" s="67">
        <v>0</v>
      </c>
      <c r="F6" s="67">
        <v>0</v>
      </c>
      <c r="G6" s="67">
        <v>0.25</v>
      </c>
      <c r="H6" s="67">
        <v>0.1</v>
      </c>
      <c r="I6" s="68">
        <v>3520</v>
      </c>
      <c r="J6" s="68">
        <v>-6750</v>
      </c>
      <c r="K6" s="67">
        <v>0</v>
      </c>
      <c r="L6" s="67">
        <v>0</v>
      </c>
      <c r="M6" s="67">
        <v>0.15</v>
      </c>
      <c r="N6" s="67">
        <v>0.4</v>
      </c>
      <c r="O6" s="67">
        <v>0.33333333333333331</v>
      </c>
      <c r="P6" s="67">
        <v>0.375</v>
      </c>
      <c r="Q6" s="67">
        <v>0.4</v>
      </c>
    </row>
    <row r="7" spans="1:17" x14ac:dyDescent="0.4">
      <c r="A7" s="69">
        <v>4</v>
      </c>
      <c r="B7" s="66">
        <v>34.9</v>
      </c>
      <c r="C7" s="66">
        <v>8.7249999999999996</v>
      </c>
      <c r="D7" s="71">
        <v>1.75</v>
      </c>
      <c r="E7" s="67">
        <v>0.25</v>
      </c>
      <c r="F7" s="67">
        <v>0</v>
      </c>
      <c r="G7" s="67">
        <v>0.2857142857142857</v>
      </c>
      <c r="H7" s="67">
        <v>0.10714285714285714</v>
      </c>
      <c r="I7" s="68">
        <v>4662.5</v>
      </c>
      <c r="J7" s="68">
        <v>-8366.6666666666661</v>
      </c>
      <c r="K7" s="67">
        <v>0</v>
      </c>
      <c r="L7" s="67">
        <v>0</v>
      </c>
      <c r="M7" s="67">
        <v>0.14285714285714285</v>
      </c>
      <c r="N7" s="67">
        <v>0.39285714285714285</v>
      </c>
      <c r="O7" s="67">
        <v>0.5</v>
      </c>
      <c r="P7" s="67">
        <v>0.45454545454545453</v>
      </c>
      <c r="Q7" s="67">
        <v>0.5</v>
      </c>
    </row>
    <row r="8" spans="1:17" x14ac:dyDescent="0.4">
      <c r="A8" s="69">
        <v>5</v>
      </c>
      <c r="B8" s="66">
        <v>29.4</v>
      </c>
      <c r="C8" s="66">
        <v>5.88</v>
      </c>
      <c r="D8" s="71">
        <v>1.8</v>
      </c>
      <c r="E8" s="67">
        <v>0.2</v>
      </c>
      <c r="F8" s="67">
        <v>0</v>
      </c>
      <c r="G8" s="67">
        <v>0.27500000000000002</v>
      </c>
      <c r="H8" s="67">
        <v>0.125</v>
      </c>
      <c r="I8" s="68">
        <v>5318.181818181818</v>
      </c>
      <c r="J8" s="68">
        <v>-7400</v>
      </c>
      <c r="K8" s="67">
        <v>0</v>
      </c>
      <c r="L8" s="67">
        <v>0</v>
      </c>
      <c r="M8" s="67">
        <v>0.15</v>
      </c>
      <c r="N8" s="67">
        <v>0.35</v>
      </c>
      <c r="O8" s="67">
        <v>0.5</v>
      </c>
      <c r="P8" s="67">
        <v>0.42857142857142855</v>
      </c>
      <c r="Q8" s="67">
        <v>0.45454545454545453</v>
      </c>
    </row>
    <row r="9" spans="1:17" x14ac:dyDescent="0.4">
      <c r="A9" s="69">
        <v>6</v>
      </c>
      <c r="B9" s="66">
        <v>4.2999999999999972</v>
      </c>
      <c r="C9" s="66">
        <v>0.71666666666666623</v>
      </c>
      <c r="D9" s="71">
        <v>2</v>
      </c>
      <c r="E9" s="67">
        <v>0.16666666666666666</v>
      </c>
      <c r="F9" s="67">
        <v>0.16666666666666666</v>
      </c>
      <c r="G9" s="67">
        <v>0.2978723404255319</v>
      </c>
      <c r="H9" s="67">
        <v>0.1702127659574468</v>
      </c>
      <c r="I9" s="68">
        <v>5121.4285714285716</v>
      </c>
      <c r="J9" s="68">
        <v>-6487.5</v>
      </c>
      <c r="K9" s="67">
        <v>0</v>
      </c>
      <c r="L9" s="67">
        <v>0</v>
      </c>
      <c r="M9" s="67">
        <v>0.14893617021276595</v>
      </c>
      <c r="N9" s="67">
        <v>0.36170212765957449</v>
      </c>
      <c r="O9" s="67">
        <v>0.5714285714285714</v>
      </c>
      <c r="P9" s="67">
        <v>0.41176470588235292</v>
      </c>
      <c r="Q9" s="67">
        <v>0.42857142857142855</v>
      </c>
    </row>
    <row r="10" spans="1:17" x14ac:dyDescent="0.4">
      <c r="A10" s="69">
        <v>7</v>
      </c>
      <c r="B10" s="66">
        <v>7.7999999999999972</v>
      </c>
      <c r="C10" s="66">
        <v>1.1142857142857139</v>
      </c>
      <c r="D10" s="71">
        <v>2</v>
      </c>
      <c r="E10" s="67">
        <v>0.14285714285714285</v>
      </c>
      <c r="F10" s="67">
        <v>0.14285714285714285</v>
      </c>
      <c r="G10" s="67">
        <v>0.30909090909090908</v>
      </c>
      <c r="H10" s="67">
        <v>0.16363636363636364</v>
      </c>
      <c r="I10" s="68">
        <v>5858.8235294117649</v>
      </c>
      <c r="J10" s="68">
        <v>-7100</v>
      </c>
      <c r="K10" s="67">
        <v>0</v>
      </c>
      <c r="L10" s="67">
        <v>0</v>
      </c>
      <c r="M10" s="67">
        <v>0.18181818181818182</v>
      </c>
      <c r="N10" s="67">
        <v>0.34545454545454546</v>
      </c>
      <c r="O10" s="67">
        <v>0.7</v>
      </c>
      <c r="P10" s="67">
        <v>0.36842105263157893</v>
      </c>
      <c r="Q10" s="67">
        <v>0.35294117647058826</v>
      </c>
    </row>
    <row r="11" spans="1:17" x14ac:dyDescent="0.4">
      <c r="A11" s="69">
        <v>8</v>
      </c>
      <c r="B11" s="66">
        <v>-29.5</v>
      </c>
      <c r="C11" s="66">
        <v>-3.6875</v>
      </c>
      <c r="D11" s="71">
        <v>2.125</v>
      </c>
      <c r="E11" s="67">
        <v>0.125</v>
      </c>
      <c r="F11" s="67">
        <v>0.25</v>
      </c>
      <c r="G11" s="67">
        <v>0.27868852459016391</v>
      </c>
      <c r="H11" s="67">
        <v>0.16393442622950818</v>
      </c>
      <c r="I11" s="68">
        <v>5858.8235294117649</v>
      </c>
      <c r="J11" s="68">
        <v>-7190</v>
      </c>
      <c r="K11" s="67">
        <v>0</v>
      </c>
      <c r="L11" s="67">
        <v>0</v>
      </c>
      <c r="M11" s="67">
        <v>0.18032786885245902</v>
      </c>
      <c r="N11" s="67">
        <v>0.34426229508196721</v>
      </c>
      <c r="O11" s="67">
        <v>0.63636363636363635</v>
      </c>
      <c r="P11" s="67">
        <v>0.33333333333333331</v>
      </c>
      <c r="Q11" s="67">
        <v>0.35294117647058826</v>
      </c>
    </row>
    <row r="12" spans="1:17" x14ac:dyDescent="0.4">
      <c r="A12" s="69">
        <v>9</v>
      </c>
      <c r="B12" s="66">
        <v>-56.5</v>
      </c>
      <c r="C12" s="66">
        <v>-6.2777777777777777</v>
      </c>
      <c r="D12" s="71">
        <v>2.2222222222222223</v>
      </c>
      <c r="E12" s="67">
        <v>0.1111111111111111</v>
      </c>
      <c r="F12" s="67">
        <v>0.33333333333333331</v>
      </c>
      <c r="G12" s="67">
        <v>0.29577464788732394</v>
      </c>
      <c r="H12" s="67">
        <v>0.18309859154929578</v>
      </c>
      <c r="I12" s="68">
        <v>6409.5238095238092</v>
      </c>
      <c r="J12" s="68">
        <v>-7530.7692307692305</v>
      </c>
      <c r="K12" s="67">
        <v>0</v>
      </c>
      <c r="L12" s="67">
        <v>0</v>
      </c>
      <c r="M12" s="67">
        <v>0.18309859154929578</v>
      </c>
      <c r="N12" s="67">
        <v>0.38028169014084506</v>
      </c>
      <c r="O12" s="67">
        <v>0.61538461538461542</v>
      </c>
      <c r="P12" s="67">
        <v>0.37037037037037035</v>
      </c>
      <c r="Q12" s="67">
        <v>0.38095238095238093</v>
      </c>
    </row>
    <row r="13" spans="1:17" x14ac:dyDescent="0.4">
      <c r="A13" s="69">
        <v>10</v>
      </c>
      <c r="B13" s="66">
        <v>24.200000000000003</v>
      </c>
      <c r="C13" s="66">
        <v>2.4200000000000004</v>
      </c>
      <c r="D13" s="71">
        <v>2.1</v>
      </c>
      <c r="E13" s="67">
        <v>0.2</v>
      </c>
      <c r="F13" s="67">
        <v>0.3</v>
      </c>
      <c r="G13" s="67">
        <v>0.35064935064935066</v>
      </c>
      <c r="H13" s="67">
        <v>0.16883116883116883</v>
      </c>
      <c r="I13" s="68">
        <v>6788.8888888888887</v>
      </c>
      <c r="J13" s="68">
        <v>-7530.7692307692305</v>
      </c>
      <c r="K13" s="67">
        <v>0</v>
      </c>
      <c r="L13" s="67">
        <v>0.1</v>
      </c>
      <c r="M13" s="67">
        <v>0.23376623376623376</v>
      </c>
      <c r="N13" s="67">
        <v>0.36363636363636365</v>
      </c>
      <c r="O13" s="67">
        <v>0.72222222222222221</v>
      </c>
      <c r="P13" s="67">
        <v>0.39285714285714285</v>
      </c>
      <c r="Q13" s="67">
        <v>0.40740740740740738</v>
      </c>
    </row>
    <row r="14" spans="1:17" x14ac:dyDescent="0.4">
      <c r="A14" s="69">
        <v>11</v>
      </c>
      <c r="B14" s="66">
        <v>74.2</v>
      </c>
      <c r="C14" s="66">
        <v>6.745454545454546</v>
      </c>
      <c r="D14" s="71">
        <v>2</v>
      </c>
      <c r="E14" s="67">
        <v>0.27272727272727271</v>
      </c>
      <c r="F14" s="67">
        <v>0.27272727272727271</v>
      </c>
      <c r="G14" s="67">
        <v>0.3707865168539326</v>
      </c>
      <c r="H14" s="67">
        <v>0.14606741573033707</v>
      </c>
      <c r="I14" s="68">
        <v>6690.909090909091</v>
      </c>
      <c r="J14" s="68">
        <v>-7530.7692307692305</v>
      </c>
      <c r="K14" s="67">
        <v>0</v>
      </c>
      <c r="L14" s="67">
        <v>9.0909090909090912E-2</v>
      </c>
      <c r="M14" s="67">
        <v>0.2247191011235955</v>
      </c>
      <c r="N14" s="67">
        <v>0.3707865168539326</v>
      </c>
      <c r="O14" s="67">
        <v>0.7</v>
      </c>
      <c r="P14" s="67">
        <v>0.42424242424242425</v>
      </c>
      <c r="Q14" s="67">
        <v>0.36363636363636365</v>
      </c>
    </row>
    <row r="15" spans="1:17" x14ac:dyDescent="0.4">
      <c r="A15" s="69">
        <v>12</v>
      </c>
      <c r="B15" s="66">
        <v>46.1</v>
      </c>
      <c r="C15" s="66">
        <v>3.8416666666666668</v>
      </c>
      <c r="D15" s="71">
        <v>2.0833333333333335</v>
      </c>
      <c r="E15" s="67">
        <v>0.25</v>
      </c>
      <c r="F15" s="67">
        <v>0.33333333333333331</v>
      </c>
      <c r="G15" s="67">
        <v>0.375</v>
      </c>
      <c r="H15" s="67">
        <v>0.15625</v>
      </c>
      <c r="I15" s="68">
        <v>6500</v>
      </c>
      <c r="J15" s="68">
        <v>-7213.333333333333</v>
      </c>
      <c r="K15" s="67">
        <v>0</v>
      </c>
      <c r="L15" s="67">
        <v>8.3333333333333329E-2</v>
      </c>
      <c r="M15" s="67">
        <v>0.20833333333333334</v>
      </c>
      <c r="N15" s="67">
        <v>0.375</v>
      </c>
      <c r="O15" s="67">
        <v>0.7</v>
      </c>
      <c r="P15" s="67">
        <v>0.44444444444444442</v>
      </c>
      <c r="Q15" s="67">
        <v>0.3611111111111111</v>
      </c>
    </row>
    <row r="16" spans="1:17" x14ac:dyDescent="0.4">
      <c r="A16" s="69">
        <v>13</v>
      </c>
      <c r="B16" s="66">
        <v>-3</v>
      </c>
      <c r="C16" s="66">
        <v>-0.23076923076923078</v>
      </c>
      <c r="D16" s="71">
        <v>2.1538461538461537</v>
      </c>
      <c r="E16" s="67">
        <v>0.23076923076923078</v>
      </c>
      <c r="F16" s="67">
        <v>0.38461538461538464</v>
      </c>
      <c r="G16" s="67">
        <v>0.3619047619047619</v>
      </c>
      <c r="H16" s="67">
        <v>0.16190476190476191</v>
      </c>
      <c r="I16" s="68">
        <v>6339.4736842105267</v>
      </c>
      <c r="J16" s="68">
        <v>-7376.4705882352937</v>
      </c>
      <c r="K16" s="67">
        <v>0</v>
      </c>
      <c r="L16" s="67">
        <v>7.6923076923076927E-2</v>
      </c>
      <c r="M16" s="67">
        <v>0.2</v>
      </c>
      <c r="N16" s="67">
        <v>0.38095238095238093</v>
      </c>
      <c r="O16" s="67">
        <v>0.66666666666666663</v>
      </c>
      <c r="P16" s="67">
        <v>0.45</v>
      </c>
      <c r="Q16" s="67">
        <v>0.36842105263157893</v>
      </c>
    </row>
    <row r="17" spans="1:17" x14ac:dyDescent="0.4">
      <c r="A17" s="69">
        <v>14</v>
      </c>
      <c r="B17" s="66">
        <v>-12.3</v>
      </c>
      <c r="C17" s="66">
        <v>-0.87857142857142867</v>
      </c>
      <c r="D17" s="71">
        <v>2.1428571428571428</v>
      </c>
      <c r="E17" s="67">
        <v>0.21428571428571427</v>
      </c>
      <c r="F17" s="67">
        <v>0.35714285714285715</v>
      </c>
      <c r="G17" s="67">
        <v>0.35135135135135137</v>
      </c>
      <c r="H17" s="67">
        <v>0.15315315315315314</v>
      </c>
      <c r="I17" s="68">
        <v>6382.0512820512822</v>
      </c>
      <c r="J17" s="68">
        <v>-7376.4705882352937</v>
      </c>
      <c r="K17" s="67">
        <v>0</v>
      </c>
      <c r="L17" s="67">
        <v>7.1428571428571425E-2</v>
      </c>
      <c r="M17" s="67">
        <v>0.2072072072072072</v>
      </c>
      <c r="N17" s="67">
        <v>0.3783783783783784</v>
      </c>
      <c r="O17" s="67">
        <v>0.65217391304347827</v>
      </c>
      <c r="P17" s="67">
        <v>0.42857142857142855</v>
      </c>
      <c r="Q17" s="67">
        <v>0.35897435897435898</v>
      </c>
    </row>
    <row r="18" spans="1:17" x14ac:dyDescent="0.4">
      <c r="A18" s="69">
        <v>15</v>
      </c>
      <c r="B18" s="66">
        <v>-80.3</v>
      </c>
      <c r="C18" s="66">
        <v>-5.3533333333333335</v>
      </c>
      <c r="D18" s="71">
        <v>2.2000000000000002</v>
      </c>
      <c r="E18" s="67">
        <v>0.2</v>
      </c>
      <c r="F18" s="67">
        <v>0.4</v>
      </c>
      <c r="G18" s="67">
        <v>0.32773109243697479</v>
      </c>
      <c r="H18" s="67">
        <v>0.15966386554621848</v>
      </c>
      <c r="I18" s="68">
        <v>6382.0512820512822</v>
      </c>
      <c r="J18" s="68">
        <v>-8494.7368421052633</v>
      </c>
      <c r="K18" s="67">
        <v>6.6666666666666666E-2</v>
      </c>
      <c r="L18" s="67">
        <v>6.6666666666666666E-2</v>
      </c>
      <c r="M18" s="67">
        <v>0.20168067226890757</v>
      </c>
      <c r="N18" s="67">
        <v>0.36974789915966388</v>
      </c>
      <c r="O18" s="67">
        <v>0.625</v>
      </c>
      <c r="P18" s="67">
        <v>0.40909090909090912</v>
      </c>
      <c r="Q18" s="67">
        <v>0.35897435897435898</v>
      </c>
    </row>
    <row r="19" spans="1:17" x14ac:dyDescent="0.4">
      <c r="A19" s="69">
        <v>16</v>
      </c>
      <c r="B19" s="66">
        <v>-87.6</v>
      </c>
      <c r="C19" s="66">
        <v>-5.4749999999999996</v>
      </c>
      <c r="D19" s="71">
        <v>2.1875</v>
      </c>
      <c r="E19" s="67">
        <v>0.1875</v>
      </c>
      <c r="F19" s="67">
        <v>0.375</v>
      </c>
      <c r="G19" s="67">
        <v>0.32258064516129031</v>
      </c>
      <c r="H19" s="67">
        <v>0.15322580645161291</v>
      </c>
      <c r="I19" s="68">
        <v>6422.5</v>
      </c>
      <c r="J19" s="68">
        <v>-8494.7368421052633</v>
      </c>
      <c r="K19" s="67">
        <v>6.25E-2</v>
      </c>
      <c r="L19" s="67">
        <v>6.25E-2</v>
      </c>
      <c r="M19" s="67">
        <v>0.20161290322580644</v>
      </c>
      <c r="N19" s="67">
        <v>0.35483870967741937</v>
      </c>
      <c r="O19" s="67">
        <v>0.64</v>
      </c>
      <c r="P19" s="67">
        <v>0.40909090909090912</v>
      </c>
      <c r="Q19" s="67">
        <v>0.35</v>
      </c>
    </row>
    <row r="20" spans="1:17" x14ac:dyDescent="0.4">
      <c r="A20" s="69">
        <v>17</v>
      </c>
      <c r="B20" s="66">
        <v>-55.099999999999994</v>
      </c>
      <c r="C20" s="66">
        <v>-3.2411764705882349</v>
      </c>
      <c r="D20" s="71">
        <v>2.1176470588235294</v>
      </c>
      <c r="E20" s="67">
        <v>0.23529411764705882</v>
      </c>
      <c r="F20" s="67">
        <v>0.35294117647058826</v>
      </c>
      <c r="G20" s="67">
        <v>0.32575757575757575</v>
      </c>
      <c r="H20" s="67">
        <v>0.14393939393939395</v>
      </c>
      <c r="I20" s="68">
        <v>6330.2325581395353</v>
      </c>
      <c r="J20" s="68">
        <v>-8494.7368421052633</v>
      </c>
      <c r="K20" s="67">
        <v>5.8823529411764705E-2</v>
      </c>
      <c r="L20" s="67">
        <v>5.8823529411764705E-2</v>
      </c>
      <c r="M20" s="67">
        <v>0.20454545454545456</v>
      </c>
      <c r="N20" s="67">
        <v>0.34090909090909088</v>
      </c>
      <c r="O20" s="67">
        <v>0.62962962962962965</v>
      </c>
      <c r="P20" s="67">
        <v>0.42222222222222222</v>
      </c>
      <c r="Q20" s="67">
        <v>0.34883720930232559</v>
      </c>
    </row>
    <row r="21" spans="1:17" x14ac:dyDescent="0.4">
      <c r="A21" s="69">
        <v>18</v>
      </c>
      <c r="B21" s="66">
        <v>-28.199999999999996</v>
      </c>
      <c r="C21" s="66">
        <v>-1.5666666666666664</v>
      </c>
      <c r="D21" s="71">
        <v>2.0555555555555554</v>
      </c>
      <c r="E21" s="67">
        <v>0.27777777777777779</v>
      </c>
      <c r="F21" s="67">
        <v>0.33333333333333331</v>
      </c>
      <c r="G21" s="67">
        <v>0.33571428571428569</v>
      </c>
      <c r="H21" s="67">
        <v>0.1357142857142857</v>
      </c>
      <c r="I21" s="68">
        <v>6131.9148936170213</v>
      </c>
      <c r="J21" s="68">
        <v>-8494.7368421052633</v>
      </c>
      <c r="K21" s="67">
        <v>5.5555555555555552E-2</v>
      </c>
      <c r="L21" s="67">
        <v>5.5555555555555552E-2</v>
      </c>
      <c r="M21" s="67">
        <v>0.2</v>
      </c>
      <c r="N21" s="67">
        <v>0.35714285714285715</v>
      </c>
      <c r="O21" s="67">
        <v>0.6071428571428571</v>
      </c>
      <c r="P21" s="67">
        <v>0.44</v>
      </c>
      <c r="Q21" s="67">
        <v>0.34042553191489361</v>
      </c>
    </row>
    <row r="22" spans="1:17" x14ac:dyDescent="0.4">
      <c r="A22" s="69">
        <v>19</v>
      </c>
      <c r="B22" s="66">
        <v>29.200000000000003</v>
      </c>
      <c r="C22" s="66">
        <v>1.536842105263158</v>
      </c>
      <c r="D22" s="71">
        <v>2</v>
      </c>
      <c r="E22" s="67">
        <v>0.31578947368421051</v>
      </c>
      <c r="F22" s="67">
        <v>0.31578947368421051</v>
      </c>
      <c r="G22" s="67">
        <v>0.34693877551020408</v>
      </c>
      <c r="H22" s="67">
        <v>0.1360544217687075</v>
      </c>
      <c r="I22" s="68">
        <v>6884.3137254901958</v>
      </c>
      <c r="J22" s="68">
        <v>-8670</v>
      </c>
      <c r="K22" s="67">
        <v>5.2631578947368418E-2</v>
      </c>
      <c r="L22" s="67">
        <v>0.10526315789473684</v>
      </c>
      <c r="M22" s="67">
        <v>0.21088435374149661</v>
      </c>
      <c r="N22" s="67">
        <v>0.35374149659863946</v>
      </c>
      <c r="O22" s="67">
        <v>0.64516129032258063</v>
      </c>
      <c r="P22" s="67">
        <v>0.44230769230769229</v>
      </c>
      <c r="Q22" s="67">
        <v>0.37254901960784315</v>
      </c>
    </row>
    <row r="23" spans="1:17" x14ac:dyDescent="0.4">
      <c r="A23" s="69">
        <v>20</v>
      </c>
      <c r="B23" s="66">
        <v>43</v>
      </c>
      <c r="C23" s="66">
        <v>2.15</v>
      </c>
      <c r="D23" s="71">
        <v>2</v>
      </c>
      <c r="E23" s="67">
        <v>0.3</v>
      </c>
      <c r="F23" s="67">
        <v>0.3</v>
      </c>
      <c r="G23" s="67">
        <v>0.35802469135802467</v>
      </c>
      <c r="H23" s="67">
        <v>0.13580246913580246</v>
      </c>
      <c r="I23" s="68">
        <v>6710.3448275862065</v>
      </c>
      <c r="J23" s="68">
        <v>-8440.9090909090901</v>
      </c>
      <c r="K23" s="67">
        <v>0.05</v>
      </c>
      <c r="L23" s="67">
        <v>0.1</v>
      </c>
      <c r="M23" s="67">
        <v>0.20987654320987653</v>
      </c>
      <c r="N23" s="67">
        <v>0.36419753086419754</v>
      </c>
      <c r="O23" s="67">
        <v>0.6470588235294118</v>
      </c>
      <c r="P23" s="67">
        <v>0.44067796610169491</v>
      </c>
      <c r="Q23" s="67">
        <v>0.37931034482758619</v>
      </c>
    </row>
    <row r="24" spans="1:17" x14ac:dyDescent="0.4">
      <c r="A24" s="69">
        <v>21</v>
      </c>
      <c r="B24" s="66">
        <v>89.9</v>
      </c>
      <c r="C24" s="66">
        <v>4.2809523809523808</v>
      </c>
      <c r="D24" s="71">
        <v>1.9523809523809523</v>
      </c>
      <c r="E24" s="67">
        <v>0.33333333333333331</v>
      </c>
      <c r="F24" s="67">
        <v>0.2857142857142857</v>
      </c>
      <c r="G24" s="67">
        <v>0.35260115606936415</v>
      </c>
      <c r="H24" s="67">
        <v>0.13294797687861271</v>
      </c>
      <c r="I24" s="68">
        <v>6804.9180327868853</v>
      </c>
      <c r="J24" s="68">
        <v>-8160.869565217391</v>
      </c>
      <c r="K24" s="67">
        <v>4.7619047619047616E-2</v>
      </c>
      <c r="L24" s="67">
        <v>9.5238095238095233E-2</v>
      </c>
      <c r="M24" s="67">
        <v>0.2138728323699422</v>
      </c>
      <c r="N24" s="67">
        <v>0.36416184971098264</v>
      </c>
      <c r="O24" s="67">
        <v>0.64864864864864868</v>
      </c>
      <c r="P24" s="67">
        <v>0.41269841269841268</v>
      </c>
      <c r="Q24" s="67">
        <v>0.39344262295081966</v>
      </c>
    </row>
    <row r="25" spans="1:17" x14ac:dyDescent="0.4">
      <c r="A25" s="69">
        <v>22</v>
      </c>
      <c r="B25" s="66">
        <v>54.7</v>
      </c>
      <c r="C25" s="66">
        <v>2.4863636363636363</v>
      </c>
      <c r="D25" s="71">
        <v>2</v>
      </c>
      <c r="E25" s="67">
        <v>0.31818181818181818</v>
      </c>
      <c r="F25" s="67">
        <v>0.31818181818181818</v>
      </c>
      <c r="G25" s="67">
        <v>0.34615384615384615</v>
      </c>
      <c r="H25" s="67">
        <v>0.13736263736263737</v>
      </c>
      <c r="I25" s="68">
        <v>6749.2063492063489</v>
      </c>
      <c r="J25" s="68">
        <v>-8384</v>
      </c>
      <c r="K25" s="67">
        <v>4.5454545454545456E-2</v>
      </c>
      <c r="L25" s="67">
        <v>9.0909090909090912E-2</v>
      </c>
      <c r="M25" s="67">
        <v>0.21978021978021978</v>
      </c>
      <c r="N25" s="67">
        <v>0.35164835164835168</v>
      </c>
      <c r="O25" s="67">
        <v>0.625</v>
      </c>
      <c r="P25" s="67">
        <v>0.421875</v>
      </c>
      <c r="Q25" s="67">
        <v>0.41269841269841268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10FCA5-2465-4F0F-90C9-A01E6A01B0B7}">
  <sheetPr codeName="Sheet14"/>
  <dimension ref="A1:Q36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172</v>
      </c>
      <c r="B1" s="70" t="s">
        <v>172</v>
      </c>
      <c r="C1" s="70" t="s">
        <v>172</v>
      </c>
      <c r="D1" s="71" t="s">
        <v>172</v>
      </c>
      <c r="E1" s="70" t="s">
        <v>172</v>
      </c>
      <c r="F1" s="70" t="s">
        <v>172</v>
      </c>
      <c r="G1" s="70" t="s">
        <v>172</v>
      </c>
      <c r="H1" s="70" t="s">
        <v>172</v>
      </c>
      <c r="I1" s="70" t="s">
        <v>172</v>
      </c>
      <c r="J1" s="70" t="s">
        <v>172</v>
      </c>
      <c r="K1" s="70" t="s">
        <v>172</v>
      </c>
      <c r="L1" s="70" t="s">
        <v>172</v>
      </c>
      <c r="M1" s="70" t="s">
        <v>172</v>
      </c>
      <c r="N1" s="70" t="s">
        <v>172</v>
      </c>
      <c r="O1" s="70" t="s">
        <v>172</v>
      </c>
      <c r="P1" s="70" t="s">
        <v>172</v>
      </c>
      <c r="Q1" s="70" t="s">
        <v>172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-51.2</v>
      </c>
      <c r="C4" s="66">
        <v>-51.2</v>
      </c>
      <c r="D4" s="71">
        <v>3</v>
      </c>
      <c r="E4" s="67">
        <v>0</v>
      </c>
      <c r="F4" s="67">
        <v>1</v>
      </c>
      <c r="G4" s="67">
        <v>0.14285714285714285</v>
      </c>
      <c r="H4" s="67">
        <v>0.5714285714285714</v>
      </c>
      <c r="I4" s="68">
        <v>2000</v>
      </c>
      <c r="J4" s="68">
        <v>-5800</v>
      </c>
      <c r="K4" s="67">
        <v>0</v>
      </c>
      <c r="L4" s="67">
        <v>0</v>
      </c>
      <c r="M4" s="67">
        <v>0.2857142857142857</v>
      </c>
      <c r="N4" s="67">
        <v>0.14285714285714285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-93.300000000000011</v>
      </c>
      <c r="C5" s="66">
        <v>-46.650000000000006</v>
      </c>
      <c r="D5" s="71">
        <v>3</v>
      </c>
      <c r="E5" s="67">
        <v>0</v>
      </c>
      <c r="F5" s="67">
        <v>1</v>
      </c>
      <c r="G5" s="67">
        <v>0.125</v>
      </c>
      <c r="H5" s="67">
        <v>0.4375</v>
      </c>
      <c r="I5" s="68">
        <v>2950</v>
      </c>
      <c r="J5" s="68">
        <v>-5014.2857142857147</v>
      </c>
      <c r="K5" s="67">
        <v>0</v>
      </c>
      <c r="L5" s="67">
        <v>0</v>
      </c>
      <c r="M5" s="67">
        <v>0.25</v>
      </c>
      <c r="N5" s="67">
        <v>6.25E-2</v>
      </c>
      <c r="O5" s="67">
        <v>0.25</v>
      </c>
      <c r="P5" s="67">
        <v>0</v>
      </c>
      <c r="Q5" s="67">
        <v>0</v>
      </c>
    </row>
    <row r="6" spans="1:17" x14ac:dyDescent="0.4">
      <c r="A6" s="69">
        <v>3</v>
      </c>
      <c r="B6" s="66">
        <v>-60.100000000000009</v>
      </c>
      <c r="C6" s="66">
        <v>-20.033333333333335</v>
      </c>
      <c r="D6" s="71">
        <v>2.3333333333333335</v>
      </c>
      <c r="E6" s="67">
        <v>0.33333333333333331</v>
      </c>
      <c r="F6" s="67">
        <v>0.66666666666666663</v>
      </c>
      <c r="G6" s="67">
        <v>0.21739130434782608</v>
      </c>
      <c r="H6" s="67">
        <v>0.34782608695652173</v>
      </c>
      <c r="I6" s="68">
        <v>7100</v>
      </c>
      <c r="J6" s="68">
        <v>-5887.5</v>
      </c>
      <c r="K6" s="67">
        <v>0</v>
      </c>
      <c r="L6" s="67">
        <v>0</v>
      </c>
      <c r="M6" s="67">
        <v>0.21739130434782608</v>
      </c>
      <c r="N6" s="67">
        <v>0.21739130434782608</v>
      </c>
      <c r="O6" s="67">
        <v>0.4</v>
      </c>
      <c r="P6" s="67">
        <v>0.4</v>
      </c>
      <c r="Q6" s="67">
        <v>0.2</v>
      </c>
    </row>
    <row r="7" spans="1:17" x14ac:dyDescent="0.4">
      <c r="A7" s="69">
        <v>4</v>
      </c>
      <c r="B7" s="66">
        <v>-11.300000000000011</v>
      </c>
      <c r="C7" s="66">
        <v>-2.8250000000000028</v>
      </c>
      <c r="D7" s="71">
        <v>2</v>
      </c>
      <c r="E7" s="67">
        <v>0.5</v>
      </c>
      <c r="F7" s="67">
        <v>0.5</v>
      </c>
      <c r="G7" s="67">
        <v>0.22222222222222221</v>
      </c>
      <c r="H7" s="67">
        <v>0.33333333333333331</v>
      </c>
      <c r="I7" s="68">
        <v>11250</v>
      </c>
      <c r="J7" s="68">
        <v>-5666.666666666667</v>
      </c>
      <c r="K7" s="67">
        <v>0</v>
      </c>
      <c r="L7" s="67">
        <v>0.25</v>
      </c>
      <c r="M7" s="67">
        <v>0.18518518518518517</v>
      </c>
      <c r="N7" s="67">
        <v>0.25925925925925924</v>
      </c>
      <c r="O7" s="67">
        <v>0.4</v>
      </c>
      <c r="P7" s="67">
        <v>0.2857142857142857</v>
      </c>
      <c r="Q7" s="67">
        <v>0.16666666666666666</v>
      </c>
    </row>
    <row r="8" spans="1:17" x14ac:dyDescent="0.4">
      <c r="A8" s="69">
        <v>5</v>
      </c>
      <c r="B8" s="66">
        <v>-36.100000000000009</v>
      </c>
      <c r="C8" s="66">
        <v>-7.2200000000000015</v>
      </c>
      <c r="D8" s="71">
        <v>2.2000000000000002</v>
      </c>
      <c r="E8" s="67">
        <v>0.4</v>
      </c>
      <c r="F8" s="67">
        <v>0.6</v>
      </c>
      <c r="G8" s="67">
        <v>0.24324324324324326</v>
      </c>
      <c r="H8" s="67">
        <v>0.32432432432432434</v>
      </c>
      <c r="I8" s="68">
        <v>9266.6666666666661</v>
      </c>
      <c r="J8" s="68">
        <v>-5333.333333333333</v>
      </c>
      <c r="K8" s="67">
        <v>0</v>
      </c>
      <c r="L8" s="67">
        <v>0.2</v>
      </c>
      <c r="M8" s="67">
        <v>0.1891891891891892</v>
      </c>
      <c r="N8" s="67">
        <v>0.21621621621621623</v>
      </c>
      <c r="O8" s="67">
        <v>0.5714285714285714</v>
      </c>
      <c r="P8" s="67">
        <v>0.375</v>
      </c>
      <c r="Q8" s="67">
        <v>0.22222222222222221</v>
      </c>
    </row>
    <row r="9" spans="1:17" x14ac:dyDescent="0.4">
      <c r="A9" s="69">
        <v>6</v>
      </c>
      <c r="B9" s="66">
        <v>9.0999999999999943</v>
      </c>
      <c r="C9" s="66">
        <v>1.5166666666666657</v>
      </c>
      <c r="D9" s="71">
        <v>2</v>
      </c>
      <c r="E9" s="67">
        <v>0.5</v>
      </c>
      <c r="F9" s="67">
        <v>0.5</v>
      </c>
      <c r="G9" s="67">
        <v>0.26530612244897961</v>
      </c>
      <c r="H9" s="67">
        <v>0.26530612244897961</v>
      </c>
      <c r="I9" s="68">
        <v>9392.3076923076915</v>
      </c>
      <c r="J9" s="68">
        <v>-5323.0769230769229</v>
      </c>
      <c r="K9" s="67">
        <v>0</v>
      </c>
      <c r="L9" s="67">
        <v>0.16666666666666666</v>
      </c>
      <c r="M9" s="67">
        <v>0.22448979591836735</v>
      </c>
      <c r="N9" s="67">
        <v>0.24489795918367346</v>
      </c>
      <c r="O9" s="67">
        <v>0.54545454545454541</v>
      </c>
      <c r="P9" s="67">
        <v>0.41666666666666669</v>
      </c>
      <c r="Q9" s="67">
        <v>0.23076923076923078</v>
      </c>
    </row>
    <row r="10" spans="1:17" x14ac:dyDescent="0.4">
      <c r="A10" s="69">
        <v>7</v>
      </c>
      <c r="B10" s="66">
        <v>-51.300000000000004</v>
      </c>
      <c r="C10" s="66">
        <v>-7.3285714285714292</v>
      </c>
      <c r="D10" s="71">
        <v>2.1428571428571428</v>
      </c>
      <c r="E10" s="67">
        <v>0.42857142857142855</v>
      </c>
      <c r="F10" s="67">
        <v>0.5714285714285714</v>
      </c>
      <c r="G10" s="67">
        <v>0.24561403508771928</v>
      </c>
      <c r="H10" s="67">
        <v>0.26315789473684209</v>
      </c>
      <c r="I10" s="68">
        <v>8921.4285714285706</v>
      </c>
      <c r="J10" s="68">
        <v>-6586.666666666667</v>
      </c>
      <c r="K10" s="67">
        <v>0.14285714285714285</v>
      </c>
      <c r="L10" s="67">
        <v>0.14285714285714285</v>
      </c>
      <c r="M10" s="67">
        <v>0.21052631578947367</v>
      </c>
      <c r="N10" s="67">
        <v>0.24561403508771928</v>
      </c>
      <c r="O10" s="67">
        <v>0.5</v>
      </c>
      <c r="P10" s="67">
        <v>0.35714285714285715</v>
      </c>
      <c r="Q10" s="67">
        <v>0.2857142857142857</v>
      </c>
    </row>
    <row r="11" spans="1:17" x14ac:dyDescent="0.4">
      <c r="A11" s="69">
        <v>8</v>
      </c>
      <c r="B11" s="66">
        <v>-1.7000000000000028</v>
      </c>
      <c r="C11" s="66">
        <v>-0.21250000000000036</v>
      </c>
      <c r="D11" s="71">
        <v>2</v>
      </c>
      <c r="E11" s="67">
        <v>0.5</v>
      </c>
      <c r="F11" s="67">
        <v>0.5</v>
      </c>
      <c r="G11" s="67">
        <v>0.27536231884057971</v>
      </c>
      <c r="H11" s="67">
        <v>0.21739130434782608</v>
      </c>
      <c r="I11" s="68">
        <v>8084.2105263157891</v>
      </c>
      <c r="J11" s="68">
        <v>-6586.666666666667</v>
      </c>
      <c r="K11" s="67">
        <v>0.125</v>
      </c>
      <c r="L11" s="67">
        <v>0.125</v>
      </c>
      <c r="M11" s="67">
        <v>0.24637681159420291</v>
      </c>
      <c r="N11" s="67">
        <v>0.2318840579710145</v>
      </c>
      <c r="O11" s="67">
        <v>0.47058823529411764</v>
      </c>
      <c r="P11" s="67">
        <v>0.375</v>
      </c>
      <c r="Q11" s="67">
        <v>0.36842105263157893</v>
      </c>
    </row>
    <row r="12" spans="1:17" x14ac:dyDescent="0.4">
      <c r="A12" s="69">
        <v>9</v>
      </c>
      <c r="B12" s="66">
        <v>-5.8000000000000025</v>
      </c>
      <c r="C12" s="66">
        <v>-0.64444444444444471</v>
      </c>
      <c r="D12" s="71">
        <v>2</v>
      </c>
      <c r="E12" s="67">
        <v>0.44444444444444442</v>
      </c>
      <c r="F12" s="67">
        <v>0.44444444444444442</v>
      </c>
      <c r="G12" s="67">
        <v>0.27272727272727271</v>
      </c>
      <c r="H12" s="67">
        <v>0.23376623376623376</v>
      </c>
      <c r="I12" s="68">
        <v>7695.2380952380954</v>
      </c>
      <c r="J12" s="68">
        <v>-6188.8888888888887</v>
      </c>
      <c r="K12" s="67">
        <v>0.1111111111111111</v>
      </c>
      <c r="L12" s="67">
        <v>0.1111111111111111</v>
      </c>
      <c r="M12" s="67">
        <v>0.24675324675324675</v>
      </c>
      <c r="N12" s="67">
        <v>0.23376623376623376</v>
      </c>
      <c r="O12" s="67">
        <v>0.52631578947368418</v>
      </c>
      <c r="P12" s="67">
        <v>0.33333333333333331</v>
      </c>
      <c r="Q12" s="67">
        <v>0.38095238095238093</v>
      </c>
    </row>
    <row r="13" spans="1:17" x14ac:dyDescent="0.4">
      <c r="A13" s="69">
        <v>10</v>
      </c>
      <c r="B13" s="66">
        <v>-56.500000000000007</v>
      </c>
      <c r="C13" s="66">
        <v>-5.65</v>
      </c>
      <c r="D13" s="71">
        <v>2.1</v>
      </c>
      <c r="E13" s="67">
        <v>0.4</v>
      </c>
      <c r="F13" s="67">
        <v>0.5</v>
      </c>
      <c r="G13" s="67">
        <v>0.25882352941176473</v>
      </c>
      <c r="H13" s="67">
        <v>0.24705882352941178</v>
      </c>
      <c r="I13" s="68">
        <v>7890.909090909091</v>
      </c>
      <c r="J13" s="68">
        <v>-6633.333333333333</v>
      </c>
      <c r="K13" s="67">
        <v>0.1</v>
      </c>
      <c r="L13" s="67">
        <v>0.1</v>
      </c>
      <c r="M13" s="67">
        <v>0.23529411764705882</v>
      </c>
      <c r="N13" s="67">
        <v>0.21176470588235294</v>
      </c>
      <c r="O13" s="67">
        <v>0.5</v>
      </c>
      <c r="P13" s="67">
        <v>0.33333333333333331</v>
      </c>
      <c r="Q13" s="67">
        <v>0.36363636363636365</v>
      </c>
    </row>
    <row r="14" spans="1:17" x14ac:dyDescent="0.4">
      <c r="A14" s="69">
        <v>11</v>
      </c>
      <c r="B14" s="66">
        <v>-27.600000000000009</v>
      </c>
      <c r="C14" s="66">
        <v>-2.5090909090909097</v>
      </c>
      <c r="D14" s="71">
        <v>2</v>
      </c>
      <c r="E14" s="67">
        <v>0.45454545454545453</v>
      </c>
      <c r="F14" s="67">
        <v>0.45454545454545453</v>
      </c>
      <c r="G14" s="67">
        <v>0.25263157894736843</v>
      </c>
      <c r="H14" s="67">
        <v>0.23157894736842105</v>
      </c>
      <c r="I14" s="68">
        <v>7883.333333333333</v>
      </c>
      <c r="J14" s="68">
        <v>-6450</v>
      </c>
      <c r="K14" s="67">
        <v>9.0909090909090912E-2</v>
      </c>
      <c r="L14" s="67">
        <v>9.0909090909090912E-2</v>
      </c>
      <c r="M14" s="67">
        <v>0.23157894736842105</v>
      </c>
      <c r="N14" s="67">
        <v>0.21052631578947367</v>
      </c>
      <c r="O14" s="67">
        <v>0.5</v>
      </c>
      <c r="P14" s="67">
        <v>0.35</v>
      </c>
      <c r="Q14" s="67">
        <v>0.375</v>
      </c>
    </row>
    <row r="15" spans="1:17" x14ac:dyDescent="0.4">
      <c r="A15" s="69">
        <v>12</v>
      </c>
      <c r="B15" s="66">
        <v>-42.900000000000006</v>
      </c>
      <c r="C15" s="66">
        <v>-3.5750000000000006</v>
      </c>
      <c r="D15" s="71">
        <v>2</v>
      </c>
      <c r="E15" s="67">
        <v>0.41666666666666669</v>
      </c>
      <c r="F15" s="67">
        <v>0.41666666666666669</v>
      </c>
      <c r="G15" s="67">
        <v>0.22857142857142856</v>
      </c>
      <c r="H15" s="67">
        <v>0.20952380952380953</v>
      </c>
      <c r="I15" s="68">
        <v>7883.333333333333</v>
      </c>
      <c r="J15" s="68">
        <v>-6450</v>
      </c>
      <c r="K15" s="67">
        <v>8.3333333333333329E-2</v>
      </c>
      <c r="L15" s="67">
        <v>8.3333333333333329E-2</v>
      </c>
      <c r="M15" s="67">
        <v>0.22857142857142856</v>
      </c>
      <c r="N15" s="67">
        <v>0.20952380952380953</v>
      </c>
      <c r="O15" s="67">
        <v>0.45833333333333331</v>
      </c>
      <c r="P15" s="67">
        <v>0.31818181818181818</v>
      </c>
      <c r="Q15" s="67">
        <v>0.375</v>
      </c>
    </row>
    <row r="16" spans="1:17" x14ac:dyDescent="0.4">
      <c r="A16" s="69">
        <v>13</v>
      </c>
      <c r="B16" s="66">
        <v>-58.7</v>
      </c>
      <c r="C16" s="66">
        <v>-4.5153846153846153</v>
      </c>
      <c r="D16" s="71">
        <v>2</v>
      </c>
      <c r="E16" s="67">
        <v>0.38461538461538464</v>
      </c>
      <c r="F16" s="67">
        <v>0.38461538461538464</v>
      </c>
      <c r="G16" s="67">
        <v>0.22033898305084745</v>
      </c>
      <c r="H16" s="67">
        <v>0.20338983050847459</v>
      </c>
      <c r="I16" s="68">
        <v>7880.7692307692305</v>
      </c>
      <c r="J16" s="68">
        <v>-6895.833333333333</v>
      </c>
      <c r="K16" s="67">
        <v>7.6923076923076927E-2</v>
      </c>
      <c r="L16" s="67">
        <v>7.6923076923076927E-2</v>
      </c>
      <c r="M16" s="67">
        <v>0.22033898305084745</v>
      </c>
      <c r="N16" s="67">
        <v>0.2288135593220339</v>
      </c>
      <c r="O16" s="67">
        <v>0.46153846153846156</v>
      </c>
      <c r="P16" s="67">
        <v>0.29629629629629628</v>
      </c>
      <c r="Q16" s="67">
        <v>0.34615384615384615</v>
      </c>
    </row>
    <row r="17" spans="1:17" x14ac:dyDescent="0.4">
      <c r="A17" s="69">
        <v>14</v>
      </c>
      <c r="B17" s="66">
        <v>-29.400000000000002</v>
      </c>
      <c r="C17" s="66">
        <v>-2.1</v>
      </c>
      <c r="D17" s="71">
        <v>1.9285714285714286</v>
      </c>
      <c r="E17" s="67">
        <v>0.42857142857142855</v>
      </c>
      <c r="F17" s="67">
        <v>0.35714285714285715</v>
      </c>
      <c r="G17" s="67">
        <v>0.23387096774193547</v>
      </c>
      <c r="H17" s="67">
        <v>0.19354838709677419</v>
      </c>
      <c r="I17" s="68">
        <v>7686.2068965517237</v>
      </c>
      <c r="J17" s="68">
        <v>-6895.833333333333</v>
      </c>
      <c r="K17" s="67">
        <v>7.1428571428571425E-2</v>
      </c>
      <c r="L17" s="67">
        <v>7.1428571428571425E-2</v>
      </c>
      <c r="M17" s="67">
        <v>0.22580645161290322</v>
      </c>
      <c r="N17" s="67">
        <v>0.23387096774193547</v>
      </c>
      <c r="O17" s="67">
        <v>0.4642857142857143</v>
      </c>
      <c r="P17" s="67">
        <v>0.34482758620689657</v>
      </c>
      <c r="Q17" s="67">
        <v>0.31034482758620691</v>
      </c>
    </row>
    <row r="18" spans="1:17" x14ac:dyDescent="0.4">
      <c r="A18" s="69">
        <v>15</v>
      </c>
      <c r="B18" s="66">
        <v>-26.3</v>
      </c>
      <c r="C18" s="66">
        <v>-1.7533333333333334</v>
      </c>
      <c r="D18" s="71">
        <v>1.9333333333333333</v>
      </c>
      <c r="E18" s="67">
        <v>0.4</v>
      </c>
      <c r="F18" s="67">
        <v>0.33333333333333331</v>
      </c>
      <c r="G18" s="67">
        <v>0.23255813953488372</v>
      </c>
      <c r="H18" s="67">
        <v>0.18604651162790697</v>
      </c>
      <c r="I18" s="68">
        <v>7696.666666666667</v>
      </c>
      <c r="J18" s="68">
        <v>-6895.833333333333</v>
      </c>
      <c r="K18" s="67">
        <v>6.6666666666666666E-2</v>
      </c>
      <c r="L18" s="67">
        <v>6.6666666666666666E-2</v>
      </c>
      <c r="M18" s="67">
        <v>0.22480620155038761</v>
      </c>
      <c r="N18" s="67">
        <v>0.23255813953488372</v>
      </c>
      <c r="O18" s="67">
        <v>0.48275862068965519</v>
      </c>
      <c r="P18" s="67">
        <v>0.33333333333333331</v>
      </c>
      <c r="Q18" s="67">
        <v>0.3</v>
      </c>
    </row>
    <row r="19" spans="1:17" x14ac:dyDescent="0.4">
      <c r="A19" s="69">
        <v>16</v>
      </c>
      <c r="B19" s="66">
        <v>-50.3</v>
      </c>
      <c r="C19" s="66">
        <v>-3.1437499999999998</v>
      </c>
      <c r="D19" s="71">
        <v>2</v>
      </c>
      <c r="E19" s="67">
        <v>0.375</v>
      </c>
      <c r="F19" s="67">
        <v>0.375</v>
      </c>
      <c r="G19" s="67">
        <v>0.22627737226277372</v>
      </c>
      <c r="H19" s="67">
        <v>0.18248175182481752</v>
      </c>
      <c r="I19" s="68">
        <v>7706.4516129032254</v>
      </c>
      <c r="J19" s="68">
        <v>-7100</v>
      </c>
      <c r="K19" s="67">
        <v>6.25E-2</v>
      </c>
      <c r="L19" s="67">
        <v>6.25E-2</v>
      </c>
      <c r="M19" s="67">
        <v>0.22627737226277372</v>
      </c>
      <c r="N19" s="67">
        <v>0.22627737226277372</v>
      </c>
      <c r="O19" s="67">
        <v>0.4838709677419355</v>
      </c>
      <c r="P19" s="67">
        <v>0.32258064516129031</v>
      </c>
      <c r="Q19" s="67">
        <v>0.32258064516129031</v>
      </c>
    </row>
    <row r="20" spans="1:17" x14ac:dyDescent="0.4">
      <c r="A20" s="69">
        <v>17</v>
      </c>
      <c r="B20" s="66">
        <v>-74.3</v>
      </c>
      <c r="C20" s="66">
        <v>-4.3705882352941172</v>
      </c>
      <c r="D20" s="71">
        <v>2.0588235294117645</v>
      </c>
      <c r="E20" s="67">
        <v>0.35294117647058826</v>
      </c>
      <c r="F20" s="67">
        <v>0.41176470588235292</v>
      </c>
      <c r="G20" s="67">
        <v>0.22068965517241379</v>
      </c>
      <c r="H20" s="67">
        <v>0.1793103448275862</v>
      </c>
      <c r="I20" s="68">
        <v>7715.625</v>
      </c>
      <c r="J20" s="68">
        <v>-7288.4615384615381</v>
      </c>
      <c r="K20" s="67">
        <v>5.8823529411764705E-2</v>
      </c>
      <c r="L20" s="67">
        <v>5.8823529411764705E-2</v>
      </c>
      <c r="M20" s="67">
        <v>0.22758620689655173</v>
      </c>
      <c r="N20" s="67">
        <v>0.22068965517241379</v>
      </c>
      <c r="O20" s="67">
        <v>0.48484848484848486</v>
      </c>
      <c r="P20" s="67">
        <v>0.3125</v>
      </c>
      <c r="Q20" s="67">
        <v>0.34375</v>
      </c>
    </row>
    <row r="21" spans="1:17" x14ac:dyDescent="0.4">
      <c r="A21" s="69">
        <v>18</v>
      </c>
      <c r="B21" s="66">
        <v>-76.099999999999994</v>
      </c>
      <c r="C21" s="66">
        <v>-4.2277777777777779</v>
      </c>
      <c r="D21" s="71">
        <v>2.0555555555555554</v>
      </c>
      <c r="E21" s="67">
        <v>0.33333333333333331</v>
      </c>
      <c r="F21" s="67">
        <v>0.3888888888888889</v>
      </c>
      <c r="G21" s="67">
        <v>0.23717948717948717</v>
      </c>
      <c r="H21" s="67">
        <v>0.17948717948717949</v>
      </c>
      <c r="I21" s="68">
        <v>7875.6756756756758</v>
      </c>
      <c r="J21" s="68">
        <v>-7839.2857142857147</v>
      </c>
      <c r="K21" s="67">
        <v>5.5555555555555552E-2</v>
      </c>
      <c r="L21" s="67">
        <v>5.5555555555555552E-2</v>
      </c>
      <c r="M21" s="67">
        <v>0.25641025641025639</v>
      </c>
      <c r="N21" s="67">
        <v>0.21794871794871795</v>
      </c>
      <c r="O21" s="67">
        <v>0.5</v>
      </c>
      <c r="P21" s="67">
        <v>0.3235294117647059</v>
      </c>
      <c r="Q21" s="67">
        <v>0.29729729729729731</v>
      </c>
    </row>
    <row r="22" spans="1:17" x14ac:dyDescent="0.4">
      <c r="A22" s="69">
        <v>19</v>
      </c>
      <c r="B22" s="66">
        <v>0.60000000000000853</v>
      </c>
      <c r="C22" s="66">
        <v>3.1578947368421505E-2</v>
      </c>
      <c r="D22" s="71">
        <v>2</v>
      </c>
      <c r="E22" s="67">
        <v>0.36842105263157893</v>
      </c>
      <c r="F22" s="67">
        <v>0.36842105263157893</v>
      </c>
      <c r="G22" s="67">
        <v>0.26035502958579881</v>
      </c>
      <c r="H22" s="67">
        <v>0.17751479289940827</v>
      </c>
      <c r="I22" s="68">
        <v>7934.090909090909</v>
      </c>
      <c r="J22" s="68">
        <v>-7616.666666666667</v>
      </c>
      <c r="K22" s="67">
        <v>5.2631578947368418E-2</v>
      </c>
      <c r="L22" s="67">
        <v>0.10526315789473684</v>
      </c>
      <c r="M22" s="67">
        <v>0.25443786982248523</v>
      </c>
      <c r="N22" s="67">
        <v>0.21893491124260356</v>
      </c>
      <c r="O22" s="67">
        <v>0.51162790697674421</v>
      </c>
      <c r="P22" s="67">
        <v>0.35135135135135137</v>
      </c>
      <c r="Q22" s="67">
        <v>0.31818181818181818</v>
      </c>
    </row>
    <row r="23" spans="1:17" x14ac:dyDescent="0.4">
      <c r="A23" s="69">
        <v>20</v>
      </c>
      <c r="B23" s="66">
        <v>-3.5999999999999917</v>
      </c>
      <c r="C23" s="66">
        <v>-0.17999999999999958</v>
      </c>
      <c r="D23" s="71">
        <v>2</v>
      </c>
      <c r="E23" s="67">
        <v>0.35</v>
      </c>
      <c r="F23" s="67">
        <v>0.35</v>
      </c>
      <c r="G23" s="67">
        <v>0.25698324022346369</v>
      </c>
      <c r="H23" s="67">
        <v>0.17318435754189945</v>
      </c>
      <c r="I23" s="68">
        <v>8008.695652173913</v>
      </c>
      <c r="J23" s="68">
        <v>-7629.0322580645161</v>
      </c>
      <c r="K23" s="67">
        <v>0.05</v>
      </c>
      <c r="L23" s="67">
        <v>0.1</v>
      </c>
      <c r="M23" s="67">
        <v>0.24581005586592178</v>
      </c>
      <c r="N23" s="67">
        <v>0.21229050279329609</v>
      </c>
      <c r="O23" s="67">
        <v>0.5</v>
      </c>
      <c r="P23" s="67">
        <v>0.36842105263157893</v>
      </c>
      <c r="Q23" s="67">
        <v>0.32608695652173914</v>
      </c>
    </row>
    <row r="24" spans="1:17" x14ac:dyDescent="0.4">
      <c r="A24" s="69">
        <v>21</v>
      </c>
      <c r="B24" s="66">
        <v>-3.0999999999999917</v>
      </c>
      <c r="C24" s="66">
        <v>-0.14761904761904723</v>
      </c>
      <c r="D24" s="71">
        <v>2</v>
      </c>
      <c r="E24" s="67">
        <v>0.33333333333333331</v>
      </c>
      <c r="F24" s="67">
        <v>0.33333333333333331</v>
      </c>
      <c r="G24" s="67">
        <v>0.26063829787234044</v>
      </c>
      <c r="H24" s="67">
        <v>0.16489361702127658</v>
      </c>
      <c r="I24" s="68">
        <v>7983.6734693877552</v>
      </c>
      <c r="J24" s="68">
        <v>-7629.0322580645161</v>
      </c>
      <c r="K24" s="67">
        <v>4.7619047619047616E-2</v>
      </c>
      <c r="L24" s="67">
        <v>9.5238095238095233E-2</v>
      </c>
      <c r="M24" s="67">
        <v>0.24468085106382978</v>
      </c>
      <c r="N24" s="67">
        <v>0.20744680851063829</v>
      </c>
      <c r="O24" s="67">
        <v>0.52173913043478259</v>
      </c>
      <c r="P24" s="67">
        <v>0.35897435897435898</v>
      </c>
      <c r="Q24" s="67">
        <v>0.32653061224489793</v>
      </c>
    </row>
    <row r="25" spans="1:17" x14ac:dyDescent="0.4">
      <c r="A25" s="69">
        <v>22</v>
      </c>
      <c r="B25" s="66">
        <v>-17.099999999999991</v>
      </c>
      <c r="C25" s="66">
        <v>-0.77727272727272689</v>
      </c>
      <c r="D25" s="71">
        <v>2</v>
      </c>
      <c r="E25" s="67">
        <v>0.31818181818181818</v>
      </c>
      <c r="F25" s="67">
        <v>0.31818181818181818</v>
      </c>
      <c r="G25" s="67">
        <v>0.25</v>
      </c>
      <c r="H25" s="67">
        <v>0.15816326530612246</v>
      </c>
      <c r="I25" s="68">
        <v>7983.6734693877552</v>
      </c>
      <c r="J25" s="68">
        <v>-7629.0322580645161</v>
      </c>
      <c r="K25" s="67">
        <v>4.5454545454545456E-2</v>
      </c>
      <c r="L25" s="67">
        <v>9.0909090909090912E-2</v>
      </c>
      <c r="M25" s="67">
        <v>0.24489795918367346</v>
      </c>
      <c r="N25" s="67">
        <v>0.19897959183673469</v>
      </c>
      <c r="O25" s="67">
        <v>0.5</v>
      </c>
      <c r="P25" s="67">
        <v>0.35897435897435898</v>
      </c>
      <c r="Q25" s="67">
        <v>0.32653061224489793</v>
      </c>
    </row>
    <row r="26" spans="1:17" x14ac:dyDescent="0.4">
      <c r="A26" s="69">
        <v>23</v>
      </c>
      <c r="B26" s="66">
        <v>-55.699999999999989</v>
      </c>
      <c r="C26" s="66">
        <v>-2.4217391304347822</v>
      </c>
      <c r="D26" s="71">
        <v>2.0434782608695654</v>
      </c>
      <c r="E26" s="67">
        <v>0.30434782608695654</v>
      </c>
      <c r="F26" s="67">
        <v>0.34782608695652173</v>
      </c>
      <c r="G26" s="67">
        <v>0.2413793103448276</v>
      </c>
      <c r="H26" s="67">
        <v>0.1625615763546798</v>
      </c>
      <c r="I26" s="68">
        <v>7983.6734693877552</v>
      </c>
      <c r="J26" s="68">
        <v>-7372.727272727273</v>
      </c>
      <c r="K26" s="67">
        <v>4.3478260869565216E-2</v>
      </c>
      <c r="L26" s="67">
        <v>8.6956521739130432E-2</v>
      </c>
      <c r="M26" s="67">
        <v>0.24630541871921183</v>
      </c>
      <c r="N26" s="67">
        <v>0.19704433497536947</v>
      </c>
      <c r="O26" s="67">
        <v>0.48</v>
      </c>
      <c r="P26" s="67">
        <v>0.35</v>
      </c>
      <c r="Q26" s="67">
        <v>0.32653061224489793</v>
      </c>
    </row>
    <row r="27" spans="1:17" x14ac:dyDescent="0.4">
      <c r="A27" s="69">
        <v>24</v>
      </c>
      <c r="B27" s="66">
        <v>-59.499999999999986</v>
      </c>
      <c r="C27" s="66">
        <v>-2.4791666666666661</v>
      </c>
      <c r="D27" s="71">
        <v>2.0416666666666665</v>
      </c>
      <c r="E27" s="67">
        <v>0.29166666666666669</v>
      </c>
      <c r="F27" s="67">
        <v>0.33333333333333331</v>
      </c>
      <c r="G27" s="67">
        <v>0.24285714285714285</v>
      </c>
      <c r="H27" s="67">
        <v>0.16666666666666666</v>
      </c>
      <c r="I27" s="68">
        <v>7982.3529411764703</v>
      </c>
      <c r="J27" s="68">
        <v>-7237.1428571428569</v>
      </c>
      <c r="K27" s="67">
        <v>4.1666666666666664E-2</v>
      </c>
      <c r="L27" s="67">
        <v>8.3333333333333329E-2</v>
      </c>
      <c r="M27" s="67">
        <v>0.23809523809523808</v>
      </c>
      <c r="N27" s="67">
        <v>0.2</v>
      </c>
      <c r="O27" s="67">
        <v>0.48</v>
      </c>
      <c r="P27" s="67">
        <v>0.35714285714285715</v>
      </c>
      <c r="Q27" s="67">
        <v>0.33333333333333331</v>
      </c>
    </row>
    <row r="28" spans="1:17" x14ac:dyDescent="0.4">
      <c r="A28" s="69">
        <v>25</v>
      </c>
      <c r="B28" s="66">
        <v>-39.999999999999986</v>
      </c>
      <c r="C28" s="66">
        <v>-1.5999999999999994</v>
      </c>
      <c r="D28" s="71">
        <v>2.04</v>
      </c>
      <c r="E28" s="67">
        <v>0.28000000000000003</v>
      </c>
      <c r="F28" s="67">
        <v>0.32</v>
      </c>
      <c r="G28" s="67">
        <v>0.24311926605504589</v>
      </c>
      <c r="H28" s="67">
        <v>0.16513761467889909</v>
      </c>
      <c r="I28" s="68">
        <v>8284.9056603773588</v>
      </c>
      <c r="J28" s="68">
        <v>-7536.1111111111113</v>
      </c>
      <c r="K28" s="67">
        <v>0.04</v>
      </c>
      <c r="L28" s="67">
        <v>0.08</v>
      </c>
      <c r="M28" s="67">
        <v>0.23853211009174313</v>
      </c>
      <c r="N28" s="67">
        <v>0.19724770642201836</v>
      </c>
      <c r="O28" s="67">
        <v>0.5</v>
      </c>
      <c r="P28" s="67">
        <v>0.34883720930232559</v>
      </c>
      <c r="Q28" s="67">
        <v>0.32075471698113206</v>
      </c>
    </row>
    <row r="29" spans="1:17" x14ac:dyDescent="0.4">
      <c r="A29" s="69">
        <v>26</v>
      </c>
      <c r="B29" s="66">
        <v>-71.099999999999994</v>
      </c>
      <c r="C29" s="66">
        <v>-2.7346153846153842</v>
      </c>
      <c r="D29" s="71">
        <v>2.0769230769230771</v>
      </c>
      <c r="E29" s="67">
        <v>0.26923076923076922</v>
      </c>
      <c r="F29" s="67">
        <v>0.34615384615384615</v>
      </c>
      <c r="G29" s="67">
        <v>0.24229074889867841</v>
      </c>
      <c r="H29" s="67">
        <v>0.16299559471365638</v>
      </c>
      <c r="I29" s="68">
        <v>8101.818181818182</v>
      </c>
      <c r="J29" s="68">
        <v>-7472.9729729729734</v>
      </c>
      <c r="K29" s="67">
        <v>3.8461538461538464E-2</v>
      </c>
      <c r="L29" s="67">
        <v>7.6923076923076927E-2</v>
      </c>
      <c r="M29" s="67">
        <v>0.23788546255506607</v>
      </c>
      <c r="N29" s="67">
        <v>0.1894273127753304</v>
      </c>
      <c r="O29" s="67">
        <v>0.5</v>
      </c>
      <c r="P29" s="67">
        <v>0.34883720930232559</v>
      </c>
      <c r="Q29" s="67">
        <v>0.30909090909090908</v>
      </c>
    </row>
    <row r="30" spans="1:17" x14ac:dyDescent="0.4">
      <c r="A30" s="69">
        <v>27</v>
      </c>
      <c r="B30" s="66">
        <v>-66.199999999999989</v>
      </c>
      <c r="C30" s="66">
        <v>-2.4518518518518513</v>
      </c>
      <c r="D30" s="71">
        <v>2.074074074074074</v>
      </c>
      <c r="E30" s="67">
        <v>0.25925925925925924</v>
      </c>
      <c r="F30" s="67">
        <v>0.33333333333333331</v>
      </c>
      <c r="G30" s="67">
        <v>0.24166666666666667</v>
      </c>
      <c r="H30" s="67">
        <v>0.16666666666666666</v>
      </c>
      <c r="I30" s="68">
        <v>8372.4137931034475</v>
      </c>
      <c r="J30" s="68">
        <v>-7187.5</v>
      </c>
      <c r="K30" s="67">
        <v>3.7037037037037035E-2</v>
      </c>
      <c r="L30" s="67">
        <v>7.407407407407407E-2</v>
      </c>
      <c r="M30" s="67">
        <v>0.24583333333333332</v>
      </c>
      <c r="N30" s="67">
        <v>0.18333333333333332</v>
      </c>
      <c r="O30" s="67">
        <v>0.50847457627118642</v>
      </c>
      <c r="P30" s="67">
        <v>0.34090909090909088</v>
      </c>
      <c r="Q30" s="67">
        <v>0.31034482758620691</v>
      </c>
    </row>
    <row r="31" spans="1:17" x14ac:dyDescent="0.4">
      <c r="A31" s="69">
        <v>28</v>
      </c>
      <c r="B31" s="66">
        <v>-116.49999999999999</v>
      </c>
      <c r="C31" s="66">
        <v>-4.1607142857142856</v>
      </c>
      <c r="D31" s="71">
        <v>2.1071428571428572</v>
      </c>
      <c r="E31" s="67">
        <v>0.25</v>
      </c>
      <c r="F31" s="67">
        <v>0.35714285714285715</v>
      </c>
      <c r="G31" s="67">
        <v>0.23577235772357724</v>
      </c>
      <c r="H31" s="67">
        <v>0.17073170731707318</v>
      </c>
      <c r="I31" s="68">
        <v>8372.4137931034475</v>
      </c>
      <c r="J31" s="68">
        <v>-7321.4285714285716</v>
      </c>
      <c r="K31" s="67">
        <v>3.5714285714285712E-2</v>
      </c>
      <c r="L31" s="67">
        <v>7.1428571428571425E-2</v>
      </c>
      <c r="M31" s="67">
        <v>0.24390243902439024</v>
      </c>
      <c r="N31" s="67">
        <v>0.17886178861788618</v>
      </c>
      <c r="O31" s="67">
        <v>0.5</v>
      </c>
      <c r="P31" s="67">
        <v>0.34090909090909088</v>
      </c>
      <c r="Q31" s="67">
        <v>0.31034482758620691</v>
      </c>
    </row>
    <row r="32" spans="1:17" x14ac:dyDescent="0.4">
      <c r="A32" s="69">
        <v>29</v>
      </c>
      <c r="B32" s="66">
        <v>-121.79999999999998</v>
      </c>
      <c r="C32" s="66">
        <v>-4.1999999999999993</v>
      </c>
      <c r="D32" s="71">
        <v>2.103448275862069</v>
      </c>
      <c r="E32" s="67">
        <v>0.2413793103448276</v>
      </c>
      <c r="F32" s="67">
        <v>0.34482758620689657</v>
      </c>
      <c r="G32" s="67">
        <v>0.23412698412698413</v>
      </c>
      <c r="H32" s="67">
        <v>0.17460317460317459</v>
      </c>
      <c r="I32" s="68">
        <v>8361.016949152543</v>
      </c>
      <c r="J32" s="68">
        <v>-7193.181818181818</v>
      </c>
      <c r="K32" s="67">
        <v>3.4482758620689655E-2</v>
      </c>
      <c r="L32" s="67">
        <v>6.8965517241379309E-2</v>
      </c>
      <c r="M32" s="67">
        <v>0.23809523809523808</v>
      </c>
      <c r="N32" s="67">
        <v>0.17460317460317459</v>
      </c>
      <c r="O32" s="67">
        <v>0.5</v>
      </c>
      <c r="P32" s="67">
        <v>0.34090909090909088</v>
      </c>
      <c r="Q32" s="67">
        <v>0.32203389830508472</v>
      </c>
    </row>
    <row r="33" spans="1:17" x14ac:dyDescent="0.4">
      <c r="A33" s="69">
        <v>30</v>
      </c>
      <c r="B33" s="66">
        <v>-156.19999999999999</v>
      </c>
      <c r="C33" s="66">
        <v>-5.2066666666666661</v>
      </c>
      <c r="D33" s="71">
        <v>2.1333333333333333</v>
      </c>
      <c r="E33" s="67">
        <v>0.23333333333333334</v>
      </c>
      <c r="F33" s="67">
        <v>0.36666666666666664</v>
      </c>
      <c r="G33" s="67">
        <v>0.23574144486692014</v>
      </c>
      <c r="H33" s="67">
        <v>0.17110266159695817</v>
      </c>
      <c r="I33" s="68">
        <v>8224.1935483870966</v>
      </c>
      <c r="J33" s="68">
        <v>-7300</v>
      </c>
      <c r="K33" s="67">
        <v>3.3333333333333333E-2</v>
      </c>
      <c r="L33" s="67">
        <v>6.6666666666666666E-2</v>
      </c>
      <c r="M33" s="67">
        <v>0.23574144486692014</v>
      </c>
      <c r="N33" s="67">
        <v>0.17490494296577946</v>
      </c>
      <c r="O33" s="67">
        <v>0.5161290322580645</v>
      </c>
      <c r="P33" s="67">
        <v>0.34782608695652173</v>
      </c>
      <c r="Q33" s="67">
        <v>0.32258064516129031</v>
      </c>
    </row>
    <row r="34" spans="1:17" x14ac:dyDescent="0.4">
      <c r="A34" s="69">
        <v>31</v>
      </c>
      <c r="B34" s="66">
        <v>-91.899999999999991</v>
      </c>
      <c r="C34" s="66">
        <v>-2.9645161290322579</v>
      </c>
      <c r="D34" s="71">
        <v>2.096774193548387</v>
      </c>
      <c r="E34" s="67">
        <v>0.25806451612903225</v>
      </c>
      <c r="F34" s="67">
        <v>0.35483870967741937</v>
      </c>
      <c r="G34" s="67">
        <v>0.23985239852398524</v>
      </c>
      <c r="H34" s="67">
        <v>0.16974169741697417</v>
      </c>
      <c r="I34" s="68">
        <v>8490.7692307692305</v>
      </c>
      <c r="J34" s="68">
        <v>-7226.086956521739</v>
      </c>
      <c r="K34" s="67">
        <v>3.2258064516129031E-2</v>
      </c>
      <c r="L34" s="67">
        <v>9.6774193548387094E-2</v>
      </c>
      <c r="M34" s="67">
        <v>0.23985239852398524</v>
      </c>
      <c r="N34" s="67">
        <v>0.17712177121771217</v>
      </c>
      <c r="O34" s="67">
        <v>0.53846153846153844</v>
      </c>
      <c r="P34" s="67">
        <v>0.33333333333333331</v>
      </c>
      <c r="Q34" s="67">
        <v>0.33846153846153848</v>
      </c>
    </row>
    <row r="35" spans="1:17" x14ac:dyDescent="0.4">
      <c r="A35" s="69">
        <v>32</v>
      </c>
      <c r="B35" s="66">
        <v>-119</v>
      </c>
      <c r="C35" s="66">
        <v>-3.71875</v>
      </c>
      <c r="D35" s="71">
        <v>2.125</v>
      </c>
      <c r="E35" s="67">
        <v>0.25</v>
      </c>
      <c r="F35" s="67">
        <v>0.375</v>
      </c>
      <c r="G35" s="67">
        <v>0.23843416370106763</v>
      </c>
      <c r="H35" s="67">
        <v>0.16725978647686832</v>
      </c>
      <c r="I35" s="68">
        <v>8447.7611940298502</v>
      </c>
      <c r="J35" s="68">
        <v>-7195.744680851064</v>
      </c>
      <c r="K35" s="67">
        <v>3.125E-2</v>
      </c>
      <c r="L35" s="67">
        <v>9.375E-2</v>
      </c>
      <c r="M35" s="67">
        <v>0.23843416370106763</v>
      </c>
      <c r="N35" s="67">
        <v>0.18149466192170818</v>
      </c>
      <c r="O35" s="67">
        <v>0.53731343283582089</v>
      </c>
      <c r="P35" s="67">
        <v>0.31372549019607843</v>
      </c>
      <c r="Q35" s="67">
        <v>0.34328358208955223</v>
      </c>
    </row>
    <row r="36" spans="1:17" x14ac:dyDescent="0.4">
      <c r="A36" s="69">
        <v>33</v>
      </c>
      <c r="B36" s="66">
        <v>-108.9</v>
      </c>
      <c r="C36" s="66">
        <v>-3.3000000000000003</v>
      </c>
      <c r="D36" s="71">
        <v>2.1212121212121211</v>
      </c>
      <c r="E36" s="67">
        <v>0.24242424242424243</v>
      </c>
      <c r="F36" s="67">
        <v>0.36363636363636365</v>
      </c>
      <c r="G36" s="67">
        <v>0.24305555555555555</v>
      </c>
      <c r="H36" s="67">
        <v>0.16666666666666666</v>
      </c>
      <c r="I36" s="68">
        <v>8422.8571428571431</v>
      </c>
      <c r="J36" s="68">
        <v>-7206.25</v>
      </c>
      <c r="K36" s="67">
        <v>3.0303030303030304E-2</v>
      </c>
      <c r="L36" s="67">
        <v>9.0909090909090912E-2</v>
      </c>
      <c r="M36" s="67">
        <v>0.24305555555555555</v>
      </c>
      <c r="N36" s="67">
        <v>0.17708333333333334</v>
      </c>
      <c r="O36" s="67">
        <v>0.55714285714285716</v>
      </c>
      <c r="P36" s="67">
        <v>0.31372549019607843</v>
      </c>
      <c r="Q36" s="67">
        <v>0.35714285714285715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501C5C-EC95-4006-AD5F-226DFDFFC58E}">
  <sheetPr codeName="Sheet12"/>
  <dimension ref="A1:Q25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129</v>
      </c>
      <c r="B1" s="70" t="s">
        <v>129</v>
      </c>
      <c r="C1" s="70" t="s">
        <v>129</v>
      </c>
      <c r="D1" s="71" t="s">
        <v>129</v>
      </c>
      <c r="E1" s="70" t="s">
        <v>129</v>
      </c>
      <c r="F1" s="70" t="s">
        <v>129</v>
      </c>
      <c r="G1" s="70" t="s">
        <v>129</v>
      </c>
      <c r="H1" s="70" t="s">
        <v>129</v>
      </c>
      <c r="I1" s="70" t="s">
        <v>129</v>
      </c>
      <c r="J1" s="70" t="s">
        <v>129</v>
      </c>
      <c r="K1" s="70" t="s">
        <v>129</v>
      </c>
      <c r="L1" s="70" t="s">
        <v>129</v>
      </c>
      <c r="M1" s="70" t="s">
        <v>129</v>
      </c>
      <c r="N1" s="70" t="s">
        <v>129</v>
      </c>
      <c r="O1" s="70" t="s">
        <v>129</v>
      </c>
      <c r="P1" s="70" t="s">
        <v>129</v>
      </c>
      <c r="Q1" s="70" t="s">
        <v>129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-40.4</v>
      </c>
      <c r="C4" s="66">
        <v>-40.4</v>
      </c>
      <c r="D4" s="71">
        <v>3</v>
      </c>
      <c r="E4" s="67">
        <v>0</v>
      </c>
      <c r="F4" s="67">
        <v>1</v>
      </c>
      <c r="G4" s="67">
        <v>0.16666666666666666</v>
      </c>
      <c r="H4" s="67">
        <v>0.33333333333333331</v>
      </c>
      <c r="I4" s="68">
        <v>2800</v>
      </c>
      <c r="J4" s="68">
        <v>-7850</v>
      </c>
      <c r="K4" s="67">
        <v>0</v>
      </c>
      <c r="L4" s="67">
        <v>0</v>
      </c>
      <c r="M4" s="67">
        <v>0.16666666666666666</v>
      </c>
      <c r="N4" s="67">
        <v>0.16666666666666666</v>
      </c>
      <c r="O4" s="67">
        <v>1</v>
      </c>
      <c r="P4" s="67">
        <v>0</v>
      </c>
      <c r="Q4" s="67">
        <v>1</v>
      </c>
    </row>
    <row r="5" spans="1:17" x14ac:dyDescent="0.4">
      <c r="A5" s="69">
        <v>2</v>
      </c>
      <c r="B5" s="66">
        <v>-3.3999999999999986</v>
      </c>
      <c r="C5" s="66">
        <v>-1.6999999999999993</v>
      </c>
      <c r="D5" s="71">
        <v>2</v>
      </c>
      <c r="E5" s="67">
        <v>0.5</v>
      </c>
      <c r="F5" s="67">
        <v>0.5</v>
      </c>
      <c r="G5" s="67">
        <v>0.375</v>
      </c>
      <c r="H5" s="67">
        <v>0.25</v>
      </c>
      <c r="I5" s="68">
        <v>7983.333333333333</v>
      </c>
      <c r="J5" s="68">
        <v>-9825</v>
      </c>
      <c r="K5" s="67">
        <v>0</v>
      </c>
      <c r="L5" s="67">
        <v>0</v>
      </c>
      <c r="M5" s="67">
        <v>0.25</v>
      </c>
      <c r="N5" s="67">
        <v>0.25</v>
      </c>
      <c r="O5" s="67">
        <v>1</v>
      </c>
      <c r="P5" s="67">
        <v>0.25</v>
      </c>
      <c r="Q5" s="67">
        <v>0.33333333333333331</v>
      </c>
    </row>
    <row r="6" spans="1:17" x14ac:dyDescent="0.4">
      <c r="A6" s="69">
        <v>3</v>
      </c>
      <c r="B6" s="66">
        <v>-23.099999999999998</v>
      </c>
      <c r="C6" s="66">
        <v>-7.6999999999999993</v>
      </c>
      <c r="D6" s="71">
        <v>2</v>
      </c>
      <c r="E6" s="67">
        <v>0.33333333333333331</v>
      </c>
      <c r="F6" s="67">
        <v>0.33333333333333331</v>
      </c>
      <c r="G6" s="67">
        <v>0.30769230769230771</v>
      </c>
      <c r="H6" s="67">
        <v>0.26923076923076922</v>
      </c>
      <c r="I6" s="68">
        <v>6837.5</v>
      </c>
      <c r="J6" s="68">
        <v>-8471.4285714285706</v>
      </c>
      <c r="K6" s="67">
        <v>0</v>
      </c>
      <c r="L6" s="67">
        <v>0</v>
      </c>
      <c r="M6" s="67">
        <v>0.23076923076923078</v>
      </c>
      <c r="N6" s="67">
        <v>0.30769230769230771</v>
      </c>
      <c r="O6" s="67">
        <v>0.66666666666666663</v>
      </c>
      <c r="P6" s="67">
        <v>0.375</v>
      </c>
      <c r="Q6" s="67">
        <v>0.25</v>
      </c>
    </row>
    <row r="7" spans="1:17" x14ac:dyDescent="0.4">
      <c r="A7" s="69">
        <v>4</v>
      </c>
      <c r="B7" s="66">
        <v>-31.4</v>
      </c>
      <c r="C7" s="66">
        <v>-7.85</v>
      </c>
      <c r="D7" s="71">
        <v>2</v>
      </c>
      <c r="E7" s="67">
        <v>0.25</v>
      </c>
      <c r="F7" s="67">
        <v>0.25</v>
      </c>
      <c r="G7" s="67">
        <v>0.27272727272727271</v>
      </c>
      <c r="H7" s="67">
        <v>0.24242424242424243</v>
      </c>
      <c r="I7" s="68">
        <v>7411.1111111111113</v>
      </c>
      <c r="J7" s="68">
        <v>-8137.5</v>
      </c>
      <c r="K7" s="67">
        <v>0</v>
      </c>
      <c r="L7" s="67">
        <v>0</v>
      </c>
      <c r="M7" s="67">
        <v>0.21212121212121213</v>
      </c>
      <c r="N7" s="67">
        <v>0.24242424242424243</v>
      </c>
      <c r="O7" s="67">
        <v>0.5714285714285714</v>
      </c>
      <c r="P7" s="67">
        <v>0.375</v>
      </c>
      <c r="Q7" s="67">
        <v>0.22222222222222221</v>
      </c>
    </row>
    <row r="8" spans="1:17" x14ac:dyDescent="0.4">
      <c r="A8" s="69">
        <v>5</v>
      </c>
      <c r="B8" s="66">
        <v>-32.199999999999996</v>
      </c>
      <c r="C8" s="66">
        <v>-6.4399999999999995</v>
      </c>
      <c r="D8" s="71">
        <v>2</v>
      </c>
      <c r="E8" s="67">
        <v>0.2</v>
      </c>
      <c r="F8" s="67">
        <v>0.2</v>
      </c>
      <c r="G8" s="67">
        <v>0.30232558139534882</v>
      </c>
      <c r="H8" s="67">
        <v>0.2558139534883721</v>
      </c>
      <c r="I8" s="68">
        <v>7515.3846153846152</v>
      </c>
      <c r="J8" s="68">
        <v>-8627.2727272727279</v>
      </c>
      <c r="K8" s="67">
        <v>0</v>
      </c>
      <c r="L8" s="67">
        <v>0</v>
      </c>
      <c r="M8" s="67">
        <v>0.18604651162790697</v>
      </c>
      <c r="N8" s="67">
        <v>0.18604651162790697</v>
      </c>
      <c r="O8" s="67">
        <v>0.625</v>
      </c>
      <c r="P8" s="67">
        <v>0.375</v>
      </c>
      <c r="Q8" s="67">
        <v>0.30769230769230771</v>
      </c>
    </row>
    <row r="9" spans="1:17" x14ac:dyDescent="0.4">
      <c r="A9" s="69">
        <v>6</v>
      </c>
      <c r="B9" s="66">
        <v>-58.5</v>
      </c>
      <c r="C9" s="66">
        <v>-9.75</v>
      </c>
      <c r="D9" s="71">
        <v>2.1666666666666665</v>
      </c>
      <c r="E9" s="67">
        <v>0.16666666666666666</v>
      </c>
      <c r="F9" s="67">
        <v>0.33333333333333331</v>
      </c>
      <c r="G9" s="67">
        <v>0.28846153846153844</v>
      </c>
      <c r="H9" s="67">
        <v>0.26923076923076922</v>
      </c>
      <c r="I9" s="68">
        <v>7973.333333333333</v>
      </c>
      <c r="J9" s="68">
        <v>-8350</v>
      </c>
      <c r="K9" s="67">
        <v>0</v>
      </c>
      <c r="L9" s="67">
        <v>0</v>
      </c>
      <c r="M9" s="67">
        <v>0.21153846153846154</v>
      </c>
      <c r="N9" s="67">
        <v>0.15384615384615385</v>
      </c>
      <c r="O9" s="67">
        <v>0.63636363636363635</v>
      </c>
      <c r="P9" s="67">
        <v>0.375</v>
      </c>
      <c r="Q9" s="67">
        <v>0.33333333333333331</v>
      </c>
    </row>
    <row r="10" spans="1:17" x14ac:dyDescent="0.4">
      <c r="A10" s="69">
        <v>7</v>
      </c>
      <c r="B10" s="66">
        <v>-116.8</v>
      </c>
      <c r="C10" s="66">
        <v>-16.685714285714287</v>
      </c>
      <c r="D10" s="71">
        <v>2.2857142857142856</v>
      </c>
      <c r="E10" s="67">
        <v>0.14285714285714285</v>
      </c>
      <c r="F10" s="67">
        <v>0.42857142857142855</v>
      </c>
      <c r="G10" s="67">
        <v>0.26785714285714285</v>
      </c>
      <c r="H10" s="67">
        <v>0.2857142857142857</v>
      </c>
      <c r="I10" s="68">
        <v>7973.333333333333</v>
      </c>
      <c r="J10" s="68">
        <v>-9431.25</v>
      </c>
      <c r="K10" s="67">
        <v>0.14285714285714285</v>
      </c>
      <c r="L10" s="67">
        <v>0</v>
      </c>
      <c r="M10" s="67">
        <v>0.21428571428571427</v>
      </c>
      <c r="N10" s="67">
        <v>0.14285714285714285</v>
      </c>
      <c r="O10" s="67">
        <v>0.58333333333333337</v>
      </c>
      <c r="P10" s="67">
        <v>0.375</v>
      </c>
      <c r="Q10" s="67">
        <v>0.33333333333333331</v>
      </c>
    </row>
    <row r="11" spans="1:17" x14ac:dyDescent="0.4">
      <c r="A11" s="69">
        <v>8</v>
      </c>
      <c r="B11" s="66">
        <v>-79.599999999999994</v>
      </c>
      <c r="C11" s="66">
        <v>-9.9499999999999993</v>
      </c>
      <c r="D11" s="71">
        <v>2.125</v>
      </c>
      <c r="E11" s="67">
        <v>0.25</v>
      </c>
      <c r="F11" s="67">
        <v>0.375</v>
      </c>
      <c r="G11" s="67">
        <v>0.2857142857142857</v>
      </c>
      <c r="H11" s="67">
        <v>0.25396825396825395</v>
      </c>
      <c r="I11" s="68">
        <v>7977.7777777777774</v>
      </c>
      <c r="J11" s="68">
        <v>-9431.25</v>
      </c>
      <c r="K11" s="67">
        <v>0.125</v>
      </c>
      <c r="L11" s="67">
        <v>0</v>
      </c>
      <c r="M11" s="67">
        <v>0.23809523809523808</v>
      </c>
      <c r="N11" s="67">
        <v>0.12698412698412698</v>
      </c>
      <c r="O11" s="67">
        <v>0.6</v>
      </c>
      <c r="P11" s="67">
        <v>0.375</v>
      </c>
      <c r="Q11" s="67">
        <v>0.33333333333333331</v>
      </c>
    </row>
    <row r="12" spans="1:17" x14ac:dyDescent="0.4">
      <c r="A12" s="69">
        <v>9</v>
      </c>
      <c r="B12" s="66">
        <v>-127.6</v>
      </c>
      <c r="C12" s="66">
        <v>-14.177777777777777</v>
      </c>
      <c r="D12" s="71">
        <v>2.2222222222222223</v>
      </c>
      <c r="E12" s="67">
        <v>0.22222222222222221</v>
      </c>
      <c r="F12" s="67">
        <v>0.44444444444444442</v>
      </c>
      <c r="G12" s="67">
        <v>0.25333333333333335</v>
      </c>
      <c r="H12" s="67">
        <v>0.24</v>
      </c>
      <c r="I12" s="68">
        <v>7710.5263157894733</v>
      </c>
      <c r="J12" s="68">
        <v>-9244.4444444444453</v>
      </c>
      <c r="K12" s="67">
        <v>0.1111111111111111</v>
      </c>
      <c r="L12" s="67">
        <v>0</v>
      </c>
      <c r="M12" s="67">
        <v>0.24</v>
      </c>
      <c r="N12" s="67">
        <v>0.10666666666666667</v>
      </c>
      <c r="O12" s="67">
        <v>0.55555555555555558</v>
      </c>
      <c r="P12" s="67">
        <v>0.375</v>
      </c>
      <c r="Q12" s="67">
        <v>0.31578947368421051</v>
      </c>
    </row>
    <row r="13" spans="1:17" x14ac:dyDescent="0.4">
      <c r="A13" s="69">
        <v>10</v>
      </c>
      <c r="B13" s="66">
        <v>-231.39999999999998</v>
      </c>
      <c r="C13" s="66">
        <v>-23.139999999999997</v>
      </c>
      <c r="D13" s="71">
        <v>2.2999999999999998</v>
      </c>
      <c r="E13" s="67">
        <v>0.2</v>
      </c>
      <c r="F13" s="67">
        <v>0.5</v>
      </c>
      <c r="G13" s="67">
        <v>0.23595505617977527</v>
      </c>
      <c r="H13" s="67">
        <v>0.25842696629213485</v>
      </c>
      <c r="I13" s="68">
        <v>7928.5714285714284</v>
      </c>
      <c r="J13" s="68">
        <v>-9595.652173913044</v>
      </c>
      <c r="K13" s="67">
        <v>0.2</v>
      </c>
      <c r="L13" s="67">
        <v>0</v>
      </c>
      <c r="M13" s="67">
        <v>0.24719101123595505</v>
      </c>
      <c r="N13" s="67">
        <v>0.10112359550561797</v>
      </c>
      <c r="O13" s="67">
        <v>0.5</v>
      </c>
      <c r="P13" s="67">
        <v>0.44444444444444442</v>
      </c>
      <c r="Q13" s="67">
        <v>0.38095238095238093</v>
      </c>
    </row>
    <row r="14" spans="1:17" x14ac:dyDescent="0.4">
      <c r="A14" s="69">
        <v>11</v>
      </c>
      <c r="B14" s="66">
        <v>-305.89999999999998</v>
      </c>
      <c r="C14" s="66">
        <v>-27.809090909090909</v>
      </c>
      <c r="D14" s="71">
        <v>2.3636363636363638</v>
      </c>
      <c r="E14" s="67">
        <v>0.18181818181818182</v>
      </c>
      <c r="F14" s="67">
        <v>0.54545454545454541</v>
      </c>
      <c r="G14" s="67">
        <v>0.20588235294117646</v>
      </c>
      <c r="H14" s="67">
        <v>0.24509803921568626</v>
      </c>
      <c r="I14" s="68">
        <v>7928.5714285714284</v>
      </c>
      <c r="J14" s="68">
        <v>-9708</v>
      </c>
      <c r="K14" s="67">
        <v>0.27272727272727271</v>
      </c>
      <c r="L14" s="67">
        <v>0</v>
      </c>
      <c r="M14" s="67">
        <v>0.22549019607843138</v>
      </c>
      <c r="N14" s="67">
        <v>9.8039215686274508E-2</v>
      </c>
      <c r="O14" s="67">
        <v>0.47826086956521741</v>
      </c>
      <c r="P14" s="67">
        <v>0.4</v>
      </c>
      <c r="Q14" s="67">
        <v>0.38095238095238093</v>
      </c>
    </row>
    <row r="15" spans="1:17" x14ac:dyDescent="0.4">
      <c r="A15" s="69">
        <v>12</v>
      </c>
      <c r="B15" s="66">
        <v>-337.5</v>
      </c>
      <c r="C15" s="66">
        <v>-28.125</v>
      </c>
      <c r="D15" s="71">
        <v>2.4166666666666665</v>
      </c>
      <c r="E15" s="67">
        <v>0.16666666666666666</v>
      </c>
      <c r="F15" s="67">
        <v>0.58333333333333337</v>
      </c>
      <c r="G15" s="67">
        <v>0.21428571428571427</v>
      </c>
      <c r="H15" s="67">
        <v>0.22321428571428573</v>
      </c>
      <c r="I15" s="68">
        <v>7287.5</v>
      </c>
      <c r="J15" s="68">
        <v>-9708</v>
      </c>
      <c r="K15" s="67">
        <v>0.25</v>
      </c>
      <c r="L15" s="67">
        <v>0</v>
      </c>
      <c r="M15" s="67">
        <v>0.22321428571428573</v>
      </c>
      <c r="N15" s="67">
        <v>8.9285714285714288E-2</v>
      </c>
      <c r="O15" s="67">
        <v>0.48</v>
      </c>
      <c r="P15" s="67">
        <v>0.4</v>
      </c>
      <c r="Q15" s="67">
        <v>0.375</v>
      </c>
    </row>
    <row r="16" spans="1:17" x14ac:dyDescent="0.4">
      <c r="A16" s="69">
        <v>13</v>
      </c>
      <c r="B16" s="66">
        <v>-369.1</v>
      </c>
      <c r="C16" s="66">
        <v>-28.392307692307693</v>
      </c>
      <c r="D16" s="71">
        <v>2.4615384615384617</v>
      </c>
      <c r="E16" s="67">
        <v>0.15384615384615385</v>
      </c>
      <c r="F16" s="67">
        <v>0.61538461538461542</v>
      </c>
      <c r="G16" s="67">
        <v>0.22131147540983606</v>
      </c>
      <c r="H16" s="67">
        <v>0.21311475409836064</v>
      </c>
      <c r="I16" s="68">
        <v>7314.8148148148148</v>
      </c>
      <c r="J16" s="68">
        <v>-9950</v>
      </c>
      <c r="K16" s="67">
        <v>0.23076923076923078</v>
      </c>
      <c r="L16" s="67">
        <v>0</v>
      </c>
      <c r="M16" s="67">
        <v>0.22950819672131148</v>
      </c>
      <c r="N16" s="67">
        <v>9.8360655737704916E-2</v>
      </c>
      <c r="O16" s="67">
        <v>0.5</v>
      </c>
      <c r="P16" s="67">
        <v>0.33333333333333331</v>
      </c>
      <c r="Q16" s="67">
        <v>0.40740740740740738</v>
      </c>
    </row>
    <row r="17" spans="1:17" x14ac:dyDescent="0.4">
      <c r="A17" s="69">
        <v>14</v>
      </c>
      <c r="B17" s="66">
        <v>-394.6</v>
      </c>
      <c r="C17" s="66">
        <v>-28.185714285714287</v>
      </c>
      <c r="D17" s="71">
        <v>2.4285714285714284</v>
      </c>
      <c r="E17" s="67">
        <v>0.14285714285714285</v>
      </c>
      <c r="F17" s="67">
        <v>0.5714285714285714</v>
      </c>
      <c r="G17" s="67">
        <v>0.2109375</v>
      </c>
      <c r="H17" s="67">
        <v>0.21875</v>
      </c>
      <c r="I17" s="68">
        <v>7314.8148148148148</v>
      </c>
      <c r="J17" s="68">
        <v>-9571.4285714285706</v>
      </c>
      <c r="K17" s="67">
        <v>0.21428571428571427</v>
      </c>
      <c r="L17" s="67">
        <v>0</v>
      </c>
      <c r="M17" s="67">
        <v>0.21875</v>
      </c>
      <c r="N17" s="67">
        <v>0.1015625</v>
      </c>
      <c r="O17" s="67">
        <v>0.5</v>
      </c>
      <c r="P17" s="67">
        <v>0.30769230769230771</v>
      </c>
      <c r="Q17" s="67">
        <v>0.40740740740740738</v>
      </c>
    </row>
    <row r="18" spans="1:17" x14ac:dyDescent="0.4">
      <c r="A18" s="69">
        <v>15</v>
      </c>
      <c r="B18" s="66">
        <v>-424.5</v>
      </c>
      <c r="C18" s="66">
        <v>-28.3</v>
      </c>
      <c r="D18" s="71">
        <v>2.4666666666666668</v>
      </c>
      <c r="E18" s="67">
        <v>0.13333333333333333</v>
      </c>
      <c r="F18" s="67">
        <v>0.6</v>
      </c>
      <c r="G18" s="67">
        <v>0.20588235294117646</v>
      </c>
      <c r="H18" s="67">
        <v>0.21323529411764705</v>
      </c>
      <c r="I18" s="68">
        <v>7339.2857142857147</v>
      </c>
      <c r="J18" s="68">
        <v>-9331.0344827586214</v>
      </c>
      <c r="K18" s="67">
        <v>0.2</v>
      </c>
      <c r="L18" s="67">
        <v>0</v>
      </c>
      <c r="M18" s="67">
        <v>0.21323529411764705</v>
      </c>
      <c r="N18" s="67">
        <v>0.11029411764705882</v>
      </c>
      <c r="O18" s="67">
        <v>0.51724137931034486</v>
      </c>
      <c r="P18" s="67">
        <v>0.26666666666666666</v>
      </c>
      <c r="Q18" s="67">
        <v>0.39285714285714285</v>
      </c>
    </row>
    <row r="19" spans="1:17" x14ac:dyDescent="0.4">
      <c r="A19" s="69">
        <v>16</v>
      </c>
      <c r="B19" s="66">
        <v>-472</v>
      </c>
      <c r="C19" s="66">
        <v>-29.5</v>
      </c>
      <c r="D19" s="71">
        <v>2.5</v>
      </c>
      <c r="E19" s="67">
        <v>0.125</v>
      </c>
      <c r="F19" s="67">
        <v>0.625</v>
      </c>
      <c r="G19" s="67">
        <v>0.19594594594594594</v>
      </c>
      <c r="H19" s="67">
        <v>0.20945945945945946</v>
      </c>
      <c r="I19" s="68">
        <v>7362.0689655172409</v>
      </c>
      <c r="J19" s="68">
        <v>-9374.1935483870966</v>
      </c>
      <c r="K19" s="67">
        <v>0.1875</v>
      </c>
      <c r="L19" s="67">
        <v>0</v>
      </c>
      <c r="M19" s="67">
        <v>0.22972972972972974</v>
      </c>
      <c r="N19" s="67">
        <v>0.10810810810810811</v>
      </c>
      <c r="O19" s="67">
        <v>0.47058823529411764</v>
      </c>
      <c r="P19" s="67">
        <v>0.25</v>
      </c>
      <c r="Q19" s="67">
        <v>0.41379310344827586</v>
      </c>
    </row>
    <row r="20" spans="1:17" x14ac:dyDescent="0.4">
      <c r="A20" s="69">
        <v>17</v>
      </c>
      <c r="B20" s="66">
        <v>-538.29999999999995</v>
      </c>
      <c r="C20" s="66">
        <v>-31.664705882352937</v>
      </c>
      <c r="D20" s="71">
        <v>2.5294117647058822</v>
      </c>
      <c r="E20" s="67">
        <v>0.11764705882352941</v>
      </c>
      <c r="F20" s="67">
        <v>0.6470588235294118</v>
      </c>
      <c r="G20" s="67">
        <v>0.18954248366013071</v>
      </c>
      <c r="H20" s="67">
        <v>0.21568627450980393</v>
      </c>
      <c r="I20" s="68">
        <v>7362.0689655172409</v>
      </c>
      <c r="J20" s="68">
        <v>-9654.545454545454</v>
      </c>
      <c r="K20" s="67">
        <v>0.23529411764705882</v>
      </c>
      <c r="L20" s="67">
        <v>0</v>
      </c>
      <c r="M20" s="67">
        <v>0.22875816993464052</v>
      </c>
      <c r="N20" s="67">
        <v>0.11764705882352941</v>
      </c>
      <c r="O20" s="67">
        <v>0.45714285714285713</v>
      </c>
      <c r="P20" s="67">
        <v>0.22222222222222221</v>
      </c>
      <c r="Q20" s="67">
        <v>0.41379310344827586</v>
      </c>
    </row>
    <row r="21" spans="1:17" x14ac:dyDescent="0.4">
      <c r="A21" s="69">
        <v>18</v>
      </c>
      <c r="B21" s="66">
        <v>-537.19999999999993</v>
      </c>
      <c r="C21" s="66">
        <v>-29.844444444444441</v>
      </c>
      <c r="D21" s="71">
        <v>2.5</v>
      </c>
      <c r="E21" s="67">
        <v>0.1111111111111111</v>
      </c>
      <c r="F21" s="67">
        <v>0.61111111111111116</v>
      </c>
      <c r="G21" s="67">
        <v>0.19875776397515527</v>
      </c>
      <c r="H21" s="67">
        <v>0.21739130434782608</v>
      </c>
      <c r="I21" s="68">
        <v>7112.5</v>
      </c>
      <c r="J21" s="68">
        <v>-9422.8571428571431</v>
      </c>
      <c r="K21" s="67">
        <v>0.22222222222222221</v>
      </c>
      <c r="L21" s="67">
        <v>0</v>
      </c>
      <c r="M21" s="67">
        <v>0.24223602484472051</v>
      </c>
      <c r="N21" s="67">
        <v>0.11180124223602485</v>
      </c>
      <c r="O21" s="67">
        <v>0.46153846153846156</v>
      </c>
      <c r="P21" s="67">
        <v>0.22222222222222221</v>
      </c>
      <c r="Q21" s="67">
        <v>0.46875</v>
      </c>
    </row>
    <row r="22" spans="1:17" x14ac:dyDescent="0.4">
      <c r="A22" s="69">
        <v>19</v>
      </c>
      <c r="B22" s="66">
        <v>-569.49999999999989</v>
      </c>
      <c r="C22" s="66">
        <v>-29.973684210526311</v>
      </c>
      <c r="D22" s="71">
        <v>2.5263157894736841</v>
      </c>
      <c r="E22" s="67">
        <v>0.10526315789473684</v>
      </c>
      <c r="F22" s="67">
        <v>0.63157894736842102</v>
      </c>
      <c r="G22" s="67">
        <v>0.19526627218934911</v>
      </c>
      <c r="H22" s="67">
        <v>0.21893491124260356</v>
      </c>
      <c r="I22" s="68">
        <v>7260.606060606061</v>
      </c>
      <c r="J22" s="68">
        <v>-9345.9459459459467</v>
      </c>
      <c r="K22" s="67">
        <v>0.21052631578947367</v>
      </c>
      <c r="L22" s="67">
        <v>0</v>
      </c>
      <c r="M22" s="67">
        <v>0.23668639053254437</v>
      </c>
      <c r="N22" s="67">
        <v>0.11242603550295859</v>
      </c>
      <c r="O22" s="67">
        <v>0.47499999999999998</v>
      </c>
      <c r="P22" s="67">
        <v>0.21052631578947367</v>
      </c>
      <c r="Q22" s="67">
        <v>0.45454545454545453</v>
      </c>
    </row>
    <row r="23" spans="1:17" x14ac:dyDescent="0.4">
      <c r="A23" s="69">
        <v>20</v>
      </c>
      <c r="B23" s="66">
        <v>-632.99999999999989</v>
      </c>
      <c r="C23" s="66">
        <v>-31.649999999999995</v>
      </c>
      <c r="D23" s="71">
        <v>2.5499999999999998</v>
      </c>
      <c r="E23" s="67">
        <v>0.1</v>
      </c>
      <c r="F23" s="67">
        <v>0.65</v>
      </c>
      <c r="G23" s="67">
        <v>0.19075144508670519</v>
      </c>
      <c r="H23" s="67">
        <v>0.22543352601156069</v>
      </c>
      <c r="I23" s="68">
        <v>7260.606060606061</v>
      </c>
      <c r="J23" s="68">
        <v>-9892.3076923076915</v>
      </c>
      <c r="K23" s="67">
        <v>0.25</v>
      </c>
      <c r="L23" s="67">
        <v>0</v>
      </c>
      <c r="M23" s="67">
        <v>0.23121387283236994</v>
      </c>
      <c r="N23" s="67">
        <v>0.11560693641618497</v>
      </c>
      <c r="O23" s="67">
        <v>0.47499999999999998</v>
      </c>
      <c r="P23" s="67">
        <v>0.2</v>
      </c>
      <c r="Q23" s="67">
        <v>0.45454545454545453</v>
      </c>
    </row>
    <row r="24" spans="1:17" x14ac:dyDescent="0.4">
      <c r="A24" s="69">
        <v>21</v>
      </c>
      <c r="B24" s="66">
        <v>-629.49999999999989</v>
      </c>
      <c r="C24" s="66">
        <v>-29.976190476190471</v>
      </c>
      <c r="D24" s="71">
        <v>2.5238095238095237</v>
      </c>
      <c r="E24" s="67">
        <v>9.5238095238095233E-2</v>
      </c>
      <c r="F24" s="67">
        <v>0.61904761904761907</v>
      </c>
      <c r="G24" s="67">
        <v>0.18994413407821228</v>
      </c>
      <c r="H24" s="67">
        <v>0.21787709497206703</v>
      </c>
      <c r="I24" s="68">
        <v>7282.3529411764703</v>
      </c>
      <c r="J24" s="68">
        <v>-9892.3076923076915</v>
      </c>
      <c r="K24" s="67">
        <v>0.23809523809523808</v>
      </c>
      <c r="L24" s="67">
        <v>0</v>
      </c>
      <c r="M24" s="67">
        <v>0.24022346368715083</v>
      </c>
      <c r="N24" s="67">
        <v>0.11731843575418995</v>
      </c>
      <c r="O24" s="67">
        <v>0.46511627906976744</v>
      </c>
      <c r="P24" s="67">
        <v>0.19047619047619047</v>
      </c>
      <c r="Q24" s="67">
        <v>0.47058823529411764</v>
      </c>
    </row>
    <row r="25" spans="1:17" x14ac:dyDescent="0.4">
      <c r="A25" s="69">
        <v>22</v>
      </c>
      <c r="B25" s="66">
        <v>-670.19999999999993</v>
      </c>
      <c r="C25" s="66">
        <v>-30.463636363636361</v>
      </c>
      <c r="D25" s="71">
        <v>2.5454545454545454</v>
      </c>
      <c r="E25" s="67">
        <v>9.0909090909090912E-2</v>
      </c>
      <c r="F25" s="67">
        <v>0.63636363636363635</v>
      </c>
      <c r="G25" s="67">
        <v>0.18817204301075269</v>
      </c>
      <c r="H25" s="67">
        <v>0.22043010752688172</v>
      </c>
      <c r="I25" s="68">
        <v>7302.8571428571431</v>
      </c>
      <c r="J25" s="68">
        <v>-9748.7804878048773</v>
      </c>
      <c r="K25" s="67">
        <v>0.22727272727272727</v>
      </c>
      <c r="L25" s="67">
        <v>0</v>
      </c>
      <c r="M25" s="67">
        <v>0.24193548387096775</v>
      </c>
      <c r="N25" s="67">
        <v>0.11827956989247312</v>
      </c>
      <c r="O25" s="67">
        <v>0.46666666666666667</v>
      </c>
      <c r="P25" s="67">
        <v>0.18181818181818182</v>
      </c>
      <c r="Q25" s="67">
        <v>0.48571428571428571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51A8DB-67CA-4AA4-BB83-BF35124BCEB3}">
  <sheetPr codeName="Sheet10"/>
  <dimension ref="A1:Q53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128</v>
      </c>
      <c r="B1" s="70" t="s">
        <v>128</v>
      </c>
      <c r="C1" s="70" t="s">
        <v>128</v>
      </c>
      <c r="D1" s="71" t="s">
        <v>128</v>
      </c>
      <c r="E1" s="70" t="s">
        <v>128</v>
      </c>
      <c r="F1" s="70" t="s">
        <v>128</v>
      </c>
      <c r="G1" s="70" t="s">
        <v>128</v>
      </c>
      <c r="H1" s="70" t="s">
        <v>128</v>
      </c>
      <c r="I1" s="70" t="s">
        <v>128</v>
      </c>
      <c r="J1" s="70" t="s">
        <v>128</v>
      </c>
      <c r="K1" s="70" t="s">
        <v>128</v>
      </c>
      <c r="L1" s="70" t="s">
        <v>128</v>
      </c>
      <c r="M1" s="70" t="s">
        <v>128</v>
      </c>
      <c r="N1" s="70" t="s">
        <v>128</v>
      </c>
      <c r="O1" s="70" t="s">
        <v>128</v>
      </c>
      <c r="P1" s="70" t="s">
        <v>128</v>
      </c>
      <c r="Q1" s="70" t="s">
        <v>128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45.5</v>
      </c>
      <c r="C4" s="66">
        <v>45.5</v>
      </c>
      <c r="D4" s="71">
        <v>1</v>
      </c>
      <c r="E4" s="67">
        <v>1</v>
      </c>
      <c r="F4" s="67">
        <v>0</v>
      </c>
      <c r="G4" s="67">
        <v>0.5</v>
      </c>
      <c r="H4" s="67">
        <v>0.16666666666666666</v>
      </c>
      <c r="I4" s="68">
        <v>13233.333333333334</v>
      </c>
      <c r="J4" s="68">
        <v>-8000</v>
      </c>
      <c r="K4" s="67">
        <v>0</v>
      </c>
      <c r="L4" s="67">
        <v>0</v>
      </c>
      <c r="M4" s="67">
        <v>0.5</v>
      </c>
      <c r="N4" s="67">
        <v>0.16666666666666666</v>
      </c>
      <c r="O4" s="67">
        <v>1</v>
      </c>
      <c r="P4" s="67">
        <v>0</v>
      </c>
      <c r="Q4" s="67">
        <v>0</v>
      </c>
    </row>
    <row r="5" spans="1:17" x14ac:dyDescent="0.4">
      <c r="A5" s="69">
        <v>2</v>
      </c>
      <c r="B5" s="66">
        <v>6.2999999999999972</v>
      </c>
      <c r="C5" s="66">
        <v>3.1499999999999986</v>
      </c>
      <c r="D5" s="71">
        <v>2</v>
      </c>
      <c r="E5" s="67">
        <v>0.5</v>
      </c>
      <c r="F5" s="67">
        <v>0.5</v>
      </c>
      <c r="G5" s="67">
        <v>0.3125</v>
      </c>
      <c r="H5" s="67">
        <v>0.25</v>
      </c>
      <c r="I5" s="68">
        <v>11860</v>
      </c>
      <c r="J5" s="68">
        <v>-6950</v>
      </c>
      <c r="K5" s="67">
        <v>0</v>
      </c>
      <c r="L5" s="67">
        <v>0</v>
      </c>
      <c r="M5" s="67">
        <v>0.375</v>
      </c>
      <c r="N5" s="67">
        <v>0.125</v>
      </c>
      <c r="O5" s="67">
        <v>0.66666666666666663</v>
      </c>
      <c r="P5" s="67">
        <v>0.5</v>
      </c>
      <c r="Q5" s="67">
        <v>0.2</v>
      </c>
    </row>
    <row r="6" spans="1:17" x14ac:dyDescent="0.4">
      <c r="A6" s="69">
        <v>3</v>
      </c>
      <c r="B6" s="66">
        <v>-47.300000000000004</v>
      </c>
      <c r="C6" s="66">
        <v>-15.766666666666667</v>
      </c>
      <c r="D6" s="71">
        <v>2.3333333333333335</v>
      </c>
      <c r="E6" s="67">
        <v>0.33333333333333331</v>
      </c>
      <c r="F6" s="67">
        <v>0.66666666666666663</v>
      </c>
      <c r="G6" s="67">
        <v>0.23076923076923078</v>
      </c>
      <c r="H6" s="67">
        <v>0.26923076923076922</v>
      </c>
      <c r="I6" s="68">
        <v>11483.333333333334</v>
      </c>
      <c r="J6" s="68">
        <v>-7785.7142857142853</v>
      </c>
      <c r="K6" s="67">
        <v>0</v>
      </c>
      <c r="L6" s="67">
        <v>0</v>
      </c>
      <c r="M6" s="67">
        <v>0.26923076923076922</v>
      </c>
      <c r="N6" s="67">
        <v>0.23076923076923078</v>
      </c>
      <c r="O6" s="67">
        <v>0.7142857142857143</v>
      </c>
      <c r="P6" s="67">
        <v>0.16666666666666666</v>
      </c>
      <c r="Q6" s="67">
        <v>0.16666666666666666</v>
      </c>
    </row>
    <row r="7" spans="1:17" x14ac:dyDescent="0.4">
      <c r="A7" s="69">
        <v>4</v>
      </c>
      <c r="B7" s="66">
        <v>13.599999999999994</v>
      </c>
      <c r="C7" s="66">
        <v>3.3999999999999986</v>
      </c>
      <c r="D7" s="71">
        <v>2</v>
      </c>
      <c r="E7" s="67">
        <v>0.5</v>
      </c>
      <c r="F7" s="67">
        <v>0.5</v>
      </c>
      <c r="G7" s="67">
        <v>0.34285714285714286</v>
      </c>
      <c r="H7" s="67">
        <v>0.22857142857142856</v>
      </c>
      <c r="I7" s="68">
        <v>9500</v>
      </c>
      <c r="J7" s="68">
        <v>-7300</v>
      </c>
      <c r="K7" s="67">
        <v>0</v>
      </c>
      <c r="L7" s="67">
        <v>0</v>
      </c>
      <c r="M7" s="67">
        <v>0.2857142857142857</v>
      </c>
      <c r="N7" s="67">
        <v>0.25714285714285712</v>
      </c>
      <c r="O7" s="67">
        <v>0.8</v>
      </c>
      <c r="P7" s="67">
        <v>0.33333333333333331</v>
      </c>
      <c r="Q7" s="67">
        <v>0.25</v>
      </c>
    </row>
    <row r="8" spans="1:17" x14ac:dyDescent="0.4">
      <c r="A8" s="69">
        <v>5</v>
      </c>
      <c r="B8" s="66">
        <v>-16.600000000000005</v>
      </c>
      <c r="C8" s="66">
        <v>-3.3200000000000012</v>
      </c>
      <c r="D8" s="71">
        <v>2.2000000000000002</v>
      </c>
      <c r="E8" s="67">
        <v>0.4</v>
      </c>
      <c r="F8" s="67">
        <v>0.6</v>
      </c>
      <c r="G8" s="67">
        <v>0.28888888888888886</v>
      </c>
      <c r="H8" s="67">
        <v>0.2</v>
      </c>
      <c r="I8" s="68">
        <v>8846.1538461538457</v>
      </c>
      <c r="J8" s="68">
        <v>-6755.5555555555557</v>
      </c>
      <c r="K8" s="67">
        <v>0</v>
      </c>
      <c r="L8" s="67">
        <v>0</v>
      </c>
      <c r="M8" s="67">
        <v>0.24444444444444444</v>
      </c>
      <c r="N8" s="67">
        <v>0.24444444444444444</v>
      </c>
      <c r="O8" s="67">
        <v>0.72727272727272729</v>
      </c>
      <c r="P8" s="67">
        <v>0.36363636363636365</v>
      </c>
      <c r="Q8" s="67">
        <v>0.23076923076923078</v>
      </c>
    </row>
    <row r="9" spans="1:17" x14ac:dyDescent="0.4">
      <c r="A9" s="69">
        <v>6</v>
      </c>
      <c r="B9" s="66">
        <v>-14.000000000000005</v>
      </c>
      <c r="C9" s="66">
        <v>-2.3333333333333344</v>
      </c>
      <c r="D9" s="71">
        <v>2.1666666666666665</v>
      </c>
      <c r="E9" s="67">
        <v>0.33333333333333331</v>
      </c>
      <c r="F9" s="67">
        <v>0.5</v>
      </c>
      <c r="G9" s="67">
        <v>0.29629629629629628</v>
      </c>
      <c r="H9" s="67">
        <v>0.16666666666666666</v>
      </c>
      <c r="I9" s="68">
        <v>8231.25</v>
      </c>
      <c r="J9" s="68">
        <v>-6755.5555555555557</v>
      </c>
      <c r="K9" s="67">
        <v>0</v>
      </c>
      <c r="L9" s="67">
        <v>0</v>
      </c>
      <c r="M9" s="67">
        <v>0.31481481481481483</v>
      </c>
      <c r="N9" s="67">
        <v>0.22222222222222221</v>
      </c>
      <c r="O9" s="67">
        <v>0.6470588235294118</v>
      </c>
      <c r="P9" s="67">
        <v>0.33333333333333331</v>
      </c>
      <c r="Q9" s="67">
        <v>0.25</v>
      </c>
    </row>
    <row r="10" spans="1:17" x14ac:dyDescent="0.4">
      <c r="A10" s="69">
        <v>7</v>
      </c>
      <c r="B10" s="66">
        <v>-45.300000000000004</v>
      </c>
      <c r="C10" s="66">
        <v>-6.4714285714285724</v>
      </c>
      <c r="D10" s="71">
        <v>2.2857142857142856</v>
      </c>
      <c r="E10" s="67">
        <v>0.2857142857142857</v>
      </c>
      <c r="F10" s="67">
        <v>0.5714285714285714</v>
      </c>
      <c r="G10" s="67">
        <v>0.29508196721311475</v>
      </c>
      <c r="H10" s="67">
        <v>0.16393442622950818</v>
      </c>
      <c r="I10" s="68">
        <v>8138.8888888888887</v>
      </c>
      <c r="J10" s="68">
        <v>-7880</v>
      </c>
      <c r="K10" s="67">
        <v>0</v>
      </c>
      <c r="L10" s="67">
        <v>0</v>
      </c>
      <c r="M10" s="67">
        <v>0.32786885245901637</v>
      </c>
      <c r="N10" s="67">
        <v>0.19672131147540983</v>
      </c>
      <c r="O10" s="67">
        <v>0.6</v>
      </c>
      <c r="P10" s="67">
        <v>0.33333333333333331</v>
      </c>
      <c r="Q10" s="67">
        <v>0.33333333333333331</v>
      </c>
    </row>
    <row r="11" spans="1:17" x14ac:dyDescent="0.4">
      <c r="A11" s="69">
        <v>8</v>
      </c>
      <c r="B11" s="66">
        <v>-49.6</v>
      </c>
      <c r="C11" s="66">
        <v>-6.2</v>
      </c>
      <c r="D11" s="71">
        <v>2.25</v>
      </c>
      <c r="E11" s="67">
        <v>0.25</v>
      </c>
      <c r="F11" s="67">
        <v>0.5</v>
      </c>
      <c r="G11" s="67">
        <v>0.26760563380281688</v>
      </c>
      <c r="H11" s="67">
        <v>0.14084507042253522</v>
      </c>
      <c r="I11" s="68">
        <v>8115.7894736842109</v>
      </c>
      <c r="J11" s="68">
        <v>-7880</v>
      </c>
      <c r="K11" s="67">
        <v>0</v>
      </c>
      <c r="L11" s="67">
        <v>0</v>
      </c>
      <c r="M11" s="67">
        <v>0.323943661971831</v>
      </c>
      <c r="N11" s="67">
        <v>0.21126760563380281</v>
      </c>
      <c r="O11" s="67">
        <v>0.56521739130434778</v>
      </c>
      <c r="P11" s="67">
        <v>0.26666666666666666</v>
      </c>
      <c r="Q11" s="67">
        <v>0.31578947368421051</v>
      </c>
    </row>
    <row r="12" spans="1:17" x14ac:dyDescent="0.4">
      <c r="A12" s="69">
        <v>9</v>
      </c>
      <c r="B12" s="66">
        <v>-79.5</v>
      </c>
      <c r="C12" s="66">
        <v>-8.8333333333333339</v>
      </c>
      <c r="D12" s="71">
        <v>2.3333333333333335</v>
      </c>
      <c r="E12" s="67">
        <v>0.22222222222222221</v>
      </c>
      <c r="F12" s="67">
        <v>0.55555555555555558</v>
      </c>
      <c r="G12" s="67">
        <v>0.26923076923076922</v>
      </c>
      <c r="H12" s="67">
        <v>0.16666666666666666</v>
      </c>
      <c r="I12" s="68">
        <v>7900</v>
      </c>
      <c r="J12" s="68">
        <v>-7569.2307692307695</v>
      </c>
      <c r="K12" s="67">
        <v>0</v>
      </c>
      <c r="L12" s="67">
        <v>0</v>
      </c>
      <c r="M12" s="67">
        <v>0.30769230769230771</v>
      </c>
      <c r="N12" s="67">
        <v>0.21794871794871795</v>
      </c>
      <c r="O12" s="67">
        <v>0.54166666666666663</v>
      </c>
      <c r="P12" s="67">
        <v>0.23529411764705882</v>
      </c>
      <c r="Q12" s="67">
        <v>0.38095238095238093</v>
      </c>
    </row>
    <row r="13" spans="1:17" x14ac:dyDescent="0.4">
      <c r="A13" s="69">
        <v>10</v>
      </c>
      <c r="B13" s="66">
        <v>-80.900000000000006</v>
      </c>
      <c r="C13" s="66">
        <v>-8.09</v>
      </c>
      <c r="D13" s="71">
        <v>2.2999999999999998</v>
      </c>
      <c r="E13" s="67">
        <v>0.2</v>
      </c>
      <c r="F13" s="67">
        <v>0.5</v>
      </c>
      <c r="G13" s="67">
        <v>0.27906976744186046</v>
      </c>
      <c r="H13" s="67">
        <v>0.16279069767441862</v>
      </c>
      <c r="I13" s="68">
        <v>7900</v>
      </c>
      <c r="J13" s="68">
        <v>-7578.5714285714284</v>
      </c>
      <c r="K13" s="67">
        <v>0</v>
      </c>
      <c r="L13" s="67">
        <v>0</v>
      </c>
      <c r="M13" s="67">
        <v>0.32558139534883723</v>
      </c>
      <c r="N13" s="67">
        <v>0.20930232558139536</v>
      </c>
      <c r="O13" s="67">
        <v>0.5357142857142857</v>
      </c>
      <c r="P13" s="67">
        <v>0.27777777777777779</v>
      </c>
      <c r="Q13" s="67">
        <v>0.375</v>
      </c>
    </row>
    <row r="14" spans="1:17" x14ac:dyDescent="0.4">
      <c r="A14" s="69">
        <v>11</v>
      </c>
      <c r="B14" s="66">
        <v>-53.100000000000009</v>
      </c>
      <c r="C14" s="66">
        <v>-4.827272727272728</v>
      </c>
      <c r="D14" s="71">
        <v>2.1818181818181817</v>
      </c>
      <c r="E14" s="67">
        <v>0.27272727272727271</v>
      </c>
      <c r="F14" s="67">
        <v>0.45454545454545453</v>
      </c>
      <c r="G14" s="67">
        <v>0.29032258064516131</v>
      </c>
      <c r="H14" s="67">
        <v>0.16129032258064516</v>
      </c>
      <c r="I14" s="68">
        <v>7644.4444444444443</v>
      </c>
      <c r="J14" s="68">
        <v>-7606.666666666667</v>
      </c>
      <c r="K14" s="67">
        <v>0</v>
      </c>
      <c r="L14" s="67">
        <v>0</v>
      </c>
      <c r="M14" s="67">
        <v>0.32258064516129031</v>
      </c>
      <c r="N14" s="67">
        <v>0.20430107526881722</v>
      </c>
      <c r="O14" s="67">
        <v>0.56666666666666665</v>
      </c>
      <c r="P14" s="67">
        <v>0.26315789473684209</v>
      </c>
      <c r="Q14" s="67">
        <v>0.37037037037037035</v>
      </c>
    </row>
    <row r="15" spans="1:17" x14ac:dyDescent="0.4">
      <c r="A15" s="69">
        <v>12</v>
      </c>
      <c r="B15" s="66">
        <v>-56.500000000000007</v>
      </c>
      <c r="C15" s="66">
        <v>-4.7083333333333339</v>
      </c>
      <c r="D15" s="71">
        <v>2.1666666666666665</v>
      </c>
      <c r="E15" s="67">
        <v>0.25</v>
      </c>
      <c r="F15" s="67">
        <v>0.41666666666666669</v>
      </c>
      <c r="G15" s="67">
        <v>0.30097087378640774</v>
      </c>
      <c r="H15" s="67">
        <v>0.17475728155339806</v>
      </c>
      <c r="I15" s="68">
        <v>7809.677419354839</v>
      </c>
      <c r="J15" s="68">
        <v>-8222.2222222222226</v>
      </c>
      <c r="K15" s="67">
        <v>0</v>
      </c>
      <c r="L15" s="67">
        <v>0</v>
      </c>
      <c r="M15" s="67">
        <v>0.31067961165048541</v>
      </c>
      <c r="N15" s="67">
        <v>0.22330097087378642</v>
      </c>
      <c r="O15" s="67">
        <v>0.59375</v>
      </c>
      <c r="P15" s="67">
        <v>0.2608695652173913</v>
      </c>
      <c r="Q15" s="67">
        <v>0.38709677419354838</v>
      </c>
    </row>
    <row r="16" spans="1:17" x14ac:dyDescent="0.4">
      <c r="A16" s="69">
        <v>13</v>
      </c>
      <c r="B16" s="66">
        <v>-81.900000000000006</v>
      </c>
      <c r="C16" s="66">
        <v>-6.3000000000000007</v>
      </c>
      <c r="D16" s="71">
        <v>2.2307692307692308</v>
      </c>
      <c r="E16" s="67">
        <v>0.23076923076923078</v>
      </c>
      <c r="F16" s="67">
        <v>0.46153846153846156</v>
      </c>
      <c r="G16" s="67">
        <v>0.29203539823008851</v>
      </c>
      <c r="H16" s="67">
        <v>0.17699115044247787</v>
      </c>
      <c r="I16" s="68">
        <v>7763.636363636364</v>
      </c>
      <c r="J16" s="68">
        <v>-8100</v>
      </c>
      <c r="K16" s="67">
        <v>0</v>
      </c>
      <c r="L16" s="67">
        <v>0</v>
      </c>
      <c r="M16" s="67">
        <v>0.2831858407079646</v>
      </c>
      <c r="N16" s="67">
        <v>0.24778761061946902</v>
      </c>
      <c r="O16" s="67">
        <v>0.59375</v>
      </c>
      <c r="P16" s="67">
        <v>0.25</v>
      </c>
      <c r="Q16" s="67">
        <v>0.42424242424242425</v>
      </c>
    </row>
    <row r="17" spans="1:17" x14ac:dyDescent="0.4">
      <c r="A17" s="69">
        <v>14</v>
      </c>
      <c r="B17" s="66">
        <v>-25.600000000000009</v>
      </c>
      <c r="C17" s="66">
        <v>-1.8285714285714292</v>
      </c>
      <c r="D17" s="71">
        <v>2.1428571428571428</v>
      </c>
      <c r="E17" s="67">
        <v>0.2857142857142857</v>
      </c>
      <c r="F17" s="67">
        <v>0.42857142857142855</v>
      </c>
      <c r="G17" s="67">
        <v>0.31707317073170732</v>
      </c>
      <c r="H17" s="67">
        <v>0.16260162601626016</v>
      </c>
      <c r="I17" s="68">
        <v>7392.3076923076924</v>
      </c>
      <c r="J17" s="68">
        <v>-8100</v>
      </c>
      <c r="K17" s="67">
        <v>0</v>
      </c>
      <c r="L17" s="67">
        <v>0</v>
      </c>
      <c r="M17" s="67">
        <v>0.32520325203252032</v>
      </c>
      <c r="N17" s="67">
        <v>0.22764227642276422</v>
      </c>
      <c r="O17" s="67">
        <v>0.625</v>
      </c>
      <c r="P17" s="67">
        <v>0.25</v>
      </c>
      <c r="Q17" s="67">
        <v>0.41025641025641024</v>
      </c>
    </row>
    <row r="18" spans="1:17" x14ac:dyDescent="0.4">
      <c r="A18" s="69">
        <v>15</v>
      </c>
      <c r="B18" s="66">
        <v>47.999999999999986</v>
      </c>
      <c r="C18" s="66">
        <v>3.1999999999999988</v>
      </c>
      <c r="D18" s="71">
        <v>2.0666666666666669</v>
      </c>
      <c r="E18" s="67">
        <v>0.33333333333333331</v>
      </c>
      <c r="F18" s="67">
        <v>0.4</v>
      </c>
      <c r="G18" s="67">
        <v>0.33088235294117646</v>
      </c>
      <c r="H18" s="67">
        <v>0.16911764705882354</v>
      </c>
      <c r="I18" s="68">
        <v>8133.333333333333</v>
      </c>
      <c r="J18" s="68">
        <v>-8026.086956521739</v>
      </c>
      <c r="K18" s="67">
        <v>0</v>
      </c>
      <c r="L18" s="67">
        <v>6.6666666666666666E-2</v>
      </c>
      <c r="M18" s="67">
        <v>0.33823529411764708</v>
      </c>
      <c r="N18" s="67">
        <v>0.21323529411764705</v>
      </c>
      <c r="O18" s="67">
        <v>0.63043478260869568</v>
      </c>
      <c r="P18" s="67">
        <v>0.27586206896551724</v>
      </c>
      <c r="Q18" s="67">
        <v>0.4</v>
      </c>
    </row>
    <row r="19" spans="1:17" x14ac:dyDescent="0.4">
      <c r="A19" s="69">
        <v>16</v>
      </c>
      <c r="B19" s="66">
        <v>41.699999999999989</v>
      </c>
      <c r="C19" s="66">
        <v>2.6062499999999993</v>
      </c>
      <c r="D19" s="71">
        <v>2.0625</v>
      </c>
      <c r="E19" s="67">
        <v>0.3125</v>
      </c>
      <c r="F19" s="67">
        <v>0.375</v>
      </c>
      <c r="G19" s="67">
        <v>0.32413793103448274</v>
      </c>
      <c r="H19" s="67">
        <v>0.1793103448275862</v>
      </c>
      <c r="I19" s="68">
        <v>8000</v>
      </c>
      <c r="J19" s="68">
        <v>-7476.9230769230771</v>
      </c>
      <c r="K19" s="67">
        <v>0</v>
      </c>
      <c r="L19" s="67">
        <v>6.25E-2</v>
      </c>
      <c r="M19" s="67">
        <v>0.32413793103448274</v>
      </c>
      <c r="N19" s="67">
        <v>0.21379310344827587</v>
      </c>
      <c r="O19" s="67">
        <v>0.63829787234042556</v>
      </c>
      <c r="P19" s="67">
        <v>0.29032258064516131</v>
      </c>
      <c r="Q19" s="67">
        <v>0.40425531914893614</v>
      </c>
    </row>
    <row r="20" spans="1:17" x14ac:dyDescent="0.4">
      <c r="A20" s="69">
        <v>17</v>
      </c>
      <c r="B20" s="66">
        <v>94.6</v>
      </c>
      <c r="C20" s="66">
        <v>5.5647058823529409</v>
      </c>
      <c r="D20" s="71">
        <v>2</v>
      </c>
      <c r="E20" s="67">
        <v>0.35294117647058826</v>
      </c>
      <c r="F20" s="67">
        <v>0.35294117647058826</v>
      </c>
      <c r="G20" s="67">
        <v>0.33333333333333331</v>
      </c>
      <c r="H20" s="67">
        <v>0.17333333333333334</v>
      </c>
      <c r="I20" s="68">
        <v>8258</v>
      </c>
      <c r="J20" s="68">
        <v>-7476.9230769230771</v>
      </c>
      <c r="K20" s="67">
        <v>0</v>
      </c>
      <c r="L20" s="67">
        <v>0.11764705882352941</v>
      </c>
      <c r="M20" s="67">
        <v>0.33333333333333331</v>
      </c>
      <c r="N20" s="67">
        <v>0.20666666666666667</v>
      </c>
      <c r="O20" s="67">
        <v>0.66</v>
      </c>
      <c r="P20" s="67">
        <v>0.29032258064516131</v>
      </c>
      <c r="Q20" s="67">
        <v>0.4</v>
      </c>
    </row>
    <row r="21" spans="1:17" x14ac:dyDescent="0.4">
      <c r="A21" s="69">
        <v>18</v>
      </c>
      <c r="B21" s="66">
        <v>116.69999999999999</v>
      </c>
      <c r="C21" s="66">
        <v>6.4833333333333325</v>
      </c>
      <c r="D21" s="71">
        <v>1.9444444444444444</v>
      </c>
      <c r="E21" s="67">
        <v>0.3888888888888889</v>
      </c>
      <c r="F21" s="67">
        <v>0.33333333333333331</v>
      </c>
      <c r="G21" s="67">
        <v>0.32911392405063289</v>
      </c>
      <c r="H21" s="67">
        <v>0.17088607594936708</v>
      </c>
      <c r="I21" s="68">
        <v>8196.1538461538457</v>
      </c>
      <c r="J21" s="68">
        <v>-7392.5925925925922</v>
      </c>
      <c r="K21" s="67">
        <v>0</v>
      </c>
      <c r="L21" s="67">
        <v>0.1111111111111111</v>
      </c>
      <c r="M21" s="67">
        <v>0.32911392405063289</v>
      </c>
      <c r="N21" s="67">
        <v>0.19620253164556961</v>
      </c>
      <c r="O21" s="67">
        <v>0.65384615384615385</v>
      </c>
      <c r="P21" s="67">
        <v>0.29032258064516131</v>
      </c>
      <c r="Q21" s="67">
        <v>0.38461538461538464</v>
      </c>
    </row>
    <row r="22" spans="1:17" x14ac:dyDescent="0.4">
      <c r="A22" s="69">
        <v>19</v>
      </c>
      <c r="B22" s="66">
        <v>138.79999999999998</v>
      </c>
      <c r="C22" s="66">
        <v>7.3052631578947356</v>
      </c>
      <c r="D22" s="71">
        <v>1.8947368421052631</v>
      </c>
      <c r="E22" s="67">
        <v>0.42105263157894735</v>
      </c>
      <c r="F22" s="67">
        <v>0.31578947368421051</v>
      </c>
      <c r="G22" s="67">
        <v>0.3253012048192771</v>
      </c>
      <c r="H22" s="67">
        <v>0.16867469879518071</v>
      </c>
      <c r="I22" s="68">
        <v>8138.8888888888887</v>
      </c>
      <c r="J22" s="68">
        <v>-7314.2857142857147</v>
      </c>
      <c r="K22" s="67">
        <v>0</v>
      </c>
      <c r="L22" s="67">
        <v>0.10526315789473684</v>
      </c>
      <c r="M22" s="67">
        <v>0.3253012048192771</v>
      </c>
      <c r="N22" s="67">
        <v>0.18674698795180722</v>
      </c>
      <c r="O22" s="67">
        <v>0.64814814814814814</v>
      </c>
      <c r="P22" s="67">
        <v>0.29032258064516131</v>
      </c>
      <c r="Q22" s="67">
        <v>0.37037037037037035</v>
      </c>
    </row>
    <row r="23" spans="1:17" x14ac:dyDescent="0.4">
      <c r="A23" s="69">
        <v>20</v>
      </c>
      <c r="B23" s="66">
        <v>164.49999999999997</v>
      </c>
      <c r="C23" s="66">
        <v>8.2249999999999979</v>
      </c>
      <c r="D23" s="71">
        <v>1.85</v>
      </c>
      <c r="E23" s="67">
        <v>0.45</v>
      </c>
      <c r="F23" s="67">
        <v>0.3</v>
      </c>
      <c r="G23" s="67">
        <v>0.31638418079096048</v>
      </c>
      <c r="H23" s="67">
        <v>0.16384180790960451</v>
      </c>
      <c r="I23" s="68">
        <v>8312.5</v>
      </c>
      <c r="J23" s="68">
        <v>-7475.8620689655172</v>
      </c>
      <c r="K23" s="67">
        <v>0</v>
      </c>
      <c r="L23" s="67">
        <v>0.1</v>
      </c>
      <c r="M23" s="67">
        <v>0.32203389830508472</v>
      </c>
      <c r="N23" s="67">
        <v>0.1807909604519774</v>
      </c>
      <c r="O23" s="67">
        <v>0.63157894736842102</v>
      </c>
      <c r="P23" s="67">
        <v>0.28125</v>
      </c>
      <c r="Q23" s="67">
        <v>0.375</v>
      </c>
    </row>
    <row r="24" spans="1:17" x14ac:dyDescent="0.4">
      <c r="A24" s="69">
        <v>21</v>
      </c>
      <c r="B24" s="66">
        <v>204.09999999999997</v>
      </c>
      <c r="C24" s="66">
        <v>9.7190476190476183</v>
      </c>
      <c r="D24" s="71">
        <v>1.8571428571428572</v>
      </c>
      <c r="E24" s="67">
        <v>0.42857142857142855</v>
      </c>
      <c r="F24" s="67">
        <v>0.2857142857142857</v>
      </c>
      <c r="G24" s="67">
        <v>0.31413612565445026</v>
      </c>
      <c r="H24" s="67">
        <v>0.15183246073298429</v>
      </c>
      <c r="I24" s="68">
        <v>9035</v>
      </c>
      <c r="J24" s="68">
        <v>-7475.8620689655172</v>
      </c>
      <c r="K24" s="67">
        <v>0</v>
      </c>
      <c r="L24" s="67">
        <v>9.5238095238095233E-2</v>
      </c>
      <c r="M24" s="67">
        <v>0.32460732984293195</v>
      </c>
      <c r="N24" s="67">
        <v>0.18848167539267016</v>
      </c>
      <c r="O24" s="67">
        <v>0.61290322580645162</v>
      </c>
      <c r="P24" s="67">
        <v>0.27777777777777779</v>
      </c>
      <c r="Q24" s="67">
        <v>0.36666666666666664</v>
      </c>
    </row>
    <row r="25" spans="1:17" x14ac:dyDescent="0.4">
      <c r="A25" s="69">
        <v>22</v>
      </c>
      <c r="B25" s="66">
        <v>239.39999999999998</v>
      </c>
      <c r="C25" s="66">
        <v>10.881818181818181</v>
      </c>
      <c r="D25" s="71">
        <v>1.8181818181818181</v>
      </c>
      <c r="E25" s="67">
        <v>0.45454545454545453</v>
      </c>
      <c r="F25" s="67">
        <v>0.27272727272727271</v>
      </c>
      <c r="G25" s="67">
        <v>0.32</v>
      </c>
      <c r="H25" s="67">
        <v>0.155</v>
      </c>
      <c r="I25" s="68">
        <v>9095.3125</v>
      </c>
      <c r="J25" s="68">
        <v>-7629.0322580645161</v>
      </c>
      <c r="K25" s="67">
        <v>0</v>
      </c>
      <c r="L25" s="67">
        <v>9.0909090909090912E-2</v>
      </c>
      <c r="M25" s="67">
        <v>0.33500000000000002</v>
      </c>
      <c r="N25" s="67">
        <v>0.185</v>
      </c>
      <c r="O25" s="67">
        <v>0.62686567164179108</v>
      </c>
      <c r="P25" s="67">
        <v>0.27027027027027029</v>
      </c>
      <c r="Q25" s="67">
        <v>0.34375</v>
      </c>
    </row>
    <row r="26" spans="1:17" x14ac:dyDescent="0.4">
      <c r="A26" s="69">
        <v>23</v>
      </c>
      <c r="B26" s="66">
        <v>245.49999999999997</v>
      </c>
      <c r="C26" s="66">
        <v>10.67391304347826</v>
      </c>
      <c r="D26" s="71">
        <v>1.826086956521739</v>
      </c>
      <c r="E26" s="67">
        <v>0.43478260869565216</v>
      </c>
      <c r="F26" s="67">
        <v>0.2608695652173913</v>
      </c>
      <c r="G26" s="67">
        <v>0.32524271844660196</v>
      </c>
      <c r="H26" s="67">
        <v>0.1553398058252427</v>
      </c>
      <c r="I26" s="68">
        <v>9338.805970149253</v>
      </c>
      <c r="J26" s="68">
        <v>-7765.625</v>
      </c>
      <c r="K26" s="67">
        <v>0</v>
      </c>
      <c r="L26" s="67">
        <v>8.6956521739130432E-2</v>
      </c>
      <c r="M26" s="67">
        <v>0.33495145631067963</v>
      </c>
      <c r="N26" s="67">
        <v>0.18446601941747573</v>
      </c>
      <c r="O26" s="67">
        <v>0.6376811594202898</v>
      </c>
      <c r="P26" s="67">
        <v>0.28947368421052633</v>
      </c>
      <c r="Q26" s="67">
        <v>0.34328358208955223</v>
      </c>
    </row>
    <row r="27" spans="1:17" x14ac:dyDescent="0.4">
      <c r="A27" s="69">
        <v>24</v>
      </c>
      <c r="B27" s="66">
        <v>240.39999999999998</v>
      </c>
      <c r="C27" s="66">
        <v>10.016666666666666</v>
      </c>
      <c r="D27" s="71">
        <v>1.8333333333333333</v>
      </c>
      <c r="E27" s="67">
        <v>0.41666666666666669</v>
      </c>
      <c r="F27" s="67">
        <v>0.25</v>
      </c>
      <c r="G27" s="67">
        <v>0.31944444444444442</v>
      </c>
      <c r="H27" s="67">
        <v>0.14814814814814814</v>
      </c>
      <c r="I27" s="68">
        <v>9260.8695652173919</v>
      </c>
      <c r="J27" s="68">
        <v>-7765.625</v>
      </c>
      <c r="K27" s="67">
        <v>0</v>
      </c>
      <c r="L27" s="67">
        <v>8.3333333333333329E-2</v>
      </c>
      <c r="M27" s="67">
        <v>0.32407407407407407</v>
      </c>
      <c r="N27" s="67">
        <v>0.18518518518518517</v>
      </c>
      <c r="O27" s="67">
        <v>0.6428571428571429</v>
      </c>
      <c r="P27" s="67">
        <v>0.3</v>
      </c>
      <c r="Q27" s="67">
        <v>0.36231884057971014</v>
      </c>
    </row>
    <row r="28" spans="1:17" x14ac:dyDescent="0.4">
      <c r="A28" s="69">
        <v>25</v>
      </c>
      <c r="B28" s="66">
        <v>245.59999999999997</v>
      </c>
      <c r="C28" s="66">
        <v>9.8239999999999981</v>
      </c>
      <c r="D28" s="71">
        <v>1.84</v>
      </c>
      <c r="E28" s="67">
        <v>0.4</v>
      </c>
      <c r="F28" s="67">
        <v>0.24</v>
      </c>
      <c r="G28" s="67">
        <v>0.31555555555555553</v>
      </c>
      <c r="H28" s="67">
        <v>0.14666666666666667</v>
      </c>
      <c r="I28" s="68">
        <v>9198.5915492957738</v>
      </c>
      <c r="J28" s="68">
        <v>-7648.484848484848</v>
      </c>
      <c r="K28" s="67">
        <v>0</v>
      </c>
      <c r="L28" s="67">
        <v>0.08</v>
      </c>
      <c r="M28" s="67">
        <v>0.32444444444444442</v>
      </c>
      <c r="N28" s="67">
        <v>0.18222222222222223</v>
      </c>
      <c r="O28" s="67">
        <v>0.63013698630136983</v>
      </c>
      <c r="P28" s="67">
        <v>0.29268292682926828</v>
      </c>
      <c r="Q28" s="67">
        <v>0.38028169014084506</v>
      </c>
    </row>
    <row r="29" spans="1:17" x14ac:dyDescent="0.4">
      <c r="A29" s="69">
        <v>26</v>
      </c>
      <c r="B29" s="66">
        <v>237.69999999999996</v>
      </c>
      <c r="C29" s="66">
        <v>9.1423076923076909</v>
      </c>
      <c r="D29" s="71">
        <v>1.8461538461538463</v>
      </c>
      <c r="E29" s="67">
        <v>0.38461538461538464</v>
      </c>
      <c r="F29" s="67">
        <v>0.23076923076923078</v>
      </c>
      <c r="G29" s="67">
        <v>0.31578947368421051</v>
      </c>
      <c r="H29" s="67">
        <v>0.14473684210526316</v>
      </c>
      <c r="I29" s="68">
        <v>9106.9444444444453</v>
      </c>
      <c r="J29" s="68">
        <v>-7648.484848484848</v>
      </c>
      <c r="K29" s="67">
        <v>0</v>
      </c>
      <c r="L29" s="67">
        <v>7.6923076923076927E-2</v>
      </c>
      <c r="M29" s="67">
        <v>0.32017543859649122</v>
      </c>
      <c r="N29" s="67">
        <v>0.17982456140350878</v>
      </c>
      <c r="O29" s="67">
        <v>0.63013698630136983</v>
      </c>
      <c r="P29" s="67">
        <v>0.29268292682926828</v>
      </c>
      <c r="Q29" s="67">
        <v>0.375</v>
      </c>
    </row>
    <row r="30" spans="1:17" x14ac:dyDescent="0.4">
      <c r="A30" s="69">
        <v>27</v>
      </c>
      <c r="B30" s="66">
        <v>236.69999999999996</v>
      </c>
      <c r="C30" s="66">
        <v>8.7666666666666657</v>
      </c>
      <c r="D30" s="71">
        <v>1.8518518518518519</v>
      </c>
      <c r="E30" s="67">
        <v>0.37037037037037035</v>
      </c>
      <c r="F30" s="67">
        <v>0.22222222222222221</v>
      </c>
      <c r="G30" s="67">
        <v>0.31223628691983124</v>
      </c>
      <c r="H30" s="67">
        <v>0.14345991561181434</v>
      </c>
      <c r="I30" s="68">
        <v>9139.1891891891901</v>
      </c>
      <c r="J30" s="68">
        <v>-7776.4705882352937</v>
      </c>
      <c r="K30" s="67">
        <v>0</v>
      </c>
      <c r="L30" s="67">
        <v>7.407407407407407E-2</v>
      </c>
      <c r="M30" s="67">
        <v>0.30801687763713081</v>
      </c>
      <c r="N30" s="67">
        <v>0.17721518987341772</v>
      </c>
      <c r="O30" s="67">
        <v>0.63013698630136983</v>
      </c>
      <c r="P30" s="67">
        <v>0.2857142857142857</v>
      </c>
      <c r="Q30" s="67">
        <v>0.36486486486486486</v>
      </c>
    </row>
    <row r="31" spans="1:17" x14ac:dyDescent="0.4">
      <c r="A31" s="69">
        <v>28</v>
      </c>
      <c r="B31" s="66">
        <v>191.39999999999998</v>
      </c>
      <c r="C31" s="66">
        <v>6.8357142857142845</v>
      </c>
      <c r="D31" s="71">
        <v>1.8928571428571428</v>
      </c>
      <c r="E31" s="67">
        <v>0.35714285714285715</v>
      </c>
      <c r="F31" s="67">
        <v>0.25</v>
      </c>
      <c r="G31" s="67">
        <v>0.30612244897959184</v>
      </c>
      <c r="H31" s="67">
        <v>0.15510204081632653</v>
      </c>
      <c r="I31" s="68">
        <v>9086.6666666666661</v>
      </c>
      <c r="J31" s="68">
        <v>-7563.1578947368425</v>
      </c>
      <c r="K31" s="67">
        <v>0</v>
      </c>
      <c r="L31" s="67">
        <v>7.1428571428571425E-2</v>
      </c>
      <c r="M31" s="67">
        <v>0.30612244897959184</v>
      </c>
      <c r="N31" s="67">
        <v>0.17959183673469387</v>
      </c>
      <c r="O31" s="67">
        <v>0.62666666666666671</v>
      </c>
      <c r="P31" s="67">
        <v>0.27272727272727271</v>
      </c>
      <c r="Q31" s="67">
        <v>0.36</v>
      </c>
    </row>
    <row r="32" spans="1:17" x14ac:dyDescent="0.4">
      <c r="A32" s="69">
        <v>29</v>
      </c>
      <c r="B32" s="66">
        <v>182.49999999999997</v>
      </c>
      <c r="C32" s="66">
        <v>6.2931034482758612</v>
      </c>
      <c r="D32" s="71">
        <v>1.896551724137931</v>
      </c>
      <c r="E32" s="67">
        <v>0.34482758620689657</v>
      </c>
      <c r="F32" s="67">
        <v>0.2413793103448276</v>
      </c>
      <c r="G32" s="67">
        <v>0.30555555555555558</v>
      </c>
      <c r="H32" s="67">
        <v>0.15476190476190477</v>
      </c>
      <c r="I32" s="68">
        <v>8922.0779220779223</v>
      </c>
      <c r="J32" s="68">
        <v>-7502.5641025641025</v>
      </c>
      <c r="K32" s="67">
        <v>0</v>
      </c>
      <c r="L32" s="67">
        <v>6.8965517241379309E-2</v>
      </c>
      <c r="M32" s="67">
        <v>0.30555555555555558</v>
      </c>
      <c r="N32" s="67">
        <v>0.17857142857142858</v>
      </c>
      <c r="O32" s="67">
        <v>0.62337662337662336</v>
      </c>
      <c r="P32" s="67">
        <v>0.26666666666666666</v>
      </c>
      <c r="Q32" s="67">
        <v>0.36363636363636365</v>
      </c>
    </row>
    <row r="33" spans="1:17" x14ac:dyDescent="0.4">
      <c r="A33" s="69">
        <v>30</v>
      </c>
      <c r="B33" s="66">
        <v>178.99999999999997</v>
      </c>
      <c r="C33" s="66">
        <v>5.9666666666666659</v>
      </c>
      <c r="D33" s="71">
        <v>1.9</v>
      </c>
      <c r="E33" s="67">
        <v>0.33333333333333331</v>
      </c>
      <c r="F33" s="67">
        <v>0.23333333333333334</v>
      </c>
      <c r="G33" s="67">
        <v>0.30152671755725191</v>
      </c>
      <c r="H33" s="67">
        <v>0.15648854961832062</v>
      </c>
      <c r="I33" s="68">
        <v>9025.316455696202</v>
      </c>
      <c r="J33" s="68">
        <v>-7478.0487804878048</v>
      </c>
      <c r="K33" s="67">
        <v>0</v>
      </c>
      <c r="L33" s="67">
        <v>6.6666666666666666E-2</v>
      </c>
      <c r="M33" s="67">
        <v>0.29770992366412213</v>
      </c>
      <c r="N33" s="67">
        <v>0.18702290076335878</v>
      </c>
      <c r="O33" s="67">
        <v>0.62820512820512819</v>
      </c>
      <c r="P33" s="67">
        <v>0.26530612244897961</v>
      </c>
      <c r="Q33" s="67">
        <v>0.36708860759493672</v>
      </c>
    </row>
    <row r="34" spans="1:17" x14ac:dyDescent="0.4">
      <c r="A34" s="69">
        <v>31</v>
      </c>
      <c r="B34" s="66">
        <v>186.99999999999997</v>
      </c>
      <c r="C34" s="66">
        <v>6.0322580645161281</v>
      </c>
      <c r="D34" s="71">
        <v>1.903225806451613</v>
      </c>
      <c r="E34" s="67">
        <v>0.32258064516129031</v>
      </c>
      <c r="F34" s="67">
        <v>0.22580645161290322</v>
      </c>
      <c r="G34" s="67">
        <v>0.29962546816479402</v>
      </c>
      <c r="H34" s="67">
        <v>0.15355805243445692</v>
      </c>
      <c r="I34" s="68">
        <v>9062.5</v>
      </c>
      <c r="J34" s="68">
        <v>-7478.0487804878048</v>
      </c>
      <c r="K34" s="67">
        <v>0</v>
      </c>
      <c r="L34" s="67">
        <v>6.4516129032258063E-2</v>
      </c>
      <c r="M34" s="67">
        <v>0.29962546816479402</v>
      </c>
      <c r="N34" s="67">
        <v>0.18726591760299627</v>
      </c>
      <c r="O34" s="67">
        <v>0.625</v>
      </c>
      <c r="P34" s="67">
        <v>0.26</v>
      </c>
      <c r="Q34" s="67">
        <v>0.36249999999999999</v>
      </c>
    </row>
    <row r="35" spans="1:17" x14ac:dyDescent="0.4">
      <c r="A35" s="69">
        <v>32</v>
      </c>
      <c r="B35" s="66">
        <v>241.49999999999997</v>
      </c>
      <c r="C35" s="66">
        <v>7.5468749999999991</v>
      </c>
      <c r="D35" s="71">
        <v>1.875</v>
      </c>
      <c r="E35" s="67">
        <v>0.34375</v>
      </c>
      <c r="F35" s="67">
        <v>0.21875</v>
      </c>
      <c r="G35" s="67">
        <v>0.304029304029304</v>
      </c>
      <c r="H35" s="67">
        <v>0.15018315018315018</v>
      </c>
      <c r="I35" s="68">
        <v>9150.6024096385536</v>
      </c>
      <c r="J35" s="68">
        <v>-7478.0487804878048</v>
      </c>
      <c r="K35" s="67">
        <v>0</v>
      </c>
      <c r="L35" s="67">
        <v>6.25E-2</v>
      </c>
      <c r="M35" s="67">
        <v>0.30036630036630035</v>
      </c>
      <c r="N35" s="67">
        <v>0.19413919413919414</v>
      </c>
      <c r="O35" s="67">
        <v>0.63414634146341464</v>
      </c>
      <c r="P35" s="67">
        <v>0.26415094339622641</v>
      </c>
      <c r="Q35" s="67">
        <v>0.37349397590361444</v>
      </c>
    </row>
    <row r="36" spans="1:17" x14ac:dyDescent="0.4">
      <c r="A36" s="69">
        <v>33</v>
      </c>
      <c r="B36" s="66">
        <v>230.89999999999998</v>
      </c>
      <c r="C36" s="66">
        <v>6.9969696969696962</v>
      </c>
      <c r="D36" s="71">
        <v>1.8787878787878789</v>
      </c>
      <c r="E36" s="67">
        <v>0.33333333333333331</v>
      </c>
      <c r="F36" s="67">
        <v>0.21212121212121213</v>
      </c>
      <c r="G36" s="67">
        <v>0.2978723404255319</v>
      </c>
      <c r="H36" s="67">
        <v>0.15602836879432624</v>
      </c>
      <c r="I36" s="68">
        <v>9184.5238095238092</v>
      </c>
      <c r="J36" s="68">
        <v>-7065.909090909091</v>
      </c>
      <c r="K36" s="67">
        <v>0</v>
      </c>
      <c r="L36" s="67">
        <v>6.0606060606060608E-2</v>
      </c>
      <c r="M36" s="67">
        <v>0.29078014184397161</v>
      </c>
      <c r="N36" s="67">
        <v>0.19503546099290781</v>
      </c>
      <c r="O36" s="67">
        <v>0.63414634146341464</v>
      </c>
      <c r="P36" s="67">
        <v>0.25454545454545452</v>
      </c>
      <c r="Q36" s="67">
        <v>0.36904761904761907</v>
      </c>
    </row>
    <row r="37" spans="1:17" x14ac:dyDescent="0.4">
      <c r="A37" s="69">
        <v>34</v>
      </c>
      <c r="B37" s="66">
        <v>235.49999999999997</v>
      </c>
      <c r="C37" s="66">
        <v>6.9264705882352935</v>
      </c>
      <c r="D37" s="71">
        <v>1.8823529411764706</v>
      </c>
      <c r="E37" s="67">
        <v>0.3235294117647059</v>
      </c>
      <c r="F37" s="67">
        <v>0.20588235294117646</v>
      </c>
      <c r="G37" s="67">
        <v>0.3</v>
      </c>
      <c r="H37" s="67">
        <v>0.16206896551724137</v>
      </c>
      <c r="I37" s="68">
        <v>9190.8045977011498</v>
      </c>
      <c r="J37" s="68">
        <v>-7072.3404255319147</v>
      </c>
      <c r="K37" s="67">
        <v>0</v>
      </c>
      <c r="L37" s="67">
        <v>5.8823529411764705E-2</v>
      </c>
      <c r="M37" s="67">
        <v>0.28965517241379313</v>
      </c>
      <c r="N37" s="67">
        <v>0.19655172413793104</v>
      </c>
      <c r="O37" s="67">
        <v>0.6428571428571429</v>
      </c>
      <c r="P37" s="67">
        <v>0.26315789473684209</v>
      </c>
      <c r="Q37" s="67">
        <v>0.37931034482758619</v>
      </c>
    </row>
    <row r="38" spans="1:17" x14ac:dyDescent="0.4">
      <c r="A38" s="69">
        <v>35</v>
      </c>
      <c r="B38" s="66">
        <v>232.99999999999997</v>
      </c>
      <c r="C38" s="66">
        <v>6.6571428571428566</v>
      </c>
      <c r="D38" s="71">
        <v>1.8857142857142857</v>
      </c>
      <c r="E38" s="67">
        <v>0.31428571428571428</v>
      </c>
      <c r="F38" s="67">
        <v>0.2</v>
      </c>
      <c r="G38" s="67">
        <v>0.29139072847682118</v>
      </c>
      <c r="H38" s="67">
        <v>0.16556291390728478</v>
      </c>
      <c r="I38" s="68">
        <v>9222.7272727272721</v>
      </c>
      <c r="J38" s="68">
        <v>-6758</v>
      </c>
      <c r="K38" s="67">
        <v>0</v>
      </c>
      <c r="L38" s="67">
        <v>5.7142857142857141E-2</v>
      </c>
      <c r="M38" s="67">
        <v>0.28476821192052981</v>
      </c>
      <c r="N38" s="67">
        <v>0.19536423841059603</v>
      </c>
      <c r="O38" s="67">
        <v>0.63953488372093026</v>
      </c>
      <c r="P38" s="67">
        <v>0.25423728813559321</v>
      </c>
      <c r="Q38" s="67">
        <v>0.38636363636363635</v>
      </c>
    </row>
    <row r="39" spans="1:17" x14ac:dyDescent="0.4">
      <c r="A39" s="69">
        <v>36</v>
      </c>
      <c r="B39" s="66">
        <v>176.99999999999997</v>
      </c>
      <c r="C39" s="66">
        <v>4.9166666666666661</v>
      </c>
      <c r="D39" s="71">
        <v>1.9166666666666667</v>
      </c>
      <c r="E39" s="67">
        <v>0.30555555555555558</v>
      </c>
      <c r="F39" s="67">
        <v>0.22222222222222221</v>
      </c>
      <c r="G39" s="67">
        <v>0.28758169934640521</v>
      </c>
      <c r="H39" s="67">
        <v>0.16993464052287582</v>
      </c>
      <c r="I39" s="68">
        <v>9222.7272727272721</v>
      </c>
      <c r="J39" s="68">
        <v>-6959.6153846153848</v>
      </c>
      <c r="K39" s="67">
        <v>2.7777777777777776E-2</v>
      </c>
      <c r="L39" s="67">
        <v>5.5555555555555552E-2</v>
      </c>
      <c r="M39" s="67">
        <v>0.28104575163398693</v>
      </c>
      <c r="N39" s="67">
        <v>0.19281045751633988</v>
      </c>
      <c r="O39" s="67">
        <v>0.63953488372093026</v>
      </c>
      <c r="P39" s="67">
        <v>0.25423728813559321</v>
      </c>
      <c r="Q39" s="67">
        <v>0.38636363636363635</v>
      </c>
    </row>
    <row r="40" spans="1:17" x14ac:dyDescent="0.4">
      <c r="A40" s="69">
        <v>37</v>
      </c>
      <c r="B40" s="66">
        <v>189.39999999999998</v>
      </c>
      <c r="C40" s="66">
        <v>5.1189189189189186</v>
      </c>
      <c r="D40" s="71">
        <v>1.9189189189189189</v>
      </c>
      <c r="E40" s="67">
        <v>0.29729729729729731</v>
      </c>
      <c r="F40" s="67">
        <v>0.21621621621621623</v>
      </c>
      <c r="G40" s="67">
        <v>0.29206349206349208</v>
      </c>
      <c r="H40" s="67">
        <v>0.16507936507936508</v>
      </c>
      <c r="I40" s="68">
        <v>9027.173913043478</v>
      </c>
      <c r="J40" s="68">
        <v>-6959.6153846153848</v>
      </c>
      <c r="K40" s="67">
        <v>2.7027027027027029E-2</v>
      </c>
      <c r="L40" s="67">
        <v>5.4054054054054057E-2</v>
      </c>
      <c r="M40" s="67">
        <v>0.27619047619047621</v>
      </c>
      <c r="N40" s="67">
        <v>0.1873015873015873</v>
      </c>
      <c r="O40" s="67">
        <v>0.64367816091954022</v>
      </c>
      <c r="P40" s="67">
        <v>0.25423728813559321</v>
      </c>
      <c r="Q40" s="67">
        <v>0.40217391304347827</v>
      </c>
    </row>
    <row r="41" spans="1:17" x14ac:dyDescent="0.4">
      <c r="A41" s="69">
        <v>38</v>
      </c>
      <c r="B41" s="66">
        <v>129.09999999999997</v>
      </c>
      <c r="C41" s="66">
        <v>3.3973684210526307</v>
      </c>
      <c r="D41" s="71">
        <v>1.9473684210526316</v>
      </c>
      <c r="E41" s="67">
        <v>0.28947368421052633</v>
      </c>
      <c r="F41" s="67">
        <v>0.23684210526315788</v>
      </c>
      <c r="G41" s="67">
        <v>0.28660436137071649</v>
      </c>
      <c r="H41" s="67">
        <v>0.16510903426791276</v>
      </c>
      <c r="I41" s="68">
        <v>9027.173913043478</v>
      </c>
      <c r="J41" s="68">
        <v>-6979.2452830188677</v>
      </c>
      <c r="K41" s="67">
        <v>5.2631578947368418E-2</v>
      </c>
      <c r="L41" s="67">
        <v>5.2631578947368418E-2</v>
      </c>
      <c r="M41" s="67">
        <v>0.27725856697819312</v>
      </c>
      <c r="N41" s="67">
        <v>0.18380062305295949</v>
      </c>
      <c r="O41" s="67">
        <v>0.6292134831460674</v>
      </c>
      <c r="P41" s="67">
        <v>0.25423728813559321</v>
      </c>
      <c r="Q41" s="67">
        <v>0.40217391304347827</v>
      </c>
    </row>
    <row r="42" spans="1:17" x14ac:dyDescent="0.4">
      <c r="A42" s="69">
        <v>39</v>
      </c>
      <c r="B42" s="66">
        <v>127.59999999999997</v>
      </c>
      <c r="C42" s="66">
        <v>3.2717948717948708</v>
      </c>
      <c r="D42" s="71">
        <v>1.9487179487179487</v>
      </c>
      <c r="E42" s="67">
        <v>0.28205128205128205</v>
      </c>
      <c r="F42" s="67">
        <v>0.23076923076923078</v>
      </c>
      <c r="G42" s="67">
        <v>0.2878787878787879</v>
      </c>
      <c r="H42" s="67">
        <v>0.16666666666666666</v>
      </c>
      <c r="I42" s="68">
        <v>8963.1578947368416</v>
      </c>
      <c r="J42" s="68">
        <v>-6980</v>
      </c>
      <c r="K42" s="67">
        <v>5.128205128205128E-2</v>
      </c>
      <c r="L42" s="67">
        <v>5.128205128205128E-2</v>
      </c>
      <c r="M42" s="67">
        <v>0.28484848484848485</v>
      </c>
      <c r="N42" s="67">
        <v>0.18484848484848485</v>
      </c>
      <c r="O42" s="67">
        <v>0.62765957446808507</v>
      </c>
      <c r="P42" s="67">
        <v>0.24590163934426229</v>
      </c>
      <c r="Q42" s="67">
        <v>0.41052631578947368</v>
      </c>
    </row>
    <row r="43" spans="1:17" x14ac:dyDescent="0.4">
      <c r="A43" s="69">
        <v>40</v>
      </c>
      <c r="B43" s="66">
        <v>174.99999999999997</v>
      </c>
      <c r="C43" s="66">
        <v>4.3749999999999991</v>
      </c>
      <c r="D43" s="71">
        <v>1.925</v>
      </c>
      <c r="E43" s="67">
        <v>0.3</v>
      </c>
      <c r="F43" s="67">
        <v>0.22500000000000001</v>
      </c>
      <c r="G43" s="67">
        <v>0.29737609329446063</v>
      </c>
      <c r="H43" s="67">
        <v>0.16326530612244897</v>
      </c>
      <c r="I43" s="68">
        <v>8913.7254901960787</v>
      </c>
      <c r="J43" s="68">
        <v>-7176.7857142857147</v>
      </c>
      <c r="K43" s="67">
        <v>0.05</v>
      </c>
      <c r="L43" s="67">
        <v>0.05</v>
      </c>
      <c r="M43" s="67">
        <v>0.29154518950437319</v>
      </c>
      <c r="N43" s="67">
        <v>0.18367346938775511</v>
      </c>
      <c r="O43" s="67">
        <v>0.64</v>
      </c>
      <c r="P43" s="67">
        <v>0.23809523809523808</v>
      </c>
      <c r="Q43" s="67">
        <v>0.40196078431372551</v>
      </c>
    </row>
    <row r="44" spans="1:17" x14ac:dyDescent="0.4">
      <c r="A44" s="69">
        <v>41</v>
      </c>
      <c r="B44" s="66">
        <v>248.59999999999997</v>
      </c>
      <c r="C44" s="66">
        <v>6.0634146341463406</v>
      </c>
      <c r="D44" s="71">
        <v>1.9024390243902438</v>
      </c>
      <c r="E44" s="67">
        <v>0.31707317073170732</v>
      </c>
      <c r="F44" s="67">
        <v>0.21951219512195122</v>
      </c>
      <c r="G44" s="67">
        <v>0.3045977011494253</v>
      </c>
      <c r="H44" s="67">
        <v>0.16379310344827586</v>
      </c>
      <c r="I44" s="68">
        <v>9120.7547169811314</v>
      </c>
      <c r="J44" s="68">
        <v>-7191.2280701754389</v>
      </c>
      <c r="K44" s="67">
        <v>4.878048780487805E-2</v>
      </c>
      <c r="L44" s="67">
        <v>7.3170731707317069E-2</v>
      </c>
      <c r="M44" s="67">
        <v>0.29597701149425287</v>
      </c>
      <c r="N44" s="67">
        <v>0.18103448275862069</v>
      </c>
      <c r="O44" s="67">
        <v>0.65048543689320393</v>
      </c>
      <c r="P44" s="67">
        <v>0.23809523809523808</v>
      </c>
      <c r="Q44" s="67">
        <v>0.40566037735849059</v>
      </c>
    </row>
    <row r="45" spans="1:17" x14ac:dyDescent="0.4">
      <c r="A45" s="69">
        <v>42</v>
      </c>
      <c r="B45" s="66">
        <v>214.99999999999997</v>
      </c>
      <c r="C45" s="66">
        <v>5.1190476190476186</v>
      </c>
      <c r="D45" s="71">
        <v>1.9285714285714286</v>
      </c>
      <c r="E45" s="67">
        <v>0.30952380952380953</v>
      </c>
      <c r="F45" s="67">
        <v>0.23809523809523808</v>
      </c>
      <c r="G45" s="67">
        <v>0.300561797752809</v>
      </c>
      <c r="H45" s="67">
        <v>0.16292134831460675</v>
      </c>
      <c r="I45" s="68">
        <v>9065.4205607476633</v>
      </c>
      <c r="J45" s="68">
        <v>-7101.7241379310344</v>
      </c>
      <c r="K45" s="67">
        <v>4.7619047619047616E-2</v>
      </c>
      <c r="L45" s="67">
        <v>7.1428571428571425E-2</v>
      </c>
      <c r="M45" s="67">
        <v>0.300561797752809</v>
      </c>
      <c r="N45" s="67">
        <v>0.17696629213483145</v>
      </c>
      <c r="O45" s="67">
        <v>0.63551401869158874</v>
      </c>
      <c r="P45" s="67">
        <v>0.23809523809523808</v>
      </c>
      <c r="Q45" s="67">
        <v>0.40186915887850466</v>
      </c>
    </row>
    <row r="46" spans="1:17" x14ac:dyDescent="0.4">
      <c r="A46" s="69">
        <v>43</v>
      </c>
      <c r="B46" s="66">
        <v>230.09999999999997</v>
      </c>
      <c r="C46" s="66">
        <v>5.351162790697674</v>
      </c>
      <c r="D46" s="71">
        <v>1.930232558139535</v>
      </c>
      <c r="E46" s="67">
        <v>0.30232558139534882</v>
      </c>
      <c r="F46" s="67">
        <v>0.23255813953488372</v>
      </c>
      <c r="G46" s="67">
        <v>0.30662983425414364</v>
      </c>
      <c r="H46" s="67">
        <v>0.16298342541436464</v>
      </c>
      <c r="I46" s="68">
        <v>8973.8738738738739</v>
      </c>
      <c r="J46" s="68">
        <v>-7184.7457627118647</v>
      </c>
      <c r="K46" s="67">
        <v>4.6511627906976744E-2</v>
      </c>
      <c r="L46" s="67">
        <v>6.9767441860465115E-2</v>
      </c>
      <c r="M46" s="67">
        <v>0.30110497237569062</v>
      </c>
      <c r="N46" s="67">
        <v>0.17679558011049723</v>
      </c>
      <c r="O46" s="67">
        <v>0.64220183486238536</v>
      </c>
      <c r="P46" s="67">
        <v>0.25</v>
      </c>
      <c r="Q46" s="67">
        <v>0.4144144144144144</v>
      </c>
    </row>
    <row r="47" spans="1:17" x14ac:dyDescent="0.4">
      <c r="A47" s="69">
        <v>44</v>
      </c>
      <c r="B47" s="66">
        <v>169.19999999999996</v>
      </c>
      <c r="C47" s="66">
        <v>3.8454545454545443</v>
      </c>
      <c r="D47" s="71">
        <v>1.9545454545454546</v>
      </c>
      <c r="E47" s="67">
        <v>0.29545454545454547</v>
      </c>
      <c r="F47" s="67">
        <v>0.25</v>
      </c>
      <c r="G47" s="67">
        <v>0.30352303523035229</v>
      </c>
      <c r="H47" s="67">
        <v>0.16260162601626016</v>
      </c>
      <c r="I47" s="68">
        <v>9000.8928571428569</v>
      </c>
      <c r="J47" s="68">
        <v>-7113.333333333333</v>
      </c>
      <c r="K47" s="67">
        <v>6.8181818181818177E-2</v>
      </c>
      <c r="L47" s="67">
        <v>6.8181818181818177E-2</v>
      </c>
      <c r="M47" s="67">
        <v>0.29539295392953929</v>
      </c>
      <c r="N47" s="67">
        <v>0.18157181571815717</v>
      </c>
      <c r="O47" s="67">
        <v>0.64220183486238536</v>
      </c>
      <c r="P47" s="67">
        <v>0.2537313432835821</v>
      </c>
      <c r="Q47" s="67">
        <v>0.4107142857142857</v>
      </c>
    </row>
    <row r="48" spans="1:17" x14ac:dyDescent="0.4">
      <c r="A48" s="69">
        <v>45</v>
      </c>
      <c r="B48" s="66">
        <v>111.49999999999996</v>
      </c>
      <c r="C48" s="66">
        <v>2.477777777777777</v>
      </c>
      <c r="D48" s="71">
        <v>1.9777777777777779</v>
      </c>
      <c r="E48" s="67">
        <v>0.28888888888888886</v>
      </c>
      <c r="F48" s="67">
        <v>0.26666666666666666</v>
      </c>
      <c r="G48" s="67">
        <v>0.296875</v>
      </c>
      <c r="H48" s="67">
        <v>0.16145833333333334</v>
      </c>
      <c r="I48" s="68">
        <v>8982.4561403508778</v>
      </c>
      <c r="J48" s="68">
        <v>-7075.8064516129034</v>
      </c>
      <c r="K48" s="67">
        <v>8.8888888888888892E-2</v>
      </c>
      <c r="L48" s="67">
        <v>6.6666666666666666E-2</v>
      </c>
      <c r="M48" s="67">
        <v>0.28645833333333331</v>
      </c>
      <c r="N48" s="67">
        <v>0.17708333333333334</v>
      </c>
      <c r="O48" s="67">
        <v>0.6454545454545455</v>
      </c>
      <c r="P48" s="67">
        <v>0.25</v>
      </c>
      <c r="Q48" s="67">
        <v>0.40350877192982454</v>
      </c>
    </row>
    <row r="49" spans="1:17" x14ac:dyDescent="0.4">
      <c r="A49" s="69">
        <v>46</v>
      </c>
      <c r="B49" s="66">
        <v>55.999999999999957</v>
      </c>
      <c r="C49" s="66">
        <v>1.2173913043478251</v>
      </c>
      <c r="D49" s="71">
        <v>2</v>
      </c>
      <c r="E49" s="67">
        <v>0.28260869565217389</v>
      </c>
      <c r="F49" s="67">
        <v>0.28260869565217389</v>
      </c>
      <c r="G49" s="67">
        <v>0.29411764705882354</v>
      </c>
      <c r="H49" s="67">
        <v>0.16624040920716113</v>
      </c>
      <c r="I49" s="68">
        <v>9008.6956521739139</v>
      </c>
      <c r="J49" s="68">
        <v>-7395.3846153846152</v>
      </c>
      <c r="K49" s="67">
        <v>0.10869565217391304</v>
      </c>
      <c r="L49" s="67">
        <v>6.5217391304347824E-2</v>
      </c>
      <c r="M49" s="67">
        <v>0.28644501278772377</v>
      </c>
      <c r="N49" s="67">
        <v>0.17391304347826086</v>
      </c>
      <c r="O49" s="67">
        <v>0.6428571428571429</v>
      </c>
      <c r="P49" s="67">
        <v>0.25</v>
      </c>
      <c r="Q49" s="67">
        <v>0.4</v>
      </c>
    </row>
    <row r="50" spans="1:17" x14ac:dyDescent="0.4">
      <c r="A50" s="69">
        <v>47</v>
      </c>
      <c r="B50" s="66">
        <v>-3.9000000000000412</v>
      </c>
      <c r="C50" s="66">
        <v>-8.2978723404256202E-2</v>
      </c>
      <c r="D50" s="71">
        <v>2.021276595744681</v>
      </c>
      <c r="E50" s="67">
        <v>0.27659574468085107</v>
      </c>
      <c r="F50" s="67">
        <v>0.2978723404255319</v>
      </c>
      <c r="G50" s="67">
        <v>0.2907268170426065</v>
      </c>
      <c r="H50" s="67">
        <v>0.16791979949874686</v>
      </c>
      <c r="I50" s="68">
        <v>8953.4482758620688</v>
      </c>
      <c r="J50" s="68">
        <v>-7468.6567164179105</v>
      </c>
      <c r="K50" s="67">
        <v>0.1276595744680851</v>
      </c>
      <c r="L50" s="67">
        <v>6.3829787234042548E-2</v>
      </c>
      <c r="M50" s="67">
        <v>0.2832080200501253</v>
      </c>
      <c r="N50" s="67">
        <v>0.17794486215538846</v>
      </c>
      <c r="O50" s="67">
        <v>0.64601769911504425</v>
      </c>
      <c r="P50" s="67">
        <v>0.23943661971830985</v>
      </c>
      <c r="Q50" s="67">
        <v>0.39655172413793105</v>
      </c>
    </row>
    <row r="51" spans="1:17" x14ac:dyDescent="0.4">
      <c r="A51" s="69">
        <v>48</v>
      </c>
      <c r="B51" s="66">
        <v>50.599999999999959</v>
      </c>
      <c r="C51" s="66">
        <v>1.0541666666666658</v>
      </c>
      <c r="D51" s="71">
        <v>2</v>
      </c>
      <c r="E51" s="67">
        <v>0.29166666666666669</v>
      </c>
      <c r="F51" s="67">
        <v>0.29166666666666669</v>
      </c>
      <c r="G51" s="67">
        <v>0.29280397022332505</v>
      </c>
      <c r="H51" s="67">
        <v>0.16625310173697269</v>
      </c>
      <c r="I51" s="68">
        <v>9089.8305084745771</v>
      </c>
      <c r="J51" s="68">
        <v>-7468.6567164179105</v>
      </c>
      <c r="K51" s="67">
        <v>0.125</v>
      </c>
      <c r="L51" s="67">
        <v>8.3333333333333329E-2</v>
      </c>
      <c r="M51" s="67">
        <v>0.28287841191066998</v>
      </c>
      <c r="N51" s="67">
        <v>0.17617866004962779</v>
      </c>
      <c r="O51" s="67">
        <v>0.64912280701754388</v>
      </c>
      <c r="P51" s="67">
        <v>0.23943661971830985</v>
      </c>
      <c r="Q51" s="67">
        <v>0.38983050847457629</v>
      </c>
    </row>
    <row r="52" spans="1:17" x14ac:dyDescent="0.4">
      <c r="A52" s="69">
        <v>49</v>
      </c>
      <c r="B52" s="66">
        <v>-4.8000000000000398</v>
      </c>
      <c r="C52" s="66">
        <v>-9.7959183673470202E-2</v>
      </c>
      <c r="D52" s="71">
        <v>2.0204081632653059</v>
      </c>
      <c r="E52" s="67">
        <v>0.2857142857142857</v>
      </c>
      <c r="F52" s="67">
        <v>0.30612244897959184</v>
      </c>
      <c r="G52" s="67">
        <v>0.28850855745721271</v>
      </c>
      <c r="H52" s="67">
        <v>0.1687041564792176</v>
      </c>
      <c r="I52" s="68">
        <v>9089.8305084745771</v>
      </c>
      <c r="J52" s="68">
        <v>-7600</v>
      </c>
      <c r="K52" s="67">
        <v>0.14285714285714285</v>
      </c>
      <c r="L52" s="67">
        <v>8.1632653061224483E-2</v>
      </c>
      <c r="M52" s="67">
        <v>0.27872860635696822</v>
      </c>
      <c r="N52" s="67">
        <v>0.17603911980440098</v>
      </c>
      <c r="O52" s="67">
        <v>0.64912280701754388</v>
      </c>
      <c r="P52" s="67">
        <v>0.2361111111111111</v>
      </c>
      <c r="Q52" s="67">
        <v>0.38983050847457629</v>
      </c>
    </row>
    <row r="53" spans="1:17" x14ac:dyDescent="0.4">
      <c r="A53" s="69">
        <v>50</v>
      </c>
      <c r="B53" s="66">
        <v>-0.70000000000004015</v>
      </c>
      <c r="C53" s="66">
        <v>-1.4000000000000803E-2</v>
      </c>
      <c r="D53" s="71">
        <v>2.02</v>
      </c>
      <c r="E53" s="67">
        <v>0.28000000000000003</v>
      </c>
      <c r="F53" s="67">
        <v>0.3</v>
      </c>
      <c r="G53" s="67">
        <v>0.28708133971291866</v>
      </c>
      <c r="H53" s="67">
        <v>0.16985645933014354</v>
      </c>
      <c r="I53" s="68">
        <v>9155</v>
      </c>
      <c r="J53" s="68">
        <v>-7530.9859154929582</v>
      </c>
      <c r="K53" s="67">
        <v>0.14000000000000001</v>
      </c>
      <c r="L53" s="67">
        <v>0.08</v>
      </c>
      <c r="M53" s="67">
        <v>0.28468899521531099</v>
      </c>
      <c r="N53" s="67">
        <v>0.17224880382775121</v>
      </c>
      <c r="O53" s="67">
        <v>0.6386554621848739</v>
      </c>
      <c r="P53" s="67">
        <v>0.2361111111111111</v>
      </c>
      <c r="Q53" s="67">
        <v>0.39166666666666666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A9F411-AE2A-49C4-9F8F-83EA78A2E080}">
  <sheetPr codeName="Sheet8"/>
  <dimension ref="A1:Q52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127</v>
      </c>
      <c r="B1" s="70" t="s">
        <v>127</v>
      </c>
      <c r="C1" s="70" t="s">
        <v>127</v>
      </c>
      <c r="D1" s="71" t="s">
        <v>127</v>
      </c>
      <c r="E1" s="70" t="s">
        <v>127</v>
      </c>
      <c r="F1" s="70" t="s">
        <v>127</v>
      </c>
      <c r="G1" s="70" t="s">
        <v>127</v>
      </c>
      <c r="H1" s="70" t="s">
        <v>127</v>
      </c>
      <c r="I1" s="70" t="s">
        <v>127</v>
      </c>
      <c r="J1" s="70" t="s">
        <v>127</v>
      </c>
      <c r="K1" s="70" t="s">
        <v>127</v>
      </c>
      <c r="L1" s="70" t="s">
        <v>127</v>
      </c>
      <c r="M1" s="70" t="s">
        <v>127</v>
      </c>
      <c r="N1" s="70" t="s">
        <v>127</v>
      </c>
      <c r="O1" s="70" t="s">
        <v>127</v>
      </c>
      <c r="P1" s="70" t="s">
        <v>127</v>
      </c>
      <c r="Q1" s="70" t="s">
        <v>127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-5.0999999999999996</v>
      </c>
      <c r="C4" s="66">
        <v>-5.0999999999999996</v>
      </c>
      <c r="D4" s="71">
        <v>2</v>
      </c>
      <c r="E4" s="67">
        <v>0</v>
      </c>
      <c r="F4" s="67">
        <v>0</v>
      </c>
      <c r="G4" s="67">
        <v>0.33333333333333331</v>
      </c>
      <c r="H4" s="67">
        <v>0.16666666666666666</v>
      </c>
      <c r="I4" s="68">
        <v>10000</v>
      </c>
      <c r="J4" s="68">
        <v>-24000</v>
      </c>
      <c r="K4" s="67">
        <v>0</v>
      </c>
      <c r="L4" s="67">
        <v>0</v>
      </c>
      <c r="M4" s="67">
        <v>0.33333333333333331</v>
      </c>
      <c r="N4" s="67">
        <v>0.33333333333333331</v>
      </c>
      <c r="O4" s="67">
        <v>1</v>
      </c>
      <c r="P4" s="67">
        <v>0</v>
      </c>
      <c r="Q4" s="67">
        <v>0.5</v>
      </c>
    </row>
    <row r="5" spans="1:17" x14ac:dyDescent="0.4">
      <c r="A5" s="69">
        <v>2</v>
      </c>
      <c r="B5" s="66">
        <v>-2.8999999999999995</v>
      </c>
      <c r="C5" s="66">
        <v>-1.4499999999999997</v>
      </c>
      <c r="D5" s="71">
        <v>2</v>
      </c>
      <c r="E5" s="67">
        <v>0</v>
      </c>
      <c r="F5" s="67">
        <v>0</v>
      </c>
      <c r="G5" s="67">
        <v>0.3125</v>
      </c>
      <c r="H5" s="67">
        <v>0.1875</v>
      </c>
      <c r="I5" s="68">
        <v>10780</v>
      </c>
      <c r="J5" s="68">
        <v>-13733.333333333334</v>
      </c>
      <c r="K5" s="67">
        <v>0</v>
      </c>
      <c r="L5" s="67">
        <v>0</v>
      </c>
      <c r="M5" s="67">
        <v>0.375</v>
      </c>
      <c r="N5" s="67">
        <v>0.375</v>
      </c>
      <c r="O5" s="67">
        <v>0.5</v>
      </c>
      <c r="P5" s="67">
        <v>0.33333333333333331</v>
      </c>
      <c r="Q5" s="67">
        <v>0.4</v>
      </c>
    </row>
    <row r="6" spans="1:17" x14ac:dyDescent="0.4">
      <c r="A6" s="69">
        <v>3</v>
      </c>
      <c r="B6" s="66">
        <v>70.399999999999991</v>
      </c>
      <c r="C6" s="66">
        <v>23.466666666666665</v>
      </c>
      <c r="D6" s="71">
        <v>1.6666666666666667</v>
      </c>
      <c r="E6" s="67">
        <v>0.33333333333333331</v>
      </c>
      <c r="F6" s="67">
        <v>0</v>
      </c>
      <c r="G6" s="67">
        <v>0.38461538461538464</v>
      </c>
      <c r="H6" s="67">
        <v>0.15384615384615385</v>
      </c>
      <c r="I6" s="68">
        <v>9910</v>
      </c>
      <c r="J6" s="68">
        <v>-11025</v>
      </c>
      <c r="K6" s="67">
        <v>0</v>
      </c>
      <c r="L6" s="67">
        <v>0</v>
      </c>
      <c r="M6" s="67">
        <v>0.46153846153846156</v>
      </c>
      <c r="N6" s="67">
        <v>0.26923076923076922</v>
      </c>
      <c r="O6" s="67">
        <v>0.41666666666666669</v>
      </c>
      <c r="P6" s="67">
        <v>0.42857142857142855</v>
      </c>
      <c r="Q6" s="67">
        <v>0.3</v>
      </c>
    </row>
    <row r="7" spans="1:17" x14ac:dyDescent="0.4">
      <c r="A7" s="69">
        <v>4</v>
      </c>
      <c r="B7" s="66">
        <v>110.5</v>
      </c>
      <c r="C7" s="66">
        <v>27.625</v>
      </c>
      <c r="D7" s="71">
        <v>1.5</v>
      </c>
      <c r="E7" s="67">
        <v>0.5</v>
      </c>
      <c r="F7" s="67">
        <v>0</v>
      </c>
      <c r="G7" s="67">
        <v>0.42424242424242425</v>
      </c>
      <c r="H7" s="67">
        <v>0.15151515151515152</v>
      </c>
      <c r="I7" s="68">
        <v>8442.8571428571431</v>
      </c>
      <c r="J7" s="68">
        <v>-9220</v>
      </c>
      <c r="K7" s="67">
        <v>0</v>
      </c>
      <c r="L7" s="67">
        <v>0</v>
      </c>
      <c r="M7" s="67">
        <v>0.45454545454545453</v>
      </c>
      <c r="N7" s="67">
        <v>0.24242424242424243</v>
      </c>
      <c r="O7" s="67">
        <v>0.46666666666666667</v>
      </c>
      <c r="P7" s="67">
        <v>0.5</v>
      </c>
      <c r="Q7" s="67">
        <v>0.21428571428571427</v>
      </c>
    </row>
    <row r="8" spans="1:17" x14ac:dyDescent="0.4">
      <c r="A8" s="69">
        <v>5</v>
      </c>
      <c r="B8" s="66">
        <v>201.4</v>
      </c>
      <c r="C8" s="66">
        <v>40.28</v>
      </c>
      <c r="D8" s="71">
        <v>1.4</v>
      </c>
      <c r="E8" s="67">
        <v>0.6</v>
      </c>
      <c r="F8" s="67">
        <v>0</v>
      </c>
      <c r="G8" s="67">
        <v>0.47499999999999998</v>
      </c>
      <c r="H8" s="67">
        <v>0.125</v>
      </c>
      <c r="I8" s="68">
        <v>9663.1578947368416</v>
      </c>
      <c r="J8" s="68">
        <v>-9220</v>
      </c>
      <c r="K8" s="67">
        <v>0</v>
      </c>
      <c r="L8" s="67">
        <v>0.2</v>
      </c>
      <c r="M8" s="67">
        <v>0.4</v>
      </c>
      <c r="N8" s="67">
        <v>0.25</v>
      </c>
      <c r="O8" s="67">
        <v>0.5</v>
      </c>
      <c r="P8" s="67">
        <v>0.6</v>
      </c>
      <c r="Q8" s="67">
        <v>0.26315789473684209</v>
      </c>
    </row>
    <row r="9" spans="1:17" x14ac:dyDescent="0.4">
      <c r="A9" s="69">
        <v>6</v>
      </c>
      <c r="B9" s="66">
        <v>232.4</v>
      </c>
      <c r="C9" s="66">
        <v>38.733333333333334</v>
      </c>
      <c r="D9" s="71">
        <v>1.3333333333333333</v>
      </c>
      <c r="E9" s="67">
        <v>0.66666666666666663</v>
      </c>
      <c r="F9" s="67">
        <v>0</v>
      </c>
      <c r="G9" s="67">
        <v>0.44</v>
      </c>
      <c r="H9" s="67">
        <v>0.14000000000000001</v>
      </c>
      <c r="I9" s="68">
        <v>9700</v>
      </c>
      <c r="J9" s="68">
        <v>-9014.2857142857138</v>
      </c>
      <c r="K9" s="67">
        <v>0</v>
      </c>
      <c r="L9" s="67">
        <v>0.16666666666666666</v>
      </c>
      <c r="M9" s="67">
        <v>0.42</v>
      </c>
      <c r="N9" s="67">
        <v>0.24</v>
      </c>
      <c r="O9" s="67">
        <v>0.42857142857142855</v>
      </c>
      <c r="P9" s="67">
        <v>0.66666666666666663</v>
      </c>
      <c r="Q9" s="67">
        <v>0.22727272727272727</v>
      </c>
    </row>
    <row r="10" spans="1:17" x14ac:dyDescent="0.4">
      <c r="A10" s="69">
        <v>7</v>
      </c>
      <c r="B10" s="66">
        <v>256.10000000000002</v>
      </c>
      <c r="C10" s="66">
        <v>36.585714285714289</v>
      </c>
      <c r="D10" s="71">
        <v>1.2857142857142858</v>
      </c>
      <c r="E10" s="67">
        <v>0.7142857142857143</v>
      </c>
      <c r="F10" s="67">
        <v>0</v>
      </c>
      <c r="G10" s="67">
        <v>0.44067796610169491</v>
      </c>
      <c r="H10" s="67">
        <v>0.15254237288135594</v>
      </c>
      <c r="I10" s="68">
        <v>8938.461538461539</v>
      </c>
      <c r="J10" s="68">
        <v>-7733.333333333333</v>
      </c>
      <c r="K10" s="67">
        <v>0</v>
      </c>
      <c r="L10" s="67">
        <v>0.14285714285714285</v>
      </c>
      <c r="M10" s="67">
        <v>0.3728813559322034</v>
      </c>
      <c r="N10" s="67">
        <v>0.2711864406779661</v>
      </c>
      <c r="O10" s="67">
        <v>0.45454545454545453</v>
      </c>
      <c r="P10" s="67">
        <v>0.625</v>
      </c>
      <c r="Q10" s="67">
        <v>0.26923076923076922</v>
      </c>
    </row>
    <row r="11" spans="1:17" x14ac:dyDescent="0.4">
      <c r="A11" s="69">
        <v>8</v>
      </c>
      <c r="B11" s="66">
        <v>285.20000000000005</v>
      </c>
      <c r="C11" s="66">
        <v>35.650000000000006</v>
      </c>
      <c r="D11" s="71">
        <v>1.25</v>
      </c>
      <c r="E11" s="67">
        <v>0.75</v>
      </c>
      <c r="F11" s="67">
        <v>0</v>
      </c>
      <c r="G11" s="67">
        <v>0.43478260869565216</v>
      </c>
      <c r="H11" s="67">
        <v>0.15942028985507245</v>
      </c>
      <c r="I11" s="68">
        <v>8296.6666666666661</v>
      </c>
      <c r="J11" s="68">
        <v>-7409.090909090909</v>
      </c>
      <c r="K11" s="67">
        <v>0</v>
      </c>
      <c r="L11" s="67">
        <v>0.125</v>
      </c>
      <c r="M11" s="67">
        <v>0.34782608695652173</v>
      </c>
      <c r="N11" s="67">
        <v>0.2608695652173913</v>
      </c>
      <c r="O11" s="67">
        <v>0.45833333333333331</v>
      </c>
      <c r="P11" s="67">
        <v>0.61111111111111116</v>
      </c>
      <c r="Q11" s="67">
        <v>0.3</v>
      </c>
    </row>
    <row r="12" spans="1:17" x14ac:dyDescent="0.4">
      <c r="A12" s="69">
        <v>9</v>
      </c>
      <c r="B12" s="66">
        <v>277.90000000000003</v>
      </c>
      <c r="C12" s="66">
        <v>30.87777777777778</v>
      </c>
      <c r="D12" s="71">
        <v>1.3333333333333333</v>
      </c>
      <c r="E12" s="67">
        <v>0.66666666666666663</v>
      </c>
      <c r="F12" s="67">
        <v>0</v>
      </c>
      <c r="G12" s="67">
        <v>0.42105263157894735</v>
      </c>
      <c r="H12" s="67">
        <v>0.15789473684210525</v>
      </c>
      <c r="I12" s="68">
        <v>8140.625</v>
      </c>
      <c r="J12" s="68">
        <v>-7458.333333333333</v>
      </c>
      <c r="K12" s="67">
        <v>0</v>
      </c>
      <c r="L12" s="67">
        <v>0.1111111111111111</v>
      </c>
      <c r="M12" s="67">
        <v>0.34210526315789475</v>
      </c>
      <c r="N12" s="67">
        <v>0.25</v>
      </c>
      <c r="O12" s="67">
        <v>0.5</v>
      </c>
      <c r="P12" s="67">
        <v>0.57894736842105265</v>
      </c>
      <c r="Q12" s="67">
        <v>0.28125</v>
      </c>
    </row>
    <row r="13" spans="1:17" x14ac:dyDescent="0.4">
      <c r="A13" s="69">
        <v>10</v>
      </c>
      <c r="B13" s="66">
        <v>246.20000000000005</v>
      </c>
      <c r="C13" s="66">
        <v>24.620000000000005</v>
      </c>
      <c r="D13" s="71">
        <v>1.5</v>
      </c>
      <c r="E13" s="67">
        <v>0.6</v>
      </c>
      <c r="F13" s="67">
        <v>0.1</v>
      </c>
      <c r="G13" s="67">
        <v>0.40476190476190477</v>
      </c>
      <c r="H13" s="67">
        <v>0.17857142857142858</v>
      </c>
      <c r="I13" s="68">
        <v>8229.4117647058829</v>
      </c>
      <c r="J13" s="68">
        <v>-7546.666666666667</v>
      </c>
      <c r="K13" s="67">
        <v>0</v>
      </c>
      <c r="L13" s="67">
        <v>0.1</v>
      </c>
      <c r="M13" s="67">
        <v>0.35714285714285715</v>
      </c>
      <c r="N13" s="67">
        <v>0.25</v>
      </c>
      <c r="O13" s="67">
        <v>0.46666666666666667</v>
      </c>
      <c r="P13" s="67">
        <v>0.5714285714285714</v>
      </c>
      <c r="Q13" s="67">
        <v>0.26470588235294118</v>
      </c>
    </row>
    <row r="14" spans="1:17" x14ac:dyDescent="0.4">
      <c r="A14" s="69">
        <v>11</v>
      </c>
      <c r="B14" s="66">
        <v>333.30000000000007</v>
      </c>
      <c r="C14" s="66">
        <v>30.300000000000008</v>
      </c>
      <c r="D14" s="71">
        <v>1.4545454545454546</v>
      </c>
      <c r="E14" s="67">
        <v>0.63636363636363635</v>
      </c>
      <c r="F14" s="67">
        <v>9.0909090909090912E-2</v>
      </c>
      <c r="G14" s="67">
        <v>0.44565217391304346</v>
      </c>
      <c r="H14" s="67">
        <v>0.16304347826086957</v>
      </c>
      <c r="I14" s="68">
        <v>8234.1463414634145</v>
      </c>
      <c r="J14" s="68">
        <v>-7546.666666666667</v>
      </c>
      <c r="K14" s="67">
        <v>0</v>
      </c>
      <c r="L14" s="67">
        <v>0.18181818181818182</v>
      </c>
      <c r="M14" s="67">
        <v>0.38043478260869568</v>
      </c>
      <c r="N14" s="67">
        <v>0.2391304347826087</v>
      </c>
      <c r="O14" s="67">
        <v>0.51428571428571423</v>
      </c>
      <c r="P14" s="67">
        <v>0.59090909090909094</v>
      </c>
      <c r="Q14" s="67">
        <v>0.29268292682926828</v>
      </c>
    </row>
    <row r="15" spans="1:17" x14ac:dyDescent="0.4">
      <c r="A15" s="69">
        <v>12</v>
      </c>
      <c r="B15" s="66">
        <v>371.70000000000005</v>
      </c>
      <c r="C15" s="66">
        <v>30.975000000000005</v>
      </c>
      <c r="D15" s="71">
        <v>1.4166666666666667</v>
      </c>
      <c r="E15" s="67">
        <v>0.66666666666666663</v>
      </c>
      <c r="F15" s="67">
        <v>8.3333333333333329E-2</v>
      </c>
      <c r="G15" s="67">
        <v>0.45</v>
      </c>
      <c r="H15" s="67">
        <v>0.15</v>
      </c>
      <c r="I15" s="68">
        <v>7868.8888888888887</v>
      </c>
      <c r="J15" s="68">
        <v>-7546.666666666667</v>
      </c>
      <c r="K15" s="67">
        <v>0</v>
      </c>
      <c r="L15" s="67">
        <v>0.16666666666666666</v>
      </c>
      <c r="M15" s="67">
        <v>0.38</v>
      </c>
      <c r="N15" s="67">
        <v>0.25</v>
      </c>
      <c r="O15" s="67">
        <v>0.52631578947368418</v>
      </c>
      <c r="P15" s="67">
        <v>0.6</v>
      </c>
      <c r="Q15" s="67">
        <v>0.26666666666666666</v>
      </c>
    </row>
    <row r="16" spans="1:17" x14ac:dyDescent="0.4">
      <c r="A16" s="69">
        <v>13</v>
      </c>
      <c r="B16" s="66">
        <v>418.90000000000003</v>
      </c>
      <c r="C16" s="66">
        <v>32.223076923076924</v>
      </c>
      <c r="D16" s="71">
        <v>1.3846153846153846</v>
      </c>
      <c r="E16" s="67">
        <v>0.69230769230769229</v>
      </c>
      <c r="F16" s="67">
        <v>7.6923076923076927E-2</v>
      </c>
      <c r="G16" s="67">
        <v>0.44444444444444442</v>
      </c>
      <c r="H16" s="67">
        <v>0.1388888888888889</v>
      </c>
      <c r="I16" s="68">
        <v>7870.833333333333</v>
      </c>
      <c r="J16" s="68">
        <v>-7546.666666666667</v>
      </c>
      <c r="K16" s="67">
        <v>0</v>
      </c>
      <c r="L16" s="67">
        <v>0.15384615384615385</v>
      </c>
      <c r="M16" s="67">
        <v>0.3611111111111111</v>
      </c>
      <c r="N16" s="67">
        <v>0.25925925925925924</v>
      </c>
      <c r="O16" s="67">
        <v>0.51282051282051277</v>
      </c>
      <c r="P16" s="67">
        <v>0.6428571428571429</v>
      </c>
      <c r="Q16" s="67">
        <v>0.3125</v>
      </c>
    </row>
    <row r="17" spans="1:17" x14ac:dyDescent="0.4">
      <c r="A17" s="69">
        <v>14</v>
      </c>
      <c r="B17" s="66">
        <v>473.50000000000006</v>
      </c>
      <c r="C17" s="66">
        <v>33.821428571428577</v>
      </c>
      <c r="D17" s="71">
        <v>1.3571428571428572</v>
      </c>
      <c r="E17" s="67">
        <v>0.7142857142857143</v>
      </c>
      <c r="F17" s="67">
        <v>7.1428571428571425E-2</v>
      </c>
      <c r="G17" s="67">
        <v>0.46086956521739131</v>
      </c>
      <c r="H17" s="67">
        <v>0.1391304347826087</v>
      </c>
      <c r="I17" s="68">
        <v>7815.0943396226412</v>
      </c>
      <c r="J17" s="68">
        <v>-7237.5</v>
      </c>
      <c r="K17" s="67">
        <v>0</v>
      </c>
      <c r="L17" s="67">
        <v>0.14285714285714285</v>
      </c>
      <c r="M17" s="67">
        <v>0.37391304347826088</v>
      </c>
      <c r="N17" s="67">
        <v>0.2608695652173913</v>
      </c>
      <c r="O17" s="67">
        <v>0.53488372093023251</v>
      </c>
      <c r="P17" s="67">
        <v>0.66666666666666663</v>
      </c>
      <c r="Q17" s="67">
        <v>0.30188679245283018</v>
      </c>
    </row>
    <row r="18" spans="1:17" x14ac:dyDescent="0.4">
      <c r="A18" s="69">
        <v>15</v>
      </c>
      <c r="B18" s="66">
        <v>481.50000000000006</v>
      </c>
      <c r="C18" s="66">
        <v>32.1</v>
      </c>
      <c r="D18" s="71">
        <v>1.4</v>
      </c>
      <c r="E18" s="67">
        <v>0.66666666666666663</v>
      </c>
      <c r="F18" s="67">
        <v>6.6666666666666666E-2</v>
      </c>
      <c r="G18" s="67">
        <v>0.46280991735537191</v>
      </c>
      <c r="H18" s="67">
        <v>0.1487603305785124</v>
      </c>
      <c r="I18" s="68">
        <v>7700</v>
      </c>
      <c r="J18" s="68">
        <v>-6988.8888888888887</v>
      </c>
      <c r="K18" s="67">
        <v>0</v>
      </c>
      <c r="L18" s="67">
        <v>0.13333333333333333</v>
      </c>
      <c r="M18" s="67">
        <v>0.36363636363636365</v>
      </c>
      <c r="N18" s="67">
        <v>0.26446280991735538</v>
      </c>
      <c r="O18" s="67">
        <v>0.54545454545454541</v>
      </c>
      <c r="P18" s="67">
        <v>0.6875</v>
      </c>
      <c r="Q18" s="67">
        <v>0.3392857142857143</v>
      </c>
    </row>
    <row r="19" spans="1:17" x14ac:dyDescent="0.4">
      <c r="A19" s="69">
        <v>16</v>
      </c>
      <c r="B19" s="66">
        <v>425.50000000000006</v>
      </c>
      <c r="C19" s="66">
        <v>26.593750000000004</v>
      </c>
      <c r="D19" s="71">
        <v>1.5</v>
      </c>
      <c r="E19" s="67">
        <v>0.625</v>
      </c>
      <c r="F19" s="67">
        <v>0.125</v>
      </c>
      <c r="G19" s="67">
        <v>0.45238095238095238</v>
      </c>
      <c r="H19" s="67">
        <v>0.16666666666666666</v>
      </c>
      <c r="I19" s="68">
        <v>7705.2631578947367</v>
      </c>
      <c r="J19" s="68">
        <v>-7761.9047619047615</v>
      </c>
      <c r="K19" s="67">
        <v>6.25E-2</v>
      </c>
      <c r="L19" s="67">
        <v>0.125</v>
      </c>
      <c r="M19" s="67">
        <v>0.35714285714285715</v>
      </c>
      <c r="N19" s="67">
        <v>0.27777777777777779</v>
      </c>
      <c r="O19" s="67">
        <v>0.53333333333333333</v>
      </c>
      <c r="P19" s="67">
        <v>0.65714285714285714</v>
      </c>
      <c r="Q19" s="67">
        <v>0.35087719298245612</v>
      </c>
    </row>
    <row r="20" spans="1:17" x14ac:dyDescent="0.4">
      <c r="A20" s="69">
        <v>17</v>
      </c>
      <c r="B20" s="66">
        <v>427.40000000000003</v>
      </c>
      <c r="C20" s="66">
        <v>25.141176470588238</v>
      </c>
      <c r="D20" s="71">
        <v>1.5294117647058822</v>
      </c>
      <c r="E20" s="67">
        <v>0.58823529411764708</v>
      </c>
      <c r="F20" s="67">
        <v>0.11764705882352941</v>
      </c>
      <c r="G20" s="67">
        <v>0.44029850746268656</v>
      </c>
      <c r="H20" s="67">
        <v>0.17164179104477612</v>
      </c>
      <c r="I20" s="68">
        <v>7735.593220338983</v>
      </c>
      <c r="J20" s="68">
        <v>-7665.217391304348</v>
      </c>
      <c r="K20" s="67">
        <v>5.8823529411764705E-2</v>
      </c>
      <c r="L20" s="67">
        <v>0.11764705882352941</v>
      </c>
      <c r="M20" s="67">
        <v>0.35820895522388058</v>
      </c>
      <c r="N20" s="67">
        <v>0.27611940298507465</v>
      </c>
      <c r="O20" s="67">
        <v>0.54166666666666663</v>
      </c>
      <c r="P20" s="67">
        <v>0.6216216216216216</v>
      </c>
      <c r="Q20" s="67">
        <v>0.33898305084745761</v>
      </c>
    </row>
    <row r="21" spans="1:17" x14ac:dyDescent="0.4">
      <c r="A21" s="69">
        <v>18</v>
      </c>
      <c r="B21" s="66">
        <v>429.3</v>
      </c>
      <c r="C21" s="66">
        <v>23.85</v>
      </c>
      <c r="D21" s="71">
        <v>1.5555555555555556</v>
      </c>
      <c r="E21" s="67">
        <v>0.55555555555555558</v>
      </c>
      <c r="F21" s="67">
        <v>0.1111111111111111</v>
      </c>
      <c r="G21" s="67">
        <v>0.42957746478873238</v>
      </c>
      <c r="H21" s="67">
        <v>0.176056338028169</v>
      </c>
      <c r="I21" s="68">
        <v>7763.9344262295081</v>
      </c>
      <c r="J21" s="68">
        <v>-7584</v>
      </c>
      <c r="K21" s="67">
        <v>5.5555555555555552E-2</v>
      </c>
      <c r="L21" s="67">
        <v>0.1111111111111111</v>
      </c>
      <c r="M21" s="67">
        <v>0.35915492957746481</v>
      </c>
      <c r="N21" s="67">
        <v>0.27464788732394368</v>
      </c>
      <c r="O21" s="67">
        <v>0.5490196078431373</v>
      </c>
      <c r="P21" s="67">
        <v>0.58974358974358976</v>
      </c>
      <c r="Q21" s="67">
        <v>0.32786885245901637</v>
      </c>
    </row>
    <row r="22" spans="1:17" x14ac:dyDescent="0.4">
      <c r="A22" s="69">
        <v>19</v>
      </c>
      <c r="B22" s="66">
        <v>405.40000000000003</v>
      </c>
      <c r="C22" s="66">
        <v>21.336842105263159</v>
      </c>
      <c r="D22" s="71">
        <v>1.631578947368421</v>
      </c>
      <c r="E22" s="67">
        <v>0.52631578947368418</v>
      </c>
      <c r="F22" s="67">
        <v>0.15789473684210525</v>
      </c>
      <c r="G22" s="67">
        <v>0.42483660130718953</v>
      </c>
      <c r="H22" s="67">
        <v>0.18954248366013071</v>
      </c>
      <c r="I22" s="68">
        <v>7787.6923076923076</v>
      </c>
      <c r="J22" s="68">
        <v>-7658.6206896551721</v>
      </c>
      <c r="K22" s="67">
        <v>5.2631578947368418E-2</v>
      </c>
      <c r="L22" s="67">
        <v>0.10526315789473684</v>
      </c>
      <c r="M22" s="67">
        <v>0.36601307189542481</v>
      </c>
      <c r="N22" s="67">
        <v>0.27450980392156865</v>
      </c>
      <c r="O22" s="67">
        <v>0.5357142857142857</v>
      </c>
      <c r="P22" s="67">
        <v>0.5714285714285714</v>
      </c>
      <c r="Q22" s="67">
        <v>0.35384615384615387</v>
      </c>
    </row>
    <row r="23" spans="1:17" x14ac:dyDescent="0.4">
      <c r="A23" s="69">
        <v>20</v>
      </c>
      <c r="B23" s="66">
        <v>469.6</v>
      </c>
      <c r="C23" s="66">
        <v>23.48</v>
      </c>
      <c r="D23" s="71">
        <v>1.6</v>
      </c>
      <c r="E23" s="67">
        <v>0.55000000000000004</v>
      </c>
      <c r="F23" s="67">
        <v>0.15</v>
      </c>
      <c r="G23" s="67">
        <v>0.42514970059880242</v>
      </c>
      <c r="H23" s="67">
        <v>0.17365269461077845</v>
      </c>
      <c r="I23" s="68">
        <v>8195.7746478873232</v>
      </c>
      <c r="J23" s="68">
        <v>-7658.6206896551721</v>
      </c>
      <c r="K23" s="67">
        <v>0.05</v>
      </c>
      <c r="L23" s="67">
        <v>0.15</v>
      </c>
      <c r="M23" s="67">
        <v>0.3592814371257485</v>
      </c>
      <c r="N23" s="67">
        <v>0.28143712574850299</v>
      </c>
      <c r="O23" s="67">
        <v>0.55000000000000004</v>
      </c>
      <c r="P23" s="67">
        <v>0.55319148936170215</v>
      </c>
      <c r="Q23" s="67">
        <v>0.38028169014084506</v>
      </c>
    </row>
    <row r="24" spans="1:17" x14ac:dyDescent="0.4">
      <c r="A24" s="69">
        <v>21</v>
      </c>
      <c r="B24" s="66">
        <v>468.3</v>
      </c>
      <c r="C24" s="66">
        <v>22.3</v>
      </c>
      <c r="D24" s="71">
        <v>1.6190476190476191</v>
      </c>
      <c r="E24" s="67">
        <v>0.52380952380952384</v>
      </c>
      <c r="F24" s="67">
        <v>0.14285714285714285</v>
      </c>
      <c r="G24" s="67">
        <v>0.42045454545454547</v>
      </c>
      <c r="H24" s="67">
        <v>0.18181818181818182</v>
      </c>
      <c r="I24" s="68">
        <v>8291.8918918918916</v>
      </c>
      <c r="J24" s="68">
        <v>-7815.625</v>
      </c>
      <c r="K24" s="67">
        <v>4.7619047619047616E-2</v>
      </c>
      <c r="L24" s="67">
        <v>0.14285714285714285</v>
      </c>
      <c r="M24" s="67">
        <v>0.36931818181818182</v>
      </c>
      <c r="N24" s="67">
        <v>0.26704545454545453</v>
      </c>
      <c r="O24" s="67">
        <v>0.55384615384615388</v>
      </c>
      <c r="P24" s="67">
        <v>0.55319148936170215</v>
      </c>
      <c r="Q24" s="67">
        <v>0.3783783783783784</v>
      </c>
    </row>
    <row r="25" spans="1:17" x14ac:dyDescent="0.4">
      <c r="A25" s="69">
        <v>22</v>
      </c>
      <c r="B25" s="66">
        <v>519.20000000000005</v>
      </c>
      <c r="C25" s="66">
        <v>23.6</v>
      </c>
      <c r="D25" s="71">
        <v>1.5909090909090908</v>
      </c>
      <c r="E25" s="67">
        <v>0.54545454545454541</v>
      </c>
      <c r="F25" s="67">
        <v>0.13636363636363635</v>
      </c>
      <c r="G25" s="67">
        <v>0.42307692307692307</v>
      </c>
      <c r="H25" s="67">
        <v>0.18131868131868131</v>
      </c>
      <c r="I25" s="68">
        <v>8696.1038961038957</v>
      </c>
      <c r="J25" s="68">
        <v>-7930.30303030303</v>
      </c>
      <c r="K25" s="67">
        <v>4.5454545454545456E-2</v>
      </c>
      <c r="L25" s="67">
        <v>0.18181818181818182</v>
      </c>
      <c r="M25" s="67">
        <v>0.36263736263736263</v>
      </c>
      <c r="N25" s="67">
        <v>0.27472527472527475</v>
      </c>
      <c r="O25" s="67">
        <v>0.56060606060606055</v>
      </c>
      <c r="P25" s="67">
        <v>0.56000000000000005</v>
      </c>
      <c r="Q25" s="67">
        <v>0.38961038961038963</v>
      </c>
    </row>
    <row r="26" spans="1:17" x14ac:dyDescent="0.4">
      <c r="A26" s="69">
        <v>23</v>
      </c>
      <c r="B26" s="66">
        <v>555.90000000000009</v>
      </c>
      <c r="C26" s="66">
        <v>24.169565217391309</v>
      </c>
      <c r="D26" s="71">
        <v>1.5652173913043479</v>
      </c>
      <c r="E26" s="67">
        <v>0.56521739130434778</v>
      </c>
      <c r="F26" s="67">
        <v>0.13043478260869565</v>
      </c>
      <c r="G26" s="67">
        <v>0.421875</v>
      </c>
      <c r="H26" s="67">
        <v>0.17708333333333334</v>
      </c>
      <c r="I26" s="68">
        <v>8733.3333333333339</v>
      </c>
      <c r="J26" s="68">
        <v>-7744.1176470588234</v>
      </c>
      <c r="K26" s="67">
        <v>4.3478260869565216E-2</v>
      </c>
      <c r="L26" s="67">
        <v>0.17391304347826086</v>
      </c>
      <c r="M26" s="67">
        <v>0.36979166666666669</v>
      </c>
      <c r="N26" s="67">
        <v>0.27083333333333331</v>
      </c>
      <c r="O26" s="67">
        <v>0.56338028169014087</v>
      </c>
      <c r="P26" s="67">
        <v>0.55769230769230771</v>
      </c>
      <c r="Q26" s="67">
        <v>0.40740740740740738</v>
      </c>
    </row>
    <row r="27" spans="1:17" x14ac:dyDescent="0.4">
      <c r="A27" s="69">
        <v>24</v>
      </c>
      <c r="B27" s="66">
        <v>592.20000000000005</v>
      </c>
      <c r="C27" s="66">
        <v>24.675000000000001</v>
      </c>
      <c r="D27" s="71">
        <v>1.5416666666666667</v>
      </c>
      <c r="E27" s="67">
        <v>0.58333333333333337</v>
      </c>
      <c r="F27" s="67">
        <v>0.125</v>
      </c>
      <c r="G27" s="67">
        <v>0.41791044776119401</v>
      </c>
      <c r="H27" s="67">
        <v>0.17910447761194029</v>
      </c>
      <c r="I27" s="68">
        <v>8773.8095238095229</v>
      </c>
      <c r="J27" s="68">
        <v>-7397.2222222222226</v>
      </c>
      <c r="K27" s="67">
        <v>4.1666666666666664E-2</v>
      </c>
      <c r="L27" s="67">
        <v>0.16666666666666666</v>
      </c>
      <c r="M27" s="67">
        <v>0.35820895522388058</v>
      </c>
      <c r="N27" s="67">
        <v>0.27860696517412936</v>
      </c>
      <c r="O27" s="67">
        <v>0.55555555555555558</v>
      </c>
      <c r="P27" s="67">
        <v>0.5714285714285714</v>
      </c>
      <c r="Q27" s="67">
        <v>0.40476190476190477</v>
      </c>
    </row>
    <row r="28" spans="1:17" x14ac:dyDescent="0.4">
      <c r="A28" s="69">
        <v>25</v>
      </c>
      <c r="B28" s="66">
        <v>655.20000000000005</v>
      </c>
      <c r="C28" s="66">
        <v>26.208000000000002</v>
      </c>
      <c r="D28" s="71">
        <v>1.52</v>
      </c>
      <c r="E28" s="67">
        <v>0.6</v>
      </c>
      <c r="F28" s="67">
        <v>0.12</v>
      </c>
      <c r="G28" s="67">
        <v>0.42156862745098039</v>
      </c>
      <c r="H28" s="67">
        <v>0.17647058823529413</v>
      </c>
      <c r="I28" s="68">
        <v>9058.1395348837214</v>
      </c>
      <c r="J28" s="68">
        <v>-7397.2222222222226</v>
      </c>
      <c r="K28" s="67">
        <v>0.04</v>
      </c>
      <c r="L28" s="67">
        <v>0.2</v>
      </c>
      <c r="M28" s="67">
        <v>0.35294117647058826</v>
      </c>
      <c r="N28" s="67">
        <v>0.27941176470588236</v>
      </c>
      <c r="O28" s="67">
        <v>0.55555555555555558</v>
      </c>
      <c r="P28" s="67">
        <v>0.57894736842105265</v>
      </c>
      <c r="Q28" s="67">
        <v>0.40697674418604651</v>
      </c>
    </row>
    <row r="29" spans="1:17" x14ac:dyDescent="0.4">
      <c r="A29" s="69">
        <v>26</v>
      </c>
      <c r="B29" s="66">
        <v>625.40000000000009</v>
      </c>
      <c r="C29" s="66">
        <v>24.053846153846159</v>
      </c>
      <c r="D29" s="71">
        <v>1.5769230769230769</v>
      </c>
      <c r="E29" s="67">
        <v>0.57692307692307687</v>
      </c>
      <c r="F29" s="67">
        <v>0.15384615384615385</v>
      </c>
      <c r="G29" s="67">
        <v>0.41314553990610331</v>
      </c>
      <c r="H29" s="67">
        <v>0.17370892018779344</v>
      </c>
      <c r="I29" s="68">
        <v>9032.954545454546</v>
      </c>
      <c r="J29" s="68">
        <v>-7683.7837837837842</v>
      </c>
      <c r="K29" s="67">
        <v>3.8461538461538464E-2</v>
      </c>
      <c r="L29" s="67">
        <v>0.19230769230769232</v>
      </c>
      <c r="M29" s="67">
        <v>0.34272300469483569</v>
      </c>
      <c r="N29" s="67">
        <v>0.28169014084507044</v>
      </c>
      <c r="O29" s="67">
        <v>0.56164383561643838</v>
      </c>
      <c r="P29" s="67">
        <v>0.55000000000000004</v>
      </c>
      <c r="Q29" s="67">
        <v>0.39772727272727271</v>
      </c>
    </row>
    <row r="30" spans="1:17" x14ac:dyDescent="0.4">
      <c r="A30" s="69">
        <v>27</v>
      </c>
      <c r="B30" s="66">
        <v>596.30000000000007</v>
      </c>
      <c r="C30" s="66">
        <v>22.085185185185189</v>
      </c>
      <c r="D30" s="71">
        <v>1.6296296296296295</v>
      </c>
      <c r="E30" s="67">
        <v>0.55555555555555558</v>
      </c>
      <c r="F30" s="67">
        <v>0.18518518518518517</v>
      </c>
      <c r="G30" s="67">
        <v>0.40090090090090091</v>
      </c>
      <c r="H30" s="67">
        <v>0.17117117117117117</v>
      </c>
      <c r="I30" s="68">
        <v>9133.7078651685388</v>
      </c>
      <c r="J30" s="68">
        <v>-7692.105263157895</v>
      </c>
      <c r="K30" s="67">
        <v>3.7037037037037035E-2</v>
      </c>
      <c r="L30" s="67">
        <v>0.18518518518518517</v>
      </c>
      <c r="M30" s="67">
        <v>0.34234234234234234</v>
      </c>
      <c r="N30" s="67">
        <v>0.27027027027027029</v>
      </c>
      <c r="O30" s="67">
        <v>0.55263157894736847</v>
      </c>
      <c r="P30" s="67">
        <v>0.55000000000000004</v>
      </c>
      <c r="Q30" s="67">
        <v>0.4044943820224719</v>
      </c>
    </row>
    <row r="31" spans="1:17" x14ac:dyDescent="0.4">
      <c r="A31" s="69">
        <v>28</v>
      </c>
      <c r="B31" s="66">
        <v>655.6</v>
      </c>
      <c r="C31" s="66">
        <v>23.414285714285715</v>
      </c>
      <c r="D31" s="71">
        <v>1.6071428571428572</v>
      </c>
      <c r="E31" s="67">
        <v>0.5714285714285714</v>
      </c>
      <c r="F31" s="67">
        <v>0.17857142857142858</v>
      </c>
      <c r="G31" s="67">
        <v>0.41304347826086957</v>
      </c>
      <c r="H31" s="67">
        <v>0.16956521739130434</v>
      </c>
      <c r="I31" s="68">
        <v>9030.5263157894733</v>
      </c>
      <c r="J31" s="68">
        <v>-7628.2051282051279</v>
      </c>
      <c r="K31" s="67">
        <v>3.5714285714285712E-2</v>
      </c>
      <c r="L31" s="67">
        <v>0.17857142857142858</v>
      </c>
      <c r="M31" s="67">
        <v>0.34782608695652173</v>
      </c>
      <c r="N31" s="67">
        <v>0.26956521739130435</v>
      </c>
      <c r="O31" s="67">
        <v>0.5625</v>
      </c>
      <c r="P31" s="67">
        <v>0.56451612903225812</v>
      </c>
      <c r="Q31" s="67">
        <v>0.4</v>
      </c>
    </row>
    <row r="32" spans="1:17" x14ac:dyDescent="0.4">
      <c r="A32" s="69">
        <v>29</v>
      </c>
      <c r="B32" s="66">
        <v>703.1</v>
      </c>
      <c r="C32" s="66">
        <v>24.244827586206899</v>
      </c>
      <c r="D32" s="71">
        <v>1.5862068965517242</v>
      </c>
      <c r="E32" s="67">
        <v>0.58620689655172409</v>
      </c>
      <c r="F32" s="67">
        <v>0.17241379310344829</v>
      </c>
      <c r="G32" s="67">
        <v>0.4219409282700422</v>
      </c>
      <c r="H32" s="67">
        <v>0.16455696202531644</v>
      </c>
      <c r="I32" s="68">
        <v>8832</v>
      </c>
      <c r="J32" s="68">
        <v>-7628.2051282051279</v>
      </c>
      <c r="K32" s="67">
        <v>3.4482758620689655E-2</v>
      </c>
      <c r="L32" s="67">
        <v>0.17241379310344829</v>
      </c>
      <c r="M32" s="67">
        <v>0.34599156118143459</v>
      </c>
      <c r="N32" s="67">
        <v>0.26582278481012656</v>
      </c>
      <c r="O32" s="67">
        <v>0.57317073170731703</v>
      </c>
      <c r="P32" s="67">
        <v>0.5714285714285714</v>
      </c>
      <c r="Q32" s="67">
        <v>0.41</v>
      </c>
    </row>
    <row r="33" spans="1:17" x14ac:dyDescent="0.4">
      <c r="A33" s="69">
        <v>30</v>
      </c>
      <c r="B33" s="66">
        <v>733.6</v>
      </c>
      <c r="C33" s="66">
        <v>24.453333333333333</v>
      </c>
      <c r="D33" s="71">
        <v>1.5666666666666667</v>
      </c>
      <c r="E33" s="67">
        <v>0.6</v>
      </c>
      <c r="F33" s="67">
        <v>0.16666666666666666</v>
      </c>
      <c r="G33" s="67">
        <v>0.41700404858299595</v>
      </c>
      <c r="H33" s="67">
        <v>0.15789473684210525</v>
      </c>
      <c r="I33" s="68">
        <v>8827.1844660194183</v>
      </c>
      <c r="J33" s="68">
        <v>-7628.2051282051279</v>
      </c>
      <c r="K33" s="67">
        <v>3.3333333333333333E-2</v>
      </c>
      <c r="L33" s="67">
        <v>0.16666666666666666</v>
      </c>
      <c r="M33" s="67">
        <v>0.33603238866396762</v>
      </c>
      <c r="N33" s="67">
        <v>0.27530364372469635</v>
      </c>
      <c r="O33" s="67">
        <v>0.57831325301204817</v>
      </c>
      <c r="P33" s="67">
        <v>0.55882352941176472</v>
      </c>
      <c r="Q33" s="67">
        <v>0.40776699029126212</v>
      </c>
    </row>
    <row r="34" spans="1:17" x14ac:dyDescent="0.4">
      <c r="A34" s="69">
        <v>31</v>
      </c>
      <c r="B34" s="66">
        <v>796.80000000000007</v>
      </c>
      <c r="C34" s="66">
        <v>25.703225806451616</v>
      </c>
      <c r="D34" s="71">
        <v>1.5483870967741935</v>
      </c>
      <c r="E34" s="67">
        <v>0.61290322580645162</v>
      </c>
      <c r="F34" s="67">
        <v>0.16129032258064516</v>
      </c>
      <c r="G34" s="67">
        <v>0.42063492063492064</v>
      </c>
      <c r="H34" s="67">
        <v>0.15476190476190477</v>
      </c>
      <c r="I34" s="68">
        <v>8970.7547169811314</v>
      </c>
      <c r="J34" s="68">
        <v>-7628.2051282051279</v>
      </c>
      <c r="K34" s="67">
        <v>3.2258064516129031E-2</v>
      </c>
      <c r="L34" s="67">
        <v>0.19354838709677419</v>
      </c>
      <c r="M34" s="67">
        <v>0.33730158730158732</v>
      </c>
      <c r="N34" s="67">
        <v>0.27380952380952384</v>
      </c>
      <c r="O34" s="67">
        <v>0.58823529411764708</v>
      </c>
      <c r="P34" s="67">
        <v>0.56521739130434778</v>
      </c>
      <c r="Q34" s="67">
        <v>0.40566037735849059</v>
      </c>
    </row>
    <row r="35" spans="1:17" x14ac:dyDescent="0.4">
      <c r="A35" s="69">
        <v>32</v>
      </c>
      <c r="B35" s="66">
        <v>788.30000000000007</v>
      </c>
      <c r="C35" s="66">
        <v>24.634375000000002</v>
      </c>
      <c r="D35" s="71">
        <v>1.5625</v>
      </c>
      <c r="E35" s="67">
        <v>0.59375</v>
      </c>
      <c r="F35" s="67">
        <v>0.15625</v>
      </c>
      <c r="G35" s="67">
        <v>0.41860465116279072</v>
      </c>
      <c r="H35" s="67">
        <v>0.15503875968992248</v>
      </c>
      <c r="I35" s="68">
        <v>9000.9259259259252</v>
      </c>
      <c r="J35" s="68">
        <v>-7837.5</v>
      </c>
      <c r="K35" s="67">
        <v>3.125E-2</v>
      </c>
      <c r="L35" s="67">
        <v>0.1875</v>
      </c>
      <c r="M35" s="67">
        <v>0.33720930232558138</v>
      </c>
      <c r="N35" s="67">
        <v>0.26744186046511625</v>
      </c>
      <c r="O35" s="67">
        <v>0.5977011494252874</v>
      </c>
      <c r="P35" s="67">
        <v>0.56521739130434778</v>
      </c>
      <c r="Q35" s="67">
        <v>0.39814814814814814</v>
      </c>
    </row>
    <row r="36" spans="1:17" x14ac:dyDescent="0.4">
      <c r="A36" s="69">
        <v>33</v>
      </c>
      <c r="B36" s="66">
        <v>850.1</v>
      </c>
      <c r="C36" s="66">
        <v>25.760606060606062</v>
      </c>
      <c r="D36" s="71">
        <v>1.5454545454545454</v>
      </c>
      <c r="E36" s="67">
        <v>0.60606060606060608</v>
      </c>
      <c r="F36" s="67">
        <v>0.15151515151515152</v>
      </c>
      <c r="G36" s="67">
        <v>0.42696629213483145</v>
      </c>
      <c r="H36" s="67">
        <v>0.15355805243445692</v>
      </c>
      <c r="I36" s="68">
        <v>8933.3333333333339</v>
      </c>
      <c r="J36" s="68">
        <v>-7939.0243902439024</v>
      </c>
      <c r="K36" s="67">
        <v>3.0303030303030304E-2</v>
      </c>
      <c r="L36" s="67">
        <v>0.18181818181818182</v>
      </c>
      <c r="M36" s="67">
        <v>0.34082397003745318</v>
      </c>
      <c r="N36" s="67">
        <v>0.26217228464419473</v>
      </c>
      <c r="O36" s="67">
        <v>0.60439560439560436</v>
      </c>
      <c r="P36" s="67">
        <v>0.5714285714285714</v>
      </c>
      <c r="Q36" s="67">
        <v>0.39473684210526316</v>
      </c>
    </row>
    <row r="37" spans="1:17" x14ac:dyDescent="0.4">
      <c r="A37" s="69">
        <v>34</v>
      </c>
      <c r="B37" s="66">
        <v>875.4</v>
      </c>
      <c r="C37" s="66">
        <v>25.747058823529411</v>
      </c>
      <c r="D37" s="71">
        <v>1.5294117647058822</v>
      </c>
      <c r="E37" s="67">
        <v>0.61764705882352944</v>
      </c>
      <c r="F37" s="67">
        <v>0.14705882352941177</v>
      </c>
      <c r="G37" s="67">
        <v>0.42909090909090908</v>
      </c>
      <c r="H37" s="67">
        <v>0.15272727272727274</v>
      </c>
      <c r="I37" s="68">
        <v>8800.8474576271183</v>
      </c>
      <c r="J37" s="68">
        <v>-7797.6190476190477</v>
      </c>
      <c r="K37" s="67">
        <v>2.9411764705882353E-2</v>
      </c>
      <c r="L37" s="67">
        <v>0.17647058823529413</v>
      </c>
      <c r="M37" s="67">
        <v>0.3418181818181818</v>
      </c>
      <c r="N37" s="67">
        <v>0.25818181818181818</v>
      </c>
      <c r="O37" s="67">
        <v>0.61702127659574468</v>
      </c>
      <c r="P37" s="67">
        <v>0.57746478873239437</v>
      </c>
      <c r="Q37" s="67">
        <v>0.38983050847457629</v>
      </c>
    </row>
    <row r="38" spans="1:17" x14ac:dyDescent="0.4">
      <c r="A38" s="69">
        <v>35</v>
      </c>
      <c r="B38" s="66">
        <v>907.3</v>
      </c>
      <c r="C38" s="66">
        <v>25.92285714285714</v>
      </c>
      <c r="D38" s="71">
        <v>1.5142857142857142</v>
      </c>
      <c r="E38" s="67">
        <v>0.62857142857142856</v>
      </c>
      <c r="F38" s="67">
        <v>0.14285714285714285</v>
      </c>
      <c r="G38" s="67">
        <v>0.42553191489361702</v>
      </c>
      <c r="H38" s="67">
        <v>0.14893617021276595</v>
      </c>
      <c r="I38" s="68">
        <v>8807.5</v>
      </c>
      <c r="J38" s="68">
        <v>-7797.6190476190477</v>
      </c>
      <c r="K38" s="67">
        <v>2.8571428571428571E-2</v>
      </c>
      <c r="L38" s="67">
        <v>0.17142857142857143</v>
      </c>
      <c r="M38" s="67">
        <v>0.33687943262411346</v>
      </c>
      <c r="N38" s="67">
        <v>0.25177304964539005</v>
      </c>
      <c r="O38" s="67">
        <v>0.62105263157894741</v>
      </c>
      <c r="P38" s="67">
        <v>0.57746478873239437</v>
      </c>
      <c r="Q38" s="67">
        <v>0.39166666666666666</v>
      </c>
    </row>
    <row r="39" spans="1:17" x14ac:dyDescent="0.4">
      <c r="A39" s="69">
        <v>36</v>
      </c>
      <c r="B39" s="66">
        <v>976.3</v>
      </c>
      <c r="C39" s="66">
        <v>27.119444444444444</v>
      </c>
      <c r="D39" s="71">
        <v>1.5</v>
      </c>
      <c r="E39" s="67">
        <v>0.63888888888888884</v>
      </c>
      <c r="F39" s="67">
        <v>0.1388888888888889</v>
      </c>
      <c r="G39" s="67">
        <v>0.43006993006993005</v>
      </c>
      <c r="H39" s="67">
        <v>0.14685314685314685</v>
      </c>
      <c r="I39" s="68">
        <v>8982.9268292682918</v>
      </c>
      <c r="J39" s="68">
        <v>-7797.6190476190477</v>
      </c>
      <c r="K39" s="67">
        <v>2.7777777777777776E-2</v>
      </c>
      <c r="L39" s="67">
        <v>0.19444444444444445</v>
      </c>
      <c r="M39" s="67">
        <v>0.33916083916083917</v>
      </c>
      <c r="N39" s="67">
        <v>0.25174825174825177</v>
      </c>
      <c r="O39" s="67">
        <v>0.62886597938144329</v>
      </c>
      <c r="P39" s="67">
        <v>0.58333333333333337</v>
      </c>
      <c r="Q39" s="67">
        <v>0.3902439024390244</v>
      </c>
    </row>
    <row r="40" spans="1:17" x14ac:dyDescent="0.4">
      <c r="A40" s="69">
        <v>37</v>
      </c>
      <c r="B40" s="66">
        <v>1013</v>
      </c>
      <c r="C40" s="66">
        <v>27.378378378378379</v>
      </c>
      <c r="D40" s="71">
        <v>1.4864864864864864</v>
      </c>
      <c r="E40" s="67">
        <v>0.64864864864864868</v>
      </c>
      <c r="F40" s="67">
        <v>0.13513513513513514</v>
      </c>
      <c r="G40" s="67">
        <v>0.42711864406779659</v>
      </c>
      <c r="H40" s="67">
        <v>0.14915254237288136</v>
      </c>
      <c r="I40" s="68">
        <v>9000.7936507936502</v>
      </c>
      <c r="J40" s="68">
        <v>-7561.363636363636</v>
      </c>
      <c r="K40" s="67">
        <v>2.7027027027027029E-2</v>
      </c>
      <c r="L40" s="67">
        <v>0.1891891891891892</v>
      </c>
      <c r="M40" s="67">
        <v>0.34237288135593219</v>
      </c>
      <c r="N40" s="67">
        <v>0.25423728813559321</v>
      </c>
      <c r="O40" s="67">
        <v>0.63366336633663367</v>
      </c>
      <c r="P40" s="67">
        <v>0.56000000000000005</v>
      </c>
      <c r="Q40" s="67">
        <v>0.3888888888888889</v>
      </c>
    </row>
    <row r="41" spans="1:17" x14ac:dyDescent="0.4">
      <c r="A41" s="69">
        <v>38</v>
      </c>
      <c r="B41" s="66">
        <v>1082.5999999999999</v>
      </c>
      <c r="C41" s="66">
        <v>28.489473684210523</v>
      </c>
      <c r="D41" s="71">
        <v>1.4736842105263157</v>
      </c>
      <c r="E41" s="67">
        <v>0.65789473684210531</v>
      </c>
      <c r="F41" s="67">
        <v>0.13157894736842105</v>
      </c>
      <c r="G41" s="67">
        <v>0.42857142857142855</v>
      </c>
      <c r="H41" s="67">
        <v>0.1461794019933555</v>
      </c>
      <c r="I41" s="68">
        <v>9160.4651162790706</v>
      </c>
      <c r="J41" s="68">
        <v>-7561.363636363636</v>
      </c>
      <c r="K41" s="67">
        <v>2.6315789473684209E-2</v>
      </c>
      <c r="L41" s="67">
        <v>0.21052631578947367</v>
      </c>
      <c r="M41" s="67">
        <v>0.34219269102990035</v>
      </c>
      <c r="N41" s="67">
        <v>0.25249169435215946</v>
      </c>
      <c r="O41" s="67">
        <v>0.64077669902912626</v>
      </c>
      <c r="P41" s="67">
        <v>0.55263157894736847</v>
      </c>
      <c r="Q41" s="67">
        <v>0.40310077519379844</v>
      </c>
    </row>
    <row r="42" spans="1:17" x14ac:dyDescent="0.4">
      <c r="A42" s="69">
        <v>39</v>
      </c>
      <c r="B42" s="66">
        <v>1131.0999999999999</v>
      </c>
      <c r="C42" s="66">
        <v>29.002564102564101</v>
      </c>
      <c r="D42" s="71">
        <v>1.4615384615384615</v>
      </c>
      <c r="E42" s="67">
        <v>0.66666666666666663</v>
      </c>
      <c r="F42" s="67">
        <v>0.12820512820512819</v>
      </c>
      <c r="G42" s="67">
        <v>0.42718446601941745</v>
      </c>
      <c r="H42" s="67">
        <v>0.14563106796116504</v>
      </c>
      <c r="I42" s="68">
        <v>9225</v>
      </c>
      <c r="J42" s="68">
        <v>-7571.1111111111113</v>
      </c>
      <c r="K42" s="67">
        <v>2.564102564102564E-2</v>
      </c>
      <c r="L42" s="67">
        <v>0.23076923076923078</v>
      </c>
      <c r="M42" s="67">
        <v>0.34627831715210355</v>
      </c>
      <c r="N42" s="67">
        <v>0.25242718446601942</v>
      </c>
      <c r="O42" s="67">
        <v>0.63551401869158874</v>
      </c>
      <c r="P42" s="67">
        <v>0.55128205128205132</v>
      </c>
      <c r="Q42" s="67">
        <v>0.40151515151515149</v>
      </c>
    </row>
    <row r="43" spans="1:17" x14ac:dyDescent="0.4">
      <c r="A43" s="69">
        <v>40</v>
      </c>
      <c r="B43" s="66">
        <v>1078.8</v>
      </c>
      <c r="C43" s="66">
        <v>26.97</v>
      </c>
      <c r="D43" s="71">
        <v>1.5</v>
      </c>
      <c r="E43" s="67">
        <v>0.65</v>
      </c>
      <c r="F43" s="67">
        <v>0.15</v>
      </c>
      <c r="G43" s="67">
        <v>0.42236024844720499</v>
      </c>
      <c r="H43" s="67">
        <v>0.15217391304347827</v>
      </c>
      <c r="I43" s="68">
        <v>9195.5882352941171</v>
      </c>
      <c r="J43" s="68">
        <v>-7897.9591836734689</v>
      </c>
      <c r="K43" s="67">
        <v>2.5000000000000001E-2</v>
      </c>
      <c r="L43" s="67">
        <v>0.22500000000000001</v>
      </c>
      <c r="M43" s="67">
        <v>0.34161490683229812</v>
      </c>
      <c r="N43" s="67">
        <v>0.24534161490683229</v>
      </c>
      <c r="O43" s="67">
        <v>0.63636363636363635</v>
      </c>
      <c r="P43" s="67">
        <v>0.55696202531645567</v>
      </c>
      <c r="Q43" s="67">
        <v>0.40441176470588236</v>
      </c>
    </row>
    <row r="44" spans="1:17" x14ac:dyDescent="0.4">
      <c r="A44" s="69">
        <v>41</v>
      </c>
      <c r="B44" s="66">
        <v>1114</v>
      </c>
      <c r="C44" s="66">
        <v>27.170731707317074</v>
      </c>
      <c r="D44" s="71">
        <v>1.4878048780487805</v>
      </c>
      <c r="E44" s="67">
        <v>0.65853658536585369</v>
      </c>
      <c r="F44" s="67">
        <v>0.14634146341463414</v>
      </c>
      <c r="G44" s="67">
        <v>0.42073170731707316</v>
      </c>
      <c r="H44" s="67">
        <v>0.14939024390243902</v>
      </c>
      <c r="I44" s="68">
        <v>9236.2318840579719</v>
      </c>
      <c r="J44" s="68">
        <v>-7897.9591836734689</v>
      </c>
      <c r="K44" s="67">
        <v>2.4390243902439025E-2</v>
      </c>
      <c r="L44" s="67">
        <v>0.21951219512195122</v>
      </c>
      <c r="M44" s="67">
        <v>0.33841463414634149</v>
      </c>
      <c r="N44" s="67">
        <v>0.24390243902439024</v>
      </c>
      <c r="O44" s="67">
        <v>0.63963963963963966</v>
      </c>
      <c r="P44" s="67">
        <v>0.5625</v>
      </c>
      <c r="Q44" s="67">
        <v>0.39855072463768115</v>
      </c>
    </row>
    <row r="45" spans="1:17" x14ac:dyDescent="0.4">
      <c r="A45" s="69">
        <v>42</v>
      </c>
      <c r="B45" s="66">
        <v>1147.5</v>
      </c>
      <c r="C45" s="66">
        <v>27.321428571428573</v>
      </c>
      <c r="D45" s="71">
        <v>1.4761904761904763</v>
      </c>
      <c r="E45" s="67">
        <v>0.66666666666666663</v>
      </c>
      <c r="F45" s="67">
        <v>0.14285714285714285</v>
      </c>
      <c r="G45" s="67">
        <v>0.42215568862275449</v>
      </c>
      <c r="H45" s="67">
        <v>0.1497005988023952</v>
      </c>
      <c r="I45" s="68">
        <v>9200</v>
      </c>
      <c r="J45" s="68">
        <v>-7844</v>
      </c>
      <c r="K45" s="67">
        <v>2.3809523809523808E-2</v>
      </c>
      <c r="L45" s="67">
        <v>0.21428571428571427</v>
      </c>
      <c r="M45" s="67">
        <v>0.33832335329341318</v>
      </c>
      <c r="N45" s="67">
        <v>0.23952095808383234</v>
      </c>
      <c r="O45" s="67">
        <v>0.63716814159292035</v>
      </c>
      <c r="P45" s="67">
        <v>0.5625</v>
      </c>
      <c r="Q45" s="67">
        <v>0.3971631205673759</v>
      </c>
    </row>
    <row r="46" spans="1:17" x14ac:dyDescent="0.4">
      <c r="A46" s="69">
        <v>43</v>
      </c>
      <c r="B46" s="66">
        <v>1151</v>
      </c>
      <c r="C46" s="66">
        <v>26.767441860465116</v>
      </c>
      <c r="D46" s="71">
        <v>1.4883720930232558</v>
      </c>
      <c r="E46" s="67">
        <v>0.65116279069767447</v>
      </c>
      <c r="F46" s="67">
        <v>0.13953488372093023</v>
      </c>
      <c r="G46" s="67">
        <v>0.41935483870967744</v>
      </c>
      <c r="H46" s="67">
        <v>0.1466275659824047</v>
      </c>
      <c r="I46" s="68">
        <v>9323.0769230769238</v>
      </c>
      <c r="J46" s="68">
        <v>-7844</v>
      </c>
      <c r="K46" s="67">
        <v>2.3255813953488372E-2</v>
      </c>
      <c r="L46" s="67">
        <v>0.20930232558139536</v>
      </c>
      <c r="M46" s="67">
        <v>0.33724340175953077</v>
      </c>
      <c r="N46" s="67">
        <v>0.2404692082111437</v>
      </c>
      <c r="O46" s="67">
        <v>0.63478260869565217</v>
      </c>
      <c r="P46" s="67">
        <v>0.56097560975609762</v>
      </c>
      <c r="Q46" s="67">
        <v>0.40559440559440557</v>
      </c>
    </row>
    <row r="47" spans="1:17" x14ac:dyDescent="0.4">
      <c r="A47" s="69">
        <v>44</v>
      </c>
      <c r="B47" s="66">
        <v>1208</v>
      </c>
      <c r="C47" s="66">
        <v>27.454545454545453</v>
      </c>
      <c r="D47" s="71">
        <v>1.4772727272727273</v>
      </c>
      <c r="E47" s="67">
        <v>0.65909090909090906</v>
      </c>
      <c r="F47" s="67">
        <v>0.13636363636363635</v>
      </c>
      <c r="G47" s="67">
        <v>0.42241379310344829</v>
      </c>
      <c r="H47" s="67">
        <v>0.14655172413793102</v>
      </c>
      <c r="I47" s="68">
        <v>9407.4829931972781</v>
      </c>
      <c r="J47" s="68">
        <v>-7925.4901960784309</v>
      </c>
      <c r="K47" s="67">
        <v>2.2727272727272728E-2</v>
      </c>
      <c r="L47" s="67">
        <v>0.22727272727272727</v>
      </c>
      <c r="M47" s="67">
        <v>0.33908045977011492</v>
      </c>
      <c r="N47" s="67">
        <v>0.2413793103448276</v>
      </c>
      <c r="O47" s="67">
        <v>0.64406779661016944</v>
      </c>
      <c r="P47" s="67">
        <v>0.55952380952380953</v>
      </c>
      <c r="Q47" s="67">
        <v>0.39455782312925169</v>
      </c>
    </row>
    <row r="48" spans="1:17" x14ac:dyDescent="0.4">
      <c r="A48" s="69">
        <v>45</v>
      </c>
      <c r="B48" s="66">
        <v>1203.5999999999999</v>
      </c>
      <c r="C48" s="66">
        <v>26.746666666666666</v>
      </c>
      <c r="D48" s="71">
        <v>1.4888888888888889</v>
      </c>
      <c r="E48" s="67">
        <v>0.64444444444444449</v>
      </c>
      <c r="F48" s="67">
        <v>0.13333333333333333</v>
      </c>
      <c r="G48" s="67">
        <v>0.42134831460674155</v>
      </c>
      <c r="H48" s="67">
        <v>0.14606741573033707</v>
      </c>
      <c r="I48" s="68">
        <v>9310.6666666666661</v>
      </c>
      <c r="J48" s="68">
        <v>-7823.0769230769229</v>
      </c>
      <c r="K48" s="67">
        <v>2.2222222222222223E-2</v>
      </c>
      <c r="L48" s="67">
        <v>0.22222222222222221</v>
      </c>
      <c r="M48" s="67">
        <v>0.3398876404494382</v>
      </c>
      <c r="N48" s="67">
        <v>0.2443820224719101</v>
      </c>
      <c r="O48" s="67">
        <v>0.64462809917355368</v>
      </c>
      <c r="P48" s="67">
        <v>0.55172413793103448</v>
      </c>
      <c r="Q48" s="67">
        <v>0.39333333333333331</v>
      </c>
    </row>
    <row r="49" spans="1:17" x14ac:dyDescent="0.4">
      <c r="A49" s="69">
        <v>46</v>
      </c>
      <c r="B49" s="66">
        <v>1212.5999999999999</v>
      </c>
      <c r="C49" s="66">
        <v>26.360869565217389</v>
      </c>
      <c r="D49" s="71">
        <v>1.5</v>
      </c>
      <c r="E49" s="67">
        <v>0.63043478260869568</v>
      </c>
      <c r="F49" s="67">
        <v>0.13043478260869565</v>
      </c>
      <c r="G49" s="67">
        <v>0.41944444444444445</v>
      </c>
      <c r="H49" s="67">
        <v>0.14722222222222223</v>
      </c>
      <c r="I49" s="68">
        <v>9407.9470198675499</v>
      </c>
      <c r="J49" s="68">
        <v>-8015.0943396226412</v>
      </c>
      <c r="K49" s="67">
        <v>2.1739130434782608E-2</v>
      </c>
      <c r="L49" s="67">
        <v>0.21739130434782608</v>
      </c>
      <c r="M49" s="67">
        <v>0.33888888888888891</v>
      </c>
      <c r="N49" s="67">
        <v>0.25</v>
      </c>
      <c r="O49" s="67">
        <v>0.64754098360655743</v>
      </c>
      <c r="P49" s="67">
        <v>0.53333333333333333</v>
      </c>
      <c r="Q49" s="67">
        <v>0.39072847682119205</v>
      </c>
    </row>
    <row r="50" spans="1:17" x14ac:dyDescent="0.4">
      <c r="A50" s="69">
        <v>47</v>
      </c>
      <c r="B50" s="66">
        <v>1264.5</v>
      </c>
      <c r="C50" s="66">
        <v>26.904255319148938</v>
      </c>
      <c r="D50" s="71">
        <v>1.4893617021276595</v>
      </c>
      <c r="E50" s="67">
        <v>0.63829787234042556</v>
      </c>
      <c r="F50" s="67">
        <v>0.1276595744680851</v>
      </c>
      <c r="G50" s="67">
        <v>0.42349726775956287</v>
      </c>
      <c r="H50" s="67">
        <v>0.1448087431693989</v>
      </c>
      <c r="I50" s="68">
        <v>9387.0967741935492</v>
      </c>
      <c r="J50" s="68">
        <v>-8015.0943396226412</v>
      </c>
      <c r="K50" s="67">
        <v>2.1276595744680851E-2</v>
      </c>
      <c r="L50" s="67">
        <v>0.23404255319148937</v>
      </c>
      <c r="M50" s="67">
        <v>0.33606557377049179</v>
      </c>
      <c r="N50" s="67">
        <v>0.25409836065573771</v>
      </c>
      <c r="O50" s="67">
        <v>0.65040650406504064</v>
      </c>
      <c r="P50" s="67">
        <v>0.54838709677419351</v>
      </c>
      <c r="Q50" s="67">
        <v>0.3935483870967742</v>
      </c>
    </row>
    <row r="51" spans="1:17" x14ac:dyDescent="0.4">
      <c r="A51" s="69">
        <v>48</v>
      </c>
      <c r="B51" s="66">
        <v>1259.3</v>
      </c>
      <c r="C51" s="66">
        <v>26.235416666666666</v>
      </c>
      <c r="D51" s="71">
        <v>1.5</v>
      </c>
      <c r="E51" s="67">
        <v>0.625</v>
      </c>
      <c r="F51" s="67">
        <v>0.125</v>
      </c>
      <c r="G51" s="67">
        <v>0.42021276595744683</v>
      </c>
      <c r="H51" s="67">
        <v>0.14627659574468085</v>
      </c>
      <c r="I51" s="68">
        <v>9332.9113924050635</v>
      </c>
      <c r="J51" s="68">
        <v>-8087.272727272727</v>
      </c>
      <c r="K51" s="67">
        <v>2.0833333333333332E-2</v>
      </c>
      <c r="L51" s="67">
        <v>0.22916666666666666</v>
      </c>
      <c r="M51" s="67">
        <v>0.33510638297872342</v>
      </c>
      <c r="N51" s="67">
        <v>0.25797872340425532</v>
      </c>
      <c r="O51" s="67">
        <v>0.65079365079365081</v>
      </c>
      <c r="P51" s="67">
        <v>0.53608247422680411</v>
      </c>
      <c r="Q51" s="67">
        <v>0.39873417721518989</v>
      </c>
    </row>
    <row r="52" spans="1:17" x14ac:dyDescent="0.4">
      <c r="A52" s="69">
        <v>49</v>
      </c>
      <c r="B52" s="66">
        <v>1289.8999999999999</v>
      </c>
      <c r="C52" s="66">
        <v>26.324489795918364</v>
      </c>
      <c r="D52" s="71">
        <v>1.489795918367347</v>
      </c>
      <c r="E52" s="67">
        <v>0.63265306122448983</v>
      </c>
      <c r="F52" s="67">
        <v>0.12244897959183673</v>
      </c>
      <c r="G52" s="67">
        <v>0.42297650130548303</v>
      </c>
      <c r="H52" s="67">
        <v>0.14360313315926893</v>
      </c>
      <c r="I52" s="68">
        <v>9259.2592592592591</v>
      </c>
      <c r="J52" s="68">
        <v>-8087.272727272727</v>
      </c>
      <c r="K52" s="67">
        <v>2.0408163265306121E-2</v>
      </c>
      <c r="L52" s="67">
        <v>0.22448979591836735</v>
      </c>
      <c r="M52" s="67">
        <v>0.33420365535248042</v>
      </c>
      <c r="N52" s="67">
        <v>0.25587467362924282</v>
      </c>
      <c r="O52" s="67">
        <v>0.65625</v>
      </c>
      <c r="P52" s="67">
        <v>0.54081632653061229</v>
      </c>
      <c r="Q52" s="67">
        <v>0.39506172839506171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E7F46A-9962-4D50-BD11-3940D1CA1B17}">
  <sheetPr codeName="Sheet6"/>
  <dimension ref="A1:Q76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145</v>
      </c>
      <c r="B1" s="70" t="s">
        <v>145</v>
      </c>
      <c r="C1" s="70" t="s">
        <v>145</v>
      </c>
      <c r="D1" s="71" t="s">
        <v>145</v>
      </c>
      <c r="E1" s="70" t="s">
        <v>145</v>
      </c>
      <c r="F1" s="70" t="s">
        <v>145</v>
      </c>
      <c r="G1" s="70" t="s">
        <v>145</v>
      </c>
      <c r="H1" s="70" t="s">
        <v>145</v>
      </c>
      <c r="I1" s="70" t="s">
        <v>145</v>
      </c>
      <c r="J1" s="70" t="s">
        <v>145</v>
      </c>
      <c r="K1" s="70" t="s">
        <v>145</v>
      </c>
      <c r="L1" s="70" t="s">
        <v>145</v>
      </c>
      <c r="M1" s="70" t="s">
        <v>145</v>
      </c>
      <c r="N1" s="70" t="s">
        <v>145</v>
      </c>
      <c r="O1" s="70" t="s">
        <v>145</v>
      </c>
      <c r="P1" s="70" t="s">
        <v>145</v>
      </c>
      <c r="Q1" s="70" t="s">
        <v>145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0</v>
      </c>
      <c r="C4" s="66">
        <v>0</v>
      </c>
      <c r="D4" s="71">
        <v>2</v>
      </c>
      <c r="E4" s="67">
        <v>0.33333333333333331</v>
      </c>
      <c r="F4" s="67">
        <v>0.33333333333333331</v>
      </c>
      <c r="G4" s="67">
        <v>0.33333333333333331</v>
      </c>
      <c r="H4" s="67">
        <v>0.22222222222222221</v>
      </c>
      <c r="I4" s="68">
        <v>10416.666666666666</v>
      </c>
      <c r="J4" s="68">
        <v>-11925</v>
      </c>
      <c r="K4" s="67">
        <v>0</v>
      </c>
      <c r="L4" s="67">
        <v>0</v>
      </c>
      <c r="M4" s="67">
        <v>0.33333333333333331</v>
      </c>
      <c r="N4" s="67">
        <v>0.22222222222222221</v>
      </c>
      <c r="O4" s="67">
        <v>1</v>
      </c>
      <c r="P4" s="67">
        <v>0</v>
      </c>
      <c r="Q4" s="67">
        <v>0.33333333333333331</v>
      </c>
    </row>
    <row r="5" spans="1:17" x14ac:dyDescent="0.4">
      <c r="A5" s="69">
        <v>2</v>
      </c>
      <c r="B5" s="66">
        <v>0</v>
      </c>
      <c r="C5" s="66">
        <v>0</v>
      </c>
      <c r="D5" s="71">
        <v>2</v>
      </c>
      <c r="E5" s="67">
        <v>0.33333333333333331</v>
      </c>
      <c r="F5" s="67">
        <v>0.33333333333333331</v>
      </c>
      <c r="G5" s="67">
        <v>0.33333333333333331</v>
      </c>
      <c r="H5" s="67">
        <v>0.22916666666666666</v>
      </c>
      <c r="I5" s="68">
        <v>10068.75</v>
      </c>
      <c r="J5" s="68">
        <v>-9845.454545454546</v>
      </c>
      <c r="K5" s="67">
        <v>0</v>
      </c>
      <c r="L5" s="67">
        <v>0</v>
      </c>
      <c r="M5" s="67">
        <v>0.33333333333333331</v>
      </c>
      <c r="N5" s="67">
        <v>0.25</v>
      </c>
      <c r="O5" s="67">
        <v>0.6875</v>
      </c>
      <c r="P5" s="67">
        <v>0.33333333333333331</v>
      </c>
      <c r="Q5" s="67">
        <v>0.3125</v>
      </c>
    </row>
    <row r="6" spans="1:17" x14ac:dyDescent="0.4">
      <c r="A6" s="69">
        <v>3</v>
      </c>
      <c r="B6" s="66">
        <v>-3.5527136788005009E-15</v>
      </c>
      <c r="C6" s="66">
        <v>-3.9474596431116675E-16</v>
      </c>
      <c r="D6" s="71">
        <v>2</v>
      </c>
      <c r="E6" s="67">
        <v>0.33333333333333331</v>
      </c>
      <c r="F6" s="67">
        <v>0.33333333333333331</v>
      </c>
      <c r="G6" s="67">
        <v>0.30769230769230771</v>
      </c>
      <c r="H6" s="67">
        <v>0.23076923076923078</v>
      </c>
      <c r="I6" s="68">
        <v>9279.1666666666661</v>
      </c>
      <c r="J6" s="68">
        <v>-8772.2222222222226</v>
      </c>
      <c r="K6" s="67">
        <v>0</v>
      </c>
      <c r="L6" s="67">
        <v>0</v>
      </c>
      <c r="M6" s="67">
        <v>0.32051282051282054</v>
      </c>
      <c r="N6" s="67">
        <v>0.26923076923076922</v>
      </c>
      <c r="O6" s="67">
        <v>0.56000000000000005</v>
      </c>
      <c r="P6" s="67">
        <v>0.33333333333333331</v>
      </c>
      <c r="Q6" s="67">
        <v>0.25</v>
      </c>
    </row>
    <row r="7" spans="1:17" x14ac:dyDescent="0.4">
      <c r="A7" s="69">
        <v>4</v>
      </c>
      <c r="B7" s="66">
        <v>-8.8817841970012523E-15</v>
      </c>
      <c r="C7" s="66">
        <v>-7.4014868308343773E-16</v>
      </c>
      <c r="D7" s="71">
        <v>2</v>
      </c>
      <c r="E7" s="67">
        <v>0.33333333333333331</v>
      </c>
      <c r="F7" s="67">
        <v>0.33333333333333331</v>
      </c>
      <c r="G7" s="67">
        <v>0.30303030303030304</v>
      </c>
      <c r="H7" s="67">
        <v>0.24242424242424243</v>
      </c>
      <c r="I7" s="68">
        <v>8393.3333333333339</v>
      </c>
      <c r="J7" s="68">
        <v>-7791.666666666667</v>
      </c>
      <c r="K7" s="67">
        <v>0</v>
      </c>
      <c r="L7" s="67">
        <v>0</v>
      </c>
      <c r="M7" s="67">
        <v>0.30303030303030304</v>
      </c>
      <c r="N7" s="67">
        <v>0.26262626262626265</v>
      </c>
      <c r="O7" s="67">
        <v>0.53333333333333333</v>
      </c>
      <c r="P7" s="67">
        <v>0.30769230769230771</v>
      </c>
      <c r="Q7" s="67">
        <v>0.2</v>
      </c>
    </row>
    <row r="8" spans="1:17" x14ac:dyDescent="0.4">
      <c r="A8" s="69">
        <v>5</v>
      </c>
      <c r="B8" s="66">
        <v>-1.0658141036401503E-14</v>
      </c>
      <c r="C8" s="66">
        <v>-7.1054273576010023E-16</v>
      </c>
      <c r="D8" s="71">
        <v>2</v>
      </c>
      <c r="E8" s="67">
        <v>0.33333333333333331</v>
      </c>
      <c r="F8" s="67">
        <v>0.33333333333333331</v>
      </c>
      <c r="G8" s="67">
        <v>0.30158730158730157</v>
      </c>
      <c r="H8" s="67">
        <v>0.23015873015873015</v>
      </c>
      <c r="I8" s="68">
        <v>7971.0526315789475</v>
      </c>
      <c r="J8" s="68">
        <v>-7324.1379310344828</v>
      </c>
      <c r="K8" s="67">
        <v>0</v>
      </c>
      <c r="L8" s="67">
        <v>0</v>
      </c>
      <c r="M8" s="67">
        <v>0.29365079365079366</v>
      </c>
      <c r="N8" s="67">
        <v>0.25396825396825395</v>
      </c>
      <c r="O8" s="67">
        <v>0.54054054054054057</v>
      </c>
      <c r="P8" s="67">
        <v>0.34375</v>
      </c>
      <c r="Q8" s="67">
        <v>0.23684210526315788</v>
      </c>
    </row>
    <row r="9" spans="1:17" x14ac:dyDescent="0.4">
      <c r="A9" s="69">
        <v>6</v>
      </c>
      <c r="B9" s="66">
        <v>-3.5527136788005009E-15</v>
      </c>
      <c r="C9" s="66">
        <v>-1.9737298215558337E-16</v>
      </c>
      <c r="D9" s="71">
        <v>2</v>
      </c>
      <c r="E9" s="67">
        <v>0.33333333333333331</v>
      </c>
      <c r="F9" s="67">
        <v>0.33333333333333331</v>
      </c>
      <c r="G9" s="67">
        <v>0.30612244897959184</v>
      </c>
      <c r="H9" s="67">
        <v>0.21768707482993196</v>
      </c>
      <c r="I9" s="68">
        <v>8540</v>
      </c>
      <c r="J9" s="68">
        <v>-8118.75</v>
      </c>
      <c r="K9" s="67">
        <v>5.5555555555555552E-2</v>
      </c>
      <c r="L9" s="67">
        <v>5.5555555555555552E-2</v>
      </c>
      <c r="M9" s="67">
        <v>0.27210884353741499</v>
      </c>
      <c r="N9" s="67">
        <v>0.23809523809523808</v>
      </c>
      <c r="O9" s="67">
        <v>0.52500000000000002</v>
      </c>
      <c r="P9" s="67">
        <v>0.37142857142857144</v>
      </c>
      <c r="Q9" s="67">
        <v>0.26666666666666666</v>
      </c>
    </row>
    <row r="10" spans="1:17" x14ac:dyDescent="0.4">
      <c r="A10" s="69">
        <v>7</v>
      </c>
      <c r="B10" s="66">
        <v>-2.886579864025407E-15</v>
      </c>
      <c r="C10" s="66">
        <v>-1.3745618400120986E-16</v>
      </c>
      <c r="D10" s="71">
        <v>2</v>
      </c>
      <c r="E10" s="67">
        <v>0.33333333333333331</v>
      </c>
      <c r="F10" s="67">
        <v>0.33333333333333331</v>
      </c>
      <c r="G10" s="67">
        <v>0.29943502824858759</v>
      </c>
      <c r="H10" s="67">
        <v>0.21468926553672316</v>
      </c>
      <c r="I10" s="68">
        <v>8416.9811320754725</v>
      </c>
      <c r="J10" s="68">
        <v>-8131.5789473684208</v>
      </c>
      <c r="K10" s="67">
        <v>4.7619047619047616E-2</v>
      </c>
      <c r="L10" s="67">
        <v>4.7619047619047616E-2</v>
      </c>
      <c r="M10" s="67">
        <v>0.2655367231638418</v>
      </c>
      <c r="N10" s="67">
        <v>0.22033898305084745</v>
      </c>
      <c r="O10" s="67">
        <v>0.48936170212765956</v>
      </c>
      <c r="P10" s="67">
        <v>0.41025641025641024</v>
      </c>
      <c r="Q10" s="67">
        <v>0.26415094339622641</v>
      </c>
    </row>
    <row r="11" spans="1:17" x14ac:dyDescent="0.4">
      <c r="A11" s="69">
        <v>8</v>
      </c>
      <c r="B11" s="66">
        <v>-3.5527136788005009E-15</v>
      </c>
      <c r="C11" s="66">
        <v>-1.4802973661668753E-16</v>
      </c>
      <c r="D11" s="71">
        <v>2</v>
      </c>
      <c r="E11" s="67">
        <v>0.33333333333333331</v>
      </c>
      <c r="F11" s="67">
        <v>0.33333333333333331</v>
      </c>
      <c r="G11" s="67">
        <v>0.30392156862745096</v>
      </c>
      <c r="H11" s="67">
        <v>0.2107843137254902</v>
      </c>
      <c r="I11" s="68">
        <v>8124.1935483870966</v>
      </c>
      <c r="J11" s="68">
        <v>-7848.8372093023254</v>
      </c>
      <c r="K11" s="67">
        <v>4.1666666666666664E-2</v>
      </c>
      <c r="L11" s="67">
        <v>4.1666666666666664E-2</v>
      </c>
      <c r="M11" s="67">
        <v>0.27941176470588236</v>
      </c>
      <c r="N11" s="67">
        <v>0.21568627450980393</v>
      </c>
      <c r="O11" s="67">
        <v>0.50877192982456143</v>
      </c>
      <c r="P11" s="67">
        <v>0.40909090909090912</v>
      </c>
      <c r="Q11" s="67">
        <v>0.29032258064516131</v>
      </c>
    </row>
    <row r="12" spans="1:17" x14ac:dyDescent="0.4">
      <c r="A12" s="69">
        <v>9</v>
      </c>
      <c r="B12" s="66">
        <v>-1.3322676295501878E-15</v>
      </c>
      <c r="C12" s="66">
        <v>-4.9343245538895844E-17</v>
      </c>
      <c r="D12" s="71">
        <v>2</v>
      </c>
      <c r="E12" s="67">
        <v>0.33333333333333331</v>
      </c>
      <c r="F12" s="67">
        <v>0.33333333333333331</v>
      </c>
      <c r="G12" s="67">
        <v>0.30666666666666664</v>
      </c>
      <c r="H12" s="67">
        <v>0.20444444444444446</v>
      </c>
      <c r="I12" s="68">
        <v>8147.826086956522</v>
      </c>
      <c r="J12" s="68">
        <v>-8073.913043478261</v>
      </c>
      <c r="K12" s="67">
        <v>3.7037037037037035E-2</v>
      </c>
      <c r="L12" s="67">
        <v>3.7037037037037035E-2</v>
      </c>
      <c r="M12" s="67">
        <v>0.27111111111111114</v>
      </c>
      <c r="N12" s="67">
        <v>0.21777777777777776</v>
      </c>
      <c r="O12" s="67">
        <v>0.50819672131147542</v>
      </c>
      <c r="P12" s="67">
        <v>0.40816326530612246</v>
      </c>
      <c r="Q12" s="67">
        <v>0.3188405797101449</v>
      </c>
    </row>
    <row r="13" spans="1:17" x14ac:dyDescent="0.4">
      <c r="A13" s="69">
        <v>10</v>
      </c>
      <c r="B13" s="66">
        <v>0</v>
      </c>
      <c r="C13" s="66">
        <v>0</v>
      </c>
      <c r="D13" s="71">
        <v>2</v>
      </c>
      <c r="E13" s="67">
        <v>0.33333333333333331</v>
      </c>
      <c r="F13" s="67">
        <v>0.33333333333333331</v>
      </c>
      <c r="G13" s="67">
        <v>0.30801687763713081</v>
      </c>
      <c r="H13" s="67">
        <v>0.20675105485232068</v>
      </c>
      <c r="I13" s="68">
        <v>8242.465753424658</v>
      </c>
      <c r="J13" s="68">
        <v>-8353.0612244897966</v>
      </c>
      <c r="K13" s="67">
        <v>6.6666666666666666E-2</v>
      </c>
      <c r="L13" s="67">
        <v>6.6666666666666666E-2</v>
      </c>
      <c r="M13" s="67">
        <v>0.26582278481012656</v>
      </c>
      <c r="N13" s="67">
        <v>0.22362869198312235</v>
      </c>
      <c r="O13" s="67">
        <v>0.50793650793650791</v>
      </c>
      <c r="P13" s="67">
        <v>0.41509433962264153</v>
      </c>
      <c r="Q13" s="67">
        <v>0.31506849315068491</v>
      </c>
    </row>
    <row r="14" spans="1:17" x14ac:dyDescent="0.4">
      <c r="A14" s="69">
        <v>11</v>
      </c>
      <c r="B14" s="66">
        <v>8.8817841970012523E-16</v>
      </c>
      <c r="C14" s="66">
        <v>2.6914497566670462E-17</v>
      </c>
      <c r="D14" s="71">
        <v>2</v>
      </c>
      <c r="E14" s="67">
        <v>0.33333333333333331</v>
      </c>
      <c r="F14" s="67">
        <v>0.33333333333333331</v>
      </c>
      <c r="G14" s="67">
        <v>0.30337078651685395</v>
      </c>
      <c r="H14" s="67">
        <v>0.20224719101123595</v>
      </c>
      <c r="I14" s="68">
        <v>7923.4567901234568</v>
      </c>
      <c r="J14" s="68">
        <v>-8040.7407407407409</v>
      </c>
      <c r="K14" s="67">
        <v>6.0606060606060608E-2</v>
      </c>
      <c r="L14" s="67">
        <v>6.0606060606060608E-2</v>
      </c>
      <c r="M14" s="67">
        <v>0.26217228464419473</v>
      </c>
      <c r="N14" s="67">
        <v>0.22097378277153559</v>
      </c>
      <c r="O14" s="67">
        <v>0.51428571428571423</v>
      </c>
      <c r="P14" s="67">
        <v>0.40677966101694918</v>
      </c>
      <c r="Q14" s="67">
        <v>0.32098765432098764</v>
      </c>
    </row>
    <row r="15" spans="1:17" x14ac:dyDescent="0.4">
      <c r="A15" s="69">
        <v>12</v>
      </c>
      <c r="B15" s="66">
        <v>7.1054273576010019E-15</v>
      </c>
      <c r="C15" s="66">
        <v>1.9737298215558337E-16</v>
      </c>
      <c r="D15" s="71">
        <v>2</v>
      </c>
      <c r="E15" s="67">
        <v>0.33333333333333331</v>
      </c>
      <c r="F15" s="67">
        <v>0.33333333333333331</v>
      </c>
      <c r="G15" s="67">
        <v>0.30555555555555558</v>
      </c>
      <c r="H15" s="67">
        <v>0.2013888888888889</v>
      </c>
      <c r="I15" s="68">
        <v>7830.681818181818</v>
      </c>
      <c r="J15" s="68">
        <v>-7962.0689655172409</v>
      </c>
      <c r="K15" s="67">
        <v>5.5555555555555552E-2</v>
      </c>
      <c r="L15" s="67">
        <v>5.5555555555555552E-2</v>
      </c>
      <c r="M15" s="67">
        <v>0.2638888888888889</v>
      </c>
      <c r="N15" s="67">
        <v>0.21527777777777779</v>
      </c>
      <c r="O15" s="67">
        <v>0.52631578947368418</v>
      </c>
      <c r="P15" s="67">
        <v>0.38709677419354838</v>
      </c>
      <c r="Q15" s="67">
        <v>0.32954545454545453</v>
      </c>
    </row>
    <row r="16" spans="1:17" x14ac:dyDescent="0.4">
      <c r="A16" s="69">
        <v>13</v>
      </c>
      <c r="B16" s="66">
        <v>7.1054273576010019E-15</v>
      </c>
      <c r="C16" s="66">
        <v>1.8219044506669235E-16</v>
      </c>
      <c r="D16" s="71">
        <v>2</v>
      </c>
      <c r="E16" s="67">
        <v>0.33333333333333331</v>
      </c>
      <c r="F16" s="67">
        <v>0.33333333333333331</v>
      </c>
      <c r="G16" s="67">
        <v>0.30769230769230771</v>
      </c>
      <c r="H16" s="67">
        <v>0.20192307692307693</v>
      </c>
      <c r="I16" s="68">
        <v>7831.25</v>
      </c>
      <c r="J16" s="68">
        <v>-8012.6984126984125</v>
      </c>
      <c r="K16" s="67">
        <v>5.128205128205128E-2</v>
      </c>
      <c r="L16" s="67">
        <v>5.128205128205128E-2</v>
      </c>
      <c r="M16" s="67">
        <v>0.27243589743589741</v>
      </c>
      <c r="N16" s="67">
        <v>0.21794871794871795</v>
      </c>
      <c r="O16" s="67">
        <v>0.51764705882352946</v>
      </c>
      <c r="P16" s="67">
        <v>0.41176470588235292</v>
      </c>
      <c r="Q16" s="67">
        <v>0.33333333333333331</v>
      </c>
    </row>
    <row r="17" spans="1:17" x14ac:dyDescent="0.4">
      <c r="A17" s="69">
        <v>14</v>
      </c>
      <c r="B17" s="66">
        <v>7.1054273576010019E-15</v>
      </c>
      <c r="C17" s="66">
        <v>1.6917684184764289E-16</v>
      </c>
      <c r="D17" s="71">
        <v>2</v>
      </c>
      <c r="E17" s="67">
        <v>0.33333333333333331</v>
      </c>
      <c r="F17" s="67">
        <v>0.33333333333333331</v>
      </c>
      <c r="G17" s="67">
        <v>0.30747126436781608</v>
      </c>
      <c r="H17" s="67">
        <v>0.19827586206896552</v>
      </c>
      <c r="I17" s="68">
        <v>7745.7943925233649</v>
      </c>
      <c r="J17" s="68">
        <v>-7981.159420289855</v>
      </c>
      <c r="K17" s="67">
        <v>4.7619047619047616E-2</v>
      </c>
      <c r="L17" s="67">
        <v>4.7619047619047616E-2</v>
      </c>
      <c r="M17" s="67">
        <v>0.26724137931034481</v>
      </c>
      <c r="N17" s="67">
        <v>0.21839080459770116</v>
      </c>
      <c r="O17" s="67">
        <v>0.5161290322580645</v>
      </c>
      <c r="P17" s="67">
        <v>0.42105263157894735</v>
      </c>
      <c r="Q17" s="67">
        <v>0.34579439252336447</v>
      </c>
    </row>
    <row r="18" spans="1:17" x14ac:dyDescent="0.4">
      <c r="A18" s="69">
        <v>15</v>
      </c>
      <c r="B18" s="66">
        <v>-7.1054273576010019E-15</v>
      </c>
      <c r="C18" s="66">
        <v>-1.5789838572446671E-16</v>
      </c>
      <c r="D18" s="71">
        <v>2</v>
      </c>
      <c r="E18" s="67">
        <v>0.33333333333333331</v>
      </c>
      <c r="F18" s="67">
        <v>0.33333333333333331</v>
      </c>
      <c r="G18" s="67">
        <v>0.30913978494623656</v>
      </c>
      <c r="H18" s="67">
        <v>0.19623655913978494</v>
      </c>
      <c r="I18" s="68">
        <v>7733.913043478261</v>
      </c>
      <c r="J18" s="68">
        <v>-8193.1506849315065</v>
      </c>
      <c r="K18" s="67">
        <v>6.6666666666666666E-2</v>
      </c>
      <c r="L18" s="67">
        <v>6.6666666666666666E-2</v>
      </c>
      <c r="M18" s="67">
        <v>0.26881720430107525</v>
      </c>
      <c r="N18" s="67">
        <v>0.21505376344086022</v>
      </c>
      <c r="O18" s="67">
        <v>0.52</v>
      </c>
      <c r="P18" s="67">
        <v>0.41249999999999998</v>
      </c>
      <c r="Q18" s="67">
        <v>0.35652173913043478</v>
      </c>
    </row>
    <row r="19" spans="1:17" x14ac:dyDescent="0.4">
      <c r="A19" s="69">
        <v>16</v>
      </c>
      <c r="B19" s="66">
        <v>-7.1054273576010019E-15</v>
      </c>
      <c r="C19" s="66">
        <v>-1.4802973661668753E-16</v>
      </c>
      <c r="D19" s="71">
        <v>2</v>
      </c>
      <c r="E19" s="67">
        <v>0.33333333333333331</v>
      </c>
      <c r="F19" s="67">
        <v>0.33333333333333331</v>
      </c>
      <c r="G19" s="67">
        <v>0.30637254901960786</v>
      </c>
      <c r="H19" s="67">
        <v>0.18872549019607843</v>
      </c>
      <c r="I19" s="68">
        <v>7460.8</v>
      </c>
      <c r="J19" s="68">
        <v>-8110.3896103896104</v>
      </c>
      <c r="K19" s="67">
        <v>6.25E-2</v>
      </c>
      <c r="L19" s="67">
        <v>6.25E-2</v>
      </c>
      <c r="M19" s="67">
        <v>0.27205882352941174</v>
      </c>
      <c r="N19" s="67">
        <v>0.20343137254901961</v>
      </c>
      <c r="O19" s="67">
        <v>0.52252252252252251</v>
      </c>
      <c r="P19" s="67">
        <v>0.40963855421686746</v>
      </c>
      <c r="Q19" s="67">
        <v>0.376</v>
      </c>
    </row>
    <row r="20" spans="1:17" x14ac:dyDescent="0.4">
      <c r="A20" s="69">
        <v>17</v>
      </c>
      <c r="B20" s="66">
        <v>-5.3290705182007514E-15</v>
      </c>
      <c r="C20" s="66">
        <v>-1.0449157878825003E-16</v>
      </c>
      <c r="D20" s="71">
        <v>2</v>
      </c>
      <c r="E20" s="67">
        <v>0.33333333333333331</v>
      </c>
      <c r="F20" s="67">
        <v>0.33333333333333331</v>
      </c>
      <c r="G20" s="67">
        <v>0.30324074074074076</v>
      </c>
      <c r="H20" s="67">
        <v>0.18981481481481483</v>
      </c>
      <c r="I20" s="68">
        <v>7306.1068702290077</v>
      </c>
      <c r="J20" s="68">
        <v>-7880.4878048780483</v>
      </c>
      <c r="K20" s="67">
        <v>5.8823529411764705E-2</v>
      </c>
      <c r="L20" s="67">
        <v>5.8823529411764705E-2</v>
      </c>
      <c r="M20" s="67">
        <v>0.27314814814814814</v>
      </c>
      <c r="N20" s="67">
        <v>0.20833333333333334</v>
      </c>
      <c r="O20" s="67">
        <v>0.52542372881355937</v>
      </c>
      <c r="P20" s="67">
        <v>0.4</v>
      </c>
      <c r="Q20" s="67">
        <v>0.36641221374045801</v>
      </c>
    </row>
    <row r="21" spans="1:17" x14ac:dyDescent="0.4">
      <c r="A21" s="69">
        <v>18</v>
      </c>
      <c r="B21" s="66">
        <v>-3.5527136788005009E-15</v>
      </c>
      <c r="C21" s="66">
        <v>-6.5790994051861125E-17</v>
      </c>
      <c r="D21" s="71">
        <v>2</v>
      </c>
      <c r="E21" s="67">
        <v>0.33333333333333331</v>
      </c>
      <c r="F21" s="67">
        <v>0.33333333333333331</v>
      </c>
      <c r="G21" s="67">
        <v>0.30463576158940397</v>
      </c>
      <c r="H21" s="67">
        <v>0.19205298013245034</v>
      </c>
      <c r="I21" s="68">
        <v>7194.927536231884</v>
      </c>
      <c r="J21" s="68">
        <v>-7713.7931034482763</v>
      </c>
      <c r="K21" s="67">
        <v>5.5555555555555552E-2</v>
      </c>
      <c r="L21" s="67">
        <v>5.5555555555555552E-2</v>
      </c>
      <c r="M21" s="67">
        <v>0.2671081677704194</v>
      </c>
      <c r="N21" s="67">
        <v>0.2119205298013245</v>
      </c>
      <c r="O21" s="67">
        <v>0.53719008264462809</v>
      </c>
      <c r="P21" s="67">
        <v>0.39583333333333331</v>
      </c>
      <c r="Q21" s="67">
        <v>0.36231884057971014</v>
      </c>
    </row>
    <row r="22" spans="1:17" x14ac:dyDescent="0.4">
      <c r="A22" s="69">
        <v>19</v>
      </c>
      <c r="B22" s="66">
        <v>0</v>
      </c>
      <c r="C22" s="66">
        <v>0</v>
      </c>
      <c r="D22" s="71">
        <v>2</v>
      </c>
      <c r="E22" s="67">
        <v>0.33333333333333331</v>
      </c>
      <c r="F22" s="67">
        <v>0.33333333333333331</v>
      </c>
      <c r="G22" s="67">
        <v>0.30398322851153042</v>
      </c>
      <c r="H22" s="67">
        <v>0.19077568134171907</v>
      </c>
      <c r="I22" s="68">
        <v>7286.2068965517237</v>
      </c>
      <c r="J22" s="68">
        <v>-7813.1868131868132</v>
      </c>
      <c r="K22" s="67">
        <v>5.2631578947368418E-2</v>
      </c>
      <c r="L22" s="67">
        <v>5.2631578947368418E-2</v>
      </c>
      <c r="M22" s="67">
        <v>0.26415094339622641</v>
      </c>
      <c r="N22" s="67">
        <v>0.21174004192872117</v>
      </c>
      <c r="O22" s="67">
        <v>0.53968253968253965</v>
      </c>
      <c r="P22" s="67">
        <v>0.40594059405940597</v>
      </c>
      <c r="Q22" s="67">
        <v>0.36551724137931035</v>
      </c>
    </row>
    <row r="23" spans="1:17" x14ac:dyDescent="0.4">
      <c r="A23" s="69">
        <v>20</v>
      </c>
      <c r="B23" s="66">
        <v>0</v>
      </c>
      <c r="C23" s="66">
        <v>0</v>
      </c>
      <c r="D23" s="71">
        <v>2</v>
      </c>
      <c r="E23" s="67">
        <v>0.33333333333333331</v>
      </c>
      <c r="F23" s="67">
        <v>0.33333333333333331</v>
      </c>
      <c r="G23" s="67">
        <v>0.3057199211045365</v>
      </c>
      <c r="H23" s="67">
        <v>0.19132149901380671</v>
      </c>
      <c r="I23" s="68">
        <v>7353.5483870967746</v>
      </c>
      <c r="J23" s="68">
        <v>-7809.2783505154639</v>
      </c>
      <c r="K23" s="67">
        <v>0.05</v>
      </c>
      <c r="L23" s="67">
        <v>0.05</v>
      </c>
      <c r="M23" s="67">
        <v>0.25641025641025639</v>
      </c>
      <c r="N23" s="67">
        <v>0.21893491124260356</v>
      </c>
      <c r="O23" s="67">
        <v>0.55384615384615388</v>
      </c>
      <c r="P23" s="67">
        <v>0.40540540540540543</v>
      </c>
      <c r="Q23" s="67">
        <v>0.36774193548387096</v>
      </c>
    </row>
    <row r="24" spans="1:17" x14ac:dyDescent="0.4">
      <c r="A24" s="69">
        <v>21</v>
      </c>
      <c r="B24" s="66">
        <v>0</v>
      </c>
      <c r="C24" s="66">
        <v>0</v>
      </c>
      <c r="D24" s="71">
        <v>2</v>
      </c>
      <c r="E24" s="67">
        <v>0.33333333333333331</v>
      </c>
      <c r="F24" s="67">
        <v>0.33333333333333331</v>
      </c>
      <c r="G24" s="67">
        <v>0.3054003724394786</v>
      </c>
      <c r="H24" s="67">
        <v>0.18808193668528864</v>
      </c>
      <c r="I24" s="68">
        <v>7249.3902439024387</v>
      </c>
      <c r="J24" s="68">
        <v>-7779.2079207920788</v>
      </c>
      <c r="K24" s="67">
        <v>4.7619047619047616E-2</v>
      </c>
      <c r="L24" s="67">
        <v>4.7619047619047616E-2</v>
      </c>
      <c r="M24" s="67">
        <v>0.24953445065176907</v>
      </c>
      <c r="N24" s="67">
        <v>0.2271880819366853</v>
      </c>
      <c r="O24" s="67">
        <v>0.55223880597014929</v>
      </c>
      <c r="P24" s="67">
        <v>0.40163934426229508</v>
      </c>
      <c r="Q24" s="67">
        <v>0.37804878048780488</v>
      </c>
    </row>
    <row r="25" spans="1:17" x14ac:dyDescent="0.4">
      <c r="A25" s="69">
        <v>22</v>
      </c>
      <c r="B25" s="66">
        <v>0</v>
      </c>
      <c r="C25" s="66">
        <v>0</v>
      </c>
      <c r="D25" s="71">
        <v>2</v>
      </c>
      <c r="E25" s="67">
        <v>0.33333333333333331</v>
      </c>
      <c r="F25" s="67">
        <v>0.33333333333333331</v>
      </c>
      <c r="G25" s="67">
        <v>0.30335097001763667</v>
      </c>
      <c r="H25" s="67">
        <v>0.18518518518518517</v>
      </c>
      <c r="I25" s="68">
        <v>7134.3023255813951</v>
      </c>
      <c r="J25" s="68">
        <v>-7645.7142857142853</v>
      </c>
      <c r="K25" s="67">
        <v>4.5454545454545456E-2</v>
      </c>
      <c r="L25" s="67">
        <v>4.5454545454545456E-2</v>
      </c>
      <c r="M25" s="67">
        <v>0.25573192239858905</v>
      </c>
      <c r="N25" s="67">
        <v>0.2257495590828924</v>
      </c>
      <c r="O25" s="67">
        <v>0.55172413793103448</v>
      </c>
      <c r="P25" s="67">
        <v>0.3828125</v>
      </c>
      <c r="Q25" s="67">
        <v>0.38372093023255816</v>
      </c>
    </row>
    <row r="26" spans="1:17" x14ac:dyDescent="0.4">
      <c r="A26" s="69">
        <v>23</v>
      </c>
      <c r="B26" s="66">
        <v>0</v>
      </c>
      <c r="C26" s="66">
        <v>0</v>
      </c>
      <c r="D26" s="71">
        <v>2</v>
      </c>
      <c r="E26" s="67">
        <v>0.33333333333333331</v>
      </c>
      <c r="F26" s="67">
        <v>0.33333333333333331</v>
      </c>
      <c r="G26" s="67">
        <v>0.30528052805280526</v>
      </c>
      <c r="H26" s="67">
        <v>0.18976897689768976</v>
      </c>
      <c r="I26" s="68">
        <v>7338.9189189189192</v>
      </c>
      <c r="J26" s="68">
        <v>-7970.434782608696</v>
      </c>
      <c r="K26" s="67">
        <v>5.7971014492753624E-2</v>
      </c>
      <c r="L26" s="67">
        <v>5.7971014492753624E-2</v>
      </c>
      <c r="M26" s="67">
        <v>0.25577557755775576</v>
      </c>
      <c r="N26" s="67">
        <v>0.22937293729372937</v>
      </c>
      <c r="O26" s="67">
        <v>0.55483870967741933</v>
      </c>
      <c r="P26" s="67">
        <v>0.38848920863309355</v>
      </c>
      <c r="Q26" s="67">
        <v>0.37297297297297299</v>
      </c>
    </row>
    <row r="27" spans="1:17" x14ac:dyDescent="0.4">
      <c r="A27" s="69">
        <v>24</v>
      </c>
      <c r="B27" s="66">
        <v>1.7763568394002505E-15</v>
      </c>
      <c r="C27" s="66">
        <v>2.4671622769447922E-17</v>
      </c>
      <c r="D27" s="71">
        <v>2</v>
      </c>
      <c r="E27" s="67">
        <v>0.33333333333333331</v>
      </c>
      <c r="F27" s="67">
        <v>0.33333333333333331</v>
      </c>
      <c r="G27" s="67">
        <v>0.30622009569377989</v>
      </c>
      <c r="H27" s="67">
        <v>0.19138755980861244</v>
      </c>
      <c r="I27" s="68">
        <v>7280.729166666667</v>
      </c>
      <c r="J27" s="68">
        <v>-7945.833333333333</v>
      </c>
      <c r="K27" s="67">
        <v>5.5555555555555552E-2</v>
      </c>
      <c r="L27" s="67">
        <v>5.5555555555555552E-2</v>
      </c>
      <c r="M27" s="67">
        <v>0.25996810207336524</v>
      </c>
      <c r="N27" s="67">
        <v>0.22966507177033493</v>
      </c>
      <c r="O27" s="67">
        <v>0.55214723926380371</v>
      </c>
      <c r="P27" s="67">
        <v>0.39583333333333331</v>
      </c>
      <c r="Q27" s="67">
        <v>0.36979166666666669</v>
      </c>
    </row>
    <row r="28" spans="1:17" x14ac:dyDescent="0.4">
      <c r="A28" s="69">
        <v>25</v>
      </c>
      <c r="B28" s="66">
        <v>-2.6645352591003757E-15</v>
      </c>
      <c r="C28" s="66">
        <v>-3.552713678800501E-17</v>
      </c>
      <c r="D28" s="71">
        <v>2</v>
      </c>
      <c r="E28" s="67">
        <v>0.33333333333333331</v>
      </c>
      <c r="F28" s="67">
        <v>0.33333333333333331</v>
      </c>
      <c r="G28" s="67">
        <v>0.30733944954128439</v>
      </c>
      <c r="H28" s="67">
        <v>0.19266055045871561</v>
      </c>
      <c r="I28" s="68">
        <v>7223.8805970149251</v>
      </c>
      <c r="J28" s="68">
        <v>-7849.2063492063489</v>
      </c>
      <c r="K28" s="67">
        <v>5.3333333333333337E-2</v>
      </c>
      <c r="L28" s="67">
        <v>5.3333333333333337E-2</v>
      </c>
      <c r="M28" s="67">
        <v>0.25840978593272174</v>
      </c>
      <c r="N28" s="67">
        <v>0.22935779816513763</v>
      </c>
      <c r="O28" s="67">
        <v>0.56804733727810652</v>
      </c>
      <c r="P28" s="67">
        <v>0.4</v>
      </c>
      <c r="Q28" s="67">
        <v>0.36815920398009949</v>
      </c>
    </row>
    <row r="29" spans="1:17" x14ac:dyDescent="0.4">
      <c r="A29" s="69">
        <v>26</v>
      </c>
      <c r="B29" s="66">
        <v>0</v>
      </c>
      <c r="C29" s="66">
        <v>0</v>
      </c>
      <c r="D29" s="71">
        <v>2</v>
      </c>
      <c r="E29" s="67">
        <v>0.33333333333333331</v>
      </c>
      <c r="F29" s="67">
        <v>0.33333333333333331</v>
      </c>
      <c r="G29" s="67">
        <v>0.30654761904761907</v>
      </c>
      <c r="H29" s="67">
        <v>0.19196428571428573</v>
      </c>
      <c r="I29" s="68">
        <v>7162.1359223300969</v>
      </c>
      <c r="J29" s="68">
        <v>-7766.666666666667</v>
      </c>
      <c r="K29" s="67">
        <v>5.128205128205128E-2</v>
      </c>
      <c r="L29" s="67">
        <v>5.128205128205128E-2</v>
      </c>
      <c r="M29" s="67">
        <v>0.25744047619047616</v>
      </c>
      <c r="N29" s="67">
        <v>0.22916666666666666</v>
      </c>
      <c r="O29" s="67">
        <v>0.5722543352601156</v>
      </c>
      <c r="P29" s="67">
        <v>0.39610389610389612</v>
      </c>
      <c r="Q29" s="67">
        <v>0.36893203883495146</v>
      </c>
    </row>
    <row r="30" spans="1:17" x14ac:dyDescent="0.4">
      <c r="A30" s="69">
        <v>27</v>
      </c>
      <c r="B30" s="66">
        <v>3.5527136788005009E-15</v>
      </c>
      <c r="C30" s="66">
        <v>4.386066270124075E-17</v>
      </c>
      <c r="D30" s="71">
        <v>2</v>
      </c>
      <c r="E30" s="67">
        <v>0.33333333333333331</v>
      </c>
      <c r="F30" s="67">
        <v>0.33333333333333331</v>
      </c>
      <c r="G30" s="67">
        <v>0.30724637681159422</v>
      </c>
      <c r="H30" s="67">
        <v>0.19130434782608696</v>
      </c>
      <c r="I30" s="68">
        <v>7124.5283018867922</v>
      </c>
      <c r="J30" s="68">
        <v>-7726.515151515152</v>
      </c>
      <c r="K30" s="67">
        <v>4.9382716049382713E-2</v>
      </c>
      <c r="L30" s="67">
        <v>4.9382716049382713E-2</v>
      </c>
      <c r="M30" s="67">
        <v>0.2565217391304348</v>
      </c>
      <c r="N30" s="67">
        <v>0.2318840579710145</v>
      </c>
      <c r="O30" s="67">
        <v>0.57062146892655363</v>
      </c>
      <c r="P30" s="67">
        <v>0.40625</v>
      </c>
      <c r="Q30" s="67">
        <v>0.37264150943396224</v>
      </c>
    </row>
    <row r="31" spans="1:17" x14ac:dyDescent="0.4">
      <c r="A31" s="69">
        <v>28</v>
      </c>
      <c r="B31" s="66">
        <v>0</v>
      </c>
      <c r="C31" s="66">
        <v>0</v>
      </c>
      <c r="D31" s="71">
        <v>2</v>
      </c>
      <c r="E31" s="67">
        <v>0.33333333333333331</v>
      </c>
      <c r="F31" s="67">
        <v>0.33333333333333331</v>
      </c>
      <c r="G31" s="67">
        <v>0.30790960451977401</v>
      </c>
      <c r="H31" s="67">
        <v>0.19350282485875706</v>
      </c>
      <c r="I31" s="68">
        <v>7074.3119266055046</v>
      </c>
      <c r="J31" s="68">
        <v>-7647.445255474453</v>
      </c>
      <c r="K31" s="67">
        <v>4.7619047619047616E-2</v>
      </c>
      <c r="L31" s="67">
        <v>4.7619047619047616E-2</v>
      </c>
      <c r="M31" s="67">
        <v>0.25423728813559321</v>
      </c>
      <c r="N31" s="67">
        <v>0.23163841807909605</v>
      </c>
      <c r="O31" s="67">
        <v>0.56666666666666665</v>
      </c>
      <c r="P31" s="67">
        <v>0.41463414634146339</v>
      </c>
      <c r="Q31" s="67">
        <v>0.3669724770642202</v>
      </c>
    </row>
    <row r="32" spans="1:17" x14ac:dyDescent="0.4">
      <c r="A32" s="69">
        <v>29</v>
      </c>
      <c r="B32" s="66">
        <v>-1.3322676295501878E-15</v>
      </c>
      <c r="C32" s="66">
        <v>-1.5313421029312504E-17</v>
      </c>
      <c r="D32" s="71">
        <v>2</v>
      </c>
      <c r="E32" s="67">
        <v>0.33333333333333331</v>
      </c>
      <c r="F32" s="67">
        <v>0.33333333333333331</v>
      </c>
      <c r="G32" s="67">
        <v>0.30843706777316737</v>
      </c>
      <c r="H32" s="67">
        <v>0.19363762102351315</v>
      </c>
      <c r="I32" s="68">
        <v>7152.9147982062777</v>
      </c>
      <c r="J32" s="68">
        <v>-7749.2857142857147</v>
      </c>
      <c r="K32" s="67">
        <v>5.7471264367816091E-2</v>
      </c>
      <c r="L32" s="67">
        <v>5.7471264367816091E-2</v>
      </c>
      <c r="M32" s="67">
        <v>0.25587828492392806</v>
      </c>
      <c r="N32" s="67">
        <v>0.23236514522821577</v>
      </c>
      <c r="O32" s="67">
        <v>0.572972972972973</v>
      </c>
      <c r="P32" s="67">
        <v>0.4107142857142857</v>
      </c>
      <c r="Q32" s="67">
        <v>0.36771300448430494</v>
      </c>
    </row>
    <row r="33" spans="1:17" x14ac:dyDescent="0.4">
      <c r="A33" s="69">
        <v>30</v>
      </c>
      <c r="B33" s="66">
        <v>0</v>
      </c>
      <c r="C33" s="66">
        <v>0</v>
      </c>
      <c r="D33" s="71">
        <v>2</v>
      </c>
      <c r="E33" s="67">
        <v>0.33333333333333331</v>
      </c>
      <c r="F33" s="67">
        <v>0.33333333333333331</v>
      </c>
      <c r="G33" s="67">
        <v>0.30522088353413657</v>
      </c>
      <c r="H33" s="67">
        <v>0.19277108433734941</v>
      </c>
      <c r="I33" s="68">
        <v>7164.9122807017548</v>
      </c>
      <c r="J33" s="68">
        <v>-7745.833333333333</v>
      </c>
      <c r="K33" s="67">
        <v>5.5555555555555552E-2</v>
      </c>
      <c r="L33" s="67">
        <v>5.5555555555555552E-2</v>
      </c>
      <c r="M33" s="67">
        <v>0.25702811244979917</v>
      </c>
      <c r="N33" s="67">
        <v>0.2289156626506024</v>
      </c>
      <c r="O33" s="67">
        <v>0.57291666666666663</v>
      </c>
      <c r="P33" s="67">
        <v>0.40350877192982454</v>
      </c>
      <c r="Q33" s="67">
        <v>0.36403508771929827</v>
      </c>
    </row>
    <row r="34" spans="1:17" x14ac:dyDescent="0.4">
      <c r="A34" s="69">
        <v>31</v>
      </c>
      <c r="B34" s="66">
        <v>0</v>
      </c>
      <c r="C34" s="66">
        <v>0</v>
      </c>
      <c r="D34" s="71">
        <v>2</v>
      </c>
      <c r="E34" s="67">
        <v>0.33333333333333331</v>
      </c>
      <c r="F34" s="67">
        <v>0.33333333333333331</v>
      </c>
      <c r="G34" s="67">
        <v>0.30220492866407261</v>
      </c>
      <c r="H34" s="67">
        <v>0.191958495460441</v>
      </c>
      <c r="I34" s="68">
        <v>7176.394849785408</v>
      </c>
      <c r="J34" s="68">
        <v>-7742.5675675675675</v>
      </c>
      <c r="K34" s="67">
        <v>5.3763440860215055E-2</v>
      </c>
      <c r="L34" s="67">
        <v>5.3763440860215055E-2</v>
      </c>
      <c r="M34" s="67">
        <v>0.25810635538262</v>
      </c>
      <c r="N34" s="67">
        <v>0.22568093385214008</v>
      </c>
      <c r="O34" s="67">
        <v>0.57286432160804024</v>
      </c>
      <c r="P34" s="67">
        <v>0.39655172413793105</v>
      </c>
      <c r="Q34" s="67">
        <v>0.36051502145922748</v>
      </c>
    </row>
    <row r="35" spans="1:17" x14ac:dyDescent="0.4">
      <c r="A35" s="69">
        <v>32</v>
      </c>
      <c r="B35" s="66">
        <v>6.6613381477509392E-16</v>
      </c>
      <c r="C35" s="66">
        <v>6.9388939039072284E-18</v>
      </c>
      <c r="D35" s="71">
        <v>2</v>
      </c>
      <c r="E35" s="67">
        <v>0.33333333333333331</v>
      </c>
      <c r="F35" s="67">
        <v>0.33333333333333331</v>
      </c>
      <c r="G35" s="67">
        <v>0.30348258706467662</v>
      </c>
      <c r="H35" s="67">
        <v>0.1927860696517413</v>
      </c>
      <c r="I35" s="68">
        <v>7275.4098360655735</v>
      </c>
      <c r="J35" s="68">
        <v>-7873.5483870967746</v>
      </c>
      <c r="K35" s="67">
        <v>5.2083333333333336E-2</v>
      </c>
      <c r="L35" s="67">
        <v>5.2083333333333336E-2</v>
      </c>
      <c r="M35" s="67">
        <v>0.26616915422885573</v>
      </c>
      <c r="N35" s="67">
        <v>0.22388059701492538</v>
      </c>
      <c r="O35" s="67">
        <v>0.56542056074766356</v>
      </c>
      <c r="P35" s="67">
        <v>0.39444444444444443</v>
      </c>
      <c r="Q35" s="67">
        <v>0.36065573770491804</v>
      </c>
    </row>
    <row r="36" spans="1:17" x14ac:dyDescent="0.4">
      <c r="A36" s="69">
        <v>33</v>
      </c>
      <c r="B36" s="66">
        <v>1.4210854715202004E-14</v>
      </c>
      <c r="C36" s="66">
        <v>1.4354398702224247E-16</v>
      </c>
      <c r="D36" s="71">
        <v>2</v>
      </c>
      <c r="E36" s="67">
        <v>0.33333333333333331</v>
      </c>
      <c r="F36" s="67">
        <v>0.33333333333333331</v>
      </c>
      <c r="G36" s="67">
        <v>0.30260047281323876</v>
      </c>
      <c r="H36" s="67">
        <v>0.18912529550827423</v>
      </c>
      <c r="I36" s="68">
        <v>7607.421875</v>
      </c>
      <c r="J36" s="68">
        <v>-7966.875</v>
      </c>
      <c r="K36" s="67">
        <v>6.0606060606060608E-2</v>
      </c>
      <c r="L36" s="67">
        <v>6.0606060606060608E-2</v>
      </c>
      <c r="M36" s="67">
        <v>0.26832151300236406</v>
      </c>
      <c r="N36" s="67">
        <v>0.22458628841607564</v>
      </c>
      <c r="O36" s="67">
        <v>0.55947136563876654</v>
      </c>
      <c r="P36" s="67">
        <v>0.39473684210526316</v>
      </c>
      <c r="Q36" s="67">
        <v>0.37109375</v>
      </c>
    </row>
    <row r="37" spans="1:17" x14ac:dyDescent="0.4">
      <c r="A37" s="69">
        <v>34</v>
      </c>
      <c r="B37" s="66">
        <v>1.6875389974302379E-14</v>
      </c>
      <c r="C37" s="66">
        <v>1.6544499974806255E-16</v>
      </c>
      <c r="D37" s="71">
        <v>2</v>
      </c>
      <c r="E37" s="67">
        <v>0.33333333333333331</v>
      </c>
      <c r="F37" s="67">
        <v>0.33333333333333331</v>
      </c>
      <c r="G37" s="67">
        <v>0.30169491525423731</v>
      </c>
      <c r="H37" s="67">
        <v>0.18757062146892656</v>
      </c>
      <c r="I37" s="68">
        <v>7603.7453183520602</v>
      </c>
      <c r="J37" s="68">
        <v>-7960.2409638554218</v>
      </c>
      <c r="K37" s="67">
        <v>6.8627450980392163E-2</v>
      </c>
      <c r="L37" s="67">
        <v>6.8627450980392163E-2</v>
      </c>
      <c r="M37" s="67">
        <v>0.26327683615819208</v>
      </c>
      <c r="N37" s="67">
        <v>0.22259887005649717</v>
      </c>
      <c r="O37" s="67">
        <v>0.5622317596566524</v>
      </c>
      <c r="P37" s="67">
        <v>0.40101522842639592</v>
      </c>
      <c r="Q37" s="67">
        <v>0.3707865168539326</v>
      </c>
    </row>
    <row r="38" spans="1:17" x14ac:dyDescent="0.4">
      <c r="A38" s="69">
        <v>35</v>
      </c>
      <c r="B38" s="66">
        <v>1.4210854715202004E-14</v>
      </c>
      <c r="C38" s="66">
        <v>1.3534147347811433E-16</v>
      </c>
      <c r="D38" s="71">
        <v>2</v>
      </c>
      <c r="E38" s="67">
        <v>0.33333333333333331</v>
      </c>
      <c r="F38" s="67">
        <v>0.33333333333333331</v>
      </c>
      <c r="G38" s="67">
        <v>0.30163934426229511</v>
      </c>
      <c r="H38" s="67">
        <v>0.18579234972677597</v>
      </c>
      <c r="I38" s="68">
        <v>7593.840579710145</v>
      </c>
      <c r="J38" s="68">
        <v>-7870</v>
      </c>
      <c r="K38" s="67">
        <v>6.6666666666666666E-2</v>
      </c>
      <c r="L38" s="67">
        <v>6.6666666666666666E-2</v>
      </c>
      <c r="M38" s="67">
        <v>0.26229508196721313</v>
      </c>
      <c r="N38" s="67">
        <v>0.21639344262295082</v>
      </c>
      <c r="O38" s="67">
        <v>0.5625</v>
      </c>
      <c r="P38" s="67">
        <v>0.40404040404040403</v>
      </c>
      <c r="Q38" s="67">
        <v>0.37681159420289856</v>
      </c>
    </row>
    <row r="39" spans="1:17" x14ac:dyDescent="0.4">
      <c r="A39" s="69">
        <v>36</v>
      </c>
      <c r="B39" s="66">
        <v>1.4210854715202004E-14</v>
      </c>
      <c r="C39" s="66">
        <v>1.3158198810372225E-16</v>
      </c>
      <c r="D39" s="71">
        <v>2</v>
      </c>
      <c r="E39" s="67">
        <v>0.33333333333333331</v>
      </c>
      <c r="F39" s="67">
        <v>0.33333333333333331</v>
      </c>
      <c r="G39" s="67">
        <v>0.30148619957537154</v>
      </c>
      <c r="H39" s="67">
        <v>0.18683651804670912</v>
      </c>
      <c r="I39" s="68">
        <v>7646.4788732394363</v>
      </c>
      <c r="J39" s="68">
        <v>-7940.909090909091</v>
      </c>
      <c r="K39" s="67">
        <v>6.4814814814814811E-2</v>
      </c>
      <c r="L39" s="67">
        <v>6.4814814814814811E-2</v>
      </c>
      <c r="M39" s="67">
        <v>0.26645435244161358</v>
      </c>
      <c r="N39" s="67">
        <v>0.21337579617834396</v>
      </c>
      <c r="O39" s="67">
        <v>0.56573705179282874</v>
      </c>
      <c r="P39" s="67">
        <v>0.40298507462686567</v>
      </c>
      <c r="Q39" s="67">
        <v>0.37323943661971831</v>
      </c>
    </row>
    <row r="40" spans="1:17" x14ac:dyDescent="0.4">
      <c r="A40" s="69">
        <v>37</v>
      </c>
      <c r="B40" s="66">
        <v>1.4210854715202004E-14</v>
      </c>
      <c r="C40" s="66">
        <v>1.2802571815497301E-16</v>
      </c>
      <c r="D40" s="71">
        <v>2</v>
      </c>
      <c r="E40" s="67">
        <v>0.33333333333333331</v>
      </c>
      <c r="F40" s="67">
        <v>0.33333333333333331</v>
      </c>
      <c r="G40" s="67">
        <v>0.30208333333333331</v>
      </c>
      <c r="H40" s="67">
        <v>0.18645833333333334</v>
      </c>
      <c r="I40" s="68">
        <v>7831.7241379310344</v>
      </c>
      <c r="J40" s="68">
        <v>-7984.3575418994415</v>
      </c>
      <c r="K40" s="67">
        <v>7.2072072072072071E-2</v>
      </c>
      <c r="L40" s="67">
        <v>7.2072072072072071E-2</v>
      </c>
      <c r="M40" s="67">
        <v>0.265625</v>
      </c>
      <c r="N40" s="67">
        <v>0.21458333333333332</v>
      </c>
      <c r="O40" s="67">
        <v>0.56862745098039214</v>
      </c>
      <c r="P40" s="67">
        <v>0.40776699029126212</v>
      </c>
      <c r="Q40" s="67">
        <v>0.37586206896551722</v>
      </c>
    </row>
    <row r="41" spans="1:17" x14ac:dyDescent="0.4">
      <c r="A41" s="69">
        <v>38</v>
      </c>
      <c r="B41" s="66">
        <v>1.4210854715202004E-14</v>
      </c>
      <c r="C41" s="66">
        <v>1.246566203087895E-16</v>
      </c>
      <c r="D41" s="71">
        <v>2</v>
      </c>
      <c r="E41" s="67">
        <v>0.33333333333333331</v>
      </c>
      <c r="F41" s="67">
        <v>0.33333333333333331</v>
      </c>
      <c r="G41" s="67">
        <v>0.30202020202020202</v>
      </c>
      <c r="H41" s="67">
        <v>0.18282828282828284</v>
      </c>
      <c r="I41" s="68">
        <v>7842.4749163879596</v>
      </c>
      <c r="J41" s="68">
        <v>-7993.370165745856</v>
      </c>
      <c r="K41" s="67">
        <v>7.0175438596491224E-2</v>
      </c>
      <c r="L41" s="67">
        <v>7.0175438596491224E-2</v>
      </c>
      <c r="M41" s="67">
        <v>0.26666666666666666</v>
      </c>
      <c r="N41" s="67">
        <v>0.21414141414141413</v>
      </c>
      <c r="O41" s="67">
        <v>0.57196969696969702</v>
      </c>
      <c r="P41" s="67">
        <v>0.40566037735849059</v>
      </c>
      <c r="Q41" s="67">
        <v>0.38795986622073581</v>
      </c>
    </row>
    <row r="42" spans="1:17" x14ac:dyDescent="0.4">
      <c r="A42" s="69">
        <v>39</v>
      </c>
      <c r="B42" s="66">
        <v>1.4210854715202004E-14</v>
      </c>
      <c r="C42" s="66">
        <v>1.2146029671112825E-16</v>
      </c>
      <c r="D42" s="71">
        <v>2</v>
      </c>
      <c r="E42" s="67">
        <v>0.33333333333333331</v>
      </c>
      <c r="F42" s="67">
        <v>0.33333333333333331</v>
      </c>
      <c r="G42" s="67">
        <v>0.30088495575221241</v>
      </c>
      <c r="H42" s="67">
        <v>0.18190757128810225</v>
      </c>
      <c r="I42" s="68">
        <v>7815.6862745098042</v>
      </c>
      <c r="J42" s="68">
        <v>-7899.4594594594591</v>
      </c>
      <c r="K42" s="67">
        <v>6.8376068376068383E-2</v>
      </c>
      <c r="L42" s="67">
        <v>6.8376068376068383E-2</v>
      </c>
      <c r="M42" s="67">
        <v>0.26352015732546707</v>
      </c>
      <c r="N42" s="67">
        <v>0.21632251720747295</v>
      </c>
      <c r="O42" s="67">
        <v>0.56716417910447758</v>
      </c>
      <c r="P42" s="67">
        <v>0.40909090909090912</v>
      </c>
      <c r="Q42" s="67">
        <v>0.3888888888888889</v>
      </c>
    </row>
    <row r="43" spans="1:17" x14ac:dyDescent="0.4">
      <c r="A43" s="69">
        <v>40</v>
      </c>
      <c r="B43" s="66">
        <v>1.4210854715202004E-14</v>
      </c>
      <c r="C43" s="66">
        <v>1.1842378929335003E-16</v>
      </c>
      <c r="D43" s="71">
        <v>2</v>
      </c>
      <c r="E43" s="67">
        <v>0.33333333333333331</v>
      </c>
      <c r="F43" s="67">
        <v>0.33333333333333331</v>
      </c>
      <c r="G43" s="67">
        <v>0.30116959064327486</v>
      </c>
      <c r="H43" s="67">
        <v>0.18226120857699804</v>
      </c>
      <c r="I43" s="68">
        <v>7884.1423948220063</v>
      </c>
      <c r="J43" s="68">
        <v>-7925.1336898395721</v>
      </c>
      <c r="K43" s="67">
        <v>7.4999999999999997E-2</v>
      </c>
      <c r="L43" s="67">
        <v>7.4999999999999997E-2</v>
      </c>
      <c r="M43" s="67">
        <v>0.26120857699805067</v>
      </c>
      <c r="N43" s="67">
        <v>0.21539961013645223</v>
      </c>
      <c r="O43" s="67">
        <v>0.56716417910447758</v>
      </c>
      <c r="P43" s="67">
        <v>0.41176470588235292</v>
      </c>
      <c r="Q43" s="67">
        <v>0.38834951456310679</v>
      </c>
    </row>
    <row r="44" spans="1:17" x14ac:dyDescent="0.4">
      <c r="A44" s="69">
        <v>41</v>
      </c>
      <c r="B44" s="66">
        <v>1.4210854715202004E-14</v>
      </c>
      <c r="C44" s="66">
        <v>1.1553540418863419E-16</v>
      </c>
      <c r="D44" s="71">
        <v>2</v>
      </c>
      <c r="E44" s="67">
        <v>0.33333333333333331</v>
      </c>
      <c r="F44" s="67">
        <v>0.33333333333333331</v>
      </c>
      <c r="G44" s="67">
        <v>0.30009496676163344</v>
      </c>
      <c r="H44" s="67">
        <v>0.18233618233618235</v>
      </c>
      <c r="I44" s="68">
        <v>7928.7974683544307</v>
      </c>
      <c r="J44" s="68">
        <v>-8002.604166666667</v>
      </c>
      <c r="K44" s="67">
        <v>7.3170731707317069E-2</v>
      </c>
      <c r="L44" s="67">
        <v>7.3170731707317069E-2</v>
      </c>
      <c r="M44" s="67">
        <v>0.258309591642925</v>
      </c>
      <c r="N44" s="67">
        <v>0.21557454890788225</v>
      </c>
      <c r="O44" s="67">
        <v>0.56617647058823528</v>
      </c>
      <c r="P44" s="67">
        <v>0.40528634361233479</v>
      </c>
      <c r="Q44" s="67">
        <v>0.38607594936708861</v>
      </c>
    </row>
    <row r="45" spans="1:17" x14ac:dyDescent="0.4">
      <c r="A45" s="69">
        <v>42</v>
      </c>
      <c r="B45" s="66">
        <v>1.4210854715202004E-14</v>
      </c>
      <c r="C45" s="66">
        <v>1.1278456123176193E-16</v>
      </c>
      <c r="D45" s="71">
        <v>2</v>
      </c>
      <c r="E45" s="67">
        <v>0.33333333333333331</v>
      </c>
      <c r="F45" s="67">
        <v>0.33333333333333331</v>
      </c>
      <c r="G45" s="67">
        <v>0.29907407407407405</v>
      </c>
      <c r="H45" s="67">
        <v>0.17962962962962964</v>
      </c>
      <c r="I45" s="68">
        <v>7962.5386996904026</v>
      </c>
      <c r="J45" s="68">
        <v>-7977.8350515463917</v>
      </c>
      <c r="K45" s="67">
        <v>7.1428571428571425E-2</v>
      </c>
      <c r="L45" s="67">
        <v>7.1428571428571425E-2</v>
      </c>
      <c r="M45" s="67">
        <v>0.26018518518518519</v>
      </c>
      <c r="N45" s="67">
        <v>0.21296296296296297</v>
      </c>
      <c r="O45" s="67">
        <v>0.5658362989323843</v>
      </c>
      <c r="P45" s="67">
        <v>0.40434782608695652</v>
      </c>
      <c r="Q45" s="67">
        <v>0.39318885448916407</v>
      </c>
    </row>
    <row r="46" spans="1:17" x14ac:dyDescent="0.4">
      <c r="A46" s="69">
        <v>43</v>
      </c>
      <c r="B46" s="66">
        <v>1.4210854715202004E-14</v>
      </c>
      <c r="C46" s="66">
        <v>1.1016166445893026E-16</v>
      </c>
      <c r="D46" s="71">
        <v>2</v>
      </c>
      <c r="E46" s="67">
        <v>0.33333333333333331</v>
      </c>
      <c r="F46" s="67">
        <v>0.33333333333333331</v>
      </c>
      <c r="G46" s="67">
        <v>0.29891304347826086</v>
      </c>
      <c r="H46" s="67">
        <v>0.18025362318840579</v>
      </c>
      <c r="I46" s="68">
        <v>7945.757575757576</v>
      </c>
      <c r="J46" s="68">
        <v>-7919.0954773869344</v>
      </c>
      <c r="K46" s="67">
        <v>6.9767441860465115E-2</v>
      </c>
      <c r="L46" s="67">
        <v>6.9767441860465115E-2</v>
      </c>
      <c r="M46" s="67">
        <v>0.26177536231884058</v>
      </c>
      <c r="N46" s="67">
        <v>0.21195652173913043</v>
      </c>
      <c r="O46" s="67">
        <v>0.56401384083044981</v>
      </c>
      <c r="P46" s="67">
        <v>0.40598290598290598</v>
      </c>
      <c r="Q46" s="67">
        <v>0.39090909090909093</v>
      </c>
    </row>
    <row r="47" spans="1:17" x14ac:dyDescent="0.4">
      <c r="A47" s="69">
        <v>44</v>
      </c>
      <c r="B47" s="66">
        <v>1.4210854715202004E-14</v>
      </c>
      <c r="C47" s="66">
        <v>1.0765799026668185E-16</v>
      </c>
      <c r="D47" s="71">
        <v>2</v>
      </c>
      <c r="E47" s="67">
        <v>0.33333333333333331</v>
      </c>
      <c r="F47" s="67">
        <v>0.33333333333333331</v>
      </c>
      <c r="G47" s="67">
        <v>0.29955555555555557</v>
      </c>
      <c r="H47" s="67">
        <v>0.17955555555555555</v>
      </c>
      <c r="I47" s="68">
        <v>7872.106824925816</v>
      </c>
      <c r="J47" s="68">
        <v>-7860.8910891089108</v>
      </c>
      <c r="K47" s="67">
        <v>6.8181818181818177E-2</v>
      </c>
      <c r="L47" s="67">
        <v>6.8181818181818177E-2</v>
      </c>
      <c r="M47" s="67">
        <v>0.26222222222222225</v>
      </c>
      <c r="N47" s="67">
        <v>0.21066666666666667</v>
      </c>
      <c r="O47" s="67">
        <v>0.56271186440677967</v>
      </c>
      <c r="P47" s="67">
        <v>0.4050632911392405</v>
      </c>
      <c r="Q47" s="67">
        <v>0.39465875370919884</v>
      </c>
    </row>
    <row r="48" spans="1:17" x14ac:dyDescent="0.4">
      <c r="A48" s="69">
        <v>45</v>
      </c>
      <c r="B48" s="66">
        <v>1.4210854715202004E-14</v>
      </c>
      <c r="C48" s="66">
        <v>1.0526559048297781E-16</v>
      </c>
      <c r="D48" s="71">
        <v>2</v>
      </c>
      <c r="E48" s="67">
        <v>0.33333333333333331</v>
      </c>
      <c r="F48" s="67">
        <v>0.33333333333333331</v>
      </c>
      <c r="G48" s="67">
        <v>0.29956709956709959</v>
      </c>
      <c r="H48" s="67">
        <v>0.17922077922077922</v>
      </c>
      <c r="I48" s="68">
        <v>7918.7861271676302</v>
      </c>
      <c r="J48" s="68">
        <v>-7864.2512077294687</v>
      </c>
      <c r="K48" s="67">
        <v>6.6666666666666666E-2</v>
      </c>
      <c r="L48" s="67">
        <v>6.6666666666666666E-2</v>
      </c>
      <c r="M48" s="67">
        <v>0.25887445887445887</v>
      </c>
      <c r="N48" s="67">
        <v>0.21818181818181817</v>
      </c>
      <c r="O48" s="67">
        <v>0.56521739130434778</v>
      </c>
      <c r="P48" s="67">
        <v>0.40476190476190477</v>
      </c>
      <c r="Q48" s="67">
        <v>0.39595375722543352</v>
      </c>
    </row>
    <row r="49" spans="1:17" x14ac:dyDescent="0.4">
      <c r="A49" s="69">
        <v>46</v>
      </c>
      <c r="B49" s="66">
        <v>1.4210854715202004E-14</v>
      </c>
      <c r="C49" s="66">
        <v>1.0297720808117394E-16</v>
      </c>
      <c r="D49" s="71">
        <v>2</v>
      </c>
      <c r="E49" s="67">
        <v>0.33333333333333331</v>
      </c>
      <c r="F49" s="67">
        <v>0.33333333333333331</v>
      </c>
      <c r="G49" s="67">
        <v>0.30008525149190113</v>
      </c>
      <c r="H49" s="67">
        <v>0.17902813299232737</v>
      </c>
      <c r="I49" s="68">
        <v>7922.159090909091</v>
      </c>
      <c r="J49" s="68">
        <v>-7853.333333333333</v>
      </c>
      <c r="K49" s="67">
        <v>7.2463768115942032E-2</v>
      </c>
      <c r="L49" s="67">
        <v>7.2463768115942032E-2</v>
      </c>
      <c r="M49" s="67">
        <v>0.25916453537936912</v>
      </c>
      <c r="N49" s="67">
        <v>0.21739130434782608</v>
      </c>
      <c r="O49" s="67">
        <v>0.57236842105263153</v>
      </c>
      <c r="P49" s="67">
        <v>0.40392156862745099</v>
      </c>
      <c r="Q49" s="67">
        <v>0.39772727272727271</v>
      </c>
    </row>
    <row r="50" spans="1:17" x14ac:dyDescent="0.4">
      <c r="A50" s="69">
        <v>47</v>
      </c>
      <c r="B50" s="66">
        <v>1.4210854715202004E-14</v>
      </c>
      <c r="C50" s="66">
        <v>1.0078620365391492E-16</v>
      </c>
      <c r="D50" s="71">
        <v>2</v>
      </c>
      <c r="E50" s="67">
        <v>0.33333333333333331</v>
      </c>
      <c r="F50" s="67">
        <v>0.33333333333333331</v>
      </c>
      <c r="G50" s="67">
        <v>0.29966329966329969</v>
      </c>
      <c r="H50" s="67">
        <v>0.17929292929292928</v>
      </c>
      <c r="I50" s="68">
        <v>7983.9887640449442</v>
      </c>
      <c r="J50" s="68">
        <v>-7919.7183098591549</v>
      </c>
      <c r="K50" s="67">
        <v>7.8014184397163122E-2</v>
      </c>
      <c r="L50" s="67">
        <v>7.8014184397163122E-2</v>
      </c>
      <c r="M50" s="67">
        <v>0.25925925925925924</v>
      </c>
      <c r="N50" s="67">
        <v>0.21885521885521886</v>
      </c>
      <c r="O50" s="67">
        <v>0.57467532467532467</v>
      </c>
      <c r="P50" s="67">
        <v>0.4</v>
      </c>
      <c r="Q50" s="67">
        <v>0.3960674157303371</v>
      </c>
    </row>
    <row r="51" spans="1:17" x14ac:dyDescent="0.4">
      <c r="A51" s="69">
        <v>48</v>
      </c>
      <c r="B51" s="66">
        <v>1.4210854715202004E-14</v>
      </c>
      <c r="C51" s="66">
        <v>9.8686491077791687E-17</v>
      </c>
      <c r="D51" s="71">
        <v>2</v>
      </c>
      <c r="E51" s="67">
        <v>0.33333333333333331</v>
      </c>
      <c r="F51" s="67">
        <v>0.33333333333333331</v>
      </c>
      <c r="G51" s="67">
        <v>0.30016583747927034</v>
      </c>
      <c r="H51" s="67">
        <v>0.17993366500829189</v>
      </c>
      <c r="I51" s="68">
        <v>8049.7237569060771</v>
      </c>
      <c r="J51" s="68">
        <v>-7980.6451612903229</v>
      </c>
      <c r="K51" s="67">
        <v>7.6388888888888895E-2</v>
      </c>
      <c r="L51" s="67">
        <v>7.6388888888888895E-2</v>
      </c>
      <c r="M51" s="67">
        <v>0.25870646766169153</v>
      </c>
      <c r="N51" s="67">
        <v>0.21973466003316749</v>
      </c>
      <c r="O51" s="67">
        <v>0.58012820512820518</v>
      </c>
      <c r="P51" s="67">
        <v>0.4</v>
      </c>
      <c r="Q51" s="67">
        <v>0.39502762430939226</v>
      </c>
    </row>
    <row r="52" spans="1:17" x14ac:dyDescent="0.4">
      <c r="A52" s="69">
        <v>49</v>
      </c>
      <c r="B52" s="66">
        <v>7.1054273576010019E-15</v>
      </c>
      <c r="C52" s="66">
        <v>4.833624052789797E-17</v>
      </c>
      <c r="D52" s="71">
        <v>2</v>
      </c>
      <c r="E52" s="67">
        <v>0.33333333333333331</v>
      </c>
      <c r="F52" s="67">
        <v>0.33333333333333331</v>
      </c>
      <c r="G52" s="67">
        <v>0.30008110300081103</v>
      </c>
      <c r="H52" s="67">
        <v>0.18085969180859693</v>
      </c>
      <c r="I52" s="68">
        <v>8036.7567567567567</v>
      </c>
      <c r="J52" s="68">
        <v>-7928.6995515695071</v>
      </c>
      <c r="K52" s="67">
        <v>7.4829931972789115E-2</v>
      </c>
      <c r="L52" s="67">
        <v>7.4829931972789115E-2</v>
      </c>
      <c r="M52" s="67">
        <v>0.25628548256285483</v>
      </c>
      <c r="N52" s="67">
        <v>0.21897810218978103</v>
      </c>
      <c r="O52" s="67">
        <v>0.58227848101265822</v>
      </c>
      <c r="P52" s="67">
        <v>0.39629629629629631</v>
      </c>
      <c r="Q52" s="67">
        <v>0.39189189189189189</v>
      </c>
    </row>
    <row r="53" spans="1:17" x14ac:dyDescent="0.4">
      <c r="A53" s="69">
        <v>50</v>
      </c>
      <c r="B53" s="66">
        <v>1.0658141036401503E-14</v>
      </c>
      <c r="C53" s="66">
        <v>7.105427357601002E-17</v>
      </c>
      <c r="D53" s="71">
        <v>2</v>
      </c>
      <c r="E53" s="67">
        <v>0.33333333333333331</v>
      </c>
      <c r="F53" s="67">
        <v>0.33333333333333331</v>
      </c>
      <c r="G53" s="67">
        <v>0.30071599045346065</v>
      </c>
      <c r="H53" s="67">
        <v>0.18138424821002386</v>
      </c>
      <c r="I53" s="68">
        <v>8015.3439153439158</v>
      </c>
      <c r="J53" s="68">
        <v>-7869.2982456140353</v>
      </c>
      <c r="K53" s="67">
        <v>7.3333333333333334E-2</v>
      </c>
      <c r="L53" s="67">
        <v>7.3333333333333334E-2</v>
      </c>
      <c r="M53" s="67">
        <v>0.25616547334924422</v>
      </c>
      <c r="N53" s="67">
        <v>0.21877486077963404</v>
      </c>
      <c r="O53" s="67">
        <v>0.59006211180124224</v>
      </c>
      <c r="P53" s="67">
        <v>0.39636363636363636</v>
      </c>
      <c r="Q53" s="67">
        <v>0.39153439153439151</v>
      </c>
    </row>
    <row r="54" spans="1:17" x14ac:dyDescent="0.4">
      <c r="A54" s="69">
        <v>51</v>
      </c>
      <c r="B54" s="66">
        <v>1.4210854715202004E-14</v>
      </c>
      <c r="C54" s="66">
        <v>9.288140336733336E-17</v>
      </c>
      <c r="D54" s="71">
        <v>2</v>
      </c>
      <c r="E54" s="67">
        <v>0.33333333333333331</v>
      </c>
      <c r="F54" s="67">
        <v>0.33333333333333331</v>
      </c>
      <c r="G54" s="67">
        <v>0.29853054911059551</v>
      </c>
      <c r="H54" s="67">
        <v>0.18020108275328692</v>
      </c>
      <c r="I54" s="68">
        <v>7998.1865284974092</v>
      </c>
      <c r="J54" s="68">
        <v>-7809.8712446351929</v>
      </c>
      <c r="K54" s="67">
        <v>7.1895424836601302E-2</v>
      </c>
      <c r="L54" s="67">
        <v>7.1895424836601302E-2</v>
      </c>
      <c r="M54" s="67">
        <v>0.25599381283836042</v>
      </c>
      <c r="N54" s="67">
        <v>0.21887084300077339</v>
      </c>
      <c r="O54" s="67">
        <v>0.58308157099697888</v>
      </c>
      <c r="P54" s="67">
        <v>0.39575971731448761</v>
      </c>
      <c r="Q54" s="67">
        <v>0.39119170984455959</v>
      </c>
    </row>
    <row r="55" spans="1:17" x14ac:dyDescent="0.4">
      <c r="A55" s="69">
        <v>52</v>
      </c>
      <c r="B55" s="66">
        <v>1.0658141036401503E-14</v>
      </c>
      <c r="C55" s="66">
        <v>6.8321416900009637E-17</v>
      </c>
      <c r="D55" s="71">
        <v>2</v>
      </c>
      <c r="E55" s="67">
        <v>0.33333333333333331</v>
      </c>
      <c r="F55" s="67">
        <v>0.33333333333333331</v>
      </c>
      <c r="G55" s="67">
        <v>0.29908675799086759</v>
      </c>
      <c r="H55" s="67">
        <v>0.18036529680365296</v>
      </c>
      <c r="I55" s="68">
        <v>7976.5903307888038</v>
      </c>
      <c r="J55" s="68">
        <v>-7763.7130801687763</v>
      </c>
      <c r="K55" s="67">
        <v>7.0512820512820512E-2</v>
      </c>
      <c r="L55" s="67">
        <v>7.0512820512820512E-2</v>
      </c>
      <c r="M55" s="67">
        <v>0.25266362252663621</v>
      </c>
      <c r="N55" s="67">
        <v>0.21917808219178081</v>
      </c>
      <c r="O55" s="67">
        <v>0.58433734939759041</v>
      </c>
      <c r="P55" s="67">
        <v>0.39930555555555558</v>
      </c>
      <c r="Q55" s="67">
        <v>0.39185750636132316</v>
      </c>
    </row>
    <row r="56" spans="1:17" x14ac:dyDescent="0.4">
      <c r="A56" s="69">
        <v>53</v>
      </c>
      <c r="B56" s="66">
        <v>1.4210854715202004E-14</v>
      </c>
      <c r="C56" s="66">
        <v>8.9376444749698141E-17</v>
      </c>
      <c r="D56" s="71">
        <v>2</v>
      </c>
      <c r="E56" s="67">
        <v>0.33333333333333331</v>
      </c>
      <c r="F56" s="67">
        <v>0.33333333333333331</v>
      </c>
      <c r="G56" s="67">
        <v>0.29864253393665158</v>
      </c>
      <c r="H56" s="67">
        <v>0.18024132730015083</v>
      </c>
      <c r="I56" s="68">
        <v>8037.3737373737376</v>
      </c>
      <c r="J56" s="68">
        <v>-7799.1631799163179</v>
      </c>
      <c r="K56" s="67">
        <v>7.5471698113207544E-2</v>
      </c>
      <c r="L56" s="67">
        <v>7.5471698113207544E-2</v>
      </c>
      <c r="M56" s="67">
        <v>0.25339366515837103</v>
      </c>
      <c r="N56" s="67">
        <v>0.21870286576168929</v>
      </c>
      <c r="O56" s="67">
        <v>0.58333333333333337</v>
      </c>
      <c r="P56" s="67">
        <v>0.4</v>
      </c>
      <c r="Q56" s="67">
        <v>0.39141414141414144</v>
      </c>
    </row>
    <row r="57" spans="1:17" x14ac:dyDescent="0.4">
      <c r="A57" s="69">
        <v>54</v>
      </c>
      <c r="B57" s="66">
        <v>1.4210854715202004E-14</v>
      </c>
      <c r="C57" s="66">
        <v>8.77213254024815E-17</v>
      </c>
      <c r="D57" s="71">
        <v>2</v>
      </c>
      <c r="E57" s="67">
        <v>0.33333333333333331</v>
      </c>
      <c r="F57" s="67">
        <v>0.33333333333333331</v>
      </c>
      <c r="G57" s="67">
        <v>0.29933481152993346</v>
      </c>
      <c r="H57" s="67">
        <v>0.17960088691796008</v>
      </c>
      <c r="I57" s="68">
        <v>7994.5679012345681</v>
      </c>
      <c r="J57" s="68">
        <v>-7762.9629629629626</v>
      </c>
      <c r="K57" s="67">
        <v>7.407407407407407E-2</v>
      </c>
      <c r="L57" s="67">
        <v>7.407407407407407E-2</v>
      </c>
      <c r="M57" s="67">
        <v>0.25277161862527714</v>
      </c>
      <c r="N57" s="67">
        <v>0.21951219512195122</v>
      </c>
      <c r="O57" s="67">
        <v>0.58479532163742687</v>
      </c>
      <c r="P57" s="67">
        <v>0.39730639730639733</v>
      </c>
      <c r="Q57" s="67">
        <v>0.39506172839506171</v>
      </c>
    </row>
    <row r="58" spans="1:17" x14ac:dyDescent="0.4">
      <c r="A58" s="69">
        <v>55</v>
      </c>
      <c r="B58" s="66">
        <v>1.0658141036401503E-14</v>
      </c>
      <c r="C58" s="66">
        <v>6.4594794160009105E-17</v>
      </c>
      <c r="D58" s="71">
        <v>2</v>
      </c>
      <c r="E58" s="67">
        <v>0.33333333333333331</v>
      </c>
      <c r="F58" s="67">
        <v>0.33333333333333331</v>
      </c>
      <c r="G58" s="67">
        <v>0.29832239241429614</v>
      </c>
      <c r="H58" s="67">
        <v>0.17797228300510576</v>
      </c>
      <c r="I58" s="68">
        <v>8052.3227383863077</v>
      </c>
      <c r="J58" s="68">
        <v>-7763.9344262295081</v>
      </c>
      <c r="K58" s="67">
        <v>7.8787878787878782E-2</v>
      </c>
      <c r="L58" s="67">
        <v>7.8787878787878782E-2</v>
      </c>
      <c r="M58" s="67">
        <v>0.25382932166301969</v>
      </c>
      <c r="N58" s="67">
        <v>0.21881838074398249</v>
      </c>
      <c r="O58" s="67">
        <v>0.58333333333333337</v>
      </c>
      <c r="P58" s="67">
        <v>0.39333333333333331</v>
      </c>
      <c r="Q58" s="67">
        <v>0.39853300733496333</v>
      </c>
    </row>
    <row r="59" spans="1:17" x14ac:dyDescent="0.4">
      <c r="A59" s="69">
        <v>56</v>
      </c>
      <c r="B59" s="66">
        <v>1.4210854715202004E-14</v>
      </c>
      <c r="C59" s="66">
        <v>8.4588420923821446E-17</v>
      </c>
      <c r="D59" s="71">
        <v>2</v>
      </c>
      <c r="E59" s="67">
        <v>0.33333333333333331</v>
      </c>
      <c r="F59" s="67">
        <v>0.33333333333333331</v>
      </c>
      <c r="G59" s="67">
        <v>0.29677419354838708</v>
      </c>
      <c r="H59" s="67">
        <v>0.17777777777777778</v>
      </c>
      <c r="I59" s="68">
        <v>8119.3236714975847</v>
      </c>
      <c r="J59" s="68">
        <v>-7888.7096774193551</v>
      </c>
      <c r="K59" s="67">
        <v>8.3333333333333329E-2</v>
      </c>
      <c r="L59" s="67">
        <v>8.3333333333333329E-2</v>
      </c>
      <c r="M59" s="67">
        <v>0.25448028673835127</v>
      </c>
      <c r="N59" s="67">
        <v>0.21863799283154123</v>
      </c>
      <c r="O59" s="67">
        <v>0.58309859154929577</v>
      </c>
      <c r="P59" s="67">
        <v>0.39016393442622949</v>
      </c>
      <c r="Q59" s="67">
        <v>0.39613526570048307</v>
      </c>
    </row>
    <row r="60" spans="1:17" x14ac:dyDescent="0.4">
      <c r="A60" s="69">
        <v>57</v>
      </c>
      <c r="B60" s="66">
        <v>1.4210854715202004E-14</v>
      </c>
      <c r="C60" s="66">
        <v>8.3104413539193E-17</v>
      </c>
      <c r="D60" s="71">
        <v>2</v>
      </c>
      <c r="E60" s="67">
        <v>0.33333333333333331</v>
      </c>
      <c r="F60" s="67">
        <v>0.33333333333333331</v>
      </c>
      <c r="G60" s="67">
        <v>0.29676511954992968</v>
      </c>
      <c r="H60" s="67">
        <v>0.17791842475386779</v>
      </c>
      <c r="I60" s="68">
        <v>8092.1800947867296</v>
      </c>
      <c r="J60" s="68">
        <v>-7834.387351778656</v>
      </c>
      <c r="K60" s="67">
        <v>8.1871345029239762E-2</v>
      </c>
      <c r="L60" s="67">
        <v>8.1871345029239762E-2</v>
      </c>
      <c r="M60" s="67">
        <v>0.25668073136427566</v>
      </c>
      <c r="N60" s="67">
        <v>0.21800281293952181</v>
      </c>
      <c r="O60" s="67">
        <v>0.58356164383561648</v>
      </c>
      <c r="P60" s="67">
        <v>0.38387096774193546</v>
      </c>
      <c r="Q60" s="67">
        <v>0.39573459715639808</v>
      </c>
    </row>
    <row r="61" spans="1:17" x14ac:dyDescent="0.4">
      <c r="A61" s="69">
        <v>58</v>
      </c>
      <c r="B61" s="66">
        <v>1.4210854715202004E-14</v>
      </c>
      <c r="C61" s="66">
        <v>8.167157882300002E-17</v>
      </c>
      <c r="D61" s="71">
        <v>2</v>
      </c>
      <c r="E61" s="67">
        <v>0.33333333333333331</v>
      </c>
      <c r="F61" s="67">
        <v>0.33333333333333331</v>
      </c>
      <c r="G61" s="67">
        <v>0.29842573579739906</v>
      </c>
      <c r="H61" s="67">
        <v>0.17864476386036962</v>
      </c>
      <c r="I61" s="68">
        <v>8131.880733944954</v>
      </c>
      <c r="J61" s="68">
        <v>-7882.7586206896549</v>
      </c>
      <c r="K61" s="67">
        <v>8.0459770114942528E-2</v>
      </c>
      <c r="L61" s="67">
        <v>8.0459770114942528E-2</v>
      </c>
      <c r="M61" s="67">
        <v>0.25941136208076659</v>
      </c>
      <c r="N61" s="67">
        <v>0.21492128678986996</v>
      </c>
      <c r="O61" s="67">
        <v>0.58839050131926118</v>
      </c>
      <c r="P61" s="67">
        <v>0.38216560509554143</v>
      </c>
      <c r="Q61" s="67">
        <v>0.39449541284403672</v>
      </c>
    </row>
    <row r="62" spans="1:17" x14ac:dyDescent="0.4">
      <c r="A62" s="69">
        <v>59</v>
      </c>
      <c r="B62" s="66">
        <v>1.1546319456101628E-14</v>
      </c>
      <c r="C62" s="66">
        <v>6.5233443254811461E-17</v>
      </c>
      <c r="D62" s="71">
        <v>2</v>
      </c>
      <c r="E62" s="67">
        <v>0.33333333333333331</v>
      </c>
      <c r="F62" s="67">
        <v>0.33333333333333331</v>
      </c>
      <c r="G62" s="67">
        <v>0.29878048780487804</v>
      </c>
      <c r="H62" s="67">
        <v>0.17886178861788618</v>
      </c>
      <c r="I62" s="68">
        <v>8188.4353741496598</v>
      </c>
      <c r="J62" s="68">
        <v>-7929.545454545455</v>
      </c>
      <c r="K62" s="67">
        <v>8.4745762711864403E-2</v>
      </c>
      <c r="L62" s="67">
        <v>8.4745762711864403E-2</v>
      </c>
      <c r="M62" s="67">
        <v>0.26016260162601629</v>
      </c>
      <c r="N62" s="67">
        <v>0.21409214092140921</v>
      </c>
      <c r="O62" s="67">
        <v>0.59114583333333337</v>
      </c>
      <c r="P62" s="67">
        <v>0.379746835443038</v>
      </c>
      <c r="Q62" s="67">
        <v>0.39455782312925169</v>
      </c>
    </row>
    <row r="63" spans="1:17" x14ac:dyDescent="0.4">
      <c r="A63" s="69">
        <v>60</v>
      </c>
      <c r="B63" s="66">
        <v>1.4210854715202004E-14</v>
      </c>
      <c r="C63" s="66">
        <v>7.8949192862233357E-17</v>
      </c>
      <c r="D63" s="71">
        <v>2</v>
      </c>
      <c r="E63" s="67">
        <v>0.33333333333333331</v>
      </c>
      <c r="F63" s="67">
        <v>0.33333333333333331</v>
      </c>
      <c r="G63" s="67">
        <v>0.29866666666666669</v>
      </c>
      <c r="H63" s="67">
        <v>0.17799999999999999</v>
      </c>
      <c r="I63" s="68">
        <v>8133.2589285714284</v>
      </c>
      <c r="J63" s="68">
        <v>-7889.8876404494385</v>
      </c>
      <c r="K63" s="67">
        <v>8.3333333333333329E-2</v>
      </c>
      <c r="L63" s="67">
        <v>8.3333333333333329E-2</v>
      </c>
      <c r="M63" s="67">
        <v>0.26266666666666666</v>
      </c>
      <c r="N63" s="67">
        <v>0.21133333333333335</v>
      </c>
      <c r="O63" s="67">
        <v>0.58629441624365486</v>
      </c>
      <c r="P63" s="67">
        <v>0.38170347003154576</v>
      </c>
      <c r="Q63" s="67">
        <v>0.39732142857142855</v>
      </c>
    </row>
    <row r="64" spans="1:17" x14ac:dyDescent="0.4">
      <c r="A64" s="69">
        <v>61</v>
      </c>
      <c r="B64" s="66">
        <v>1.4210854715202004E-14</v>
      </c>
      <c r="C64" s="66">
        <v>7.7654943798918053E-17</v>
      </c>
      <c r="D64" s="71">
        <v>2</v>
      </c>
      <c r="E64" s="67">
        <v>0.33333333333333331</v>
      </c>
      <c r="F64" s="67">
        <v>0.33333333333333331</v>
      </c>
      <c r="G64" s="67">
        <v>0.29921259842519687</v>
      </c>
      <c r="H64" s="67">
        <v>0.17847769028871391</v>
      </c>
      <c r="I64" s="68">
        <v>8106.5789473684208</v>
      </c>
      <c r="J64" s="68">
        <v>-7872.7941176470586</v>
      </c>
      <c r="K64" s="67">
        <v>8.1967213114754092E-2</v>
      </c>
      <c r="L64" s="67">
        <v>8.1967213114754092E-2</v>
      </c>
      <c r="M64" s="67">
        <v>0.26181102362204722</v>
      </c>
      <c r="N64" s="67">
        <v>0.2125984251968504</v>
      </c>
      <c r="O64" s="67">
        <v>0.58897243107769426</v>
      </c>
      <c r="P64" s="67">
        <v>0.38271604938271603</v>
      </c>
      <c r="Q64" s="67">
        <v>0.39692982456140352</v>
      </c>
    </row>
    <row r="65" spans="1:17" x14ac:dyDescent="0.4">
      <c r="A65" s="69">
        <v>62</v>
      </c>
      <c r="B65" s="66">
        <v>2.1316282072803006E-14</v>
      </c>
      <c r="C65" s="66">
        <v>1.1460366705808067E-16</v>
      </c>
      <c r="D65" s="71">
        <v>2</v>
      </c>
      <c r="E65" s="67">
        <v>0.33333333333333331</v>
      </c>
      <c r="F65" s="67">
        <v>0.33333333333333331</v>
      </c>
      <c r="G65" s="67">
        <v>0.29961089494163423</v>
      </c>
      <c r="H65" s="67">
        <v>0.17833981841763943</v>
      </c>
      <c r="I65" s="68">
        <v>8109.7402597402597</v>
      </c>
      <c r="J65" s="68">
        <v>-7903.272727272727</v>
      </c>
      <c r="K65" s="67">
        <v>8.0645161290322578E-2</v>
      </c>
      <c r="L65" s="67">
        <v>8.0645161290322578E-2</v>
      </c>
      <c r="M65" s="67">
        <v>0.26134889753566798</v>
      </c>
      <c r="N65" s="67">
        <v>0.21141374837872892</v>
      </c>
      <c r="O65" s="67">
        <v>0.59057071960297769</v>
      </c>
      <c r="P65" s="67">
        <v>0.38650306748466257</v>
      </c>
      <c r="Q65" s="67">
        <v>0.39826839826839827</v>
      </c>
    </row>
    <row r="66" spans="1:17" x14ac:dyDescent="0.4">
      <c r="A66" s="69">
        <v>63</v>
      </c>
      <c r="B66" s="66">
        <v>2.1316282072803006E-14</v>
      </c>
      <c r="C66" s="66">
        <v>1.1278456123176193E-16</v>
      </c>
      <c r="D66" s="71">
        <v>2</v>
      </c>
      <c r="E66" s="67">
        <v>0.33333333333333331</v>
      </c>
      <c r="F66" s="67">
        <v>0.33333333333333331</v>
      </c>
      <c r="G66" s="67">
        <v>0.3</v>
      </c>
      <c r="H66" s="67">
        <v>0.17884615384615385</v>
      </c>
      <c r="I66" s="68">
        <v>8095.2991452991455</v>
      </c>
      <c r="J66" s="68">
        <v>-7883.8709677419356</v>
      </c>
      <c r="K66" s="67">
        <v>7.9365079365079361E-2</v>
      </c>
      <c r="L66" s="67">
        <v>7.9365079365079361E-2</v>
      </c>
      <c r="M66" s="67">
        <v>0.25961538461538464</v>
      </c>
      <c r="N66" s="67">
        <v>0.20961538461538462</v>
      </c>
      <c r="O66" s="67">
        <v>0.59012345679012346</v>
      </c>
      <c r="P66" s="67">
        <v>0.38532110091743121</v>
      </c>
      <c r="Q66" s="67">
        <v>0.39743589743589741</v>
      </c>
    </row>
    <row r="67" spans="1:17" x14ac:dyDescent="0.4">
      <c r="A67" s="69">
        <v>64</v>
      </c>
      <c r="B67" s="66">
        <v>2.1316282072803006E-14</v>
      </c>
      <c r="C67" s="66">
        <v>1.1102230246251565E-16</v>
      </c>
      <c r="D67" s="71">
        <v>2</v>
      </c>
      <c r="E67" s="67">
        <v>0.33333333333333331</v>
      </c>
      <c r="F67" s="67">
        <v>0.33333333333333331</v>
      </c>
      <c r="G67" s="67">
        <v>0.30044275774826057</v>
      </c>
      <c r="H67" s="67">
        <v>0.17773561037318153</v>
      </c>
      <c r="I67" s="68">
        <v>8209.4736842105267</v>
      </c>
      <c r="J67" s="68">
        <v>-7880.7829181494662</v>
      </c>
      <c r="K67" s="67">
        <v>8.3333333333333329E-2</v>
      </c>
      <c r="L67" s="67">
        <v>8.3333333333333329E-2</v>
      </c>
      <c r="M67" s="67">
        <v>0.25932953826691968</v>
      </c>
      <c r="N67" s="67">
        <v>0.21125869702719799</v>
      </c>
      <c r="O67" s="67">
        <v>0.59268292682926826</v>
      </c>
      <c r="P67" s="67">
        <v>0.38622754491017963</v>
      </c>
      <c r="Q67" s="67">
        <v>0.40210526315789474</v>
      </c>
    </row>
    <row r="68" spans="1:17" x14ac:dyDescent="0.4">
      <c r="A68" s="69">
        <v>65</v>
      </c>
      <c r="B68" s="66">
        <v>1.7763568394002505E-14</v>
      </c>
      <c r="C68" s="66">
        <v>9.1095222533346175E-17</v>
      </c>
      <c r="D68" s="71">
        <v>2</v>
      </c>
      <c r="E68" s="67">
        <v>0.33333333333333331</v>
      </c>
      <c r="F68" s="67">
        <v>0.33333333333333331</v>
      </c>
      <c r="G68" s="67">
        <v>0.30012300123001229</v>
      </c>
      <c r="H68" s="67">
        <v>0.17712177121771217</v>
      </c>
      <c r="I68" s="68">
        <v>8204.7131147540986</v>
      </c>
      <c r="J68" s="68">
        <v>-7851.7361111111113</v>
      </c>
      <c r="K68" s="67">
        <v>8.7179487179487175E-2</v>
      </c>
      <c r="L68" s="67">
        <v>8.7179487179487175E-2</v>
      </c>
      <c r="M68" s="67">
        <v>0.25645756457564578</v>
      </c>
      <c r="N68" s="67">
        <v>0.21217712177121772</v>
      </c>
      <c r="O68" s="67">
        <v>0.59472422062350117</v>
      </c>
      <c r="P68" s="67">
        <v>0.38550724637681161</v>
      </c>
      <c r="Q68" s="67">
        <v>0.40163934426229508</v>
      </c>
    </row>
    <row r="69" spans="1:17" x14ac:dyDescent="0.4">
      <c r="A69" s="69">
        <v>66</v>
      </c>
      <c r="B69" s="66">
        <v>1.4210854715202004E-14</v>
      </c>
      <c r="C69" s="66">
        <v>7.1771993511121237E-17</v>
      </c>
      <c r="D69" s="71">
        <v>2</v>
      </c>
      <c r="E69" s="67">
        <v>0.33333333333333331</v>
      </c>
      <c r="F69" s="67">
        <v>0.33333333333333331</v>
      </c>
      <c r="G69" s="67">
        <v>0.30054644808743169</v>
      </c>
      <c r="H69" s="67">
        <v>0.17789921068609593</v>
      </c>
      <c r="I69" s="68">
        <v>8227.878787878788</v>
      </c>
      <c r="J69" s="68">
        <v>-7928.3276450511948</v>
      </c>
      <c r="K69" s="67">
        <v>9.0909090909090912E-2</v>
      </c>
      <c r="L69" s="67">
        <v>9.0909090909090912E-2</v>
      </c>
      <c r="M69" s="67">
        <v>0.25622343655130542</v>
      </c>
      <c r="N69" s="67">
        <v>0.21250758955676988</v>
      </c>
      <c r="O69" s="67">
        <v>0.59715639810426535</v>
      </c>
      <c r="P69" s="67">
        <v>0.38857142857142857</v>
      </c>
      <c r="Q69" s="67">
        <v>0.4</v>
      </c>
    </row>
    <row r="70" spans="1:17" x14ac:dyDescent="0.4">
      <c r="A70" s="69">
        <v>67</v>
      </c>
      <c r="B70" s="66">
        <v>1.4210854715202004E-14</v>
      </c>
      <c r="C70" s="66">
        <v>7.0700769727373151E-17</v>
      </c>
      <c r="D70" s="71">
        <v>2</v>
      </c>
      <c r="E70" s="67">
        <v>0.33333333333333331</v>
      </c>
      <c r="F70" s="67">
        <v>0.33333333333333331</v>
      </c>
      <c r="G70" s="67">
        <v>0.2994047619047619</v>
      </c>
      <c r="H70" s="67">
        <v>0.1767857142857143</v>
      </c>
      <c r="I70" s="68">
        <v>8229.224652087476</v>
      </c>
      <c r="J70" s="68">
        <v>-7890.5723905723908</v>
      </c>
      <c r="K70" s="67">
        <v>8.9552238805970144E-2</v>
      </c>
      <c r="L70" s="67">
        <v>8.9552238805970144E-2</v>
      </c>
      <c r="M70" s="67">
        <v>0.25535714285714284</v>
      </c>
      <c r="N70" s="67">
        <v>0.21309523809523809</v>
      </c>
      <c r="O70" s="67">
        <v>0.5990675990675991</v>
      </c>
      <c r="P70" s="67">
        <v>0.38547486033519551</v>
      </c>
      <c r="Q70" s="67">
        <v>0.40159045725646125</v>
      </c>
    </row>
    <row r="71" spans="1:17" x14ac:dyDescent="0.4">
      <c r="A71" s="69">
        <v>68</v>
      </c>
      <c r="B71" s="66">
        <v>1.2434497875801753E-14</v>
      </c>
      <c r="C71" s="66">
        <v>6.0953420959812521E-17</v>
      </c>
      <c r="D71" s="71">
        <v>2</v>
      </c>
      <c r="E71" s="67">
        <v>0.33333333333333331</v>
      </c>
      <c r="F71" s="67">
        <v>0.33333333333333331</v>
      </c>
      <c r="G71" s="67">
        <v>0.29929577464788731</v>
      </c>
      <c r="H71" s="67">
        <v>0.17664319248826291</v>
      </c>
      <c r="I71" s="68">
        <v>8230.5882352941171</v>
      </c>
      <c r="J71" s="68">
        <v>-7872.7574750830563</v>
      </c>
      <c r="K71" s="67">
        <v>9.3137254901960786E-2</v>
      </c>
      <c r="L71" s="67">
        <v>9.3137254901960786E-2</v>
      </c>
      <c r="M71" s="67">
        <v>0.25586854460093894</v>
      </c>
      <c r="N71" s="67">
        <v>0.21478873239436619</v>
      </c>
      <c r="O71" s="67">
        <v>0.60321100917431192</v>
      </c>
      <c r="P71" s="67">
        <v>0.3797814207650273</v>
      </c>
      <c r="Q71" s="67">
        <v>0.40196078431372551</v>
      </c>
    </row>
    <row r="72" spans="1:17" x14ac:dyDescent="0.4">
      <c r="A72" s="69">
        <v>69</v>
      </c>
      <c r="B72" s="66">
        <v>1.4210854715202004E-14</v>
      </c>
      <c r="C72" s="66">
        <v>6.8651472054115957E-17</v>
      </c>
      <c r="D72" s="71">
        <v>2</v>
      </c>
      <c r="E72" s="67">
        <v>0.33333333333333331</v>
      </c>
      <c r="F72" s="67">
        <v>0.33333333333333331</v>
      </c>
      <c r="G72" s="67">
        <v>0.29895104895104896</v>
      </c>
      <c r="H72" s="67">
        <v>0.17715617715617715</v>
      </c>
      <c r="I72" s="68">
        <v>8295.5165692007795</v>
      </c>
      <c r="J72" s="68">
        <v>-7985.855263157895</v>
      </c>
      <c r="K72" s="67">
        <v>9.6618357487922704E-2</v>
      </c>
      <c r="L72" s="67">
        <v>9.6618357487922704E-2</v>
      </c>
      <c r="M72" s="67">
        <v>0.25524475524475526</v>
      </c>
      <c r="N72" s="67">
        <v>0.21561771561771562</v>
      </c>
      <c r="O72" s="67">
        <v>0.60502283105022836</v>
      </c>
      <c r="P72" s="67">
        <v>0.37567567567567567</v>
      </c>
      <c r="Q72" s="67">
        <v>0.39961013645224169</v>
      </c>
    </row>
    <row r="73" spans="1:17" x14ac:dyDescent="0.4">
      <c r="A73" s="69">
        <v>70</v>
      </c>
      <c r="B73" s="66">
        <v>1.4210854715202004E-14</v>
      </c>
      <c r="C73" s="66">
        <v>6.7670736739057167E-17</v>
      </c>
      <c r="D73" s="71">
        <v>2</v>
      </c>
      <c r="E73" s="67">
        <v>0.33333333333333331</v>
      </c>
      <c r="F73" s="67">
        <v>0.33333333333333331</v>
      </c>
      <c r="G73" s="67">
        <v>0.29873125720876587</v>
      </c>
      <c r="H73" s="67">
        <v>0.17647058823529413</v>
      </c>
      <c r="I73" s="68">
        <v>8297.2972972972966</v>
      </c>
      <c r="J73" s="68">
        <v>-8012.0915032679741</v>
      </c>
      <c r="K73" s="67">
        <v>0.1</v>
      </c>
      <c r="L73" s="67">
        <v>0.1</v>
      </c>
      <c r="M73" s="67">
        <v>0.25490196078431371</v>
      </c>
      <c r="N73" s="67">
        <v>0.21626297577854672</v>
      </c>
      <c r="O73" s="67">
        <v>0.60407239819004521</v>
      </c>
      <c r="P73" s="67">
        <v>0.37866666666666665</v>
      </c>
      <c r="Q73" s="67">
        <v>0.40154440154440152</v>
      </c>
    </row>
    <row r="74" spans="1:17" x14ac:dyDescent="0.4">
      <c r="A74" s="69">
        <v>71</v>
      </c>
      <c r="B74" s="66">
        <v>1.4210854715202004E-14</v>
      </c>
      <c r="C74" s="66">
        <v>6.6717627770901427E-17</v>
      </c>
      <c r="D74" s="71">
        <v>2</v>
      </c>
      <c r="E74" s="67">
        <v>0.33333333333333331</v>
      </c>
      <c r="F74" s="67">
        <v>0.33333333333333331</v>
      </c>
      <c r="G74" s="67">
        <v>0.29869392390687111</v>
      </c>
      <c r="H74" s="67">
        <v>0.17603634298693924</v>
      </c>
      <c r="I74" s="68">
        <v>8281.3688212927755</v>
      </c>
      <c r="J74" s="68">
        <v>-8012.5806451612907</v>
      </c>
      <c r="K74" s="67">
        <v>9.8591549295774641E-2</v>
      </c>
      <c r="L74" s="67">
        <v>9.8591549295774641E-2</v>
      </c>
      <c r="M74" s="67">
        <v>0.2566723452583759</v>
      </c>
      <c r="N74" s="67">
        <v>0.21465076660988075</v>
      </c>
      <c r="O74" s="67">
        <v>0.60176991150442483</v>
      </c>
      <c r="P74" s="67">
        <v>0.38095238095238093</v>
      </c>
      <c r="Q74" s="67">
        <v>0.40304182509505704</v>
      </c>
    </row>
    <row r="75" spans="1:17" x14ac:dyDescent="0.4">
      <c r="A75" s="69">
        <v>72</v>
      </c>
      <c r="B75" s="66">
        <v>7.1054273576010019E-15</v>
      </c>
      <c r="C75" s="66">
        <v>3.2895497025930562E-17</v>
      </c>
      <c r="D75" s="71">
        <v>2</v>
      </c>
      <c r="E75" s="67">
        <v>0.33333333333333331</v>
      </c>
      <c r="F75" s="67">
        <v>0.33333333333333331</v>
      </c>
      <c r="G75" s="67">
        <v>0.2981574539363484</v>
      </c>
      <c r="H75" s="67">
        <v>0.17532104969290899</v>
      </c>
      <c r="I75" s="68">
        <v>8268.7265917602999</v>
      </c>
      <c r="J75" s="68">
        <v>-8005.0955414012742</v>
      </c>
      <c r="K75" s="67">
        <v>9.7222222222222224E-2</v>
      </c>
      <c r="L75" s="67">
        <v>9.7222222222222224E-2</v>
      </c>
      <c r="M75" s="67">
        <v>0.25572305974316023</v>
      </c>
      <c r="N75" s="67">
        <v>0.21887213847012843</v>
      </c>
      <c r="O75" s="67">
        <v>0.60043668122270744</v>
      </c>
      <c r="P75" s="67">
        <v>0.37755102040816324</v>
      </c>
      <c r="Q75" s="67">
        <v>0.4044943820224719</v>
      </c>
    </row>
    <row r="76" spans="1:17" x14ac:dyDescent="0.4">
      <c r="A76" s="69">
        <v>73</v>
      </c>
      <c r="B76" s="66">
        <v>5.3290705182007514E-15</v>
      </c>
      <c r="C76" s="66">
        <v>2.4333655334250005E-17</v>
      </c>
      <c r="D76" s="71">
        <v>2</v>
      </c>
      <c r="E76" s="67">
        <v>0.33333333333333331</v>
      </c>
      <c r="F76" s="67">
        <v>0.33333333333333331</v>
      </c>
      <c r="G76" s="67">
        <v>0.29911699779249445</v>
      </c>
      <c r="H76" s="67">
        <v>0.17494481236203091</v>
      </c>
      <c r="I76" s="68">
        <v>8251.8450184501853</v>
      </c>
      <c r="J76" s="68">
        <v>-7997.4763406940065</v>
      </c>
      <c r="K76" s="67">
        <v>9.5890410958904104E-2</v>
      </c>
      <c r="L76" s="67">
        <v>9.5890410958904104E-2</v>
      </c>
      <c r="M76" s="67">
        <v>0.25662251655629137</v>
      </c>
      <c r="N76" s="67">
        <v>0.217439293598234</v>
      </c>
      <c r="O76" s="67">
        <v>0.60430107526881716</v>
      </c>
      <c r="P76" s="67">
        <v>0.37817258883248733</v>
      </c>
      <c r="Q76" s="67">
        <v>0.4059040590405904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27</vt:i4>
      </vt:variant>
      <vt:variant>
        <vt:lpstr>グラフ</vt:lpstr>
      </vt:variant>
      <vt:variant>
        <vt:i4>16</vt:i4>
      </vt:variant>
    </vt:vector>
  </HeadingPairs>
  <TitlesOfParts>
    <vt:vector size="43" baseType="lpstr">
      <vt:lpstr>Template1</vt:lpstr>
      <vt:lpstr>Cache</vt:lpstr>
      <vt:lpstr>Template2</vt:lpstr>
      <vt:lpstr>Players</vt:lpstr>
      <vt:lpstr>ランキング</vt:lpstr>
      <vt:lpstr>全体</vt:lpstr>
      <vt:lpstr>だいち</vt:lpstr>
      <vt:lpstr>りくと</vt:lpstr>
      <vt:lpstr>ただ</vt:lpstr>
      <vt:lpstr>れんたろう</vt:lpstr>
      <vt:lpstr>たかの</vt:lpstr>
      <vt:lpstr>ぱぱ</vt:lpstr>
      <vt:lpstr>まっつん</vt:lpstr>
      <vt:lpstr>あさひ</vt:lpstr>
      <vt:lpstr>いっしー</vt:lpstr>
      <vt:lpstr>ほたに</vt:lpstr>
      <vt:lpstr>ほたに2</vt:lpstr>
      <vt:lpstr>いっしー2</vt:lpstr>
      <vt:lpstr>あさひ2</vt:lpstr>
      <vt:lpstr>まっつん2</vt:lpstr>
      <vt:lpstr>ぱぱ2</vt:lpstr>
      <vt:lpstr>たかの2</vt:lpstr>
      <vt:lpstr>れんたろう2</vt:lpstr>
      <vt:lpstr>ただ2</vt:lpstr>
      <vt:lpstr>りくと2</vt:lpstr>
      <vt:lpstr>だいち2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ふっとばし率</vt:lpstr>
      <vt:lpstr>リーチ率</vt:lpstr>
      <vt:lpstr>副露率</vt:lpstr>
      <vt:lpstr>リーチ成功率</vt:lpstr>
      <vt:lpstr>副露成功率</vt:lpstr>
      <vt:lpstr>ツモ率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2019-04-19T00:47:02Z</dcterms:modified>
</cp:coreProperties>
</file>