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0FEAA49C-AEC3-4FC4-A6AD-7D9EEF0031D5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427" r:id="rId6"/>
    <sheet name="だいち" sheetId="5429" r:id="rId7"/>
    <sheet name="りくと" sheetId="5431" r:id="rId8"/>
    <sheet name="ただ" sheetId="5433" r:id="rId9"/>
    <sheet name="れんたろう" sheetId="5435" r:id="rId10"/>
    <sheet name="たかの" sheetId="5437" r:id="rId11"/>
    <sheet name="ぱぱ" sheetId="5439" r:id="rId12"/>
    <sheet name="まっつん" sheetId="5441" r:id="rId13"/>
    <sheet name="あさひ" sheetId="5443" r:id="rId14"/>
    <sheet name="いっしー" sheetId="5445" r:id="rId15"/>
    <sheet name="ほたに" sheetId="5447" r:id="rId16"/>
    <sheet name="かわたつ" sheetId="5449" r:id="rId17"/>
    <sheet name="やがさき" sheetId="5451" r:id="rId18"/>
    <sheet name="やがさき2" sheetId="5452" state="hidden" r:id="rId19"/>
    <sheet name="かわたつ2" sheetId="5450" state="hidden" r:id="rId20"/>
    <sheet name="ほたに2" sheetId="5448" state="hidden" r:id="rId21"/>
    <sheet name="いっしー2" sheetId="5446" state="hidden" r:id="rId22"/>
    <sheet name="あさひ2" sheetId="5444" state="hidden" r:id="rId23"/>
    <sheet name="まっつん2" sheetId="5442" state="hidden" r:id="rId24"/>
    <sheet name="ぱぱ2" sheetId="5440" state="hidden" r:id="rId25"/>
    <sheet name="たかの2" sheetId="5438" state="hidden" r:id="rId26"/>
    <sheet name="れんたろう2" sheetId="5436" state="hidden" r:id="rId27"/>
    <sheet name="ただ2" sheetId="5434" state="hidden" r:id="rId28"/>
    <sheet name="りくと2" sheetId="5432" state="hidden" r:id="rId29"/>
    <sheet name="だいち2" sheetId="5430" state="hidden" r:id="rId30"/>
    <sheet name="全体2" sheetId="5428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ふっとばし率" sheetId="3523" state="hidden" r:id="rId42"/>
    <sheet name="リーチ率" sheetId="3524" state="hidden" r:id="rId43"/>
    <sheet name="副露率" sheetId="3525" state="hidden" r:id="rId44"/>
    <sheet name="リーチ成功率" sheetId="4841" state="hidden" r:id="rId45"/>
    <sheet name="副露成功率" sheetId="3527" state="hidden" r:id="rId46"/>
    <sheet name="ツモ率" sheetId="3528" state="hidden" r:id="rId47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25" i="5429" l="1"/>
  <c r="O15" i="5451"/>
  <c r="O15" i="5433" l="1"/>
  <c r="O16" i="5437"/>
  <c r="O16" i="5427"/>
  <c r="O17" i="5451"/>
  <c r="O16" i="5451"/>
  <c r="C27" i="5451"/>
  <c r="B24" i="5451"/>
  <c r="C20" i="5451"/>
  <c r="B17" i="5451"/>
  <c r="H49" i="5451" s="1"/>
  <c r="C16" i="5451"/>
  <c r="C15" i="5451"/>
  <c r="C14" i="5451"/>
  <c r="C13" i="5451"/>
  <c r="O12" i="5451"/>
  <c r="C12" i="5451"/>
  <c r="O11" i="5451"/>
  <c r="C11" i="5451"/>
  <c r="O10" i="5451"/>
  <c r="H2" i="5451"/>
  <c r="C10" i="5451"/>
  <c r="C9" i="5451"/>
  <c r="H13" i="5451"/>
  <c r="C8" i="5451"/>
  <c r="O7" i="5451"/>
  <c r="C7" i="5451"/>
  <c r="O6" i="5451"/>
  <c r="B6" i="5451"/>
  <c r="O5" i="5451"/>
  <c r="B5" i="5451"/>
  <c r="O4" i="5451"/>
  <c r="H3" i="5451"/>
  <c r="O3" i="5451"/>
  <c r="O2" i="5451"/>
  <c r="H4" i="5451"/>
  <c r="O15" i="5449"/>
  <c r="O16" i="5449"/>
  <c r="C27" i="5449"/>
  <c r="B24" i="5449"/>
  <c r="C20" i="5449"/>
  <c r="C17" i="5449"/>
  <c r="B17" i="5449"/>
  <c r="H49" i="5449" s="1"/>
  <c r="C16" i="5449"/>
  <c r="C15" i="5449"/>
  <c r="C14" i="5449"/>
  <c r="C13" i="5449"/>
  <c r="O12" i="5449"/>
  <c r="C12" i="5449"/>
  <c r="O11" i="5449"/>
  <c r="C11" i="5449"/>
  <c r="O10" i="5449"/>
  <c r="H12" i="5449"/>
  <c r="C10" i="5449"/>
  <c r="C9" i="5449"/>
  <c r="H10" i="5449"/>
  <c r="C8" i="5449"/>
  <c r="O7" i="5449"/>
  <c r="C7" i="5449"/>
  <c r="O6" i="5449"/>
  <c r="B6" i="5449"/>
  <c r="O5" i="5449"/>
  <c r="B5" i="5449"/>
  <c r="O4" i="5449"/>
  <c r="H2" i="5449"/>
  <c r="O3" i="5449"/>
  <c r="O2" i="5449"/>
  <c r="H3" i="5449"/>
  <c r="O23" i="5435"/>
  <c r="O17" i="5429"/>
  <c r="O25" i="5427"/>
  <c r="C17" i="5451" l="1"/>
  <c r="H21" i="5451"/>
  <c r="H23" i="5451"/>
  <c r="H25" i="5451"/>
  <c r="H28" i="5451"/>
  <c r="H30" i="5451"/>
  <c r="H34" i="5451"/>
  <c r="H38" i="5451"/>
  <c r="H42" i="5451"/>
  <c r="H46" i="5451"/>
  <c r="H50" i="5451"/>
  <c r="H12" i="5451"/>
  <c r="H17" i="5451"/>
  <c r="H19" i="5451"/>
  <c r="C19" i="5451"/>
  <c r="H9" i="5451"/>
  <c r="H31" i="5451"/>
  <c r="H35" i="5451"/>
  <c r="H39" i="5451"/>
  <c r="H43" i="5451"/>
  <c r="H47" i="5451"/>
  <c r="H51" i="5451"/>
  <c r="H11" i="5451"/>
  <c r="H6" i="5451"/>
  <c r="H14" i="5451"/>
  <c r="H16" i="5451"/>
  <c r="H20" i="5451"/>
  <c r="H22" i="5451"/>
  <c r="H24" i="5451"/>
  <c r="H26" i="5451"/>
  <c r="H7" i="5451"/>
  <c r="H32" i="5451"/>
  <c r="H36" i="5451"/>
  <c r="H40" i="5451"/>
  <c r="H44" i="5451"/>
  <c r="H48" i="5451"/>
  <c r="H10" i="5451"/>
  <c r="H5" i="5451"/>
  <c r="H15" i="5451"/>
  <c r="H18" i="5451"/>
  <c r="H8" i="5451"/>
  <c r="C18" i="5451"/>
  <c r="B23" i="5451"/>
  <c r="H27" i="5451"/>
  <c r="H29" i="5451"/>
  <c r="H33" i="5451"/>
  <c r="H37" i="5451"/>
  <c r="H41" i="5451"/>
  <c r="H45" i="5451"/>
  <c r="H20" i="5449"/>
  <c r="H21" i="5449"/>
  <c r="H24" i="5449"/>
  <c r="H27" i="5449"/>
  <c r="H30" i="5449"/>
  <c r="H34" i="5449"/>
  <c r="H38" i="5449"/>
  <c r="H42" i="5449"/>
  <c r="H46" i="5449"/>
  <c r="H50" i="5449"/>
  <c r="H9" i="5449"/>
  <c r="H15" i="5449"/>
  <c r="H17" i="5449"/>
  <c r="C19" i="5449"/>
  <c r="H22" i="5449"/>
  <c r="H31" i="5449"/>
  <c r="H35" i="5449"/>
  <c r="H39" i="5449"/>
  <c r="H43" i="5449"/>
  <c r="H47" i="5449"/>
  <c r="H51" i="5449"/>
  <c r="H8" i="5449"/>
  <c r="H5" i="5449"/>
  <c r="H11" i="5449"/>
  <c r="H14" i="5449"/>
  <c r="H19" i="5449"/>
  <c r="H6" i="5449"/>
  <c r="H23" i="5449"/>
  <c r="H25" i="5449"/>
  <c r="H28" i="5449"/>
  <c r="H32" i="5449"/>
  <c r="H36" i="5449"/>
  <c r="H40" i="5449"/>
  <c r="H44" i="5449"/>
  <c r="H48" i="5449"/>
  <c r="H7" i="5449"/>
  <c r="H4" i="5449"/>
  <c r="H13" i="5449"/>
  <c r="H16" i="5449"/>
  <c r="H18" i="5449"/>
  <c r="C18" i="5449"/>
  <c r="B23" i="5449"/>
  <c r="H26" i="5449"/>
  <c r="H29" i="5449"/>
  <c r="H33" i="5449"/>
  <c r="H37" i="5449"/>
  <c r="H41" i="5449"/>
  <c r="H45" i="5449"/>
  <c r="O17" i="5437" l="1"/>
  <c r="O16" i="5445"/>
  <c r="O20" i="5447" l="1"/>
  <c r="O18" i="5447"/>
  <c r="O15" i="5441"/>
  <c r="O20" i="5431"/>
  <c r="O24" i="5429" l="1"/>
  <c r="O16" i="5447"/>
  <c r="O21" i="5439"/>
  <c r="O15" i="5447"/>
  <c r="O17" i="5447" l="1"/>
  <c r="O19" i="5447"/>
  <c r="C27" i="5447"/>
  <c r="B24" i="5447"/>
  <c r="C20" i="5447"/>
  <c r="B17" i="5447"/>
  <c r="H49" i="5447" s="1"/>
  <c r="C16" i="5447"/>
  <c r="C15" i="5447"/>
  <c r="C14" i="5447"/>
  <c r="C13" i="5447"/>
  <c r="O12" i="5447"/>
  <c r="C12" i="5447"/>
  <c r="O11" i="5447"/>
  <c r="C11" i="5447"/>
  <c r="O10" i="5447"/>
  <c r="C10" i="5447"/>
  <c r="C9" i="5447"/>
  <c r="C8" i="5447"/>
  <c r="O7" i="5447"/>
  <c r="C7" i="5447"/>
  <c r="O6" i="5447"/>
  <c r="B6" i="5447"/>
  <c r="O5" i="5447"/>
  <c r="B5" i="5447"/>
  <c r="O4" i="5447"/>
  <c r="O3" i="5447"/>
  <c r="O2" i="5447"/>
  <c r="H3" i="5447"/>
  <c r="O21" i="5435"/>
  <c r="O18" i="5437"/>
  <c r="O19" i="5427"/>
  <c r="H14" i="5447" l="1"/>
  <c r="C17" i="5447"/>
  <c r="H4" i="5447"/>
  <c r="H2" i="5447"/>
  <c r="H22" i="5447"/>
  <c r="H24" i="5447"/>
  <c r="H26" i="5447"/>
  <c r="H28" i="5447"/>
  <c r="H30" i="5447"/>
  <c r="H34" i="5447"/>
  <c r="H38" i="5447"/>
  <c r="H42" i="5447"/>
  <c r="H46" i="5447"/>
  <c r="H50" i="5447"/>
  <c r="H8" i="5447"/>
  <c r="H18" i="5447"/>
  <c r="H20" i="5447"/>
  <c r="C19" i="5447"/>
  <c r="H13" i="5447"/>
  <c r="H31" i="5447"/>
  <c r="H35" i="5447"/>
  <c r="H39" i="5447"/>
  <c r="H43" i="5447"/>
  <c r="H47" i="5447"/>
  <c r="H51" i="5447"/>
  <c r="H12" i="5447"/>
  <c r="H6" i="5447"/>
  <c r="H15" i="5447"/>
  <c r="H17" i="5447"/>
  <c r="H21" i="5447"/>
  <c r="H23" i="5447"/>
  <c r="H25" i="5447"/>
  <c r="H11" i="5447"/>
  <c r="H9" i="5447"/>
  <c r="H32" i="5447"/>
  <c r="H36" i="5447"/>
  <c r="H40" i="5447"/>
  <c r="H44" i="5447"/>
  <c r="H48" i="5447"/>
  <c r="H7" i="5447"/>
  <c r="H5" i="5447"/>
  <c r="H16" i="5447"/>
  <c r="H19" i="5447"/>
  <c r="H10" i="5447"/>
  <c r="C18" i="5447"/>
  <c r="B23" i="5447"/>
  <c r="H27" i="5447"/>
  <c r="H29" i="5447"/>
  <c r="H33" i="5447"/>
  <c r="H37" i="5447"/>
  <c r="H41" i="5447"/>
  <c r="H45" i="5447"/>
  <c r="O20" i="5437" l="1"/>
  <c r="O16" i="5433"/>
  <c r="O21" i="5441"/>
  <c r="O20" i="5441"/>
  <c r="O21" i="5429" l="1"/>
  <c r="O17" i="5445"/>
  <c r="O20" i="5445" l="1"/>
  <c r="O15" i="5445"/>
  <c r="O16" i="5435"/>
  <c r="O22" i="5433"/>
  <c r="O17" i="5443" l="1"/>
  <c r="O22" i="5439"/>
  <c r="O15" i="5443"/>
  <c r="O21" i="5445"/>
  <c r="O15" i="5431"/>
  <c r="O17" i="5441"/>
  <c r="O17" i="5427"/>
  <c r="O19" i="5445"/>
  <c r="O18" i="5445"/>
  <c r="C27" i="5445"/>
  <c r="B24" i="5445"/>
  <c r="C20" i="5445"/>
  <c r="B17" i="5445"/>
  <c r="H49" i="5445" s="1"/>
  <c r="C16" i="5445"/>
  <c r="C15" i="5445"/>
  <c r="C14" i="5445"/>
  <c r="C13" i="5445"/>
  <c r="O12" i="5445"/>
  <c r="C12" i="5445"/>
  <c r="O11" i="5445"/>
  <c r="C11" i="5445"/>
  <c r="O10" i="5445"/>
  <c r="H3" i="5445"/>
  <c r="C10" i="5445"/>
  <c r="C9" i="5445"/>
  <c r="H10" i="5445"/>
  <c r="C8" i="5445"/>
  <c r="O7" i="5445"/>
  <c r="C7" i="5445"/>
  <c r="O6" i="5445"/>
  <c r="B6" i="5445"/>
  <c r="O5" i="5445"/>
  <c r="B5" i="5445"/>
  <c r="O4" i="5445"/>
  <c r="H2" i="5445"/>
  <c r="O3" i="5445"/>
  <c r="O2" i="5445"/>
  <c r="H4" i="5445"/>
  <c r="O16" i="5443"/>
  <c r="O18" i="5443"/>
  <c r="C27" i="5443"/>
  <c r="B24" i="5443"/>
  <c r="C20" i="5443"/>
  <c r="B17" i="5443"/>
  <c r="H49" i="5443" s="1"/>
  <c r="C16" i="5443"/>
  <c r="C15" i="5443"/>
  <c r="C14" i="5443"/>
  <c r="C13" i="5443"/>
  <c r="O12" i="5443"/>
  <c r="C12" i="5443"/>
  <c r="O11" i="5443"/>
  <c r="C11" i="5443"/>
  <c r="O10" i="5443"/>
  <c r="C10" i="5443"/>
  <c r="C9" i="5443"/>
  <c r="C8" i="5443"/>
  <c r="O7" i="5443"/>
  <c r="C7" i="5443"/>
  <c r="O6" i="5443"/>
  <c r="B6" i="5443"/>
  <c r="O5" i="5443"/>
  <c r="B5" i="5443"/>
  <c r="O4" i="5443"/>
  <c r="O3" i="5443"/>
  <c r="O2" i="5443"/>
  <c r="O22" i="5441"/>
  <c r="O23" i="5441"/>
  <c r="O15" i="5429"/>
  <c r="O16" i="5429"/>
  <c r="O26" i="5427"/>
  <c r="H13" i="5443" l="1"/>
  <c r="H2" i="5443"/>
  <c r="H3" i="5443"/>
  <c r="H4" i="5443"/>
  <c r="C17" i="5443"/>
  <c r="C17" i="5445"/>
  <c r="H22" i="5445"/>
  <c r="H23" i="5445"/>
  <c r="H25" i="5445"/>
  <c r="H28" i="5445"/>
  <c r="H30" i="5445"/>
  <c r="H34" i="5445"/>
  <c r="H38" i="5445"/>
  <c r="H42" i="5445"/>
  <c r="H46" i="5445"/>
  <c r="H50" i="5445"/>
  <c r="H8" i="5445"/>
  <c r="H16" i="5445"/>
  <c r="H20" i="5445"/>
  <c r="C19" i="5445"/>
  <c r="H11" i="5445"/>
  <c r="H31" i="5445"/>
  <c r="H35" i="5445"/>
  <c r="H39" i="5445"/>
  <c r="H43" i="5445"/>
  <c r="H47" i="5445"/>
  <c r="H51" i="5445"/>
  <c r="H14" i="5445"/>
  <c r="H5" i="5445"/>
  <c r="H12" i="5445"/>
  <c r="H18" i="5445"/>
  <c r="H13" i="5445"/>
  <c r="H17" i="5445"/>
  <c r="H24" i="5445"/>
  <c r="H26" i="5445"/>
  <c r="H9" i="5445"/>
  <c r="H32" i="5445"/>
  <c r="H36" i="5445"/>
  <c r="H40" i="5445"/>
  <c r="H44" i="5445"/>
  <c r="H48" i="5445"/>
  <c r="H6" i="5445"/>
  <c r="H7" i="5445"/>
  <c r="H15" i="5445"/>
  <c r="H19" i="5445"/>
  <c r="H21" i="5445"/>
  <c r="C18" i="5445"/>
  <c r="B23" i="5445"/>
  <c r="H27" i="5445"/>
  <c r="H29" i="5445"/>
  <c r="H33" i="5445"/>
  <c r="H37" i="5445"/>
  <c r="H41" i="5445"/>
  <c r="H45" i="5445"/>
  <c r="H21" i="5443"/>
  <c r="H23" i="5443"/>
  <c r="H26" i="5443"/>
  <c r="H28" i="5443"/>
  <c r="H30" i="5443"/>
  <c r="H34" i="5443"/>
  <c r="H38" i="5443"/>
  <c r="H42" i="5443"/>
  <c r="H46" i="5443"/>
  <c r="H50" i="5443"/>
  <c r="H9" i="5443"/>
  <c r="H16" i="5443"/>
  <c r="H18" i="5443"/>
  <c r="C19" i="5443"/>
  <c r="H24" i="5443"/>
  <c r="H31" i="5443"/>
  <c r="H35" i="5443"/>
  <c r="H39" i="5443"/>
  <c r="H43" i="5443"/>
  <c r="H47" i="5443"/>
  <c r="H51" i="5443"/>
  <c r="H12" i="5443"/>
  <c r="H8" i="5443"/>
  <c r="H10" i="5443"/>
  <c r="H15" i="5443"/>
  <c r="H20" i="5443"/>
  <c r="H22" i="5443"/>
  <c r="H25" i="5443"/>
  <c r="H11" i="5443"/>
  <c r="H6" i="5443"/>
  <c r="H32" i="5443"/>
  <c r="H36" i="5443"/>
  <c r="H40" i="5443"/>
  <c r="H44" i="5443"/>
  <c r="H48" i="5443"/>
  <c r="H7" i="5443"/>
  <c r="H5" i="5443"/>
  <c r="H14" i="5443"/>
  <c r="H17" i="5443"/>
  <c r="H19" i="5443"/>
  <c r="C18" i="5443"/>
  <c r="B23" i="5443"/>
  <c r="H27" i="5443"/>
  <c r="H29" i="5443"/>
  <c r="H33" i="5443"/>
  <c r="H37" i="5443"/>
  <c r="H41" i="5443"/>
  <c r="H45" i="5443"/>
  <c r="O19" i="5441" l="1"/>
  <c r="O18" i="5439"/>
  <c r="O16" i="5439"/>
  <c r="O17" i="5431"/>
  <c r="O19" i="5437" l="1"/>
  <c r="O17" i="5435"/>
  <c r="O17" i="5439"/>
  <c r="O19" i="5439"/>
  <c r="O15" i="5437" l="1"/>
  <c r="O15" i="5435"/>
  <c r="O21" i="5433"/>
  <c r="O20" i="5433"/>
  <c r="O16" i="5441"/>
  <c r="O18" i="5441"/>
  <c r="C27" i="5441"/>
  <c r="B24" i="5441"/>
  <c r="C20" i="5441"/>
  <c r="B17" i="5441"/>
  <c r="H5" i="5441" s="1"/>
  <c r="C16" i="5441"/>
  <c r="C15" i="5441"/>
  <c r="C14" i="5441"/>
  <c r="C13" i="5441"/>
  <c r="O12" i="5441"/>
  <c r="C12" i="5441"/>
  <c r="O11" i="5441"/>
  <c r="C11" i="5441"/>
  <c r="O10" i="5441"/>
  <c r="C10" i="5441"/>
  <c r="C9" i="5441"/>
  <c r="C8" i="5441"/>
  <c r="O7" i="5441"/>
  <c r="C7" i="5441"/>
  <c r="O6" i="5441"/>
  <c r="B6" i="5441"/>
  <c r="O5" i="5441"/>
  <c r="B5" i="5441"/>
  <c r="O4" i="5441"/>
  <c r="O3" i="5441"/>
  <c r="O2" i="5441"/>
  <c r="O22" i="5435"/>
  <c r="O21" i="5431"/>
  <c r="O22" i="5427"/>
  <c r="H31" i="5441" l="1"/>
  <c r="H38" i="5441"/>
  <c r="H3" i="5441"/>
  <c r="H4" i="5441"/>
  <c r="H2" i="5441"/>
  <c r="H11" i="5441"/>
  <c r="C18" i="5441"/>
  <c r="H25" i="5441"/>
  <c r="H13" i="5441"/>
  <c r="H41" i="5441"/>
  <c r="B23" i="5441"/>
  <c r="H22" i="5441"/>
  <c r="H45" i="5441"/>
  <c r="H26" i="5441"/>
  <c r="H6" i="5441"/>
  <c r="C17" i="5441"/>
  <c r="H34" i="5441"/>
  <c r="H49" i="5441"/>
  <c r="H28" i="5441"/>
  <c r="H29" i="5441"/>
  <c r="H19" i="5441"/>
  <c r="H32" i="5441"/>
  <c r="H15" i="5441"/>
  <c r="H35" i="5441"/>
  <c r="H39" i="5441"/>
  <c r="H42" i="5441"/>
  <c r="H46" i="5441"/>
  <c r="H50" i="5441"/>
  <c r="H8" i="5441"/>
  <c r="H21" i="5441"/>
  <c r="H27" i="5441"/>
  <c r="C19" i="5441"/>
  <c r="H14" i="5441"/>
  <c r="H23" i="5441"/>
  <c r="H36" i="5441"/>
  <c r="H40" i="5441"/>
  <c r="H43" i="5441"/>
  <c r="H47" i="5441"/>
  <c r="H51" i="5441"/>
  <c r="H9" i="5441"/>
  <c r="H7" i="5441"/>
  <c r="H12" i="5441"/>
  <c r="H20" i="5441"/>
  <c r="H18" i="5441"/>
  <c r="H16" i="5441"/>
  <c r="H30" i="5441"/>
  <c r="H17" i="5441"/>
  <c r="H10" i="5441"/>
  <c r="H33" i="5441"/>
  <c r="H37" i="5441"/>
  <c r="H24" i="5441"/>
  <c r="H44" i="5441"/>
  <c r="H48" i="5441"/>
  <c r="O18" i="5433" l="1"/>
  <c r="O20" i="5439"/>
  <c r="O15" i="5439"/>
  <c r="C27" i="5439"/>
  <c r="B24" i="5439"/>
  <c r="C20" i="5439"/>
  <c r="B17" i="5439"/>
  <c r="H5" i="5439" s="1"/>
  <c r="C16" i="5439"/>
  <c r="C15" i="5439"/>
  <c r="C14" i="5439"/>
  <c r="C13" i="5439"/>
  <c r="O12" i="5439"/>
  <c r="C12" i="5439"/>
  <c r="O11" i="5439"/>
  <c r="C11" i="5439"/>
  <c r="O10" i="5439"/>
  <c r="C10" i="5439"/>
  <c r="C9" i="5439"/>
  <c r="C8" i="5439"/>
  <c r="O7" i="5439"/>
  <c r="C7" i="5439"/>
  <c r="O6" i="5439"/>
  <c r="B6" i="5439"/>
  <c r="O5" i="5439"/>
  <c r="B5" i="5439"/>
  <c r="O4" i="5439"/>
  <c r="O3" i="5439"/>
  <c r="O2" i="5439"/>
  <c r="O20" i="5429"/>
  <c r="O18" i="5427"/>
  <c r="O21" i="5437"/>
  <c r="O19" i="5431"/>
  <c r="O18" i="5431"/>
  <c r="O19" i="5435"/>
  <c r="O22" i="5437"/>
  <c r="O23" i="5437"/>
  <c r="C27" i="5437"/>
  <c r="B24" i="5437"/>
  <c r="C20" i="5437"/>
  <c r="B17" i="5437"/>
  <c r="H4" i="5437" s="1"/>
  <c r="C16" i="5437"/>
  <c r="C15" i="5437"/>
  <c r="C14" i="5437"/>
  <c r="C13" i="5437"/>
  <c r="O12" i="5437"/>
  <c r="C12" i="5437"/>
  <c r="O11" i="5437"/>
  <c r="C11" i="5437"/>
  <c r="O10" i="5437"/>
  <c r="C10" i="5437"/>
  <c r="C9" i="5437"/>
  <c r="C8" i="5437"/>
  <c r="O7" i="5437"/>
  <c r="C7" i="5437"/>
  <c r="O6" i="5437"/>
  <c r="B6" i="5437"/>
  <c r="O5" i="5437"/>
  <c r="B5" i="5437"/>
  <c r="O4" i="5437"/>
  <c r="O3" i="5437"/>
  <c r="O2" i="5437"/>
  <c r="O20" i="5435"/>
  <c r="O18" i="5435"/>
  <c r="C27" i="5435"/>
  <c r="B24" i="5435"/>
  <c r="C20" i="5435"/>
  <c r="B17" i="5435"/>
  <c r="H50" i="5435" s="1"/>
  <c r="C16" i="5435"/>
  <c r="C15" i="5435"/>
  <c r="C14" i="5435"/>
  <c r="C13" i="5435"/>
  <c r="O12" i="5435"/>
  <c r="C12" i="5435"/>
  <c r="O11" i="5435"/>
  <c r="C11" i="5435"/>
  <c r="O10" i="5435"/>
  <c r="C10" i="5435"/>
  <c r="C9" i="5435"/>
  <c r="C8" i="5435"/>
  <c r="O7" i="5435"/>
  <c r="C7" i="5435"/>
  <c r="O6" i="5435"/>
  <c r="B6" i="5435"/>
  <c r="O5" i="5435"/>
  <c r="B5" i="5435"/>
  <c r="O4" i="5435"/>
  <c r="O3" i="5435"/>
  <c r="O2" i="5435"/>
  <c r="O19" i="5429"/>
  <c r="O23" i="5429"/>
  <c r="O21" i="5427"/>
  <c r="O23" i="5427"/>
  <c r="H6" i="5439" l="1"/>
  <c r="H14" i="5439"/>
  <c r="H11" i="5439"/>
  <c r="H48" i="5439"/>
  <c r="H7" i="5439"/>
  <c r="C17" i="5439"/>
  <c r="H22" i="5439"/>
  <c r="H4" i="5439"/>
  <c r="C19" i="5439"/>
  <c r="H32" i="5439"/>
  <c r="H3" i="5439"/>
  <c r="H24" i="5439"/>
  <c r="H2" i="5439"/>
  <c r="H8" i="5439"/>
  <c r="H10" i="5439"/>
  <c r="H23" i="5439"/>
  <c r="H15" i="5439"/>
  <c r="H40" i="5439"/>
  <c r="H44" i="5439"/>
  <c r="H3" i="5437"/>
  <c r="H2" i="5437"/>
  <c r="H5" i="5437"/>
  <c r="H12" i="5437"/>
  <c r="H11" i="5435"/>
  <c r="H3" i="5435"/>
  <c r="H17" i="5439"/>
  <c r="H36" i="5439"/>
  <c r="H19" i="5439"/>
  <c r="C18" i="5439"/>
  <c r="B23" i="5439"/>
  <c r="H20" i="5439"/>
  <c r="H31" i="5439"/>
  <c r="H34" i="5439"/>
  <c r="H38" i="5439"/>
  <c r="H42" i="5439"/>
  <c r="H46" i="5439"/>
  <c r="H50" i="5439"/>
  <c r="H25" i="5439"/>
  <c r="H27" i="5439"/>
  <c r="H29" i="5439"/>
  <c r="H30" i="5439"/>
  <c r="H18" i="5439"/>
  <c r="H35" i="5439"/>
  <c r="H39" i="5439"/>
  <c r="H43" i="5439"/>
  <c r="H47" i="5439"/>
  <c r="H51" i="5439"/>
  <c r="H12" i="5439"/>
  <c r="H21" i="5439"/>
  <c r="H16" i="5439"/>
  <c r="H26" i="5439"/>
  <c r="H28" i="5439"/>
  <c r="H13" i="5439"/>
  <c r="H9" i="5439"/>
  <c r="H33" i="5439"/>
  <c r="H37" i="5439"/>
  <c r="H41" i="5439"/>
  <c r="H45" i="5439"/>
  <c r="H49" i="5439"/>
  <c r="C17" i="5437"/>
  <c r="C17" i="5435"/>
  <c r="H2" i="5435"/>
  <c r="H4" i="5435"/>
  <c r="H26" i="5437"/>
  <c r="H29" i="5437"/>
  <c r="H18" i="5437"/>
  <c r="H46" i="5437"/>
  <c r="H8" i="5437"/>
  <c r="H21" i="5437"/>
  <c r="H13" i="5437"/>
  <c r="H39" i="5437"/>
  <c r="H47" i="5437"/>
  <c r="H7" i="5437"/>
  <c r="H19" i="5437"/>
  <c r="H24" i="5437"/>
  <c r="H17" i="5437"/>
  <c r="C18" i="5437"/>
  <c r="B23" i="5437"/>
  <c r="H22" i="5437"/>
  <c r="H23" i="5437"/>
  <c r="H33" i="5437"/>
  <c r="H37" i="5437"/>
  <c r="H41" i="5437"/>
  <c r="H45" i="5437"/>
  <c r="H49" i="5437"/>
  <c r="H27" i="5437"/>
  <c r="H30" i="5437"/>
  <c r="H34" i="5437"/>
  <c r="H38" i="5437"/>
  <c r="H42" i="5437"/>
  <c r="H50" i="5437"/>
  <c r="H25" i="5437"/>
  <c r="C19" i="5437"/>
  <c r="H31" i="5437"/>
  <c r="H35" i="5437"/>
  <c r="H43" i="5437"/>
  <c r="H51" i="5437"/>
  <c r="H9" i="5437"/>
  <c r="H6" i="5437"/>
  <c r="H11" i="5437"/>
  <c r="H20" i="5437"/>
  <c r="H16" i="5437"/>
  <c r="H15" i="5437"/>
  <c r="H28" i="5437"/>
  <c r="H14" i="5437"/>
  <c r="H10" i="5437"/>
  <c r="H32" i="5437"/>
  <c r="H36" i="5437"/>
  <c r="H40" i="5437"/>
  <c r="H44" i="5437"/>
  <c r="H48" i="5437"/>
  <c r="H29" i="5435"/>
  <c r="H30" i="5435"/>
  <c r="H31" i="5435"/>
  <c r="H32" i="5435"/>
  <c r="H17" i="5435"/>
  <c r="H35" i="5435"/>
  <c r="H39" i="5435"/>
  <c r="H43" i="5435"/>
  <c r="H47" i="5435"/>
  <c r="H51" i="5435"/>
  <c r="H8" i="5435"/>
  <c r="H19" i="5435"/>
  <c r="H28" i="5435"/>
  <c r="C19" i="5435"/>
  <c r="H14" i="5435"/>
  <c r="H22" i="5435"/>
  <c r="H36" i="5435"/>
  <c r="H40" i="5435"/>
  <c r="H44" i="5435"/>
  <c r="H48" i="5435"/>
  <c r="H18" i="5435"/>
  <c r="H10" i="5435"/>
  <c r="H7" i="5435"/>
  <c r="H13" i="5435"/>
  <c r="H26" i="5435"/>
  <c r="H20" i="5435"/>
  <c r="H16" i="5435"/>
  <c r="H21" i="5435"/>
  <c r="H12" i="5435"/>
  <c r="H9" i="5435"/>
  <c r="H25" i="5435"/>
  <c r="H37" i="5435"/>
  <c r="H41" i="5435"/>
  <c r="H45" i="5435"/>
  <c r="H49" i="5435"/>
  <c r="H5" i="5435"/>
  <c r="H6" i="5435"/>
  <c r="H23" i="5435"/>
  <c r="H27" i="5435"/>
  <c r="H15" i="5435"/>
  <c r="C18" i="5435"/>
  <c r="B23" i="5435"/>
  <c r="H24" i="5435"/>
  <c r="H33" i="5435"/>
  <c r="H34" i="5435"/>
  <c r="H38" i="5435"/>
  <c r="H42" i="5435"/>
  <c r="H46" i="5435"/>
  <c r="O17" i="5433" l="1"/>
  <c r="O19" i="5433"/>
  <c r="C27" i="5433"/>
  <c r="B24" i="5433"/>
  <c r="C20" i="5433"/>
  <c r="B17" i="5433"/>
  <c r="H6" i="5433" s="1"/>
  <c r="C16" i="5433"/>
  <c r="C15" i="5433"/>
  <c r="C14" i="5433"/>
  <c r="C13" i="5433"/>
  <c r="O12" i="5433"/>
  <c r="C12" i="5433"/>
  <c r="O11" i="5433"/>
  <c r="C11" i="5433"/>
  <c r="O10" i="5433"/>
  <c r="C10" i="5433"/>
  <c r="C9" i="5433"/>
  <c r="C8" i="5433"/>
  <c r="O7" i="5433"/>
  <c r="C7" i="5433"/>
  <c r="O6" i="5433"/>
  <c r="B6" i="5433"/>
  <c r="O5" i="5433"/>
  <c r="B5" i="5433"/>
  <c r="O4" i="5433"/>
  <c r="O3" i="5433"/>
  <c r="O2" i="5433"/>
  <c r="O22" i="5431"/>
  <c r="O16" i="5431"/>
  <c r="C27" i="5431"/>
  <c r="B24" i="5431"/>
  <c r="C20" i="5431"/>
  <c r="B17" i="5431"/>
  <c r="H18" i="5431" s="1"/>
  <c r="C16" i="5431"/>
  <c r="C15" i="5431"/>
  <c r="C14" i="5431"/>
  <c r="C13" i="5431"/>
  <c r="O12" i="5431"/>
  <c r="C12" i="5431"/>
  <c r="O11" i="5431"/>
  <c r="C11" i="5431"/>
  <c r="O10" i="5431"/>
  <c r="C10" i="5431"/>
  <c r="C9" i="5431"/>
  <c r="C8" i="5431"/>
  <c r="O7" i="5431"/>
  <c r="C7" i="5431"/>
  <c r="O6" i="5431"/>
  <c r="B6" i="5431"/>
  <c r="O5" i="5431"/>
  <c r="B5" i="5431"/>
  <c r="O4" i="5431"/>
  <c r="O3" i="5431"/>
  <c r="O2" i="5431"/>
  <c r="O24" i="5427"/>
  <c r="O18" i="5429"/>
  <c r="O22" i="5429"/>
  <c r="C27" i="5429"/>
  <c r="B24" i="5429"/>
  <c r="C20" i="5429"/>
  <c r="B17" i="5429"/>
  <c r="H51" i="5429" s="1"/>
  <c r="C16" i="5429"/>
  <c r="C15" i="5429"/>
  <c r="C14" i="5429"/>
  <c r="C13" i="5429"/>
  <c r="O12" i="5429"/>
  <c r="C12" i="5429"/>
  <c r="O11" i="5429"/>
  <c r="C11" i="5429"/>
  <c r="O10" i="5429"/>
  <c r="C10" i="5429"/>
  <c r="C9" i="5429"/>
  <c r="C8" i="5429"/>
  <c r="O7" i="5429"/>
  <c r="C7" i="5429"/>
  <c r="O6" i="5429"/>
  <c r="B6" i="5429"/>
  <c r="O5" i="5429"/>
  <c r="B5" i="5429"/>
  <c r="O4" i="5429"/>
  <c r="O3" i="5429"/>
  <c r="O2" i="5429"/>
  <c r="O15" i="5427"/>
  <c r="O20" i="5427"/>
  <c r="C27" i="5427"/>
  <c r="B24" i="5427"/>
  <c r="C20" i="5427"/>
  <c r="B17" i="5427"/>
  <c r="H5" i="5427" s="1"/>
  <c r="C16" i="5427"/>
  <c r="C15" i="5427"/>
  <c r="C14" i="5427"/>
  <c r="C13" i="5427"/>
  <c r="O12" i="5427"/>
  <c r="C12" i="5427"/>
  <c r="O11" i="5427"/>
  <c r="C11" i="5427"/>
  <c r="O10" i="5427"/>
  <c r="C10" i="5427"/>
  <c r="C9" i="5427"/>
  <c r="C8" i="5427"/>
  <c r="O7" i="5427"/>
  <c r="C7" i="5427"/>
  <c r="O6" i="5427"/>
  <c r="B6" i="5427"/>
  <c r="O5" i="5427"/>
  <c r="B5" i="5427"/>
  <c r="O4" i="5427"/>
  <c r="O3" i="5427"/>
  <c r="O2" i="5427"/>
  <c r="H9" i="5433" l="1"/>
  <c r="H14" i="5433"/>
  <c r="H5" i="5433"/>
  <c r="H2" i="5433"/>
  <c r="H3" i="5433"/>
  <c r="H16" i="5433"/>
  <c r="H39" i="5433"/>
  <c r="H26" i="5433"/>
  <c r="H47" i="5433"/>
  <c r="H10" i="5433"/>
  <c r="H24" i="5433"/>
  <c r="C18" i="5433"/>
  <c r="H11" i="5433"/>
  <c r="H4" i="5433"/>
  <c r="C19" i="5433"/>
  <c r="H31" i="5433"/>
  <c r="B23" i="5433"/>
  <c r="H32" i="5433"/>
  <c r="C17" i="5431"/>
  <c r="H12" i="5431"/>
  <c r="H2" i="5431"/>
  <c r="H3" i="5431"/>
  <c r="H7" i="5431"/>
  <c r="H10" i="5431"/>
  <c r="H9" i="5431"/>
  <c r="H4" i="5431"/>
  <c r="H4" i="5429"/>
  <c r="H20" i="5429"/>
  <c r="H6" i="5429"/>
  <c r="H2" i="5429"/>
  <c r="H2" i="5427"/>
  <c r="H37" i="5433"/>
  <c r="H45" i="5433"/>
  <c r="H18" i="5433"/>
  <c r="H33" i="5433"/>
  <c r="H41" i="5433"/>
  <c r="H49" i="5433"/>
  <c r="H7" i="5433"/>
  <c r="H8" i="5433"/>
  <c r="H25" i="5433"/>
  <c r="H20" i="5433"/>
  <c r="C17" i="5433"/>
  <c r="H15" i="5433"/>
  <c r="H35" i="5433"/>
  <c r="H43" i="5433"/>
  <c r="H51" i="5433"/>
  <c r="H27" i="5433"/>
  <c r="H28" i="5433"/>
  <c r="H30" i="5433"/>
  <c r="H22" i="5433"/>
  <c r="H23" i="5433"/>
  <c r="H34" i="5433"/>
  <c r="H38" i="5433"/>
  <c r="H42" i="5433"/>
  <c r="H46" i="5433"/>
  <c r="H50" i="5433"/>
  <c r="H21" i="5433"/>
  <c r="H17" i="5433"/>
  <c r="H29" i="5433"/>
  <c r="H13" i="5433"/>
  <c r="H12" i="5433"/>
  <c r="H19" i="5433"/>
  <c r="H36" i="5433"/>
  <c r="H40" i="5433"/>
  <c r="H44" i="5433"/>
  <c r="H48" i="5433"/>
  <c r="H21" i="5431"/>
  <c r="H17" i="5431"/>
  <c r="H15" i="5431"/>
  <c r="H24" i="5431"/>
  <c r="H13" i="5431"/>
  <c r="H11" i="5431"/>
  <c r="H27" i="5431"/>
  <c r="H37" i="5431"/>
  <c r="H41" i="5431"/>
  <c r="H45" i="5431"/>
  <c r="H49" i="5431"/>
  <c r="H5" i="5431"/>
  <c r="H6" i="5431"/>
  <c r="H20" i="5431"/>
  <c r="H29" i="5431"/>
  <c r="H19" i="5431"/>
  <c r="C18" i="5431"/>
  <c r="B23" i="5431"/>
  <c r="H33" i="5431"/>
  <c r="H34" i="5431"/>
  <c r="H35" i="5431"/>
  <c r="H38" i="5431"/>
  <c r="H42" i="5431"/>
  <c r="H46" i="5431"/>
  <c r="H50" i="5431"/>
  <c r="H30" i="5431"/>
  <c r="H31" i="5431"/>
  <c r="H32" i="5431"/>
  <c r="H25" i="5431"/>
  <c r="H16" i="5431"/>
  <c r="H28" i="5431"/>
  <c r="H39" i="5431"/>
  <c r="H43" i="5431"/>
  <c r="H47" i="5431"/>
  <c r="H51" i="5431"/>
  <c r="H8" i="5431"/>
  <c r="H22" i="5431"/>
  <c r="H23" i="5431"/>
  <c r="C19" i="5431"/>
  <c r="H14" i="5431"/>
  <c r="H26" i="5431"/>
  <c r="H36" i="5431"/>
  <c r="H40" i="5431"/>
  <c r="H44" i="5431"/>
  <c r="H48" i="5431"/>
  <c r="H31" i="5429"/>
  <c r="H17" i="5429"/>
  <c r="C18" i="5429"/>
  <c r="H28" i="5429"/>
  <c r="H44" i="5429"/>
  <c r="H36" i="5429"/>
  <c r="H25" i="5429"/>
  <c r="H21" i="5429"/>
  <c r="H40" i="5429"/>
  <c r="H49" i="5429"/>
  <c r="H11" i="5429"/>
  <c r="H3" i="5429"/>
  <c r="H16" i="5429"/>
  <c r="H13" i="5429"/>
  <c r="H48" i="5429"/>
  <c r="H8" i="5429"/>
  <c r="C17" i="5429"/>
  <c r="H10" i="5429"/>
  <c r="H7" i="5429"/>
  <c r="H12" i="5429"/>
  <c r="H30" i="5429"/>
  <c r="H19" i="5429"/>
  <c r="H14" i="5429"/>
  <c r="H24" i="5429"/>
  <c r="H41" i="5429"/>
  <c r="H15" i="5429"/>
  <c r="C19" i="5429"/>
  <c r="H26" i="5429"/>
  <c r="H9" i="5429"/>
  <c r="H37" i="5429"/>
  <c r="H45" i="5429"/>
  <c r="H5" i="5429"/>
  <c r="B23" i="5429"/>
  <c r="H27" i="5429"/>
  <c r="H23" i="5429"/>
  <c r="H35" i="5429"/>
  <c r="H38" i="5429"/>
  <c r="H42" i="5429"/>
  <c r="H46" i="5429"/>
  <c r="H50" i="5429"/>
  <c r="H32" i="5429"/>
  <c r="H33" i="5429"/>
  <c r="H22" i="5429"/>
  <c r="H34" i="5429"/>
  <c r="H18" i="5429"/>
  <c r="H29" i="5429"/>
  <c r="H39" i="5429"/>
  <c r="H43" i="5429"/>
  <c r="H47" i="5429"/>
  <c r="C17" i="5427"/>
  <c r="H3" i="5427"/>
  <c r="H11" i="5427"/>
  <c r="H34" i="5427"/>
  <c r="H28" i="5427"/>
  <c r="H30" i="5427"/>
  <c r="H31" i="5427"/>
  <c r="H43" i="5427"/>
  <c r="H51" i="5427"/>
  <c r="H8" i="5427"/>
  <c r="H26" i="5427"/>
  <c r="C19" i="5427"/>
  <c r="H14" i="5427"/>
  <c r="H24" i="5427"/>
  <c r="H37" i="5427"/>
  <c r="H41" i="5427"/>
  <c r="H44" i="5427"/>
  <c r="H48" i="5427"/>
  <c r="H18" i="5427"/>
  <c r="H10" i="5427"/>
  <c r="H6" i="5427"/>
  <c r="H12" i="5427"/>
  <c r="H22" i="5427"/>
  <c r="H19" i="5427"/>
  <c r="H15" i="5427"/>
  <c r="H13" i="5427"/>
  <c r="H9" i="5427"/>
  <c r="H25" i="5427"/>
  <c r="H32" i="5427"/>
  <c r="H45" i="5427"/>
  <c r="H49" i="5427"/>
  <c r="H7" i="5427"/>
  <c r="H20" i="5427"/>
  <c r="H33" i="5427"/>
  <c r="H16" i="5427"/>
  <c r="C18" i="5427"/>
  <c r="B23" i="5427"/>
  <c r="H23" i="5427"/>
  <c r="H29" i="5427"/>
  <c r="H36" i="5427"/>
  <c r="H39" i="5427"/>
  <c r="H42" i="5427"/>
  <c r="H46" i="5427"/>
  <c r="H50" i="5427"/>
  <c r="H4" i="5427"/>
  <c r="H35" i="5427"/>
  <c r="H17" i="5427"/>
  <c r="H40" i="5427"/>
  <c r="H47" i="5427"/>
  <c r="H21" i="5427"/>
  <c r="H27" i="5427"/>
  <c r="H38" i="5427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51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<sst xmlns="http://schemas.openxmlformats.org/spreadsheetml/2006/main" count="3244" uniqueCount="245">
  <si>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</si>
  <si>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</si>
  <si>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</si>
  <si>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</si>
  <si>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</si>
  <si>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</si>
  <si>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</si>
  <si>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</si>
  <si>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</si>
  <si>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</si>
  <si>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</si>
  <si>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</si>
  <si>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</si>
  <si>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</si>
  <si>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</si>
  <si>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</si>
  <si>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</si>
  <si>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</si>
  <si>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</si>
  <si>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</si>
  <si>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</si>
  <si>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</si>
  <si>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</si>
  <si>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</si>
  <si>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</si>
  <si>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</si>
  <si>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</si>
  <si>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</si>
  <si>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</si>
  <si>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</si>
  <si>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</si>
  <si>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</si>
  <si>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</si>
  <si>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</si>
  <si>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</si>
  <si>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</si>
  <si>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</si>
  <si>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</si>
  <si>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</si>
  <si>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</si>
  <si>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</si>
  <si>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</si>
  <si>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</si>
  <si>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</si>
  <si>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</si>
  <si>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</si>
  <si>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</si>
  <si>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</si>
  <si>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</si>
  <si>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</si>
  <si>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</si>
  <si>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</si>
  <si>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</si>
  <si>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</si>
  <si>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</si>
  <si>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</si>
  <si>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</si>
  <si>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</si>
  <si>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</si>
  <si>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</si>
  <si>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</si>
  <si>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</si>
  <si>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</si>
  <si>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</si>
  <si>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</si>
  <si>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</si>
  <si>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</si>
  <si>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</si>
  <si>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</si>
  <si>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</si>
  <si>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</si>
  <si>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</si>
  <si>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</si>
  <si>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</si>
  <si>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</si>
  <si>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</si>
  <si>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</si>
  <si>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</si>
  <si>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</si>
  <si>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</si>
  <si>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</si>
  <si>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</si>
  <si>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</si>
  <si>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</si>
  <si>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</si>
  <si>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</si>
  <si>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</si>
  <si>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</si>
  <si>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</si>
  <si>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</si>
  <si>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</si>
  <si>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</si>
  <si>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</si>
  <si>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</si>
  <si>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</si>
  <si>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</si>
  <si>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</si>
  <si>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</si>
  <si>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</si>
  <si>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</si>
  <si>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</si>
  <si>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</si>
  <si>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</si>
  <si>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</si>
  <si>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</si>
  <si>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</si>
  <si>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</si>
  <si>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</si>
  <si>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</si>
  <si>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</si>
  <si>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</si>
  <si>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</si>
  <si>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</si>
  <si>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</si>
  <si>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</si>
  <si>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</si>
  <si>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</si>
  <si>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</si>
  <si>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</si>
  <si>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</si>
  <si>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</si>
  <si>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</si>
  <si>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</si>
  <si>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</si>
  <si>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</si>
  <si>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</si>
  <si>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</si>
  <si>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</si>
  <si>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</si>
  <si>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</si>
  <si>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</si>
  <si>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</si>
  <si>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</si>
  <si>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</si>
  <si>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</si>
  <si>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</si>
  <si>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</si>
  <si>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</si>
  <si>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</si>
  <si>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</si>
  <si>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</si>
  <si>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</si>
  <si>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</si>
  <si>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</si>
  <si>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</si>
  <si>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</si>
  <si>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</si>
  <si>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</si>
  <si>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</si>
  <si>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</si>
  <si>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</si>
  <si>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</si>
  <si>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</si>
  <si>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</si>
  <si>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</si>
  <si>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</si>
  <si>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</si>
  <si>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</si>
  <si>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</si>
  <si>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</si>
  <si>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</si>
  <si>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</si>
  <si>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</si>
  <si>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</si>
  <si>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</si>
  <si>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</si>
  <si>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</si>
  <si>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</si>
  <si>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</si>
  <si>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</si>
  <si>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</si>
  <si>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</si>
  <si>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</si>
  <si>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</si>
  <si>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</si>
  <si>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</si>
  <si>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</si>
  <si>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</si>
  <si>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</si>
  <si>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</si>
  <si>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</si>
  <si>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</si>
  <si>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</si>
  <si>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</si>
  <si>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</si>
  <si>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</si>
  <si>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</si>
  <si>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</si>
  <si>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</si>
  <si>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</si>
  <si>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</si>
  <si>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</si>
  <si>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</si>
  <si>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</si>
  <si>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</si>
  <si>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</si>
  <si>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</si>
  <si>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</si>
  <si>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</si>
  <si>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</si>
  <si>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</si>
  <si>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</si>
  <si>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</si>
  <si>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</si>
  <si>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</si>
  <si>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</si>
  <si>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</si>
  <si>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</si>
  <si>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</si>
  <si>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</si>
  <si>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</si>
  <si>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</si>
  <si>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</si>
  <si>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</si>
  <si>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</si>
  <si>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</si>
  <si>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</si>
  <si>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</si>
  <si>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</si>
  <si>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</si>
  <si>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</si>
  <si>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</si>
  <si>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</si>
  <si>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</si>
  <si>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</si>
  <si>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</si>
  <si>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</si>
  <si>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</si>
  <si>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</si>
  <si>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</si>
  <si>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</si>
  <si>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</si>
  <si>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</si>
  <si>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2019-05-21@1.xlsm</t>
  </si>
  <si>
    <t>2019-05-22@1.xlsm</t>
  </si>
  <si>
    <t>2019-05-22@2.xlsm</t>
  </si>
  <si>
    <t>2019-05-23@2.xlsm</t>
  </si>
  <si>
    <t>2019-05-23@1.xlsm</t>
  </si>
  <si>
    <t>2019-05-24@2.xlsm</t>
  </si>
  <si>
    <t>2019-05-27@2.xlsm</t>
  </si>
  <si>
    <t>2019-05-25@1.xlsm</t>
  </si>
  <si>
    <t>2019-05-28@2.xlsm</t>
  </si>
  <si>
    <t>2019-05-31@2.xlsm</t>
  </si>
  <si>
    <t>2019-06-01@2.xlsm</t>
  </si>
  <si>
    <t>2019-06-02@2.xlsm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</si>
</sst>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全体!$K$2:$K$599</c:f>
              <c:numCache>
                <c:formatCode>General</c:formatCode>
                <c:ptCount val="5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</c:numCache>
            </c:numRef>
          </c:xVal>
          <c:yVal>
            <c:numRef>
              <c:f>全体!$L$2:$L$599</c:f>
              <c:numCache>
                <c:formatCode>\+0.0;\-0.0;\±0</c:formatCode>
                <c:ptCount val="598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-78.699999999999989</c:v>
                </c:pt>
                <c:pt idx="527">
                  <c:v>-20.699999999999989</c:v>
                </c:pt>
                <c:pt idx="528">
                  <c:v>1.0658141036401503E-14</c:v>
                </c:pt>
                <c:pt idx="529">
                  <c:v>37.400000000000006</c:v>
                </c:pt>
                <c:pt idx="530">
                  <c:v>-5.5999999999999943</c:v>
                </c:pt>
                <c:pt idx="531">
                  <c:v>5.3290705182007514E-15</c:v>
                </c:pt>
                <c:pt idx="532">
                  <c:v>5.3290705182007514E-15</c:v>
                </c:pt>
                <c:pt idx="533">
                  <c:v>-56.999999999999993</c:v>
                </c:pt>
                <c:pt idx="534">
                  <c:v>7.1054273576010019E-15</c:v>
                </c:pt>
                <c:pt idx="535">
                  <c:v>-23.699999999999992</c:v>
                </c:pt>
                <c:pt idx="536">
                  <c:v>-1.2999999999999936</c:v>
                </c:pt>
                <c:pt idx="537">
                  <c:v>6.4392935428259079E-15</c:v>
                </c:pt>
                <c:pt idx="538">
                  <c:v>-2.9999999999999938</c:v>
                </c:pt>
                <c:pt idx="539">
                  <c:v>43.000000000000007</c:v>
                </c:pt>
                <c:pt idx="540">
                  <c:v>7.1054273576010019E-15</c:v>
                </c:pt>
                <c:pt idx="541">
                  <c:v>-35.099999999999994</c:v>
                </c:pt>
                <c:pt idx="542">
                  <c:v>-5.4999999999999929</c:v>
                </c:pt>
                <c:pt idx="543">
                  <c:v>7.1054273576010019E-15</c:v>
                </c:pt>
                <c:pt idx="544">
                  <c:v>-26.999999999999993</c:v>
                </c:pt>
                <c:pt idx="545">
                  <c:v>6.5000000000000071</c:v>
                </c:pt>
                <c:pt idx="546">
                  <c:v>7.1054273576010019E-15</c:v>
                </c:pt>
                <c:pt idx="547">
                  <c:v>49.000000000000007</c:v>
                </c:pt>
                <c:pt idx="548">
                  <c:v>57.100000000000009</c:v>
                </c:pt>
                <c:pt idx="549">
                  <c:v>7.1054273576010019E-15</c:v>
                </c:pt>
                <c:pt idx="550">
                  <c:v>-28.199999999999992</c:v>
                </c:pt>
                <c:pt idx="551">
                  <c:v>2.2000000000000064</c:v>
                </c:pt>
                <c:pt idx="552">
                  <c:v>6.2172489379008766E-15</c:v>
                </c:pt>
                <c:pt idx="553">
                  <c:v>6.1000000000000059</c:v>
                </c:pt>
                <c:pt idx="554">
                  <c:v>-33.79999999999999</c:v>
                </c:pt>
                <c:pt idx="555">
                  <c:v>7.1054273576010019E-15</c:v>
                </c:pt>
                <c:pt idx="556">
                  <c:v>-62.999999999999993</c:v>
                </c:pt>
                <c:pt idx="557">
                  <c:v>-44.999999999999993</c:v>
                </c:pt>
                <c:pt idx="558">
                  <c:v>7.1054273576010019E-15</c:v>
                </c:pt>
                <c:pt idx="559">
                  <c:v>100.9</c:v>
                </c:pt>
                <c:pt idx="560">
                  <c:v>27.200000000000003</c:v>
                </c:pt>
                <c:pt idx="561">
                  <c:v>3.5527136788005009E-15</c:v>
                </c:pt>
                <c:pt idx="562">
                  <c:v>27.100000000000005</c:v>
                </c:pt>
                <c:pt idx="563">
                  <c:v>31.800000000000004</c:v>
                </c:pt>
                <c:pt idx="564">
                  <c:v>3.5527136788005009E-15</c:v>
                </c:pt>
                <c:pt idx="565">
                  <c:v>-0.79999999999999649</c:v>
                </c:pt>
                <c:pt idx="566">
                  <c:v>23.400000000000002</c:v>
                </c:pt>
                <c:pt idx="567">
                  <c:v>3.5527136788005009E-15</c:v>
                </c:pt>
                <c:pt idx="568">
                  <c:v>57.2</c:v>
                </c:pt>
                <c:pt idx="569">
                  <c:v>69.5</c:v>
                </c:pt>
                <c:pt idx="570">
                  <c:v>0</c:v>
                </c:pt>
                <c:pt idx="571">
                  <c:v>-48.7</c:v>
                </c:pt>
                <c:pt idx="572">
                  <c:v>-37.1</c:v>
                </c:pt>
                <c:pt idx="573">
                  <c:v>0</c:v>
                </c:pt>
                <c:pt idx="574">
                  <c:v>29.4</c:v>
                </c:pt>
                <c:pt idx="575">
                  <c:v>-0.80000000000000071</c:v>
                </c:pt>
                <c:pt idx="576">
                  <c:v>-6.6613381477509392E-16</c:v>
                </c:pt>
                <c:pt idx="577">
                  <c:v>79.599999999999994</c:v>
                </c:pt>
                <c:pt idx="578">
                  <c:v>70.8</c:v>
                </c:pt>
                <c:pt idx="579">
                  <c:v>0</c:v>
                </c:pt>
                <c:pt idx="580">
                  <c:v>-55.7</c:v>
                </c:pt>
                <c:pt idx="581">
                  <c:v>7.6999999999999957</c:v>
                </c:pt>
                <c:pt idx="582">
                  <c:v>-4.4408920985006262E-15</c:v>
                </c:pt>
                <c:pt idx="583">
                  <c:v>40.599999999999994</c:v>
                </c:pt>
                <c:pt idx="584">
                  <c:v>43.599999999999994</c:v>
                </c:pt>
                <c:pt idx="585">
                  <c:v>-7.1054273576010019E-15</c:v>
                </c:pt>
                <c:pt idx="586">
                  <c:v>-50.500000000000007</c:v>
                </c:pt>
                <c:pt idx="587">
                  <c:v>-47.900000000000006</c:v>
                </c:pt>
                <c:pt idx="588">
                  <c:v>-7.1054273576010019E-15</c:v>
                </c:pt>
                <c:pt idx="589">
                  <c:v>-41.70000000000001</c:v>
                </c:pt>
                <c:pt idx="590">
                  <c:v>-0.70000000000000995</c:v>
                </c:pt>
                <c:pt idx="591">
                  <c:v>-9.9920072216264089E-15</c:v>
                </c:pt>
                <c:pt idx="592">
                  <c:v>-34.900000000000006</c:v>
                </c:pt>
                <c:pt idx="593">
                  <c:v>-38.100000000000009</c:v>
                </c:pt>
                <c:pt idx="594">
                  <c:v>-7.1054273576010019E-15</c:v>
                </c:pt>
                <c:pt idx="595">
                  <c:v>64.199999999999989</c:v>
                </c:pt>
                <c:pt idx="596">
                  <c:v>57.999999999999986</c:v>
                </c:pt>
                <c:pt idx="597">
                  <c:v>-1.4210854715202004E-14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01-426C-8750-FD0716AE53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-13.40033500837521</c:v>
                </c:pt>
                <c:pt idx="1">
                  <c:v>-6.8728522336769755</c:v>
                </c:pt>
                <c:pt idx="2">
                  <c:v>5.4644808743169397</c:v>
                </c:pt>
                <c:pt idx="3">
                  <c:v>11.976047904191617</c:v>
                </c:pt>
                <c:pt idx="4">
                  <c:v>-15.555555555555555</c:v>
                </c:pt>
                <c:pt idx="5">
                  <c:v>24.875621890547265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CF-4733-97E9-544A6E32D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だいち!$K$2:$K$136</c:f>
              <c:numCache>
                <c:formatCode>General</c:formatCode>
                <c:ptCount val="1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</c:numCache>
            </c:numRef>
          </c:xVal>
          <c:yVal>
            <c:numRef>
              <c:f>だいち!$L$2:$L$136</c:f>
              <c:numCache>
                <c:formatCode>\+0.0;\-0.0;\±0</c:formatCode>
                <c:ptCount val="135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1492.600000000001</c:v>
                </c:pt>
                <c:pt idx="118">
                  <c:v>1530.0000000000011</c:v>
                </c:pt>
                <c:pt idx="119">
                  <c:v>1530.0000000000011</c:v>
                </c:pt>
                <c:pt idx="120">
                  <c:v>1527.0000000000011</c:v>
                </c:pt>
                <c:pt idx="121">
                  <c:v>1556.600000000001</c:v>
                </c:pt>
                <c:pt idx="122">
                  <c:v>1590.100000000001</c:v>
                </c:pt>
                <c:pt idx="123">
                  <c:v>1598.200000000001</c:v>
                </c:pt>
                <c:pt idx="124">
                  <c:v>1628.600000000001</c:v>
                </c:pt>
                <c:pt idx="125">
                  <c:v>1565.600000000001</c:v>
                </c:pt>
                <c:pt idx="126">
                  <c:v>1666.5000000000011</c:v>
                </c:pt>
                <c:pt idx="127">
                  <c:v>1643.100000000001</c:v>
                </c:pt>
                <c:pt idx="128">
                  <c:v>1573.600000000001</c:v>
                </c:pt>
                <c:pt idx="129">
                  <c:v>1603.0000000000011</c:v>
                </c:pt>
                <c:pt idx="130">
                  <c:v>1682.600000000001</c:v>
                </c:pt>
                <c:pt idx="131">
                  <c:v>1632.100000000001</c:v>
                </c:pt>
                <c:pt idx="132">
                  <c:v>1590.400000000001</c:v>
                </c:pt>
                <c:pt idx="133">
                  <c:v>1555.5000000000009</c:v>
                </c:pt>
                <c:pt idx="134">
                  <c:v>1549.3000000000009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FE-481F-A7B5-DD78DAFA16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1689.5522388059701</c:v>
                </c:pt>
                <c:pt idx="1">
                  <c:v>1216.9230769230769</c:v>
                </c:pt>
                <c:pt idx="2">
                  <c:v>1194.3089430894308</c:v>
                </c:pt>
                <c:pt idx="3">
                  <c:v>2585.8407079646017</c:v>
                </c:pt>
                <c:pt idx="4">
                  <c:v>234.34343434343435</c:v>
                </c:pt>
                <c:pt idx="5">
                  <c:v>620.93023255813955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9F-4841-B64B-7DB5E1F2D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りくと!$K$2:$K$119</c:f>
              <c:numCache>
                <c:formatCode>General</c:formatCode>
                <c:ptCount val="1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</c:numCache>
            </c:numRef>
          </c:xVal>
          <c:yVal>
            <c:numRef>
              <c:f>りくと!$L$2:$L$119</c:f>
              <c:numCache>
                <c:formatCode>\+0.0;\-0.0;\±0</c:formatCode>
                <c:ptCount val="118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  <c:pt idx="115">
                  <c:v>-327.60000000000008</c:v>
                </c:pt>
                <c:pt idx="116">
                  <c:v>-316.00000000000006</c:v>
                </c:pt>
                <c:pt idx="117">
                  <c:v>-313.40000000000003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BA-4B30-90FA-AD8E0A4804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492.30769230769232</c:v>
                </c:pt>
                <c:pt idx="1">
                  <c:v>-2277.8761061946902</c:v>
                </c:pt>
                <c:pt idx="2">
                  <c:v>94.545454545454547</c:v>
                </c:pt>
                <c:pt idx="3">
                  <c:v>142.85714285714286</c:v>
                </c:pt>
                <c:pt idx="4">
                  <c:v>390.80459770114942</c:v>
                </c:pt>
                <c:pt idx="5">
                  <c:v>555.55555555555554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82-4A1F-AA78-3EE1CA1BBA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ただ!$K$2:$K$76</c:f>
              <c:numCache>
                <c:formatCode>General</c:formatCode>
                <c:ptCount val="7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</c:numCache>
            </c:numRef>
          </c:xVal>
          <c:yVal>
            <c:numRef>
              <c:f>ただ!$L$2:$L$76</c:f>
              <c:numCache>
                <c:formatCode>\+0.0;\-0.0;\±0</c:formatCode>
                <c:ptCount val="75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  <c:pt idx="65">
                  <c:v>-1083.0999999999997</c:v>
                </c:pt>
                <c:pt idx="66">
                  <c:v>-1122.9999999999998</c:v>
                </c:pt>
                <c:pt idx="67">
                  <c:v>-1123.7999999999997</c:v>
                </c:pt>
                <c:pt idx="68">
                  <c:v>-1066.5999999999997</c:v>
                </c:pt>
                <c:pt idx="69">
                  <c:v>-1115.2999999999997</c:v>
                </c:pt>
                <c:pt idx="70">
                  <c:v>-1170.9999999999998</c:v>
                </c:pt>
                <c:pt idx="71">
                  <c:v>-1130.3999999999999</c:v>
                </c:pt>
                <c:pt idx="72">
                  <c:v>-1129.6999999999998</c:v>
                </c:pt>
                <c:pt idx="73">
                  <c:v>-1091.5999999999999</c:v>
                </c:pt>
                <c:pt idx="74">
                  <c:v>-1149.5999999999999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9B-4C7C-A119-B6635559AB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-2313.5135135135133</c:v>
                </c:pt>
                <c:pt idx="1">
                  <c:v>-1302.7777777777778</c:v>
                </c:pt>
                <c:pt idx="2">
                  <c:v>-442.64705882352939</c:v>
                </c:pt>
                <c:pt idx="3">
                  <c:v>-4698.333333333333</c:v>
                </c:pt>
                <c:pt idx="4">
                  <c:v>-1466.6666666666667</c:v>
                </c:pt>
                <c:pt idx="5">
                  <c:v>-2173.4693877551022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30-4339-B7C7-3F558479AF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れんたろう!$K$2:$K$86</c:f>
              <c:numCache>
                <c:formatCode>General</c:formatCode>
                <c:ptCount val="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れんたろう!$L$2:$L$86</c:f>
              <c:numCache>
                <c:formatCode>\+0.0;\-0.0;\±0</c:formatCode>
                <c:ptCount val="85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  <c:pt idx="76">
                  <c:v>163.29999999999998</c:v>
                </c:pt>
                <c:pt idx="77">
                  <c:v>89.59999999999998</c:v>
                </c:pt>
                <c:pt idx="78">
                  <c:v>94.299999999999983</c:v>
                </c:pt>
                <c:pt idx="79">
                  <c:v>118.49999999999999</c:v>
                </c:pt>
                <c:pt idx="80">
                  <c:v>109.69999999999999</c:v>
                </c:pt>
                <c:pt idx="81">
                  <c:v>173.1</c:v>
                </c:pt>
                <c:pt idx="82">
                  <c:v>214.1</c:v>
                </c:pt>
                <c:pt idx="83">
                  <c:v>210.9</c:v>
                </c:pt>
                <c:pt idx="84">
                  <c:v>275.10000000000002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E3-4841-BBCD-A6DF32A16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-532.14285714285711</c:v>
                </c:pt>
                <c:pt idx="1">
                  <c:v>898.78048780487802</c:v>
                </c:pt>
                <c:pt idx="2">
                  <c:v>1672.3684210526317</c:v>
                </c:pt>
                <c:pt idx="3">
                  <c:v>1412.121212121212</c:v>
                </c:pt>
                <c:pt idx="4">
                  <c:v>-375.86206896551727</c:v>
                </c:pt>
                <c:pt idx="5">
                  <c:v>350.94339622641508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86-413F-B167-6220FE3AD1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たかの!$K$2:$K$68</c:f>
              <c:numCache>
                <c:formatCode>General</c:formatCode>
                <c:ptCount val="6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</c:numCache>
            </c:numRef>
          </c:xVal>
          <c:yVal>
            <c:numRef>
              <c:f>たかの!$L$2:$L$68</c:f>
              <c:numCache>
                <c:formatCode>\+0.0;\-0.0;\±0</c:formatCode>
                <c:ptCount val="67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  <c:pt idx="60">
                  <c:v>66.999999999999986</c:v>
                </c:pt>
                <c:pt idx="61">
                  <c:v>39.799999999999983</c:v>
                </c:pt>
                <c:pt idx="62">
                  <c:v>7.9999999999999822</c:v>
                </c:pt>
                <c:pt idx="63">
                  <c:v>45.09999999999998</c:v>
                </c:pt>
                <c:pt idx="64">
                  <c:v>45.899999999999977</c:v>
                </c:pt>
                <c:pt idx="65">
                  <c:v>38.199999999999974</c:v>
                </c:pt>
                <c:pt idx="66">
                  <c:v>-5.400000000000027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49-41C0-8043-FA901CE853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696.969696969697</c:v>
                </c:pt>
                <c:pt idx="1">
                  <c:v>-662.12121212121212</c:v>
                </c:pt>
                <c:pt idx="2">
                  <c:v>-1530.5084745762713</c:v>
                </c:pt>
                <c:pt idx="3">
                  <c:v>641.07142857142856</c:v>
                </c:pt>
                <c:pt idx="4">
                  <c:v>861.11111111111109</c:v>
                </c:pt>
                <c:pt idx="5">
                  <c:v>-258.69565217391306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74-4C20-ADA0-48B0595205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ぱぱ!$K$2:$K$46</c:f>
              <c:numCache>
                <c:formatCode>General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ぱぱ!$L$2:$L$46</c:f>
              <c:numCache>
                <c:formatCode>\+0.0;\-0.0;\±0</c:formatCode>
                <c:ptCount val="45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  <c:pt idx="44">
                  <c:v>-262.59999999999997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E9-4367-8D8A-33DF8A3198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-3038.6363636363635</c:v>
                </c:pt>
                <c:pt idx="1">
                  <c:v>2159.090909090909</c:v>
                </c:pt>
                <c:pt idx="2">
                  <c:v>-738.09523809523807</c:v>
                </c:pt>
                <c:pt idx="3">
                  <c:v>-3689.7435897435898</c:v>
                </c:pt>
                <c:pt idx="4">
                  <c:v>-128.57142857142858</c:v>
                </c:pt>
                <c:pt idx="5">
                  <c:v>632.35294117647061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65-4F8D-AC20-749F33ED58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まっつん!$K$2:$K$53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まっつん!$L$2:$L$53</c:f>
              <c:numCache>
                <c:formatCode>\+0.0;\-0.0;\±0</c:formatCode>
                <c:ptCount val="52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9A-4547-8366-97547C9D8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327.45098039215685</c:v>
                </c:pt>
                <c:pt idx="1">
                  <c:v>908.33333333333337</c:v>
                </c:pt>
                <c:pt idx="2">
                  <c:v>-1147.7272727272727</c:v>
                </c:pt>
                <c:pt idx="3">
                  <c:v>1418.6046511627908</c:v>
                </c:pt>
                <c:pt idx="4">
                  <c:v>-1741.0256410256411</c:v>
                </c:pt>
                <c:pt idx="5">
                  <c:v>571.875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08-4ED9-8E52-EEB0A75250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E0-4C24-AC91-A38D97DB91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08-4764-B3C8-438A0568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いっしー!$L$2:$L$16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  <c:pt idx="13">
                  <c:v>-144.79999999999998</c:v>
                </c:pt>
                <c:pt idx="14">
                  <c:v>-138.69999999999999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C7-426D-A594-5A553762DD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-114.28571428571429</c:v>
                </c:pt>
                <c:pt idx="1">
                  <c:v>-328.57142857142856</c:v>
                </c:pt>
                <c:pt idx="2">
                  <c:v>-850</c:v>
                </c:pt>
                <c:pt idx="3">
                  <c:v>-4700</c:v>
                </c:pt>
                <c:pt idx="4">
                  <c:v>1869.2307692307693</c:v>
                </c:pt>
                <c:pt idx="5">
                  <c:v>-3650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6D-4759-910E-061DA8C59F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C6-4C9C-82C8-9139216753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-2071.4285714285716</c:v>
                </c:pt>
                <c:pt idx="1">
                  <c:v>2828.5714285714284</c:v>
                </c:pt>
                <c:pt idx="2">
                  <c:v>-6371.4285714285716</c:v>
                </c:pt>
                <c:pt idx="3">
                  <c:v>-2471.4285714285716</c:v>
                </c:pt>
                <c:pt idx="4">
                  <c:v>4240</c:v>
                </c:pt>
                <c:pt idx="5">
                  <c:v>2020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4F-4AD6-B94B-C5B5636B0C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1C-4666-9931-1732730FF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35-4425-AF61-CEBA338F59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-37</c:v>
                </c:pt>
                <c:pt idx="2">
                  <c:v>-24.7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B0-439C-AE4D-89DAC3977B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250</c:v>
                </c:pt>
                <c:pt idx="1">
                  <c:v>-7000</c:v>
                </c:pt>
                <c:pt idx="2">
                  <c:v>-3000</c:v>
                </c:pt>
                <c:pt idx="3">
                  <c:v>-1000</c:v>
                </c:pt>
                <c:pt idx="4">
                  <c:v>400</c:v>
                </c:pt>
                <c:pt idx="5">
                  <c:v>16000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BA-4441-9752-DCC1EF38D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やがさき2!$B$1:$B$2</c:f>
              <c:strCache>
                <c:ptCount val="2"/>
                <c:pt idx="0">
                  <c:v>やがさき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やがさき2!$B$3:$B$5</c:f>
              <c:numCache>
                <c:formatCode>\+0.0;\-0.0;\±0</c:formatCode>
                <c:ptCount val="3"/>
                <c:pt idx="0">
                  <c:v>0</c:v>
                </c:pt>
                <c:pt idx="1">
                  <c:v>-37</c:v>
                </c:pt>
                <c:pt idx="2">
                  <c:v>-24.7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4210854715202004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やがさき2!$C$1:$C$2</c:f>
              <c:strCache>
                <c:ptCount val="2"/>
                <c:pt idx="0">
                  <c:v>やがさき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やがさき2!$C$3:$C$5</c:f>
              <c:numCache>
                <c:formatCode>\+0.0;\-0.0;\±0</c:formatCode>
                <c:ptCount val="3"/>
                <c:pt idx="1">
                  <c:v>-37</c:v>
                </c:pt>
                <c:pt idx="2">
                  <c:v>-12.35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2.3803776742381916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やがさき2!$D$1:$D$2</c:f>
              <c:strCache>
                <c:ptCount val="2"/>
                <c:pt idx="0">
                  <c:v>やがさき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やがさき2!$D$3:$D$5</c:f>
              <c:numCache>
                <c:formatCode>0.00\ "位"</c:formatCode>
                <c:ptCount val="3"/>
                <c:pt idx="1">
                  <c:v>3</c:v>
                </c:pt>
                <c:pt idx="2">
                  <c:v>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やがさき2!$E$1:$E$2</c:f>
              <c:strCache>
                <c:ptCount val="2"/>
                <c:pt idx="0">
                  <c:v>やがさき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やがさき2!$E$3:$E$5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やがさき2!$F$1:$F$2</c:f>
              <c:strCache>
                <c:ptCount val="2"/>
                <c:pt idx="0">
                  <c:v>やがさき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やがさき2!$F$3:$F$5</c:f>
              <c:numCache>
                <c:formatCode>0.0%</c:formatCode>
                <c:ptCount val="3"/>
                <c:pt idx="1">
                  <c:v>1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やがさき2!$G$1:$G$2</c:f>
              <c:strCache>
                <c:ptCount val="2"/>
                <c:pt idx="0">
                  <c:v>やがさき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やがさき2!$G$3:$G$5</c:f>
              <c:numCache>
                <c:formatCode>0.0%</c:formatCode>
                <c:ptCount val="3"/>
                <c:pt idx="1">
                  <c:v>0.375</c:v>
                </c:pt>
                <c:pt idx="2">
                  <c:v>0.29411764705882354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003817560779585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やがさき2!$H$1:$H$2</c:f>
              <c:strCache>
                <c:ptCount val="2"/>
                <c:pt idx="0">
                  <c:v>やがさき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やがさき2!$H$3:$H$5</c:f>
              <c:numCache>
                <c:formatCode>0.0%</c:formatCode>
                <c:ptCount val="3"/>
                <c:pt idx="1">
                  <c:v>0.375</c:v>
                </c:pt>
                <c:pt idx="2">
                  <c:v>0.23529411764705882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83745228049025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やがさき2!$I$1:$I$2</c:f>
              <c:strCache>
                <c:ptCount val="2"/>
                <c:pt idx="0">
                  <c:v>やがさき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やがさき2!$I$3:$I$5</c:f>
              <c:numCache>
                <c:formatCode>0</c:formatCode>
                <c:ptCount val="3"/>
                <c:pt idx="1">
                  <c:v>8666.6666666666661</c:v>
                </c:pt>
                <c:pt idx="2">
                  <c:v>10600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680.936454849497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やがさき2!$J$1:$J$2</c:f>
              <c:strCache>
                <c:ptCount val="2"/>
                <c:pt idx="0">
                  <c:v>やがさき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やがさき2!$J$3:$J$5</c:f>
              <c:numCache>
                <c:formatCode>0</c:formatCode>
                <c:ptCount val="3"/>
                <c:pt idx="1">
                  <c:v>-14000</c:v>
                </c:pt>
                <c:pt idx="2">
                  <c:v>-12425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328.281622911694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やがさき2!$K$1:$K$2</c:f>
              <c:strCache>
                <c:ptCount val="2"/>
                <c:pt idx="0">
                  <c:v>やがさき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やがさき2!$K$3:$K$5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5577889447236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やがさき2!$L$1:$L$2</c:f>
              <c:strCache>
                <c:ptCount val="2"/>
                <c:pt idx="0">
                  <c:v>やがさき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やがさき2!$L$3:$L$5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5577889447236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やがさき2!$M$1:$M$2</c:f>
              <c:strCache>
                <c:ptCount val="2"/>
                <c:pt idx="0">
                  <c:v>やがさき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やがさき2!$M$3:$M$5</c:f>
              <c:numCache>
                <c:formatCode>0.0%</c:formatCode>
                <c:ptCount val="3"/>
                <c:pt idx="1">
                  <c:v>0.375</c:v>
                </c:pt>
                <c:pt idx="2">
                  <c:v>0.17647058823529413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812939521800281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やがさき2!$N$1:$N$2</c:f>
              <c:strCache>
                <c:ptCount val="2"/>
                <c:pt idx="0">
                  <c:v>やがさき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やがさき2!$N$3:$N$5</c:f>
              <c:numCache>
                <c:formatCode>0.0%</c:formatCode>
                <c:ptCount val="3"/>
                <c:pt idx="1">
                  <c:v>0.125</c:v>
                </c:pt>
                <c:pt idx="2">
                  <c:v>0.23529411764705882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097649186256781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やがさき2!$O$1:$O$2</c:f>
              <c:strCache>
                <c:ptCount val="2"/>
                <c:pt idx="0">
                  <c:v>やがさき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やがさき2!$O$3:$O$5</c:f>
              <c:numCache>
                <c:formatCode>0.0%</c:formatCode>
                <c:ptCount val="3"/>
                <c:pt idx="1">
                  <c:v>1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785714285714286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やがさき2!$P$1:$P$2</c:f>
              <c:strCache>
                <c:ptCount val="2"/>
                <c:pt idx="0">
                  <c:v>やがさき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やがさき2!$P$3:$P$5</c:f>
              <c:numCache>
                <c:formatCode>0.0%</c:formatCode>
                <c:ptCount val="3"/>
                <c:pt idx="1">
                  <c:v>0</c:v>
                </c:pt>
                <c:pt idx="2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27203065134099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やがさき2!$Q$1:$Q$2</c:f>
              <c:strCache>
                <c:ptCount val="2"/>
                <c:pt idx="0">
                  <c:v>やがさき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やがさき2!$Q$3:$Q$5</c:f>
              <c:numCache>
                <c:formatCode>0.0%</c:formatCode>
                <c:ptCount val="3"/>
                <c:pt idx="1">
                  <c:v>0.66666666666666663</c:v>
                </c:pt>
                <c:pt idx="2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27759197324414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5831448-8264-454A-AE06-4171AC07DE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A01241C-A151-4A46-8D90-029AA4A42B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D428033-3C32-4519-B693-650DA8CF29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447F123-1A84-4D29-8523-AC233C9FB5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DEFFF9C-699C-43F7-B68F-D696BAC1E7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C7DFF59-DEC8-412D-98AB-5DF4A188AD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5CD84DF-9E4C-498C-8910-B2DAA5DCCD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1F156DD-949C-40B9-86CA-F3C5031BB9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034B692-C1EF-42E6-8E0B-C97BF6BE67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49E80B3-7ADE-4A7E-A70F-59638B546F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49F0F93-FB90-4982-B839-64C78CA1A1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87B8C04-2511-4EF3-BBF0-1C1AE6B3B7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EF4E8B9-29E2-48C0-8437-F55E293A6B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9813302-E12A-41DA-ACB4-6F19389877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CACE4E9-8B9B-4D68-81EE-ED695B9A3B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76DAA07-C98D-4473-BD8F-8EEBB77B96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5D6A79D-DFAA-4443-BB36-51213B51D0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F1EC578-E86D-422C-8EC9-1F7EB6A7BA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E253295-8495-4696-8275-ADE4283F8D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D4052FC-B766-44A3-8E35-5088864DF3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BC7A646-09A5-4377-B962-2570A51880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F9F84D7-5112-4800-A0A6-044D65D7C0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73D684A-C8EE-4AAF-92F4-CBD0F7DB65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FE4959F-878F-48B3-8F9A-2A3D66F1FA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369379F-519C-4238-BE57-8EF768F94E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F0CDEC5-9ADA-4593-8351-0BA7B03075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4"/>
      <c r="C1" s="145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46">
        <v>0</v>
      </c>
      <c r="C2" s="147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48">
        <v>0</v>
      </c>
      <c r="C3" s="149"/>
      <c r="E3" s="63" t="s">
        <v>66</v>
      </c>
      <c r="F3" s="28" t="s">
        <v>22</v>
      </c>
      <c r="G3" s="15">
        <v>0</v>
      </c>
      <c r="H3" s="133">
        <f t="shared" ref="H3:H51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0">
        <v>0</v>
      </c>
      <c r="C4" s="151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2">
        <f>IF(B$2=0,0,B$4/B$2)</f>
        <v>0</v>
      </c>
      <c r="C5" s="153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2">
        <f>IF(B$2=0,0,(B$7*1+B$8*2+B$9*3)/B$2)</f>
        <v>0</v>
      </c>
      <c r="C6" s="143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193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194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0">
        <v>0</v>
      </c>
      <c r="C25" s="141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38">
        <v>0</v>
      </c>
      <c r="C26" s="139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183</v>
      </c>
      <c r="G50" s="47">
        <v>0</v>
      </c>
      <c r="H50" s="133">
        <f t="shared" si="1"/>
        <v>0</v>
      </c>
      <c r="I50" s="94"/>
    </row>
    <row r="51" spans="5:9" x14ac:dyDescent="0.4">
      <c r="E51" s="64" t="s">
        <v>181</v>
      </c>
      <c r="F51" s="61" t="s">
        <v>182</v>
      </c>
      <c r="G51" s="49">
        <v>0</v>
      </c>
      <c r="H51" s="134">
        <f t="shared" si="1"/>
        <v>0</v>
      </c>
      <c r="I51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K56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43560.923958333333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43560.923958333333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43560.923958333333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43560.923958333333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43561.114791666667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184</v>
      </c>
      <c r="B7" s="31">
        <v>43563.354502314818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187</v>
      </c>
      <c r="I7" s="30" t="s">
        <v>188</v>
      </c>
      <c r="J7" s="30" t="s">
        <v>189</v>
      </c>
    </row>
    <row r="8" spans="1:10" x14ac:dyDescent="0.4">
      <c r="A8" s="30" t="s">
        <v>190</v>
      </c>
      <c r="B8" s="31">
        <v>43566.043888888889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187</v>
      </c>
      <c r="I8" s="30" t="s">
        <v>188</v>
      </c>
    </row>
    <row r="9" spans="1:10" x14ac:dyDescent="0.4">
      <c r="A9" s="30" t="s">
        <v>191</v>
      </c>
      <c r="B9" s="31">
        <v>43566.04109953704</v>
      </c>
      <c r="C9" s="30" t="s">
        <v>130</v>
      </c>
      <c r="D9" s="30" t="s">
        <v>131</v>
      </c>
    </row>
    <row r="10" spans="1:10" x14ac:dyDescent="0.4">
      <c r="A10" s="30" t="s">
        <v>192</v>
      </c>
      <c r="B10" s="31">
        <v>43566.04109953704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195</v>
      </c>
      <c r="B11" s="31">
        <v>43566.04109953704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196</v>
      </c>
      <c r="B12" s="31">
        <v>43567.62232638889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197</v>
      </c>
      <c r="B13" s="31">
        <v>43568.073333333334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198</v>
      </c>
      <c r="B14" s="31">
        <v>43569.506898148145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199</v>
      </c>
      <c r="B15" s="31">
        <v>43570.561921296299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187</v>
      </c>
    </row>
    <row r="16" spans="1:10" x14ac:dyDescent="0.4">
      <c r="A16" s="30" t="s">
        <v>200</v>
      </c>
      <c r="B16" s="31">
        <v>43571.057638888888</v>
      </c>
      <c r="C16" s="30" t="s">
        <v>130</v>
      </c>
      <c r="D16" s="30" t="s">
        <v>131</v>
      </c>
    </row>
    <row r="17" spans="1:10" x14ac:dyDescent="0.4">
      <c r="A17" s="30" t="s">
        <v>201</v>
      </c>
      <c r="B17" s="31">
        <v>43573.881539351853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203</v>
      </c>
      <c r="B18" s="31">
        <v>43574.073113425926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204</v>
      </c>
      <c r="B19" s="31">
        <v>43575.795416666668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205</v>
      </c>
      <c r="B20" s="31">
        <v>43576.362476851849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187</v>
      </c>
    </row>
    <row r="21" spans="1:10" x14ac:dyDescent="0.4">
      <c r="A21" s="30" t="s">
        <v>206</v>
      </c>
      <c r="B21" s="31">
        <v>43577.448182870372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187</v>
      </c>
      <c r="I21" s="30" t="s">
        <v>188</v>
      </c>
      <c r="J21" s="30" t="s">
        <v>189</v>
      </c>
    </row>
    <row r="22" spans="1:10" x14ac:dyDescent="0.4">
      <c r="A22" s="30" t="s">
        <v>207</v>
      </c>
      <c r="B22" s="31">
        <v>43579.070729166669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208</v>
      </c>
      <c r="B23" s="31">
        <v>43583.728298611109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209</v>
      </c>
      <c r="B24" s="31">
        <v>43583.728298611109</v>
      </c>
      <c r="C24" s="30" t="s">
        <v>130</v>
      </c>
      <c r="D24" s="30" t="s">
        <v>131</v>
      </c>
    </row>
    <row r="25" spans="1:10" x14ac:dyDescent="0.4">
      <c r="A25" s="30" t="s">
        <v>210</v>
      </c>
      <c r="B25" s="31">
        <v>43583.728298611109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211</v>
      </c>
      <c r="B26" s="31">
        <v>43583.728298611109</v>
      </c>
      <c r="C26" s="30" t="s">
        <v>130</v>
      </c>
      <c r="D26" s="30" t="s">
        <v>131</v>
      </c>
    </row>
    <row r="27" spans="1:10" x14ac:dyDescent="0.4">
      <c r="A27" s="30" t="s">
        <v>212</v>
      </c>
      <c r="B27" s="31">
        <v>43591.888472222221</v>
      </c>
      <c r="C27" s="30" t="s">
        <v>130</v>
      </c>
      <c r="D27" s="30" t="s">
        <v>131</v>
      </c>
    </row>
    <row r="28" spans="1:10" x14ac:dyDescent="0.4">
      <c r="A28" s="30" t="s">
        <v>213</v>
      </c>
      <c r="B28" s="31">
        <v>43601.059386574074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214</v>
      </c>
      <c r="B29" s="31">
        <v>43601.059386574074</v>
      </c>
      <c r="C29" s="30" t="s">
        <v>130</v>
      </c>
      <c r="D29" s="30" t="s">
        <v>131</v>
      </c>
    </row>
    <row r="30" spans="1:10" x14ac:dyDescent="0.4">
      <c r="A30" s="30" t="s">
        <v>215</v>
      </c>
      <c r="B30" s="31">
        <v>43601.059386574074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216</v>
      </c>
      <c r="B31" s="31">
        <v>43601.059386574074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217</v>
      </c>
      <c r="B32" s="31">
        <v>43601.059386574074</v>
      </c>
      <c r="C32" s="30" t="s">
        <v>130</v>
      </c>
      <c r="D32" s="30" t="s">
        <v>131</v>
      </c>
    </row>
    <row r="33" spans="1:11" x14ac:dyDescent="0.4">
      <c r="A33" s="30" t="s">
        <v>218</v>
      </c>
      <c r="B33" s="31">
        <v>43601.059386574074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219</v>
      </c>
      <c r="B34" s="31">
        <v>43601.059386574074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220</v>
      </c>
      <c r="B35" s="31">
        <v>43601.059386574074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221</v>
      </c>
      <c r="B36" s="31">
        <v>43601.059386574074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222</v>
      </c>
      <c r="B37" s="31">
        <v>43601.059386574074</v>
      </c>
      <c r="C37" s="30" t="s">
        <v>130</v>
      </c>
      <c r="D37" s="30" t="s">
        <v>131</v>
      </c>
    </row>
    <row r="38" spans="1:11" x14ac:dyDescent="0.4">
      <c r="A38" s="30" t="s">
        <v>223</v>
      </c>
      <c r="B38" s="31">
        <v>43601.059942129628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226</v>
      </c>
      <c r="B39" s="31">
        <v>43602.105740740742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227</v>
      </c>
      <c r="B40" s="31">
        <v>43605.86346064815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187</v>
      </c>
      <c r="I40" s="30" t="s">
        <v>188</v>
      </c>
      <c r="J40" s="30" t="s">
        <v>189</v>
      </c>
      <c r="K40" s="30" t="s">
        <v>230</v>
      </c>
    </row>
    <row r="41" spans="1:11" x14ac:dyDescent="0.4">
      <c r="A41" s="30" t="s">
        <v>228</v>
      </c>
      <c r="B41" s="31">
        <v>43605.863437499997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229</v>
      </c>
      <c r="B42" s="31">
        <v>43608.863275462965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231</v>
      </c>
      <c r="B43" s="31">
        <v>43606.051539351851</v>
      </c>
      <c r="C43" s="30" t="s">
        <v>130</v>
      </c>
      <c r="D43" s="30" t="s">
        <v>131</v>
      </c>
      <c r="E43" s="30" t="s">
        <v>169</v>
      </c>
      <c r="F43" s="30" t="s">
        <v>174</v>
      </c>
      <c r="G43" s="30" t="s">
        <v>175</v>
      </c>
      <c r="H43" s="30" t="s">
        <v>187</v>
      </c>
    </row>
    <row r="44" spans="1:11" x14ac:dyDescent="0.4">
      <c r="A44" s="30" t="s">
        <v>233</v>
      </c>
      <c r="B44" s="31">
        <v>43607.022546296299</v>
      </c>
      <c r="C44" s="30" t="s">
        <v>130</v>
      </c>
    </row>
    <row r="45" spans="1:11" x14ac:dyDescent="0.4">
      <c r="A45" s="30" t="s">
        <v>232</v>
      </c>
      <c r="B45" s="31">
        <v>43607.022546296299</v>
      </c>
      <c r="C45" s="30" t="s">
        <v>130</v>
      </c>
      <c r="D45" s="30" t="s">
        <v>131</v>
      </c>
      <c r="E45" s="30" t="s">
        <v>169</v>
      </c>
    </row>
    <row r="46" spans="1:11" x14ac:dyDescent="0.4">
      <c r="A46" s="30" t="s">
        <v>234</v>
      </c>
      <c r="B46" s="31">
        <v>43608.770729166667</v>
      </c>
      <c r="C46" s="30" t="s">
        <v>130</v>
      </c>
      <c r="D46" s="30" t="s">
        <v>131</v>
      </c>
      <c r="E46" s="30" t="s">
        <v>169</v>
      </c>
    </row>
    <row r="47" spans="1:11" x14ac:dyDescent="0.4">
      <c r="A47" s="30" t="s">
        <v>235</v>
      </c>
      <c r="B47" s="31">
        <v>43608.770729166667</v>
      </c>
      <c r="C47" s="30" t="s">
        <v>130</v>
      </c>
    </row>
    <row r="48" spans="1:11" x14ac:dyDescent="0.4">
      <c r="A48" s="30" t="s">
        <v>237</v>
      </c>
      <c r="B48" s="31">
        <v>43609.351793981485</v>
      </c>
      <c r="C48" s="30" t="s">
        <v>130</v>
      </c>
    </row>
    <row r="49" spans="1:7" x14ac:dyDescent="0.4">
      <c r="A49" s="30" t="s">
        <v>236</v>
      </c>
      <c r="B49" s="31">
        <v>43609.351793981485</v>
      </c>
      <c r="C49" s="30" t="s">
        <v>130</v>
      </c>
      <c r="D49" s="30" t="s">
        <v>131</v>
      </c>
      <c r="E49" s="30" t="s">
        <v>169</v>
      </c>
      <c r="F49" s="30" t="s">
        <v>174</v>
      </c>
    </row>
    <row r="50" spans="1:7" x14ac:dyDescent="0.4">
      <c r="A50" s="30" t="s">
        <v>238</v>
      </c>
      <c r="B50" s="31">
        <v>43609.958668981482</v>
      </c>
      <c r="C50" s="30" t="s">
        <v>130</v>
      </c>
      <c r="D50" s="30" t="s">
        <v>131</v>
      </c>
      <c r="E50" s="30" t="s">
        <v>169</v>
      </c>
      <c r="F50" s="30" t="s">
        <v>174</v>
      </c>
      <c r="G50" s="30" t="s">
        <v>175</v>
      </c>
    </row>
    <row r="51" spans="1:7" x14ac:dyDescent="0.4">
      <c r="A51" s="30" t="s">
        <v>240</v>
      </c>
      <c r="B51" s="31">
        <v>43611.059386574074</v>
      </c>
      <c r="C51" s="30" t="s">
        <v>130</v>
      </c>
      <c r="D51" s="30" t="s">
        <v>131</v>
      </c>
      <c r="E51" s="30" t="s">
        <v>169</v>
      </c>
    </row>
    <row r="52" spans="1:7" x14ac:dyDescent="0.4">
      <c r="A52" s="30" t="s">
        <v>239</v>
      </c>
      <c r="B52" s="31">
        <v>43613.341041666667</v>
      </c>
      <c r="C52" s="30" t="s">
        <v>130</v>
      </c>
    </row>
    <row r="53" spans="1:7" x14ac:dyDescent="0.4">
      <c r="A53" s="30" t="s">
        <v>241</v>
      </c>
      <c r="B53" s="31">
        <v>43614.346238425926</v>
      </c>
      <c r="C53" s="30" t="s">
        <v>130</v>
      </c>
      <c r="D53" s="30" t="s">
        <v>131</v>
      </c>
      <c r="E53" s="30" t="s">
        <v>169</v>
      </c>
    </row>
    <row r="54" spans="1:7" x14ac:dyDescent="0.4">
      <c r="A54" s="30" t="s">
        <v>242</v>
      </c>
      <c r="B54" s="31">
        <v>43618.928472222222</v>
      </c>
      <c r="C54" s="30" t="s">
        <v>130</v>
      </c>
      <c r="D54" s="30" t="s">
        <v>131</v>
      </c>
      <c r="E54" s="30" t="s">
        <v>169</v>
      </c>
      <c r="F54" s="30" t="s">
        <v>174</v>
      </c>
      <c r="G54" s="30" t="s">
        <v>175</v>
      </c>
    </row>
    <row r="55" spans="1:7" x14ac:dyDescent="0.4">
      <c r="A55" s="30" t="s">
        <v>243</v>
      </c>
      <c r="B55" s="31">
        <v>43618.928472222222</v>
      </c>
      <c r="C55" s="30" t="s">
        <v>130</v>
      </c>
    </row>
    <row r="56" spans="1:7" x14ac:dyDescent="0.4">
      <c r="A56" s="30" t="s">
        <v>244</v>
      </c>
      <c r="B56" s="31">
        <v>43618.928472222222</v>
      </c>
      <c r="C56" s="30" t="s">
        <v>130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3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597</v>
      </c>
    </row>
    <row r="2" spans="1:2" x14ac:dyDescent="0.4">
      <c r="A2" t="s">
        <v>127</v>
      </c>
      <c r="B2">
        <v>134</v>
      </c>
    </row>
    <row r="3" spans="1:2" x14ac:dyDescent="0.4">
      <c r="A3" t="s">
        <v>128</v>
      </c>
      <c r="B3">
        <v>117</v>
      </c>
    </row>
    <row r="4" spans="1:2" x14ac:dyDescent="0.4">
      <c r="A4" t="s">
        <v>129</v>
      </c>
      <c r="B4">
        <v>74</v>
      </c>
    </row>
    <row r="5" spans="1:2" x14ac:dyDescent="0.4">
      <c r="A5" t="s">
        <v>171</v>
      </c>
      <c r="B5">
        <v>84</v>
      </c>
    </row>
    <row r="6" spans="1:2" x14ac:dyDescent="0.4">
      <c r="A6" t="s">
        <v>172</v>
      </c>
      <c r="B6">
        <v>66</v>
      </c>
    </row>
    <row r="7" spans="1:2" x14ac:dyDescent="0.4">
      <c r="A7" t="s">
        <v>173</v>
      </c>
      <c r="B7">
        <v>44</v>
      </c>
    </row>
    <row r="8" spans="1:2" x14ac:dyDescent="0.4">
      <c r="A8" t="s">
        <v>177</v>
      </c>
      <c r="B8">
        <v>51</v>
      </c>
    </row>
    <row r="9" spans="1:2" x14ac:dyDescent="0.4">
      <c r="A9" t="s">
        <v>185</v>
      </c>
      <c r="B9">
        <v>3</v>
      </c>
    </row>
    <row r="10" spans="1:2" x14ac:dyDescent="0.4">
      <c r="A10" t="s">
        <v>186</v>
      </c>
      <c r="B10">
        <v>14</v>
      </c>
    </row>
    <row r="11" spans="1:2" x14ac:dyDescent="0.4">
      <c r="A11" t="s">
        <v>202</v>
      </c>
      <c r="B11">
        <v>7</v>
      </c>
    </row>
    <row r="12" spans="1:2" x14ac:dyDescent="0.4">
      <c r="A12" t="s">
        <v>224</v>
      </c>
      <c r="B12">
        <v>1</v>
      </c>
    </row>
    <row r="13" spans="1:2" x14ac:dyDescent="0.4">
      <c r="A13" t="s">
        <v>225</v>
      </c>
      <c r="B13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6" t="s">
        <v>6</v>
      </c>
      <c r="C1" s="157"/>
      <c r="D1" s="156" t="s">
        <v>7</v>
      </c>
      <c r="E1" s="157"/>
      <c r="F1" s="156" t="s">
        <v>16</v>
      </c>
      <c r="G1" s="157"/>
      <c r="H1" s="156" t="s">
        <v>15</v>
      </c>
      <c r="I1" s="157"/>
      <c r="J1" s="156" t="s">
        <v>162</v>
      </c>
      <c r="K1" s="157"/>
      <c r="L1" s="156" t="s">
        <v>149</v>
      </c>
      <c r="M1" s="157"/>
      <c r="N1" s="156" t="s">
        <v>150</v>
      </c>
      <c r="O1" s="157"/>
      <c r="P1" s="156" t="s">
        <v>5</v>
      </c>
      <c r="Q1" s="157"/>
      <c r="R1" s="156" t="s">
        <v>17</v>
      </c>
      <c r="S1" s="157"/>
      <c r="T1" s="156" t="s">
        <v>18</v>
      </c>
      <c r="U1" s="157"/>
      <c r="V1" s="156" t="s">
        <v>141</v>
      </c>
      <c r="W1" s="157"/>
      <c r="X1" s="156" t="s">
        <v>123</v>
      </c>
      <c r="Y1" s="157"/>
      <c r="Z1" s="156" t="s">
        <v>120</v>
      </c>
      <c r="AA1" s="157"/>
      <c r="AB1" s="156" t="s">
        <v>126</v>
      </c>
      <c r="AC1" s="157"/>
      <c r="AD1" s="156" t="s">
        <v>151</v>
      </c>
      <c r="AE1" s="157"/>
      <c r="AF1" s="156" t="s">
        <v>144</v>
      </c>
      <c r="AG1" s="157"/>
      <c r="AH1" s="156" t="s">
        <v>153</v>
      </c>
      <c r="AI1" s="157"/>
    </row>
    <row r="2" spans="1:35" x14ac:dyDescent="0.4">
      <c r="A2" s="72" t="s">
        <v>161</v>
      </c>
      <c r="B2" s="158"/>
      <c r="C2" s="159"/>
      <c r="D2" s="158"/>
      <c r="E2" s="159"/>
      <c r="F2" s="154">
        <v>0.96690788706508324</v>
      </c>
      <c r="G2" s="155"/>
      <c r="H2" s="154">
        <v>0.7003402777789518</v>
      </c>
      <c r="I2" s="155"/>
      <c r="J2" s="154">
        <v>0.93055527606180588</v>
      </c>
      <c r="K2" s="155"/>
      <c r="L2" s="154">
        <v>0.74208910301442643</v>
      </c>
      <c r="M2" s="155"/>
      <c r="N2" s="154">
        <v>0.63384128993698208</v>
      </c>
      <c r="O2" s="155"/>
      <c r="P2" s="154">
        <v>0.31946254541718738</v>
      </c>
      <c r="Q2" s="155"/>
      <c r="R2" s="154">
        <v>0.31765993870450882</v>
      </c>
      <c r="S2" s="155"/>
      <c r="T2" s="154">
        <v>0.51800981582556793</v>
      </c>
      <c r="U2" s="155"/>
      <c r="V2" s="154">
        <v>0.68088402501367284</v>
      </c>
      <c r="W2" s="155"/>
      <c r="X2" s="154">
        <v>0.4439127779780217</v>
      </c>
      <c r="Y2" s="155"/>
      <c r="Z2" s="154">
        <v>0.26738021896176445</v>
      </c>
      <c r="AA2" s="155"/>
      <c r="AB2" s="154">
        <v>-1.321324330536818E-2</v>
      </c>
      <c r="AC2" s="155"/>
      <c r="AD2" s="154">
        <v>0.74090722530314623</v>
      </c>
      <c r="AE2" s="155"/>
      <c r="AF2" s="154">
        <v>-0.71887601705765247</v>
      </c>
      <c r="AG2" s="155"/>
      <c r="AH2" s="154">
        <v>0.61994679272143349</v>
      </c>
      <c r="AI2" s="155"/>
    </row>
    <row r="3" spans="1:35" x14ac:dyDescent="0.4">
      <c r="A3" s="74">
        <v>1</v>
      </c>
      <c r="B3" s="75" t="s">
        <v>127</v>
      </c>
      <c r="C3" s="76">
        <v>1549.3000000000009</v>
      </c>
      <c r="D3" s="77" t="s">
        <v>185</v>
      </c>
      <c r="E3" s="96">
        <v>20.333333333333332</v>
      </c>
      <c r="F3" s="77" t="s">
        <v>185</v>
      </c>
      <c r="G3" s="78">
        <v>1.3333333333333333</v>
      </c>
      <c r="H3" s="77" t="s">
        <v>185</v>
      </c>
      <c r="I3" s="79">
        <v>0.66666666666666663</v>
      </c>
      <c r="J3" s="77" t="s">
        <v>185</v>
      </c>
      <c r="K3" s="79">
        <v>0</v>
      </c>
      <c r="L3" s="77" t="s">
        <v>172</v>
      </c>
      <c r="M3" s="80">
        <v>0.35602094240837695</v>
      </c>
      <c r="N3" s="77" t="s">
        <v>224</v>
      </c>
      <c r="O3" s="80">
        <v>7.6923076923076927E-2</v>
      </c>
      <c r="P3" s="77" t="s">
        <v>224</v>
      </c>
      <c r="Q3" s="81">
        <v>13800</v>
      </c>
      <c r="R3" s="77" t="s">
        <v>185</v>
      </c>
      <c r="S3" s="81">
        <v>-5150</v>
      </c>
      <c r="T3" s="77" t="s">
        <v>185</v>
      </c>
      <c r="U3" s="79">
        <v>0</v>
      </c>
      <c r="V3" s="77" t="s">
        <v>127</v>
      </c>
      <c r="W3" s="79">
        <v>0.17164179104477612</v>
      </c>
      <c r="X3" s="77" t="s">
        <v>127</v>
      </c>
      <c r="Y3" s="80">
        <v>0.3220183486238532</v>
      </c>
      <c r="Z3" s="77" t="s">
        <v>172</v>
      </c>
      <c r="AA3" s="80">
        <v>0.29319371727748689</v>
      </c>
      <c r="AB3" s="77" t="s">
        <v>225</v>
      </c>
      <c r="AC3" s="80">
        <v>1</v>
      </c>
      <c r="AD3" s="77" t="s">
        <v>127</v>
      </c>
      <c r="AE3" s="80">
        <v>0.51037344398340245</v>
      </c>
      <c r="AF3" s="77" t="s">
        <v>225</v>
      </c>
      <c r="AG3" s="80">
        <v>0.6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171</v>
      </c>
      <c r="C4" s="84">
        <v>275.10000000000002</v>
      </c>
      <c r="D4" s="85" t="s">
        <v>224</v>
      </c>
      <c r="E4" s="97">
        <v>13.3</v>
      </c>
      <c r="F4" s="85" t="s">
        <v>127</v>
      </c>
      <c r="G4" s="86">
        <v>1.7611940298507462</v>
      </c>
      <c r="H4" s="85" t="s">
        <v>127</v>
      </c>
      <c r="I4" s="87">
        <v>0.48507462686567165</v>
      </c>
      <c r="J4" s="85" t="s">
        <v>224</v>
      </c>
      <c r="K4" s="87">
        <v>0</v>
      </c>
      <c r="L4" s="85" t="s">
        <v>127</v>
      </c>
      <c r="M4" s="88">
        <v>0.34587155963302751</v>
      </c>
      <c r="N4" s="85" t="s">
        <v>185</v>
      </c>
      <c r="O4" s="88">
        <v>0.10526315789473684</v>
      </c>
      <c r="P4" s="85" t="s">
        <v>225</v>
      </c>
      <c r="Q4" s="89">
        <v>10600</v>
      </c>
      <c r="R4" s="85" t="s">
        <v>202</v>
      </c>
      <c r="S4" s="89">
        <v>-6683.333333333333</v>
      </c>
      <c r="T4" s="85" t="s">
        <v>202</v>
      </c>
      <c r="U4" s="87">
        <v>0</v>
      </c>
      <c r="V4" s="85" t="s">
        <v>171</v>
      </c>
      <c r="W4" s="87">
        <v>0.14285714285714285</v>
      </c>
      <c r="X4" s="85" t="s">
        <v>128</v>
      </c>
      <c r="Y4" s="88">
        <v>0.30051813471502592</v>
      </c>
      <c r="Z4" s="85" t="s">
        <v>202</v>
      </c>
      <c r="AA4" s="88">
        <v>0.27536231884057971</v>
      </c>
      <c r="AB4" s="85" t="s">
        <v>202</v>
      </c>
      <c r="AC4" s="88">
        <v>0.70588235294117652</v>
      </c>
      <c r="AD4" s="85" t="s">
        <v>185</v>
      </c>
      <c r="AE4" s="88">
        <v>0.5</v>
      </c>
      <c r="AF4" s="85" t="s">
        <v>202</v>
      </c>
      <c r="AG4" s="88">
        <v>0.5714285714285714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185</v>
      </c>
      <c r="C5" s="84">
        <v>61</v>
      </c>
      <c r="D5" s="85" t="s">
        <v>127</v>
      </c>
      <c r="E5" s="97">
        <v>11.561940298507469</v>
      </c>
      <c r="F5" s="85" t="s">
        <v>177</v>
      </c>
      <c r="G5" s="86">
        <v>1.9607843137254901</v>
      </c>
      <c r="H5" s="85" t="s">
        <v>177</v>
      </c>
      <c r="I5" s="87">
        <v>0.37254901960784315</v>
      </c>
      <c r="J5" s="85" t="s">
        <v>202</v>
      </c>
      <c r="K5" s="87">
        <v>0.14285714285714285</v>
      </c>
      <c r="L5" s="85" t="s">
        <v>202</v>
      </c>
      <c r="M5" s="88">
        <v>0.30434782608695654</v>
      </c>
      <c r="N5" s="85" t="s">
        <v>172</v>
      </c>
      <c r="O5" s="88">
        <v>0.13263525305410123</v>
      </c>
      <c r="P5" s="85" t="s">
        <v>171</v>
      </c>
      <c r="Q5" s="89">
        <v>10054.455445544554</v>
      </c>
      <c r="R5" s="85" t="s">
        <v>128</v>
      </c>
      <c r="S5" s="89">
        <v>-7742.6829268292686</v>
      </c>
      <c r="T5" s="85" t="s">
        <v>224</v>
      </c>
      <c r="U5" s="87">
        <v>0</v>
      </c>
      <c r="V5" s="85" t="s">
        <v>145</v>
      </c>
      <c r="W5" s="87">
        <v>0.11557788944723618</v>
      </c>
      <c r="X5" s="85" t="s">
        <v>171</v>
      </c>
      <c r="Y5" s="88">
        <v>0.29327610872675253</v>
      </c>
      <c r="Z5" s="85" t="s">
        <v>173</v>
      </c>
      <c r="AA5" s="88">
        <v>0.25654450261780104</v>
      </c>
      <c r="AB5" s="85" t="s">
        <v>186</v>
      </c>
      <c r="AC5" s="88">
        <v>0.6785714285714286</v>
      </c>
      <c r="AD5" s="85" t="s">
        <v>186</v>
      </c>
      <c r="AE5" s="88">
        <v>0.44</v>
      </c>
      <c r="AF5" s="85" t="s">
        <v>186</v>
      </c>
      <c r="AG5" s="88">
        <v>0.52941176470588236</v>
      </c>
      <c r="AH5" s="85" t="s">
        <v>177</v>
      </c>
      <c r="AI5" s="92">
        <v>103000</v>
      </c>
    </row>
    <row r="6" spans="1:35" x14ac:dyDescent="0.4">
      <c r="A6" s="82">
        <v>4</v>
      </c>
      <c r="B6" s="83" t="s">
        <v>177</v>
      </c>
      <c r="C6" s="84">
        <v>20.999999999999993</v>
      </c>
      <c r="D6" s="85" t="s">
        <v>171</v>
      </c>
      <c r="E6" s="97">
        <v>3.2750000000000004</v>
      </c>
      <c r="F6" s="85" t="s">
        <v>171</v>
      </c>
      <c r="G6" s="86">
        <v>2</v>
      </c>
      <c r="H6" s="85" t="s">
        <v>186</v>
      </c>
      <c r="I6" s="87">
        <v>0.35714285714285715</v>
      </c>
      <c r="J6" s="85" t="s">
        <v>127</v>
      </c>
      <c r="K6" s="87">
        <v>0.2462686567164179</v>
      </c>
      <c r="L6" s="85" t="s">
        <v>145</v>
      </c>
      <c r="M6" s="88">
        <v>0.30038175607795858</v>
      </c>
      <c r="N6" s="85" t="s">
        <v>177</v>
      </c>
      <c r="O6" s="88">
        <v>0.16144578313253011</v>
      </c>
      <c r="P6" s="85" t="s">
        <v>128</v>
      </c>
      <c r="Q6" s="89">
        <v>9302.6615969581744</v>
      </c>
      <c r="R6" s="85" t="s">
        <v>173</v>
      </c>
      <c r="S6" s="89">
        <v>-7866.1971830985913</v>
      </c>
      <c r="T6" s="85" t="s">
        <v>225</v>
      </c>
      <c r="U6" s="87">
        <v>0</v>
      </c>
      <c r="V6" s="85" t="s">
        <v>129</v>
      </c>
      <c r="W6" s="87">
        <v>0.10810810810810811</v>
      </c>
      <c r="X6" s="85" t="s">
        <v>129</v>
      </c>
      <c r="Y6" s="88">
        <v>0.28200972447325767</v>
      </c>
      <c r="Z6" s="85" t="s">
        <v>225</v>
      </c>
      <c r="AA6" s="88">
        <v>0.23529411764705882</v>
      </c>
      <c r="AB6" s="85" t="s">
        <v>177</v>
      </c>
      <c r="AC6" s="88">
        <v>0.66363636363636369</v>
      </c>
      <c r="AD6" s="85" t="s">
        <v>172</v>
      </c>
      <c r="AE6" s="88">
        <v>0.43452380952380953</v>
      </c>
      <c r="AF6" s="85" t="s">
        <v>173</v>
      </c>
      <c r="AG6" s="88">
        <v>0.50877192982456143</v>
      </c>
      <c r="AH6" s="85" t="s">
        <v>172</v>
      </c>
      <c r="AI6" s="92">
        <v>97500</v>
      </c>
    </row>
    <row r="7" spans="1:35" x14ac:dyDescent="0.4">
      <c r="A7" s="82">
        <v>5</v>
      </c>
      <c r="B7" s="83" t="s">
        <v>224</v>
      </c>
      <c r="C7" s="84">
        <v>13.3</v>
      </c>
      <c r="D7" s="85" t="s">
        <v>177</v>
      </c>
      <c r="E7" s="97">
        <v>0.41176470588235281</v>
      </c>
      <c r="F7" s="85" t="s">
        <v>145</v>
      </c>
      <c r="G7" s="86">
        <v>2</v>
      </c>
      <c r="H7" s="85" t="s">
        <v>145</v>
      </c>
      <c r="I7" s="87">
        <v>0.33333333333333331</v>
      </c>
      <c r="J7" s="85" t="s">
        <v>172</v>
      </c>
      <c r="K7" s="87">
        <v>0.30303030303030304</v>
      </c>
      <c r="L7" s="85" t="s">
        <v>177</v>
      </c>
      <c r="M7" s="88">
        <v>0.29879518072289157</v>
      </c>
      <c r="N7" s="85" t="s">
        <v>127</v>
      </c>
      <c r="O7" s="88">
        <v>0.16238532110091744</v>
      </c>
      <c r="P7" s="85" t="s">
        <v>127</v>
      </c>
      <c r="Q7" s="89">
        <v>9218.8328912466841</v>
      </c>
      <c r="R7" s="85" t="s">
        <v>177</v>
      </c>
      <c r="S7" s="89">
        <v>-7931.3432835820895</v>
      </c>
      <c r="T7" s="85" t="s">
        <v>172</v>
      </c>
      <c r="U7" s="87">
        <v>4.5454545454545456E-2</v>
      </c>
      <c r="V7" s="85" t="s">
        <v>172</v>
      </c>
      <c r="W7" s="87">
        <v>0.10606060606060606</v>
      </c>
      <c r="X7" s="85" t="s">
        <v>145</v>
      </c>
      <c r="Y7" s="88">
        <v>0.28129395218002812</v>
      </c>
      <c r="Z7" s="85" t="s">
        <v>127</v>
      </c>
      <c r="AA7" s="88">
        <v>0.22110091743119267</v>
      </c>
      <c r="AB7" s="85" t="s">
        <v>185</v>
      </c>
      <c r="AC7" s="88">
        <v>0.6</v>
      </c>
      <c r="AD7" s="85" t="s">
        <v>202</v>
      </c>
      <c r="AE7" s="88">
        <v>0.42105263157894735</v>
      </c>
      <c r="AF7" s="85" t="s">
        <v>224</v>
      </c>
      <c r="AG7" s="88">
        <v>0.5</v>
      </c>
      <c r="AH7" s="85" t="s">
        <v>128</v>
      </c>
      <c r="AI7" s="92">
        <v>97300</v>
      </c>
    </row>
    <row r="8" spans="1:35" x14ac:dyDescent="0.4">
      <c r="A8" s="82">
        <v>6</v>
      </c>
      <c r="B8" s="83" t="s">
        <v>145</v>
      </c>
      <c r="C8" s="84">
        <v>-1.4210854715202004E-14</v>
      </c>
      <c r="D8" s="85" t="s">
        <v>145</v>
      </c>
      <c r="E8" s="97">
        <v>-2.3803776742381916E-17</v>
      </c>
      <c r="F8" s="85" t="s">
        <v>202</v>
      </c>
      <c r="G8" s="86">
        <v>2</v>
      </c>
      <c r="H8" s="85" t="s">
        <v>171</v>
      </c>
      <c r="I8" s="87">
        <v>0.32142857142857145</v>
      </c>
      <c r="J8" s="85" t="s">
        <v>171</v>
      </c>
      <c r="K8" s="87">
        <v>0.32142857142857145</v>
      </c>
      <c r="L8" s="85" t="s">
        <v>173</v>
      </c>
      <c r="M8" s="88">
        <v>0.29842931937172773</v>
      </c>
      <c r="N8" s="85" t="s">
        <v>145</v>
      </c>
      <c r="O8" s="88">
        <v>0.16837452280490256</v>
      </c>
      <c r="P8" s="85" t="s">
        <v>129</v>
      </c>
      <c r="Q8" s="89">
        <v>8872.9166666666661</v>
      </c>
      <c r="R8" s="85" t="s">
        <v>171</v>
      </c>
      <c r="S8" s="89">
        <v>-8092.4369747899163</v>
      </c>
      <c r="T8" s="85" t="s">
        <v>171</v>
      </c>
      <c r="U8" s="87">
        <v>7.1428571428571425E-2</v>
      </c>
      <c r="V8" s="85" t="s">
        <v>177</v>
      </c>
      <c r="W8" s="87">
        <v>9.8039215686274508E-2</v>
      </c>
      <c r="X8" s="85" t="s">
        <v>177</v>
      </c>
      <c r="Y8" s="88">
        <v>0.26506024096385544</v>
      </c>
      <c r="Z8" s="85" t="s">
        <v>186</v>
      </c>
      <c r="AA8" s="88">
        <v>0.21186440677966101</v>
      </c>
      <c r="AB8" s="85" t="s">
        <v>173</v>
      </c>
      <c r="AC8" s="88">
        <v>0.59090909090909094</v>
      </c>
      <c r="AD8" s="85" t="s">
        <v>171</v>
      </c>
      <c r="AE8" s="88">
        <v>0.41791044776119401</v>
      </c>
      <c r="AF8" s="85" t="s">
        <v>129</v>
      </c>
      <c r="AG8" s="88">
        <v>0.46527777777777779</v>
      </c>
      <c r="AH8" s="85" t="s">
        <v>129</v>
      </c>
      <c r="AI8" s="92">
        <v>96900</v>
      </c>
    </row>
    <row r="9" spans="1:35" x14ac:dyDescent="0.4">
      <c r="A9" s="82">
        <v>7</v>
      </c>
      <c r="B9" s="83" t="s">
        <v>172</v>
      </c>
      <c r="C9" s="84">
        <v>-5.400000000000027</v>
      </c>
      <c r="D9" s="85" t="s">
        <v>172</v>
      </c>
      <c r="E9" s="97">
        <v>-8.1818181818182234E-2</v>
      </c>
      <c r="F9" s="85" t="s">
        <v>224</v>
      </c>
      <c r="G9" s="86">
        <v>2</v>
      </c>
      <c r="H9" s="85" t="s">
        <v>173</v>
      </c>
      <c r="I9" s="87">
        <v>0.29545454545454547</v>
      </c>
      <c r="J9" s="85" t="s">
        <v>177</v>
      </c>
      <c r="K9" s="87">
        <v>0.33333333333333331</v>
      </c>
      <c r="L9" s="85" t="s">
        <v>225</v>
      </c>
      <c r="M9" s="88">
        <v>0.29411764705882354</v>
      </c>
      <c r="N9" s="85" t="s">
        <v>128</v>
      </c>
      <c r="O9" s="88">
        <v>0.16994818652849741</v>
      </c>
      <c r="P9" s="85" t="s">
        <v>145</v>
      </c>
      <c r="Q9" s="89">
        <v>8680.9364548494977</v>
      </c>
      <c r="R9" s="85" t="s">
        <v>186</v>
      </c>
      <c r="S9" s="89">
        <v>-8107.6923076923076</v>
      </c>
      <c r="T9" s="85" t="s">
        <v>127</v>
      </c>
      <c r="U9" s="87">
        <v>0.11194029850746269</v>
      </c>
      <c r="V9" s="85" t="s">
        <v>128</v>
      </c>
      <c r="W9" s="87">
        <v>9.4017094017094016E-2</v>
      </c>
      <c r="X9" s="85" t="s">
        <v>185</v>
      </c>
      <c r="Y9" s="88">
        <v>0.26315789473684209</v>
      </c>
      <c r="Z9" s="85" t="s">
        <v>185</v>
      </c>
      <c r="AA9" s="88">
        <v>0.21052631578947367</v>
      </c>
      <c r="AB9" s="85" t="s">
        <v>128</v>
      </c>
      <c r="AC9" s="88">
        <v>0.58275862068965523</v>
      </c>
      <c r="AD9" s="85" t="s">
        <v>145</v>
      </c>
      <c r="AE9" s="88">
        <v>0.39272030651340994</v>
      </c>
      <c r="AF9" s="85" t="s">
        <v>177</v>
      </c>
      <c r="AG9" s="88">
        <v>0.43548387096774194</v>
      </c>
      <c r="AH9" s="85" t="s">
        <v>171</v>
      </c>
      <c r="AI9" s="92">
        <v>91700</v>
      </c>
    </row>
    <row r="10" spans="1:35" x14ac:dyDescent="0.4">
      <c r="A10" s="82">
        <v>8</v>
      </c>
      <c r="B10" s="83" t="s">
        <v>225</v>
      </c>
      <c r="C10" s="84">
        <v>-24.7</v>
      </c>
      <c r="D10" s="85" t="s">
        <v>128</v>
      </c>
      <c r="E10" s="97">
        <v>-2.6786324786324789</v>
      </c>
      <c r="F10" s="85" t="s">
        <v>172</v>
      </c>
      <c r="G10" s="86">
        <v>2.0303030303030303</v>
      </c>
      <c r="H10" s="85" t="s">
        <v>172</v>
      </c>
      <c r="I10" s="87">
        <v>0.27272727272727271</v>
      </c>
      <c r="J10" s="85" t="s">
        <v>145</v>
      </c>
      <c r="K10" s="87">
        <v>0.33333333333333331</v>
      </c>
      <c r="L10" s="85" t="s">
        <v>171</v>
      </c>
      <c r="M10" s="88">
        <v>0.28898426323319026</v>
      </c>
      <c r="N10" s="85" t="s">
        <v>171</v>
      </c>
      <c r="O10" s="88">
        <v>0.17024320457796852</v>
      </c>
      <c r="P10" s="85" t="s">
        <v>177</v>
      </c>
      <c r="Q10" s="89">
        <v>8587.0967741935492</v>
      </c>
      <c r="R10" s="85" t="s">
        <v>145</v>
      </c>
      <c r="S10" s="89">
        <v>-8328.2816229116943</v>
      </c>
      <c r="T10" s="85" t="s">
        <v>173</v>
      </c>
      <c r="U10" s="87">
        <v>0.11363636363636363</v>
      </c>
      <c r="V10" s="85" t="s">
        <v>173</v>
      </c>
      <c r="W10" s="87">
        <v>6.8181818181818177E-2</v>
      </c>
      <c r="X10" s="85" t="s">
        <v>202</v>
      </c>
      <c r="Y10" s="88">
        <v>0.24637681159420291</v>
      </c>
      <c r="Z10" s="85" t="s">
        <v>145</v>
      </c>
      <c r="AA10" s="88">
        <v>0.20976491862567812</v>
      </c>
      <c r="AB10" s="85" t="s">
        <v>145</v>
      </c>
      <c r="AC10" s="88">
        <v>0.57857142857142863</v>
      </c>
      <c r="AD10" s="85" t="s">
        <v>177</v>
      </c>
      <c r="AE10" s="88">
        <v>0.37179487179487181</v>
      </c>
      <c r="AF10" s="85" t="s">
        <v>145</v>
      </c>
      <c r="AG10" s="88">
        <v>0.43277591973244145</v>
      </c>
      <c r="AH10" s="85" t="s">
        <v>173</v>
      </c>
      <c r="AI10" s="92">
        <v>85900</v>
      </c>
    </row>
    <row r="11" spans="1:35" x14ac:dyDescent="0.4">
      <c r="A11" s="82">
        <v>9</v>
      </c>
      <c r="B11" s="83" t="s">
        <v>202</v>
      </c>
      <c r="C11" s="84">
        <v>-25.300000000000004</v>
      </c>
      <c r="D11" s="85" t="s">
        <v>202</v>
      </c>
      <c r="E11" s="97">
        <v>-3.6142857142857148</v>
      </c>
      <c r="F11" s="85" t="s">
        <v>173</v>
      </c>
      <c r="G11" s="86">
        <v>2.0681818181818183</v>
      </c>
      <c r="H11" s="85" t="s">
        <v>128</v>
      </c>
      <c r="I11" s="87">
        <v>0.26495726495726496</v>
      </c>
      <c r="J11" s="85" t="s">
        <v>128</v>
      </c>
      <c r="K11" s="87">
        <v>0.34188034188034189</v>
      </c>
      <c r="L11" s="85" t="s">
        <v>186</v>
      </c>
      <c r="M11" s="88">
        <v>0.28813559322033899</v>
      </c>
      <c r="N11" s="85" t="s">
        <v>202</v>
      </c>
      <c r="O11" s="88">
        <v>0.17391304347826086</v>
      </c>
      <c r="P11" s="85" t="s">
        <v>185</v>
      </c>
      <c r="Q11" s="89">
        <v>7860</v>
      </c>
      <c r="R11" s="85" t="s">
        <v>127</v>
      </c>
      <c r="S11" s="89">
        <v>-8345.1977401129952</v>
      </c>
      <c r="T11" s="85" t="s">
        <v>145</v>
      </c>
      <c r="U11" s="87">
        <v>0.11557788944723618</v>
      </c>
      <c r="V11" s="85" t="s">
        <v>186</v>
      </c>
      <c r="W11" s="87">
        <v>0</v>
      </c>
      <c r="X11" s="85" t="s">
        <v>186</v>
      </c>
      <c r="Y11" s="88">
        <v>0.23728813559322035</v>
      </c>
      <c r="Z11" s="85" t="s">
        <v>171</v>
      </c>
      <c r="AA11" s="88">
        <v>0.19170243204577969</v>
      </c>
      <c r="AB11" s="85" t="s">
        <v>171</v>
      </c>
      <c r="AC11" s="88">
        <v>0.57560975609756093</v>
      </c>
      <c r="AD11" s="85" t="s">
        <v>173</v>
      </c>
      <c r="AE11" s="88">
        <v>0.33673469387755101</v>
      </c>
      <c r="AF11" s="85" t="s">
        <v>172</v>
      </c>
      <c r="AG11" s="88">
        <v>0.4264705882352941</v>
      </c>
      <c r="AH11" s="85" t="s">
        <v>186</v>
      </c>
      <c r="AI11" s="92">
        <v>62700</v>
      </c>
    </row>
    <row r="12" spans="1:35" x14ac:dyDescent="0.4">
      <c r="A12" s="82">
        <v>10</v>
      </c>
      <c r="B12" s="83" t="s">
        <v>186</v>
      </c>
      <c r="C12" s="84">
        <v>-138.69999999999999</v>
      </c>
      <c r="D12" s="85" t="s">
        <v>173</v>
      </c>
      <c r="E12" s="97">
        <v>-5.9681818181818178</v>
      </c>
      <c r="F12" s="85" t="s">
        <v>128</v>
      </c>
      <c r="G12" s="86">
        <v>2.0769230769230771</v>
      </c>
      <c r="H12" s="85" t="s">
        <v>129</v>
      </c>
      <c r="I12" s="87">
        <v>0.24324324324324326</v>
      </c>
      <c r="J12" s="85" t="s">
        <v>173</v>
      </c>
      <c r="K12" s="87">
        <v>0.36363636363636365</v>
      </c>
      <c r="L12" s="85" t="s">
        <v>128</v>
      </c>
      <c r="M12" s="88">
        <v>0.27253886010362693</v>
      </c>
      <c r="N12" s="85" t="s">
        <v>173</v>
      </c>
      <c r="O12" s="88">
        <v>0.18586387434554974</v>
      </c>
      <c r="P12" s="85" t="s">
        <v>186</v>
      </c>
      <c r="Q12" s="89">
        <v>7494.1176470588234</v>
      </c>
      <c r="R12" s="85" t="s">
        <v>172</v>
      </c>
      <c r="S12" s="89">
        <v>-9127.6315789473683</v>
      </c>
      <c r="T12" s="85" t="s">
        <v>128</v>
      </c>
      <c r="U12" s="87">
        <v>0.12820512820512819</v>
      </c>
      <c r="V12" s="85" t="s">
        <v>185</v>
      </c>
      <c r="W12" s="87">
        <v>0</v>
      </c>
      <c r="X12" s="85" t="s">
        <v>224</v>
      </c>
      <c r="Y12" s="88">
        <v>0.23076923076923078</v>
      </c>
      <c r="Z12" s="85" t="s">
        <v>177</v>
      </c>
      <c r="AA12" s="88">
        <v>0.18795180722891566</v>
      </c>
      <c r="AB12" s="85" t="s">
        <v>127</v>
      </c>
      <c r="AC12" s="88">
        <v>0.56980056980056981</v>
      </c>
      <c r="AD12" s="85" t="s">
        <v>128</v>
      </c>
      <c r="AE12" s="88">
        <v>0.2988505747126437</v>
      </c>
      <c r="AF12" s="85" t="s">
        <v>128</v>
      </c>
      <c r="AG12" s="88">
        <v>0.4220532319391635</v>
      </c>
      <c r="AH12" s="85" t="s">
        <v>202</v>
      </c>
      <c r="AI12" s="92">
        <v>54800</v>
      </c>
    </row>
    <row r="13" spans="1:35" x14ac:dyDescent="0.4">
      <c r="A13" s="82">
        <v>11</v>
      </c>
      <c r="B13" s="83" t="s">
        <v>173</v>
      </c>
      <c r="C13" s="84">
        <v>-262.59999999999997</v>
      </c>
      <c r="D13" s="85" t="s">
        <v>186</v>
      </c>
      <c r="E13" s="97">
        <v>-9.9071428571428566</v>
      </c>
      <c r="F13" s="85" t="s">
        <v>186</v>
      </c>
      <c r="G13" s="86">
        <v>2.1428571428571428</v>
      </c>
      <c r="H13" s="85" t="s">
        <v>202</v>
      </c>
      <c r="I13" s="87">
        <v>0.14285714285714285</v>
      </c>
      <c r="J13" s="85" t="s">
        <v>129</v>
      </c>
      <c r="K13" s="87">
        <v>0.5</v>
      </c>
      <c r="L13" s="85" t="s">
        <v>185</v>
      </c>
      <c r="M13" s="88">
        <v>0.26315789473684209</v>
      </c>
      <c r="N13" s="85" t="s">
        <v>129</v>
      </c>
      <c r="O13" s="88">
        <v>0.19286871961102106</v>
      </c>
      <c r="P13" s="85" t="s">
        <v>202</v>
      </c>
      <c r="Q13" s="89">
        <v>7438.0952380952385</v>
      </c>
      <c r="R13" s="85" t="s">
        <v>129</v>
      </c>
      <c r="S13" s="89">
        <v>-9433.6134453781506</v>
      </c>
      <c r="T13" s="85" t="s">
        <v>186</v>
      </c>
      <c r="U13" s="87">
        <v>0.14285714285714285</v>
      </c>
      <c r="V13" s="85" t="s">
        <v>202</v>
      </c>
      <c r="W13" s="87">
        <v>0</v>
      </c>
      <c r="X13" s="85" t="s">
        <v>173</v>
      </c>
      <c r="Y13" s="88">
        <v>0.23036649214659685</v>
      </c>
      <c r="Z13" s="85" t="s">
        <v>128</v>
      </c>
      <c r="AA13" s="88">
        <v>0.18031088082901556</v>
      </c>
      <c r="AB13" s="85" t="s">
        <v>172</v>
      </c>
      <c r="AC13" s="88">
        <v>0.54761904761904767</v>
      </c>
      <c r="AD13" s="85" t="s">
        <v>225</v>
      </c>
      <c r="AE13" s="88">
        <v>0.25</v>
      </c>
      <c r="AF13" s="85" t="s">
        <v>171</v>
      </c>
      <c r="AG13" s="88">
        <v>0.40594059405940597</v>
      </c>
      <c r="AH13" s="85" t="s">
        <v>185</v>
      </c>
      <c r="AI13" s="92">
        <v>53500</v>
      </c>
    </row>
    <row r="14" spans="1:35" x14ac:dyDescent="0.4">
      <c r="A14" s="82">
        <v>12</v>
      </c>
      <c r="B14" s="83" t="s">
        <v>128</v>
      </c>
      <c r="C14" s="84">
        <v>-313.40000000000003</v>
      </c>
      <c r="D14" s="85" t="s">
        <v>225</v>
      </c>
      <c r="E14" s="97">
        <v>-12.35</v>
      </c>
      <c r="F14" s="85" t="s">
        <v>129</v>
      </c>
      <c r="G14" s="86">
        <v>2.2567567567567566</v>
      </c>
      <c r="H14" s="85" t="s">
        <v>224</v>
      </c>
      <c r="I14" s="87">
        <v>0</v>
      </c>
      <c r="J14" s="85" t="s">
        <v>186</v>
      </c>
      <c r="K14" s="87">
        <v>0.5</v>
      </c>
      <c r="L14" s="85" t="s">
        <v>129</v>
      </c>
      <c r="M14" s="88">
        <v>0.233387358184765</v>
      </c>
      <c r="N14" s="85" t="s">
        <v>186</v>
      </c>
      <c r="O14" s="88">
        <v>0.22033898305084745</v>
      </c>
      <c r="P14" s="85" t="s">
        <v>173</v>
      </c>
      <c r="Q14" s="89">
        <v>6998.2456140350878</v>
      </c>
      <c r="R14" s="85" t="s">
        <v>224</v>
      </c>
      <c r="S14" s="89">
        <v>-12000</v>
      </c>
      <c r="T14" s="85" t="s">
        <v>177</v>
      </c>
      <c r="U14" s="87">
        <v>0.17647058823529413</v>
      </c>
      <c r="V14" s="85" t="s">
        <v>224</v>
      </c>
      <c r="W14" s="87">
        <v>0</v>
      </c>
      <c r="X14" s="85" t="s">
        <v>172</v>
      </c>
      <c r="Y14" s="88">
        <v>0.21989528795811519</v>
      </c>
      <c r="Z14" s="85" t="s">
        <v>129</v>
      </c>
      <c r="AA14" s="88">
        <v>0.15883306320907617</v>
      </c>
      <c r="AB14" s="85" t="s">
        <v>129</v>
      </c>
      <c r="AC14" s="88">
        <v>0.52298850574712641</v>
      </c>
      <c r="AD14" s="85" t="s">
        <v>129</v>
      </c>
      <c r="AE14" s="88">
        <v>0.22448979591836735</v>
      </c>
      <c r="AF14" s="85" t="s">
        <v>127</v>
      </c>
      <c r="AG14" s="88">
        <v>0.40583554376657827</v>
      </c>
      <c r="AH14" s="85" t="s">
        <v>224</v>
      </c>
      <c r="AI14" s="92">
        <v>48300</v>
      </c>
    </row>
    <row r="15" spans="1:35" x14ac:dyDescent="0.4">
      <c r="A15" s="82">
        <v>13</v>
      </c>
      <c r="B15" s="83" t="s">
        <v>129</v>
      </c>
      <c r="C15" s="84">
        <v>-1149.5999999999999</v>
      </c>
      <c r="D15" s="85" t="s">
        <v>129</v>
      </c>
      <c r="E15" s="97">
        <v>-15.535135135135134</v>
      </c>
      <c r="F15" s="85" t="s">
        <v>225</v>
      </c>
      <c r="G15" s="86">
        <v>2.5</v>
      </c>
      <c r="H15" s="85" t="s">
        <v>225</v>
      </c>
      <c r="I15" s="87">
        <v>0</v>
      </c>
      <c r="J15" s="85" t="s">
        <v>225</v>
      </c>
      <c r="K15" s="87">
        <v>0.5</v>
      </c>
      <c r="L15" s="85" t="s">
        <v>224</v>
      </c>
      <c r="M15" s="88">
        <v>0.15384615384615385</v>
      </c>
      <c r="N15" s="85" t="s">
        <v>225</v>
      </c>
      <c r="O15" s="88">
        <v>0.23529411764705882</v>
      </c>
      <c r="P15" s="85" t="s">
        <v>172</v>
      </c>
      <c r="Q15" s="89">
        <v>6635.7843137254904</v>
      </c>
      <c r="R15" s="85" t="s">
        <v>225</v>
      </c>
      <c r="S15" s="89">
        <v>-12425</v>
      </c>
      <c r="T15" s="85" t="s">
        <v>129</v>
      </c>
      <c r="U15" s="87">
        <v>0.1891891891891892</v>
      </c>
      <c r="V15" s="85" t="s">
        <v>225</v>
      </c>
      <c r="W15" s="87">
        <v>0</v>
      </c>
      <c r="X15" s="85" t="s">
        <v>225</v>
      </c>
      <c r="Y15" s="88">
        <v>0.17647058823529413</v>
      </c>
      <c r="Z15" s="85" t="s">
        <v>224</v>
      </c>
      <c r="AA15" s="88">
        <v>7.6923076923076927E-2</v>
      </c>
      <c r="AB15" s="85" t="s">
        <v>224</v>
      </c>
      <c r="AC15" s="88">
        <v>0.33333333333333331</v>
      </c>
      <c r="AD15" s="85" t="s">
        <v>224</v>
      </c>
      <c r="AE15" s="88">
        <v>0</v>
      </c>
      <c r="AF15" s="85" t="s">
        <v>185</v>
      </c>
      <c r="AG15" s="88">
        <v>0.2</v>
      </c>
      <c r="AH15" s="85" t="s">
        <v>225</v>
      </c>
      <c r="AI15" s="92">
        <v>47300</v>
      </c>
    </row>
  </sheetData>
  <sortState ref="AH3:AI45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92CDDD-2825-4E2E-9174-5041161ECB7E}">
  <sheetPr codeName="Sheet4"/>
  <dimension ref="A1:Q599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145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597</v>
      </c>
      <c r="C2" s="147"/>
      <c r="E2" s="62" t="s">
        <v>67</v>
      </c>
      <c r="F2" s="59" t="s">
        <v>23</v>
      </c>
      <c r="G2" s="46">
        <v>1115</v>
      </c>
      <c r="H2" s="132">
        <f>IF(B$17=0,0,G2/B$17)</f>
        <v>0.74581939799331098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-13.40033500837521</v>
      </c>
      <c r="P2" s="118">
        <v>597</v>
      </c>
      <c r="Q2" s="102">
        <v>-8000</v>
      </c>
    </row>
    <row r="3" spans="1:17" x14ac:dyDescent="0.4">
      <c r="A3" s="55" t="s">
        <v>8</v>
      </c>
      <c r="B3" s="148">
        <v>4977</v>
      </c>
      <c r="C3" s="149"/>
      <c r="E3" s="63" t="s">
        <v>65</v>
      </c>
      <c r="F3" s="60" t="s">
        <v>21</v>
      </c>
      <c r="G3" s="47">
        <v>771</v>
      </c>
      <c r="H3" s="133">
        <f>IF(B$17=0,0,G3/B$17)</f>
        <v>0.51571906354515051</v>
      </c>
      <c r="I3" s="94">
        <v>9</v>
      </c>
      <c r="K3" s="38">
        <v>1</v>
      </c>
      <c r="L3" s="99">
        <v>-5.0999999999999996</v>
      </c>
      <c r="N3" s="115" t="s">
        <v>133</v>
      </c>
      <c r="O3" s="122">
        <f t="shared" si="0"/>
        <v>-6.8728522336769755</v>
      </c>
      <c r="P3" s="119">
        <v>582</v>
      </c>
      <c r="Q3" s="103">
        <v>-4000</v>
      </c>
    </row>
    <row r="4" spans="1:17" x14ac:dyDescent="0.4">
      <c r="A4" s="55" t="s">
        <v>6</v>
      </c>
      <c r="B4" s="150">
        <v>-1.4210854715202004E-14</v>
      </c>
      <c r="C4" s="151"/>
      <c r="E4" s="63" t="s">
        <v>73</v>
      </c>
      <c r="F4" s="60" t="s">
        <v>28</v>
      </c>
      <c r="G4" s="47">
        <v>759</v>
      </c>
      <c r="H4" s="133">
        <f>IF(B$17=0,0,G4/B$17)</f>
        <v>0.50769230769230766</v>
      </c>
      <c r="I4" s="94">
        <v>9</v>
      </c>
      <c r="K4" s="38">
        <v>2</v>
      </c>
      <c r="L4" s="99">
        <v>40.4</v>
      </c>
      <c r="N4" s="115" t="s">
        <v>134</v>
      </c>
      <c r="O4" s="122">
        <f t="shared" si="0"/>
        <v>5.4644808743169397</v>
      </c>
      <c r="P4" s="119">
        <v>549</v>
      </c>
      <c r="Q4" s="103">
        <v>3000</v>
      </c>
    </row>
    <row r="5" spans="1:17" x14ac:dyDescent="0.4">
      <c r="A5" s="55" t="s">
        <v>7</v>
      </c>
      <c r="B5" s="152">
        <f>IF(B$2=0,0,B$4/B$2)</f>
        <v>-2.3803776742381916E-17</v>
      </c>
      <c r="C5" s="153"/>
      <c r="E5" s="63" t="s">
        <v>181</v>
      </c>
      <c r="F5" s="60" t="s">
        <v>182</v>
      </c>
      <c r="G5" s="47">
        <v>614</v>
      </c>
      <c r="H5" s="133">
        <f>IF(B$17=0,0,G5/B$17)</f>
        <v>0.41070234113712373</v>
      </c>
      <c r="I5" s="94">
        <v>6</v>
      </c>
      <c r="K5" s="38">
        <v>3</v>
      </c>
      <c r="L5" s="99">
        <v>0</v>
      </c>
      <c r="N5" s="115" t="s">
        <v>135</v>
      </c>
      <c r="O5" s="122">
        <f t="shared" si="0"/>
        <v>11.976047904191617</v>
      </c>
      <c r="P5" s="119">
        <v>501</v>
      </c>
      <c r="Q5" s="103">
        <v>6000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466</v>
      </c>
      <c r="H6" s="133">
        <f>IF(B$17=0,0,G6/B$17)</f>
        <v>0.31170568561872908</v>
      </c>
      <c r="I6" s="94">
        <v>8</v>
      </c>
      <c r="K6" s="38">
        <v>4</v>
      </c>
      <c r="L6" s="99">
        <v>2.2000000000000002</v>
      </c>
      <c r="N6" s="115" t="s">
        <v>136</v>
      </c>
      <c r="O6" s="122">
        <f t="shared" si="0"/>
        <v>-15.555555555555555</v>
      </c>
      <c r="P6" s="119">
        <v>450</v>
      </c>
      <c r="Q6" s="103">
        <v>-7000</v>
      </c>
    </row>
    <row r="7" spans="1:17" x14ac:dyDescent="0.4">
      <c r="A7" s="55" t="s">
        <v>2</v>
      </c>
      <c r="B7" s="47">
        <v>199</v>
      </c>
      <c r="C7" s="39">
        <f>IF(B$2=0,0,B7/B$2)</f>
        <v>0.33333333333333331</v>
      </c>
      <c r="E7" s="63" t="s">
        <v>68</v>
      </c>
      <c r="F7" s="60" t="s">
        <v>24</v>
      </c>
      <c r="G7" s="47">
        <v>460</v>
      </c>
      <c r="H7" s="133">
        <f>IF(B$17=0,0,G7/B$17)</f>
        <v>0.30769230769230771</v>
      </c>
      <c r="I7" s="94">
        <v>9</v>
      </c>
      <c r="K7" s="38">
        <v>5</v>
      </c>
      <c r="L7" s="99">
        <v>-37</v>
      </c>
      <c r="N7" s="116" t="s">
        <v>137</v>
      </c>
      <c r="O7" s="123">
        <f t="shared" si="0"/>
        <v>24.875621890547265</v>
      </c>
      <c r="P7" s="120">
        <v>402</v>
      </c>
      <c r="Q7" s="104">
        <v>10000</v>
      </c>
    </row>
    <row r="8" spans="1:17" x14ac:dyDescent="0.4">
      <c r="A8" s="55" t="s">
        <v>3</v>
      </c>
      <c r="B8" s="47">
        <v>199</v>
      </c>
      <c r="C8" s="39">
        <f>IF(B$2=0,0,B8/B$2)</f>
        <v>0.33333333333333331</v>
      </c>
      <c r="E8" s="63" t="s">
        <v>70</v>
      </c>
      <c r="F8" s="60" t="s">
        <v>25</v>
      </c>
      <c r="G8" s="47">
        <v>267</v>
      </c>
      <c r="H8" s="133">
        <f>IF(B$17=0,0,G8/B$17)</f>
        <v>0.17859531772575252</v>
      </c>
      <c r="I8" s="94">
        <v>6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199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189</v>
      </c>
      <c r="H9" s="133">
        <f>IF(B$17=0,0,G9/B$17)</f>
        <v>0.12642140468227425</v>
      </c>
      <c r="I9" s="94">
        <v>7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69</v>
      </c>
      <c r="C10" s="40">
        <f>IF(B$2=0,0,B10/B$2)</f>
        <v>0.11557788944723618</v>
      </c>
      <c r="E10" s="63" t="s">
        <v>66</v>
      </c>
      <c r="F10" s="60" t="s">
        <v>22</v>
      </c>
      <c r="G10" s="47">
        <v>184</v>
      </c>
      <c r="H10" s="133">
        <f>IF(B$17=0,0,G10/B$17)</f>
        <v>0.12307692307692308</v>
      </c>
      <c r="I10" s="94">
        <v>4</v>
      </c>
      <c r="K10" s="38">
        <v>8</v>
      </c>
      <c r="L10" s="99">
        <v>19.699999999999996</v>
      </c>
      <c r="N10" s="114" t="s">
        <v>164</v>
      </c>
      <c r="O10" s="124">
        <f>IF(P10=0,0,Q10/P10)</f>
        <v>-2.4261306532663314</v>
      </c>
      <c r="P10" s="118">
        <v>199</v>
      </c>
      <c r="Q10" s="106">
        <v>-482.79999999999995</v>
      </c>
    </row>
    <row r="11" spans="1:17" x14ac:dyDescent="0.4">
      <c r="A11" s="56" t="s">
        <v>140</v>
      </c>
      <c r="B11" s="48">
        <v>69</v>
      </c>
      <c r="C11" s="40">
        <f>IF(B$2=0,0,B11/B$2)</f>
        <v>0.11557788944723618</v>
      </c>
      <c r="E11" s="63" t="s">
        <v>71</v>
      </c>
      <c r="F11" s="60" t="s">
        <v>26</v>
      </c>
      <c r="G11" s="47">
        <v>148</v>
      </c>
      <c r="H11" s="133">
        <f>IF(B$17=0,0,G11/B$17)</f>
        <v>9.8996655518394649E-2</v>
      </c>
      <c r="I11" s="94">
        <v>6</v>
      </c>
      <c r="K11" s="38">
        <v>9</v>
      </c>
      <c r="L11" s="99">
        <v>-3.5527136788005009E-15</v>
      </c>
      <c r="N11" s="115" t="s">
        <v>165</v>
      </c>
      <c r="O11" s="125">
        <f>IF(P11=0,0,Q11/P11)</f>
        <v>-0.31608040201005033</v>
      </c>
      <c r="P11" s="119">
        <v>199</v>
      </c>
      <c r="Q11" s="107">
        <v>-62.90000000000002</v>
      </c>
    </row>
    <row r="12" spans="1:17" x14ac:dyDescent="0.4">
      <c r="A12" s="57" t="s">
        <v>160</v>
      </c>
      <c r="B12" s="49">
        <v>51</v>
      </c>
      <c r="C12" s="42">
        <f>IF(B$2=0,0,B12/B$2)</f>
        <v>8.5427135678391955E-2</v>
      </c>
      <c r="E12" s="63" t="s">
        <v>72</v>
      </c>
      <c r="F12" s="60" t="s">
        <v>27</v>
      </c>
      <c r="G12" s="47">
        <v>100</v>
      </c>
      <c r="H12" s="133">
        <f>IF(B$17=0,0,G12/B$17)</f>
        <v>6.6889632107023408E-2</v>
      </c>
      <c r="I12" s="94">
        <v>5</v>
      </c>
      <c r="K12" s="38">
        <v>10</v>
      </c>
      <c r="L12" s="99">
        <v>40.099999999999994</v>
      </c>
      <c r="N12" s="116" t="s">
        <v>166</v>
      </c>
      <c r="O12" s="126">
        <f>IF(P12=0,0,Q12/P12)</f>
        <v>2.7422110552763814</v>
      </c>
      <c r="P12" s="120">
        <v>199</v>
      </c>
      <c r="Q12" s="108">
        <v>545.69999999999993</v>
      </c>
    </row>
    <row r="13" spans="1:17" x14ac:dyDescent="0.4">
      <c r="A13" s="58" t="s">
        <v>122</v>
      </c>
      <c r="B13" s="50">
        <v>1400</v>
      </c>
      <c r="C13" s="44">
        <f>IF(B$3=0,0,B13/B$3)</f>
        <v>0.28129395218002812</v>
      </c>
      <c r="E13" s="63" t="s">
        <v>87</v>
      </c>
      <c r="F13" s="60" t="s">
        <v>42</v>
      </c>
      <c r="G13" s="47">
        <v>83</v>
      </c>
      <c r="H13" s="133">
        <f>IF(B$17=0,0,G13/B$17)</f>
        <v>5.5518394648829433E-2</v>
      </c>
      <c r="I13" s="94">
        <v>6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1044</v>
      </c>
      <c r="C14" s="39">
        <f>IF(B$3=0,0,B14/B$3)</f>
        <v>0.20976491862567812</v>
      </c>
      <c r="E14" s="63" t="s">
        <v>84</v>
      </c>
      <c r="F14" s="60" t="s">
        <v>39</v>
      </c>
      <c r="G14" s="47">
        <v>70</v>
      </c>
      <c r="H14" s="133">
        <f>IF(B$17=0,0,G14/B$17)</f>
        <v>4.6822742474916385E-2</v>
      </c>
      <c r="I14" s="94">
        <v>7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810</v>
      </c>
      <c r="C15" s="37">
        <f>IF(B$13=0,0,B15/B$13)</f>
        <v>0.57857142857142863</v>
      </c>
      <c r="E15" s="63" t="s">
        <v>82</v>
      </c>
      <c r="F15" s="60" t="s">
        <v>37</v>
      </c>
      <c r="G15" s="47">
        <v>41</v>
      </c>
      <c r="H15" s="133">
        <f>IF(B$17=0,0,G15/B$17)</f>
        <v>2.7424749163879599E-2</v>
      </c>
      <c r="I15" s="94">
        <v>7</v>
      </c>
      <c r="K15" s="38">
        <v>13</v>
      </c>
      <c r="L15" s="99">
        <v>-42.100000000000009</v>
      </c>
      <c r="N15" s="114" t="s">
        <v>129</v>
      </c>
      <c r="O15" s="124">
        <f>IF(P15=0,0,Q15/P15)</f>
        <v>23.302702702702728</v>
      </c>
      <c r="P15" s="118">
        <v>148</v>
      </c>
      <c r="Q15" s="106">
        <v>3448.8000000000038</v>
      </c>
    </row>
    <row r="16" spans="1:17" x14ac:dyDescent="0.4">
      <c r="A16" s="54" t="s">
        <v>125</v>
      </c>
      <c r="B16" s="46">
        <v>410</v>
      </c>
      <c r="C16" s="37">
        <f>IF(B$14=0,0,B16/B$14)</f>
        <v>0.39272030651340994</v>
      </c>
      <c r="E16" s="63" t="s">
        <v>79</v>
      </c>
      <c r="F16" s="60" t="s">
        <v>34</v>
      </c>
      <c r="G16" s="47">
        <v>38</v>
      </c>
      <c r="H16" s="133">
        <f>IF(B$17=0,0,G16/B$17)</f>
        <v>2.5418060200668897E-2</v>
      </c>
      <c r="I16" s="94">
        <v>6</v>
      </c>
      <c r="K16" s="38">
        <v>14</v>
      </c>
      <c r="L16" s="99">
        <v>18.79999999999999</v>
      </c>
      <c r="N16" s="115" t="s">
        <v>225</v>
      </c>
      <c r="O16" s="125">
        <f>IF(P16=0,0,Q16/P16)</f>
        <v>18.524999999999995</v>
      </c>
      <c r="P16" s="119">
        <v>4</v>
      </c>
      <c r="Q16" s="107">
        <v>74.09999999999998</v>
      </c>
    </row>
    <row r="17" spans="1:17" x14ac:dyDescent="0.4">
      <c r="A17" s="54" t="s">
        <v>10</v>
      </c>
      <c r="B17" s="46">
        <f>B19+B18</f>
        <v>1495</v>
      </c>
      <c r="C17" s="37">
        <f>IF(B$3=0,0,B17/B$3)</f>
        <v>0.30038175607795858</v>
      </c>
      <c r="E17" s="63" t="s">
        <v>92</v>
      </c>
      <c r="F17" s="60" t="s">
        <v>47</v>
      </c>
      <c r="G17" s="47">
        <v>29</v>
      </c>
      <c r="H17" s="133">
        <f>IF(B$17=0,0,G17/B$17)</f>
        <v>1.9397993311036789E-2</v>
      </c>
      <c r="I17" s="94">
        <v>4</v>
      </c>
      <c r="K17" s="38">
        <v>15</v>
      </c>
      <c r="L17" s="99">
        <v>-1.0658141036401503E-14</v>
      </c>
      <c r="N17" s="115" t="s">
        <v>186</v>
      </c>
      <c r="O17" s="125">
        <f>IF(P17=0,0,Q17/P17)</f>
        <v>14.860714285714284</v>
      </c>
      <c r="P17" s="119">
        <v>28</v>
      </c>
      <c r="Q17" s="107">
        <v>416.09999999999997</v>
      </c>
    </row>
    <row r="18" spans="1:17" x14ac:dyDescent="0.4">
      <c r="A18" s="55" t="s">
        <v>12</v>
      </c>
      <c r="B18" s="47">
        <v>647</v>
      </c>
      <c r="C18" s="39">
        <f>IF(B$17=0,0,B18/B$17)</f>
        <v>0.43277591973244145</v>
      </c>
      <c r="E18" s="63" t="s">
        <v>180</v>
      </c>
      <c r="F18" s="60" t="s">
        <v>183</v>
      </c>
      <c r="G18" s="47">
        <v>24</v>
      </c>
      <c r="H18" s="133">
        <f>IF(B$17=0,0,G18/B$17)</f>
        <v>1.6053511705685617E-2</v>
      </c>
      <c r="I18" s="94">
        <v>5</v>
      </c>
      <c r="K18" s="38">
        <v>16</v>
      </c>
      <c r="L18" s="99">
        <v>90.899999999999991</v>
      </c>
      <c r="N18" s="115" t="s">
        <v>173</v>
      </c>
      <c r="O18" s="125">
        <f>IF(P18=0,0,Q18/P18)</f>
        <v>8.9522727272727263</v>
      </c>
      <c r="P18" s="119">
        <v>88</v>
      </c>
      <c r="Q18" s="107">
        <v>787.79999999999984</v>
      </c>
    </row>
    <row r="19" spans="1:17" x14ac:dyDescent="0.4">
      <c r="A19" s="55" t="s">
        <v>11</v>
      </c>
      <c r="B19" s="47">
        <v>848</v>
      </c>
      <c r="C19" s="39">
        <f>IF(B$17=0,0,B19/B$17)</f>
        <v>0.56722408026755855</v>
      </c>
      <c r="E19" s="63" t="s">
        <v>80</v>
      </c>
      <c r="F19" s="60" t="s">
        <v>35</v>
      </c>
      <c r="G19" s="47">
        <v>23</v>
      </c>
      <c r="H19" s="133">
        <f>IF(B$17=0,0,G19/B$17)</f>
        <v>1.5384615384615385E-2</v>
      </c>
      <c r="I19" s="94">
        <v>5</v>
      </c>
      <c r="K19" s="38">
        <v>17</v>
      </c>
      <c r="L19" s="99">
        <v>8.2999999999999972</v>
      </c>
      <c r="N19" s="115" t="s">
        <v>202</v>
      </c>
      <c r="O19" s="125">
        <f>IF(P19=0,0,Q19/P19)</f>
        <v>5.4214285714285699</v>
      </c>
      <c r="P19" s="119">
        <v>14</v>
      </c>
      <c r="Q19" s="107">
        <v>75.899999999999977</v>
      </c>
    </row>
    <row r="20" spans="1:17" x14ac:dyDescent="0.4">
      <c r="A20" s="55" t="s">
        <v>13</v>
      </c>
      <c r="B20" s="47">
        <v>838</v>
      </c>
      <c r="C20" s="39">
        <f>IF(B$3=0,0,B20/B$3)</f>
        <v>0.16837452280490256</v>
      </c>
      <c r="E20" s="63" t="s">
        <v>74</v>
      </c>
      <c r="F20" s="60" t="s">
        <v>29</v>
      </c>
      <c r="G20" s="47">
        <v>9</v>
      </c>
      <c r="H20" s="133">
        <f>IF(B$17=0,0,G20/B$17)</f>
        <v>6.0200668896321068E-3</v>
      </c>
      <c r="I20" s="94">
        <v>4</v>
      </c>
      <c r="K20" s="38">
        <v>18</v>
      </c>
      <c r="L20" s="99">
        <v>-3.5527136788005009E-15</v>
      </c>
      <c r="N20" s="115" t="s">
        <v>128</v>
      </c>
      <c r="O20" s="125">
        <f>IF(P20=0,0,Q20/P20)</f>
        <v>4.0179487179487188</v>
      </c>
      <c r="P20" s="119">
        <v>234</v>
      </c>
      <c r="Q20" s="107">
        <v>940.20000000000027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76</v>
      </c>
      <c r="F21" s="60" t="s">
        <v>31</v>
      </c>
      <c r="G21" s="47">
        <v>9</v>
      </c>
      <c r="H21" s="133">
        <f>IF(B$17=0,0,G21/B$17)</f>
        <v>6.0200668896321068E-3</v>
      </c>
      <c r="I21" s="94">
        <v>5</v>
      </c>
      <c r="K21" s="38">
        <v>19</v>
      </c>
      <c r="L21" s="99">
        <v>30.999999999999996</v>
      </c>
      <c r="N21" s="115" t="s">
        <v>172</v>
      </c>
      <c r="O21" s="125">
        <f>IF(P21=0,0,Q21/P21)</f>
        <v>0.12272727272727167</v>
      </c>
      <c r="P21" s="119">
        <v>132</v>
      </c>
      <c r="Q21" s="107">
        <v>16.199999999999861</v>
      </c>
    </row>
    <row r="22" spans="1:17" x14ac:dyDescent="0.4">
      <c r="A22" s="55" t="s">
        <v>194</v>
      </c>
      <c r="B22" s="47">
        <v>31</v>
      </c>
      <c r="C22" s="135">
        <v>0</v>
      </c>
      <c r="E22" s="63" t="s">
        <v>75</v>
      </c>
      <c r="F22" s="60" t="s">
        <v>30</v>
      </c>
      <c r="G22" s="47">
        <v>6</v>
      </c>
      <c r="H22" s="133">
        <f>IF(B$17=0,0,G22/B$17)</f>
        <v>4.0133779264214043E-3</v>
      </c>
      <c r="I22" s="94">
        <v>5</v>
      </c>
      <c r="K22" s="38">
        <v>20</v>
      </c>
      <c r="L22" s="99">
        <v>0.79999999999999716</v>
      </c>
      <c r="N22" s="115" t="s">
        <v>177</v>
      </c>
      <c r="O22" s="125">
        <f>IF(P22=0,0,Q22/P22)</f>
        <v>-0.6176470588235311</v>
      </c>
      <c r="P22" s="119">
        <v>102</v>
      </c>
      <c r="Q22" s="107">
        <v>-63.000000000000178</v>
      </c>
    </row>
    <row r="23" spans="1:17" x14ac:dyDescent="0.4">
      <c r="A23" s="55" t="s">
        <v>5</v>
      </c>
      <c r="B23" s="51">
        <f>IF(B$17=0,0,C23/B$17)</f>
        <v>8680.9364548494977</v>
      </c>
      <c r="C23" s="41">
        <v>12978000</v>
      </c>
      <c r="E23" s="63" t="s">
        <v>88</v>
      </c>
      <c r="F23" s="60" t="s">
        <v>43</v>
      </c>
      <c r="G23" s="47">
        <v>6</v>
      </c>
      <c r="H23" s="133">
        <f>IF(B$17=0,0,G23/B$17)</f>
        <v>4.0133779264214043E-3</v>
      </c>
      <c r="I23" s="94">
        <v>5</v>
      </c>
      <c r="K23" s="38">
        <v>21</v>
      </c>
      <c r="L23" s="99">
        <v>-2.886579864025407E-15</v>
      </c>
      <c r="N23" s="115" t="s">
        <v>171</v>
      </c>
      <c r="O23" s="125">
        <f>IF(P23=0,0,Q23/P23)</f>
        <v>-4.9124999999999979</v>
      </c>
      <c r="P23" s="119">
        <v>168</v>
      </c>
      <c r="Q23" s="107">
        <v>-825.29999999999961</v>
      </c>
    </row>
    <row r="24" spans="1:17" x14ac:dyDescent="0.4">
      <c r="A24" s="57" t="s">
        <v>14</v>
      </c>
      <c r="B24" s="52">
        <f>IF(B$20=0,0,C24/B$20)</f>
        <v>-8328.2816229116943</v>
      </c>
      <c r="C24" s="45">
        <v>-6979100</v>
      </c>
      <c r="E24" s="63" t="s">
        <v>93</v>
      </c>
      <c r="F24" s="60" t="s">
        <v>48</v>
      </c>
      <c r="G24" s="47">
        <v>6</v>
      </c>
      <c r="H24" s="133">
        <f>IF(B$17=0,0,G24/B$17)</f>
        <v>4.0133779264214043E-3</v>
      </c>
      <c r="I24" s="94">
        <v>4</v>
      </c>
      <c r="K24" s="38">
        <v>22</v>
      </c>
      <c r="L24" s="99">
        <v>23.699999999999996</v>
      </c>
      <c r="N24" s="115" t="s">
        <v>127</v>
      </c>
      <c r="O24" s="125">
        <f>IF(P24=0,0,Q24/P24)</f>
        <v>-17.342910447761174</v>
      </c>
      <c r="P24" s="119">
        <v>268</v>
      </c>
      <c r="Q24" s="107">
        <v>-4647.8999999999942</v>
      </c>
    </row>
    <row r="25" spans="1:17" x14ac:dyDescent="0.4">
      <c r="A25" s="90" t="s">
        <v>142</v>
      </c>
      <c r="B25" s="140">
        <v>8</v>
      </c>
      <c r="C25" s="141"/>
      <c r="E25" s="63" t="s">
        <v>94</v>
      </c>
      <c r="F25" s="60" t="s">
        <v>49</v>
      </c>
      <c r="G25" s="47">
        <v>5</v>
      </c>
      <c r="H25" s="133">
        <f>IF(B$17=0,0,G25/B$17)</f>
        <v>3.3444816053511705E-3</v>
      </c>
      <c r="I25" s="94">
        <v>4</v>
      </c>
      <c r="K25" s="38">
        <v>23</v>
      </c>
      <c r="L25" s="99">
        <v>26.299999999999997</v>
      </c>
      <c r="N25" s="115" t="s">
        <v>224</v>
      </c>
      <c r="O25" s="125">
        <f>IF(P25=0,0,Q25/P25)</f>
        <v>-19.950000000000003</v>
      </c>
      <c r="P25" s="119">
        <v>2</v>
      </c>
      <c r="Q25" s="107">
        <v>-39.900000000000006</v>
      </c>
    </row>
    <row r="26" spans="1:17" x14ac:dyDescent="0.4">
      <c r="A26" s="58" t="s">
        <v>152</v>
      </c>
      <c r="B26" s="138">
        <v>116000</v>
      </c>
      <c r="C26" s="139"/>
      <c r="E26" s="63" t="s">
        <v>78</v>
      </c>
      <c r="F26" s="60" t="s">
        <v>33</v>
      </c>
      <c r="G26" s="47">
        <v>4</v>
      </c>
      <c r="H26" s="133">
        <f>IF(B$17=0,0,G26/B$17)</f>
        <v>2.6755852842809363E-3</v>
      </c>
      <c r="I26" s="94">
        <v>4</v>
      </c>
      <c r="K26" s="38">
        <v>24</v>
      </c>
      <c r="L26" s="99">
        <v>-3.5527136788005009E-15</v>
      </c>
      <c r="N26" s="115" t="s">
        <v>185</v>
      </c>
      <c r="O26" s="125">
        <f>IF(P26=0,0,Q26/P26)</f>
        <v>-30.5</v>
      </c>
      <c r="P26" s="119">
        <v>6</v>
      </c>
      <c r="Q26" s="107">
        <v>-183</v>
      </c>
    </row>
    <row r="27" spans="1:17" x14ac:dyDescent="0.4">
      <c r="A27" s="57" t="s">
        <v>143</v>
      </c>
      <c r="B27" s="65">
        <v>14</v>
      </c>
      <c r="C27" s="42">
        <f>IF(B$3=0,0,B27/B$3)</f>
        <v>2.8129395218002813E-3</v>
      </c>
      <c r="E27" s="63" t="s">
        <v>85</v>
      </c>
      <c r="F27" s="60" t="s">
        <v>40</v>
      </c>
      <c r="G27" s="47">
        <v>4</v>
      </c>
      <c r="H27" s="133">
        <f>IF(B$17=0,0,G27/B$17)</f>
        <v>2.6755852842809363E-3</v>
      </c>
      <c r="I27" s="94">
        <v>3</v>
      </c>
      <c r="K27" s="38">
        <v>25</v>
      </c>
      <c r="L27" s="99">
        <v>-31.300000000000004</v>
      </c>
    </row>
    <row r="28" spans="1:17" x14ac:dyDescent="0.4">
      <c r="E28" s="63" t="s">
        <v>86</v>
      </c>
      <c r="F28" s="60" t="s">
        <v>41</v>
      </c>
      <c r="G28" s="47">
        <v>4</v>
      </c>
      <c r="H28" s="133">
        <f>IF(B$17=0,0,G28/B$17)</f>
        <v>2.6755852842809363E-3</v>
      </c>
      <c r="I28" s="94">
        <v>3</v>
      </c>
      <c r="K28" s="38">
        <v>26</v>
      </c>
      <c r="L28" s="99">
        <v>1.8999999999999986</v>
      </c>
    </row>
    <row r="29" spans="1:17" x14ac:dyDescent="0.4">
      <c r="E29" s="63" t="s">
        <v>91</v>
      </c>
      <c r="F29" s="60" t="s">
        <v>46</v>
      </c>
      <c r="G29" s="47">
        <v>4</v>
      </c>
      <c r="H29" s="133">
        <f>IF(B$17=0,0,G29/B$17)</f>
        <v>2.6755852842809363E-3</v>
      </c>
      <c r="I29" s="94">
        <v>4</v>
      </c>
      <c r="K29" s="38">
        <v>27</v>
      </c>
      <c r="L29" s="99">
        <v>-1.3322676295501878E-15</v>
      </c>
    </row>
    <row r="30" spans="1:17" x14ac:dyDescent="0.4">
      <c r="E30" s="63" t="s">
        <v>89</v>
      </c>
      <c r="F30" s="60" t="s">
        <v>44</v>
      </c>
      <c r="G30" s="47">
        <v>2</v>
      </c>
      <c r="H30" s="133">
        <f>IF(B$17=0,0,G30/B$17)</f>
        <v>1.3377926421404682E-3</v>
      </c>
      <c r="I30" s="94">
        <v>3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2</v>
      </c>
      <c r="H31" s="133">
        <f>IF(B$17=0,0,G31/B$17)</f>
        <v>1.3377926421404682E-3</v>
      </c>
      <c r="I31" s="94">
        <v>3</v>
      </c>
      <c r="K31" s="38">
        <v>29</v>
      </c>
      <c r="L31" s="99">
        <v>-9.5</v>
      </c>
    </row>
    <row r="32" spans="1:17" x14ac:dyDescent="0.4">
      <c r="E32" s="63" t="s">
        <v>102</v>
      </c>
      <c r="F32" s="60" t="s">
        <v>57</v>
      </c>
      <c r="G32" s="47">
        <v>1</v>
      </c>
      <c r="H32" s="133">
        <f>IF(B$17=0,0,G32/B$17)</f>
        <v>6.6889632107023408E-4</v>
      </c>
      <c r="I32" s="94">
        <v>2</v>
      </c>
      <c r="K32" s="38">
        <v>30</v>
      </c>
      <c r="L32" s="99">
        <v>0</v>
      </c>
    </row>
    <row r="33" spans="5:12" x14ac:dyDescent="0.4">
      <c r="E33" s="63" t="s">
        <v>77</v>
      </c>
      <c r="F33" s="60" t="s">
        <v>32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29.1</v>
      </c>
    </row>
    <row r="34" spans="5:12" x14ac:dyDescent="0.4">
      <c r="E34" s="63" t="s">
        <v>81</v>
      </c>
      <c r="F34" s="60" t="s">
        <v>36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83</v>
      </c>
      <c r="F35" s="60" t="s">
        <v>38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95</v>
      </c>
      <c r="F36" s="60" t="s">
        <v>50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97</v>
      </c>
      <c r="F37" s="60" t="s">
        <v>52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98</v>
      </c>
      <c r="F38" s="60" t="s">
        <v>53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99</v>
      </c>
      <c r="F39" s="60" t="s">
        <v>54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100</v>
      </c>
      <c r="F40" s="60" t="s">
        <v>55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101</v>
      </c>
      <c r="F41" s="60" t="s">
        <v>56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38.399999999999991</v>
      </c>
    </row>
    <row r="52" spans="5:12" x14ac:dyDescent="0.4"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  <row r="498" spans="11:12" x14ac:dyDescent="0.4">
      <c r="K498" s="38">
        <v>496</v>
      </c>
      <c r="L498" s="99">
        <v>-16.099999999999994</v>
      </c>
    </row>
    <row r="499" spans="11:12" x14ac:dyDescent="0.4">
      <c r="K499" s="38">
        <v>497</v>
      </c>
      <c r="L499" s="99">
        <v>-61.599999999999994</v>
      </c>
    </row>
    <row r="500" spans="11:12" x14ac:dyDescent="0.4">
      <c r="K500" s="38">
        <v>498</v>
      </c>
      <c r="L500" s="99">
        <v>7.1054273576010019E-15</v>
      </c>
    </row>
    <row r="501" spans="11:12" x14ac:dyDescent="0.4">
      <c r="K501" s="38">
        <v>499</v>
      </c>
      <c r="L501" s="99">
        <v>-58.999999999999993</v>
      </c>
    </row>
    <row r="502" spans="11:12" x14ac:dyDescent="0.4">
      <c r="K502" s="38">
        <v>500</v>
      </c>
      <c r="L502" s="99">
        <v>9.0000000000000071</v>
      </c>
    </row>
    <row r="503" spans="11:12" x14ac:dyDescent="0.4">
      <c r="K503" s="38">
        <v>501</v>
      </c>
      <c r="L503" s="99">
        <v>7.1054273576010019E-15</v>
      </c>
    </row>
    <row r="504" spans="11:12" x14ac:dyDescent="0.4">
      <c r="K504" s="38">
        <v>502</v>
      </c>
      <c r="L504" s="99">
        <v>74.800000000000011</v>
      </c>
    </row>
    <row r="505" spans="11:12" x14ac:dyDescent="0.4">
      <c r="K505" s="38">
        <v>503</v>
      </c>
      <c r="L505" s="99">
        <v>56.000000000000014</v>
      </c>
    </row>
    <row r="506" spans="11:12" x14ac:dyDescent="0.4">
      <c r="K506" s="38">
        <v>504</v>
      </c>
      <c r="L506" s="99">
        <v>1.4210854715202004E-14</v>
      </c>
    </row>
    <row r="507" spans="11:12" x14ac:dyDescent="0.4">
      <c r="K507" s="38">
        <v>505</v>
      </c>
      <c r="L507" s="99">
        <v>-63.399999999999984</v>
      </c>
    </row>
    <row r="508" spans="11:12" x14ac:dyDescent="0.4">
      <c r="K508" s="38">
        <v>506</v>
      </c>
      <c r="L508" s="99">
        <v>-65.199999999999989</v>
      </c>
    </row>
    <row r="509" spans="11:12" x14ac:dyDescent="0.4">
      <c r="K509" s="38">
        <v>507</v>
      </c>
      <c r="L509" s="99">
        <v>1.4210854715202004E-14</v>
      </c>
    </row>
    <row r="510" spans="11:12" x14ac:dyDescent="0.4">
      <c r="K510" s="38">
        <v>508</v>
      </c>
      <c r="L510" s="99">
        <v>-20.299999999999986</v>
      </c>
    </row>
    <row r="511" spans="11:12" x14ac:dyDescent="0.4">
      <c r="K511" s="38">
        <v>509</v>
      </c>
      <c r="L511" s="99">
        <v>-66.399999999999991</v>
      </c>
    </row>
    <row r="512" spans="11:12" x14ac:dyDescent="0.4">
      <c r="K512" s="38">
        <v>510</v>
      </c>
      <c r="L512" s="99">
        <v>1.4210854715202004E-14</v>
      </c>
    </row>
    <row r="513" spans="11:12" x14ac:dyDescent="0.4">
      <c r="K513" s="38">
        <v>511</v>
      </c>
      <c r="L513" s="99">
        <v>4.300000000000014</v>
      </c>
    </row>
    <row r="514" spans="11:12" x14ac:dyDescent="0.4">
      <c r="K514" s="38">
        <v>512</v>
      </c>
      <c r="L514" s="99">
        <v>41.100000000000009</v>
      </c>
    </row>
    <row r="515" spans="11:12" x14ac:dyDescent="0.4">
      <c r="K515" s="38">
        <v>513</v>
      </c>
      <c r="L515" s="99">
        <v>7.1054273576010019E-15</v>
      </c>
    </row>
    <row r="516" spans="11:12" x14ac:dyDescent="0.4">
      <c r="K516" s="38">
        <v>514</v>
      </c>
      <c r="L516" s="99">
        <v>84.4</v>
      </c>
    </row>
    <row r="517" spans="11:12" x14ac:dyDescent="0.4">
      <c r="K517" s="38">
        <v>515</v>
      </c>
      <c r="L517" s="99">
        <v>20.900000000000006</v>
      </c>
    </row>
    <row r="518" spans="11:12" x14ac:dyDescent="0.4">
      <c r="K518" s="38">
        <v>516</v>
      </c>
      <c r="L518" s="99">
        <v>7.1054273576010019E-15</v>
      </c>
    </row>
    <row r="519" spans="11:12" x14ac:dyDescent="0.4">
      <c r="K519" s="38">
        <v>517</v>
      </c>
      <c r="L519" s="99">
        <v>40.600000000000009</v>
      </c>
    </row>
    <row r="520" spans="11:12" x14ac:dyDescent="0.4">
      <c r="K520" s="38">
        <v>518</v>
      </c>
      <c r="L520" s="99">
        <v>42.70000000000001</v>
      </c>
    </row>
    <row r="521" spans="11:12" x14ac:dyDescent="0.4">
      <c r="K521" s="38">
        <v>519</v>
      </c>
      <c r="L521" s="99">
        <v>7.1054273576010019E-15</v>
      </c>
    </row>
    <row r="522" spans="11:12" x14ac:dyDescent="0.4">
      <c r="K522" s="38">
        <v>520</v>
      </c>
      <c r="L522" s="99">
        <v>-57.999999999999993</v>
      </c>
    </row>
    <row r="523" spans="11:12" x14ac:dyDescent="0.4">
      <c r="K523" s="38">
        <v>521</v>
      </c>
      <c r="L523" s="99">
        <v>-1.9999999999999929</v>
      </c>
    </row>
    <row r="524" spans="11:12" x14ac:dyDescent="0.4">
      <c r="K524" s="38">
        <v>522</v>
      </c>
      <c r="L524" s="99">
        <v>7.1054273576010019E-15</v>
      </c>
    </row>
    <row r="525" spans="11:12" x14ac:dyDescent="0.4">
      <c r="K525" s="38">
        <v>523</v>
      </c>
      <c r="L525" s="99">
        <v>36.400000000000006</v>
      </c>
    </row>
    <row r="526" spans="11:12" x14ac:dyDescent="0.4">
      <c r="K526" s="38">
        <v>524</v>
      </c>
      <c r="L526" s="99">
        <v>45.900000000000006</v>
      </c>
    </row>
    <row r="527" spans="11:12" x14ac:dyDescent="0.4">
      <c r="K527" s="38">
        <v>525</v>
      </c>
      <c r="L527" s="99">
        <v>7.1054273576010019E-15</v>
      </c>
    </row>
    <row r="528" spans="11:12" x14ac:dyDescent="0.4">
      <c r="K528" s="38">
        <v>526</v>
      </c>
      <c r="L528" s="99">
        <v>-78.699999999999989</v>
      </c>
    </row>
    <row r="529" spans="11:12" x14ac:dyDescent="0.4">
      <c r="K529" s="38">
        <v>527</v>
      </c>
      <c r="L529" s="99">
        <v>-20.699999999999989</v>
      </c>
    </row>
    <row r="530" spans="11:12" x14ac:dyDescent="0.4">
      <c r="K530" s="38">
        <v>528</v>
      </c>
      <c r="L530" s="99">
        <v>1.0658141036401503E-14</v>
      </c>
    </row>
    <row r="531" spans="11:12" x14ac:dyDescent="0.4">
      <c r="K531" s="38">
        <v>529</v>
      </c>
      <c r="L531" s="99">
        <v>37.400000000000006</v>
      </c>
    </row>
    <row r="532" spans="11:12" x14ac:dyDescent="0.4">
      <c r="K532" s="38">
        <v>530</v>
      </c>
      <c r="L532" s="99">
        <v>-5.5999999999999943</v>
      </c>
    </row>
    <row r="533" spans="11:12" x14ac:dyDescent="0.4">
      <c r="K533" s="38">
        <v>531</v>
      </c>
      <c r="L533" s="99">
        <v>5.3290705182007514E-15</v>
      </c>
    </row>
    <row r="534" spans="11:12" x14ac:dyDescent="0.4">
      <c r="K534" s="38">
        <v>532</v>
      </c>
      <c r="L534" s="99">
        <v>5.3290705182007514E-15</v>
      </c>
    </row>
    <row r="535" spans="11:12" x14ac:dyDescent="0.4">
      <c r="K535" s="38">
        <v>533</v>
      </c>
      <c r="L535" s="99">
        <v>-56.999999999999993</v>
      </c>
    </row>
    <row r="536" spans="11:12" x14ac:dyDescent="0.4">
      <c r="K536" s="38">
        <v>534</v>
      </c>
      <c r="L536" s="99">
        <v>7.1054273576010019E-15</v>
      </c>
    </row>
    <row r="537" spans="11:12" x14ac:dyDescent="0.4">
      <c r="K537" s="38">
        <v>535</v>
      </c>
      <c r="L537" s="99">
        <v>-23.699999999999992</v>
      </c>
    </row>
    <row r="538" spans="11:12" x14ac:dyDescent="0.4">
      <c r="K538" s="38">
        <v>536</v>
      </c>
      <c r="L538" s="99">
        <v>-1.2999999999999936</v>
      </c>
    </row>
    <row r="539" spans="11:12" x14ac:dyDescent="0.4">
      <c r="K539" s="38">
        <v>537</v>
      </c>
      <c r="L539" s="99">
        <v>6.4392935428259079E-15</v>
      </c>
    </row>
    <row r="540" spans="11:12" x14ac:dyDescent="0.4">
      <c r="K540" s="38">
        <v>538</v>
      </c>
      <c r="L540" s="99">
        <v>-2.9999999999999938</v>
      </c>
    </row>
    <row r="541" spans="11:12" x14ac:dyDescent="0.4">
      <c r="K541" s="38">
        <v>539</v>
      </c>
      <c r="L541" s="99">
        <v>43.000000000000007</v>
      </c>
    </row>
    <row r="542" spans="11:12" x14ac:dyDescent="0.4">
      <c r="K542" s="38">
        <v>540</v>
      </c>
      <c r="L542" s="99">
        <v>7.1054273576010019E-15</v>
      </c>
    </row>
    <row r="543" spans="11:12" x14ac:dyDescent="0.4">
      <c r="K543" s="38">
        <v>541</v>
      </c>
      <c r="L543" s="99">
        <v>-35.099999999999994</v>
      </c>
    </row>
    <row r="544" spans="11:12" x14ac:dyDescent="0.4">
      <c r="K544" s="38">
        <v>542</v>
      </c>
      <c r="L544" s="99">
        <v>-5.4999999999999929</v>
      </c>
    </row>
    <row r="545" spans="11:12" x14ac:dyDescent="0.4">
      <c r="K545" s="38">
        <v>543</v>
      </c>
      <c r="L545" s="99">
        <v>7.1054273576010019E-15</v>
      </c>
    </row>
    <row r="546" spans="11:12" x14ac:dyDescent="0.4">
      <c r="K546" s="38">
        <v>544</v>
      </c>
      <c r="L546" s="99">
        <v>-26.999999999999993</v>
      </c>
    </row>
    <row r="547" spans="11:12" x14ac:dyDescent="0.4">
      <c r="K547" s="38">
        <v>545</v>
      </c>
      <c r="L547" s="99">
        <v>6.5000000000000071</v>
      </c>
    </row>
    <row r="548" spans="11:12" x14ac:dyDescent="0.4">
      <c r="K548" s="38">
        <v>546</v>
      </c>
      <c r="L548" s="99">
        <v>7.1054273576010019E-15</v>
      </c>
    </row>
    <row r="549" spans="11:12" x14ac:dyDescent="0.4">
      <c r="K549" s="38">
        <v>547</v>
      </c>
      <c r="L549" s="99">
        <v>49.000000000000007</v>
      </c>
    </row>
    <row r="550" spans="11:12" x14ac:dyDescent="0.4">
      <c r="K550" s="38">
        <v>548</v>
      </c>
      <c r="L550" s="99">
        <v>57.100000000000009</v>
      </c>
    </row>
    <row r="551" spans="11:12" x14ac:dyDescent="0.4">
      <c r="K551" s="38">
        <v>549</v>
      </c>
      <c r="L551" s="99">
        <v>7.1054273576010019E-15</v>
      </c>
    </row>
    <row r="552" spans="11:12" x14ac:dyDescent="0.4">
      <c r="K552" s="38">
        <v>550</v>
      </c>
      <c r="L552" s="99">
        <v>-28.199999999999992</v>
      </c>
    </row>
    <row r="553" spans="11:12" x14ac:dyDescent="0.4">
      <c r="K553" s="38">
        <v>551</v>
      </c>
      <c r="L553" s="99">
        <v>2.2000000000000064</v>
      </c>
    </row>
    <row r="554" spans="11:12" x14ac:dyDescent="0.4">
      <c r="K554" s="38">
        <v>552</v>
      </c>
      <c r="L554" s="99">
        <v>6.2172489379008766E-15</v>
      </c>
    </row>
    <row r="555" spans="11:12" x14ac:dyDescent="0.4">
      <c r="K555" s="38">
        <v>553</v>
      </c>
      <c r="L555" s="99">
        <v>6.1000000000000059</v>
      </c>
    </row>
    <row r="556" spans="11:12" x14ac:dyDescent="0.4">
      <c r="K556" s="38">
        <v>554</v>
      </c>
      <c r="L556" s="99">
        <v>-33.79999999999999</v>
      </c>
    </row>
    <row r="557" spans="11:12" x14ac:dyDescent="0.4">
      <c r="K557" s="38">
        <v>555</v>
      </c>
      <c r="L557" s="99">
        <v>7.1054273576010019E-15</v>
      </c>
    </row>
    <row r="558" spans="11:12" x14ac:dyDescent="0.4">
      <c r="K558" s="38">
        <v>556</v>
      </c>
      <c r="L558" s="99">
        <v>-62.999999999999993</v>
      </c>
    </row>
    <row r="559" spans="11:12" x14ac:dyDescent="0.4">
      <c r="K559" s="38">
        <v>557</v>
      </c>
      <c r="L559" s="99">
        <v>-44.999999999999993</v>
      </c>
    </row>
    <row r="560" spans="11:12" x14ac:dyDescent="0.4">
      <c r="K560" s="38">
        <v>558</v>
      </c>
      <c r="L560" s="99">
        <v>7.1054273576010019E-15</v>
      </c>
    </row>
    <row r="561" spans="11:12" x14ac:dyDescent="0.4">
      <c r="K561" s="38">
        <v>559</v>
      </c>
      <c r="L561" s="99">
        <v>100.9</v>
      </c>
    </row>
    <row r="562" spans="11:12" x14ac:dyDescent="0.4">
      <c r="K562" s="38">
        <v>560</v>
      </c>
      <c r="L562" s="99">
        <v>27.200000000000003</v>
      </c>
    </row>
    <row r="563" spans="11:12" x14ac:dyDescent="0.4">
      <c r="K563" s="38">
        <v>561</v>
      </c>
      <c r="L563" s="99">
        <v>3.5527136788005009E-15</v>
      </c>
    </row>
    <row r="564" spans="11:12" x14ac:dyDescent="0.4">
      <c r="K564" s="38">
        <v>562</v>
      </c>
      <c r="L564" s="99">
        <v>27.100000000000005</v>
      </c>
    </row>
    <row r="565" spans="11:12" x14ac:dyDescent="0.4">
      <c r="K565" s="38">
        <v>563</v>
      </c>
      <c r="L565" s="99">
        <v>31.800000000000004</v>
      </c>
    </row>
    <row r="566" spans="11:12" x14ac:dyDescent="0.4">
      <c r="K566" s="38">
        <v>564</v>
      </c>
      <c r="L566" s="99">
        <v>3.5527136788005009E-15</v>
      </c>
    </row>
    <row r="567" spans="11:12" x14ac:dyDescent="0.4">
      <c r="K567" s="38">
        <v>565</v>
      </c>
      <c r="L567" s="99">
        <v>-0.79999999999999649</v>
      </c>
    </row>
    <row r="568" spans="11:12" x14ac:dyDescent="0.4">
      <c r="K568" s="38">
        <v>566</v>
      </c>
      <c r="L568" s="99">
        <v>23.400000000000002</v>
      </c>
    </row>
    <row r="569" spans="11:12" x14ac:dyDescent="0.4">
      <c r="K569" s="38">
        <v>567</v>
      </c>
      <c r="L569" s="99">
        <v>3.5527136788005009E-15</v>
      </c>
    </row>
    <row r="570" spans="11:12" x14ac:dyDescent="0.4">
      <c r="K570" s="38">
        <v>568</v>
      </c>
      <c r="L570" s="99">
        <v>57.2</v>
      </c>
    </row>
    <row r="571" spans="11:12" x14ac:dyDescent="0.4">
      <c r="K571" s="38">
        <v>569</v>
      </c>
      <c r="L571" s="99">
        <v>69.5</v>
      </c>
    </row>
    <row r="572" spans="11:12" x14ac:dyDescent="0.4">
      <c r="K572" s="38">
        <v>570</v>
      </c>
      <c r="L572" s="99">
        <v>0</v>
      </c>
    </row>
    <row r="573" spans="11:12" x14ac:dyDescent="0.4">
      <c r="K573" s="38">
        <v>571</v>
      </c>
      <c r="L573" s="99">
        <v>-48.7</v>
      </c>
    </row>
    <row r="574" spans="11:12" x14ac:dyDescent="0.4">
      <c r="K574" s="38">
        <v>572</v>
      </c>
      <c r="L574" s="99">
        <v>-37.1</v>
      </c>
    </row>
    <row r="575" spans="11:12" x14ac:dyDescent="0.4">
      <c r="K575" s="38">
        <v>573</v>
      </c>
      <c r="L575" s="99">
        <v>0</v>
      </c>
    </row>
    <row r="576" spans="11:12" x14ac:dyDescent="0.4">
      <c r="K576" s="38">
        <v>574</v>
      </c>
      <c r="L576" s="99">
        <v>29.4</v>
      </c>
    </row>
    <row r="577" spans="11:12" x14ac:dyDescent="0.4">
      <c r="K577" s="38">
        <v>575</v>
      </c>
      <c r="L577" s="99">
        <v>-0.80000000000000071</v>
      </c>
    </row>
    <row r="578" spans="11:12" x14ac:dyDescent="0.4">
      <c r="K578" s="38">
        <v>576</v>
      </c>
      <c r="L578" s="99">
        <v>-6.6613381477509392E-16</v>
      </c>
    </row>
    <row r="579" spans="11:12" x14ac:dyDescent="0.4">
      <c r="K579" s="38">
        <v>577</v>
      </c>
      <c r="L579" s="99">
        <v>79.599999999999994</v>
      </c>
    </row>
    <row r="580" spans="11:12" x14ac:dyDescent="0.4">
      <c r="K580" s="38">
        <v>578</v>
      </c>
      <c r="L580" s="99">
        <v>70.8</v>
      </c>
    </row>
    <row r="581" spans="11:12" x14ac:dyDescent="0.4">
      <c r="K581" s="38">
        <v>579</v>
      </c>
      <c r="L581" s="99">
        <v>0</v>
      </c>
    </row>
    <row r="582" spans="11:12" x14ac:dyDescent="0.4">
      <c r="K582" s="38">
        <v>580</v>
      </c>
      <c r="L582" s="99">
        <v>-55.7</v>
      </c>
    </row>
    <row r="583" spans="11:12" x14ac:dyDescent="0.4">
      <c r="K583" s="38">
        <v>581</v>
      </c>
      <c r="L583" s="99">
        <v>7.6999999999999957</v>
      </c>
    </row>
    <row r="584" spans="11:12" x14ac:dyDescent="0.4">
      <c r="K584" s="38">
        <v>582</v>
      </c>
      <c r="L584" s="99">
        <v>-4.4408920985006262E-15</v>
      </c>
    </row>
    <row r="585" spans="11:12" x14ac:dyDescent="0.4">
      <c r="K585" s="38">
        <v>583</v>
      </c>
      <c r="L585" s="99">
        <v>40.599999999999994</v>
      </c>
    </row>
    <row r="586" spans="11:12" x14ac:dyDescent="0.4">
      <c r="K586" s="38">
        <v>584</v>
      </c>
      <c r="L586" s="99">
        <v>43.599999999999994</v>
      </c>
    </row>
    <row r="587" spans="11:12" x14ac:dyDescent="0.4">
      <c r="K587" s="38">
        <v>585</v>
      </c>
      <c r="L587" s="99">
        <v>-7.1054273576010019E-15</v>
      </c>
    </row>
    <row r="588" spans="11:12" x14ac:dyDescent="0.4">
      <c r="K588" s="38">
        <v>586</v>
      </c>
      <c r="L588" s="99">
        <v>-50.500000000000007</v>
      </c>
    </row>
    <row r="589" spans="11:12" x14ac:dyDescent="0.4">
      <c r="K589" s="38">
        <v>587</v>
      </c>
      <c r="L589" s="99">
        <v>-47.900000000000006</v>
      </c>
    </row>
    <row r="590" spans="11:12" x14ac:dyDescent="0.4">
      <c r="K590" s="38">
        <v>588</v>
      </c>
      <c r="L590" s="99">
        <v>-7.1054273576010019E-15</v>
      </c>
    </row>
    <row r="591" spans="11:12" x14ac:dyDescent="0.4">
      <c r="K591" s="38">
        <v>589</v>
      </c>
      <c r="L591" s="99">
        <v>-41.70000000000001</v>
      </c>
    </row>
    <row r="592" spans="11:12" x14ac:dyDescent="0.4">
      <c r="K592" s="38">
        <v>590</v>
      </c>
      <c r="L592" s="99">
        <v>-0.70000000000000995</v>
      </c>
    </row>
    <row r="593" spans="11:12" x14ac:dyDescent="0.4">
      <c r="K593" s="38">
        <v>591</v>
      </c>
      <c r="L593" s="99">
        <v>-9.9920072216264089E-15</v>
      </c>
    </row>
    <row r="594" spans="11:12" x14ac:dyDescent="0.4">
      <c r="K594" s="38">
        <v>592</v>
      </c>
      <c r="L594" s="99">
        <v>-34.900000000000006</v>
      </c>
    </row>
    <row r="595" spans="11:12" x14ac:dyDescent="0.4">
      <c r="K595" s="38">
        <v>593</v>
      </c>
      <c r="L595" s="99">
        <v>-38.100000000000009</v>
      </c>
    </row>
    <row r="596" spans="11:12" x14ac:dyDescent="0.4">
      <c r="K596" s="38">
        <v>594</v>
      </c>
      <c r="L596" s="99">
        <v>-7.1054273576010019E-15</v>
      </c>
    </row>
    <row r="597" spans="11:12" x14ac:dyDescent="0.4">
      <c r="K597" s="38">
        <v>595</v>
      </c>
      <c r="L597" s="99">
        <v>64.199999999999989</v>
      </c>
    </row>
    <row r="598" spans="11:12" x14ac:dyDescent="0.4">
      <c r="K598" s="38">
        <v>596</v>
      </c>
      <c r="L598" s="99">
        <v>57.999999999999986</v>
      </c>
    </row>
    <row r="599" spans="11:12" x14ac:dyDescent="0.4">
      <c r="K599" s="38">
        <v>597</v>
      </c>
      <c r="L599" s="99">
        <v>-1.4210854715202004E-14</v>
      </c>
    </row>
  </sheetData>
  <sortState ref="N15:Q2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40F09-2D74-4164-93C8-C982AFCA8600}">
  <sheetPr codeName="Sheet7"/>
  <dimension ref="A1:Q13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134</v>
      </c>
      <c r="C2" s="147"/>
      <c r="E2" s="62" t="s">
        <v>67</v>
      </c>
      <c r="F2" s="59" t="s">
        <v>23</v>
      </c>
      <c r="G2" s="46">
        <v>283</v>
      </c>
      <c r="H2" s="132">
        <f>IF(B$17=0,0,G2/B$17)</f>
        <v>0.75066312997347484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1689.5522388059701</v>
      </c>
      <c r="P2" s="118">
        <v>134</v>
      </c>
      <c r="Q2" s="102">
        <v>226400</v>
      </c>
    </row>
    <row r="3" spans="1:17" x14ac:dyDescent="0.4">
      <c r="A3" s="55" t="s">
        <v>8</v>
      </c>
      <c r="B3" s="148">
        <v>1090</v>
      </c>
      <c r="C3" s="149"/>
      <c r="E3" s="63" t="s">
        <v>73</v>
      </c>
      <c r="F3" s="60" t="s">
        <v>28</v>
      </c>
      <c r="G3" s="47">
        <v>217</v>
      </c>
      <c r="H3" s="133">
        <f>IF(B$17=0,0,G3/B$17)</f>
        <v>0.5755968169761273</v>
      </c>
      <c r="I3" s="94">
        <v>5</v>
      </c>
      <c r="K3" s="38">
        <v>1</v>
      </c>
      <c r="L3" s="99">
        <v>-5.0999999999999996</v>
      </c>
      <c r="N3" s="115" t="s">
        <v>133</v>
      </c>
      <c r="O3" s="122">
        <f t="shared" si="0"/>
        <v>1216.9230769230769</v>
      </c>
      <c r="P3" s="119">
        <v>130</v>
      </c>
      <c r="Q3" s="103">
        <v>158200</v>
      </c>
    </row>
    <row r="4" spans="1:17" x14ac:dyDescent="0.4">
      <c r="A4" s="55" t="s">
        <v>6</v>
      </c>
      <c r="B4" s="150">
        <v>1549.3000000000009</v>
      </c>
      <c r="C4" s="151"/>
      <c r="E4" s="63" t="s">
        <v>65</v>
      </c>
      <c r="F4" s="60" t="s">
        <v>21</v>
      </c>
      <c r="G4" s="47">
        <v>183</v>
      </c>
      <c r="H4" s="133">
        <f>IF(B$17=0,0,G4/B$17)</f>
        <v>0.48541114058355439</v>
      </c>
      <c r="I4" s="94">
        <v>11</v>
      </c>
      <c r="K4" s="38">
        <v>2</v>
      </c>
      <c r="L4" s="99">
        <v>-2.8999999999999995</v>
      </c>
      <c r="N4" s="115" t="s">
        <v>134</v>
      </c>
      <c r="O4" s="122">
        <f t="shared" si="0"/>
        <v>1194.3089430894308</v>
      </c>
      <c r="P4" s="119">
        <v>123</v>
      </c>
      <c r="Q4" s="103">
        <v>146900</v>
      </c>
    </row>
    <row r="5" spans="1:17" x14ac:dyDescent="0.4">
      <c r="A5" s="55" t="s">
        <v>7</v>
      </c>
      <c r="B5" s="152">
        <f>IF(B$2=0,0,B$4/B$2)</f>
        <v>11.561940298507469</v>
      </c>
      <c r="C5" s="153"/>
      <c r="E5" s="63" t="s">
        <v>181</v>
      </c>
      <c r="F5" s="60" t="s">
        <v>182</v>
      </c>
      <c r="G5" s="47">
        <v>156</v>
      </c>
      <c r="H5" s="133">
        <f>IF(B$17=0,0,G5/B$17)</f>
        <v>0.41379310344827586</v>
      </c>
      <c r="I5" s="94">
        <v>4</v>
      </c>
      <c r="K5" s="38">
        <v>3</v>
      </c>
      <c r="L5" s="99">
        <v>70.399999999999991</v>
      </c>
      <c r="N5" s="115" t="s">
        <v>135</v>
      </c>
      <c r="O5" s="122">
        <f t="shared" si="0"/>
        <v>2585.8407079646017</v>
      </c>
      <c r="P5" s="119">
        <v>113</v>
      </c>
      <c r="Q5" s="103">
        <v>292200</v>
      </c>
    </row>
    <row r="6" spans="1:17" x14ac:dyDescent="0.4">
      <c r="A6" s="55" t="s">
        <v>1</v>
      </c>
      <c r="B6" s="142">
        <f>IF(B$2=0,0,(B$7*1+B$8*2+B$9*3)/B$2)</f>
        <v>1.7611940298507462</v>
      </c>
      <c r="C6" s="143"/>
      <c r="E6" s="63" t="s">
        <v>68</v>
      </c>
      <c r="F6" s="60" t="s">
        <v>24</v>
      </c>
      <c r="G6" s="47">
        <v>110</v>
      </c>
      <c r="H6" s="133">
        <f>IF(B$17=0,0,G6/B$17)</f>
        <v>0.29177718832891247</v>
      </c>
      <c r="I6" s="94">
        <v>10</v>
      </c>
      <c r="K6" s="38">
        <v>4</v>
      </c>
      <c r="L6" s="99">
        <v>110.5</v>
      </c>
      <c r="N6" s="115" t="s">
        <v>136</v>
      </c>
      <c r="O6" s="122">
        <f t="shared" si="0"/>
        <v>234.34343434343435</v>
      </c>
      <c r="P6" s="119">
        <v>99</v>
      </c>
      <c r="Q6" s="103">
        <v>23200</v>
      </c>
    </row>
    <row r="7" spans="1:17" x14ac:dyDescent="0.4">
      <c r="A7" s="55" t="s">
        <v>2</v>
      </c>
      <c r="B7" s="47">
        <v>65</v>
      </c>
      <c r="C7" s="39">
        <f>IF(B$2=0,0,B7/B$2)</f>
        <v>0.48507462686567165</v>
      </c>
      <c r="E7" s="63" t="s">
        <v>69</v>
      </c>
      <c r="F7" s="60" t="s">
        <v>12</v>
      </c>
      <c r="G7" s="47">
        <v>98</v>
      </c>
      <c r="H7" s="133">
        <f>IF(B$17=0,0,G7/B$17)</f>
        <v>0.259946949602122</v>
      </c>
      <c r="I7" s="94">
        <v>12</v>
      </c>
      <c r="K7" s="38">
        <v>5</v>
      </c>
      <c r="L7" s="99">
        <v>201.4</v>
      </c>
      <c r="N7" s="116" t="s">
        <v>137</v>
      </c>
      <c r="O7" s="123">
        <f t="shared" si="0"/>
        <v>620.93023255813955</v>
      </c>
      <c r="P7" s="120">
        <v>86</v>
      </c>
      <c r="Q7" s="104">
        <v>53400</v>
      </c>
    </row>
    <row r="8" spans="1:17" x14ac:dyDescent="0.4">
      <c r="A8" s="55" t="s">
        <v>3</v>
      </c>
      <c r="B8" s="47">
        <v>36</v>
      </c>
      <c r="C8" s="39">
        <f>IF(B$2=0,0,B8/B$2)</f>
        <v>0.26865671641791045</v>
      </c>
      <c r="E8" s="63" t="s">
        <v>70</v>
      </c>
      <c r="F8" s="60" t="s">
        <v>25</v>
      </c>
      <c r="G8" s="47">
        <v>63</v>
      </c>
      <c r="H8" s="133">
        <f>IF(B$17=0,0,G8/B$17)</f>
        <v>0.16710875331564987</v>
      </c>
      <c r="I8" s="94">
        <v>9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33</v>
      </c>
      <c r="C9" s="40">
        <f t="shared" ref="C9" si="1">IF(B$2=0,0,B9/B$2)</f>
        <v>0.2462686567164179</v>
      </c>
      <c r="E9" s="63" t="s">
        <v>90</v>
      </c>
      <c r="F9" s="60" t="s">
        <v>45</v>
      </c>
      <c r="G9" s="47">
        <v>60</v>
      </c>
      <c r="H9" s="133">
        <f>IF(B$17=0,0,G9/B$17)</f>
        <v>0.15915119363395225</v>
      </c>
      <c r="I9" s="94">
        <v>5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15</v>
      </c>
      <c r="C10" s="40">
        <f>IF(B$2=0,0,B10/B$2)</f>
        <v>0.11194029850746269</v>
      </c>
      <c r="E10" s="63" t="s">
        <v>66</v>
      </c>
      <c r="F10" s="60" t="s">
        <v>22</v>
      </c>
      <c r="G10" s="47">
        <v>51</v>
      </c>
      <c r="H10" s="133">
        <f>IF(B$17=0,0,G10/B$17)</f>
        <v>0.13527851458885942</v>
      </c>
      <c r="I10" s="94">
        <v>3</v>
      </c>
      <c r="K10" s="38">
        <v>8</v>
      </c>
      <c r="L10" s="99">
        <v>285.20000000000005</v>
      </c>
      <c r="N10" s="114" t="s">
        <v>164</v>
      </c>
      <c r="O10" s="124">
        <f>IF(P10=0,0,Q10/P10)</f>
        <v>12.348780487804881</v>
      </c>
      <c r="P10" s="118">
        <v>41</v>
      </c>
      <c r="Q10" s="106">
        <v>506.30000000000007</v>
      </c>
    </row>
    <row r="11" spans="1:17" x14ac:dyDescent="0.4">
      <c r="A11" s="56" t="s">
        <v>140</v>
      </c>
      <c r="B11" s="48">
        <v>23</v>
      </c>
      <c r="C11" s="40">
        <f>IF(B$2=0,0,B11/B$2)</f>
        <v>0.17164179104477612</v>
      </c>
      <c r="E11" s="63" t="s">
        <v>71</v>
      </c>
      <c r="F11" s="60" t="s">
        <v>26</v>
      </c>
      <c r="G11" s="47">
        <v>35</v>
      </c>
      <c r="H11" s="133">
        <f>IF(B$17=0,0,G11/B$17)</f>
        <v>9.2838196286472149E-2</v>
      </c>
      <c r="I11" s="94">
        <v>7</v>
      </c>
      <c r="K11" s="38">
        <v>9</v>
      </c>
      <c r="L11" s="99">
        <v>277.90000000000003</v>
      </c>
      <c r="N11" s="115" t="s">
        <v>165</v>
      </c>
      <c r="O11" s="125">
        <f>IF(P11=0,0,Q11/P11)</f>
        <v>9.0897435897435894</v>
      </c>
      <c r="P11" s="119">
        <v>39</v>
      </c>
      <c r="Q11" s="107">
        <v>354.5</v>
      </c>
    </row>
    <row r="12" spans="1:17" x14ac:dyDescent="0.4">
      <c r="A12" s="57" t="s">
        <v>160</v>
      </c>
      <c r="B12" s="49">
        <v>19</v>
      </c>
      <c r="C12" s="42">
        <f>IF(B$2=0,0,B12/B$2)</f>
        <v>0.1417910447761194</v>
      </c>
      <c r="E12" s="63" t="s">
        <v>72</v>
      </c>
      <c r="F12" s="60" t="s">
        <v>27</v>
      </c>
      <c r="G12" s="47">
        <v>26</v>
      </c>
      <c r="H12" s="133">
        <f>IF(B$17=0,0,G12/B$17)</f>
        <v>6.8965517241379309E-2</v>
      </c>
      <c r="I12" s="94">
        <v>4</v>
      </c>
      <c r="K12" s="38">
        <v>10</v>
      </c>
      <c r="L12" s="99">
        <v>246.20000000000005</v>
      </c>
      <c r="N12" s="116" t="s">
        <v>166</v>
      </c>
      <c r="O12" s="126">
        <f>IF(P12=0,0,Q12/P12)</f>
        <v>12.750000000000002</v>
      </c>
      <c r="P12" s="120">
        <v>54</v>
      </c>
      <c r="Q12" s="108">
        <v>688.50000000000011</v>
      </c>
    </row>
    <row r="13" spans="1:17" x14ac:dyDescent="0.4">
      <c r="A13" s="58" t="s">
        <v>122</v>
      </c>
      <c r="B13" s="50">
        <v>351</v>
      </c>
      <c r="C13" s="44">
        <f>IF(B$3=0,0,B13/B$3)</f>
        <v>0.3220183486238532</v>
      </c>
      <c r="E13" s="63" t="s">
        <v>87</v>
      </c>
      <c r="F13" s="60" t="s">
        <v>42</v>
      </c>
      <c r="G13" s="47">
        <v>26</v>
      </c>
      <c r="H13" s="133">
        <f>IF(B$17=0,0,G13/B$17)</f>
        <v>6.8965517241379309E-2</v>
      </c>
      <c r="I13" s="94">
        <v>5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241</v>
      </c>
      <c r="C14" s="39">
        <f>IF(B$3=0,0,B14/B$3)</f>
        <v>0.22110091743119267</v>
      </c>
      <c r="E14" s="63" t="s">
        <v>84</v>
      </c>
      <c r="F14" s="60" t="s">
        <v>39</v>
      </c>
      <c r="G14" s="47">
        <v>19</v>
      </c>
      <c r="H14" s="133">
        <f>IF(B$17=0,0,G14/B$17)</f>
        <v>5.0397877984084884E-2</v>
      </c>
      <c r="I14" s="94">
        <v>5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200</v>
      </c>
      <c r="C15" s="37">
        <f>IF(B$13=0,0,B15/B$13)</f>
        <v>0.56980056980056981</v>
      </c>
      <c r="E15" s="63" t="s">
        <v>180</v>
      </c>
      <c r="F15" s="60" t="s">
        <v>183</v>
      </c>
      <c r="G15" s="47">
        <v>13</v>
      </c>
      <c r="H15" s="133">
        <f>IF(B$17=0,0,G15/B$17)</f>
        <v>3.4482758620689655E-2</v>
      </c>
      <c r="I15" s="94">
        <v>1</v>
      </c>
      <c r="K15" s="38">
        <v>13</v>
      </c>
      <c r="L15" s="99">
        <v>418.90000000000003</v>
      </c>
      <c r="N15" s="114" t="s">
        <v>185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123</v>
      </c>
      <c r="C16" s="37">
        <f>IF(B$14=0,0,B16/B$14)</f>
        <v>0.51037344398340245</v>
      </c>
      <c r="E16" s="63" t="s">
        <v>82</v>
      </c>
      <c r="F16" s="60" t="s">
        <v>37</v>
      </c>
      <c r="G16" s="47">
        <v>11</v>
      </c>
      <c r="H16" s="133">
        <f>IF(B$17=0,0,G16/B$17)</f>
        <v>2.9177718832891247E-2</v>
      </c>
      <c r="I16" s="94">
        <v>6</v>
      </c>
      <c r="K16" s="38">
        <v>14</v>
      </c>
      <c r="L16" s="99">
        <v>473.50000000000006</v>
      </c>
      <c r="N16" s="115" t="s">
        <v>177</v>
      </c>
      <c r="O16" s="125">
        <f>IF(P16=0,0,Q16/P16)</f>
        <v>30.80869565217392</v>
      </c>
      <c r="P16" s="119">
        <v>23</v>
      </c>
      <c r="Q16" s="107">
        <v>708.60000000000014</v>
      </c>
    </row>
    <row r="17" spans="1:17" x14ac:dyDescent="0.4">
      <c r="A17" s="54" t="s">
        <v>10</v>
      </c>
      <c r="B17" s="46">
        <f>B19+B18</f>
        <v>377</v>
      </c>
      <c r="C17" s="37">
        <f>IF(B$3=0,0,B17/B$3)</f>
        <v>0.34587155963302751</v>
      </c>
      <c r="E17" s="63" t="s">
        <v>79</v>
      </c>
      <c r="F17" s="60" t="s">
        <v>34</v>
      </c>
      <c r="G17" s="47">
        <v>8</v>
      </c>
      <c r="H17" s="133">
        <f>IF(B$17=0,0,G17/B$17)</f>
        <v>2.1220159151193633E-2</v>
      </c>
      <c r="I17" s="94">
        <v>7</v>
      </c>
      <c r="K17" s="38">
        <v>15</v>
      </c>
      <c r="L17" s="99">
        <v>481.50000000000006</v>
      </c>
      <c r="N17" s="115" t="s">
        <v>224</v>
      </c>
      <c r="O17" s="125">
        <f>IF(P17=0,0,Q17/P17)</f>
        <v>29.599999999999998</v>
      </c>
      <c r="P17" s="119">
        <v>1</v>
      </c>
      <c r="Q17" s="107">
        <v>29.599999999999998</v>
      </c>
    </row>
    <row r="18" spans="1:17" x14ac:dyDescent="0.4">
      <c r="A18" s="55" t="s">
        <v>12</v>
      </c>
      <c r="B18" s="47">
        <v>153</v>
      </c>
      <c r="C18" s="39">
        <f>IF(B$17=0,0,B18/B$17)</f>
        <v>0.40583554376657827</v>
      </c>
      <c r="E18" s="63" t="s">
        <v>92</v>
      </c>
      <c r="F18" s="60" t="s">
        <v>47</v>
      </c>
      <c r="G18" s="47">
        <v>7</v>
      </c>
      <c r="H18" s="133">
        <f>IF(B$17=0,0,G18/B$17)</f>
        <v>1.8567639257294429E-2</v>
      </c>
      <c r="I18" s="94">
        <v>5</v>
      </c>
      <c r="K18" s="38">
        <v>16</v>
      </c>
      <c r="L18" s="99">
        <v>425.50000000000006</v>
      </c>
      <c r="N18" s="115" t="s">
        <v>129</v>
      </c>
      <c r="O18" s="125">
        <f>IF(P18=0,0,Q18/P18)</f>
        <v>27.804545454545458</v>
      </c>
      <c r="P18" s="119">
        <v>44</v>
      </c>
      <c r="Q18" s="107">
        <v>1223.4000000000001</v>
      </c>
    </row>
    <row r="19" spans="1:17" x14ac:dyDescent="0.4">
      <c r="A19" s="55" t="s">
        <v>11</v>
      </c>
      <c r="B19" s="47">
        <v>224</v>
      </c>
      <c r="C19" s="39">
        <f>IF(B$17=0,0,B19/B$17)</f>
        <v>0.59416445623342173</v>
      </c>
      <c r="E19" s="63" t="s">
        <v>80</v>
      </c>
      <c r="F19" s="60" t="s">
        <v>35</v>
      </c>
      <c r="G19" s="47">
        <v>5</v>
      </c>
      <c r="H19" s="133">
        <f>IF(B$17=0,0,G19/B$17)</f>
        <v>1.3262599469496022E-2</v>
      </c>
      <c r="I19" s="94">
        <v>8</v>
      </c>
      <c r="K19" s="38">
        <v>17</v>
      </c>
      <c r="L19" s="99">
        <v>427.40000000000003</v>
      </c>
      <c r="N19" s="115" t="s">
        <v>172</v>
      </c>
      <c r="O19" s="125">
        <f>IF(P19=0,0,Q19/P19)</f>
        <v>24.126470588235296</v>
      </c>
      <c r="P19" s="119">
        <v>34</v>
      </c>
      <c r="Q19" s="107">
        <v>820.30000000000007</v>
      </c>
    </row>
    <row r="20" spans="1:17" x14ac:dyDescent="0.4">
      <c r="A20" s="55" t="s">
        <v>13</v>
      </c>
      <c r="B20" s="47">
        <v>177</v>
      </c>
      <c r="C20" s="39">
        <f>IF(B$3=0,0,B20/B$3)</f>
        <v>0.16238532110091744</v>
      </c>
      <c r="E20" s="63" t="s">
        <v>74</v>
      </c>
      <c r="F20" s="60" t="s">
        <v>29</v>
      </c>
      <c r="G20" s="47">
        <v>2</v>
      </c>
      <c r="H20" s="133">
        <f>IF(B$17=0,0,G20/B$17)</f>
        <v>5.3050397877984082E-3</v>
      </c>
      <c r="I20" s="94">
        <v>5</v>
      </c>
      <c r="K20" s="38">
        <v>18</v>
      </c>
      <c r="L20" s="99">
        <v>429.3</v>
      </c>
      <c r="N20" s="115" t="s">
        <v>173</v>
      </c>
      <c r="O20" s="125">
        <f>IF(P20=0,0,Q20/P20)</f>
        <v>21.768181818181816</v>
      </c>
      <c r="P20" s="119">
        <v>22</v>
      </c>
      <c r="Q20" s="107">
        <v>478.9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78</v>
      </c>
      <c r="F21" s="60" t="s">
        <v>33</v>
      </c>
      <c r="G21" s="47">
        <v>2</v>
      </c>
      <c r="H21" s="133">
        <f>IF(B$17=0,0,G21/B$17)</f>
        <v>5.3050397877984082E-3</v>
      </c>
      <c r="I21" s="94">
        <v>2</v>
      </c>
      <c r="K21" s="38">
        <v>19</v>
      </c>
      <c r="L21" s="99">
        <v>405.40000000000003</v>
      </c>
      <c r="N21" s="115" t="s">
        <v>186</v>
      </c>
      <c r="O21" s="125">
        <f>IF(P21=0,0,Q21/P21)</f>
        <v>20.222222222222214</v>
      </c>
      <c r="P21" s="119">
        <v>9</v>
      </c>
      <c r="Q21" s="107">
        <v>181.99999999999994</v>
      </c>
    </row>
    <row r="22" spans="1:17" x14ac:dyDescent="0.4">
      <c r="A22" s="55" t="s">
        <v>194</v>
      </c>
      <c r="B22" s="47">
        <v>39</v>
      </c>
      <c r="C22" s="135">
        <v>2</v>
      </c>
      <c r="E22" s="63" t="s">
        <v>86</v>
      </c>
      <c r="F22" s="60" t="s">
        <v>41</v>
      </c>
      <c r="G22" s="47">
        <v>2</v>
      </c>
      <c r="H22" s="133">
        <f>IF(B$17=0,0,G22/B$17)</f>
        <v>5.3050397877984082E-3</v>
      </c>
      <c r="I22" s="94">
        <v>2</v>
      </c>
      <c r="K22" s="38">
        <v>20</v>
      </c>
      <c r="L22" s="99">
        <v>469.6</v>
      </c>
      <c r="N22" s="115" t="s">
        <v>128</v>
      </c>
      <c r="O22" s="125">
        <f>IF(P22=0,0,Q22/P22)</f>
        <v>16.777500000000003</v>
      </c>
      <c r="P22" s="119">
        <v>80</v>
      </c>
      <c r="Q22" s="107">
        <v>1342.2000000000003</v>
      </c>
    </row>
    <row r="23" spans="1:17" x14ac:dyDescent="0.4">
      <c r="A23" s="55" t="s">
        <v>5</v>
      </c>
      <c r="B23" s="51">
        <f>IF(B$17=0,0,C23/B$17)</f>
        <v>9218.8328912466841</v>
      </c>
      <c r="C23" s="41">
        <v>3475500</v>
      </c>
      <c r="E23" s="63" t="s">
        <v>91</v>
      </c>
      <c r="F23" s="60" t="s">
        <v>46</v>
      </c>
      <c r="G23" s="47">
        <v>2</v>
      </c>
      <c r="H23" s="133">
        <f>IF(B$17=0,0,G23/B$17)</f>
        <v>5.3050397877984082E-3</v>
      </c>
      <c r="I23" s="94">
        <v>2</v>
      </c>
      <c r="K23" s="38">
        <v>21</v>
      </c>
      <c r="L23" s="99">
        <v>468.3</v>
      </c>
      <c r="N23" s="115" t="s">
        <v>171</v>
      </c>
      <c r="O23" s="125">
        <f>IF(P23=0,0,Q23/P23)</f>
        <v>-1.9137254901960812</v>
      </c>
      <c r="P23" s="119">
        <v>51</v>
      </c>
      <c r="Q23" s="107">
        <v>-97.600000000000136</v>
      </c>
    </row>
    <row r="24" spans="1:17" x14ac:dyDescent="0.4">
      <c r="A24" s="57" t="s">
        <v>14</v>
      </c>
      <c r="B24" s="52">
        <f>IF(B$20=0,0,C24/B$20)</f>
        <v>-8345.1977401129952</v>
      </c>
      <c r="C24" s="45">
        <v>-1477100</v>
      </c>
      <c r="E24" s="63" t="s">
        <v>93</v>
      </c>
      <c r="F24" s="60" t="s">
        <v>48</v>
      </c>
      <c r="G24" s="47">
        <v>2</v>
      </c>
      <c r="H24" s="133">
        <f>IF(B$17=0,0,G24/B$17)</f>
        <v>5.3050397877984082E-3</v>
      </c>
      <c r="I24" s="94">
        <v>3</v>
      </c>
      <c r="K24" s="38">
        <v>22</v>
      </c>
      <c r="L24" s="99">
        <v>519.20000000000005</v>
      </c>
      <c r="N24" s="115" t="s">
        <v>202</v>
      </c>
      <c r="O24" s="125">
        <f>IF(P24=0,0,Q24/P24)</f>
        <v>-13.45</v>
      </c>
      <c r="P24" s="119">
        <v>2</v>
      </c>
      <c r="Q24" s="107">
        <v>-26.9</v>
      </c>
    </row>
    <row r="25" spans="1:17" x14ac:dyDescent="0.4">
      <c r="A25" s="90" t="s">
        <v>142</v>
      </c>
      <c r="B25" s="140">
        <v>7</v>
      </c>
      <c r="C25" s="141"/>
      <c r="E25" s="63" t="s">
        <v>76</v>
      </c>
      <c r="F25" s="60" t="s">
        <v>31</v>
      </c>
      <c r="G25" s="47">
        <v>1</v>
      </c>
      <c r="H25" s="133">
        <f>IF(B$17=0,0,G25/B$17)</f>
        <v>2.6525198938992041E-3</v>
      </c>
      <c r="I25" s="94">
        <v>7</v>
      </c>
      <c r="K25" s="38">
        <v>23</v>
      </c>
      <c r="L25" s="99">
        <v>555.90000000000009</v>
      </c>
      <c r="N25" s="115" t="s">
        <v>225</v>
      </c>
      <c r="O25" s="125">
        <f>IF(P25=0,0,Q25/P25)</f>
        <v>-81.8</v>
      </c>
      <c r="P25" s="119">
        <v>1</v>
      </c>
      <c r="Q25" s="107">
        <v>-81.8</v>
      </c>
    </row>
    <row r="26" spans="1:17" x14ac:dyDescent="0.4">
      <c r="A26" s="58" t="s">
        <v>152</v>
      </c>
      <c r="B26" s="138">
        <v>116000</v>
      </c>
      <c r="C26" s="139"/>
      <c r="E26" s="63" t="s">
        <v>85</v>
      </c>
      <c r="F26" s="60" t="s">
        <v>40</v>
      </c>
      <c r="G26" s="47">
        <v>1</v>
      </c>
      <c r="H26" s="133">
        <f>IF(B$17=0,0,G26/B$17)</f>
        <v>2.6525198938992041E-3</v>
      </c>
      <c r="I26" s="94">
        <v>4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9.1743119266055051E-4</v>
      </c>
      <c r="E27" s="63" t="s">
        <v>88</v>
      </c>
      <c r="F27" s="60" t="s">
        <v>43</v>
      </c>
      <c r="G27" s="47">
        <v>1</v>
      </c>
      <c r="H27" s="133">
        <f>IF(B$17=0,0,G27/B$17)</f>
        <v>2.6525198938992041E-3</v>
      </c>
      <c r="I27" s="94">
        <v>6</v>
      </c>
      <c r="K27" s="38">
        <v>25</v>
      </c>
      <c r="L27" s="99">
        <v>655.20000000000005</v>
      </c>
    </row>
    <row r="28" spans="1:17" x14ac:dyDescent="0.4">
      <c r="E28" s="63" t="s">
        <v>94</v>
      </c>
      <c r="F28" s="60" t="s">
        <v>49</v>
      </c>
      <c r="G28" s="47">
        <v>1</v>
      </c>
      <c r="H28" s="133">
        <f>IF(B$17=0,0,G28/B$17)</f>
        <v>2.6525198938992041E-3</v>
      </c>
      <c r="I28" s="94">
        <v>5</v>
      </c>
      <c r="K28" s="38">
        <v>26</v>
      </c>
      <c r="L28" s="99">
        <v>625.40000000000009</v>
      </c>
    </row>
    <row r="29" spans="1:17" x14ac:dyDescent="0.4">
      <c r="E29" s="63" t="s">
        <v>96</v>
      </c>
      <c r="F29" s="60" t="s">
        <v>51</v>
      </c>
      <c r="G29" s="47">
        <v>1</v>
      </c>
      <c r="H29" s="133">
        <f>IF(B$17=0,0,G29/B$17)</f>
        <v>2.6525198938992041E-3</v>
      </c>
      <c r="I29" s="94">
        <v>2</v>
      </c>
      <c r="K29" s="38">
        <v>27</v>
      </c>
      <c r="L29" s="99">
        <v>596.30000000000007</v>
      </c>
    </row>
    <row r="30" spans="1:17" x14ac:dyDescent="0.4">
      <c r="E30" s="63" t="s">
        <v>75</v>
      </c>
      <c r="F30" s="60" t="s">
        <v>30</v>
      </c>
      <c r="G30" s="47">
        <v>0</v>
      </c>
      <c r="H30" s="133">
        <f>IF(B$17=0,0,G30/B$17)</f>
        <v>0</v>
      </c>
      <c r="I30" s="94">
        <v>6</v>
      </c>
      <c r="K30" s="38">
        <v>28</v>
      </c>
      <c r="L30" s="99">
        <v>655.6</v>
      </c>
    </row>
    <row r="31" spans="1:17" x14ac:dyDescent="0.4">
      <c r="E31" s="63" t="s">
        <v>77</v>
      </c>
      <c r="F31" s="60" t="s">
        <v>32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703.1</v>
      </c>
    </row>
    <row r="32" spans="1:17" x14ac:dyDescent="0.4">
      <c r="E32" s="63" t="s">
        <v>81</v>
      </c>
      <c r="F32" s="60" t="s">
        <v>36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83</v>
      </c>
      <c r="F33" s="60" t="s">
        <v>38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796.80000000000007</v>
      </c>
    </row>
    <row r="34" spans="5:12" x14ac:dyDescent="0.4">
      <c r="E34" s="63" t="s">
        <v>89</v>
      </c>
      <c r="F34" s="60" t="s">
        <v>44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1289.8999999999999</v>
      </c>
    </row>
    <row r="52" spans="5:12" x14ac:dyDescent="0.4"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  <row r="115" spans="11:12" x14ac:dyDescent="0.4">
      <c r="K115" s="38">
        <v>113</v>
      </c>
      <c r="L115" s="99">
        <v>1346.8000000000009</v>
      </c>
    </row>
    <row r="116" spans="11:12" x14ac:dyDescent="0.4">
      <c r="K116" s="38">
        <v>114</v>
      </c>
      <c r="L116" s="99">
        <v>1351.1000000000008</v>
      </c>
    </row>
    <row r="117" spans="11:12" x14ac:dyDescent="0.4">
      <c r="K117" s="38">
        <v>115</v>
      </c>
      <c r="L117" s="99">
        <v>1435.5000000000009</v>
      </c>
    </row>
    <row r="118" spans="11:12" x14ac:dyDescent="0.4">
      <c r="K118" s="38">
        <v>116</v>
      </c>
      <c r="L118" s="99">
        <v>1471.900000000001</v>
      </c>
    </row>
    <row r="119" spans="11:12" x14ac:dyDescent="0.4">
      <c r="K119" s="38">
        <v>117</v>
      </c>
      <c r="L119" s="99">
        <v>1492.600000000001</v>
      </c>
    </row>
    <row r="120" spans="11:12" x14ac:dyDescent="0.4">
      <c r="K120" s="38">
        <v>118</v>
      </c>
      <c r="L120" s="99">
        <v>1530.0000000000011</v>
      </c>
    </row>
    <row r="121" spans="11:12" x14ac:dyDescent="0.4">
      <c r="K121" s="38">
        <v>119</v>
      </c>
      <c r="L121" s="99">
        <v>1530.0000000000011</v>
      </c>
    </row>
    <row r="122" spans="11:12" x14ac:dyDescent="0.4">
      <c r="K122" s="38">
        <v>120</v>
      </c>
      <c r="L122" s="99">
        <v>1527.0000000000011</v>
      </c>
    </row>
    <row r="123" spans="11:12" x14ac:dyDescent="0.4">
      <c r="K123" s="38">
        <v>121</v>
      </c>
      <c r="L123" s="99">
        <v>1556.600000000001</v>
      </c>
    </row>
    <row r="124" spans="11:12" x14ac:dyDescent="0.4">
      <c r="K124" s="38">
        <v>122</v>
      </c>
      <c r="L124" s="99">
        <v>1590.100000000001</v>
      </c>
    </row>
    <row r="125" spans="11:12" x14ac:dyDescent="0.4">
      <c r="K125" s="38">
        <v>123</v>
      </c>
      <c r="L125" s="99">
        <v>1598.200000000001</v>
      </c>
    </row>
    <row r="126" spans="11:12" x14ac:dyDescent="0.4">
      <c r="K126" s="38">
        <v>124</v>
      </c>
      <c r="L126" s="99">
        <v>1628.600000000001</v>
      </c>
    </row>
    <row r="127" spans="11:12" x14ac:dyDescent="0.4">
      <c r="K127" s="38">
        <v>125</v>
      </c>
      <c r="L127" s="99">
        <v>1565.600000000001</v>
      </c>
    </row>
    <row r="128" spans="11:12" x14ac:dyDescent="0.4">
      <c r="K128" s="38">
        <v>126</v>
      </c>
      <c r="L128" s="99">
        <v>1666.5000000000011</v>
      </c>
    </row>
    <row r="129" spans="11:12" x14ac:dyDescent="0.4">
      <c r="K129" s="38">
        <v>127</v>
      </c>
      <c r="L129" s="99">
        <v>1643.100000000001</v>
      </c>
    </row>
    <row r="130" spans="11:12" x14ac:dyDescent="0.4">
      <c r="K130" s="38">
        <v>128</v>
      </c>
      <c r="L130" s="99">
        <v>1573.600000000001</v>
      </c>
    </row>
    <row r="131" spans="11:12" x14ac:dyDescent="0.4">
      <c r="K131" s="38">
        <v>129</v>
      </c>
      <c r="L131" s="99">
        <v>1603.0000000000011</v>
      </c>
    </row>
    <row r="132" spans="11:12" x14ac:dyDescent="0.4">
      <c r="K132" s="38">
        <v>130</v>
      </c>
      <c r="L132" s="99">
        <v>1682.600000000001</v>
      </c>
    </row>
    <row r="133" spans="11:12" x14ac:dyDescent="0.4">
      <c r="K133" s="38">
        <v>131</v>
      </c>
      <c r="L133" s="99">
        <v>1632.100000000001</v>
      </c>
    </row>
    <row r="134" spans="11:12" x14ac:dyDescent="0.4">
      <c r="K134" s="38">
        <v>132</v>
      </c>
      <c r="L134" s="99">
        <v>1590.400000000001</v>
      </c>
    </row>
    <row r="135" spans="11:12" x14ac:dyDescent="0.4">
      <c r="K135" s="38">
        <v>133</v>
      </c>
      <c r="L135" s="99">
        <v>1555.5000000000009</v>
      </c>
    </row>
    <row r="136" spans="11:12" x14ac:dyDescent="0.4">
      <c r="K136" s="38">
        <v>134</v>
      </c>
      <c r="L136" s="99">
        <v>1549.3000000000009</v>
      </c>
    </row>
  </sheetData>
  <sortState ref="N15:Q25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626B67-CF8E-4127-9DCC-1E136971E5D8}">
  <sheetPr codeName="Sheet9"/>
  <dimension ref="A1:Q119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128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117</v>
      </c>
      <c r="C2" s="147"/>
      <c r="E2" s="62" t="s">
        <v>67</v>
      </c>
      <c r="F2" s="59" t="s">
        <v>23</v>
      </c>
      <c r="G2" s="46">
        <v>200</v>
      </c>
      <c r="H2" s="132">
        <f>IF(B$17=0,0,G2/B$17)</f>
        <v>0.76045627376425851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492.30769230769232</v>
      </c>
      <c r="P2" s="118">
        <v>117</v>
      </c>
      <c r="Q2" s="102">
        <v>57600</v>
      </c>
    </row>
    <row r="3" spans="1:17" x14ac:dyDescent="0.4">
      <c r="A3" s="55" t="s">
        <v>8</v>
      </c>
      <c r="B3" s="148">
        <v>965</v>
      </c>
      <c r="C3" s="149"/>
      <c r="E3" s="63" t="s">
        <v>65</v>
      </c>
      <c r="F3" s="60" t="s">
        <v>21</v>
      </c>
      <c r="G3" s="47">
        <v>160</v>
      </c>
      <c r="H3" s="133">
        <f>IF(B$17=0,0,G3/B$17)</f>
        <v>0.60836501901140683</v>
      </c>
      <c r="I3" s="94">
        <v>2</v>
      </c>
      <c r="K3" s="38">
        <v>1</v>
      </c>
      <c r="L3" s="99">
        <v>45.5</v>
      </c>
      <c r="N3" s="115" t="s">
        <v>133</v>
      </c>
      <c r="O3" s="122">
        <f t="shared" si="0"/>
        <v>-2277.8761061946902</v>
      </c>
      <c r="P3" s="119">
        <v>113</v>
      </c>
      <c r="Q3" s="103">
        <v>-257400</v>
      </c>
    </row>
    <row r="4" spans="1:17" x14ac:dyDescent="0.4">
      <c r="A4" s="55" t="s">
        <v>6</v>
      </c>
      <c r="B4" s="150">
        <v>-313.40000000000003</v>
      </c>
      <c r="C4" s="151"/>
      <c r="E4" s="63" t="s">
        <v>73</v>
      </c>
      <c r="F4" s="60" t="s">
        <v>28</v>
      </c>
      <c r="G4" s="47">
        <v>121</v>
      </c>
      <c r="H4" s="133">
        <f>IF(B$17=0,0,G4/B$17)</f>
        <v>0.46007604562737642</v>
      </c>
      <c r="I4" s="94">
        <v>10</v>
      </c>
      <c r="K4" s="38">
        <v>2</v>
      </c>
      <c r="L4" s="99">
        <v>6.2999999999999972</v>
      </c>
      <c r="N4" s="115" t="s">
        <v>134</v>
      </c>
      <c r="O4" s="122">
        <f t="shared" si="0"/>
        <v>94.545454545454547</v>
      </c>
      <c r="P4" s="119">
        <v>110</v>
      </c>
      <c r="Q4" s="103">
        <v>10400</v>
      </c>
    </row>
    <row r="5" spans="1:17" x14ac:dyDescent="0.4">
      <c r="A5" s="55" t="s">
        <v>7</v>
      </c>
      <c r="B5" s="152">
        <f>IF(B$2=0,0,B$4/B$2)</f>
        <v>-2.6786324786324789</v>
      </c>
      <c r="C5" s="153"/>
      <c r="E5" s="63" t="s">
        <v>181</v>
      </c>
      <c r="F5" s="60" t="s">
        <v>182</v>
      </c>
      <c r="G5" s="47">
        <v>117</v>
      </c>
      <c r="H5" s="133">
        <f>IF(B$17=0,0,G5/B$17)</f>
        <v>0.44486692015209123</v>
      </c>
      <c r="I5" s="94">
        <v>2</v>
      </c>
      <c r="K5" s="38">
        <v>3</v>
      </c>
      <c r="L5" s="99">
        <v>-47.300000000000004</v>
      </c>
      <c r="N5" s="115" t="s">
        <v>135</v>
      </c>
      <c r="O5" s="122">
        <f t="shared" si="0"/>
        <v>142.85714285714286</v>
      </c>
      <c r="P5" s="119">
        <v>98</v>
      </c>
      <c r="Q5" s="103">
        <v>14000</v>
      </c>
    </row>
    <row r="6" spans="1:17" x14ac:dyDescent="0.4">
      <c r="A6" s="55" t="s">
        <v>1</v>
      </c>
      <c r="B6" s="142">
        <f>IF(B$2=0,0,(B$7*1+B$8*2+B$9*3)/B$2)</f>
        <v>2.0769230769230771</v>
      </c>
      <c r="C6" s="143"/>
      <c r="E6" s="63" t="s">
        <v>68</v>
      </c>
      <c r="F6" s="60" t="s">
        <v>24</v>
      </c>
      <c r="G6" s="47">
        <v>99</v>
      </c>
      <c r="H6" s="133">
        <f>IF(B$17=0,0,G6/B$17)</f>
        <v>0.37642585551330798</v>
      </c>
      <c r="I6" s="94">
        <v>6</v>
      </c>
      <c r="K6" s="38">
        <v>4</v>
      </c>
      <c r="L6" s="99">
        <v>13.599999999999994</v>
      </c>
      <c r="N6" s="115" t="s">
        <v>136</v>
      </c>
      <c r="O6" s="122">
        <f t="shared" si="0"/>
        <v>390.80459770114942</v>
      </c>
      <c r="P6" s="119">
        <v>87</v>
      </c>
      <c r="Q6" s="103">
        <v>34000</v>
      </c>
    </row>
    <row r="7" spans="1:17" x14ac:dyDescent="0.4">
      <c r="A7" s="55" t="s">
        <v>2</v>
      </c>
      <c r="B7" s="47">
        <v>31</v>
      </c>
      <c r="C7" s="39">
        <f>IF(B$2=0,0,B7/B$2)</f>
        <v>0.26495726495726496</v>
      </c>
      <c r="E7" s="63" t="s">
        <v>69</v>
      </c>
      <c r="F7" s="60" t="s">
        <v>12</v>
      </c>
      <c r="G7" s="47">
        <v>89</v>
      </c>
      <c r="H7" s="133">
        <f>IF(B$17=0,0,G7/B$17)</f>
        <v>0.33840304182509506</v>
      </c>
      <c r="I7" s="94">
        <v>7</v>
      </c>
      <c r="K7" s="38">
        <v>5</v>
      </c>
      <c r="L7" s="99">
        <v>-16.600000000000005</v>
      </c>
      <c r="N7" s="116" t="s">
        <v>137</v>
      </c>
      <c r="O7" s="123">
        <f t="shared" si="0"/>
        <v>555.55555555555554</v>
      </c>
      <c r="P7" s="120">
        <v>81</v>
      </c>
      <c r="Q7" s="104">
        <v>45000</v>
      </c>
    </row>
    <row r="8" spans="1:17" x14ac:dyDescent="0.4">
      <c r="A8" s="55" t="s">
        <v>3</v>
      </c>
      <c r="B8" s="47">
        <v>46</v>
      </c>
      <c r="C8" s="39">
        <f>IF(B$2=0,0,B8/B$2)</f>
        <v>0.39316239316239315</v>
      </c>
      <c r="E8" s="63" t="s">
        <v>70</v>
      </c>
      <c r="F8" s="60" t="s">
        <v>25</v>
      </c>
      <c r="G8" s="47">
        <v>60</v>
      </c>
      <c r="H8" s="133">
        <f>IF(B$17=0,0,G8/B$17)</f>
        <v>0.22813688212927757</v>
      </c>
      <c r="I8" s="94">
        <v>2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40</v>
      </c>
      <c r="C9" s="40">
        <f t="shared" ref="C9" si="1">IF(B$2=0,0,B9/B$2)</f>
        <v>0.34188034188034189</v>
      </c>
      <c r="E9" s="63" t="s">
        <v>66</v>
      </c>
      <c r="F9" s="60" t="s">
        <v>22</v>
      </c>
      <c r="G9" s="47">
        <v>43</v>
      </c>
      <c r="H9" s="133">
        <f>IF(B$17=0,0,G9/B$17)</f>
        <v>0.1634980988593156</v>
      </c>
      <c r="I9" s="94">
        <v>1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15</v>
      </c>
      <c r="C10" s="40">
        <f>IF(B$2=0,0,B10/B$2)</f>
        <v>0.12820512820512819</v>
      </c>
      <c r="E10" s="63" t="s">
        <v>71</v>
      </c>
      <c r="F10" s="60" t="s">
        <v>26</v>
      </c>
      <c r="G10" s="47">
        <v>32</v>
      </c>
      <c r="H10" s="133">
        <f>IF(B$17=0,0,G10/B$17)</f>
        <v>0.12167300380228137</v>
      </c>
      <c r="I10" s="94">
        <v>3</v>
      </c>
      <c r="K10" s="38">
        <v>8</v>
      </c>
      <c r="L10" s="99">
        <v>-49.6</v>
      </c>
      <c r="N10" s="114" t="s">
        <v>164</v>
      </c>
      <c r="O10" s="124">
        <f>IF(P10=0,0,Q10/P10)</f>
        <v>-6.8819672131147556</v>
      </c>
      <c r="P10" s="118">
        <v>61</v>
      </c>
      <c r="Q10" s="106">
        <v>-419.80000000000007</v>
      </c>
    </row>
    <row r="11" spans="1:17" x14ac:dyDescent="0.4">
      <c r="A11" s="56" t="s">
        <v>140</v>
      </c>
      <c r="B11" s="48">
        <v>11</v>
      </c>
      <c r="C11" s="40">
        <f>IF(B$2=0,0,B11/B$2)</f>
        <v>9.4017094017094016E-2</v>
      </c>
      <c r="E11" s="63" t="s">
        <v>90</v>
      </c>
      <c r="F11" s="60" t="s">
        <v>45</v>
      </c>
      <c r="G11" s="47">
        <v>26</v>
      </c>
      <c r="H11" s="133">
        <f>IF(B$17=0,0,G11/B$17)</f>
        <v>9.8859315589353611E-2</v>
      </c>
      <c r="I11" s="94">
        <v>10</v>
      </c>
      <c r="K11" s="38">
        <v>9</v>
      </c>
      <c r="L11" s="99">
        <v>-79.5</v>
      </c>
      <c r="N11" s="115" t="s">
        <v>165</v>
      </c>
      <c r="O11" s="125">
        <f>IF(P11=0,0,Q11/P11)</f>
        <v>-2.199999999999998</v>
      </c>
      <c r="P11" s="119">
        <v>27</v>
      </c>
      <c r="Q11" s="107">
        <v>-59.399999999999949</v>
      </c>
    </row>
    <row r="12" spans="1:17" x14ac:dyDescent="0.4">
      <c r="A12" s="57" t="s">
        <v>160</v>
      </c>
      <c r="B12" s="49">
        <v>8</v>
      </c>
      <c r="C12" s="42">
        <f>IF(B$2=0,0,B12/B$2)</f>
        <v>6.8376068376068383E-2</v>
      </c>
      <c r="E12" s="63" t="s">
        <v>72</v>
      </c>
      <c r="F12" s="60" t="s">
        <v>27</v>
      </c>
      <c r="G12" s="47">
        <v>15</v>
      </c>
      <c r="H12" s="133">
        <f>IF(B$17=0,0,G12/B$17)</f>
        <v>5.7034220532319393E-2</v>
      </c>
      <c r="I12" s="94">
        <v>8</v>
      </c>
      <c r="K12" s="38">
        <v>10</v>
      </c>
      <c r="L12" s="99">
        <v>-80.900000000000006</v>
      </c>
      <c r="N12" s="116" t="s">
        <v>166</v>
      </c>
      <c r="O12" s="126">
        <f>IF(P12=0,0,Q12/P12)</f>
        <v>5.7172413793103445</v>
      </c>
      <c r="P12" s="120">
        <v>29</v>
      </c>
      <c r="Q12" s="108">
        <v>165.79999999999998</v>
      </c>
    </row>
    <row r="13" spans="1:17" x14ac:dyDescent="0.4">
      <c r="A13" s="58" t="s">
        <v>122</v>
      </c>
      <c r="B13" s="50">
        <v>290</v>
      </c>
      <c r="C13" s="44">
        <f>IF(B$3=0,0,B13/B$3)</f>
        <v>0.30051813471502592</v>
      </c>
      <c r="E13" s="63" t="s">
        <v>87</v>
      </c>
      <c r="F13" s="60" t="s">
        <v>42</v>
      </c>
      <c r="G13" s="47">
        <v>14</v>
      </c>
      <c r="H13" s="133">
        <f>IF(B$17=0,0,G13/B$17)</f>
        <v>5.3231939163498096E-2</v>
      </c>
      <c r="I13" s="94">
        <v>7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174</v>
      </c>
      <c r="C14" s="39">
        <f>IF(B$3=0,0,B14/B$3)</f>
        <v>0.18031088082901556</v>
      </c>
      <c r="E14" s="63" t="s">
        <v>84</v>
      </c>
      <c r="F14" s="60" t="s">
        <v>39</v>
      </c>
      <c r="G14" s="47">
        <v>10</v>
      </c>
      <c r="H14" s="133">
        <f>IF(B$17=0,0,G14/B$17)</f>
        <v>3.8022813688212927E-2</v>
      </c>
      <c r="I14" s="94">
        <v>9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169</v>
      </c>
      <c r="C15" s="37">
        <f>IF(B$13=0,0,B15/B$13)</f>
        <v>0.58275862068965523</v>
      </c>
      <c r="E15" s="63" t="s">
        <v>82</v>
      </c>
      <c r="F15" s="60" t="s">
        <v>37</v>
      </c>
      <c r="G15" s="47">
        <v>8</v>
      </c>
      <c r="H15" s="133">
        <f>IF(B$17=0,0,G15/B$17)</f>
        <v>3.0418250950570342E-2</v>
      </c>
      <c r="I15" s="94">
        <v>4</v>
      </c>
      <c r="K15" s="38">
        <v>13</v>
      </c>
      <c r="L15" s="99">
        <v>-81.900000000000006</v>
      </c>
      <c r="N15" s="114" t="s">
        <v>186</v>
      </c>
      <c r="O15" s="124">
        <f>IF(P15=0,0,Q15/P15)</f>
        <v>22.250000000000004</v>
      </c>
      <c r="P15" s="118">
        <v>6</v>
      </c>
      <c r="Q15" s="106">
        <v>133.50000000000003</v>
      </c>
    </row>
    <row r="16" spans="1:17" x14ac:dyDescent="0.4">
      <c r="A16" s="54" t="s">
        <v>125</v>
      </c>
      <c r="B16" s="46">
        <v>52</v>
      </c>
      <c r="C16" s="37">
        <f>IF(B$14=0,0,B16/B$14)</f>
        <v>0.2988505747126437</v>
      </c>
      <c r="E16" s="63" t="s">
        <v>92</v>
      </c>
      <c r="F16" s="60" t="s">
        <v>47</v>
      </c>
      <c r="G16" s="47">
        <v>6</v>
      </c>
      <c r="H16" s="133">
        <f>IF(B$17=0,0,G16/B$17)</f>
        <v>2.2813688212927757E-2</v>
      </c>
      <c r="I16" s="94">
        <v>3</v>
      </c>
      <c r="K16" s="38">
        <v>14</v>
      </c>
      <c r="L16" s="99">
        <v>-25.600000000000009</v>
      </c>
      <c r="N16" s="115" t="s">
        <v>129</v>
      </c>
      <c r="O16" s="125">
        <f>IF(P16=0,0,Q16/P16)</f>
        <v>15.997222222222222</v>
      </c>
      <c r="P16" s="119">
        <v>36</v>
      </c>
      <c r="Q16" s="107">
        <v>575.9</v>
      </c>
    </row>
    <row r="17" spans="1:17" x14ac:dyDescent="0.4">
      <c r="A17" s="54" t="s">
        <v>10</v>
      </c>
      <c r="B17" s="46">
        <f>B19+B18</f>
        <v>263</v>
      </c>
      <c r="C17" s="37">
        <f>IF(B$3=0,0,B17/B$3)</f>
        <v>0.27253886010362693</v>
      </c>
      <c r="E17" s="63" t="s">
        <v>80</v>
      </c>
      <c r="F17" s="60" t="s">
        <v>35</v>
      </c>
      <c r="G17" s="47">
        <v>5</v>
      </c>
      <c r="H17" s="133">
        <f>IF(B$17=0,0,G17/B$17)</f>
        <v>1.9011406844106463E-2</v>
      </c>
      <c r="I17" s="94">
        <v>2</v>
      </c>
      <c r="K17" s="38">
        <v>15</v>
      </c>
      <c r="L17" s="99">
        <v>47.999999999999986</v>
      </c>
      <c r="N17" s="115" t="s">
        <v>173</v>
      </c>
      <c r="O17" s="125">
        <f>IF(P17=0,0,Q17/P17)</f>
        <v>2.7285714285714278</v>
      </c>
      <c r="P17" s="119">
        <v>21</v>
      </c>
      <c r="Q17" s="107">
        <v>57.299999999999983</v>
      </c>
    </row>
    <row r="18" spans="1:17" x14ac:dyDescent="0.4">
      <c r="A18" s="55" t="s">
        <v>12</v>
      </c>
      <c r="B18" s="47">
        <v>111</v>
      </c>
      <c r="C18" s="39">
        <f>IF(B$17=0,0,B18/B$17)</f>
        <v>0.4220532319391635</v>
      </c>
      <c r="E18" s="63" t="s">
        <v>180</v>
      </c>
      <c r="F18" s="60" t="s">
        <v>183</v>
      </c>
      <c r="G18" s="47">
        <v>5</v>
      </c>
      <c r="H18" s="133">
        <f>IF(B$17=0,0,G18/B$17)</f>
        <v>1.9011406844106463E-2</v>
      </c>
      <c r="I18" s="94">
        <v>3</v>
      </c>
      <c r="K18" s="38">
        <v>16</v>
      </c>
      <c r="L18" s="99">
        <v>41.699999999999989</v>
      </c>
      <c r="N18" s="115" t="s">
        <v>172</v>
      </c>
      <c r="O18" s="125">
        <f>IF(P18=0,0,Q18/P18)</f>
        <v>0.21290322580645257</v>
      </c>
      <c r="P18" s="119">
        <v>31</v>
      </c>
      <c r="Q18" s="107">
        <v>6.6000000000000298</v>
      </c>
    </row>
    <row r="19" spans="1:17" x14ac:dyDescent="0.4">
      <c r="A19" s="55" t="s">
        <v>11</v>
      </c>
      <c r="B19" s="47">
        <v>152</v>
      </c>
      <c r="C19" s="39">
        <f>IF(B$17=0,0,B19/B$17)</f>
        <v>0.57794676806083645</v>
      </c>
      <c r="E19" s="63" t="s">
        <v>79</v>
      </c>
      <c r="F19" s="60" t="s">
        <v>34</v>
      </c>
      <c r="G19" s="47">
        <v>4</v>
      </c>
      <c r="H19" s="133">
        <f>IF(B$17=0,0,G19/B$17)</f>
        <v>1.5209125475285171E-2</v>
      </c>
      <c r="I19" s="94">
        <v>9</v>
      </c>
      <c r="K19" s="38">
        <v>17</v>
      </c>
      <c r="L19" s="99">
        <v>94.6</v>
      </c>
      <c r="N19" s="115" t="s">
        <v>171</v>
      </c>
      <c r="O19" s="125">
        <f>IF(P19=0,0,Q19/P19)</f>
        <v>-2.3171428571428518</v>
      </c>
      <c r="P19" s="119">
        <v>35</v>
      </c>
      <c r="Q19" s="107">
        <v>-81.09999999999981</v>
      </c>
    </row>
    <row r="20" spans="1:17" x14ac:dyDescent="0.4">
      <c r="A20" s="55" t="s">
        <v>13</v>
      </c>
      <c r="B20" s="47">
        <v>164</v>
      </c>
      <c r="C20" s="39">
        <f>IF(B$3=0,0,B20/B$3)</f>
        <v>0.16994818652849741</v>
      </c>
      <c r="E20" s="63" t="s">
        <v>74</v>
      </c>
      <c r="F20" s="60" t="s">
        <v>29</v>
      </c>
      <c r="G20" s="47">
        <v>2</v>
      </c>
      <c r="H20" s="133">
        <f>IF(B$17=0,0,G20/B$17)</f>
        <v>7.6045627376425855E-3</v>
      </c>
      <c r="I20" s="94">
        <v>3</v>
      </c>
      <c r="K20" s="38">
        <v>18</v>
      </c>
      <c r="L20" s="99">
        <v>116.69999999999999</v>
      </c>
      <c r="N20" s="115" t="s">
        <v>202</v>
      </c>
      <c r="O20" s="125">
        <f>IF(P20=0,0,Q20/P20)</f>
        <v>-5.5000000000000018</v>
      </c>
      <c r="P20" s="119">
        <v>2</v>
      </c>
      <c r="Q20" s="107">
        <v>-11.000000000000004</v>
      </c>
    </row>
    <row r="21" spans="1:17" x14ac:dyDescent="0.4">
      <c r="A21" s="55" t="s">
        <v>193</v>
      </c>
      <c r="B21" s="47">
        <v>6</v>
      </c>
      <c r="C21" s="135">
        <v>1</v>
      </c>
      <c r="E21" s="63" t="s">
        <v>75</v>
      </c>
      <c r="F21" s="60" t="s">
        <v>30</v>
      </c>
      <c r="G21" s="47">
        <v>2</v>
      </c>
      <c r="H21" s="133">
        <f>IF(B$17=0,0,G21/B$17)</f>
        <v>7.6045627376425855E-3</v>
      </c>
      <c r="I21" s="94">
        <v>3</v>
      </c>
      <c r="K21" s="38">
        <v>19</v>
      </c>
      <c r="L21" s="99">
        <v>138.79999999999998</v>
      </c>
      <c r="N21" s="115" t="s">
        <v>177</v>
      </c>
      <c r="O21" s="125">
        <f>IF(P21=0,0,Q21/P21)</f>
        <v>-12.139130434782608</v>
      </c>
      <c r="P21" s="119">
        <v>23</v>
      </c>
      <c r="Q21" s="107">
        <v>-279.2</v>
      </c>
    </row>
    <row r="22" spans="1:17" x14ac:dyDescent="0.4">
      <c r="A22" s="55" t="s">
        <v>194</v>
      </c>
      <c r="B22" s="47">
        <v>24</v>
      </c>
      <c r="C22" s="135">
        <v>12</v>
      </c>
      <c r="E22" s="63" t="s">
        <v>76</v>
      </c>
      <c r="F22" s="60" t="s">
        <v>31</v>
      </c>
      <c r="G22" s="47">
        <v>2</v>
      </c>
      <c r="H22" s="133">
        <f>IF(B$17=0,0,G22/B$17)</f>
        <v>7.6045627376425855E-3</v>
      </c>
      <c r="I22" s="94">
        <v>4</v>
      </c>
      <c r="K22" s="38">
        <v>20</v>
      </c>
      <c r="L22" s="99">
        <v>164.49999999999997</v>
      </c>
      <c r="N22" s="115" t="s">
        <v>127</v>
      </c>
      <c r="O22" s="125">
        <f>IF(P22=0,0,Q22/P22)</f>
        <v>-16.777500000000003</v>
      </c>
      <c r="P22" s="119">
        <v>80</v>
      </c>
      <c r="Q22" s="107">
        <v>-1342.2000000000003</v>
      </c>
    </row>
    <row r="23" spans="1:17" x14ac:dyDescent="0.4">
      <c r="A23" s="55" t="s">
        <v>5</v>
      </c>
      <c r="B23" s="51">
        <f>IF(B$17=0,0,C23/B$17)</f>
        <v>9302.6615969581744</v>
      </c>
      <c r="C23" s="41">
        <v>2446600</v>
      </c>
      <c r="E23" s="63" t="s">
        <v>78</v>
      </c>
      <c r="F23" s="60" t="s">
        <v>33</v>
      </c>
      <c r="G23" s="47">
        <v>1</v>
      </c>
      <c r="H23" s="133">
        <f>IF(B$17=0,0,G23/B$17)</f>
        <v>3.8022813688212928E-3</v>
      </c>
      <c r="I23" s="94">
        <v>3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-7742.6829268292686</v>
      </c>
      <c r="C24" s="45">
        <v>-1269800</v>
      </c>
      <c r="E24" s="63" t="s">
        <v>85</v>
      </c>
      <c r="F24" s="60" t="s">
        <v>40</v>
      </c>
      <c r="G24" s="47">
        <v>1</v>
      </c>
      <c r="H24" s="133">
        <f>IF(B$17=0,0,G24/B$17)</f>
        <v>3.8022813688212928E-3</v>
      </c>
      <c r="I24" s="94">
        <v>2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0">
        <v>7</v>
      </c>
      <c r="C25" s="141"/>
      <c r="E25" s="63" t="s">
        <v>89</v>
      </c>
      <c r="F25" s="60" t="s">
        <v>44</v>
      </c>
      <c r="G25" s="47">
        <v>1</v>
      </c>
      <c r="H25" s="133">
        <f>IF(B$17=0,0,G25/B$17)</f>
        <v>3.8022813688212928E-3</v>
      </c>
      <c r="I25" s="94">
        <v>2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38">
        <v>97300</v>
      </c>
      <c r="C26" s="139"/>
      <c r="E26" s="63" t="s">
        <v>93</v>
      </c>
      <c r="F26" s="60" t="s">
        <v>48</v>
      </c>
      <c r="G26" s="47">
        <v>1</v>
      </c>
      <c r="H26" s="133">
        <f>IF(B$17=0,0,G26/B$17)</f>
        <v>3.8022813688212928E-3</v>
      </c>
      <c r="I26" s="94">
        <v>5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5.1813471502590676E-3</v>
      </c>
      <c r="E27" s="63" t="s">
        <v>94</v>
      </c>
      <c r="F27" s="60" t="s">
        <v>49</v>
      </c>
      <c r="G27" s="47">
        <v>1</v>
      </c>
      <c r="H27" s="133">
        <f>IF(B$17=0,0,G27/B$17)</f>
        <v>3.8022813688212928E-3</v>
      </c>
      <c r="I27" s="94">
        <v>3</v>
      </c>
      <c r="K27" s="38">
        <v>25</v>
      </c>
      <c r="L27" s="99">
        <v>245.59999999999997</v>
      </c>
    </row>
    <row r="28" spans="1:17" x14ac:dyDescent="0.4">
      <c r="E28" s="63" t="s">
        <v>96</v>
      </c>
      <c r="F28" s="60" t="s">
        <v>51</v>
      </c>
      <c r="G28" s="47">
        <v>1</v>
      </c>
      <c r="H28" s="133">
        <f>IF(B$17=0,0,G28/B$17)</f>
        <v>3.8022813688212928E-3</v>
      </c>
      <c r="I28" s="94">
        <v>1</v>
      </c>
      <c r="K28" s="38">
        <v>26</v>
      </c>
      <c r="L28" s="99">
        <v>237.69999999999996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236.69999999999996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191.39999999999998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182.49999999999997</v>
      </c>
    </row>
    <row r="32" spans="1:17" x14ac:dyDescent="0.4">
      <c r="E32" s="63" t="s">
        <v>86</v>
      </c>
      <c r="F32" s="60" t="s">
        <v>41</v>
      </c>
      <c r="G32" s="47">
        <v>0</v>
      </c>
      <c r="H32" s="133">
        <f>IF(B$17=0,0,G32/B$17)</f>
        <v>0</v>
      </c>
      <c r="I32" s="94">
        <v>4</v>
      </c>
      <c r="K32" s="38">
        <v>30</v>
      </c>
      <c r="L32" s="99">
        <v>178.99999999999997</v>
      </c>
    </row>
    <row r="33" spans="5:12" x14ac:dyDescent="0.4">
      <c r="E33" s="63" t="s">
        <v>88</v>
      </c>
      <c r="F33" s="60" t="s">
        <v>43</v>
      </c>
      <c r="G33" s="47">
        <v>0</v>
      </c>
      <c r="H33" s="133">
        <f>IF(B$17=0,0,G33/B$17)</f>
        <v>0</v>
      </c>
      <c r="I33" s="94">
        <v>7</v>
      </c>
      <c r="K33" s="38">
        <v>31</v>
      </c>
      <c r="L33" s="99">
        <v>186.99999999999997</v>
      </c>
    </row>
    <row r="34" spans="5:12" x14ac:dyDescent="0.4">
      <c r="E34" s="63" t="s">
        <v>91</v>
      </c>
      <c r="F34" s="60" t="s">
        <v>46</v>
      </c>
      <c r="G34" s="47">
        <v>0</v>
      </c>
      <c r="H34" s="133">
        <f>IF(B$17=0,0,G34/B$17)</f>
        <v>0</v>
      </c>
      <c r="I34" s="94">
        <v>5</v>
      </c>
      <c r="K34" s="38">
        <v>32</v>
      </c>
      <c r="L34" s="99">
        <v>241.49999999999997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50.599999999999959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-4.8000000000000398</v>
      </c>
    </row>
    <row r="52" spans="5:12" x14ac:dyDescent="0.4"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  <row r="115" spans="11:12" x14ac:dyDescent="0.4">
      <c r="K115" s="38">
        <v>113</v>
      </c>
      <c r="L115" s="99">
        <v>-323.7000000000001</v>
      </c>
    </row>
    <row r="116" spans="11:12" x14ac:dyDescent="0.4">
      <c r="K116" s="38">
        <v>114</v>
      </c>
      <c r="L116" s="99">
        <v>-248.90000000000009</v>
      </c>
    </row>
    <row r="117" spans="11:12" x14ac:dyDescent="0.4">
      <c r="K117" s="38">
        <v>115</v>
      </c>
      <c r="L117" s="99">
        <v>-327.60000000000008</v>
      </c>
    </row>
    <row r="118" spans="11:12" x14ac:dyDescent="0.4">
      <c r="K118" s="38">
        <v>116</v>
      </c>
      <c r="L118" s="99">
        <v>-316.00000000000006</v>
      </c>
    </row>
    <row r="119" spans="11:12" x14ac:dyDescent="0.4">
      <c r="K119" s="38">
        <v>117</v>
      </c>
      <c r="L119" s="99">
        <v>-313.40000000000003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1C11B-2B17-4F1B-AFB7-DFEF87C890E0}">
  <sheetPr codeName="Sheet11"/>
  <dimension ref="A1:Q7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129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74</v>
      </c>
      <c r="C2" s="147"/>
      <c r="E2" s="62" t="s">
        <v>67</v>
      </c>
      <c r="F2" s="59" t="s">
        <v>23</v>
      </c>
      <c r="G2" s="46">
        <v>131</v>
      </c>
      <c r="H2" s="132">
        <f>IF(B$17=0,0,G2/B$17)</f>
        <v>0.90972222222222221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-2313.5135135135133</v>
      </c>
      <c r="P2" s="118">
        <v>74</v>
      </c>
      <c r="Q2" s="102">
        <v>-171200</v>
      </c>
    </row>
    <row r="3" spans="1:17" x14ac:dyDescent="0.4">
      <c r="A3" s="55" t="s">
        <v>8</v>
      </c>
      <c r="B3" s="148">
        <v>617</v>
      </c>
      <c r="C3" s="149"/>
      <c r="E3" s="63" t="s">
        <v>65</v>
      </c>
      <c r="F3" s="60" t="s">
        <v>21</v>
      </c>
      <c r="G3" s="47">
        <v>88</v>
      </c>
      <c r="H3" s="133">
        <f>IF(B$17=0,0,G3/B$17)</f>
        <v>0.61111111111111116</v>
      </c>
      <c r="I3" s="94">
        <v>1</v>
      </c>
      <c r="K3" s="38">
        <v>1</v>
      </c>
      <c r="L3" s="99">
        <v>-40.4</v>
      </c>
      <c r="N3" s="115" t="s">
        <v>133</v>
      </c>
      <c r="O3" s="122">
        <f t="shared" si="0"/>
        <v>-1302.7777777777778</v>
      </c>
      <c r="P3" s="119">
        <v>72</v>
      </c>
      <c r="Q3" s="103">
        <v>-93800</v>
      </c>
    </row>
    <row r="4" spans="1:17" x14ac:dyDescent="0.4">
      <c r="A4" s="55" t="s">
        <v>6</v>
      </c>
      <c r="B4" s="150">
        <v>-1149.5999999999999</v>
      </c>
      <c r="C4" s="151"/>
      <c r="E4" s="63" t="s">
        <v>69</v>
      </c>
      <c r="F4" s="60" t="s">
        <v>12</v>
      </c>
      <c r="G4" s="47">
        <v>59</v>
      </c>
      <c r="H4" s="133">
        <f>IF(B$17=0,0,G4/B$17)</f>
        <v>0.40972222222222221</v>
      </c>
      <c r="I4" s="94">
        <v>3</v>
      </c>
      <c r="K4" s="38">
        <v>2</v>
      </c>
      <c r="L4" s="99">
        <v>-3.3999999999999986</v>
      </c>
      <c r="N4" s="115" t="s">
        <v>134</v>
      </c>
      <c r="O4" s="122">
        <f t="shared" si="0"/>
        <v>-442.64705882352939</v>
      </c>
      <c r="P4" s="119">
        <v>68</v>
      </c>
      <c r="Q4" s="103">
        <v>-30100</v>
      </c>
    </row>
    <row r="5" spans="1:17" x14ac:dyDescent="0.4">
      <c r="A5" s="55" t="s">
        <v>7</v>
      </c>
      <c r="B5" s="152">
        <f>IF(B$2=0,0,B$4/B$2)</f>
        <v>-15.535135135135134</v>
      </c>
      <c r="C5" s="153"/>
      <c r="E5" s="63" t="s">
        <v>68</v>
      </c>
      <c r="F5" s="60" t="s">
        <v>24</v>
      </c>
      <c r="G5" s="47">
        <v>55</v>
      </c>
      <c r="H5" s="133">
        <f>IF(B$17=0,0,G5/B$17)</f>
        <v>0.38194444444444442</v>
      </c>
      <c r="I5" s="94">
        <v>4</v>
      </c>
      <c r="K5" s="38">
        <v>3</v>
      </c>
      <c r="L5" s="99">
        <v>-23.099999999999998</v>
      </c>
      <c r="N5" s="115" t="s">
        <v>135</v>
      </c>
      <c r="O5" s="122">
        <f t="shared" si="0"/>
        <v>-4698.333333333333</v>
      </c>
      <c r="P5" s="119">
        <v>60</v>
      </c>
      <c r="Q5" s="103">
        <v>-281900</v>
      </c>
    </row>
    <row r="6" spans="1:17" x14ac:dyDescent="0.4">
      <c r="A6" s="55" t="s">
        <v>1</v>
      </c>
      <c r="B6" s="142">
        <f>IF(B$2=0,0,(B$7*1+B$8*2+B$9*3)/B$2)</f>
        <v>2.2567567567567566</v>
      </c>
      <c r="C6" s="143"/>
      <c r="E6" s="63" t="s">
        <v>181</v>
      </c>
      <c r="F6" s="60" t="s">
        <v>182</v>
      </c>
      <c r="G6" s="47">
        <v>54</v>
      </c>
      <c r="H6" s="133">
        <f>IF(B$17=0,0,G6/B$17)</f>
        <v>0.375</v>
      </c>
      <c r="I6" s="94">
        <v>10</v>
      </c>
      <c r="K6" s="38">
        <v>4</v>
      </c>
      <c r="L6" s="99">
        <v>-31.4</v>
      </c>
      <c r="N6" s="115" t="s">
        <v>136</v>
      </c>
      <c r="O6" s="122">
        <f t="shared" si="0"/>
        <v>-1466.6666666666667</v>
      </c>
      <c r="P6" s="119">
        <v>54</v>
      </c>
      <c r="Q6" s="103">
        <v>-79200</v>
      </c>
    </row>
    <row r="7" spans="1:17" x14ac:dyDescent="0.4">
      <c r="A7" s="55" t="s">
        <v>2</v>
      </c>
      <c r="B7" s="47">
        <v>18</v>
      </c>
      <c r="C7" s="39">
        <f>IF(B$2=0,0,B7/B$2)</f>
        <v>0.24324324324324326</v>
      </c>
      <c r="E7" s="63" t="s">
        <v>73</v>
      </c>
      <c r="F7" s="60" t="s">
        <v>28</v>
      </c>
      <c r="G7" s="47">
        <v>44</v>
      </c>
      <c r="H7" s="133">
        <f>IF(B$17=0,0,G7/B$17)</f>
        <v>0.30555555555555558</v>
      </c>
      <c r="I7" s="94">
        <v>12</v>
      </c>
      <c r="K7" s="38">
        <v>5</v>
      </c>
      <c r="L7" s="99">
        <v>-32.199999999999996</v>
      </c>
      <c r="N7" s="116" t="s">
        <v>137</v>
      </c>
      <c r="O7" s="123">
        <f t="shared" si="0"/>
        <v>-2173.4693877551022</v>
      </c>
      <c r="P7" s="120">
        <v>49</v>
      </c>
      <c r="Q7" s="104">
        <v>-106500</v>
      </c>
    </row>
    <row r="8" spans="1:17" x14ac:dyDescent="0.4">
      <c r="A8" s="55" t="s">
        <v>3</v>
      </c>
      <c r="B8" s="47">
        <v>19</v>
      </c>
      <c r="C8" s="39">
        <f>IF(B$2=0,0,B8/B$2)</f>
        <v>0.25675675675675674</v>
      </c>
      <c r="E8" s="63" t="s">
        <v>70</v>
      </c>
      <c r="F8" s="60" t="s">
        <v>25</v>
      </c>
      <c r="G8" s="47">
        <v>29</v>
      </c>
      <c r="H8" s="133">
        <f>IF(B$17=0,0,G8/B$17)</f>
        <v>0.2013888888888889</v>
      </c>
      <c r="I8" s="94">
        <v>3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37</v>
      </c>
      <c r="C9" s="40">
        <f t="shared" ref="C9" si="1">IF(B$2=0,0,B9/B$2)</f>
        <v>0.5</v>
      </c>
      <c r="E9" s="63" t="s">
        <v>71</v>
      </c>
      <c r="F9" s="60" t="s">
        <v>26</v>
      </c>
      <c r="G9" s="47">
        <v>21</v>
      </c>
      <c r="H9" s="133">
        <f>IF(B$17=0,0,G9/B$17)</f>
        <v>0.14583333333333334</v>
      </c>
      <c r="I9" s="94">
        <v>1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14</v>
      </c>
      <c r="C10" s="40">
        <f>IF(B$2=0,0,B10/B$2)</f>
        <v>0.1891891891891892</v>
      </c>
      <c r="E10" s="63" t="s">
        <v>72</v>
      </c>
      <c r="F10" s="60" t="s">
        <v>27</v>
      </c>
      <c r="G10" s="47">
        <v>16</v>
      </c>
      <c r="H10" s="133">
        <f>IF(B$17=0,0,G10/B$17)</f>
        <v>0.1111111111111111</v>
      </c>
      <c r="I10" s="94">
        <v>2</v>
      </c>
      <c r="K10" s="38">
        <v>8</v>
      </c>
      <c r="L10" s="99">
        <v>-79.599999999999994</v>
      </c>
      <c r="N10" s="114" t="s">
        <v>164</v>
      </c>
      <c r="O10" s="124">
        <f>IF(P10=0,0,Q10/P10)</f>
        <v>-19.056521739130432</v>
      </c>
      <c r="P10" s="118">
        <v>23</v>
      </c>
      <c r="Q10" s="106">
        <v>-438.2999999999999</v>
      </c>
    </row>
    <row r="11" spans="1:17" x14ac:dyDescent="0.4">
      <c r="A11" s="56" t="s">
        <v>140</v>
      </c>
      <c r="B11" s="48">
        <v>8</v>
      </c>
      <c r="C11" s="40">
        <f>IF(B$2=0,0,B11/B$2)</f>
        <v>0.10810810810810811</v>
      </c>
      <c r="E11" s="63" t="s">
        <v>66</v>
      </c>
      <c r="F11" s="60" t="s">
        <v>22</v>
      </c>
      <c r="G11" s="47">
        <v>12</v>
      </c>
      <c r="H11" s="133">
        <f>IF(B$17=0,0,G11/B$17)</f>
        <v>8.3333333333333329E-2</v>
      </c>
      <c r="I11" s="94">
        <v>7</v>
      </c>
      <c r="K11" s="38">
        <v>9</v>
      </c>
      <c r="L11" s="99">
        <v>-127.6</v>
      </c>
      <c r="N11" s="115" t="s">
        <v>165</v>
      </c>
      <c r="O11" s="125">
        <f>IF(P11=0,0,Q11/P11)</f>
        <v>-11.735483870967746</v>
      </c>
      <c r="P11" s="119">
        <v>31</v>
      </c>
      <c r="Q11" s="107">
        <v>-363.80000000000013</v>
      </c>
    </row>
    <row r="12" spans="1:17" x14ac:dyDescent="0.4">
      <c r="A12" s="57" t="s">
        <v>160</v>
      </c>
      <c r="B12" s="49">
        <v>5</v>
      </c>
      <c r="C12" s="42">
        <f>IF(B$2=0,0,B12/B$2)</f>
        <v>6.7567567567567571E-2</v>
      </c>
      <c r="E12" s="63" t="s">
        <v>90</v>
      </c>
      <c r="F12" s="60" t="s">
        <v>45</v>
      </c>
      <c r="G12" s="47">
        <v>12</v>
      </c>
      <c r="H12" s="133">
        <f>IF(B$17=0,0,G12/B$17)</f>
        <v>8.3333333333333329E-2</v>
      </c>
      <c r="I12" s="94">
        <v>11</v>
      </c>
      <c r="K12" s="38">
        <v>10</v>
      </c>
      <c r="L12" s="99">
        <v>-231.39999999999998</v>
      </c>
      <c r="N12" s="116" t="s">
        <v>166</v>
      </c>
      <c r="O12" s="126">
        <f>IF(P12=0,0,Q12/P12)</f>
        <v>-17.374999999999996</v>
      </c>
      <c r="P12" s="120">
        <v>20</v>
      </c>
      <c r="Q12" s="108">
        <v>-347.49999999999994</v>
      </c>
    </row>
    <row r="13" spans="1:17" x14ac:dyDescent="0.4">
      <c r="A13" s="58" t="s">
        <v>122</v>
      </c>
      <c r="B13" s="50">
        <v>174</v>
      </c>
      <c r="C13" s="44">
        <f>IF(B$3=0,0,B13/B$3)</f>
        <v>0.28200972447325767</v>
      </c>
      <c r="E13" s="63" t="s">
        <v>87</v>
      </c>
      <c r="F13" s="60" t="s">
        <v>42</v>
      </c>
      <c r="G13" s="47">
        <v>10</v>
      </c>
      <c r="H13" s="133">
        <f>IF(B$17=0,0,G13/B$17)</f>
        <v>6.9444444444444448E-2</v>
      </c>
      <c r="I13" s="94">
        <v>4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98</v>
      </c>
      <c r="C14" s="39">
        <f>IF(B$3=0,0,B14/B$3)</f>
        <v>0.15883306320907617</v>
      </c>
      <c r="E14" s="63" t="s">
        <v>79</v>
      </c>
      <c r="F14" s="60" t="s">
        <v>34</v>
      </c>
      <c r="G14" s="47">
        <v>5</v>
      </c>
      <c r="H14" s="133">
        <f>IF(B$17=0,0,G14/B$17)</f>
        <v>3.4722222222222224E-2</v>
      </c>
      <c r="I14" s="94">
        <v>5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91</v>
      </c>
      <c r="C15" s="37">
        <f>IF(B$13=0,0,B15/B$13)</f>
        <v>0.52298850574712641</v>
      </c>
      <c r="E15" s="63" t="s">
        <v>84</v>
      </c>
      <c r="F15" s="60" t="s">
        <v>39</v>
      </c>
      <c r="G15" s="47">
        <v>5</v>
      </c>
      <c r="H15" s="133">
        <f>IF(B$17=0,0,G15/B$17)</f>
        <v>3.4722222222222224E-2</v>
      </c>
      <c r="I15" s="94">
        <v>10</v>
      </c>
      <c r="K15" s="38">
        <v>13</v>
      </c>
      <c r="L15" s="99">
        <v>-369.1</v>
      </c>
      <c r="N15" s="114" t="s">
        <v>225</v>
      </c>
      <c r="O15" s="124">
        <f>IF(P15=0,0,Q15/P15)</f>
        <v>62.800000000000004</v>
      </c>
      <c r="P15" s="118">
        <v>2</v>
      </c>
      <c r="Q15" s="106">
        <v>125.60000000000001</v>
      </c>
    </row>
    <row r="16" spans="1:17" x14ac:dyDescent="0.4">
      <c r="A16" s="54" t="s">
        <v>125</v>
      </c>
      <c r="B16" s="46">
        <v>22</v>
      </c>
      <c r="C16" s="37">
        <f>IF(B$14=0,0,B16/B$14)</f>
        <v>0.22448979591836735</v>
      </c>
      <c r="E16" s="63" t="s">
        <v>75</v>
      </c>
      <c r="F16" s="60" t="s">
        <v>30</v>
      </c>
      <c r="G16" s="47">
        <v>2</v>
      </c>
      <c r="H16" s="133">
        <f>IF(B$17=0,0,G16/B$17)</f>
        <v>1.3888888888888888E-2</v>
      </c>
      <c r="I16" s="94">
        <v>1</v>
      </c>
      <c r="K16" s="38">
        <v>14</v>
      </c>
      <c r="L16" s="99">
        <v>-394.6</v>
      </c>
      <c r="N16" s="115" t="s">
        <v>177</v>
      </c>
      <c r="O16" s="125">
        <f>IF(P16=0,0,Q16/P16)</f>
        <v>-1.4142857142857135</v>
      </c>
      <c r="P16" s="119">
        <v>14</v>
      </c>
      <c r="Q16" s="107">
        <v>-19.79999999999999</v>
      </c>
    </row>
    <row r="17" spans="1:17" x14ac:dyDescent="0.4">
      <c r="A17" s="54" t="s">
        <v>10</v>
      </c>
      <c r="B17" s="46">
        <f>B19+B18</f>
        <v>144</v>
      </c>
      <c r="C17" s="37">
        <f>IF(B$3=0,0,B17/B$3)</f>
        <v>0.233387358184765</v>
      </c>
      <c r="E17" s="63" t="s">
        <v>82</v>
      </c>
      <c r="F17" s="60" t="s">
        <v>37</v>
      </c>
      <c r="G17" s="47">
        <v>2</v>
      </c>
      <c r="H17" s="133">
        <f>IF(B$17=0,0,G17/B$17)</f>
        <v>1.3888888888888888E-2</v>
      </c>
      <c r="I17" s="94">
        <v>9</v>
      </c>
      <c r="K17" s="38">
        <v>15</v>
      </c>
      <c r="L17" s="99">
        <v>-424.5</v>
      </c>
      <c r="N17" s="115" t="s">
        <v>128</v>
      </c>
      <c r="O17" s="125">
        <f>IF(P17=0,0,Q17/P17)</f>
        <v>-15.997222222222218</v>
      </c>
      <c r="P17" s="119">
        <v>36</v>
      </c>
      <c r="Q17" s="107">
        <v>-575.89999999999986</v>
      </c>
    </row>
    <row r="18" spans="1:17" x14ac:dyDescent="0.4">
      <c r="A18" s="55" t="s">
        <v>12</v>
      </c>
      <c r="B18" s="47">
        <v>67</v>
      </c>
      <c r="C18" s="39">
        <f>IF(B$17=0,0,B18/B$17)</f>
        <v>0.46527777777777779</v>
      </c>
      <c r="E18" s="63" t="s">
        <v>88</v>
      </c>
      <c r="F18" s="60" t="s">
        <v>43</v>
      </c>
      <c r="G18" s="47">
        <v>2</v>
      </c>
      <c r="H18" s="133">
        <f>IF(B$17=0,0,G18/B$17)</f>
        <v>1.3888888888888888E-2</v>
      </c>
      <c r="I18" s="94">
        <v>1</v>
      </c>
      <c r="K18" s="38">
        <v>16</v>
      </c>
      <c r="L18" s="99">
        <v>-472</v>
      </c>
      <c r="N18" s="115" t="s">
        <v>173</v>
      </c>
      <c r="O18" s="125">
        <f>IF(P18=0,0,Q18/P18)</f>
        <v>-21.862499999999997</v>
      </c>
      <c r="P18" s="119">
        <v>8</v>
      </c>
      <c r="Q18" s="107">
        <v>-174.89999999999998</v>
      </c>
    </row>
    <row r="19" spans="1:17" x14ac:dyDescent="0.4">
      <c r="A19" s="55" t="s">
        <v>11</v>
      </c>
      <c r="B19" s="47">
        <v>77</v>
      </c>
      <c r="C19" s="39">
        <f>IF(B$17=0,0,B19/B$17)</f>
        <v>0.53472222222222221</v>
      </c>
      <c r="E19" s="63" t="s">
        <v>94</v>
      </c>
      <c r="F19" s="60" t="s">
        <v>49</v>
      </c>
      <c r="G19" s="47">
        <v>2</v>
      </c>
      <c r="H19" s="133">
        <f>IF(B$17=0,0,G19/B$17)</f>
        <v>1.3888888888888888E-2</v>
      </c>
      <c r="I19" s="94">
        <v>1</v>
      </c>
      <c r="K19" s="38">
        <v>17</v>
      </c>
      <c r="L19" s="99">
        <v>-538.29999999999995</v>
      </c>
      <c r="N19" s="115" t="s">
        <v>127</v>
      </c>
      <c r="O19" s="125">
        <f>IF(P19=0,0,Q19/P19)</f>
        <v>-27.804545454545462</v>
      </c>
      <c r="P19" s="119">
        <v>44</v>
      </c>
      <c r="Q19" s="107">
        <v>-1223.4000000000003</v>
      </c>
    </row>
    <row r="20" spans="1:17" x14ac:dyDescent="0.4">
      <c r="A20" s="55" t="s">
        <v>13</v>
      </c>
      <c r="B20" s="47">
        <v>119</v>
      </c>
      <c r="C20" s="39">
        <f>IF(B$3=0,0,B20/B$3)</f>
        <v>0.19286871961102106</v>
      </c>
      <c r="E20" s="63" t="s">
        <v>78</v>
      </c>
      <c r="F20" s="60" t="s">
        <v>33</v>
      </c>
      <c r="G20" s="47">
        <v>1</v>
      </c>
      <c r="H20" s="133">
        <f>IF(B$17=0,0,G20/B$17)</f>
        <v>6.9444444444444441E-3</v>
      </c>
      <c r="I20" s="94">
        <v>1</v>
      </c>
      <c r="K20" s="38">
        <v>18</v>
      </c>
      <c r="L20" s="99">
        <v>-537.19999999999993</v>
      </c>
      <c r="N20" s="115" t="s">
        <v>171</v>
      </c>
      <c r="O20" s="125">
        <f>IF(P20=0,0,Q20/P20)</f>
        <v>-31.727999999999998</v>
      </c>
      <c r="P20" s="119">
        <v>25</v>
      </c>
      <c r="Q20" s="107">
        <v>-793.19999999999993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80</v>
      </c>
      <c r="F21" s="60" t="s">
        <v>35</v>
      </c>
      <c r="G21" s="47">
        <v>1</v>
      </c>
      <c r="H21" s="133">
        <f>IF(B$17=0,0,G21/B$17)</f>
        <v>6.9444444444444441E-3</v>
      </c>
      <c r="I21" s="94">
        <v>9</v>
      </c>
      <c r="K21" s="38">
        <v>19</v>
      </c>
      <c r="L21" s="99">
        <v>-569.49999999999989</v>
      </c>
      <c r="N21" s="115" t="s">
        <v>172</v>
      </c>
      <c r="O21" s="125">
        <f>IF(P21=0,0,Q21/P21)</f>
        <v>-39.468749999999993</v>
      </c>
      <c r="P21" s="119">
        <v>16</v>
      </c>
      <c r="Q21" s="107">
        <v>-631.49999999999989</v>
      </c>
    </row>
    <row r="22" spans="1:17" x14ac:dyDescent="0.4">
      <c r="A22" s="55" t="s">
        <v>194</v>
      </c>
      <c r="B22" s="47">
        <v>31</v>
      </c>
      <c r="C22" s="135">
        <v>0</v>
      </c>
      <c r="E22" s="63" t="s">
        <v>89</v>
      </c>
      <c r="F22" s="60" t="s">
        <v>44</v>
      </c>
      <c r="G22" s="47">
        <v>1</v>
      </c>
      <c r="H22" s="133">
        <f>IF(B$17=0,0,G22/B$17)</f>
        <v>6.9444444444444441E-3</v>
      </c>
      <c r="I22" s="94">
        <v>1</v>
      </c>
      <c r="K22" s="38">
        <v>20</v>
      </c>
      <c r="L22" s="99">
        <v>-632.99999999999989</v>
      </c>
      <c r="N22" s="115" t="s">
        <v>186</v>
      </c>
      <c r="O22" s="125">
        <f>IF(P22=0,0,Q22/P22)</f>
        <v>-51.9</v>
      </c>
      <c r="P22" s="119">
        <v>3</v>
      </c>
      <c r="Q22" s="107">
        <v>-155.69999999999999</v>
      </c>
    </row>
    <row r="23" spans="1:17" x14ac:dyDescent="0.4">
      <c r="A23" s="55" t="s">
        <v>5</v>
      </c>
      <c r="B23" s="51">
        <f>IF(B$17=0,0,C23/B$17)</f>
        <v>8872.9166666666661</v>
      </c>
      <c r="C23" s="41">
        <v>1277700</v>
      </c>
      <c r="E23" s="63" t="s">
        <v>92</v>
      </c>
      <c r="F23" s="60" t="s">
        <v>47</v>
      </c>
      <c r="G23" s="47">
        <v>1</v>
      </c>
      <c r="H23" s="133">
        <f>IF(B$17=0,0,G23/B$17)</f>
        <v>6.9444444444444441E-3</v>
      </c>
      <c r="I23" s="94">
        <v>8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-9433.6134453781506</v>
      </c>
      <c r="C24" s="45">
        <v>-1122600</v>
      </c>
      <c r="E24" s="63" t="s">
        <v>74</v>
      </c>
      <c r="F24" s="60" t="s">
        <v>29</v>
      </c>
      <c r="G24" s="47">
        <v>0</v>
      </c>
      <c r="H24" s="133">
        <f>IF(B$17=0,0,G24/B$17)</f>
        <v>0</v>
      </c>
      <c r="I24" s="94">
        <v>8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0">
        <v>7</v>
      </c>
      <c r="C25" s="141"/>
      <c r="E25" s="63" t="s">
        <v>76</v>
      </c>
      <c r="F25" s="60" t="s">
        <v>31</v>
      </c>
      <c r="G25" s="47">
        <v>0</v>
      </c>
      <c r="H25" s="133">
        <f>IF(B$17=0,0,G25/B$17)</f>
        <v>0</v>
      </c>
      <c r="I25" s="94">
        <v>8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38">
        <v>96900</v>
      </c>
      <c r="C26" s="139"/>
      <c r="E26" s="63" t="s">
        <v>77</v>
      </c>
      <c r="F26" s="60" t="s">
        <v>32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1.6207455429497568E-3</v>
      </c>
      <c r="E27" s="63" t="s">
        <v>81</v>
      </c>
      <c r="F27" s="60" t="s">
        <v>36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-783.69999999999993</v>
      </c>
    </row>
    <row r="28" spans="1:17" x14ac:dyDescent="0.4">
      <c r="E28" s="63" t="s">
        <v>83</v>
      </c>
      <c r="F28" s="60" t="s">
        <v>38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-818.49999999999989</v>
      </c>
    </row>
    <row r="29" spans="1:17" x14ac:dyDescent="0.4">
      <c r="E29" s="63" t="s">
        <v>85</v>
      </c>
      <c r="F29" s="60" t="s">
        <v>40</v>
      </c>
      <c r="G29" s="47">
        <v>0</v>
      </c>
      <c r="H29" s="133">
        <f>IF(B$17=0,0,G29/B$17)</f>
        <v>0</v>
      </c>
      <c r="I29" s="94">
        <v>5</v>
      </c>
      <c r="K29" s="38">
        <v>27</v>
      </c>
      <c r="L29" s="99">
        <v>-876.19999999999993</v>
      </c>
    </row>
    <row r="30" spans="1:17" x14ac:dyDescent="0.4">
      <c r="E30" s="63" t="s">
        <v>86</v>
      </c>
      <c r="F30" s="60" t="s">
        <v>41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-931.09999999999991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-908.69999999999993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6</v>
      </c>
      <c r="K32" s="38">
        <v>30</v>
      </c>
      <c r="L32" s="99">
        <v>-826.8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-835.69999999999993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-838.69999999999993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-878.19999999999993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-815.59999999999991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-826.89999999999986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  <c r="K40" s="38">
        <v>38</v>
      </c>
      <c r="L40" s="99">
        <v>-829.99999999999989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-786.29999999999984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-744.79999999999973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-699.39999999999975</v>
      </c>
    </row>
    <row r="51" spans="5:12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  <c r="K51" s="38">
        <v>49</v>
      </c>
      <c r="L51" s="99">
        <v>-715.0999999999998</v>
      </c>
    </row>
    <row r="52" spans="5:12" x14ac:dyDescent="0.4"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  <row r="60" spans="5:12" x14ac:dyDescent="0.4">
      <c r="K60" s="38">
        <v>58</v>
      </c>
      <c r="L60" s="99">
        <v>-877.29999999999973</v>
      </c>
    </row>
    <row r="61" spans="5:12" x14ac:dyDescent="0.4">
      <c r="K61" s="38">
        <v>59</v>
      </c>
      <c r="L61" s="99">
        <v>-940.6999999999997</v>
      </c>
    </row>
    <row r="62" spans="5:12" x14ac:dyDescent="0.4">
      <c r="K62" s="38">
        <v>60</v>
      </c>
      <c r="L62" s="99">
        <v>-960.99999999999966</v>
      </c>
    </row>
    <row r="63" spans="5:12" x14ac:dyDescent="0.4">
      <c r="K63" s="38">
        <v>61</v>
      </c>
      <c r="L63" s="99">
        <v>-924.1999999999997</v>
      </c>
    </row>
    <row r="64" spans="5:12" x14ac:dyDescent="0.4">
      <c r="K64" s="38">
        <v>62</v>
      </c>
      <c r="L64" s="99">
        <v>-970.09999999999968</v>
      </c>
    </row>
    <row r="65" spans="11:12" x14ac:dyDescent="0.4">
      <c r="K65" s="38">
        <v>63</v>
      </c>
      <c r="L65" s="99">
        <v>-1013.0999999999997</v>
      </c>
    </row>
    <row r="66" spans="11:12" x14ac:dyDescent="0.4">
      <c r="K66" s="38">
        <v>64</v>
      </c>
      <c r="L66" s="99">
        <v>-1056.0999999999997</v>
      </c>
    </row>
    <row r="67" spans="11:12" x14ac:dyDescent="0.4">
      <c r="K67" s="38">
        <v>65</v>
      </c>
      <c r="L67" s="99">
        <v>-1083.0999999999997</v>
      </c>
    </row>
    <row r="68" spans="11:12" x14ac:dyDescent="0.4">
      <c r="K68" s="38">
        <v>66</v>
      </c>
      <c r="L68" s="99">
        <v>-1122.9999999999998</v>
      </c>
    </row>
    <row r="69" spans="11:12" x14ac:dyDescent="0.4">
      <c r="K69" s="38">
        <v>67</v>
      </c>
      <c r="L69" s="99">
        <v>-1123.7999999999997</v>
      </c>
    </row>
    <row r="70" spans="11:12" x14ac:dyDescent="0.4">
      <c r="K70" s="38">
        <v>68</v>
      </c>
      <c r="L70" s="99">
        <v>-1066.5999999999997</v>
      </c>
    </row>
    <row r="71" spans="11:12" x14ac:dyDescent="0.4">
      <c r="K71" s="38">
        <v>69</v>
      </c>
      <c r="L71" s="99">
        <v>-1115.2999999999997</v>
      </c>
    </row>
    <row r="72" spans="11:12" x14ac:dyDescent="0.4">
      <c r="K72" s="38">
        <v>70</v>
      </c>
      <c r="L72" s="99">
        <v>-1170.9999999999998</v>
      </c>
    </row>
    <row r="73" spans="11:12" x14ac:dyDescent="0.4">
      <c r="K73" s="38">
        <v>71</v>
      </c>
      <c r="L73" s="99">
        <v>-1130.3999999999999</v>
      </c>
    </row>
    <row r="74" spans="11:12" x14ac:dyDescent="0.4">
      <c r="K74" s="38">
        <v>72</v>
      </c>
      <c r="L74" s="99">
        <v>-1129.6999999999998</v>
      </c>
    </row>
    <row r="75" spans="11:12" x14ac:dyDescent="0.4">
      <c r="K75" s="38">
        <v>73</v>
      </c>
      <c r="L75" s="99">
        <v>-1091.5999999999999</v>
      </c>
    </row>
    <row r="76" spans="11:12" x14ac:dyDescent="0.4">
      <c r="K76" s="38">
        <v>74</v>
      </c>
      <c r="L76" s="99">
        <v>-1149.5999999999999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81C4A-8006-4AFC-9767-62F04D827C11}">
  <sheetPr codeName="Sheet13"/>
  <dimension ref="A1:Q8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171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84</v>
      </c>
      <c r="C2" s="147"/>
      <c r="E2" s="62" t="s">
        <v>67</v>
      </c>
      <c r="F2" s="59" t="s">
        <v>23</v>
      </c>
      <c r="G2" s="46">
        <v>172</v>
      </c>
      <c r="H2" s="132">
        <f>IF(B$17=0,0,G2/B$17)</f>
        <v>0.85148514851485146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-532.14285714285711</v>
      </c>
      <c r="P2" s="118">
        <v>84</v>
      </c>
      <c r="Q2" s="102">
        <v>-44700</v>
      </c>
    </row>
    <row r="3" spans="1:17" x14ac:dyDescent="0.4">
      <c r="A3" s="55" t="s">
        <v>8</v>
      </c>
      <c r="B3" s="148">
        <v>699</v>
      </c>
      <c r="C3" s="149"/>
      <c r="E3" s="63" t="s">
        <v>65</v>
      </c>
      <c r="F3" s="60" t="s">
        <v>21</v>
      </c>
      <c r="G3" s="47">
        <v>110</v>
      </c>
      <c r="H3" s="133">
        <f>IF(B$17=0,0,G3/B$17)</f>
        <v>0.54455445544554459</v>
      </c>
      <c r="I3" s="94">
        <v>8</v>
      </c>
      <c r="K3" s="38">
        <v>1</v>
      </c>
      <c r="L3" s="99">
        <v>-51.2</v>
      </c>
      <c r="N3" s="115" t="s">
        <v>133</v>
      </c>
      <c r="O3" s="122">
        <f t="shared" si="0"/>
        <v>898.78048780487802</v>
      </c>
      <c r="P3" s="119">
        <v>82</v>
      </c>
      <c r="Q3" s="103">
        <v>73700</v>
      </c>
    </row>
    <row r="4" spans="1:17" x14ac:dyDescent="0.4">
      <c r="A4" s="55" t="s">
        <v>6</v>
      </c>
      <c r="B4" s="150">
        <v>275.10000000000002</v>
      </c>
      <c r="C4" s="151"/>
      <c r="E4" s="63" t="s">
        <v>73</v>
      </c>
      <c r="F4" s="60" t="s">
        <v>28</v>
      </c>
      <c r="G4" s="47">
        <v>104</v>
      </c>
      <c r="H4" s="133">
        <f>IF(B$17=0,0,G4/B$17)</f>
        <v>0.51485148514851486</v>
      </c>
      <c r="I4" s="94">
        <v>8</v>
      </c>
      <c r="K4" s="38">
        <v>2</v>
      </c>
      <c r="L4" s="99">
        <v>-93.300000000000011</v>
      </c>
      <c r="N4" s="115" t="s">
        <v>134</v>
      </c>
      <c r="O4" s="122">
        <f t="shared" si="0"/>
        <v>1672.3684210526317</v>
      </c>
      <c r="P4" s="119">
        <v>76</v>
      </c>
      <c r="Q4" s="103">
        <v>127100</v>
      </c>
    </row>
    <row r="5" spans="1:17" x14ac:dyDescent="0.4">
      <c r="A5" s="55" t="s">
        <v>7</v>
      </c>
      <c r="B5" s="152">
        <f>IF(B$2=0,0,B$4/B$2)</f>
        <v>3.2750000000000004</v>
      </c>
      <c r="C5" s="153"/>
      <c r="E5" s="63" t="s">
        <v>181</v>
      </c>
      <c r="F5" s="60" t="s">
        <v>182</v>
      </c>
      <c r="G5" s="47">
        <v>78</v>
      </c>
      <c r="H5" s="133">
        <f>IF(B$17=0,0,G5/B$17)</f>
        <v>0.38613861386138615</v>
      </c>
      <c r="I5" s="94">
        <v>9</v>
      </c>
      <c r="K5" s="38">
        <v>3</v>
      </c>
      <c r="L5" s="99">
        <v>-60.100000000000009</v>
      </c>
      <c r="N5" s="115" t="s">
        <v>135</v>
      </c>
      <c r="O5" s="122">
        <f t="shared" si="0"/>
        <v>1412.121212121212</v>
      </c>
      <c r="P5" s="119">
        <v>66</v>
      </c>
      <c r="Q5" s="103">
        <v>93200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68</v>
      </c>
      <c r="F6" s="60" t="s">
        <v>24</v>
      </c>
      <c r="G6" s="47">
        <v>70</v>
      </c>
      <c r="H6" s="133">
        <f>IF(B$17=0,0,G6/B$17)</f>
        <v>0.34653465346534651</v>
      </c>
      <c r="I6" s="94">
        <v>8</v>
      </c>
      <c r="K6" s="38">
        <v>4</v>
      </c>
      <c r="L6" s="99">
        <v>-11.300000000000011</v>
      </c>
      <c r="N6" s="115" t="s">
        <v>136</v>
      </c>
      <c r="O6" s="122">
        <f t="shared" si="0"/>
        <v>-375.86206896551727</v>
      </c>
      <c r="P6" s="119">
        <v>58</v>
      </c>
      <c r="Q6" s="103">
        <v>-21800</v>
      </c>
    </row>
    <row r="7" spans="1:17" x14ac:dyDescent="0.4">
      <c r="A7" s="55" t="s">
        <v>2</v>
      </c>
      <c r="B7" s="47">
        <v>27</v>
      </c>
      <c r="C7" s="39">
        <f>IF(B$2=0,0,B7/B$2)</f>
        <v>0.32142857142857145</v>
      </c>
      <c r="E7" s="63" t="s">
        <v>69</v>
      </c>
      <c r="F7" s="60" t="s">
        <v>12</v>
      </c>
      <c r="G7" s="47">
        <v>59</v>
      </c>
      <c r="H7" s="133">
        <f>IF(B$17=0,0,G7/B$17)</f>
        <v>0.29207920792079206</v>
      </c>
      <c r="I7" s="94">
        <v>10</v>
      </c>
      <c r="K7" s="38">
        <v>5</v>
      </c>
      <c r="L7" s="99">
        <v>-36.100000000000009</v>
      </c>
      <c r="N7" s="116" t="s">
        <v>137</v>
      </c>
      <c r="O7" s="123">
        <f t="shared" si="0"/>
        <v>350.94339622641508</v>
      </c>
      <c r="P7" s="120">
        <v>53</v>
      </c>
      <c r="Q7" s="104">
        <v>18600</v>
      </c>
    </row>
    <row r="8" spans="1:17" x14ac:dyDescent="0.4">
      <c r="A8" s="55" t="s">
        <v>3</v>
      </c>
      <c r="B8" s="47">
        <v>30</v>
      </c>
      <c r="C8" s="39">
        <f>IF(B$2=0,0,B8/B$2)</f>
        <v>0.35714285714285715</v>
      </c>
      <c r="E8" s="63" t="s">
        <v>70</v>
      </c>
      <c r="F8" s="60" t="s">
        <v>25</v>
      </c>
      <c r="G8" s="47">
        <v>39</v>
      </c>
      <c r="H8" s="133">
        <f>IF(B$17=0,0,G8/B$17)</f>
        <v>0.19306930693069307</v>
      </c>
      <c r="I8" s="94">
        <v>5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27</v>
      </c>
      <c r="C9" s="40">
        <f t="shared" ref="C9" si="1">IF(B$2=0,0,B9/B$2)</f>
        <v>0.32142857142857145</v>
      </c>
      <c r="E9" s="63" t="s">
        <v>90</v>
      </c>
      <c r="F9" s="60" t="s">
        <v>45</v>
      </c>
      <c r="G9" s="47">
        <v>34</v>
      </c>
      <c r="H9" s="133">
        <f>IF(B$17=0,0,G9/B$17)</f>
        <v>0.16831683168316833</v>
      </c>
      <c r="I9" s="94">
        <v>4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6</v>
      </c>
      <c r="C10" s="40">
        <f>IF(B$2=0,0,B10/B$2)</f>
        <v>7.1428571428571425E-2</v>
      </c>
      <c r="E10" s="63" t="s">
        <v>66</v>
      </c>
      <c r="F10" s="60" t="s">
        <v>22</v>
      </c>
      <c r="G10" s="47">
        <v>28</v>
      </c>
      <c r="H10" s="133">
        <f>IF(B$17=0,0,G10/B$17)</f>
        <v>0.13861386138613863</v>
      </c>
      <c r="I10" s="94">
        <v>2</v>
      </c>
      <c r="K10" s="38">
        <v>8</v>
      </c>
      <c r="L10" s="99">
        <v>-1.7000000000000028</v>
      </c>
      <c r="N10" s="114" t="s">
        <v>164</v>
      </c>
      <c r="O10" s="124">
        <f>IF(P10=0,0,Q10/P10)</f>
        <v>9</v>
      </c>
      <c r="P10" s="118">
        <v>22</v>
      </c>
      <c r="Q10" s="106">
        <v>198</v>
      </c>
    </row>
    <row r="11" spans="1:17" x14ac:dyDescent="0.4">
      <c r="A11" s="56" t="s">
        <v>140</v>
      </c>
      <c r="B11" s="48">
        <v>12</v>
      </c>
      <c r="C11" s="40">
        <f>IF(B$2=0,0,B11/B$2)</f>
        <v>0.14285714285714285</v>
      </c>
      <c r="E11" s="63" t="s">
        <v>71</v>
      </c>
      <c r="F11" s="60" t="s">
        <v>26</v>
      </c>
      <c r="G11" s="47">
        <v>21</v>
      </c>
      <c r="H11" s="133">
        <f>IF(B$17=0,0,G11/B$17)</f>
        <v>0.10396039603960396</v>
      </c>
      <c r="I11" s="94">
        <v>5</v>
      </c>
      <c r="K11" s="38">
        <v>9</v>
      </c>
      <c r="L11" s="99">
        <v>-5.8000000000000025</v>
      </c>
      <c r="N11" s="115" t="s">
        <v>165</v>
      </c>
      <c r="O11" s="125">
        <f>IF(P11=0,0,Q11/P11)</f>
        <v>-2.2176470588235273</v>
      </c>
      <c r="P11" s="119">
        <v>34</v>
      </c>
      <c r="Q11" s="107">
        <v>-75.399999999999935</v>
      </c>
    </row>
    <row r="12" spans="1:17" x14ac:dyDescent="0.4">
      <c r="A12" s="57" t="s">
        <v>160</v>
      </c>
      <c r="B12" s="49">
        <v>6</v>
      </c>
      <c r="C12" s="42">
        <f>IF(B$2=0,0,B12/B$2)</f>
        <v>7.1428571428571425E-2</v>
      </c>
      <c r="E12" s="63" t="s">
        <v>87</v>
      </c>
      <c r="F12" s="60" t="s">
        <v>42</v>
      </c>
      <c r="G12" s="47">
        <v>15</v>
      </c>
      <c r="H12" s="133">
        <f>IF(B$17=0,0,G12/B$17)</f>
        <v>7.4257425742574254E-2</v>
      </c>
      <c r="I12" s="94">
        <v>3</v>
      </c>
      <c r="K12" s="38">
        <v>10</v>
      </c>
      <c r="L12" s="99">
        <v>-56.500000000000007</v>
      </c>
      <c r="N12" s="116" t="s">
        <v>166</v>
      </c>
      <c r="O12" s="126">
        <f>IF(P12=0,0,Q12/P12)</f>
        <v>5.4464285714285712</v>
      </c>
      <c r="P12" s="120">
        <v>28</v>
      </c>
      <c r="Q12" s="108">
        <v>152.5</v>
      </c>
    </row>
    <row r="13" spans="1:17" x14ac:dyDescent="0.4">
      <c r="A13" s="58" t="s">
        <v>122</v>
      </c>
      <c r="B13" s="50">
        <v>205</v>
      </c>
      <c r="C13" s="44">
        <f>IF(B$3=0,0,B13/B$3)</f>
        <v>0.29327610872675253</v>
      </c>
      <c r="E13" s="63" t="s">
        <v>72</v>
      </c>
      <c r="F13" s="60" t="s">
        <v>27</v>
      </c>
      <c r="G13" s="47">
        <v>12</v>
      </c>
      <c r="H13" s="133">
        <f>IF(B$17=0,0,G13/B$17)</f>
        <v>5.9405940594059403E-2</v>
      </c>
      <c r="I13" s="94">
        <v>6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134</v>
      </c>
      <c r="C14" s="39">
        <f>IF(B$3=0,0,B14/B$3)</f>
        <v>0.19170243204577969</v>
      </c>
      <c r="E14" s="63" t="s">
        <v>84</v>
      </c>
      <c r="F14" s="60" t="s">
        <v>39</v>
      </c>
      <c r="G14" s="47">
        <v>11</v>
      </c>
      <c r="H14" s="133">
        <f>IF(B$17=0,0,G14/B$17)</f>
        <v>5.4455445544554455E-2</v>
      </c>
      <c r="I14" s="94">
        <v>4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118</v>
      </c>
      <c r="C15" s="37">
        <f>IF(B$13=0,0,B15/B$13)</f>
        <v>0.57560975609756093</v>
      </c>
      <c r="E15" s="63" t="s">
        <v>79</v>
      </c>
      <c r="F15" s="60" t="s">
        <v>34</v>
      </c>
      <c r="G15" s="47">
        <v>9</v>
      </c>
      <c r="H15" s="133">
        <f>IF(B$17=0,0,G15/B$17)</f>
        <v>4.4554455445544552E-2</v>
      </c>
      <c r="I15" s="94">
        <v>3</v>
      </c>
      <c r="K15" s="38">
        <v>13</v>
      </c>
      <c r="L15" s="99">
        <v>-58.7</v>
      </c>
      <c r="N15" s="114" t="s">
        <v>129</v>
      </c>
      <c r="O15" s="124">
        <f>IF(P15=0,0,Q15/P15)</f>
        <v>31.727999999999994</v>
      </c>
      <c r="P15" s="118">
        <v>25</v>
      </c>
      <c r="Q15" s="106">
        <v>793.19999999999982</v>
      </c>
    </row>
    <row r="16" spans="1:17" x14ac:dyDescent="0.4">
      <c r="A16" s="54" t="s">
        <v>125</v>
      </c>
      <c r="B16" s="46">
        <v>56</v>
      </c>
      <c r="C16" s="37">
        <f>IF(B$14=0,0,B16/B$14)</f>
        <v>0.41791044776119401</v>
      </c>
      <c r="E16" s="63" t="s">
        <v>82</v>
      </c>
      <c r="F16" s="60" t="s">
        <v>37</v>
      </c>
      <c r="G16" s="47">
        <v>8</v>
      </c>
      <c r="H16" s="133">
        <f>IF(B$17=0,0,G16/B$17)</f>
        <v>3.9603960396039604E-2</v>
      </c>
      <c r="I16" s="94">
        <v>2</v>
      </c>
      <c r="K16" s="38">
        <v>14</v>
      </c>
      <c r="L16" s="99">
        <v>-29.400000000000002</v>
      </c>
      <c r="N16" s="115" t="s">
        <v>186</v>
      </c>
      <c r="O16" s="125">
        <f>IF(P16=0,0,Q16/P16)</f>
        <v>25.400000000000002</v>
      </c>
      <c r="P16" s="119">
        <v>2</v>
      </c>
      <c r="Q16" s="107">
        <v>50.800000000000004</v>
      </c>
    </row>
    <row r="17" spans="1:17" x14ac:dyDescent="0.4">
      <c r="A17" s="54" t="s">
        <v>10</v>
      </c>
      <c r="B17" s="46">
        <f>B19+B18</f>
        <v>202</v>
      </c>
      <c r="C17" s="37">
        <f>IF(B$3=0,0,B17/B$3)</f>
        <v>0.28898426323319026</v>
      </c>
      <c r="E17" s="63" t="s">
        <v>92</v>
      </c>
      <c r="F17" s="60" t="s">
        <v>47</v>
      </c>
      <c r="G17" s="47">
        <v>6</v>
      </c>
      <c r="H17" s="133">
        <f>IF(B$17=0,0,G17/B$17)</f>
        <v>2.9702970297029702E-2</v>
      </c>
      <c r="I17" s="94">
        <v>2</v>
      </c>
      <c r="K17" s="38">
        <v>15</v>
      </c>
      <c r="L17" s="99">
        <v>-26.3</v>
      </c>
      <c r="N17" s="115" t="s">
        <v>173</v>
      </c>
      <c r="O17" s="125">
        <f>IF(P17=0,0,Q17/P17)</f>
        <v>11.647058823529409</v>
      </c>
      <c r="P17" s="119">
        <v>17</v>
      </c>
      <c r="Q17" s="107">
        <v>197.99999999999997</v>
      </c>
    </row>
    <row r="18" spans="1:17" x14ac:dyDescent="0.4">
      <c r="A18" s="55" t="s">
        <v>12</v>
      </c>
      <c r="B18" s="47">
        <v>82</v>
      </c>
      <c r="C18" s="39">
        <f>IF(B$17=0,0,B18/B$17)</f>
        <v>0.40594059405940597</v>
      </c>
      <c r="E18" s="63" t="s">
        <v>180</v>
      </c>
      <c r="F18" s="60" t="s">
        <v>183</v>
      </c>
      <c r="G18" s="47">
        <v>4</v>
      </c>
      <c r="H18" s="133">
        <f>IF(B$17=0,0,G18/B$17)</f>
        <v>1.9801980198019802E-2</v>
      </c>
      <c r="I18" s="94">
        <v>2</v>
      </c>
      <c r="K18" s="38">
        <v>16</v>
      </c>
      <c r="L18" s="99">
        <v>-50.3</v>
      </c>
      <c r="N18" s="115" t="s">
        <v>172</v>
      </c>
      <c r="O18" s="125">
        <f>IF(P18=0,0,Q18/P18)</f>
        <v>4.6449999999999996</v>
      </c>
      <c r="P18" s="119">
        <v>20</v>
      </c>
      <c r="Q18" s="107">
        <v>92.899999999999991</v>
      </c>
    </row>
    <row r="19" spans="1:17" x14ac:dyDescent="0.4">
      <c r="A19" s="55" t="s">
        <v>11</v>
      </c>
      <c r="B19" s="47">
        <v>120</v>
      </c>
      <c r="C19" s="39">
        <f>IF(B$17=0,0,B19/B$17)</f>
        <v>0.59405940594059403</v>
      </c>
      <c r="E19" s="63" t="s">
        <v>76</v>
      </c>
      <c r="F19" s="60" t="s">
        <v>31</v>
      </c>
      <c r="G19" s="47">
        <v>3</v>
      </c>
      <c r="H19" s="133">
        <f>IF(B$17=0,0,G19/B$17)</f>
        <v>1.4851485148514851E-2</v>
      </c>
      <c r="I19" s="94">
        <v>2</v>
      </c>
      <c r="K19" s="38">
        <v>17</v>
      </c>
      <c r="L19" s="99">
        <v>-74.3</v>
      </c>
      <c r="N19" s="115" t="s">
        <v>128</v>
      </c>
      <c r="O19" s="125">
        <f>IF(P19=0,0,Q19/P19)</f>
        <v>2.3171428571428523</v>
      </c>
      <c r="P19" s="119">
        <v>35</v>
      </c>
      <c r="Q19" s="107">
        <v>81.099999999999824</v>
      </c>
    </row>
    <row r="20" spans="1:17" x14ac:dyDescent="0.4">
      <c r="A20" s="55" t="s">
        <v>13</v>
      </c>
      <c r="B20" s="47">
        <v>119</v>
      </c>
      <c r="C20" s="39">
        <f>IF(B$3=0,0,B20/B$3)</f>
        <v>0.17024320457796852</v>
      </c>
      <c r="E20" s="63" t="s">
        <v>80</v>
      </c>
      <c r="F20" s="60" t="s">
        <v>35</v>
      </c>
      <c r="G20" s="47">
        <v>3</v>
      </c>
      <c r="H20" s="133">
        <f>IF(B$17=0,0,G20/B$17)</f>
        <v>1.4851485148514851E-2</v>
      </c>
      <c r="I20" s="94">
        <v>6</v>
      </c>
      <c r="K20" s="38">
        <v>18</v>
      </c>
      <c r="L20" s="99">
        <v>-76.099999999999994</v>
      </c>
      <c r="N20" s="115" t="s">
        <v>127</v>
      </c>
      <c r="O20" s="125">
        <f>IF(P20=0,0,Q20/P20)</f>
        <v>1.9137254901960827</v>
      </c>
      <c r="P20" s="119">
        <v>51</v>
      </c>
      <c r="Q20" s="107">
        <v>97.600000000000222</v>
      </c>
    </row>
    <row r="21" spans="1:17" x14ac:dyDescent="0.4">
      <c r="A21" s="55" t="s">
        <v>193</v>
      </c>
      <c r="B21" s="47">
        <v>6</v>
      </c>
      <c r="C21" s="135">
        <v>1</v>
      </c>
      <c r="E21" s="63" t="s">
        <v>85</v>
      </c>
      <c r="F21" s="60" t="s">
        <v>40</v>
      </c>
      <c r="G21" s="47">
        <v>2</v>
      </c>
      <c r="H21" s="133">
        <f>IF(B$17=0,0,G21/B$17)</f>
        <v>9.9009900990099011E-3</v>
      </c>
      <c r="I21" s="94">
        <v>1</v>
      </c>
      <c r="K21" s="38">
        <v>19</v>
      </c>
      <c r="L21" s="99">
        <v>0.60000000000000853</v>
      </c>
      <c r="N21" s="115" t="s">
        <v>202</v>
      </c>
      <c r="O21" s="125">
        <f>IF(P21=0,0,Q21/P21)</f>
        <v>-8.9999999999999947</v>
      </c>
      <c r="P21" s="119">
        <v>3</v>
      </c>
      <c r="Q21" s="107">
        <v>-26.999999999999986</v>
      </c>
    </row>
    <row r="22" spans="1:17" x14ac:dyDescent="0.4">
      <c r="A22" s="55" t="s">
        <v>194</v>
      </c>
      <c r="B22" s="47">
        <v>24</v>
      </c>
      <c r="C22" s="135">
        <v>24</v>
      </c>
      <c r="E22" s="63" t="s">
        <v>93</v>
      </c>
      <c r="F22" s="60" t="s">
        <v>48</v>
      </c>
      <c r="G22" s="47">
        <v>2</v>
      </c>
      <c r="H22" s="133">
        <f>IF(B$17=0,0,G22/B$17)</f>
        <v>9.9009900990099011E-3</v>
      </c>
      <c r="I22" s="94">
        <v>1</v>
      </c>
      <c r="K22" s="38">
        <v>20</v>
      </c>
      <c r="L22" s="99">
        <v>-3.5999999999999917</v>
      </c>
      <c r="N22" s="115" t="s">
        <v>177</v>
      </c>
      <c r="O22" s="125">
        <f>IF(P22=0,0,Q22/P22)</f>
        <v>-27.985714285714288</v>
      </c>
      <c r="P22" s="119">
        <v>14</v>
      </c>
      <c r="Q22" s="107">
        <v>-391.8</v>
      </c>
    </row>
    <row r="23" spans="1:17" x14ac:dyDescent="0.4">
      <c r="A23" s="55" t="s">
        <v>5</v>
      </c>
      <c r="B23" s="51">
        <f>IF(B$17=0,0,C23/B$17)</f>
        <v>10054.455445544554</v>
      </c>
      <c r="C23" s="41">
        <v>2031000</v>
      </c>
      <c r="E23" s="63" t="s">
        <v>74</v>
      </c>
      <c r="F23" s="60" t="s">
        <v>29</v>
      </c>
      <c r="G23" s="47">
        <v>1</v>
      </c>
      <c r="H23" s="133">
        <f>IF(B$17=0,0,G23/B$17)</f>
        <v>4.9504950495049506E-3</v>
      </c>
      <c r="I23" s="94">
        <v>6</v>
      </c>
      <c r="K23" s="38">
        <v>21</v>
      </c>
      <c r="L23" s="99">
        <v>-3.0999999999999917</v>
      </c>
      <c r="N23" s="115" t="s">
        <v>224</v>
      </c>
      <c r="O23" s="125">
        <f>IF(P23=0,0,Q23/P23)</f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-8092.4369747899163</v>
      </c>
      <c r="C24" s="45">
        <v>-963000</v>
      </c>
      <c r="E24" s="63" t="s">
        <v>88</v>
      </c>
      <c r="F24" s="60" t="s">
        <v>43</v>
      </c>
      <c r="G24" s="47">
        <v>1</v>
      </c>
      <c r="H24" s="133">
        <f>IF(B$17=0,0,G24/B$17)</f>
        <v>4.9504950495049506E-3</v>
      </c>
      <c r="I24" s="94">
        <v>3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0">
        <v>8</v>
      </c>
      <c r="C25" s="141"/>
      <c r="E25" s="63" t="s">
        <v>94</v>
      </c>
      <c r="F25" s="60" t="s">
        <v>49</v>
      </c>
      <c r="G25" s="47">
        <v>1</v>
      </c>
      <c r="H25" s="133">
        <f>IF(B$17=0,0,G25/B$17)</f>
        <v>4.9504950495049506E-3</v>
      </c>
      <c r="I25" s="94">
        <v>2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38">
        <v>91700</v>
      </c>
      <c r="C26" s="139"/>
      <c r="E26" s="63" t="s">
        <v>75</v>
      </c>
      <c r="F26" s="60" t="s">
        <v>30</v>
      </c>
      <c r="G26" s="47">
        <v>0</v>
      </c>
      <c r="H26" s="133">
        <f>IF(B$17=0,0,G26/B$17)</f>
        <v>0</v>
      </c>
      <c r="I26" s="94">
        <v>6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1.4306151645207439E-3</v>
      </c>
      <c r="E27" s="63" t="s">
        <v>77</v>
      </c>
      <c r="F27" s="60" t="s">
        <v>32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-39.999999999999986</v>
      </c>
    </row>
    <row r="28" spans="1:17" x14ac:dyDescent="0.4">
      <c r="E28" s="63" t="s">
        <v>78</v>
      </c>
      <c r="F28" s="60" t="s">
        <v>33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-71.099999999999994</v>
      </c>
    </row>
    <row r="29" spans="1:17" x14ac:dyDescent="0.4">
      <c r="E29" s="63" t="s">
        <v>81</v>
      </c>
      <c r="F29" s="60" t="s">
        <v>36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-66.199999999999989</v>
      </c>
    </row>
    <row r="30" spans="1:17" x14ac:dyDescent="0.4">
      <c r="E30" s="63" t="s">
        <v>83</v>
      </c>
      <c r="F30" s="60" t="s">
        <v>38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86</v>
      </c>
      <c r="F31" s="60" t="s">
        <v>41</v>
      </c>
      <c r="G31" s="47">
        <v>0</v>
      </c>
      <c r="H31" s="133">
        <f>IF(B$17=0,0,G31/B$17)</f>
        <v>0</v>
      </c>
      <c r="I31" s="94">
        <v>4</v>
      </c>
      <c r="K31" s="38">
        <v>29</v>
      </c>
      <c r="L31" s="99">
        <v>-121.79999999999998</v>
      </c>
    </row>
    <row r="32" spans="1:17" x14ac:dyDescent="0.4">
      <c r="E32" s="63" t="s">
        <v>89</v>
      </c>
      <c r="F32" s="60" t="s">
        <v>44</v>
      </c>
      <c r="G32" s="47">
        <v>0</v>
      </c>
      <c r="H32" s="133">
        <f>IF(B$17=0,0,G32/B$17)</f>
        <v>0</v>
      </c>
      <c r="I32" s="94">
        <v>4</v>
      </c>
      <c r="K32" s="38">
        <v>30</v>
      </c>
      <c r="L32" s="99">
        <v>-156.19999999999999</v>
      </c>
    </row>
    <row r="33" spans="5:12" x14ac:dyDescent="0.4">
      <c r="E33" s="63" t="s">
        <v>91</v>
      </c>
      <c r="F33" s="60" t="s">
        <v>46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-64.099999999999994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-71.3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-33.800000000000004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-23.100000000000005</v>
      </c>
    </row>
    <row r="52" spans="5:12" x14ac:dyDescent="0.4"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  <row r="68" spans="11:12" x14ac:dyDescent="0.4">
      <c r="K68" s="38">
        <v>66</v>
      </c>
      <c r="L68" s="99">
        <v>86.1</v>
      </c>
    </row>
    <row r="69" spans="11:12" x14ac:dyDescent="0.4">
      <c r="K69" s="38">
        <v>67</v>
      </c>
      <c r="L69" s="99">
        <v>154.1</v>
      </c>
    </row>
    <row r="70" spans="11:12" x14ac:dyDescent="0.4">
      <c r="K70" s="38">
        <v>68</v>
      </c>
      <c r="L70" s="99">
        <v>152.29999999999998</v>
      </c>
    </row>
    <row r="71" spans="11:12" x14ac:dyDescent="0.4">
      <c r="K71" s="38">
        <v>69</v>
      </c>
      <c r="L71" s="99">
        <v>106.19999999999999</v>
      </c>
    </row>
    <row r="72" spans="11:12" x14ac:dyDescent="0.4">
      <c r="K72" s="38">
        <v>70</v>
      </c>
      <c r="L72" s="99">
        <v>146.79999999999998</v>
      </c>
    </row>
    <row r="73" spans="11:12" x14ac:dyDescent="0.4">
      <c r="K73" s="38">
        <v>71</v>
      </c>
      <c r="L73" s="99">
        <v>88.799999999999983</v>
      </c>
    </row>
    <row r="74" spans="11:12" x14ac:dyDescent="0.4">
      <c r="K74" s="38">
        <v>72</v>
      </c>
      <c r="L74" s="99">
        <v>98.299999999999983</v>
      </c>
    </row>
    <row r="75" spans="11:12" x14ac:dyDescent="0.4">
      <c r="K75" s="38">
        <v>73</v>
      </c>
      <c r="L75" s="99">
        <v>156.29999999999998</v>
      </c>
    </row>
    <row r="76" spans="11:12" x14ac:dyDescent="0.4">
      <c r="K76" s="38">
        <v>74</v>
      </c>
      <c r="L76" s="99">
        <v>99.299999999999983</v>
      </c>
    </row>
    <row r="77" spans="11:12" x14ac:dyDescent="0.4">
      <c r="K77" s="38">
        <v>75</v>
      </c>
      <c r="L77" s="99">
        <v>145.29999999999998</v>
      </c>
    </row>
    <row r="78" spans="11:12" x14ac:dyDescent="0.4">
      <c r="K78" s="38">
        <v>76</v>
      </c>
      <c r="L78" s="99">
        <v>163.29999999999998</v>
      </c>
    </row>
    <row r="79" spans="11:12" x14ac:dyDescent="0.4">
      <c r="K79" s="38">
        <v>77</v>
      </c>
      <c r="L79" s="99">
        <v>89.59999999999998</v>
      </c>
    </row>
    <row r="80" spans="11:12" x14ac:dyDescent="0.4">
      <c r="K80" s="38">
        <v>78</v>
      </c>
      <c r="L80" s="99">
        <v>94.299999999999983</v>
      </c>
    </row>
    <row r="81" spans="11:12" x14ac:dyDescent="0.4">
      <c r="K81" s="38">
        <v>79</v>
      </c>
      <c r="L81" s="99">
        <v>118.49999999999999</v>
      </c>
    </row>
    <row r="82" spans="11:12" x14ac:dyDescent="0.4">
      <c r="K82" s="38">
        <v>80</v>
      </c>
      <c r="L82" s="99">
        <v>109.69999999999999</v>
      </c>
    </row>
    <row r="83" spans="11:12" x14ac:dyDescent="0.4">
      <c r="K83" s="38">
        <v>81</v>
      </c>
      <c r="L83" s="99">
        <v>173.1</v>
      </c>
    </row>
    <row r="84" spans="11:12" x14ac:dyDescent="0.4">
      <c r="K84" s="38">
        <v>82</v>
      </c>
      <c r="L84" s="99">
        <v>214.1</v>
      </c>
    </row>
    <row r="85" spans="11:12" x14ac:dyDescent="0.4">
      <c r="K85" s="38">
        <v>83</v>
      </c>
      <c r="L85" s="99">
        <v>210.9</v>
      </c>
    </row>
    <row r="86" spans="11:12" x14ac:dyDescent="0.4">
      <c r="K86" s="38">
        <v>84</v>
      </c>
      <c r="L86" s="99">
        <v>275.10000000000002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9119D-E638-43FF-99C5-5C1267423604}">
  <sheetPr codeName="Sheet15"/>
  <dimension ref="A1:Q68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66</v>
      </c>
      <c r="C2" s="147"/>
      <c r="E2" s="62" t="s">
        <v>67</v>
      </c>
      <c r="F2" s="59" t="s">
        <v>23</v>
      </c>
      <c r="G2" s="46">
        <v>132</v>
      </c>
      <c r="H2" s="132">
        <f>IF(B$17=0,0,G2/B$17)</f>
        <v>0.6470588235294118</v>
      </c>
      <c r="I2" s="93">
        <v>10</v>
      </c>
      <c r="K2" s="36">
        <v>0</v>
      </c>
      <c r="L2" s="98">
        <v>0</v>
      </c>
      <c r="N2" s="114" t="s">
        <v>132</v>
      </c>
      <c r="O2" s="121">
        <f t="shared" ref="O2:O7" si="0">IF(P2=0,0,Q2/P2)</f>
        <v>696.969696969697</v>
      </c>
      <c r="P2" s="118">
        <v>66</v>
      </c>
      <c r="Q2" s="102">
        <v>46000</v>
      </c>
    </row>
    <row r="3" spans="1:17" x14ac:dyDescent="0.4">
      <c r="A3" s="55" t="s">
        <v>8</v>
      </c>
      <c r="B3" s="148">
        <v>573</v>
      </c>
      <c r="C3" s="149"/>
      <c r="E3" s="63" t="s">
        <v>73</v>
      </c>
      <c r="F3" s="60" t="s">
        <v>28</v>
      </c>
      <c r="G3" s="47">
        <v>116</v>
      </c>
      <c r="H3" s="133">
        <f>IF(B$17=0,0,G3/B$17)</f>
        <v>0.56862745098039214</v>
      </c>
      <c r="I3" s="94">
        <v>6</v>
      </c>
      <c r="K3" s="38">
        <v>1</v>
      </c>
      <c r="L3" s="99">
        <v>11.1</v>
      </c>
      <c r="N3" s="115" t="s">
        <v>133</v>
      </c>
      <c r="O3" s="122">
        <f t="shared" si="0"/>
        <v>-662.12121212121212</v>
      </c>
      <c r="P3" s="119">
        <v>66</v>
      </c>
      <c r="Q3" s="103">
        <v>-43700</v>
      </c>
    </row>
    <row r="4" spans="1:17" x14ac:dyDescent="0.4">
      <c r="A4" s="55" t="s">
        <v>6</v>
      </c>
      <c r="B4" s="150">
        <v>-5.400000000000027</v>
      </c>
      <c r="C4" s="151"/>
      <c r="E4" s="63" t="s">
        <v>181</v>
      </c>
      <c r="F4" s="60" t="s">
        <v>182</v>
      </c>
      <c r="G4" s="47">
        <v>90</v>
      </c>
      <c r="H4" s="133">
        <f>IF(B$17=0,0,G4/B$17)</f>
        <v>0.44117647058823528</v>
      </c>
      <c r="I4" s="94">
        <v>3</v>
      </c>
      <c r="K4" s="38">
        <v>2</v>
      </c>
      <c r="L4" s="99">
        <v>-7.7000000000000011</v>
      </c>
      <c r="N4" s="115" t="s">
        <v>134</v>
      </c>
      <c r="O4" s="122">
        <f t="shared" si="0"/>
        <v>-1530.5084745762713</v>
      </c>
      <c r="P4" s="119">
        <v>59</v>
      </c>
      <c r="Q4" s="103">
        <v>-90300</v>
      </c>
    </row>
    <row r="5" spans="1:17" x14ac:dyDescent="0.4">
      <c r="A5" s="55" t="s">
        <v>7</v>
      </c>
      <c r="B5" s="152">
        <f>IF(B$2=0,0,B$4/B$2)</f>
        <v>-8.1818181818182234E-2</v>
      </c>
      <c r="C5" s="153"/>
      <c r="E5" s="63" t="s">
        <v>65</v>
      </c>
      <c r="F5" s="60" t="s">
        <v>21</v>
      </c>
      <c r="G5" s="47">
        <v>69</v>
      </c>
      <c r="H5" s="133">
        <f>IF(B$17=0,0,G5/B$17)</f>
        <v>0.33823529411764708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641.07142857142856</v>
      </c>
      <c r="P5" s="119">
        <v>56</v>
      </c>
      <c r="Q5" s="103">
        <v>35900</v>
      </c>
    </row>
    <row r="6" spans="1:17" x14ac:dyDescent="0.4">
      <c r="A6" s="55" t="s">
        <v>1</v>
      </c>
      <c r="B6" s="142">
        <f>IF(B$2=0,0,(B$7*1+B$8*2+B$9*3)/B$2)</f>
        <v>2.0303030303030303</v>
      </c>
      <c r="C6" s="143"/>
      <c r="E6" s="63" t="s">
        <v>69</v>
      </c>
      <c r="F6" s="60" t="s">
        <v>12</v>
      </c>
      <c r="G6" s="47">
        <v>54</v>
      </c>
      <c r="H6" s="133">
        <f>IF(B$17=0,0,G6/B$17)</f>
        <v>0.26470588235294118</v>
      </c>
      <c r="I6" s="94">
        <v>11</v>
      </c>
      <c r="K6" s="38">
        <v>4</v>
      </c>
      <c r="L6" s="99">
        <v>34.9</v>
      </c>
      <c r="N6" s="115" t="s">
        <v>136</v>
      </c>
      <c r="O6" s="122">
        <f t="shared" si="0"/>
        <v>861.11111111111109</v>
      </c>
      <c r="P6" s="119">
        <v>54</v>
      </c>
      <c r="Q6" s="103">
        <v>46500</v>
      </c>
    </row>
    <row r="7" spans="1:17" x14ac:dyDescent="0.4">
      <c r="A7" s="55" t="s">
        <v>2</v>
      </c>
      <c r="B7" s="47">
        <v>18</v>
      </c>
      <c r="C7" s="39">
        <f>IF(B$2=0,0,B7/B$2)</f>
        <v>0.27272727272727271</v>
      </c>
      <c r="E7" s="63" t="s">
        <v>68</v>
      </c>
      <c r="F7" s="60" t="s">
        <v>24</v>
      </c>
      <c r="G7" s="47">
        <v>33</v>
      </c>
      <c r="H7" s="133">
        <f>IF(B$17=0,0,G7/B$17)</f>
        <v>0.16176470588235295</v>
      </c>
      <c r="I7" s="94">
        <v>13</v>
      </c>
      <c r="K7" s="38">
        <v>5</v>
      </c>
      <c r="L7" s="99">
        <v>29.4</v>
      </c>
      <c r="N7" s="116" t="s">
        <v>137</v>
      </c>
      <c r="O7" s="123">
        <f t="shared" si="0"/>
        <v>-258.69565217391306</v>
      </c>
      <c r="P7" s="120">
        <v>46</v>
      </c>
      <c r="Q7" s="104">
        <v>-11900</v>
      </c>
    </row>
    <row r="8" spans="1:17" x14ac:dyDescent="0.4">
      <c r="A8" s="55" t="s">
        <v>3</v>
      </c>
      <c r="B8" s="47">
        <v>28</v>
      </c>
      <c r="C8" s="39">
        <f>IF(B$2=0,0,B8/B$2)</f>
        <v>0.42424242424242425</v>
      </c>
      <c r="E8" s="63" t="s">
        <v>70</v>
      </c>
      <c r="F8" s="60" t="s">
        <v>25</v>
      </c>
      <c r="G8" s="47">
        <v>30</v>
      </c>
      <c r="H8" s="133">
        <f>IF(B$17=0,0,G8/B$17)</f>
        <v>0.14705882352941177</v>
      </c>
      <c r="I8" s="94">
        <v>10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20</v>
      </c>
      <c r="C9" s="40">
        <f t="shared" ref="C9" si="1">IF(B$2=0,0,B9/B$2)</f>
        <v>0.30303030303030304</v>
      </c>
      <c r="E9" s="63" t="s">
        <v>66</v>
      </c>
      <c r="F9" s="60" t="s">
        <v>22</v>
      </c>
      <c r="G9" s="47">
        <v>24</v>
      </c>
      <c r="H9" s="133">
        <f>IF(B$17=0,0,G9/B$17)</f>
        <v>0.11764705882352941</v>
      </c>
      <c r="I9" s="94">
        <v>6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4.5454545454545456E-2</v>
      </c>
      <c r="E10" s="63" t="s">
        <v>90</v>
      </c>
      <c r="F10" s="60" t="s">
        <v>45</v>
      </c>
      <c r="G10" s="47">
        <v>17</v>
      </c>
      <c r="H10" s="133">
        <f>IF(B$17=0,0,G10/B$17)</f>
        <v>8.3333333333333329E-2</v>
      </c>
      <c r="I10" s="94">
        <v>11</v>
      </c>
      <c r="K10" s="38">
        <v>8</v>
      </c>
      <c r="L10" s="99">
        <v>-29.5</v>
      </c>
      <c r="N10" s="114" t="s">
        <v>164</v>
      </c>
      <c r="O10" s="124">
        <f>IF(P10=0,0,Q10/P10)</f>
        <v>-7.6722222222222252</v>
      </c>
      <c r="P10" s="118">
        <v>18</v>
      </c>
      <c r="Q10" s="106">
        <v>-138.10000000000005</v>
      </c>
    </row>
    <row r="11" spans="1:17" x14ac:dyDescent="0.4">
      <c r="A11" s="56" t="s">
        <v>140</v>
      </c>
      <c r="B11" s="48">
        <v>7</v>
      </c>
      <c r="C11" s="40">
        <f>IF(B$2=0,0,B11/B$2)</f>
        <v>0.10606060606060606</v>
      </c>
      <c r="E11" s="63" t="s">
        <v>72</v>
      </c>
      <c r="F11" s="60" t="s">
        <v>27</v>
      </c>
      <c r="G11" s="47">
        <v>16</v>
      </c>
      <c r="H11" s="133">
        <f>IF(B$17=0,0,G11/B$17)</f>
        <v>7.8431372549019607E-2</v>
      </c>
      <c r="I11" s="94">
        <v>3</v>
      </c>
      <c r="K11" s="38">
        <v>9</v>
      </c>
      <c r="L11" s="99">
        <v>-56.5</v>
      </c>
      <c r="N11" s="115" t="s">
        <v>165</v>
      </c>
      <c r="O11" s="125">
        <f>IF(P11=0,0,Q11/P11)</f>
        <v>5.8090909090909086</v>
      </c>
      <c r="P11" s="119">
        <v>22</v>
      </c>
      <c r="Q11" s="107">
        <v>127.8</v>
      </c>
    </row>
    <row r="12" spans="1:17" x14ac:dyDescent="0.4">
      <c r="A12" s="57" t="s">
        <v>160</v>
      </c>
      <c r="B12" s="49">
        <v>5</v>
      </c>
      <c r="C12" s="42">
        <f>IF(B$2=0,0,B12/B$2)</f>
        <v>7.575757575757576E-2</v>
      </c>
      <c r="E12" s="63" t="s">
        <v>71</v>
      </c>
      <c r="F12" s="60" t="s">
        <v>26</v>
      </c>
      <c r="G12" s="47">
        <v>13</v>
      </c>
      <c r="H12" s="133">
        <f>IF(B$17=0,0,G12/B$17)</f>
        <v>6.3725490196078427E-2</v>
      </c>
      <c r="I12" s="94">
        <v>9</v>
      </c>
      <c r="K12" s="38">
        <v>10</v>
      </c>
      <c r="L12" s="99">
        <v>24.200000000000003</v>
      </c>
      <c r="N12" s="116" t="s">
        <v>166</v>
      </c>
      <c r="O12" s="126">
        <f>IF(P12=0,0,Q12/P12)</f>
        <v>0.1884615384615384</v>
      </c>
      <c r="P12" s="120">
        <v>26</v>
      </c>
      <c r="Q12" s="108">
        <v>4.8999999999999986</v>
      </c>
    </row>
    <row r="13" spans="1:17" x14ac:dyDescent="0.4">
      <c r="A13" s="58" t="s">
        <v>122</v>
      </c>
      <c r="B13" s="50">
        <v>126</v>
      </c>
      <c r="C13" s="44">
        <f>IF(B$3=0,0,B13/B$3)</f>
        <v>0.21989528795811519</v>
      </c>
      <c r="E13" s="63" t="s">
        <v>84</v>
      </c>
      <c r="F13" s="60" t="s">
        <v>39</v>
      </c>
      <c r="G13" s="47">
        <v>12</v>
      </c>
      <c r="H13" s="133">
        <f>IF(B$17=0,0,G13/B$17)</f>
        <v>5.8823529411764705E-2</v>
      </c>
      <c r="I13" s="94">
        <v>3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168</v>
      </c>
      <c r="C14" s="39">
        <f>IF(B$3=0,0,B14/B$3)</f>
        <v>0.29319371727748689</v>
      </c>
      <c r="E14" s="63" t="s">
        <v>87</v>
      </c>
      <c r="F14" s="60" t="s">
        <v>42</v>
      </c>
      <c r="G14" s="47">
        <v>8</v>
      </c>
      <c r="H14" s="133">
        <f>IF(B$17=0,0,G14/B$17)</f>
        <v>3.9215686274509803E-2</v>
      </c>
      <c r="I14" s="94">
        <v>8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69</v>
      </c>
      <c r="C15" s="37">
        <f>IF(B$13=0,0,B15/B$13)</f>
        <v>0.54761904761904767</v>
      </c>
      <c r="E15" s="63" t="s">
        <v>82</v>
      </c>
      <c r="F15" s="60" t="s">
        <v>37</v>
      </c>
      <c r="G15" s="47">
        <v>7</v>
      </c>
      <c r="H15" s="133">
        <f>IF(B$17=0,0,G15/B$17)</f>
        <v>3.4313725490196081E-2</v>
      </c>
      <c r="I15" s="94">
        <v>3</v>
      </c>
      <c r="K15" s="38">
        <v>13</v>
      </c>
      <c r="L15" s="99">
        <v>-3</v>
      </c>
      <c r="N15" s="114" t="s">
        <v>129</v>
      </c>
      <c r="O15" s="124">
        <f>IF(P15=0,0,Q15/P15)</f>
        <v>39.468749999999986</v>
      </c>
      <c r="P15" s="118">
        <v>16</v>
      </c>
      <c r="Q15" s="106">
        <v>631.49999999999977</v>
      </c>
    </row>
    <row r="16" spans="1:17" x14ac:dyDescent="0.4">
      <c r="A16" s="54" t="s">
        <v>125</v>
      </c>
      <c r="B16" s="46">
        <v>73</v>
      </c>
      <c r="C16" s="37">
        <f>IF(B$14=0,0,B16/B$14)</f>
        <v>0.43452380952380953</v>
      </c>
      <c r="E16" s="63" t="s">
        <v>80</v>
      </c>
      <c r="F16" s="60" t="s">
        <v>35</v>
      </c>
      <c r="G16" s="47">
        <v>3</v>
      </c>
      <c r="H16" s="133">
        <f>IF(B$17=0,0,G16/B$17)</f>
        <v>1.4705882352941176E-2</v>
      </c>
      <c r="I16" s="94">
        <v>7</v>
      </c>
      <c r="K16" s="38">
        <v>14</v>
      </c>
      <c r="L16" s="99">
        <v>-12.3</v>
      </c>
      <c r="N16" s="115" t="s">
        <v>225</v>
      </c>
      <c r="O16" s="125">
        <f>IF(P16=0,0,Q16/P16)</f>
        <v>30.3</v>
      </c>
      <c r="P16" s="119">
        <v>1</v>
      </c>
      <c r="Q16" s="107">
        <v>30.3</v>
      </c>
    </row>
    <row r="17" spans="1:17" x14ac:dyDescent="0.4">
      <c r="A17" s="54" t="s">
        <v>10</v>
      </c>
      <c r="B17" s="46">
        <f>B19+B18</f>
        <v>204</v>
      </c>
      <c r="C17" s="37">
        <f>IF(B$3=0,0,B17/B$3)</f>
        <v>0.35602094240837695</v>
      </c>
      <c r="E17" s="63" t="s">
        <v>79</v>
      </c>
      <c r="F17" s="60" t="s">
        <v>34</v>
      </c>
      <c r="G17" s="47">
        <v>2</v>
      </c>
      <c r="H17" s="133">
        <f>IF(B$17=0,0,G17/B$17)</f>
        <v>9.8039215686274508E-3</v>
      </c>
      <c r="I17" s="94">
        <v>10</v>
      </c>
      <c r="K17" s="38">
        <v>15</v>
      </c>
      <c r="L17" s="99">
        <v>-80.3</v>
      </c>
      <c r="N17" s="115" t="s">
        <v>186</v>
      </c>
      <c r="O17" s="125">
        <f>IF(P17=0,0,Q17/P17)</f>
        <v>17.349999999999998</v>
      </c>
      <c r="P17" s="119">
        <v>2</v>
      </c>
      <c r="Q17" s="107">
        <v>34.699999999999996</v>
      </c>
    </row>
    <row r="18" spans="1:17" x14ac:dyDescent="0.4">
      <c r="A18" s="55" t="s">
        <v>12</v>
      </c>
      <c r="B18" s="47">
        <v>87</v>
      </c>
      <c r="C18" s="39">
        <f>IF(B$17=0,0,B18/B$17)</f>
        <v>0.4264705882352941</v>
      </c>
      <c r="E18" s="63" t="s">
        <v>92</v>
      </c>
      <c r="F18" s="60" t="s">
        <v>47</v>
      </c>
      <c r="G18" s="47">
        <v>2</v>
      </c>
      <c r="H18" s="133">
        <f>IF(B$17=0,0,G18/B$17)</f>
        <v>9.8039215686274508E-3</v>
      </c>
      <c r="I18" s="94">
        <v>7</v>
      </c>
      <c r="K18" s="38">
        <v>16</v>
      </c>
      <c r="L18" s="99">
        <v>-87.6</v>
      </c>
      <c r="N18" s="115" t="s">
        <v>202</v>
      </c>
      <c r="O18" s="125">
        <f>IF(P18=0,0,Q18/P18)</f>
        <v>16.449999999999996</v>
      </c>
      <c r="P18" s="119">
        <v>4</v>
      </c>
      <c r="Q18" s="107">
        <v>65.799999999999983</v>
      </c>
    </row>
    <row r="19" spans="1:17" x14ac:dyDescent="0.4">
      <c r="A19" s="55" t="s">
        <v>11</v>
      </c>
      <c r="B19" s="47">
        <v>117</v>
      </c>
      <c r="C19" s="39">
        <f>IF(B$17=0,0,B19/B$17)</f>
        <v>0.57352941176470584</v>
      </c>
      <c r="E19" s="63" t="s">
        <v>74</v>
      </c>
      <c r="F19" s="60" t="s">
        <v>29</v>
      </c>
      <c r="G19" s="47">
        <v>1</v>
      </c>
      <c r="H19" s="133">
        <f>IF(B$17=0,0,G19/B$17)</f>
        <v>4.9019607843137254E-3</v>
      </c>
      <c r="I19" s="94">
        <v>7</v>
      </c>
      <c r="K19" s="38">
        <v>17</v>
      </c>
      <c r="L19" s="99">
        <v>-55.099999999999994</v>
      </c>
      <c r="N19" s="115" t="s">
        <v>173</v>
      </c>
      <c r="O19" s="125">
        <f>IF(P19=0,0,Q19/P19)</f>
        <v>6.6333333333333302</v>
      </c>
      <c r="P19" s="119">
        <v>12</v>
      </c>
      <c r="Q19" s="107">
        <v>79.599999999999966</v>
      </c>
    </row>
    <row r="20" spans="1:17" x14ac:dyDescent="0.4">
      <c r="A20" s="55" t="s">
        <v>13</v>
      </c>
      <c r="B20" s="47">
        <v>76</v>
      </c>
      <c r="C20" s="39">
        <f>IF(B$3=0,0,B20/B$3)</f>
        <v>0.13263525305410123</v>
      </c>
      <c r="E20" s="63" t="s">
        <v>75</v>
      </c>
      <c r="F20" s="60" t="s">
        <v>30</v>
      </c>
      <c r="G20" s="47">
        <v>1</v>
      </c>
      <c r="H20" s="133">
        <f>IF(B$17=0,0,G20/B$17)</f>
        <v>4.9019607843137254E-3</v>
      </c>
      <c r="I20" s="94">
        <v>4</v>
      </c>
      <c r="K20" s="38">
        <v>18</v>
      </c>
      <c r="L20" s="99">
        <v>-28.199999999999996</v>
      </c>
      <c r="N20" s="115" t="s">
        <v>177</v>
      </c>
      <c r="O20" s="125">
        <f>IF(P20=0,0,Q20/P20)</f>
        <v>5.1416666666666657</v>
      </c>
      <c r="P20" s="119">
        <v>12</v>
      </c>
      <c r="Q20" s="107">
        <v>61.699999999999989</v>
      </c>
    </row>
    <row r="21" spans="1:17" x14ac:dyDescent="0.4">
      <c r="A21" s="55" t="s">
        <v>193</v>
      </c>
      <c r="B21" s="47">
        <v>10</v>
      </c>
      <c r="C21" s="135">
        <v>0</v>
      </c>
      <c r="E21" s="63" t="s">
        <v>76</v>
      </c>
      <c r="F21" s="60" t="s">
        <v>31</v>
      </c>
      <c r="G21" s="47">
        <v>1</v>
      </c>
      <c r="H21" s="133">
        <f>IF(B$17=0,0,G21/B$17)</f>
        <v>4.9019607843137254E-3</v>
      </c>
      <c r="I21" s="94">
        <v>6</v>
      </c>
      <c r="K21" s="38">
        <v>19</v>
      </c>
      <c r="L21" s="99">
        <v>29.200000000000003</v>
      </c>
      <c r="N21" s="115" t="s">
        <v>128</v>
      </c>
      <c r="O21" s="125">
        <f>IF(P21=0,0,Q21/P21)</f>
        <v>-0.21290322580645182</v>
      </c>
      <c r="P21" s="119">
        <v>31</v>
      </c>
      <c r="Q21" s="107">
        <v>-6.6000000000000068</v>
      </c>
    </row>
    <row r="22" spans="1:17" x14ac:dyDescent="0.4">
      <c r="A22" s="55" t="s">
        <v>194</v>
      </c>
      <c r="B22" s="47">
        <v>23</v>
      </c>
      <c r="C22" s="135">
        <v>3</v>
      </c>
      <c r="E22" s="63" t="s">
        <v>88</v>
      </c>
      <c r="F22" s="60" t="s">
        <v>43</v>
      </c>
      <c r="G22" s="47">
        <v>1</v>
      </c>
      <c r="H22" s="133">
        <f>IF(B$17=0,0,G22/B$17)</f>
        <v>4.9019607843137254E-3</v>
      </c>
      <c r="I22" s="94">
        <v>4</v>
      </c>
      <c r="K22" s="38">
        <v>20</v>
      </c>
      <c r="L22" s="99">
        <v>43</v>
      </c>
      <c r="N22" s="115" t="s">
        <v>171</v>
      </c>
      <c r="O22" s="125">
        <f>IF(P22=0,0,Q22/P22)</f>
        <v>-4.6450000000000005</v>
      </c>
      <c r="P22" s="119">
        <v>20</v>
      </c>
      <c r="Q22" s="107">
        <v>-92.9</v>
      </c>
    </row>
    <row r="23" spans="1:17" x14ac:dyDescent="0.4">
      <c r="A23" s="55" t="s">
        <v>5</v>
      </c>
      <c r="B23" s="51">
        <f>IF(B$17=0,0,C23/B$17)</f>
        <v>6635.7843137254904</v>
      </c>
      <c r="C23" s="41">
        <v>1353700</v>
      </c>
      <c r="E23" s="63" t="s">
        <v>91</v>
      </c>
      <c r="F23" s="60" t="s">
        <v>46</v>
      </c>
      <c r="G23" s="47">
        <v>1</v>
      </c>
      <c r="H23" s="133">
        <f>IF(B$17=0,0,G23/B$17)</f>
        <v>4.9019607843137254E-3</v>
      </c>
      <c r="I23" s="94">
        <v>3</v>
      </c>
      <c r="K23" s="38">
        <v>21</v>
      </c>
      <c r="L23" s="99">
        <v>89.9</v>
      </c>
      <c r="N23" s="115" t="s">
        <v>127</v>
      </c>
      <c r="O23" s="125">
        <f>IF(P23=0,0,Q23/P23)</f>
        <v>-24.126470588235296</v>
      </c>
      <c r="P23" s="119">
        <v>34</v>
      </c>
      <c r="Q23" s="107">
        <v>-820.30000000000007</v>
      </c>
    </row>
    <row r="24" spans="1:17" x14ac:dyDescent="0.4">
      <c r="A24" s="57" t="s">
        <v>14</v>
      </c>
      <c r="B24" s="52">
        <f>IF(B$20=0,0,C24/B$20)</f>
        <v>-9127.6315789473683</v>
      </c>
      <c r="C24" s="45">
        <v>-693700</v>
      </c>
      <c r="E24" s="63" t="s">
        <v>77</v>
      </c>
      <c r="F24" s="60" t="s">
        <v>32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54.7</v>
      </c>
    </row>
    <row r="25" spans="1:17" x14ac:dyDescent="0.4">
      <c r="A25" s="90" t="s">
        <v>142</v>
      </c>
      <c r="B25" s="140">
        <v>7</v>
      </c>
      <c r="C25" s="141"/>
      <c r="E25" s="63" t="s">
        <v>78</v>
      </c>
      <c r="F25" s="60" t="s">
        <v>33</v>
      </c>
      <c r="G25" s="47">
        <v>0</v>
      </c>
      <c r="H25" s="133">
        <f>IF(B$17=0,0,G25/B$17)</f>
        <v>0</v>
      </c>
      <c r="I25" s="94">
        <v>5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38">
        <v>97500</v>
      </c>
      <c r="C26" s="139"/>
      <c r="E26" s="63" t="s">
        <v>81</v>
      </c>
      <c r="F26" s="60" t="s">
        <v>36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1.7452006980802793E-3</v>
      </c>
      <c r="E27" s="63" t="s">
        <v>83</v>
      </c>
      <c r="F27" s="60" t="s">
        <v>38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30.400000000000006</v>
      </c>
    </row>
    <row r="28" spans="1:17" x14ac:dyDescent="0.4">
      <c r="E28" s="63" t="s">
        <v>85</v>
      </c>
      <c r="F28" s="60" t="s">
        <v>40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32.900000000000006</v>
      </c>
    </row>
    <row r="29" spans="1:17" x14ac:dyDescent="0.4">
      <c r="E29" s="63" t="s">
        <v>86</v>
      </c>
      <c r="F29" s="60" t="s">
        <v>41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40.400000000000006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8.3000000000000043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90.800000000000011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6</v>
      </c>
      <c r="K32" s="38">
        <v>30</v>
      </c>
      <c r="L32" s="99">
        <v>63.300000000000011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114.4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76.900000000000006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30.000000000000007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  <c r="K40" s="38">
        <v>38</v>
      </c>
      <c r="L40" s="99">
        <v>32.100000000000009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111.4</v>
      </c>
    </row>
    <row r="51" spans="5:12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  <c r="K51" s="38">
        <v>49</v>
      </c>
      <c r="L51" s="99">
        <v>113</v>
      </c>
    </row>
    <row r="52" spans="5:12" x14ac:dyDescent="0.4"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  <row r="57" spans="5:12" x14ac:dyDescent="0.4">
      <c r="K57" s="38">
        <v>55</v>
      </c>
      <c r="L57" s="99">
        <v>34.699999999999989</v>
      </c>
    </row>
    <row r="58" spans="5:12" x14ac:dyDescent="0.4">
      <c r="K58" s="38">
        <v>56</v>
      </c>
      <c r="L58" s="99">
        <v>-8.0000000000000142</v>
      </c>
    </row>
    <row r="59" spans="5:12" x14ac:dyDescent="0.4">
      <c r="K59" s="38">
        <v>57</v>
      </c>
      <c r="L59" s="99">
        <v>-6.0000000000000142</v>
      </c>
    </row>
    <row r="60" spans="5:12" x14ac:dyDescent="0.4">
      <c r="K60" s="38">
        <v>58</v>
      </c>
      <c r="L60" s="99">
        <v>-0.40000000000001457</v>
      </c>
    </row>
    <row r="61" spans="5:12" x14ac:dyDescent="0.4">
      <c r="K61" s="38">
        <v>59</v>
      </c>
      <c r="L61" s="99">
        <v>21.999999999999986</v>
      </c>
    </row>
    <row r="62" spans="5:12" x14ac:dyDescent="0.4">
      <c r="K62" s="38">
        <v>60</v>
      </c>
      <c r="L62" s="99">
        <v>66.999999999999986</v>
      </c>
    </row>
    <row r="63" spans="5:12" x14ac:dyDescent="0.4">
      <c r="K63" s="38">
        <v>61</v>
      </c>
      <c r="L63" s="99">
        <v>39.799999999999983</v>
      </c>
    </row>
    <row r="64" spans="5:12" x14ac:dyDescent="0.4">
      <c r="K64" s="38">
        <v>62</v>
      </c>
      <c r="L64" s="99">
        <v>7.9999999999999822</v>
      </c>
    </row>
    <row r="65" spans="11:12" x14ac:dyDescent="0.4">
      <c r="K65" s="38">
        <v>63</v>
      </c>
      <c r="L65" s="99">
        <v>45.09999999999998</v>
      </c>
    </row>
    <row r="66" spans="11:12" x14ac:dyDescent="0.4">
      <c r="K66" s="38">
        <v>64</v>
      </c>
      <c r="L66" s="99">
        <v>45.899999999999977</v>
      </c>
    </row>
    <row r="67" spans="11:12" x14ac:dyDescent="0.4">
      <c r="K67" s="38">
        <v>65</v>
      </c>
      <c r="L67" s="99">
        <v>38.199999999999974</v>
      </c>
    </row>
    <row r="68" spans="11:12" x14ac:dyDescent="0.4">
      <c r="K68" s="38">
        <v>66</v>
      </c>
      <c r="L68" s="99">
        <v>-5.400000000000027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0DEEF-52E6-4F2E-B49C-FF449D3A2E8E}">
  <sheetPr codeName="Sheet1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173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44</v>
      </c>
      <c r="C2" s="147"/>
      <c r="E2" s="62" t="s">
        <v>67</v>
      </c>
      <c r="F2" s="59" t="s">
        <v>23</v>
      </c>
      <c r="G2" s="46">
        <v>77</v>
      </c>
      <c r="H2" s="132">
        <f>IF(B$17=0,0,G2/B$17)</f>
        <v>0.67543859649122806</v>
      </c>
      <c r="I2" s="93">
        <v>9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-3038.6363636363635</v>
      </c>
      <c r="P2" s="118">
        <v>44</v>
      </c>
      <c r="Q2" s="102">
        <v>-133700</v>
      </c>
    </row>
    <row r="3" spans="1:17" x14ac:dyDescent="0.4">
      <c r="A3" s="55" t="s">
        <v>8</v>
      </c>
      <c r="B3" s="148">
        <v>382</v>
      </c>
      <c r="C3" s="149"/>
      <c r="E3" s="63" t="s">
        <v>73</v>
      </c>
      <c r="F3" s="60" t="s">
        <v>28</v>
      </c>
      <c r="G3" s="47">
        <v>59</v>
      </c>
      <c r="H3" s="133">
        <f>IF(B$17=0,0,G3/B$17)</f>
        <v>0.51754385964912286</v>
      </c>
      <c r="I3" s="94">
        <v>7</v>
      </c>
      <c r="K3" s="38">
        <v>1</v>
      </c>
      <c r="L3" s="99">
        <v>-82.6</v>
      </c>
      <c r="N3" s="115" t="s">
        <v>133</v>
      </c>
      <c r="O3" s="122">
        <f t="shared" si="0"/>
        <v>2159.090909090909</v>
      </c>
      <c r="P3" s="119">
        <v>44</v>
      </c>
      <c r="Q3" s="103">
        <v>95000</v>
      </c>
    </row>
    <row r="4" spans="1:17" x14ac:dyDescent="0.4">
      <c r="A4" s="55" t="s">
        <v>6</v>
      </c>
      <c r="B4" s="150">
        <v>-262.59999999999997</v>
      </c>
      <c r="C4" s="151"/>
      <c r="E4" s="63" t="s">
        <v>65</v>
      </c>
      <c r="F4" s="60" t="s">
        <v>21</v>
      </c>
      <c r="G4" s="47">
        <v>50</v>
      </c>
      <c r="H4" s="133">
        <f>IF(B$17=0,0,G4/B$17)</f>
        <v>0.43859649122807015</v>
      </c>
      <c r="I4" s="94">
        <v>12</v>
      </c>
      <c r="K4" s="38">
        <v>2</v>
      </c>
      <c r="L4" s="99">
        <v>-122.3</v>
      </c>
      <c r="N4" s="115" t="s">
        <v>134</v>
      </c>
      <c r="O4" s="122">
        <f t="shared" si="0"/>
        <v>-738.09523809523807</v>
      </c>
      <c r="P4" s="119">
        <v>42</v>
      </c>
      <c r="Q4" s="103">
        <v>-31000</v>
      </c>
    </row>
    <row r="5" spans="1:17" x14ac:dyDescent="0.4">
      <c r="A5" s="55" t="s">
        <v>7</v>
      </c>
      <c r="B5" s="152">
        <f>IF(B$2=0,0,B$4/B$2)</f>
        <v>-5.9681818181818178</v>
      </c>
      <c r="C5" s="153"/>
      <c r="E5" s="63" t="s">
        <v>181</v>
      </c>
      <c r="F5" s="60" t="s">
        <v>182</v>
      </c>
      <c r="G5" s="47">
        <v>45</v>
      </c>
      <c r="H5" s="133">
        <f>IF(B$17=0,0,G5/B$17)</f>
        <v>0.39473684210526316</v>
      </c>
      <c r="I5" s="94">
        <v>8</v>
      </c>
      <c r="K5" s="38">
        <v>3</v>
      </c>
      <c r="L5" s="99">
        <v>-149</v>
      </c>
      <c r="N5" s="115" t="s">
        <v>135</v>
      </c>
      <c r="O5" s="122">
        <f t="shared" si="0"/>
        <v>-3689.7435897435898</v>
      </c>
      <c r="P5" s="119">
        <v>39</v>
      </c>
      <c r="Q5" s="103">
        <v>-143900</v>
      </c>
    </row>
    <row r="6" spans="1:17" x14ac:dyDescent="0.4">
      <c r="A6" s="55" t="s">
        <v>1</v>
      </c>
      <c r="B6" s="142">
        <f>IF(B$2=0,0,(B$7*1+B$8*2+B$9*3)/B$2)</f>
        <v>2.0681818181818183</v>
      </c>
      <c r="C6" s="143"/>
      <c r="E6" s="63" t="s">
        <v>69</v>
      </c>
      <c r="F6" s="60" t="s">
        <v>12</v>
      </c>
      <c r="G6" s="47">
        <v>44</v>
      </c>
      <c r="H6" s="133">
        <f>IF(B$17=0,0,G6/B$17)</f>
        <v>0.38596491228070173</v>
      </c>
      <c r="I6" s="94">
        <v>4</v>
      </c>
      <c r="K6" s="38">
        <v>4</v>
      </c>
      <c r="L6" s="99">
        <v>-150.6</v>
      </c>
      <c r="N6" s="115" t="s">
        <v>136</v>
      </c>
      <c r="O6" s="122">
        <f t="shared" si="0"/>
        <v>-128.57142857142858</v>
      </c>
      <c r="P6" s="119">
        <v>35</v>
      </c>
      <c r="Q6" s="103">
        <v>-4500</v>
      </c>
    </row>
    <row r="7" spans="1:17" x14ac:dyDescent="0.4">
      <c r="A7" s="55" t="s">
        <v>2</v>
      </c>
      <c r="B7" s="47">
        <v>13</v>
      </c>
      <c r="C7" s="39">
        <f>IF(B$2=0,0,B7/B$2)</f>
        <v>0.29545454545454547</v>
      </c>
      <c r="E7" s="63" t="s">
        <v>68</v>
      </c>
      <c r="F7" s="60" t="s">
        <v>24</v>
      </c>
      <c r="G7" s="47">
        <v>28</v>
      </c>
      <c r="H7" s="133">
        <f>IF(B$17=0,0,G7/B$17)</f>
        <v>0.24561403508771928</v>
      </c>
      <c r="I7" s="94">
        <v>11</v>
      </c>
      <c r="K7" s="38">
        <v>5</v>
      </c>
      <c r="L7" s="99">
        <v>-184.89999999999998</v>
      </c>
      <c r="N7" s="116" t="s">
        <v>137</v>
      </c>
      <c r="O7" s="123">
        <f t="shared" si="0"/>
        <v>632.35294117647061</v>
      </c>
      <c r="P7" s="120">
        <v>34</v>
      </c>
      <c r="Q7" s="104">
        <v>21500</v>
      </c>
    </row>
    <row r="8" spans="1:17" x14ac:dyDescent="0.4">
      <c r="A8" s="55" t="s">
        <v>3</v>
      </c>
      <c r="B8" s="47">
        <v>15</v>
      </c>
      <c r="C8" s="39">
        <f>IF(B$2=0,0,B8/B$2)</f>
        <v>0.34090909090909088</v>
      </c>
      <c r="E8" s="63" t="s">
        <v>71</v>
      </c>
      <c r="F8" s="60" t="s">
        <v>26</v>
      </c>
      <c r="G8" s="47">
        <v>14</v>
      </c>
      <c r="H8" s="133">
        <f>IF(B$17=0,0,G8/B$17)</f>
        <v>0.12280701754385964</v>
      </c>
      <c r="I8" s="94">
        <v>2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16</v>
      </c>
      <c r="C9" s="40">
        <f t="shared" ref="C9" si="1">IF(B$2=0,0,B9/B$2)</f>
        <v>0.36363636363636365</v>
      </c>
      <c r="E9" s="63" t="s">
        <v>90</v>
      </c>
      <c r="F9" s="60" t="s">
        <v>45</v>
      </c>
      <c r="G9" s="47">
        <v>14</v>
      </c>
      <c r="H9" s="133">
        <f>IF(B$17=0,0,G9/B$17)</f>
        <v>0.12280701754385964</v>
      </c>
      <c r="I9" s="94">
        <v>8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0.11363636363636363</v>
      </c>
      <c r="E10" s="63" t="s">
        <v>70</v>
      </c>
      <c r="F10" s="60" t="s">
        <v>25</v>
      </c>
      <c r="G10" s="47">
        <v>13</v>
      </c>
      <c r="H10" s="133">
        <f>IF(B$17=0,0,G10/B$17)</f>
        <v>0.11403508771929824</v>
      </c>
      <c r="I10" s="94">
        <v>11</v>
      </c>
      <c r="K10" s="38">
        <v>8</v>
      </c>
      <c r="L10" s="99">
        <v>-219.59999999999997</v>
      </c>
      <c r="N10" s="114" t="s">
        <v>164</v>
      </c>
      <c r="O10" s="124">
        <f>IF(P10=0,0,Q10/P10)</f>
        <v>-3.9</v>
      </c>
      <c r="P10" s="118">
        <v>11</v>
      </c>
      <c r="Q10" s="106">
        <v>-42.9</v>
      </c>
    </row>
    <row r="11" spans="1:17" x14ac:dyDescent="0.4">
      <c r="A11" s="56" t="s">
        <v>140</v>
      </c>
      <c r="B11" s="48">
        <v>3</v>
      </c>
      <c r="C11" s="40">
        <f>IF(B$2=0,0,B11/B$2)</f>
        <v>6.8181818181818177E-2</v>
      </c>
      <c r="E11" s="63" t="s">
        <v>66</v>
      </c>
      <c r="F11" s="60" t="s">
        <v>22</v>
      </c>
      <c r="G11" s="47">
        <v>9</v>
      </c>
      <c r="H11" s="133">
        <f>IF(B$17=0,0,G11/B$17)</f>
        <v>7.8947368421052627E-2</v>
      </c>
      <c r="I11" s="94">
        <v>8</v>
      </c>
      <c r="K11" s="38">
        <v>9</v>
      </c>
      <c r="L11" s="99">
        <v>-260.59999999999997</v>
      </c>
      <c r="N11" s="115" t="s">
        <v>165</v>
      </c>
      <c r="O11" s="125">
        <f>IF(P11=0,0,Q11/P11)</f>
        <v>-4.9333333333333327</v>
      </c>
      <c r="P11" s="119">
        <v>21</v>
      </c>
      <c r="Q11" s="107">
        <v>-103.6</v>
      </c>
    </row>
    <row r="12" spans="1:17" x14ac:dyDescent="0.4">
      <c r="A12" s="57" t="s">
        <v>160</v>
      </c>
      <c r="B12" s="49">
        <v>2</v>
      </c>
      <c r="C12" s="42">
        <f>IF(B$2=0,0,B12/B$2)</f>
        <v>4.5454545454545456E-2</v>
      </c>
      <c r="E12" s="63" t="s">
        <v>72</v>
      </c>
      <c r="F12" s="60" t="s">
        <v>27</v>
      </c>
      <c r="G12" s="47">
        <v>6</v>
      </c>
      <c r="H12" s="133">
        <f>IF(B$17=0,0,G12/B$17)</f>
        <v>5.2631578947368418E-2</v>
      </c>
      <c r="I12" s="94">
        <v>9</v>
      </c>
      <c r="K12" s="38">
        <v>10</v>
      </c>
      <c r="L12" s="99">
        <v>-318.39999999999998</v>
      </c>
      <c r="N12" s="116" t="s">
        <v>166</v>
      </c>
      <c r="O12" s="126">
        <f>IF(P12=0,0,Q12/P12)</f>
        <v>-9.6749999999999989</v>
      </c>
      <c r="P12" s="120">
        <v>12</v>
      </c>
      <c r="Q12" s="108">
        <v>-116.1</v>
      </c>
    </row>
    <row r="13" spans="1:17" x14ac:dyDescent="0.4">
      <c r="A13" s="58" t="s">
        <v>122</v>
      </c>
      <c r="B13" s="50">
        <v>88</v>
      </c>
      <c r="C13" s="44">
        <f>IF(B$3=0,0,B13/B$3)</f>
        <v>0.23036649214659685</v>
      </c>
      <c r="E13" s="63" t="s">
        <v>87</v>
      </c>
      <c r="F13" s="60" t="s">
        <v>42</v>
      </c>
      <c r="G13" s="47">
        <v>4</v>
      </c>
      <c r="H13" s="133">
        <f>IF(B$17=0,0,G13/B$17)</f>
        <v>3.5087719298245612E-2</v>
      </c>
      <c r="I13" s="94">
        <v>9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98</v>
      </c>
      <c r="C14" s="39">
        <f>IF(B$3=0,0,B14/B$3)</f>
        <v>0.25654450261780104</v>
      </c>
      <c r="E14" s="63" t="s">
        <v>74</v>
      </c>
      <c r="F14" s="60" t="s">
        <v>29</v>
      </c>
      <c r="G14" s="47">
        <v>2</v>
      </c>
      <c r="H14" s="133">
        <f>IF(B$17=0,0,G14/B$17)</f>
        <v>1.7543859649122806E-2</v>
      </c>
      <c r="I14" s="94">
        <v>2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52</v>
      </c>
      <c r="C15" s="37">
        <f>IF(B$13=0,0,B15/B$13)</f>
        <v>0.59090909090909094</v>
      </c>
      <c r="E15" s="63" t="s">
        <v>79</v>
      </c>
      <c r="F15" s="60" t="s">
        <v>34</v>
      </c>
      <c r="G15" s="47">
        <v>2</v>
      </c>
      <c r="H15" s="133">
        <f>IF(B$17=0,0,G15/B$17)</f>
        <v>1.7543859649122806E-2</v>
      </c>
      <c r="I15" s="94">
        <v>8</v>
      </c>
      <c r="K15" s="38">
        <v>13</v>
      </c>
      <c r="L15" s="99">
        <v>-302.59999999999997</v>
      </c>
      <c r="N15" s="114" t="s">
        <v>129</v>
      </c>
      <c r="O15" s="124">
        <f>IF(P15=0,0,Q15/P15)</f>
        <v>21.862500000000001</v>
      </c>
      <c r="P15" s="118">
        <v>8</v>
      </c>
      <c r="Q15" s="106">
        <v>174.9</v>
      </c>
    </row>
    <row r="16" spans="1:17" x14ac:dyDescent="0.4">
      <c r="A16" s="54" t="s">
        <v>125</v>
      </c>
      <c r="B16" s="46">
        <v>33</v>
      </c>
      <c r="C16" s="37">
        <f>IF(B$14=0,0,B16/B$14)</f>
        <v>0.33673469387755101</v>
      </c>
      <c r="E16" s="63" t="s">
        <v>80</v>
      </c>
      <c r="F16" s="60" t="s">
        <v>35</v>
      </c>
      <c r="G16" s="47">
        <v>2</v>
      </c>
      <c r="H16" s="133">
        <f>IF(B$17=0,0,G16/B$17)</f>
        <v>1.7543859649122806E-2</v>
      </c>
      <c r="I16" s="94">
        <v>3</v>
      </c>
      <c r="K16" s="38">
        <v>14</v>
      </c>
      <c r="L16" s="99">
        <v>-269.99999999999994</v>
      </c>
      <c r="N16" s="115" t="s">
        <v>128</v>
      </c>
      <c r="O16" s="125">
        <f>IF(P16=0,0,Q16/P16)</f>
        <v>-2.7285714285714269</v>
      </c>
      <c r="P16" s="119">
        <v>21</v>
      </c>
      <c r="Q16" s="107">
        <v>-57.299999999999969</v>
      </c>
    </row>
    <row r="17" spans="1:17" x14ac:dyDescent="0.4">
      <c r="A17" s="54" t="s">
        <v>10</v>
      </c>
      <c r="B17" s="46">
        <f>B19+B18</f>
        <v>114</v>
      </c>
      <c r="C17" s="37">
        <f>IF(B$3=0,0,B17/B$3)</f>
        <v>0.29842931937172773</v>
      </c>
      <c r="E17" s="63" t="s">
        <v>84</v>
      </c>
      <c r="F17" s="60" t="s">
        <v>39</v>
      </c>
      <c r="G17" s="47">
        <v>2</v>
      </c>
      <c r="H17" s="133">
        <f>IF(B$17=0,0,G17/B$17)</f>
        <v>1.7543859649122806E-2</v>
      </c>
      <c r="I17" s="94">
        <v>11</v>
      </c>
      <c r="K17" s="38">
        <v>15</v>
      </c>
      <c r="L17" s="99">
        <v>-264.59999999999997</v>
      </c>
      <c r="N17" s="115" t="s">
        <v>172</v>
      </c>
      <c r="O17" s="125">
        <f>IF(P17=0,0,Q17/P17)</f>
        <v>-6.633333333333332</v>
      </c>
      <c r="P17" s="119">
        <v>12</v>
      </c>
      <c r="Q17" s="107">
        <v>-79.59999999999998</v>
      </c>
    </row>
    <row r="18" spans="1:17" x14ac:dyDescent="0.4">
      <c r="A18" s="55" t="s">
        <v>12</v>
      </c>
      <c r="B18" s="47">
        <v>58</v>
      </c>
      <c r="C18" s="39">
        <f>IF(B$17=0,0,B18/B$17)</f>
        <v>0.50877192982456143</v>
      </c>
      <c r="E18" s="63" t="s">
        <v>92</v>
      </c>
      <c r="F18" s="60" t="s">
        <v>47</v>
      </c>
      <c r="G18" s="47">
        <v>2</v>
      </c>
      <c r="H18" s="133">
        <f>IF(B$17=0,0,G18/B$17)</f>
        <v>1.7543859649122806E-2</v>
      </c>
      <c r="I18" s="94">
        <v>6</v>
      </c>
      <c r="K18" s="38">
        <v>16</v>
      </c>
      <c r="L18" s="99">
        <v>-292.79999999999995</v>
      </c>
      <c r="N18" s="115" t="s">
        <v>177</v>
      </c>
      <c r="O18" s="125">
        <f>IF(P18=0,0,Q18/P18)</f>
        <v>-10.050000000000001</v>
      </c>
      <c r="P18" s="119">
        <v>6</v>
      </c>
      <c r="Q18" s="107">
        <v>-60.300000000000004</v>
      </c>
    </row>
    <row r="19" spans="1:17" x14ac:dyDescent="0.4">
      <c r="A19" s="55" t="s">
        <v>11</v>
      </c>
      <c r="B19" s="47">
        <v>56</v>
      </c>
      <c r="C19" s="39">
        <f>IF(B$17=0,0,B19/B$17)</f>
        <v>0.49122807017543857</v>
      </c>
      <c r="E19" s="63" t="s">
        <v>180</v>
      </c>
      <c r="F19" s="60" t="s">
        <v>183</v>
      </c>
      <c r="G19" s="47">
        <v>2</v>
      </c>
      <c r="H19" s="133">
        <f>IF(B$17=0,0,G19/B$17)</f>
        <v>1.7543859649122806E-2</v>
      </c>
      <c r="I19" s="94">
        <v>4</v>
      </c>
      <c r="K19" s="38">
        <v>17</v>
      </c>
      <c r="L19" s="99">
        <v>-248.89999999999995</v>
      </c>
      <c r="N19" s="115" t="s">
        <v>171</v>
      </c>
      <c r="O19" s="125">
        <f>IF(P19=0,0,Q19/P19)</f>
        <v>-11.647058823529409</v>
      </c>
      <c r="P19" s="119">
        <v>17</v>
      </c>
      <c r="Q19" s="107">
        <v>-197.99999999999997</v>
      </c>
    </row>
    <row r="20" spans="1:17" x14ac:dyDescent="0.4">
      <c r="A20" s="55" t="s">
        <v>13</v>
      </c>
      <c r="B20" s="47">
        <v>71</v>
      </c>
      <c r="C20" s="39">
        <f>IF(B$3=0,0,B20/B$3)</f>
        <v>0.18586387434554974</v>
      </c>
      <c r="E20" s="63" t="s">
        <v>88</v>
      </c>
      <c r="F20" s="60" t="s">
        <v>43</v>
      </c>
      <c r="G20" s="47">
        <v>1</v>
      </c>
      <c r="H20" s="133">
        <f>IF(B$17=0,0,G20/B$17)</f>
        <v>8.771929824561403E-3</v>
      </c>
      <c r="I20" s="94">
        <v>2</v>
      </c>
      <c r="K20" s="38">
        <v>18</v>
      </c>
      <c r="L20" s="99">
        <v>-218.99999999999994</v>
      </c>
      <c r="N20" s="115" t="s">
        <v>127</v>
      </c>
      <c r="O20" s="125">
        <f>IF(P20=0,0,Q20/P20)</f>
        <v>-21.768181818181816</v>
      </c>
      <c r="P20" s="119">
        <v>22</v>
      </c>
      <c r="Q20" s="107">
        <v>-478.9</v>
      </c>
    </row>
    <row r="21" spans="1:17" x14ac:dyDescent="0.4">
      <c r="A21" s="55" t="s">
        <v>193</v>
      </c>
      <c r="B21" s="47">
        <v>4</v>
      </c>
      <c r="C21" s="135">
        <v>1</v>
      </c>
      <c r="E21" s="63" t="s">
        <v>75</v>
      </c>
      <c r="F21" s="60" t="s">
        <v>30</v>
      </c>
      <c r="G21" s="47">
        <v>0</v>
      </c>
      <c r="H21" s="133">
        <f>IF(B$17=0,0,G21/B$17)</f>
        <v>0</v>
      </c>
      <c r="I21" s="94">
        <v>6</v>
      </c>
      <c r="K21" s="38">
        <v>19</v>
      </c>
      <c r="L21" s="99">
        <v>-188.59999999999994</v>
      </c>
      <c r="N21" s="115" t="s">
        <v>202</v>
      </c>
      <c r="O21" s="125">
        <f>IF(P21=0,0,Q21/P21)</f>
        <v>-43.1</v>
      </c>
      <c r="P21" s="119">
        <v>1</v>
      </c>
      <c r="Q21" s="107">
        <v>-43.1</v>
      </c>
    </row>
    <row r="22" spans="1:17" x14ac:dyDescent="0.4">
      <c r="A22" s="55" t="s">
        <v>194</v>
      </c>
      <c r="B22" s="47">
        <v>24</v>
      </c>
      <c r="C22" s="135">
        <v>6</v>
      </c>
      <c r="E22" s="63" t="s">
        <v>76</v>
      </c>
      <c r="F22" s="60" t="s">
        <v>31</v>
      </c>
      <c r="G22" s="47">
        <v>0</v>
      </c>
      <c r="H22" s="133">
        <f>IF(B$17=0,0,G22/B$17)</f>
        <v>0</v>
      </c>
      <c r="I22" s="94">
        <v>8</v>
      </c>
      <c r="K22" s="38">
        <v>20</v>
      </c>
      <c r="L22" s="99">
        <v>-182.79999999999993</v>
      </c>
      <c r="N22" s="115" t="s">
        <v>185</v>
      </c>
      <c r="O22" s="125">
        <f>IF(P22=0,0,Q22/P22)</f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6998.2456140350878</v>
      </c>
      <c r="C23" s="41">
        <v>797800</v>
      </c>
      <c r="E23" s="63" t="s">
        <v>77</v>
      </c>
      <c r="F23" s="60" t="s">
        <v>32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-203.79999999999993</v>
      </c>
    </row>
    <row r="24" spans="1:17" x14ac:dyDescent="0.4">
      <c r="A24" s="57" t="s">
        <v>14</v>
      </c>
      <c r="B24" s="52">
        <f>IF(B$20=0,0,C24/B$20)</f>
        <v>-7866.1971830985913</v>
      </c>
      <c r="C24" s="45">
        <v>-558500</v>
      </c>
      <c r="E24" s="63" t="s">
        <v>78</v>
      </c>
      <c r="F24" s="60" t="s">
        <v>33</v>
      </c>
      <c r="G24" s="47">
        <v>0</v>
      </c>
      <c r="H24" s="133">
        <f>IF(B$17=0,0,G24/B$17)</f>
        <v>0</v>
      </c>
      <c r="I24" s="94">
        <v>5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0">
        <v>6</v>
      </c>
      <c r="C25" s="141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38">
        <v>85900</v>
      </c>
      <c r="C26" s="139"/>
      <c r="E26" s="63" t="s">
        <v>82</v>
      </c>
      <c r="F26" s="60" t="s">
        <v>37</v>
      </c>
      <c r="G26" s="47">
        <v>0</v>
      </c>
      <c r="H26" s="133">
        <f>IF(B$17=0,0,G26/B$17)</f>
        <v>0</v>
      </c>
      <c r="I26" s="94">
        <v>10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5.235602094240838E-3</v>
      </c>
      <c r="E27" s="63" t="s">
        <v>83</v>
      </c>
      <c r="F27" s="60" t="s">
        <v>38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-344.29999999999995</v>
      </c>
    </row>
    <row r="28" spans="1:17" x14ac:dyDescent="0.4">
      <c r="E28" s="63" t="s">
        <v>85</v>
      </c>
      <c r="F28" s="60" t="s">
        <v>40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-285.09999999999997</v>
      </c>
    </row>
    <row r="29" spans="1:17" x14ac:dyDescent="0.4">
      <c r="E29" s="63" t="s">
        <v>86</v>
      </c>
      <c r="F29" s="60" t="s">
        <v>41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-257.39999999999998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-248.2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-177.29999999999998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6</v>
      </c>
      <c r="K32" s="38">
        <v>30</v>
      </c>
      <c r="L32" s="99">
        <v>-202.79999999999998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6</v>
      </c>
      <c r="K33" s="38">
        <v>31</v>
      </c>
      <c r="L33" s="99">
        <v>-226.29999999999998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-194.1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-234.4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-223.9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-279.89999999999998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-303.59999999999997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-338.7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-289.7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-262.59999999999997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304C5-73AB-4CFF-9CED-74AD6439E141}">
  <sheetPr codeName="Sheet19"/>
  <dimension ref="A1:Q53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51</v>
      </c>
      <c r="C2" s="147"/>
      <c r="E2" s="62" t="s">
        <v>65</v>
      </c>
      <c r="F2" s="59" t="s">
        <v>21</v>
      </c>
      <c r="G2" s="46">
        <v>73</v>
      </c>
      <c r="H2" s="132">
        <f>IF(B$17=0,0,G2/B$17)</f>
        <v>0.58870967741935487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327.45098039215685</v>
      </c>
      <c r="P2" s="118">
        <v>51</v>
      </c>
      <c r="Q2" s="102">
        <v>16700</v>
      </c>
    </row>
    <row r="3" spans="1:17" x14ac:dyDescent="0.4">
      <c r="A3" s="55" t="s">
        <v>8</v>
      </c>
      <c r="B3" s="148">
        <v>415</v>
      </c>
      <c r="C3" s="149"/>
      <c r="E3" s="63" t="s">
        <v>67</v>
      </c>
      <c r="F3" s="60" t="s">
        <v>23</v>
      </c>
      <c r="G3" s="47">
        <v>71</v>
      </c>
      <c r="H3" s="133">
        <f>IF(B$17=0,0,G3/B$17)</f>
        <v>0.57258064516129037</v>
      </c>
      <c r="I3" s="94">
        <v>12</v>
      </c>
      <c r="K3" s="38">
        <v>1</v>
      </c>
      <c r="L3" s="99">
        <v>-1.9</v>
      </c>
      <c r="N3" s="115" t="s">
        <v>133</v>
      </c>
      <c r="O3" s="122">
        <f t="shared" si="0"/>
        <v>908.33333333333337</v>
      </c>
      <c r="P3" s="119">
        <v>48</v>
      </c>
      <c r="Q3" s="103">
        <v>43600</v>
      </c>
    </row>
    <row r="4" spans="1:17" x14ac:dyDescent="0.4">
      <c r="A4" s="55" t="s">
        <v>6</v>
      </c>
      <c r="B4" s="150">
        <v>20.999999999999993</v>
      </c>
      <c r="C4" s="151"/>
      <c r="E4" s="63" t="s">
        <v>73</v>
      </c>
      <c r="F4" s="60" t="s">
        <v>28</v>
      </c>
      <c r="G4" s="47">
        <v>56</v>
      </c>
      <c r="H4" s="133">
        <f>IF(B$17=0,0,G4/B$17)</f>
        <v>0.45161290322580644</v>
      </c>
      <c r="I4" s="94">
        <v>11</v>
      </c>
      <c r="K4" s="38">
        <v>2</v>
      </c>
      <c r="L4" s="99">
        <v>30</v>
      </c>
      <c r="N4" s="115" t="s">
        <v>134</v>
      </c>
      <c r="O4" s="122">
        <f t="shared" si="0"/>
        <v>-1147.7272727272727</v>
      </c>
      <c r="P4" s="119">
        <v>44</v>
      </c>
      <c r="Q4" s="103">
        <v>-50500</v>
      </c>
    </row>
    <row r="5" spans="1:17" x14ac:dyDescent="0.4">
      <c r="A5" s="55" t="s">
        <v>7</v>
      </c>
      <c r="B5" s="152">
        <f>IF(B$2=0,0,B$4/B$2)</f>
        <v>0.41176470588235281</v>
      </c>
      <c r="C5" s="153"/>
      <c r="E5" s="63" t="s">
        <v>181</v>
      </c>
      <c r="F5" s="60" t="s">
        <v>182</v>
      </c>
      <c r="G5" s="47">
        <v>51</v>
      </c>
      <c r="H5" s="133">
        <f>IF(B$17=0,0,G5/B$17)</f>
        <v>0.41129032258064518</v>
      </c>
      <c r="I5" s="94">
        <v>5</v>
      </c>
      <c r="K5" s="38">
        <v>3</v>
      </c>
      <c r="L5" s="99">
        <v>-10</v>
      </c>
      <c r="N5" s="115" t="s">
        <v>135</v>
      </c>
      <c r="O5" s="122">
        <f t="shared" si="0"/>
        <v>1418.6046511627908</v>
      </c>
      <c r="P5" s="119">
        <v>43</v>
      </c>
      <c r="Q5" s="103">
        <v>61000</v>
      </c>
    </row>
    <row r="6" spans="1:17" x14ac:dyDescent="0.4">
      <c r="A6" s="55" t="s">
        <v>1</v>
      </c>
      <c r="B6" s="142">
        <f>IF(B$2=0,0,(B$7*1+B$8*2+B$9*3)/B$2)</f>
        <v>1.9607843137254901</v>
      </c>
      <c r="C6" s="143"/>
      <c r="E6" s="63" t="s">
        <v>68</v>
      </c>
      <c r="F6" s="60" t="s">
        <v>24</v>
      </c>
      <c r="G6" s="47">
        <v>44</v>
      </c>
      <c r="H6" s="133">
        <f>IF(B$17=0,0,G6/B$17)</f>
        <v>0.35483870967741937</v>
      </c>
      <c r="I6" s="94">
        <v>7</v>
      </c>
      <c r="K6" s="38">
        <v>4</v>
      </c>
      <c r="L6" s="99">
        <v>40</v>
      </c>
      <c r="N6" s="115" t="s">
        <v>136</v>
      </c>
      <c r="O6" s="122">
        <f t="shared" si="0"/>
        <v>-1741.0256410256411</v>
      </c>
      <c r="P6" s="119">
        <v>39</v>
      </c>
      <c r="Q6" s="103">
        <v>-67900</v>
      </c>
    </row>
    <row r="7" spans="1:17" x14ac:dyDescent="0.4">
      <c r="A7" s="55" t="s">
        <v>2</v>
      </c>
      <c r="B7" s="47">
        <v>19</v>
      </c>
      <c r="C7" s="39">
        <f>IF(B$2=0,0,B7/B$2)</f>
        <v>0.37254901960784315</v>
      </c>
      <c r="E7" s="63" t="s">
        <v>69</v>
      </c>
      <c r="F7" s="60" t="s">
        <v>12</v>
      </c>
      <c r="G7" s="47">
        <v>38</v>
      </c>
      <c r="H7" s="133">
        <f>IF(B$17=0,0,G7/B$17)</f>
        <v>0.30645161290322581</v>
      </c>
      <c r="I7" s="94">
        <v>9</v>
      </c>
      <c r="K7" s="38">
        <v>5</v>
      </c>
      <c r="L7" s="99">
        <v>35.4</v>
      </c>
      <c r="N7" s="116" t="s">
        <v>137</v>
      </c>
      <c r="O7" s="123">
        <f t="shared" si="0"/>
        <v>571.875</v>
      </c>
      <c r="P7" s="120">
        <v>32</v>
      </c>
      <c r="Q7" s="104">
        <v>18300</v>
      </c>
    </row>
    <row r="8" spans="1:17" x14ac:dyDescent="0.4">
      <c r="A8" s="55" t="s">
        <v>3</v>
      </c>
      <c r="B8" s="47">
        <v>15</v>
      </c>
      <c r="C8" s="39">
        <f>IF(B$2=0,0,B8/B$2)</f>
        <v>0.29411764705882354</v>
      </c>
      <c r="E8" s="63" t="s">
        <v>70</v>
      </c>
      <c r="F8" s="60" t="s">
        <v>25</v>
      </c>
      <c r="G8" s="47">
        <v>21</v>
      </c>
      <c r="H8" s="133">
        <f>IF(B$17=0,0,G8/B$17)</f>
        <v>0.16935483870967741</v>
      </c>
      <c r="I8" s="94">
        <v>8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17</v>
      </c>
      <c r="C9" s="40">
        <f t="shared" ref="C9" si="1">IF(B$2=0,0,B9/B$2)</f>
        <v>0.33333333333333331</v>
      </c>
      <c r="E9" s="63" t="s">
        <v>66</v>
      </c>
      <c r="F9" s="60" t="s">
        <v>22</v>
      </c>
      <c r="G9" s="47">
        <v>15</v>
      </c>
      <c r="H9" s="133">
        <f>IF(B$17=0,0,G9/B$17)</f>
        <v>0.12096774193548387</v>
      </c>
      <c r="I9" s="94">
        <v>5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9</v>
      </c>
      <c r="C10" s="40">
        <f>IF(B$2=0,0,B10/B$2)</f>
        <v>0.17647058823529413</v>
      </c>
      <c r="E10" s="63" t="s">
        <v>90</v>
      </c>
      <c r="F10" s="60" t="s">
        <v>45</v>
      </c>
      <c r="G10" s="47">
        <v>13</v>
      </c>
      <c r="H10" s="133">
        <f>IF(B$17=0,0,G10/B$17)</f>
        <v>0.10483870967741936</v>
      </c>
      <c r="I10" s="94">
        <v>9</v>
      </c>
      <c r="K10" s="38">
        <v>8</v>
      </c>
      <c r="L10" s="99">
        <v>-87.1</v>
      </c>
      <c r="N10" s="114" t="s">
        <v>164</v>
      </c>
      <c r="O10" s="124">
        <f>IF(P10=0,0,Q10/P10)</f>
        <v>-0.67142857142857204</v>
      </c>
      <c r="P10" s="118">
        <v>14</v>
      </c>
      <c r="Q10" s="106">
        <v>-9.4000000000000092</v>
      </c>
    </row>
    <row r="11" spans="1:17" x14ac:dyDescent="0.4">
      <c r="A11" s="56" t="s">
        <v>140</v>
      </c>
      <c r="B11" s="48">
        <v>5</v>
      </c>
      <c r="C11" s="40">
        <f>IF(B$2=0,0,B11/B$2)</f>
        <v>9.8039215686274508E-2</v>
      </c>
      <c r="E11" s="63" t="s">
        <v>71</v>
      </c>
      <c r="F11" s="60" t="s">
        <v>26</v>
      </c>
      <c r="G11" s="47">
        <v>8</v>
      </c>
      <c r="H11" s="133">
        <f>IF(B$17=0,0,G11/B$17)</f>
        <v>6.4516129032258063E-2</v>
      </c>
      <c r="I11" s="94">
        <v>8</v>
      </c>
      <c r="K11" s="38">
        <v>9</v>
      </c>
      <c r="L11" s="99">
        <v>-128.6</v>
      </c>
      <c r="N11" s="115" t="s">
        <v>165</v>
      </c>
      <c r="O11" s="125">
        <f>IF(P11=0,0,Q11/P11)</f>
        <v>5.5473684210526315</v>
      </c>
      <c r="P11" s="119">
        <v>19</v>
      </c>
      <c r="Q11" s="107">
        <v>105.39999999999999</v>
      </c>
    </row>
    <row r="12" spans="1:17" x14ac:dyDescent="0.4">
      <c r="A12" s="57" t="s">
        <v>160</v>
      </c>
      <c r="B12" s="49">
        <v>5</v>
      </c>
      <c r="C12" s="42">
        <f>IF(B$2=0,0,B12/B$2)</f>
        <v>9.8039215686274508E-2</v>
      </c>
      <c r="E12" s="63" t="s">
        <v>72</v>
      </c>
      <c r="F12" s="60" t="s">
        <v>27</v>
      </c>
      <c r="G12" s="47">
        <v>6</v>
      </c>
      <c r="H12" s="133">
        <f>IF(B$17=0,0,G12/B$17)</f>
        <v>4.8387096774193547E-2</v>
      </c>
      <c r="I12" s="94">
        <v>10</v>
      </c>
      <c r="K12" s="38">
        <v>10</v>
      </c>
      <c r="L12" s="99">
        <v>-183.7</v>
      </c>
      <c r="N12" s="116" t="s">
        <v>166</v>
      </c>
      <c r="O12" s="126">
        <f>IF(P12=0,0,Q12/P12)</f>
        <v>-4.166666666666667</v>
      </c>
      <c r="P12" s="120">
        <v>18</v>
      </c>
      <c r="Q12" s="108">
        <v>-75</v>
      </c>
    </row>
    <row r="13" spans="1:17" x14ac:dyDescent="0.4">
      <c r="A13" s="58" t="s">
        <v>122</v>
      </c>
      <c r="B13" s="50">
        <v>110</v>
      </c>
      <c r="C13" s="44">
        <f>IF(B$3=0,0,B13/B$3)</f>
        <v>0.26506024096385544</v>
      </c>
      <c r="E13" s="63" t="s">
        <v>79</v>
      </c>
      <c r="F13" s="60" t="s">
        <v>34</v>
      </c>
      <c r="G13" s="47">
        <v>5</v>
      </c>
      <c r="H13" s="133">
        <f>IF(B$17=0,0,G13/B$17)</f>
        <v>4.0322580645161289E-2</v>
      </c>
      <c r="I13" s="94">
        <v>4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78</v>
      </c>
      <c r="C14" s="39">
        <f>IF(B$3=0,0,B14/B$3)</f>
        <v>0.18795180722891566</v>
      </c>
      <c r="E14" s="63" t="s">
        <v>84</v>
      </c>
      <c r="F14" s="60" t="s">
        <v>39</v>
      </c>
      <c r="G14" s="47">
        <v>5</v>
      </c>
      <c r="H14" s="133">
        <f>IF(B$17=0,0,G14/B$17)</f>
        <v>4.0322580645161289E-2</v>
      </c>
      <c r="I14" s="94">
        <v>8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73</v>
      </c>
      <c r="C15" s="37">
        <f>IF(B$13=0,0,B15/B$13)</f>
        <v>0.66363636363636369</v>
      </c>
      <c r="E15" s="63" t="s">
        <v>92</v>
      </c>
      <c r="F15" s="60" t="s">
        <v>47</v>
      </c>
      <c r="G15" s="47">
        <v>5</v>
      </c>
      <c r="H15" s="133">
        <f>IF(B$17=0,0,G15/B$17)</f>
        <v>4.0322580645161289E-2</v>
      </c>
      <c r="I15" s="94">
        <v>1</v>
      </c>
      <c r="K15" s="38">
        <v>13</v>
      </c>
      <c r="L15" s="99">
        <v>-209.59999999999997</v>
      </c>
      <c r="N15" s="114" t="s">
        <v>202</v>
      </c>
      <c r="O15" s="124">
        <f>IF(P15=0,0,Q15/P15)</f>
        <v>59.050000000000004</v>
      </c>
      <c r="P15" s="118">
        <v>2</v>
      </c>
      <c r="Q15" s="106">
        <v>118.10000000000001</v>
      </c>
    </row>
    <row r="16" spans="1:17" x14ac:dyDescent="0.4">
      <c r="A16" s="54" t="s">
        <v>125</v>
      </c>
      <c r="B16" s="46">
        <v>29</v>
      </c>
      <c r="C16" s="37">
        <f>IF(B$14=0,0,B16/B$14)</f>
        <v>0.37179487179487181</v>
      </c>
      <c r="E16" s="63" t="s">
        <v>82</v>
      </c>
      <c r="F16" s="60" t="s">
        <v>37</v>
      </c>
      <c r="G16" s="47">
        <v>3</v>
      </c>
      <c r="H16" s="133">
        <f>IF(B$17=0,0,G16/B$17)</f>
        <v>2.4193548387096774E-2</v>
      </c>
      <c r="I16" s="94">
        <v>8</v>
      </c>
      <c r="K16" s="38">
        <v>14</v>
      </c>
      <c r="L16" s="99">
        <v>-178.49999999999997</v>
      </c>
      <c r="N16" s="115" t="s">
        <v>171</v>
      </c>
      <c r="O16" s="125">
        <f>IF(P16=0,0,Q16/P16)</f>
        <v>27.985714285714291</v>
      </c>
      <c r="P16" s="119">
        <v>14</v>
      </c>
      <c r="Q16" s="107">
        <v>391.80000000000007</v>
      </c>
    </row>
    <row r="17" spans="1:17" x14ac:dyDescent="0.4">
      <c r="A17" s="54" t="s">
        <v>10</v>
      </c>
      <c r="B17" s="46">
        <f>B19+B18</f>
        <v>124</v>
      </c>
      <c r="C17" s="37">
        <f>IF(B$3=0,0,B17/B$3)</f>
        <v>0.29879518072289157</v>
      </c>
      <c r="E17" s="63" t="s">
        <v>87</v>
      </c>
      <c r="F17" s="60" t="s">
        <v>42</v>
      </c>
      <c r="G17" s="47">
        <v>3</v>
      </c>
      <c r="H17" s="133">
        <f>IF(B$17=0,0,G17/B$17)</f>
        <v>2.4193548387096774E-2</v>
      </c>
      <c r="I17" s="94">
        <v>10</v>
      </c>
      <c r="K17" s="38">
        <v>15</v>
      </c>
      <c r="L17" s="99">
        <v>-146.19999999999999</v>
      </c>
      <c r="N17" s="115" t="s">
        <v>186</v>
      </c>
      <c r="O17" s="125">
        <f>IF(P17=0,0,Q17/P17)</f>
        <v>20.240000000000002</v>
      </c>
      <c r="P17" s="119">
        <v>5</v>
      </c>
      <c r="Q17" s="107">
        <v>101.20000000000002</v>
      </c>
    </row>
    <row r="18" spans="1:17" x14ac:dyDescent="0.4">
      <c r="A18" s="55" t="s">
        <v>12</v>
      </c>
      <c r="B18" s="47">
        <v>54</v>
      </c>
      <c r="C18" s="39">
        <f>IF(B$17=0,0,B18/B$17)</f>
        <v>0.43548387096774194</v>
      </c>
      <c r="E18" s="63" t="s">
        <v>80</v>
      </c>
      <c r="F18" s="60" t="s">
        <v>35</v>
      </c>
      <c r="G18" s="47">
        <v>2</v>
      </c>
      <c r="H18" s="133">
        <f>IF(B$17=0,0,G18/B$17)</f>
        <v>1.6129032258064516E-2</v>
      </c>
      <c r="I18" s="94">
        <v>4</v>
      </c>
      <c r="K18" s="38">
        <v>16</v>
      </c>
      <c r="L18" s="99">
        <v>-153.29999999999998</v>
      </c>
      <c r="N18" s="115" t="s">
        <v>128</v>
      </c>
      <c r="O18" s="125">
        <f>IF(P18=0,0,Q18/P18)</f>
        <v>12.139130434782608</v>
      </c>
      <c r="P18" s="119">
        <v>23</v>
      </c>
      <c r="Q18" s="107">
        <v>279.2</v>
      </c>
    </row>
    <row r="19" spans="1:17" x14ac:dyDescent="0.4">
      <c r="A19" s="55" t="s">
        <v>11</v>
      </c>
      <c r="B19" s="47">
        <v>70</v>
      </c>
      <c r="C19" s="39">
        <f>IF(B$17=0,0,B19/B$17)</f>
        <v>0.56451612903225812</v>
      </c>
      <c r="E19" s="63" t="s">
        <v>86</v>
      </c>
      <c r="F19" s="60" t="s">
        <v>41</v>
      </c>
      <c r="G19" s="47">
        <v>2</v>
      </c>
      <c r="H19" s="133">
        <f>IF(B$17=0,0,G19/B$17)</f>
        <v>1.6129032258064516E-2</v>
      </c>
      <c r="I19" s="94">
        <v>1</v>
      </c>
      <c r="K19" s="38">
        <v>17</v>
      </c>
      <c r="L19" s="99">
        <v>-161.19999999999999</v>
      </c>
      <c r="N19" s="115" t="s">
        <v>173</v>
      </c>
      <c r="O19" s="125">
        <f>IF(P19=0,0,Q19/P19)</f>
        <v>10.050000000000002</v>
      </c>
      <c r="P19" s="119">
        <v>6</v>
      </c>
      <c r="Q19" s="107">
        <v>60.300000000000011</v>
      </c>
    </row>
    <row r="20" spans="1:17" x14ac:dyDescent="0.4">
      <c r="A20" s="55" t="s">
        <v>13</v>
      </c>
      <c r="B20" s="47">
        <v>67</v>
      </c>
      <c r="C20" s="39">
        <f>IF(B$3=0,0,B20/B$3)</f>
        <v>0.16144578313253011</v>
      </c>
      <c r="E20" s="63" t="s">
        <v>75</v>
      </c>
      <c r="F20" s="60" t="s">
        <v>30</v>
      </c>
      <c r="G20" s="47">
        <v>1</v>
      </c>
      <c r="H20" s="133">
        <f>IF(B$17=0,0,G20/B$17)</f>
        <v>8.0645161290322578E-3</v>
      </c>
      <c r="I20" s="94">
        <v>2</v>
      </c>
      <c r="K20" s="38">
        <v>18</v>
      </c>
      <c r="L20" s="99">
        <v>-159</v>
      </c>
      <c r="N20" s="115" t="s">
        <v>129</v>
      </c>
      <c r="O20" s="125">
        <f>IF(P20=0,0,Q20/P20)</f>
        <v>1.4142857142857115</v>
      </c>
      <c r="P20" s="119">
        <v>14</v>
      </c>
      <c r="Q20" s="107">
        <v>19.799999999999962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76</v>
      </c>
      <c r="F21" s="60" t="s">
        <v>31</v>
      </c>
      <c r="G21" s="47">
        <v>1</v>
      </c>
      <c r="H21" s="133">
        <f>IF(B$17=0,0,G21/B$17)</f>
        <v>8.0645161290322578E-3</v>
      </c>
      <c r="I21" s="94">
        <v>3</v>
      </c>
      <c r="K21" s="38">
        <v>19</v>
      </c>
      <c r="L21" s="99">
        <v>-235.6</v>
      </c>
      <c r="N21" s="115" t="s">
        <v>172</v>
      </c>
      <c r="O21" s="125">
        <f>IF(P21=0,0,Q21/P21)</f>
        <v>-5.1416666666666702</v>
      </c>
      <c r="P21" s="119">
        <v>12</v>
      </c>
      <c r="Q21" s="107">
        <v>-61.700000000000038</v>
      </c>
    </row>
    <row r="22" spans="1:17" x14ac:dyDescent="0.4">
      <c r="A22" s="55" t="s">
        <v>194</v>
      </c>
      <c r="B22" s="47">
        <v>22</v>
      </c>
      <c r="C22" s="135">
        <v>13</v>
      </c>
      <c r="E22" s="63" t="s">
        <v>91</v>
      </c>
      <c r="F22" s="60" t="s">
        <v>46</v>
      </c>
      <c r="G22" s="47">
        <v>1</v>
      </c>
      <c r="H22" s="133">
        <f>IF(B$17=0,0,G22/B$17)</f>
        <v>8.0645161290322578E-3</v>
      </c>
      <c r="I22" s="94">
        <v>1</v>
      </c>
      <c r="K22" s="38">
        <v>20</v>
      </c>
      <c r="L22" s="99">
        <v>-200.8</v>
      </c>
      <c r="N22" s="115" t="s">
        <v>127</v>
      </c>
      <c r="O22" s="125">
        <f>IF(P22=0,0,Q22/P22)</f>
        <v>-30.80869565217392</v>
      </c>
      <c r="P22" s="119">
        <v>23</v>
      </c>
      <c r="Q22" s="107">
        <v>-708.60000000000014</v>
      </c>
    </row>
    <row r="23" spans="1:17" x14ac:dyDescent="0.4">
      <c r="A23" s="55" t="s">
        <v>5</v>
      </c>
      <c r="B23" s="51">
        <f>IF(B$17=0,0,C23/B$17)</f>
        <v>8587.0967741935492</v>
      </c>
      <c r="C23" s="41">
        <v>1064800</v>
      </c>
      <c r="E23" s="63" t="s">
        <v>93</v>
      </c>
      <c r="F23" s="60" t="s">
        <v>48</v>
      </c>
      <c r="G23" s="47">
        <v>1</v>
      </c>
      <c r="H23" s="133">
        <f>IF(B$17=0,0,G23/B$17)</f>
        <v>8.0645161290322578E-3</v>
      </c>
      <c r="I23" s="94">
        <v>2</v>
      </c>
      <c r="K23" s="38">
        <v>21</v>
      </c>
      <c r="L23" s="99">
        <v>-188.60000000000002</v>
      </c>
      <c r="N23" s="115" t="s">
        <v>185</v>
      </c>
      <c r="O23" s="125">
        <f>IF(P23=0,0,Q23/P23)</f>
        <v>-45.699999999999996</v>
      </c>
      <c r="P23" s="119">
        <v>3</v>
      </c>
      <c r="Q23" s="107">
        <v>-137.1</v>
      </c>
    </row>
    <row r="24" spans="1:17" x14ac:dyDescent="0.4">
      <c r="A24" s="57" t="s">
        <v>14</v>
      </c>
      <c r="B24" s="52">
        <f>IF(B$20=0,0,C24/B$20)</f>
        <v>-7931.3432835820895</v>
      </c>
      <c r="C24" s="45">
        <v>-531400</v>
      </c>
      <c r="E24" s="63" t="s">
        <v>102</v>
      </c>
      <c r="F24" s="60" t="s">
        <v>57</v>
      </c>
      <c r="G24" s="47">
        <v>1</v>
      </c>
      <c r="H24" s="133">
        <f>IF(B$17=0,0,G24/B$17)</f>
        <v>8.0645161290322578E-3</v>
      </c>
      <c r="I24" s="94">
        <v>1</v>
      </c>
      <c r="K24" s="38">
        <v>22</v>
      </c>
      <c r="L24" s="99">
        <v>-142.60000000000002</v>
      </c>
    </row>
    <row r="25" spans="1:17" x14ac:dyDescent="0.4">
      <c r="A25" s="90" t="s">
        <v>142</v>
      </c>
      <c r="B25" s="140">
        <v>8</v>
      </c>
      <c r="C25" s="141"/>
      <c r="E25" s="63" t="s">
        <v>74</v>
      </c>
      <c r="F25" s="60" t="s">
        <v>29</v>
      </c>
      <c r="G25" s="47">
        <v>0</v>
      </c>
      <c r="H25" s="133">
        <f>IF(B$17=0,0,G25/B$17)</f>
        <v>0</v>
      </c>
      <c r="I25" s="94">
        <v>8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38">
        <v>103000</v>
      </c>
      <c r="C26" s="139"/>
      <c r="E26" s="63" t="s">
        <v>77</v>
      </c>
      <c r="F26" s="60" t="s">
        <v>32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3</v>
      </c>
      <c r="C27" s="42">
        <f>IF(B$3=0,0,B27/B$3)</f>
        <v>7.2289156626506026E-3</v>
      </c>
      <c r="E27" s="63" t="s">
        <v>78</v>
      </c>
      <c r="F27" s="60" t="s">
        <v>33</v>
      </c>
      <c r="G27" s="47">
        <v>0</v>
      </c>
      <c r="H27" s="133">
        <f>IF(B$17=0,0,G27/B$17)</f>
        <v>0</v>
      </c>
      <c r="I27" s="94">
        <v>5</v>
      </c>
      <c r="K27" s="38">
        <v>25</v>
      </c>
      <c r="L27" s="99">
        <v>-151.5</v>
      </c>
    </row>
    <row r="28" spans="1:17" x14ac:dyDescent="0.4">
      <c r="E28" s="63" t="s">
        <v>81</v>
      </c>
      <c r="F28" s="60" t="s">
        <v>36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-115.1</v>
      </c>
    </row>
    <row r="29" spans="1:17" x14ac:dyDescent="0.4">
      <c r="E29" s="63" t="s">
        <v>83</v>
      </c>
      <c r="F29" s="60" t="s">
        <v>38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-27.099999999999994</v>
      </c>
    </row>
    <row r="30" spans="1:17" x14ac:dyDescent="0.4">
      <c r="E30" s="63" t="s">
        <v>85</v>
      </c>
      <c r="F30" s="60" t="s">
        <v>40</v>
      </c>
      <c r="G30" s="47">
        <v>0</v>
      </c>
      <c r="H30" s="133">
        <f>IF(B$17=0,0,G30/B$17)</f>
        <v>0</v>
      </c>
      <c r="I30" s="94">
        <v>5</v>
      </c>
      <c r="K30" s="38">
        <v>28</v>
      </c>
      <c r="L30" s="99">
        <v>7.2000000000000028</v>
      </c>
    </row>
    <row r="31" spans="1:17" x14ac:dyDescent="0.4">
      <c r="E31" s="63" t="s">
        <v>88</v>
      </c>
      <c r="F31" s="60" t="s">
        <v>43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-49</v>
      </c>
    </row>
    <row r="32" spans="1:17" x14ac:dyDescent="0.4">
      <c r="E32" s="63" t="s">
        <v>89</v>
      </c>
      <c r="F32" s="60" t="s">
        <v>44</v>
      </c>
      <c r="G32" s="47">
        <v>0</v>
      </c>
      <c r="H32" s="133">
        <f>IF(B$17=0,0,G32/B$17)</f>
        <v>0</v>
      </c>
      <c r="I32" s="94">
        <v>4</v>
      </c>
      <c r="K32" s="38">
        <v>30</v>
      </c>
      <c r="L32" s="99">
        <v>-99.6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6</v>
      </c>
      <c r="K33" s="38">
        <v>31</v>
      </c>
      <c r="L33" s="99">
        <v>-54.199999999999996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-92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-107.4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-45.800000000000004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19.399999999999999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85.800000000000011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44.70000000000001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-18.79999999999999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-16.699999999999989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39.300000000000011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96.300000000000011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97.600000000000009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103.10000000000001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96.600000000000009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39.500000000000007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37.300000000000004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71.099999999999994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40.899999999999991</v>
      </c>
    </row>
    <row r="51" spans="5:12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  <c r="K51" s="38">
        <v>49</v>
      </c>
      <c r="L51" s="99">
        <v>-29.900000000000006</v>
      </c>
    </row>
    <row r="52" spans="5:12" x14ac:dyDescent="0.4">
      <c r="K52" s="38">
        <v>50</v>
      </c>
      <c r="L52" s="99">
        <v>-26.900000000000006</v>
      </c>
    </row>
    <row r="53" spans="5:12" x14ac:dyDescent="0.4">
      <c r="K53" s="38">
        <v>51</v>
      </c>
      <c r="L53" s="99">
        <v>20.999999999999993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F3FEE-3DB5-434D-826D-24AEF11A4FEF}">
  <sheetPr codeName="Sheet2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48">
        <v>19</v>
      </c>
      <c r="C3" s="149"/>
      <c r="E3" s="63" t="s">
        <v>67</v>
      </c>
      <c r="F3" s="60" t="s">
        <v>23</v>
      </c>
      <c r="G3" s="47">
        <v>3</v>
      </c>
      <c r="H3" s="133">
        <f>IF(B$17=0,0,G3/B$17)</f>
        <v>0.6</v>
      </c>
      <c r="I3" s="94">
        <v>11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0">
        <v>61</v>
      </c>
      <c r="C4" s="151"/>
      <c r="E4" s="63" t="s">
        <v>73</v>
      </c>
      <c r="F4" s="60" t="s">
        <v>28</v>
      </c>
      <c r="G4" s="47">
        <v>3</v>
      </c>
      <c r="H4" s="133">
        <f>IF(B$17=0,0,G4/B$17)</f>
        <v>0.6</v>
      </c>
      <c r="I4" s="94">
        <v>4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2">
        <f>IF(B$2=0,0,B$4/B$2)</f>
        <v>20.333333333333332</v>
      </c>
      <c r="C5" s="153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3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2">
        <f>IF(B$2=0,0,(B$7*1+B$8*2+B$9*3)/B$2)</f>
        <v>1.3333333333333333</v>
      </c>
      <c r="C6" s="143"/>
      <c r="E6" s="63" t="s">
        <v>90</v>
      </c>
      <c r="F6" s="60" t="s">
        <v>45</v>
      </c>
      <c r="G6" s="47">
        <v>2</v>
      </c>
      <c r="H6" s="133">
        <f>IF(B$17=0,0,G6/B$17)</f>
        <v>0.4</v>
      </c>
      <c r="I6" s="94">
        <v>1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181</v>
      </c>
      <c r="F7" s="60" t="s">
        <v>182</v>
      </c>
      <c r="G7" s="47">
        <v>2</v>
      </c>
      <c r="H7" s="133">
        <f>IF(B$17=0,0,G7/B$17)</f>
        <v>0.4</v>
      </c>
      <c r="I7" s="94">
        <v>7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69</v>
      </c>
      <c r="F8" s="60" t="s">
        <v>12</v>
      </c>
      <c r="G8" s="47">
        <v>1</v>
      </c>
      <c r="H8" s="133">
        <f>IF(B$17=0,0,G8/B$17)</f>
        <v>0.2</v>
      </c>
      <c r="I8" s="94">
        <v>13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70</v>
      </c>
      <c r="F9" s="60" t="s">
        <v>25</v>
      </c>
      <c r="G9" s="47">
        <v>1</v>
      </c>
      <c r="H9" s="133">
        <f>IF(B$17=0,0,G9/B$17)</f>
        <v>0.2</v>
      </c>
      <c r="I9" s="94">
        <v>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72</v>
      </c>
      <c r="F10" s="60" t="s">
        <v>27</v>
      </c>
      <c r="G10" s="47">
        <v>1</v>
      </c>
      <c r="H10" s="133">
        <f>IF(B$17=0,0,G10/B$17)</f>
        <v>0.2</v>
      </c>
      <c r="I10" s="94">
        <v>1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87</v>
      </c>
      <c r="F11" s="60" t="s">
        <v>42</v>
      </c>
      <c r="G11" s="47">
        <v>1</v>
      </c>
      <c r="H11" s="133">
        <f>IF(B$17=0,0,G11/B$17)</f>
        <v>0.2</v>
      </c>
      <c r="I11" s="94">
        <v>1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3">
        <f>IF(B$17=0,0,G12/B$17)</f>
        <v>0</v>
      </c>
      <c r="I12" s="94">
        <v>11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74</v>
      </c>
      <c r="F14" s="60" t="s">
        <v>29</v>
      </c>
      <c r="G14" s="47">
        <v>0</v>
      </c>
      <c r="H14" s="133">
        <f>IF(B$17=0,0,G14/B$17)</f>
        <v>0</v>
      </c>
      <c r="I14" s="94">
        <v>8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75</v>
      </c>
      <c r="F15" s="60" t="s">
        <v>30</v>
      </c>
      <c r="G15" s="47">
        <v>0</v>
      </c>
      <c r="H15" s="133">
        <f>IF(B$17=0,0,G15/B$17)</f>
        <v>0</v>
      </c>
      <c r="I15" s="94">
        <v>6</v>
      </c>
      <c r="N15" s="114" t="s">
        <v>186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76</v>
      </c>
      <c r="F16" s="60" t="s">
        <v>31</v>
      </c>
      <c r="G16" s="47">
        <v>0</v>
      </c>
      <c r="H16" s="133">
        <f>IF(B$17=0,0,G16/B$17)</f>
        <v>0</v>
      </c>
      <c r="I16" s="94">
        <v>8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77</v>
      </c>
      <c r="F17" s="60" t="s">
        <v>32</v>
      </c>
      <c r="G17" s="47">
        <v>0</v>
      </c>
      <c r="H17" s="133">
        <f>IF(B$17=0,0,G17/B$17)</f>
        <v>0</v>
      </c>
      <c r="I17" s="94">
        <v>1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78</v>
      </c>
      <c r="F18" s="60" t="s">
        <v>33</v>
      </c>
      <c r="G18" s="47">
        <v>0</v>
      </c>
      <c r="H18" s="133">
        <f>IF(B$17=0,0,G18/B$17)</f>
        <v>0</v>
      </c>
      <c r="I18" s="94">
        <v>5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79</v>
      </c>
      <c r="F19" s="60" t="s">
        <v>34</v>
      </c>
      <c r="G19" s="47">
        <v>0</v>
      </c>
      <c r="H19" s="133">
        <f>IF(B$17=0,0,G19/B$17)</f>
        <v>0</v>
      </c>
      <c r="I19" s="94">
        <v>11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10</v>
      </c>
    </row>
    <row r="21" spans="1:17" x14ac:dyDescent="0.4">
      <c r="A21" s="55" t="s">
        <v>193</v>
      </c>
      <c r="B21" s="47">
        <v>2</v>
      </c>
      <c r="C21" s="135">
        <v>0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194</v>
      </c>
      <c r="B22" s="47">
        <v>12</v>
      </c>
      <c r="C22" s="135">
        <v>12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10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12</v>
      </c>
    </row>
    <row r="25" spans="1:17" x14ac:dyDescent="0.4">
      <c r="A25" s="90" t="s">
        <v>142</v>
      </c>
      <c r="B25" s="140">
        <v>3</v>
      </c>
      <c r="C25" s="141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5</v>
      </c>
    </row>
    <row r="26" spans="1:17" x14ac:dyDescent="0.4">
      <c r="A26" s="58" t="s">
        <v>152</v>
      </c>
      <c r="B26" s="138">
        <v>53500</v>
      </c>
      <c r="C26" s="139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7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5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6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1E7F7-FBF3-4C65-9D8D-611E18494E2D}">
  <sheetPr codeName="Sheet2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186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14</v>
      </c>
      <c r="C2" s="147"/>
      <c r="E2" s="62" t="s">
        <v>67</v>
      </c>
      <c r="F2" s="59" t="s">
        <v>23</v>
      </c>
      <c r="G2" s="46">
        <v>28</v>
      </c>
      <c r="H2" s="132">
        <f>IF(B$17=0,0,G2/B$17)</f>
        <v>0.82352941176470584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-114.28571428571429</v>
      </c>
      <c r="P2" s="118">
        <v>14</v>
      </c>
      <c r="Q2" s="102">
        <v>-1600</v>
      </c>
    </row>
    <row r="3" spans="1:17" x14ac:dyDescent="0.4">
      <c r="A3" s="55" t="s">
        <v>8</v>
      </c>
      <c r="B3" s="148">
        <v>118</v>
      </c>
      <c r="C3" s="149"/>
      <c r="E3" s="63" t="s">
        <v>73</v>
      </c>
      <c r="F3" s="60" t="s">
        <v>28</v>
      </c>
      <c r="G3" s="47">
        <v>21</v>
      </c>
      <c r="H3" s="133">
        <f>IF(B$17=0,0,G3/B$17)</f>
        <v>0.61764705882352944</v>
      </c>
      <c r="I3" s="94">
        <v>3</v>
      </c>
      <c r="K3" s="38">
        <v>1</v>
      </c>
      <c r="L3" s="99">
        <v>-43.7</v>
      </c>
      <c r="N3" s="115" t="s">
        <v>133</v>
      </c>
      <c r="O3" s="122">
        <f t="shared" si="0"/>
        <v>-328.57142857142856</v>
      </c>
      <c r="P3" s="119">
        <v>14</v>
      </c>
      <c r="Q3" s="103">
        <v>-4600</v>
      </c>
    </row>
    <row r="4" spans="1:17" x14ac:dyDescent="0.4">
      <c r="A4" s="55" t="s">
        <v>6</v>
      </c>
      <c r="B4" s="150">
        <v>-138.69999999999999</v>
      </c>
      <c r="C4" s="151"/>
      <c r="E4" s="63" t="s">
        <v>65</v>
      </c>
      <c r="F4" s="60" t="s">
        <v>21</v>
      </c>
      <c r="G4" s="47">
        <v>19</v>
      </c>
      <c r="H4" s="133">
        <f>IF(B$17=0,0,G4/B$17)</f>
        <v>0.55882352941176472</v>
      </c>
      <c r="I4" s="94">
        <v>7</v>
      </c>
      <c r="K4" s="38">
        <v>2</v>
      </c>
      <c r="L4" s="99">
        <v>-76.2</v>
      </c>
      <c r="N4" s="115" t="s">
        <v>134</v>
      </c>
      <c r="O4" s="122">
        <f t="shared" si="0"/>
        <v>-850</v>
      </c>
      <c r="P4" s="119">
        <v>14</v>
      </c>
      <c r="Q4" s="103">
        <v>-11900</v>
      </c>
    </row>
    <row r="5" spans="1:17" x14ac:dyDescent="0.4">
      <c r="A5" s="55" t="s">
        <v>7</v>
      </c>
      <c r="B5" s="152">
        <f>IF(B$2=0,0,B$4/B$2)</f>
        <v>-9.9071428571428566</v>
      </c>
      <c r="C5" s="153"/>
      <c r="E5" s="63" t="s">
        <v>69</v>
      </c>
      <c r="F5" s="60" t="s">
        <v>12</v>
      </c>
      <c r="G5" s="47">
        <v>12</v>
      </c>
      <c r="H5" s="133">
        <f>IF(B$17=0,0,G5/B$17)</f>
        <v>0.35294117647058826</v>
      </c>
      <c r="I5" s="94">
        <v>6</v>
      </c>
      <c r="K5" s="38">
        <v>3</v>
      </c>
      <c r="L5" s="99">
        <v>-78.400000000000006</v>
      </c>
      <c r="N5" s="115" t="s">
        <v>135</v>
      </c>
      <c r="O5" s="122">
        <f t="shared" si="0"/>
        <v>-4700</v>
      </c>
      <c r="P5" s="119">
        <v>13</v>
      </c>
      <c r="Q5" s="103">
        <v>-61100</v>
      </c>
    </row>
    <row r="6" spans="1:17" x14ac:dyDescent="0.4">
      <c r="A6" s="55" t="s">
        <v>1</v>
      </c>
      <c r="B6" s="142">
        <f>IF(B$2=0,0,(B$7*1+B$8*2+B$9*3)/B$2)</f>
        <v>2.1428571428571428</v>
      </c>
      <c r="C6" s="143"/>
      <c r="E6" s="63" t="s">
        <v>181</v>
      </c>
      <c r="F6" s="60" t="s">
        <v>182</v>
      </c>
      <c r="G6" s="47">
        <v>12</v>
      </c>
      <c r="H6" s="133">
        <f>IF(B$17=0,0,G6/B$17)</f>
        <v>0.35294117647058826</v>
      </c>
      <c r="I6" s="94">
        <v>11</v>
      </c>
      <c r="K6" s="38">
        <v>4</v>
      </c>
      <c r="L6" s="99">
        <v>-49.800000000000004</v>
      </c>
      <c r="N6" s="115" t="s">
        <v>136</v>
      </c>
      <c r="O6" s="122">
        <f t="shared" si="0"/>
        <v>1869.2307692307693</v>
      </c>
      <c r="P6" s="119">
        <v>13</v>
      </c>
      <c r="Q6" s="103">
        <v>24300</v>
      </c>
    </row>
    <row r="7" spans="1:17" x14ac:dyDescent="0.4">
      <c r="A7" s="55" t="s">
        <v>2</v>
      </c>
      <c r="B7" s="47">
        <v>5</v>
      </c>
      <c r="C7" s="39">
        <f>IF(B$2=0,0,B7/B$2)</f>
        <v>0.35714285714285715</v>
      </c>
      <c r="E7" s="63" t="s">
        <v>68</v>
      </c>
      <c r="F7" s="60" t="s">
        <v>24</v>
      </c>
      <c r="G7" s="47">
        <v>7</v>
      </c>
      <c r="H7" s="133">
        <f>IF(B$17=0,0,G7/B$17)</f>
        <v>0.20588235294117646</v>
      </c>
      <c r="I7" s="94">
        <v>12</v>
      </c>
      <c r="K7" s="38">
        <v>5</v>
      </c>
      <c r="L7" s="99">
        <v>-121</v>
      </c>
      <c r="N7" s="116" t="s">
        <v>137</v>
      </c>
      <c r="O7" s="123">
        <f t="shared" si="0"/>
        <v>-3650</v>
      </c>
      <c r="P7" s="120">
        <v>12</v>
      </c>
      <c r="Q7" s="104">
        <v>-43800</v>
      </c>
    </row>
    <row r="8" spans="1:17" x14ac:dyDescent="0.4">
      <c r="A8" s="55" t="s">
        <v>3</v>
      </c>
      <c r="B8" s="47">
        <v>2</v>
      </c>
      <c r="C8" s="39">
        <f>IF(B$2=0,0,B8/B$2)</f>
        <v>0.14285714285714285</v>
      </c>
      <c r="E8" s="63" t="s">
        <v>70</v>
      </c>
      <c r="F8" s="60" t="s">
        <v>25</v>
      </c>
      <c r="G8" s="47">
        <v>6</v>
      </c>
      <c r="H8" s="133">
        <f>IF(B$17=0,0,G8/B$17)</f>
        <v>0.17647058823529413</v>
      </c>
      <c r="I8" s="94">
        <v>7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7</v>
      </c>
      <c r="C9" s="40">
        <f t="shared" ref="C9" si="1">IF(B$2=0,0,B9/B$2)</f>
        <v>0.5</v>
      </c>
      <c r="E9" s="63" t="s">
        <v>90</v>
      </c>
      <c r="F9" s="60" t="s">
        <v>45</v>
      </c>
      <c r="G9" s="47">
        <v>5</v>
      </c>
      <c r="H9" s="133">
        <f>IF(B$17=0,0,G9/B$17)</f>
        <v>0.14705882352941177</v>
      </c>
      <c r="I9" s="94">
        <v>6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0.14285714285714285</v>
      </c>
      <c r="E10" s="63" t="s">
        <v>71</v>
      </c>
      <c r="F10" s="60" t="s">
        <v>26</v>
      </c>
      <c r="G10" s="47">
        <v>4</v>
      </c>
      <c r="H10" s="133">
        <f>IF(B$17=0,0,G10/B$17)</f>
        <v>0.11764705882352941</v>
      </c>
      <c r="I10" s="94">
        <v>4</v>
      </c>
      <c r="K10" s="38">
        <v>8</v>
      </c>
      <c r="L10" s="99">
        <v>-170.5</v>
      </c>
      <c r="N10" s="114" t="s">
        <v>164</v>
      </c>
      <c r="O10" s="124">
        <f>IF(P10=0,0,Q10/P10)</f>
        <v>-12.83333333333333</v>
      </c>
      <c r="P10" s="118">
        <v>6</v>
      </c>
      <c r="Q10" s="106">
        <v>-76.999999999999986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84</v>
      </c>
      <c r="F11" s="60" t="s">
        <v>39</v>
      </c>
      <c r="G11" s="47">
        <v>4</v>
      </c>
      <c r="H11" s="133">
        <f>IF(B$17=0,0,G11/B$17)</f>
        <v>0.11764705882352941</v>
      </c>
      <c r="I11" s="94">
        <v>2</v>
      </c>
      <c r="K11" s="38">
        <v>9</v>
      </c>
      <c r="L11" s="99">
        <v>-228.1</v>
      </c>
      <c r="N11" s="115" t="s">
        <v>165</v>
      </c>
      <c r="O11" s="125">
        <f>IF(P11=0,0,Q11/P11)</f>
        <v>-17.350000000000001</v>
      </c>
      <c r="P11" s="119">
        <v>4</v>
      </c>
      <c r="Q11" s="107">
        <v>-69.400000000000006</v>
      </c>
    </row>
    <row r="12" spans="1:17" x14ac:dyDescent="0.4">
      <c r="A12" s="57" t="s">
        <v>160</v>
      </c>
      <c r="B12" s="49">
        <v>1</v>
      </c>
      <c r="C12" s="42">
        <f>IF(B$2=0,0,B12/B$2)</f>
        <v>7.1428571428571425E-2</v>
      </c>
      <c r="E12" s="63" t="s">
        <v>72</v>
      </c>
      <c r="F12" s="60" t="s">
        <v>27</v>
      </c>
      <c r="G12" s="47">
        <v>2</v>
      </c>
      <c r="H12" s="133">
        <f>IF(B$17=0,0,G12/B$17)</f>
        <v>5.8823529411764705E-2</v>
      </c>
      <c r="I12" s="94">
        <v>7</v>
      </c>
      <c r="K12" s="38">
        <v>10</v>
      </c>
      <c r="L12" s="99">
        <v>-197.5</v>
      </c>
      <c r="N12" s="116" t="s">
        <v>166</v>
      </c>
      <c r="O12" s="126">
        <f>IF(P12=0,0,Q12/P12)</f>
        <v>1.9250000000000003</v>
      </c>
      <c r="P12" s="120">
        <v>4</v>
      </c>
      <c r="Q12" s="108">
        <v>7.7000000000000011</v>
      </c>
    </row>
    <row r="13" spans="1:17" x14ac:dyDescent="0.4">
      <c r="A13" s="58" t="s">
        <v>122</v>
      </c>
      <c r="B13" s="50">
        <v>28</v>
      </c>
      <c r="C13" s="44">
        <f>IF(B$3=0,0,B13/B$3)</f>
        <v>0.23728813559322035</v>
      </c>
      <c r="E13" s="63" t="s">
        <v>80</v>
      </c>
      <c r="F13" s="60" t="s">
        <v>35</v>
      </c>
      <c r="G13" s="47">
        <v>2</v>
      </c>
      <c r="H13" s="133">
        <f>IF(B$17=0,0,G13/B$17)</f>
        <v>5.8823529411764705E-2</v>
      </c>
      <c r="I13" s="94">
        <v>1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25</v>
      </c>
      <c r="C14" s="39">
        <f>IF(B$3=0,0,B14/B$3)</f>
        <v>0.21186440677966101</v>
      </c>
      <c r="E14" s="63" t="s">
        <v>66</v>
      </c>
      <c r="F14" s="60" t="s">
        <v>22</v>
      </c>
      <c r="G14" s="47">
        <v>1</v>
      </c>
      <c r="H14" s="133">
        <f>IF(B$17=0,0,G14/B$17)</f>
        <v>2.9411764705882353E-2</v>
      </c>
      <c r="I14" s="94">
        <v>10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19</v>
      </c>
      <c r="C15" s="37">
        <f>IF(B$13=0,0,B15/B$13)</f>
        <v>0.6785714285714286</v>
      </c>
      <c r="E15" s="63" t="s">
        <v>74</v>
      </c>
      <c r="F15" s="60" t="s">
        <v>29</v>
      </c>
      <c r="G15" s="47">
        <v>1</v>
      </c>
      <c r="H15" s="133">
        <f>IF(B$17=0,0,G15/B$17)</f>
        <v>2.9411764705882353E-2</v>
      </c>
      <c r="I15" s="94">
        <v>1</v>
      </c>
      <c r="K15" s="38">
        <v>13</v>
      </c>
      <c r="L15" s="99">
        <v>-144.79999999999998</v>
      </c>
      <c r="N15" s="114" t="s">
        <v>129</v>
      </c>
      <c r="O15" s="124">
        <f>IF(P15=0,0,Q15/P15)</f>
        <v>51.9</v>
      </c>
      <c r="P15" s="118">
        <v>3</v>
      </c>
      <c r="Q15" s="106">
        <v>155.69999999999999</v>
      </c>
    </row>
    <row r="16" spans="1:17" x14ac:dyDescent="0.4">
      <c r="A16" s="54" t="s">
        <v>125</v>
      </c>
      <c r="B16" s="46">
        <v>11</v>
      </c>
      <c r="C16" s="37">
        <f>IF(B$14=0,0,B16/B$14)</f>
        <v>0.44</v>
      </c>
      <c r="E16" s="63" t="s">
        <v>76</v>
      </c>
      <c r="F16" s="60" t="s">
        <v>31</v>
      </c>
      <c r="G16" s="47">
        <v>1</v>
      </c>
      <c r="H16" s="133">
        <f>IF(B$17=0,0,G16/B$17)</f>
        <v>2.9411764705882353E-2</v>
      </c>
      <c r="I16" s="94">
        <v>1</v>
      </c>
      <c r="K16" s="38">
        <v>14</v>
      </c>
      <c r="L16" s="99">
        <v>-138.69999999999999</v>
      </c>
      <c r="N16" s="115" t="s">
        <v>172</v>
      </c>
      <c r="O16" s="125">
        <f>IF(P16=0,0,Q16/P16)</f>
        <v>-17.350000000000001</v>
      </c>
      <c r="P16" s="119">
        <v>2</v>
      </c>
      <c r="Q16" s="107">
        <v>-34.700000000000003</v>
      </c>
    </row>
    <row r="17" spans="1:17" x14ac:dyDescent="0.4">
      <c r="A17" s="54" t="s">
        <v>10</v>
      </c>
      <c r="B17" s="46">
        <f>B19+B18</f>
        <v>34</v>
      </c>
      <c r="C17" s="37">
        <f>IF(B$3=0,0,B17/B$3)</f>
        <v>0.28813559322033899</v>
      </c>
      <c r="E17" s="63" t="s">
        <v>82</v>
      </c>
      <c r="F17" s="60" t="s">
        <v>37</v>
      </c>
      <c r="G17" s="47">
        <v>1</v>
      </c>
      <c r="H17" s="133">
        <f>IF(B$17=0,0,G17/B$17)</f>
        <v>2.9411764705882353E-2</v>
      </c>
      <c r="I17" s="94">
        <v>5</v>
      </c>
      <c r="N17" s="115" t="s">
        <v>127</v>
      </c>
      <c r="O17" s="125">
        <f>IF(P17=0,0,Q17/P17)</f>
        <v>-20.222222222222225</v>
      </c>
      <c r="P17" s="119">
        <v>9</v>
      </c>
      <c r="Q17" s="107">
        <v>-182.00000000000003</v>
      </c>
    </row>
    <row r="18" spans="1:17" x14ac:dyDescent="0.4">
      <c r="A18" s="55" t="s">
        <v>12</v>
      </c>
      <c r="B18" s="47">
        <v>18</v>
      </c>
      <c r="C18" s="39">
        <f>IF(B$17=0,0,B18/B$17)</f>
        <v>0.52941176470588236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6</v>
      </c>
      <c r="N18" s="115" t="s">
        <v>177</v>
      </c>
      <c r="O18" s="125">
        <f>IF(P18=0,0,Q18/P18)</f>
        <v>-20.240000000000002</v>
      </c>
      <c r="P18" s="119">
        <v>5</v>
      </c>
      <c r="Q18" s="107">
        <v>-101.20000000000002</v>
      </c>
    </row>
    <row r="19" spans="1:17" x14ac:dyDescent="0.4">
      <c r="A19" s="55" t="s">
        <v>11</v>
      </c>
      <c r="B19" s="47">
        <v>16</v>
      </c>
      <c r="C19" s="39">
        <f>IF(B$17=0,0,B19/B$17)</f>
        <v>0.47058823529411764</v>
      </c>
      <c r="E19" s="63" t="s">
        <v>77</v>
      </c>
      <c r="F19" s="60" t="s">
        <v>32</v>
      </c>
      <c r="G19" s="47">
        <v>0</v>
      </c>
      <c r="H19" s="133">
        <f>IF(B$17=0,0,G19/B$17)</f>
        <v>0</v>
      </c>
      <c r="I19" s="94">
        <v>1</v>
      </c>
      <c r="N19" s="115" t="s">
        <v>128</v>
      </c>
      <c r="O19" s="125">
        <f>IF(P19=0,0,Q19/P19)</f>
        <v>-22.25</v>
      </c>
      <c r="P19" s="119">
        <v>6</v>
      </c>
      <c r="Q19" s="107">
        <v>-133.5</v>
      </c>
    </row>
    <row r="20" spans="1:17" x14ac:dyDescent="0.4">
      <c r="A20" s="55" t="s">
        <v>13</v>
      </c>
      <c r="B20" s="47">
        <v>26</v>
      </c>
      <c r="C20" s="39">
        <f>IF(B$3=0,0,B20/B$3)</f>
        <v>0.22033898305084745</v>
      </c>
      <c r="E20" s="63" t="s">
        <v>78</v>
      </c>
      <c r="F20" s="60" t="s">
        <v>33</v>
      </c>
      <c r="G20" s="47">
        <v>0</v>
      </c>
      <c r="H20" s="133">
        <f>IF(B$17=0,0,G20/B$17)</f>
        <v>0</v>
      </c>
      <c r="I20" s="94">
        <v>5</v>
      </c>
      <c r="N20" s="115" t="s">
        <v>171</v>
      </c>
      <c r="O20" s="125">
        <f>IF(P20=0,0,Q20/P20)</f>
        <v>-25.400000000000002</v>
      </c>
      <c r="P20" s="119">
        <v>2</v>
      </c>
      <c r="Q20" s="107">
        <v>-50.800000000000004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79</v>
      </c>
      <c r="F21" s="60" t="s">
        <v>34</v>
      </c>
      <c r="G21" s="47">
        <v>0</v>
      </c>
      <c r="H21" s="133">
        <f>IF(B$17=0,0,G21/B$17)</f>
        <v>0</v>
      </c>
      <c r="I21" s="94">
        <v>11</v>
      </c>
      <c r="N21" s="115" t="s">
        <v>185</v>
      </c>
      <c r="O21" s="125">
        <f>IF(P21=0,0,Q21/P21)</f>
        <v>-69.599999999999994</v>
      </c>
      <c r="P21" s="119">
        <v>1</v>
      </c>
      <c r="Q21" s="107">
        <v>-69.599999999999994</v>
      </c>
    </row>
    <row r="22" spans="1:17" x14ac:dyDescent="0.4">
      <c r="A22" s="55" t="s">
        <v>194</v>
      </c>
      <c r="B22" s="47">
        <v>17</v>
      </c>
      <c r="C22" s="135">
        <v>7</v>
      </c>
      <c r="E22" s="63" t="s">
        <v>81</v>
      </c>
      <c r="F22" s="60" t="s">
        <v>36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7494.1176470588234</v>
      </c>
      <c r="C23" s="41">
        <v>254800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-8107.6923076923076</v>
      </c>
      <c r="C24" s="45">
        <v>-210800</v>
      </c>
      <c r="E24" s="63" t="s">
        <v>85</v>
      </c>
      <c r="F24" s="60" t="s">
        <v>40</v>
      </c>
      <c r="G24" s="47">
        <v>0</v>
      </c>
      <c r="H24" s="133">
        <f>IF(B$17=0,0,G24/B$17)</f>
        <v>0</v>
      </c>
      <c r="I24" s="94">
        <v>5</v>
      </c>
    </row>
    <row r="25" spans="1:17" x14ac:dyDescent="0.4">
      <c r="A25" s="90" t="s">
        <v>142</v>
      </c>
      <c r="B25" s="140">
        <v>6</v>
      </c>
      <c r="C25" s="141"/>
      <c r="E25" s="63" t="s">
        <v>86</v>
      </c>
      <c r="F25" s="60" t="s">
        <v>41</v>
      </c>
      <c r="G25" s="47">
        <v>0</v>
      </c>
      <c r="H25" s="133">
        <f>IF(B$17=0,0,G25/B$17)</f>
        <v>0</v>
      </c>
      <c r="I25" s="94">
        <v>4</v>
      </c>
    </row>
    <row r="26" spans="1:17" x14ac:dyDescent="0.4">
      <c r="A26" s="58" t="s">
        <v>152</v>
      </c>
      <c r="B26" s="138">
        <v>62700</v>
      </c>
      <c r="C26" s="139"/>
      <c r="E26" s="63" t="s">
        <v>87</v>
      </c>
      <c r="F26" s="60" t="s">
        <v>42</v>
      </c>
      <c r="G26" s="47">
        <v>0</v>
      </c>
      <c r="H26" s="133">
        <f>IF(B$17=0,0,G26/B$17)</f>
        <v>0</v>
      </c>
      <c r="I26" s="94">
        <v>11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7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5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6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40980-0D86-4446-9B1C-723C163FF479}">
  <sheetPr codeName="Sheet2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202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7</v>
      </c>
      <c r="C2" s="147"/>
      <c r="E2" s="62" t="s">
        <v>73</v>
      </c>
      <c r="F2" s="59" t="s">
        <v>28</v>
      </c>
      <c r="G2" s="46">
        <v>13</v>
      </c>
      <c r="H2" s="132">
        <f>IF(B$17=0,0,G2/B$17)</f>
        <v>0.61904761904761907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-2071.4285714285716</v>
      </c>
      <c r="P2" s="118">
        <v>7</v>
      </c>
      <c r="Q2" s="102">
        <v>-14500</v>
      </c>
    </row>
    <row r="3" spans="1:17" x14ac:dyDescent="0.4">
      <c r="A3" s="55" t="s">
        <v>8</v>
      </c>
      <c r="B3" s="148">
        <v>69</v>
      </c>
      <c r="C3" s="149"/>
      <c r="E3" s="63" t="s">
        <v>65</v>
      </c>
      <c r="F3" s="60" t="s">
        <v>21</v>
      </c>
      <c r="G3" s="47">
        <v>12</v>
      </c>
      <c r="H3" s="133">
        <f>IF(B$17=0,0,G3/B$17)</f>
        <v>0.5714285714285714</v>
      </c>
      <c r="I3" s="94">
        <v>6</v>
      </c>
      <c r="K3" s="38">
        <v>1</v>
      </c>
      <c r="L3" s="99">
        <v>-12.5</v>
      </c>
      <c r="N3" s="115" t="s">
        <v>133</v>
      </c>
      <c r="O3" s="122">
        <f t="shared" si="0"/>
        <v>2828.5714285714284</v>
      </c>
      <c r="P3" s="119">
        <v>7</v>
      </c>
      <c r="Q3" s="103">
        <v>19800</v>
      </c>
    </row>
    <row r="4" spans="1:17" x14ac:dyDescent="0.4">
      <c r="A4" s="55" t="s">
        <v>6</v>
      </c>
      <c r="B4" s="150">
        <v>-25.300000000000004</v>
      </c>
      <c r="C4" s="151"/>
      <c r="E4" s="63" t="s">
        <v>67</v>
      </c>
      <c r="F4" s="60" t="s">
        <v>23</v>
      </c>
      <c r="G4" s="47">
        <v>11</v>
      </c>
      <c r="H4" s="133">
        <f>IF(B$17=0,0,G4/B$17)</f>
        <v>0.52380952380952384</v>
      </c>
      <c r="I4" s="94">
        <v>13</v>
      </c>
      <c r="K4" s="38">
        <v>2</v>
      </c>
      <c r="L4" s="99">
        <v>-28.1</v>
      </c>
      <c r="N4" s="115" t="s">
        <v>134</v>
      </c>
      <c r="O4" s="122">
        <f t="shared" si="0"/>
        <v>-6371.4285714285716</v>
      </c>
      <c r="P4" s="119">
        <v>7</v>
      </c>
      <c r="Q4" s="103">
        <v>-44600</v>
      </c>
    </row>
    <row r="5" spans="1:17" x14ac:dyDescent="0.4">
      <c r="A5" s="55" t="s">
        <v>7</v>
      </c>
      <c r="B5" s="152">
        <f>IF(B$2=0,0,B$4/B$2)</f>
        <v>-3.6142857142857148</v>
      </c>
      <c r="C5" s="153"/>
      <c r="E5" s="63" t="s">
        <v>68</v>
      </c>
      <c r="F5" s="60" t="s">
        <v>24</v>
      </c>
      <c r="G5" s="47">
        <v>8</v>
      </c>
      <c r="H5" s="133">
        <f>IF(B$17=0,0,G5/B$17)</f>
        <v>0.38095238095238093</v>
      </c>
      <c r="I5" s="94">
        <v>5</v>
      </c>
      <c r="K5" s="38">
        <v>3</v>
      </c>
      <c r="L5" s="99">
        <v>-20.400000000000002</v>
      </c>
      <c r="N5" s="115" t="s">
        <v>135</v>
      </c>
      <c r="O5" s="122">
        <f t="shared" si="0"/>
        <v>-2471.4285714285716</v>
      </c>
      <c r="P5" s="119">
        <v>7</v>
      </c>
      <c r="Q5" s="103">
        <v>-17300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8</v>
      </c>
      <c r="H6" s="133">
        <f>IF(B$17=0,0,G6/B$17)</f>
        <v>0.38095238095238093</v>
      </c>
      <c r="I6" s="94">
        <v>5</v>
      </c>
      <c r="K6" s="38">
        <v>4</v>
      </c>
      <c r="L6" s="99">
        <v>19.399999999999995</v>
      </c>
      <c r="N6" s="115" t="s">
        <v>136</v>
      </c>
      <c r="O6" s="122">
        <f t="shared" si="0"/>
        <v>4240</v>
      </c>
      <c r="P6" s="119">
        <v>5</v>
      </c>
      <c r="Q6" s="103">
        <v>21200</v>
      </c>
    </row>
    <row r="7" spans="1:17" x14ac:dyDescent="0.4">
      <c r="A7" s="55" t="s">
        <v>2</v>
      </c>
      <c r="B7" s="47">
        <v>1</v>
      </c>
      <c r="C7" s="39">
        <f>IF(B$2=0,0,B7/B$2)</f>
        <v>0.14285714285714285</v>
      </c>
      <c r="E7" s="63" t="s">
        <v>181</v>
      </c>
      <c r="F7" s="60" t="s">
        <v>182</v>
      </c>
      <c r="G7" s="47">
        <v>7</v>
      </c>
      <c r="H7" s="133">
        <f>IF(B$17=0,0,G7/B$17)</f>
        <v>0.33333333333333331</v>
      </c>
      <c r="I7" s="94">
        <v>12</v>
      </c>
      <c r="K7" s="38">
        <v>5</v>
      </c>
      <c r="L7" s="99">
        <v>-16.100000000000005</v>
      </c>
      <c r="N7" s="116" t="s">
        <v>137</v>
      </c>
      <c r="O7" s="123">
        <f t="shared" si="0"/>
        <v>2020</v>
      </c>
      <c r="P7" s="120">
        <v>5</v>
      </c>
      <c r="Q7" s="104">
        <v>10100</v>
      </c>
    </row>
    <row r="8" spans="1:17" x14ac:dyDescent="0.4">
      <c r="A8" s="55" t="s">
        <v>3</v>
      </c>
      <c r="B8" s="47">
        <v>5</v>
      </c>
      <c r="C8" s="39">
        <f>IF(B$2=0,0,B8/B$2)</f>
        <v>0.7142857142857143</v>
      </c>
      <c r="E8" s="63" t="s">
        <v>70</v>
      </c>
      <c r="F8" s="60" t="s">
        <v>25</v>
      </c>
      <c r="G8" s="47">
        <v>5</v>
      </c>
      <c r="H8" s="133">
        <f>IF(B$17=0,0,G8/B$17)</f>
        <v>0.23809523809523808</v>
      </c>
      <c r="I8" s="94">
        <v>1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0.14285714285714285</v>
      </c>
      <c r="E9" s="63" t="s">
        <v>90</v>
      </c>
      <c r="F9" s="60" t="s">
        <v>45</v>
      </c>
      <c r="G9" s="47">
        <v>4</v>
      </c>
      <c r="H9" s="133">
        <f>IF(B$17=0,0,G9/B$17)</f>
        <v>0.19047619047619047</v>
      </c>
      <c r="I9" s="94">
        <v>3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79</v>
      </c>
      <c r="F10" s="60" t="s">
        <v>34</v>
      </c>
      <c r="G10" s="47">
        <v>2</v>
      </c>
      <c r="H10" s="133">
        <f>IF(B$17=0,0,G10/B$17)</f>
        <v>9.5238095238095233E-2</v>
      </c>
      <c r="I10" s="94">
        <v>2</v>
      </c>
      <c r="N10" s="114" t="s">
        <v>164</v>
      </c>
      <c r="O10" s="124">
        <f>IF(P10=0,0,Q10/P10)</f>
        <v>-12.3</v>
      </c>
      <c r="P10" s="118">
        <v>2</v>
      </c>
      <c r="Q10" s="106">
        <v>-24.6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87</v>
      </c>
      <c r="F11" s="60" t="s">
        <v>42</v>
      </c>
      <c r="G11" s="47">
        <v>2</v>
      </c>
      <c r="H11" s="133">
        <f>IF(B$17=0,0,G11/B$17)</f>
        <v>9.5238095238095233E-2</v>
      </c>
      <c r="I11" s="94">
        <v>2</v>
      </c>
      <c r="N11" s="115" t="s">
        <v>165</v>
      </c>
      <c r="O11" s="125">
        <f>IF(P11=0,0,Q11/P11)</f>
        <v>7.7</v>
      </c>
      <c r="P11" s="119">
        <v>1</v>
      </c>
      <c r="Q11" s="107">
        <v>7.7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1</v>
      </c>
      <c r="H12" s="133">
        <f>IF(B$17=0,0,G12/B$17)</f>
        <v>4.7619047619047616E-2</v>
      </c>
      <c r="I12" s="94">
        <v>9</v>
      </c>
      <c r="N12" s="116" t="s">
        <v>166</v>
      </c>
      <c r="O12" s="126">
        <f>IF(P12=0,0,Q12/P12)</f>
        <v>-2.1000000000000005</v>
      </c>
      <c r="P12" s="120">
        <v>4</v>
      </c>
      <c r="Q12" s="108">
        <v>-8.4000000000000021</v>
      </c>
    </row>
    <row r="13" spans="1:17" x14ac:dyDescent="0.4">
      <c r="A13" s="58" t="s">
        <v>122</v>
      </c>
      <c r="B13" s="50">
        <v>17</v>
      </c>
      <c r="C13" s="44">
        <f>IF(B$3=0,0,B13/B$3)</f>
        <v>0.24637681159420291</v>
      </c>
      <c r="E13" s="63" t="s">
        <v>84</v>
      </c>
      <c r="F13" s="60" t="s">
        <v>39</v>
      </c>
      <c r="G13" s="47">
        <v>1</v>
      </c>
      <c r="H13" s="133">
        <f>IF(B$17=0,0,G13/B$17)</f>
        <v>4.7619047619047616E-2</v>
      </c>
      <c r="I13" s="94">
        <v>6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19</v>
      </c>
      <c r="C14" s="39">
        <f>IF(B$3=0,0,B14/B$3)</f>
        <v>0.27536231884057971</v>
      </c>
      <c r="E14" s="63" t="s">
        <v>71</v>
      </c>
      <c r="F14" s="60" t="s">
        <v>26</v>
      </c>
      <c r="G14" s="47">
        <v>0</v>
      </c>
      <c r="H14" s="133">
        <f>IF(B$17=0,0,G14/B$17)</f>
        <v>0</v>
      </c>
      <c r="I14" s="94">
        <v>10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</v>
      </c>
      <c r="C15" s="37">
        <f>IF(B$13=0,0,B15/B$13)</f>
        <v>0.70588235294117652</v>
      </c>
      <c r="E15" s="63" t="s">
        <v>72</v>
      </c>
      <c r="F15" s="60" t="s">
        <v>27</v>
      </c>
      <c r="G15" s="47">
        <v>0</v>
      </c>
      <c r="H15" s="133">
        <f>IF(B$17=0,0,G15/B$17)</f>
        <v>0</v>
      </c>
      <c r="I15" s="94">
        <v>11</v>
      </c>
      <c r="N15" s="114" t="s">
        <v>173</v>
      </c>
      <c r="O15" s="124">
        <f>IF(P15=0,0,Q15/P15)</f>
        <v>43.1</v>
      </c>
      <c r="P15" s="118">
        <v>1</v>
      </c>
      <c r="Q15" s="106">
        <v>43.1</v>
      </c>
    </row>
    <row r="16" spans="1:17" x14ac:dyDescent="0.4">
      <c r="A16" s="54" t="s">
        <v>125</v>
      </c>
      <c r="B16" s="46">
        <v>8</v>
      </c>
      <c r="C16" s="37">
        <f>IF(B$14=0,0,B16/B$14)</f>
        <v>0.42105263157894735</v>
      </c>
      <c r="E16" s="63" t="s">
        <v>74</v>
      </c>
      <c r="F16" s="60" t="s">
        <v>29</v>
      </c>
      <c r="G16" s="47">
        <v>0</v>
      </c>
      <c r="H16" s="133">
        <f>IF(B$17=0,0,G16/B$17)</f>
        <v>0</v>
      </c>
      <c r="I16" s="94">
        <v>8</v>
      </c>
      <c r="N16" s="115" t="s">
        <v>127</v>
      </c>
      <c r="O16" s="125">
        <f>IF(P16=0,0,Q16/P16)</f>
        <v>13.45</v>
      </c>
      <c r="P16" s="119">
        <v>2</v>
      </c>
      <c r="Q16" s="107">
        <v>26.9</v>
      </c>
    </row>
    <row r="17" spans="1:17" x14ac:dyDescent="0.4">
      <c r="A17" s="54" t="s">
        <v>10</v>
      </c>
      <c r="B17" s="46">
        <f>B19+B18</f>
        <v>21</v>
      </c>
      <c r="C17" s="37">
        <f>IF(B$3=0,0,B17/B$3)</f>
        <v>0.30434782608695654</v>
      </c>
      <c r="E17" s="63" t="s">
        <v>75</v>
      </c>
      <c r="F17" s="60" t="s">
        <v>30</v>
      </c>
      <c r="G17" s="47">
        <v>0</v>
      </c>
      <c r="H17" s="133">
        <f>IF(B$17=0,0,G17/B$17)</f>
        <v>0</v>
      </c>
      <c r="I17" s="94">
        <v>6</v>
      </c>
      <c r="N17" s="115" t="s">
        <v>171</v>
      </c>
      <c r="O17" s="125">
        <f>IF(P17=0,0,Q17/P17)</f>
        <v>9</v>
      </c>
      <c r="P17" s="119">
        <v>3</v>
      </c>
      <c r="Q17" s="107">
        <v>27</v>
      </c>
    </row>
    <row r="18" spans="1:17" x14ac:dyDescent="0.4">
      <c r="A18" s="55" t="s">
        <v>12</v>
      </c>
      <c r="B18" s="47">
        <v>12</v>
      </c>
      <c r="C18" s="39">
        <f>IF(B$17=0,0,B18/B$17)</f>
        <v>0.5714285714285714</v>
      </c>
      <c r="E18" s="63" t="s">
        <v>76</v>
      </c>
      <c r="F18" s="60" t="s">
        <v>31</v>
      </c>
      <c r="G18" s="47">
        <v>0</v>
      </c>
      <c r="H18" s="133">
        <f>IF(B$17=0,0,G18/B$17)</f>
        <v>0</v>
      </c>
      <c r="I18" s="94">
        <v>8</v>
      </c>
      <c r="N18" s="115" t="s">
        <v>128</v>
      </c>
      <c r="O18" s="125">
        <f>IF(P18=0,0,Q18/P18)</f>
        <v>5.5000000000000018</v>
      </c>
      <c r="P18" s="119">
        <v>2</v>
      </c>
      <c r="Q18" s="107">
        <v>11.000000000000004</v>
      </c>
    </row>
    <row r="19" spans="1:17" x14ac:dyDescent="0.4">
      <c r="A19" s="55" t="s">
        <v>11</v>
      </c>
      <c r="B19" s="47">
        <v>9</v>
      </c>
      <c r="C19" s="39">
        <f>IF(B$17=0,0,B19/B$17)</f>
        <v>0.42857142857142855</v>
      </c>
      <c r="E19" s="63" t="s">
        <v>77</v>
      </c>
      <c r="F19" s="60" t="s">
        <v>32</v>
      </c>
      <c r="G19" s="47">
        <v>0</v>
      </c>
      <c r="H19" s="133">
        <f>IF(B$17=0,0,G19/B$17)</f>
        <v>0</v>
      </c>
      <c r="I19" s="94">
        <v>1</v>
      </c>
      <c r="N19" s="115" t="s">
        <v>172</v>
      </c>
      <c r="O19" s="125">
        <f>IF(P19=0,0,Q19/P19)</f>
        <v>-16.450000000000006</v>
      </c>
      <c r="P19" s="119">
        <v>4</v>
      </c>
      <c r="Q19" s="107">
        <v>-65.800000000000026</v>
      </c>
    </row>
    <row r="20" spans="1:17" x14ac:dyDescent="0.4">
      <c r="A20" s="55" t="s">
        <v>13</v>
      </c>
      <c r="B20" s="47">
        <v>12</v>
      </c>
      <c r="C20" s="39">
        <f>IF(B$3=0,0,B20/B$3)</f>
        <v>0.17391304347826086</v>
      </c>
      <c r="E20" s="63" t="s">
        <v>78</v>
      </c>
      <c r="F20" s="60" t="s">
        <v>33</v>
      </c>
      <c r="G20" s="47">
        <v>0</v>
      </c>
      <c r="H20" s="133">
        <f>IF(B$17=0,0,G20/B$17)</f>
        <v>0</v>
      </c>
      <c r="I20" s="94">
        <v>5</v>
      </c>
      <c r="N20" s="115" t="s">
        <v>177</v>
      </c>
      <c r="O20" s="125">
        <f>IF(P20=0,0,Q20/P20)</f>
        <v>-59.05</v>
      </c>
      <c r="P20" s="119">
        <v>2</v>
      </c>
      <c r="Q20" s="107">
        <v>-118.1</v>
      </c>
    </row>
    <row r="21" spans="1:17" x14ac:dyDescent="0.4">
      <c r="A21" s="55" t="s">
        <v>193</v>
      </c>
      <c r="B21" s="47">
        <v>3</v>
      </c>
      <c r="C21" s="135">
        <v>0</v>
      </c>
      <c r="E21" s="63" t="s">
        <v>80</v>
      </c>
      <c r="F21" s="60" t="s">
        <v>35</v>
      </c>
      <c r="G21" s="47">
        <v>0</v>
      </c>
      <c r="H21" s="133">
        <f>IF(B$17=0,0,G21/B$17)</f>
        <v>0</v>
      </c>
      <c r="I21" s="94">
        <v>10</v>
      </c>
    </row>
    <row r="22" spans="1:17" x14ac:dyDescent="0.4">
      <c r="A22" s="55" t="s">
        <v>194</v>
      </c>
      <c r="B22" s="47">
        <v>12</v>
      </c>
      <c r="C22" s="135">
        <v>4</v>
      </c>
      <c r="E22" s="63" t="s">
        <v>81</v>
      </c>
      <c r="F22" s="60" t="s">
        <v>36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7438.0952380952385</v>
      </c>
      <c r="C23" s="41">
        <v>156200</v>
      </c>
      <c r="E23" s="63" t="s">
        <v>82</v>
      </c>
      <c r="F23" s="60" t="s">
        <v>37</v>
      </c>
      <c r="G23" s="47">
        <v>0</v>
      </c>
      <c r="H23" s="133">
        <f>IF(B$17=0,0,G23/B$17)</f>
        <v>0</v>
      </c>
      <c r="I23" s="94">
        <v>10</v>
      </c>
    </row>
    <row r="24" spans="1:17" x14ac:dyDescent="0.4">
      <c r="A24" s="57" t="s">
        <v>14</v>
      </c>
      <c r="B24" s="52">
        <f>IF(B$20=0,0,C24/B$20)</f>
        <v>-6683.333333333333</v>
      </c>
      <c r="C24" s="45">
        <v>-80200</v>
      </c>
      <c r="E24" s="63" t="s">
        <v>83</v>
      </c>
      <c r="F24" s="60" t="s">
        <v>38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142</v>
      </c>
      <c r="B25" s="140">
        <v>4</v>
      </c>
      <c r="C25" s="141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5</v>
      </c>
    </row>
    <row r="26" spans="1:17" x14ac:dyDescent="0.4">
      <c r="A26" s="58" t="s">
        <v>152</v>
      </c>
      <c r="B26" s="138">
        <v>54800</v>
      </c>
      <c r="C26" s="139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7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5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6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D1A77C-9959-47E3-AD89-E8EEEA8BE349}">
  <sheetPr codeName="Sheet2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224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67</v>
      </c>
      <c r="F2" s="59" t="s">
        <v>23</v>
      </c>
      <c r="G2" s="46">
        <v>3</v>
      </c>
      <c r="H2" s="132">
        <f>IF(B$17=0,0,G2/B$17)</f>
        <v>1.5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48">
        <v>13</v>
      </c>
      <c r="C3" s="149"/>
      <c r="E3" s="63" t="s">
        <v>65</v>
      </c>
      <c r="F3" s="60" t="s">
        <v>21</v>
      </c>
      <c r="G3" s="47">
        <v>1</v>
      </c>
      <c r="H3" s="133">
        <f>IF(B$17=0,0,G3/B$17)</f>
        <v>0.5</v>
      </c>
      <c r="I3" s="94">
        <v>10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0">
        <v>13.3</v>
      </c>
      <c r="C4" s="151"/>
      <c r="E4" s="63" t="s">
        <v>68</v>
      </c>
      <c r="F4" s="60" t="s">
        <v>24</v>
      </c>
      <c r="G4" s="47">
        <v>1</v>
      </c>
      <c r="H4" s="133">
        <f>IF(B$17=0,0,G4/B$17)</f>
        <v>0.5</v>
      </c>
      <c r="I4" s="94">
        <v>2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2">
        <f>IF(B$2=0,0,B$4/B$2)</f>
        <v>13.3</v>
      </c>
      <c r="C5" s="153"/>
      <c r="E5" s="63" t="s">
        <v>69</v>
      </c>
      <c r="F5" s="60" t="s">
        <v>12</v>
      </c>
      <c r="G5" s="47">
        <v>1</v>
      </c>
      <c r="H5" s="133">
        <f>IF(B$17=0,0,G5/B$17)</f>
        <v>0.5</v>
      </c>
      <c r="I5" s="94">
        <v>2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82</v>
      </c>
      <c r="F6" s="60" t="s">
        <v>37</v>
      </c>
      <c r="G6" s="47">
        <v>1</v>
      </c>
      <c r="H6" s="133">
        <f>IF(B$17=0,0,G6/B$17)</f>
        <v>0.5</v>
      </c>
      <c r="I6" s="94">
        <v>1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181</v>
      </c>
      <c r="F7" s="60" t="s">
        <v>182</v>
      </c>
      <c r="G7" s="47">
        <v>1</v>
      </c>
      <c r="H7" s="133">
        <f>IF(B$17=0,0,G7/B$17)</f>
        <v>0.5</v>
      </c>
      <c r="I7" s="94">
        <v>1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66</v>
      </c>
      <c r="F8" s="60" t="s">
        <v>22</v>
      </c>
      <c r="G8" s="47">
        <v>0</v>
      </c>
      <c r="H8" s="133">
        <f>IF(B$17=0,0,G8/B$17)</f>
        <v>0</v>
      </c>
      <c r="I8" s="94">
        <v>11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70</v>
      </c>
      <c r="F9" s="60" t="s">
        <v>25</v>
      </c>
      <c r="G9" s="47">
        <v>0</v>
      </c>
      <c r="H9" s="133">
        <f>IF(B$17=0,0,G9/B$17)</f>
        <v>0</v>
      </c>
      <c r="I9" s="94">
        <v>12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71</v>
      </c>
      <c r="F10" s="60" t="s">
        <v>26</v>
      </c>
      <c r="G10" s="47">
        <v>0</v>
      </c>
      <c r="H10" s="133">
        <f>IF(B$17=0,0,G10/B$17)</f>
        <v>0</v>
      </c>
      <c r="I10" s="94">
        <v>10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72</v>
      </c>
      <c r="F11" s="60" t="s">
        <v>27</v>
      </c>
      <c r="G11" s="47">
        <v>0</v>
      </c>
      <c r="H11" s="133">
        <f>IF(B$17=0,0,G11/B$17)</f>
        <v>0</v>
      </c>
      <c r="I11" s="94">
        <v>11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73</v>
      </c>
      <c r="F12" s="60" t="s">
        <v>28</v>
      </c>
      <c r="G12" s="47">
        <v>0</v>
      </c>
      <c r="H12" s="133">
        <f>IF(B$17=0,0,G12/B$17)</f>
        <v>0</v>
      </c>
      <c r="I12" s="94">
        <v>13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74</v>
      </c>
      <c r="F13" s="60" t="s">
        <v>29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75</v>
      </c>
      <c r="F14" s="60" t="s">
        <v>30</v>
      </c>
      <c r="G14" s="47">
        <v>0</v>
      </c>
      <c r="H14" s="133">
        <f>IF(B$17=0,0,G14/B$17)</f>
        <v>0</v>
      </c>
      <c r="I14" s="94">
        <v>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76</v>
      </c>
      <c r="F15" s="60" t="s">
        <v>31</v>
      </c>
      <c r="G15" s="47">
        <v>0</v>
      </c>
      <c r="H15" s="133">
        <f>IF(B$17=0,0,G15/B$17)</f>
        <v>0</v>
      </c>
      <c r="I15" s="94">
        <v>8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77</v>
      </c>
      <c r="F16" s="60" t="s">
        <v>32</v>
      </c>
      <c r="G16" s="47">
        <v>0</v>
      </c>
      <c r="H16" s="133">
        <f>IF(B$17=0,0,G16/B$17)</f>
        <v>0</v>
      </c>
      <c r="I16" s="94">
        <v>1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78</v>
      </c>
      <c r="F17" s="60" t="s">
        <v>33</v>
      </c>
      <c r="G17" s="47">
        <v>0</v>
      </c>
      <c r="H17" s="133">
        <f>IF(B$17=0,0,G17/B$17)</f>
        <v>0</v>
      </c>
      <c r="I17" s="94">
        <v>5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79</v>
      </c>
      <c r="F18" s="60" t="s">
        <v>34</v>
      </c>
      <c r="G18" s="47">
        <v>0</v>
      </c>
      <c r="H18" s="133">
        <f>IF(B$17=0,0,G18/B$17)</f>
        <v>0</v>
      </c>
      <c r="I18" s="94">
        <v>11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80</v>
      </c>
      <c r="F19" s="60" t="s">
        <v>35</v>
      </c>
      <c r="G19" s="47">
        <v>0</v>
      </c>
      <c r="H19" s="133">
        <f>IF(B$17=0,0,G19/B$17)</f>
        <v>0</v>
      </c>
      <c r="I19" s="94">
        <v>10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81</v>
      </c>
      <c r="F20" s="60" t="s">
        <v>36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193</v>
      </c>
      <c r="B21" s="47">
        <v>1</v>
      </c>
      <c r="C21" s="135">
        <v>1</v>
      </c>
      <c r="E21" s="63" t="s">
        <v>83</v>
      </c>
      <c r="F21" s="60" t="s">
        <v>38</v>
      </c>
      <c r="G21" s="47">
        <v>0</v>
      </c>
      <c r="H21" s="133">
        <f>IF(B$17=0,0,G21/B$17)</f>
        <v>0</v>
      </c>
      <c r="I21" s="94">
        <v>1</v>
      </c>
    </row>
    <row r="22" spans="1:9" x14ac:dyDescent="0.4">
      <c r="A22" s="55" t="s">
        <v>194</v>
      </c>
      <c r="B22" s="47">
        <v>7</v>
      </c>
      <c r="C22" s="135">
        <v>5</v>
      </c>
      <c r="E22" s="63" t="s">
        <v>84</v>
      </c>
      <c r="F22" s="60" t="s">
        <v>39</v>
      </c>
      <c r="G22" s="47">
        <v>0</v>
      </c>
      <c r="H22" s="133">
        <f>IF(B$17=0,0,G22/B$17)</f>
        <v>0</v>
      </c>
      <c r="I22" s="94">
        <v>12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85</v>
      </c>
      <c r="F23" s="60" t="s">
        <v>40</v>
      </c>
      <c r="G23" s="47">
        <v>0</v>
      </c>
      <c r="H23" s="133">
        <f>IF(B$17=0,0,G23/B$17)</f>
        <v>0</v>
      </c>
      <c r="I23" s="94">
        <v>5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86</v>
      </c>
      <c r="F24" s="60" t="s">
        <v>41</v>
      </c>
      <c r="G24" s="47">
        <v>0</v>
      </c>
      <c r="H24" s="133">
        <f>IF(B$17=0,0,G24/B$17)</f>
        <v>0</v>
      </c>
      <c r="I24" s="94">
        <v>4</v>
      </c>
    </row>
    <row r="25" spans="1:9" x14ac:dyDescent="0.4">
      <c r="A25" s="90" t="s">
        <v>142</v>
      </c>
      <c r="B25" s="140">
        <v>5</v>
      </c>
      <c r="C25" s="141"/>
      <c r="E25" s="63" t="s">
        <v>87</v>
      </c>
      <c r="F25" s="60" t="s">
        <v>42</v>
      </c>
      <c r="G25" s="47">
        <v>0</v>
      </c>
      <c r="H25" s="133">
        <f>IF(B$17=0,0,G25/B$17)</f>
        <v>0</v>
      </c>
      <c r="I25" s="94">
        <v>11</v>
      </c>
    </row>
    <row r="26" spans="1:9" x14ac:dyDescent="0.4">
      <c r="A26" s="58" t="s">
        <v>152</v>
      </c>
      <c r="B26" s="138">
        <v>48300</v>
      </c>
      <c r="C26" s="139"/>
      <c r="E26" s="63" t="s">
        <v>88</v>
      </c>
      <c r="F26" s="60" t="s">
        <v>43</v>
      </c>
      <c r="G26" s="47">
        <v>0</v>
      </c>
      <c r="H26" s="133">
        <f>IF(B$17=0,0,G26/B$17)</f>
        <v>0</v>
      </c>
      <c r="I26" s="94">
        <v>7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89</v>
      </c>
      <c r="F27" s="60" t="s">
        <v>44</v>
      </c>
      <c r="G27" s="47">
        <v>0</v>
      </c>
      <c r="H27" s="133">
        <f>IF(B$17=0,0,G27/B$17)</f>
        <v>0</v>
      </c>
      <c r="I27" s="94">
        <v>4</v>
      </c>
    </row>
    <row r="28" spans="1:9" x14ac:dyDescent="0.4">
      <c r="E28" s="63" t="s">
        <v>90</v>
      </c>
      <c r="F28" s="60" t="s">
        <v>45</v>
      </c>
      <c r="G28" s="47">
        <v>0</v>
      </c>
      <c r="H28" s="133">
        <f>IF(B$17=0,0,G28/B$17)</f>
        <v>0</v>
      </c>
      <c r="I28" s="94">
        <v>13</v>
      </c>
    </row>
    <row r="29" spans="1:9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5</v>
      </c>
    </row>
    <row r="30" spans="1:9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9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6</v>
      </c>
    </row>
    <row r="32" spans="1:9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6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EAE5A-0DE7-491F-80DA-6928FC782EBE}">
  <sheetPr codeName="Sheet2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2</v>
      </c>
      <c r="C2" s="147"/>
      <c r="E2" s="62" t="s">
        <v>73</v>
      </c>
      <c r="F2" s="59" t="s">
        <v>28</v>
      </c>
      <c r="G2" s="46">
        <v>5</v>
      </c>
      <c r="H2" s="132">
        <f>IF(B$17=0,0,G2/B$17)</f>
        <v>1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250</v>
      </c>
      <c r="P2" s="118">
        <v>2</v>
      </c>
      <c r="Q2" s="102">
        <v>500</v>
      </c>
    </row>
    <row r="3" spans="1:17" x14ac:dyDescent="0.4">
      <c r="A3" s="55" t="s">
        <v>8</v>
      </c>
      <c r="B3" s="148">
        <v>17</v>
      </c>
      <c r="C3" s="149"/>
      <c r="E3" s="63" t="s">
        <v>67</v>
      </c>
      <c r="F3" s="60" t="s">
        <v>23</v>
      </c>
      <c r="G3" s="47">
        <v>4</v>
      </c>
      <c r="H3" s="133">
        <f>IF(B$17=0,0,G3/B$17)</f>
        <v>0.8</v>
      </c>
      <c r="I3" s="94">
        <v>5</v>
      </c>
      <c r="K3" s="38">
        <v>1</v>
      </c>
      <c r="L3" s="99">
        <v>-37</v>
      </c>
      <c r="N3" s="115" t="s">
        <v>133</v>
      </c>
      <c r="O3" s="122">
        <f t="shared" si="0"/>
        <v>-7000</v>
      </c>
      <c r="P3" s="119">
        <v>2</v>
      </c>
      <c r="Q3" s="103">
        <v>-14000</v>
      </c>
    </row>
    <row r="4" spans="1:17" x14ac:dyDescent="0.4">
      <c r="A4" s="55" t="s">
        <v>6</v>
      </c>
      <c r="B4" s="150">
        <v>-24.7</v>
      </c>
      <c r="C4" s="151"/>
      <c r="E4" s="63" t="s">
        <v>65</v>
      </c>
      <c r="F4" s="60" t="s">
        <v>21</v>
      </c>
      <c r="G4" s="47">
        <v>3</v>
      </c>
      <c r="H4" s="133">
        <f>IF(B$17=0,0,G4/B$17)</f>
        <v>0.6</v>
      </c>
      <c r="I4" s="94">
        <v>3</v>
      </c>
      <c r="K4" s="38">
        <v>2</v>
      </c>
      <c r="L4" s="99">
        <v>-24.7</v>
      </c>
      <c r="N4" s="115" t="s">
        <v>134</v>
      </c>
      <c r="O4" s="122">
        <f t="shared" si="0"/>
        <v>-3000</v>
      </c>
      <c r="P4" s="119">
        <v>2</v>
      </c>
      <c r="Q4" s="103">
        <v>-6000</v>
      </c>
    </row>
    <row r="5" spans="1:17" x14ac:dyDescent="0.4">
      <c r="A5" s="55" t="s">
        <v>7</v>
      </c>
      <c r="B5" s="152">
        <f>IF(B$2=0,0,B$4/B$2)</f>
        <v>-12.35</v>
      </c>
      <c r="C5" s="153"/>
      <c r="E5" s="63" t="s">
        <v>68</v>
      </c>
      <c r="F5" s="60" t="s">
        <v>24</v>
      </c>
      <c r="G5" s="47">
        <v>3</v>
      </c>
      <c r="H5" s="133">
        <f>IF(B$17=0,0,G5/B$17)</f>
        <v>0.6</v>
      </c>
      <c r="I5" s="94">
        <v>1</v>
      </c>
      <c r="N5" s="115" t="s">
        <v>135</v>
      </c>
      <c r="O5" s="122">
        <f t="shared" si="0"/>
        <v>-1000</v>
      </c>
      <c r="P5" s="119">
        <v>2</v>
      </c>
      <c r="Q5" s="103">
        <v>-2000</v>
      </c>
    </row>
    <row r="6" spans="1:17" x14ac:dyDescent="0.4">
      <c r="A6" s="55" t="s">
        <v>1</v>
      </c>
      <c r="B6" s="142">
        <f>IF(B$2=0,0,(B$7*1+B$8*2+B$9*3)/B$2)</f>
        <v>2.5</v>
      </c>
      <c r="C6" s="143"/>
      <c r="E6" s="63" t="s">
        <v>69</v>
      </c>
      <c r="F6" s="60" t="s">
        <v>12</v>
      </c>
      <c r="G6" s="47">
        <v>3</v>
      </c>
      <c r="H6" s="133">
        <f>IF(B$17=0,0,G6/B$17)</f>
        <v>0.6</v>
      </c>
      <c r="I6" s="94">
        <v>1</v>
      </c>
      <c r="N6" s="115" t="s">
        <v>136</v>
      </c>
      <c r="O6" s="122">
        <f t="shared" si="0"/>
        <v>400</v>
      </c>
      <c r="P6" s="119">
        <v>2</v>
      </c>
      <c r="Q6" s="103">
        <v>800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90</v>
      </c>
      <c r="F7" s="60" t="s">
        <v>45</v>
      </c>
      <c r="G7" s="47">
        <v>2</v>
      </c>
      <c r="H7" s="133">
        <f>IF(B$17=0,0,G7/B$17)</f>
        <v>0.4</v>
      </c>
      <c r="I7" s="94">
        <v>1</v>
      </c>
      <c r="N7" s="116" t="s">
        <v>137</v>
      </c>
      <c r="O7" s="123">
        <f t="shared" si="0"/>
        <v>16000</v>
      </c>
      <c r="P7" s="120">
        <v>1</v>
      </c>
      <c r="Q7" s="104">
        <v>16000</v>
      </c>
    </row>
    <row r="8" spans="1:17" x14ac:dyDescent="0.4">
      <c r="A8" s="55" t="s">
        <v>3</v>
      </c>
      <c r="B8" s="47">
        <v>1</v>
      </c>
      <c r="C8" s="39">
        <f>IF(B$2=0,0,B8/B$2)</f>
        <v>0.5</v>
      </c>
      <c r="E8" s="63" t="s">
        <v>79</v>
      </c>
      <c r="F8" s="60" t="s">
        <v>34</v>
      </c>
      <c r="G8" s="47">
        <v>1</v>
      </c>
      <c r="H8" s="133">
        <f>IF(B$17=0,0,G8/B$17)</f>
        <v>0.2</v>
      </c>
      <c r="I8" s="94">
        <v>1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0.5</v>
      </c>
      <c r="E9" s="63" t="s">
        <v>84</v>
      </c>
      <c r="F9" s="60" t="s">
        <v>39</v>
      </c>
      <c r="G9" s="47">
        <v>1</v>
      </c>
      <c r="H9" s="133">
        <f>IF(B$17=0,0,G9/B$17)</f>
        <v>0.2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181</v>
      </c>
      <c r="F10" s="60" t="s">
        <v>182</v>
      </c>
      <c r="G10" s="47">
        <v>1</v>
      </c>
      <c r="H10" s="133">
        <f>IF(B$17=0,0,G10/B$17)</f>
        <v>0.2</v>
      </c>
      <c r="I10" s="94">
        <v>13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66</v>
      </c>
      <c r="F11" s="60" t="s">
        <v>22</v>
      </c>
      <c r="G11" s="47">
        <v>0</v>
      </c>
      <c r="H11" s="133">
        <f>IF(B$17=0,0,G11/B$17)</f>
        <v>0</v>
      </c>
      <c r="I11" s="94">
        <v>11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70</v>
      </c>
      <c r="F12" s="60" t="s">
        <v>25</v>
      </c>
      <c r="G12" s="47">
        <v>0</v>
      </c>
      <c r="H12" s="133">
        <f>IF(B$17=0,0,G12/B$17)</f>
        <v>0</v>
      </c>
      <c r="I12" s="94">
        <v>12</v>
      </c>
      <c r="N12" s="116" t="s">
        <v>166</v>
      </c>
      <c r="O12" s="126">
        <f>IF(P12=0,0,Q12/P12)</f>
        <v>12.3</v>
      </c>
      <c r="P12" s="120">
        <v>1</v>
      </c>
      <c r="Q12" s="108">
        <v>12.3</v>
      </c>
    </row>
    <row r="13" spans="1:17" x14ac:dyDescent="0.4">
      <c r="A13" s="58" t="s">
        <v>122</v>
      </c>
      <c r="B13" s="50">
        <v>3</v>
      </c>
      <c r="C13" s="44">
        <f>IF(B$3=0,0,B13/B$3)</f>
        <v>0.17647058823529413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0.23529411764705882</v>
      </c>
      <c r="E14" s="63" t="s">
        <v>72</v>
      </c>
      <c r="F14" s="60" t="s">
        <v>27</v>
      </c>
      <c r="G14" s="47">
        <v>0</v>
      </c>
      <c r="H14" s="133">
        <f>IF(B$17=0,0,G14/B$17)</f>
        <v>0</v>
      </c>
      <c r="I14" s="94">
        <v>11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1</v>
      </c>
      <c r="E15" s="63" t="s">
        <v>74</v>
      </c>
      <c r="F15" s="60" t="s">
        <v>29</v>
      </c>
      <c r="G15" s="47">
        <v>0</v>
      </c>
      <c r="H15" s="133">
        <f>IF(B$17=0,0,G15/B$17)</f>
        <v>0</v>
      </c>
      <c r="I15" s="94">
        <v>8</v>
      </c>
      <c r="N15" s="114" t="s">
        <v>127</v>
      </c>
      <c r="O15" s="124">
        <f>IF(P15=0,0,Q15/P15)</f>
        <v>81.8</v>
      </c>
      <c r="P15" s="118">
        <v>1</v>
      </c>
      <c r="Q15" s="106">
        <v>81.8</v>
      </c>
    </row>
    <row r="16" spans="1:17" x14ac:dyDescent="0.4">
      <c r="A16" s="54" t="s">
        <v>125</v>
      </c>
      <c r="B16" s="46">
        <v>1</v>
      </c>
      <c r="C16" s="37">
        <f>IF(B$14=0,0,B16/B$14)</f>
        <v>0.25</v>
      </c>
      <c r="E16" s="63" t="s">
        <v>75</v>
      </c>
      <c r="F16" s="60" t="s">
        <v>30</v>
      </c>
      <c r="G16" s="47">
        <v>0</v>
      </c>
      <c r="H16" s="133">
        <f>IF(B$17=0,0,G16/B$17)</f>
        <v>0</v>
      </c>
      <c r="I16" s="94">
        <v>6</v>
      </c>
      <c r="N16" s="115" t="s">
        <v>172</v>
      </c>
      <c r="O16" s="125">
        <f>IF(P16=0,0,Q16/P16)</f>
        <v>-30.3</v>
      </c>
      <c r="P16" s="119">
        <v>1</v>
      </c>
      <c r="Q16" s="107">
        <v>-30.3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0.29411764705882354</v>
      </c>
      <c r="E17" s="63" t="s">
        <v>76</v>
      </c>
      <c r="F17" s="60" t="s">
        <v>31</v>
      </c>
      <c r="G17" s="47">
        <v>0</v>
      </c>
      <c r="H17" s="133">
        <f>IF(B$17=0,0,G17/B$17)</f>
        <v>0</v>
      </c>
      <c r="I17" s="94">
        <v>8</v>
      </c>
      <c r="N17" s="115" t="s">
        <v>129</v>
      </c>
      <c r="O17" s="125">
        <f>IF(P17=0,0,Q17/P17)</f>
        <v>-62.800000000000004</v>
      </c>
      <c r="P17" s="119">
        <v>2</v>
      </c>
      <c r="Q17" s="107">
        <v>-125.60000000000001</v>
      </c>
    </row>
    <row r="18" spans="1:17" x14ac:dyDescent="0.4">
      <c r="A18" s="55" t="s">
        <v>12</v>
      </c>
      <c r="B18" s="47">
        <v>3</v>
      </c>
      <c r="C18" s="39">
        <f>IF(B$17=0,0,B18/B$17)</f>
        <v>0.6</v>
      </c>
      <c r="E18" s="63" t="s">
        <v>77</v>
      </c>
      <c r="F18" s="60" t="s">
        <v>32</v>
      </c>
      <c r="G18" s="47">
        <v>0</v>
      </c>
      <c r="H18" s="133">
        <f>IF(B$17=0,0,G18/B$17)</f>
        <v>0</v>
      </c>
      <c r="I18" s="94">
        <v>1</v>
      </c>
    </row>
    <row r="19" spans="1:17" x14ac:dyDescent="0.4">
      <c r="A19" s="55" t="s">
        <v>11</v>
      </c>
      <c r="B19" s="47">
        <v>2</v>
      </c>
      <c r="C19" s="39">
        <f>IF(B$17=0,0,B19/B$17)</f>
        <v>0.4</v>
      </c>
      <c r="E19" s="63" t="s">
        <v>78</v>
      </c>
      <c r="F19" s="60" t="s">
        <v>33</v>
      </c>
      <c r="G19" s="47">
        <v>0</v>
      </c>
      <c r="H19" s="133">
        <f>IF(B$17=0,0,G19/B$17)</f>
        <v>0</v>
      </c>
      <c r="I19" s="94">
        <v>5</v>
      </c>
    </row>
    <row r="20" spans="1:17" x14ac:dyDescent="0.4">
      <c r="A20" s="55" t="s">
        <v>13</v>
      </c>
      <c r="B20" s="47">
        <v>4</v>
      </c>
      <c r="C20" s="39">
        <f>IF(B$3=0,0,B20/B$3)</f>
        <v>0.23529411764705882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10</v>
      </c>
    </row>
    <row r="21" spans="1:17" x14ac:dyDescent="0.4">
      <c r="A21" s="55" t="s">
        <v>193</v>
      </c>
      <c r="B21" s="47">
        <v>1</v>
      </c>
      <c r="C21" s="135">
        <v>1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194</v>
      </c>
      <c r="B22" s="47">
        <v>7</v>
      </c>
      <c r="C22" s="135">
        <v>2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10</v>
      </c>
    </row>
    <row r="23" spans="1:17" x14ac:dyDescent="0.4">
      <c r="A23" s="55" t="s">
        <v>5</v>
      </c>
      <c r="B23" s="51">
        <f>IF(B$17=0,0,C23/B$17)</f>
        <v>10600</v>
      </c>
      <c r="C23" s="41">
        <v>53000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-12425</v>
      </c>
      <c r="C24" s="45">
        <v>-49700</v>
      </c>
      <c r="E24" s="63" t="s">
        <v>85</v>
      </c>
      <c r="F24" s="60" t="s">
        <v>40</v>
      </c>
      <c r="G24" s="47">
        <v>0</v>
      </c>
      <c r="H24" s="133">
        <f>IF(B$17=0,0,G24/B$17)</f>
        <v>0</v>
      </c>
      <c r="I24" s="94">
        <v>5</v>
      </c>
    </row>
    <row r="25" spans="1:17" x14ac:dyDescent="0.4">
      <c r="A25" s="90" t="s">
        <v>142</v>
      </c>
      <c r="B25" s="140">
        <v>3</v>
      </c>
      <c r="C25" s="141"/>
      <c r="E25" s="63" t="s">
        <v>86</v>
      </c>
      <c r="F25" s="60" t="s">
        <v>41</v>
      </c>
      <c r="G25" s="47">
        <v>0</v>
      </c>
      <c r="H25" s="133">
        <f>IF(B$17=0,0,G25/B$17)</f>
        <v>0</v>
      </c>
      <c r="I25" s="94">
        <v>4</v>
      </c>
    </row>
    <row r="26" spans="1:17" x14ac:dyDescent="0.4">
      <c r="A26" s="58" t="s">
        <v>152</v>
      </c>
      <c r="B26" s="138">
        <v>47300</v>
      </c>
      <c r="C26" s="139"/>
      <c r="E26" s="63" t="s">
        <v>87</v>
      </c>
      <c r="F26" s="60" t="s">
        <v>42</v>
      </c>
      <c r="G26" s="47">
        <v>0</v>
      </c>
      <c r="H26" s="133">
        <f>IF(B$17=0,0,G26/B$17)</f>
        <v>0</v>
      </c>
      <c r="I26" s="94">
        <v>11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7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5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6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17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84F0C-C521-4AF5-B459-CA6116668AAC}">
  <sheetPr codeName="Sheet30"/>
  <dimension ref="A1:Q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225</v>
      </c>
      <c r="B1" s="70" t="s">
        <v>225</v>
      </c>
      <c r="C1" s="70" t="s">
        <v>225</v>
      </c>
      <c r="D1" s="71" t="s">
        <v>225</v>
      </c>
      <c r="E1" s="70" t="s">
        <v>225</v>
      </c>
      <c r="F1" s="70" t="s">
        <v>225</v>
      </c>
      <c r="G1" s="70" t="s">
        <v>225</v>
      </c>
      <c r="H1" s="70" t="s">
        <v>225</v>
      </c>
      <c r="I1" s="70" t="s">
        <v>225</v>
      </c>
      <c r="J1" s="70" t="s">
        <v>225</v>
      </c>
      <c r="K1" s="70" t="s">
        <v>225</v>
      </c>
      <c r="L1" s="70" t="s">
        <v>225</v>
      </c>
      <c r="M1" s="70" t="s">
        <v>225</v>
      </c>
      <c r="N1" s="70" t="s">
        <v>225</v>
      </c>
      <c r="O1" s="70" t="s">
        <v>225</v>
      </c>
      <c r="P1" s="70" t="s">
        <v>225</v>
      </c>
      <c r="Q1" s="70" t="s">
        <v>225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  <row r="5" spans="1:17" x14ac:dyDescent="0.4">
      <c r="A5" s="69">
        <v>2</v>
      </c>
      <c r="B5" s="66">
        <v>-24.7</v>
      </c>
      <c r="C5" s="66">
        <v>-12.35</v>
      </c>
      <c r="D5" s="71">
        <v>2.5</v>
      </c>
      <c r="E5" s="67">
        <v>0</v>
      </c>
      <c r="F5" s="67">
        <v>0.5</v>
      </c>
      <c r="G5" s="67">
        <v>0.29411764705882354</v>
      </c>
      <c r="H5" s="67">
        <v>0.23529411764705882</v>
      </c>
      <c r="I5" s="68">
        <v>10600</v>
      </c>
      <c r="J5" s="68">
        <v>-12425</v>
      </c>
      <c r="K5" s="67">
        <v>0</v>
      </c>
      <c r="L5" s="67">
        <v>0</v>
      </c>
      <c r="M5" s="67">
        <v>0.17647058823529413</v>
      </c>
      <c r="N5" s="67">
        <v>0.23529411764705882</v>
      </c>
      <c r="O5" s="67">
        <v>1</v>
      </c>
      <c r="P5" s="67">
        <v>0.25</v>
      </c>
      <c r="Q5" s="67">
        <v>0.6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D1954-B6E6-49CA-9537-93775BE6BAAD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224</v>
      </c>
      <c r="B1" s="70" t="s">
        <v>224</v>
      </c>
      <c r="C1" s="70" t="s">
        <v>224</v>
      </c>
      <c r="D1" s="71" t="s">
        <v>224</v>
      </c>
      <c r="E1" s="70" t="s">
        <v>224</v>
      </c>
      <c r="F1" s="70" t="s">
        <v>224</v>
      </c>
      <c r="G1" s="70" t="s">
        <v>224</v>
      </c>
      <c r="H1" s="70" t="s">
        <v>224</v>
      </c>
      <c r="I1" s="70" t="s">
        <v>224</v>
      </c>
      <c r="J1" s="70" t="s">
        <v>224</v>
      </c>
      <c r="K1" s="70" t="s">
        <v>224</v>
      </c>
      <c r="L1" s="70" t="s">
        <v>224</v>
      </c>
      <c r="M1" s="70" t="s">
        <v>224</v>
      </c>
      <c r="N1" s="70" t="s">
        <v>224</v>
      </c>
      <c r="O1" s="70" t="s">
        <v>224</v>
      </c>
      <c r="P1" s="70" t="s">
        <v>224</v>
      </c>
      <c r="Q1" s="70" t="s">
        <v>224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29A916-E978-46A5-A71F-C52AA6EC608E}">
  <sheetPr codeName="Sheet26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202</v>
      </c>
      <c r="B1" s="70" t="s">
        <v>202</v>
      </c>
      <c r="C1" s="70" t="s">
        <v>202</v>
      </c>
      <c r="D1" s="71" t="s">
        <v>202</v>
      </c>
      <c r="E1" s="70" t="s">
        <v>202</v>
      </c>
      <c r="F1" s="70" t="s">
        <v>202</v>
      </c>
      <c r="G1" s="70" t="s">
        <v>202</v>
      </c>
      <c r="H1" s="70" t="s">
        <v>202</v>
      </c>
      <c r="I1" s="70" t="s">
        <v>202</v>
      </c>
      <c r="J1" s="70" t="s">
        <v>202</v>
      </c>
      <c r="K1" s="70" t="s">
        <v>202</v>
      </c>
      <c r="L1" s="70" t="s">
        <v>202</v>
      </c>
      <c r="M1" s="70" t="s">
        <v>202</v>
      </c>
      <c r="N1" s="70" t="s">
        <v>202</v>
      </c>
      <c r="O1" s="70" t="s">
        <v>202</v>
      </c>
      <c r="P1" s="70" t="s">
        <v>202</v>
      </c>
      <c r="Q1" s="70" t="s">
        <v>202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C9A5F-1C69-4FEB-B051-A7318CEAAC49}">
  <sheetPr codeName="Sheet24"/>
  <dimension ref="A1:Q1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186</v>
      </c>
      <c r="B1" s="70" t="s">
        <v>186</v>
      </c>
      <c r="C1" s="70" t="s">
        <v>186</v>
      </c>
      <c r="D1" s="71" t="s">
        <v>186</v>
      </c>
      <c r="E1" s="70" t="s">
        <v>186</v>
      </c>
      <c r="F1" s="70" t="s">
        <v>186</v>
      </c>
      <c r="G1" s="70" t="s">
        <v>186</v>
      </c>
      <c r="H1" s="70" t="s">
        <v>186</v>
      </c>
      <c r="I1" s="70" t="s">
        <v>186</v>
      </c>
      <c r="J1" s="70" t="s">
        <v>186</v>
      </c>
      <c r="K1" s="70" t="s">
        <v>186</v>
      </c>
      <c r="L1" s="70" t="s">
        <v>186</v>
      </c>
      <c r="M1" s="70" t="s">
        <v>186</v>
      </c>
      <c r="N1" s="70" t="s">
        <v>186</v>
      </c>
      <c r="O1" s="70" t="s">
        <v>186</v>
      </c>
      <c r="P1" s="70" t="s">
        <v>186</v>
      </c>
      <c r="Q1" s="70" t="s">
        <v>186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  <row r="16" spans="1:17" x14ac:dyDescent="0.4">
      <c r="A16" s="69">
        <v>13</v>
      </c>
      <c r="B16" s="66">
        <v>-144.79999999999998</v>
      </c>
      <c r="C16" s="66">
        <v>-11.138461538461538</v>
      </c>
      <c r="D16" s="71">
        <v>2.1538461538461537</v>
      </c>
      <c r="E16" s="67">
        <v>0.38461538461538464</v>
      </c>
      <c r="F16" s="67">
        <v>0.53846153846153844</v>
      </c>
      <c r="G16" s="67">
        <v>0.2767857142857143</v>
      </c>
      <c r="H16" s="67">
        <v>0.23214285714285715</v>
      </c>
      <c r="I16" s="68">
        <v>7577.4193548387093</v>
      </c>
      <c r="J16" s="68">
        <v>-8107.6923076923076</v>
      </c>
      <c r="K16" s="67">
        <v>0.15384615384615385</v>
      </c>
      <c r="L16" s="67">
        <v>0</v>
      </c>
      <c r="M16" s="67">
        <v>0.22321428571428573</v>
      </c>
      <c r="N16" s="67">
        <v>0.21428571428571427</v>
      </c>
      <c r="O16" s="67">
        <v>0.64</v>
      </c>
      <c r="P16" s="67">
        <v>0.45833333333333331</v>
      </c>
      <c r="Q16" s="67">
        <v>0.5161290322580645</v>
      </c>
    </row>
    <row r="17" spans="1:17" x14ac:dyDescent="0.4">
      <c r="A17" s="69">
        <v>14</v>
      </c>
      <c r="B17" s="66">
        <v>-138.69999999999999</v>
      </c>
      <c r="C17" s="66">
        <v>-9.9071428571428566</v>
      </c>
      <c r="D17" s="71">
        <v>2.1428571428571428</v>
      </c>
      <c r="E17" s="67">
        <v>0.35714285714285715</v>
      </c>
      <c r="F17" s="67">
        <v>0.5</v>
      </c>
      <c r="G17" s="67">
        <v>0.28813559322033899</v>
      </c>
      <c r="H17" s="67">
        <v>0.22033898305084745</v>
      </c>
      <c r="I17" s="68">
        <v>7494.1176470588234</v>
      </c>
      <c r="J17" s="68">
        <v>-8107.6923076923076</v>
      </c>
      <c r="K17" s="67">
        <v>0.14285714285714285</v>
      </c>
      <c r="L17" s="67">
        <v>0</v>
      </c>
      <c r="M17" s="67">
        <v>0.23728813559322035</v>
      </c>
      <c r="N17" s="67">
        <v>0.21186440677966101</v>
      </c>
      <c r="O17" s="67">
        <v>0.6785714285714286</v>
      </c>
      <c r="P17" s="67">
        <v>0.44</v>
      </c>
      <c r="Q17" s="67">
        <v>0.52941176470588236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315BF-DE68-4E31-8BAD-1F255C2D35AA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185</v>
      </c>
      <c r="B1" s="70" t="s">
        <v>185</v>
      </c>
      <c r="C1" s="70" t="s">
        <v>185</v>
      </c>
      <c r="D1" s="71" t="s">
        <v>185</v>
      </c>
      <c r="E1" s="70" t="s">
        <v>185</v>
      </c>
      <c r="F1" s="70" t="s">
        <v>185</v>
      </c>
      <c r="G1" s="70" t="s">
        <v>185</v>
      </c>
      <c r="H1" s="70" t="s">
        <v>185</v>
      </c>
      <c r="I1" s="70" t="s">
        <v>185</v>
      </c>
      <c r="J1" s="70" t="s">
        <v>185</v>
      </c>
      <c r="K1" s="70" t="s">
        <v>185</v>
      </c>
      <c r="L1" s="70" t="s">
        <v>185</v>
      </c>
      <c r="M1" s="70" t="s">
        <v>185</v>
      </c>
      <c r="N1" s="70" t="s">
        <v>185</v>
      </c>
      <c r="O1" s="70" t="s">
        <v>185</v>
      </c>
      <c r="P1" s="70" t="s">
        <v>185</v>
      </c>
      <c r="Q1" s="70" t="s">
        <v>185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8A784-761C-45D6-896B-D4DEF90D40C9}">
  <sheetPr codeName="Sheet20"/>
  <dimension ref="A1:Q5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">
      <c r="A37" s="69">
        <v>34</v>
      </c>
      <c r="B37" s="66">
        <v>-45.800000000000004</v>
      </c>
      <c r="C37" s="66">
        <v>-1.3470588235294119</v>
      </c>
      <c r="D37" s="71">
        <v>1.9705882352941178</v>
      </c>
      <c r="E37" s="67">
        <v>0.38235294117647056</v>
      </c>
      <c r="F37" s="67">
        <v>0.35294117647058826</v>
      </c>
      <c r="G37" s="67">
        <v>0.29328621908127206</v>
      </c>
      <c r="H37" s="67">
        <v>0.16961130742049471</v>
      </c>
      <c r="I37" s="68">
        <v>7945.7831325301204</v>
      </c>
      <c r="J37" s="68">
        <v>-7735.416666666667</v>
      </c>
      <c r="K37" s="67">
        <v>0.17647058823529413</v>
      </c>
      <c r="L37" s="67">
        <v>5.8823529411764705E-2</v>
      </c>
      <c r="M37" s="67">
        <v>0.21201413427561838</v>
      </c>
      <c r="N37" s="67">
        <v>0.22614840989399293</v>
      </c>
      <c r="O37" s="67">
        <v>0.7</v>
      </c>
      <c r="P37" s="67">
        <v>0.390625</v>
      </c>
      <c r="Q37" s="67">
        <v>0.39759036144578314</v>
      </c>
    </row>
    <row r="38" spans="1:17" x14ac:dyDescent="0.4">
      <c r="A38" s="69">
        <v>35</v>
      </c>
      <c r="B38" s="66">
        <v>19.399999999999999</v>
      </c>
      <c r="C38" s="66">
        <v>0.55428571428571427</v>
      </c>
      <c r="D38" s="71">
        <v>1.9428571428571428</v>
      </c>
      <c r="E38" s="67">
        <v>0.4</v>
      </c>
      <c r="F38" s="67">
        <v>0.34285714285714286</v>
      </c>
      <c r="G38" s="67">
        <v>0.2986111111111111</v>
      </c>
      <c r="H38" s="67">
        <v>0.1701388888888889</v>
      </c>
      <c r="I38" s="68">
        <v>8409.3023255813951</v>
      </c>
      <c r="J38" s="68">
        <v>-7822.4489795918371</v>
      </c>
      <c r="K38" s="67">
        <v>0.17142857142857143</v>
      </c>
      <c r="L38" s="67">
        <v>8.5714285714285715E-2</v>
      </c>
      <c r="M38" s="67">
        <v>0.20833333333333334</v>
      </c>
      <c r="N38" s="67">
        <v>0.22569444444444445</v>
      </c>
      <c r="O38" s="67">
        <v>0.7</v>
      </c>
      <c r="P38" s="67">
        <v>0.38461538461538464</v>
      </c>
      <c r="Q38" s="67">
        <v>0.39534883720930231</v>
      </c>
    </row>
    <row r="39" spans="1:17" x14ac:dyDescent="0.4">
      <c r="A39" s="69">
        <v>36</v>
      </c>
      <c r="B39" s="66">
        <v>85.800000000000011</v>
      </c>
      <c r="C39" s="66">
        <v>2.3833333333333337</v>
      </c>
      <c r="D39" s="71">
        <v>1.9166666666666667</v>
      </c>
      <c r="E39" s="67">
        <v>0.41666666666666669</v>
      </c>
      <c r="F39" s="67">
        <v>0.33333333333333331</v>
      </c>
      <c r="G39" s="67">
        <v>0.30132450331125826</v>
      </c>
      <c r="H39" s="67">
        <v>0.16556291390728478</v>
      </c>
      <c r="I39" s="68">
        <v>8735.1648351648346</v>
      </c>
      <c r="J39" s="68">
        <v>-7782</v>
      </c>
      <c r="K39" s="67">
        <v>0.16666666666666666</v>
      </c>
      <c r="L39" s="67">
        <v>8.3333333333333329E-2</v>
      </c>
      <c r="M39" s="67">
        <v>0.2251655629139073</v>
      </c>
      <c r="N39" s="67">
        <v>0.22185430463576158</v>
      </c>
      <c r="O39" s="67">
        <v>0.69117647058823528</v>
      </c>
      <c r="P39" s="67">
        <v>0.37313432835820898</v>
      </c>
      <c r="Q39" s="67">
        <v>0.40659340659340659</v>
      </c>
    </row>
    <row r="40" spans="1:17" x14ac:dyDescent="0.4">
      <c r="A40" s="69">
        <v>37</v>
      </c>
      <c r="B40" s="66">
        <v>44.70000000000001</v>
      </c>
      <c r="C40" s="66">
        <v>1.2081081081081084</v>
      </c>
      <c r="D40" s="71">
        <v>1.9459459459459461</v>
      </c>
      <c r="E40" s="67">
        <v>0.40540540540540543</v>
      </c>
      <c r="F40" s="67">
        <v>0.35135135135135137</v>
      </c>
      <c r="G40" s="67">
        <v>0.29773462783171523</v>
      </c>
      <c r="H40" s="67">
        <v>0.1650485436893204</v>
      </c>
      <c r="I40" s="68">
        <v>8683.6956521739139</v>
      </c>
      <c r="J40" s="68">
        <v>-7680.3921568627447</v>
      </c>
      <c r="K40" s="67">
        <v>0.16216216216216217</v>
      </c>
      <c r="L40" s="67">
        <v>8.1081081081081086E-2</v>
      </c>
      <c r="M40" s="67">
        <v>0.22330097087378642</v>
      </c>
      <c r="N40" s="67">
        <v>0.2168284789644013</v>
      </c>
      <c r="O40" s="67">
        <v>0.69565217391304346</v>
      </c>
      <c r="P40" s="67">
        <v>0.37313432835820898</v>
      </c>
      <c r="Q40" s="67">
        <v>0.41304347826086957</v>
      </c>
    </row>
    <row r="41" spans="1:17" x14ac:dyDescent="0.4">
      <c r="A41" s="69">
        <v>38</v>
      </c>
      <c r="B41" s="66">
        <v>-18.79999999999999</v>
      </c>
      <c r="C41" s="66">
        <v>-0.49473684210526292</v>
      </c>
      <c r="D41" s="71">
        <v>1.9736842105263157</v>
      </c>
      <c r="E41" s="67">
        <v>0.39473684210526316</v>
      </c>
      <c r="F41" s="67">
        <v>0.36842105263157893</v>
      </c>
      <c r="G41" s="67">
        <v>0.29153605015673983</v>
      </c>
      <c r="H41" s="67">
        <v>0.16614420062695925</v>
      </c>
      <c r="I41" s="68">
        <v>8673.1182795698933</v>
      </c>
      <c r="J41" s="68">
        <v>-7664.1509433962265</v>
      </c>
      <c r="K41" s="67">
        <v>0.18421052631578946</v>
      </c>
      <c r="L41" s="67">
        <v>7.8947368421052627E-2</v>
      </c>
      <c r="M41" s="67">
        <v>0.22884012539184953</v>
      </c>
      <c r="N41" s="67">
        <v>0.21316614420062696</v>
      </c>
      <c r="O41" s="67">
        <v>0.67123287671232879</v>
      </c>
      <c r="P41" s="67">
        <v>0.36764705882352944</v>
      </c>
      <c r="Q41" s="67">
        <v>0.41935483870967744</v>
      </c>
    </row>
    <row r="42" spans="1:17" x14ac:dyDescent="0.4">
      <c r="A42" s="69">
        <v>39</v>
      </c>
      <c r="B42" s="66">
        <v>-16.699999999999989</v>
      </c>
      <c r="C42" s="66">
        <v>-0.42820512820512791</v>
      </c>
      <c r="D42" s="71">
        <v>1.9743589743589745</v>
      </c>
      <c r="E42" s="67">
        <v>0.38461538461538464</v>
      </c>
      <c r="F42" s="67">
        <v>0.35897435897435898</v>
      </c>
      <c r="G42" s="67">
        <v>0.29447852760736198</v>
      </c>
      <c r="H42" s="67">
        <v>0.16257668711656442</v>
      </c>
      <c r="I42" s="68">
        <v>8621.875</v>
      </c>
      <c r="J42" s="68">
        <v>-7664.1509433962265</v>
      </c>
      <c r="K42" s="67">
        <v>0.17948717948717949</v>
      </c>
      <c r="L42" s="67">
        <v>7.6923076923076927E-2</v>
      </c>
      <c r="M42" s="67">
        <v>0.23312883435582821</v>
      </c>
      <c r="N42" s="67">
        <v>0.21165644171779141</v>
      </c>
      <c r="O42" s="67">
        <v>0.67105263157894735</v>
      </c>
      <c r="P42" s="67">
        <v>0.37681159420289856</v>
      </c>
      <c r="Q42" s="67">
        <v>0.41666666666666669</v>
      </c>
    </row>
    <row r="43" spans="1:17" x14ac:dyDescent="0.4">
      <c r="A43" s="69">
        <v>40</v>
      </c>
      <c r="B43" s="66">
        <v>39.300000000000011</v>
      </c>
      <c r="C43" s="66">
        <v>0.98250000000000026</v>
      </c>
      <c r="D43" s="71">
        <v>1.95</v>
      </c>
      <c r="E43" s="67">
        <v>0.4</v>
      </c>
      <c r="F43" s="67">
        <v>0.35</v>
      </c>
      <c r="G43" s="67">
        <v>0.3</v>
      </c>
      <c r="H43" s="67">
        <v>0.16060606060606061</v>
      </c>
      <c r="I43" s="68">
        <v>8683.8383838383834</v>
      </c>
      <c r="J43" s="68">
        <v>-7664.1509433962265</v>
      </c>
      <c r="K43" s="67">
        <v>0.17499999999999999</v>
      </c>
      <c r="L43" s="67">
        <v>0.1</v>
      </c>
      <c r="M43" s="67">
        <v>0.23636363636363636</v>
      </c>
      <c r="N43" s="67">
        <v>0.20909090909090908</v>
      </c>
      <c r="O43" s="67">
        <v>0.67948717948717952</v>
      </c>
      <c r="P43" s="67">
        <v>0.37681159420289856</v>
      </c>
      <c r="Q43" s="67">
        <v>0.41414141414141414</v>
      </c>
    </row>
    <row r="44" spans="1:17" x14ac:dyDescent="0.4">
      <c r="A44" s="69">
        <v>41</v>
      </c>
      <c r="B44" s="66">
        <v>96.300000000000011</v>
      </c>
      <c r="C44" s="66">
        <v>2.3487804878048784</v>
      </c>
      <c r="D44" s="71">
        <v>1.9268292682926829</v>
      </c>
      <c r="E44" s="67">
        <v>0.41463414634146339</v>
      </c>
      <c r="F44" s="67">
        <v>0.34146341463414637</v>
      </c>
      <c r="G44" s="67">
        <v>0.30630630630630629</v>
      </c>
      <c r="H44" s="67">
        <v>0.15915915915915915</v>
      </c>
      <c r="I44" s="68">
        <v>8781.3725490196084</v>
      </c>
      <c r="J44" s="68">
        <v>-7664.1509433962265</v>
      </c>
      <c r="K44" s="67">
        <v>0.17073170731707318</v>
      </c>
      <c r="L44" s="67">
        <v>0.12195121951219512</v>
      </c>
      <c r="M44" s="67">
        <v>0.24324324324324326</v>
      </c>
      <c r="N44" s="67">
        <v>0.2072072072072072</v>
      </c>
      <c r="O44" s="67">
        <v>0.69135802469135799</v>
      </c>
      <c r="P44" s="67">
        <v>0.37681159420289856</v>
      </c>
      <c r="Q44" s="67">
        <v>0.40196078431372551</v>
      </c>
    </row>
    <row r="45" spans="1:17" x14ac:dyDescent="0.4">
      <c r="A45" s="69">
        <v>42</v>
      </c>
      <c r="B45" s="66">
        <v>97.600000000000009</v>
      </c>
      <c r="C45" s="66">
        <v>2.323809523809524</v>
      </c>
      <c r="D45" s="71">
        <v>1.9285714285714286</v>
      </c>
      <c r="E45" s="67">
        <v>0.40476190476190477</v>
      </c>
      <c r="F45" s="67">
        <v>0.33333333333333331</v>
      </c>
      <c r="G45" s="67">
        <v>0.30791788856304986</v>
      </c>
      <c r="H45" s="67">
        <v>0.15835777126099707</v>
      </c>
      <c r="I45" s="68">
        <v>8869.5238095238092</v>
      </c>
      <c r="J45" s="68">
        <v>-7670.3703703703704</v>
      </c>
      <c r="K45" s="67">
        <v>0.16666666666666666</v>
      </c>
      <c r="L45" s="67">
        <v>0.11904761904761904</v>
      </c>
      <c r="M45" s="67">
        <v>0.24926686217008798</v>
      </c>
      <c r="N45" s="67">
        <v>0.20527859237536658</v>
      </c>
      <c r="O45" s="67">
        <v>0.69411764705882351</v>
      </c>
      <c r="P45" s="67">
        <v>0.37142857142857144</v>
      </c>
      <c r="Q45" s="67">
        <v>0.41904761904761906</v>
      </c>
    </row>
    <row r="46" spans="1:17" x14ac:dyDescent="0.4">
      <c r="A46" s="69">
        <v>43</v>
      </c>
      <c r="B46" s="66">
        <v>103.10000000000001</v>
      </c>
      <c r="C46" s="66">
        <v>2.3976744186046512</v>
      </c>
      <c r="D46" s="71">
        <v>1.930232558139535</v>
      </c>
      <c r="E46" s="67">
        <v>0.39534883720930231</v>
      </c>
      <c r="F46" s="67">
        <v>0.32558139534883723</v>
      </c>
      <c r="G46" s="67">
        <v>0.30945558739255014</v>
      </c>
      <c r="H46" s="67">
        <v>0.15759312320916904</v>
      </c>
      <c r="I46" s="68">
        <v>8845.3703703703704</v>
      </c>
      <c r="J46" s="68">
        <v>-7749.090909090909</v>
      </c>
      <c r="K46" s="67">
        <v>0.16279069767441862</v>
      </c>
      <c r="L46" s="67">
        <v>0.11627906976744186</v>
      </c>
      <c r="M46" s="67">
        <v>0.25214899713467048</v>
      </c>
      <c r="N46" s="67">
        <v>0.20057306590257878</v>
      </c>
      <c r="O46" s="67">
        <v>0.70454545454545459</v>
      </c>
      <c r="P46" s="67">
        <v>0.37142857142857144</v>
      </c>
      <c r="Q46" s="67">
        <v>0.41666666666666669</v>
      </c>
    </row>
    <row r="47" spans="1:17" x14ac:dyDescent="0.4">
      <c r="A47" s="69">
        <v>44</v>
      </c>
      <c r="B47" s="66">
        <v>96.600000000000009</v>
      </c>
      <c r="C47" s="66">
        <v>2.1954545454545458</v>
      </c>
      <c r="D47" s="71">
        <v>1.9318181818181819</v>
      </c>
      <c r="E47" s="67">
        <v>0.38636363636363635</v>
      </c>
      <c r="F47" s="67">
        <v>0.31818181818181818</v>
      </c>
      <c r="G47" s="67">
        <v>0.30422535211267604</v>
      </c>
      <c r="H47" s="67">
        <v>0.16056338028169015</v>
      </c>
      <c r="I47" s="68">
        <v>8845.3703703703704</v>
      </c>
      <c r="J47" s="68">
        <v>-7591.2280701754389</v>
      </c>
      <c r="K47" s="67">
        <v>0.15909090909090909</v>
      </c>
      <c r="L47" s="67">
        <v>0.11363636363636363</v>
      </c>
      <c r="M47" s="67">
        <v>0.25352112676056338</v>
      </c>
      <c r="N47" s="67">
        <v>0.19718309859154928</v>
      </c>
      <c r="O47" s="67">
        <v>0.68888888888888888</v>
      </c>
      <c r="P47" s="67">
        <v>0.37142857142857144</v>
      </c>
      <c r="Q47" s="67">
        <v>0.41666666666666669</v>
      </c>
    </row>
    <row r="48" spans="1:17" x14ac:dyDescent="0.4">
      <c r="A48" s="69">
        <v>45</v>
      </c>
      <c r="B48" s="66">
        <v>39.500000000000007</v>
      </c>
      <c r="C48" s="66">
        <v>0.87777777777777799</v>
      </c>
      <c r="D48" s="71">
        <v>1.9555555555555555</v>
      </c>
      <c r="E48" s="67">
        <v>0.37777777777777777</v>
      </c>
      <c r="F48" s="67">
        <v>0.33333333333333331</v>
      </c>
      <c r="G48" s="67">
        <v>0.29700272479564033</v>
      </c>
      <c r="H48" s="67">
        <v>0.16621253405994552</v>
      </c>
      <c r="I48" s="68">
        <v>8874.3119266055037</v>
      </c>
      <c r="J48" s="68">
        <v>-7621.311475409836</v>
      </c>
      <c r="K48" s="67">
        <v>0.17777777777777778</v>
      </c>
      <c r="L48" s="67">
        <v>0.1111111111111111</v>
      </c>
      <c r="M48" s="67">
        <v>0.2561307901907357</v>
      </c>
      <c r="N48" s="67">
        <v>0.1907356948228883</v>
      </c>
      <c r="O48" s="67">
        <v>0.67021276595744683</v>
      </c>
      <c r="P48" s="67">
        <v>0.37142857142857144</v>
      </c>
      <c r="Q48" s="67">
        <v>0.41284403669724773</v>
      </c>
    </row>
    <row r="49" spans="1:17" x14ac:dyDescent="0.4">
      <c r="A49" s="69">
        <v>46</v>
      </c>
      <c r="B49" s="66">
        <v>37.300000000000004</v>
      </c>
      <c r="C49" s="66">
        <v>0.8108695652173914</v>
      </c>
      <c r="D49" s="71">
        <v>1.9565217391304348</v>
      </c>
      <c r="E49" s="67">
        <v>0.36956521739130432</v>
      </c>
      <c r="F49" s="67">
        <v>0.32608695652173914</v>
      </c>
      <c r="G49" s="67">
        <v>0.29333333333333333</v>
      </c>
      <c r="H49" s="67">
        <v>0.16266666666666665</v>
      </c>
      <c r="I49" s="68">
        <v>8805.454545454546</v>
      </c>
      <c r="J49" s="68">
        <v>-7621.311475409836</v>
      </c>
      <c r="K49" s="67">
        <v>0.17391304347826086</v>
      </c>
      <c r="L49" s="67">
        <v>0.10869565217391304</v>
      </c>
      <c r="M49" s="67">
        <v>0.25866666666666666</v>
      </c>
      <c r="N49" s="67">
        <v>0.192</v>
      </c>
      <c r="O49" s="67">
        <v>0.65979381443298968</v>
      </c>
      <c r="P49" s="67">
        <v>0.3611111111111111</v>
      </c>
      <c r="Q49" s="67">
        <v>0.40909090909090912</v>
      </c>
    </row>
    <row r="50" spans="1:17" x14ac:dyDescent="0.4">
      <c r="A50" s="69">
        <v>47</v>
      </c>
      <c r="B50" s="66">
        <v>71.099999999999994</v>
      </c>
      <c r="C50" s="66">
        <v>1.5127659574468084</v>
      </c>
      <c r="D50" s="71">
        <v>1.9361702127659575</v>
      </c>
      <c r="E50" s="67">
        <v>0.38297872340425532</v>
      </c>
      <c r="F50" s="67">
        <v>0.31914893617021278</v>
      </c>
      <c r="G50" s="67">
        <v>0.29396325459317585</v>
      </c>
      <c r="H50" s="67">
        <v>0.16010498687664043</v>
      </c>
      <c r="I50" s="68">
        <v>8838.3928571428569</v>
      </c>
      <c r="J50" s="68">
        <v>-7621.311475409836</v>
      </c>
      <c r="K50" s="67">
        <v>0.1702127659574468</v>
      </c>
      <c r="L50" s="67">
        <v>0.10638297872340426</v>
      </c>
      <c r="M50" s="67">
        <v>0.25984251968503935</v>
      </c>
      <c r="N50" s="67">
        <v>0.19160104986876642</v>
      </c>
      <c r="O50" s="67">
        <v>0.66666666666666663</v>
      </c>
      <c r="P50" s="67">
        <v>0.35616438356164382</v>
      </c>
      <c r="Q50" s="67">
        <v>0.41964285714285715</v>
      </c>
    </row>
    <row r="51" spans="1:17" x14ac:dyDescent="0.4">
      <c r="A51" s="69">
        <v>48</v>
      </c>
      <c r="B51" s="66">
        <v>40.899999999999991</v>
      </c>
      <c r="C51" s="66">
        <v>0.85208333333333319</v>
      </c>
      <c r="D51" s="71">
        <v>1.9583333333333333</v>
      </c>
      <c r="E51" s="67">
        <v>0.375</v>
      </c>
      <c r="F51" s="67">
        <v>0.33333333333333331</v>
      </c>
      <c r="G51" s="67">
        <v>0.29591836734693877</v>
      </c>
      <c r="H51" s="67">
        <v>0.16071428571428573</v>
      </c>
      <c r="I51" s="68">
        <v>8723.2758620689656</v>
      </c>
      <c r="J51" s="68">
        <v>-7787.3015873015875</v>
      </c>
      <c r="K51" s="67">
        <v>0.16666666666666666</v>
      </c>
      <c r="L51" s="67">
        <v>0.10416666666666667</v>
      </c>
      <c r="M51" s="67">
        <v>0.26020408163265307</v>
      </c>
      <c r="N51" s="67">
        <v>0.18877551020408162</v>
      </c>
      <c r="O51" s="67">
        <v>0.67647058823529416</v>
      </c>
      <c r="P51" s="67">
        <v>0.35135135135135137</v>
      </c>
      <c r="Q51" s="67">
        <v>0.42241379310344829</v>
      </c>
    </row>
    <row r="52" spans="1:17" x14ac:dyDescent="0.4">
      <c r="A52" s="69">
        <v>49</v>
      </c>
      <c r="B52" s="66">
        <v>-29.900000000000006</v>
      </c>
      <c r="C52" s="66">
        <v>-0.61020408163265316</v>
      </c>
      <c r="D52" s="71">
        <v>1.9795918367346939</v>
      </c>
      <c r="E52" s="67">
        <v>0.36734693877551022</v>
      </c>
      <c r="F52" s="67">
        <v>0.34693877551020408</v>
      </c>
      <c r="G52" s="67">
        <v>0.29219143576826195</v>
      </c>
      <c r="H52" s="67">
        <v>0.16372795969773299</v>
      </c>
      <c r="I52" s="68">
        <v>8723.2758620689656</v>
      </c>
      <c r="J52" s="68">
        <v>-8036.9230769230771</v>
      </c>
      <c r="K52" s="67">
        <v>0.18367346938775511</v>
      </c>
      <c r="L52" s="67">
        <v>0.10204081632653061</v>
      </c>
      <c r="M52" s="67">
        <v>0.26196473551637278</v>
      </c>
      <c r="N52" s="67">
        <v>0.18639798488664988</v>
      </c>
      <c r="O52" s="67">
        <v>0.66346153846153844</v>
      </c>
      <c r="P52" s="67">
        <v>0.35135135135135137</v>
      </c>
      <c r="Q52" s="67">
        <v>0.42241379310344829</v>
      </c>
    </row>
    <row r="53" spans="1:17" x14ac:dyDescent="0.4">
      <c r="A53" s="69">
        <v>50</v>
      </c>
      <c r="B53" s="66">
        <v>-26.900000000000006</v>
      </c>
      <c r="C53" s="66">
        <v>-0.53800000000000014</v>
      </c>
      <c r="D53" s="71">
        <v>1.98</v>
      </c>
      <c r="E53" s="67">
        <v>0.36</v>
      </c>
      <c r="F53" s="67">
        <v>0.34</v>
      </c>
      <c r="G53" s="67">
        <v>0.29484029484029484</v>
      </c>
      <c r="H53" s="67">
        <v>0.16461916461916462</v>
      </c>
      <c r="I53" s="68">
        <v>8586.6666666666661</v>
      </c>
      <c r="J53" s="68">
        <v>-7931.3432835820895</v>
      </c>
      <c r="K53" s="67">
        <v>0.18</v>
      </c>
      <c r="L53" s="67">
        <v>0.1</v>
      </c>
      <c r="M53" s="67">
        <v>0.26289926289926291</v>
      </c>
      <c r="N53" s="67">
        <v>0.1891891891891892</v>
      </c>
      <c r="O53" s="67">
        <v>0.66355140186915884</v>
      </c>
      <c r="P53" s="67">
        <v>0.36363636363636365</v>
      </c>
      <c r="Q53" s="67">
        <v>0.42499999999999999</v>
      </c>
    </row>
    <row r="54" spans="1:17" x14ac:dyDescent="0.4">
      <c r="A54" s="69">
        <v>51</v>
      </c>
      <c r="B54" s="66">
        <v>20.999999999999993</v>
      </c>
      <c r="C54" s="66">
        <v>0.41176470588235281</v>
      </c>
      <c r="D54" s="71">
        <v>1.9607843137254901</v>
      </c>
      <c r="E54" s="67">
        <v>0.37254901960784315</v>
      </c>
      <c r="F54" s="67">
        <v>0.33333333333333331</v>
      </c>
      <c r="G54" s="67">
        <v>0.29879518072289157</v>
      </c>
      <c r="H54" s="67">
        <v>0.16144578313253011</v>
      </c>
      <c r="I54" s="68">
        <v>8587.0967741935492</v>
      </c>
      <c r="J54" s="68">
        <v>-7931.3432835820895</v>
      </c>
      <c r="K54" s="67">
        <v>0.17647058823529413</v>
      </c>
      <c r="L54" s="67">
        <v>9.8039215686274508E-2</v>
      </c>
      <c r="M54" s="67">
        <v>0.26506024096385544</v>
      </c>
      <c r="N54" s="67">
        <v>0.18795180722891566</v>
      </c>
      <c r="O54" s="67">
        <v>0.66363636363636369</v>
      </c>
      <c r="P54" s="67">
        <v>0.37179487179487181</v>
      </c>
      <c r="Q54" s="67">
        <v>0.43548387096774194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3DA1EC-FAF1-4DB3-B7EB-F9939A87E3CD}">
  <sheetPr codeName="Sheet18"/>
  <dimension ref="A1:Q4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  <row r="43" spans="1:17" x14ac:dyDescent="0.4">
      <c r="A43" s="69">
        <v>40</v>
      </c>
      <c r="B43" s="66">
        <v>-279.89999999999998</v>
      </c>
      <c r="C43" s="66">
        <v>-6.9974999999999996</v>
      </c>
      <c r="D43" s="71">
        <v>2.0750000000000002</v>
      </c>
      <c r="E43" s="67">
        <v>0.27500000000000002</v>
      </c>
      <c r="F43" s="67">
        <v>0.35</v>
      </c>
      <c r="G43" s="67">
        <v>0.29682997118155618</v>
      </c>
      <c r="H43" s="67">
        <v>0.1930835734870317</v>
      </c>
      <c r="I43" s="68">
        <v>6838.8349514563106</v>
      </c>
      <c r="J43" s="68">
        <v>-7625.373134328358</v>
      </c>
      <c r="K43" s="67">
        <v>0.125</v>
      </c>
      <c r="L43" s="67">
        <v>0.05</v>
      </c>
      <c r="M43" s="67">
        <v>0.23054755043227665</v>
      </c>
      <c r="N43" s="67">
        <v>0.25360230547550433</v>
      </c>
      <c r="O43" s="67">
        <v>0.6</v>
      </c>
      <c r="P43" s="67">
        <v>0.32954545454545453</v>
      </c>
      <c r="Q43" s="67">
        <v>0.5145631067961165</v>
      </c>
    </row>
    <row r="44" spans="1:17" x14ac:dyDescent="0.4">
      <c r="A44" s="69">
        <v>41</v>
      </c>
      <c r="B44" s="66">
        <v>-303.59999999999997</v>
      </c>
      <c r="C44" s="66">
        <v>-7.4048780487804873</v>
      </c>
      <c r="D44" s="71">
        <v>2.0975609756097562</v>
      </c>
      <c r="E44" s="67">
        <v>0.26829268292682928</v>
      </c>
      <c r="F44" s="67">
        <v>0.36585365853658536</v>
      </c>
      <c r="G44" s="67">
        <v>0.29295774647887324</v>
      </c>
      <c r="H44" s="67">
        <v>0.19154929577464788</v>
      </c>
      <c r="I44" s="68">
        <v>7119.2307692307695</v>
      </c>
      <c r="J44" s="68">
        <v>-7689.7058823529414</v>
      </c>
      <c r="K44" s="67">
        <v>0.12195121951219512</v>
      </c>
      <c r="L44" s="67">
        <v>4.878048780487805E-2</v>
      </c>
      <c r="M44" s="67">
        <v>0.23098591549295774</v>
      </c>
      <c r="N44" s="67">
        <v>0.25352112676056338</v>
      </c>
      <c r="O44" s="67">
        <v>0.59756097560975607</v>
      </c>
      <c r="P44" s="67">
        <v>0.32222222222222224</v>
      </c>
      <c r="Q44" s="67">
        <v>0.51923076923076927</v>
      </c>
    </row>
    <row r="45" spans="1:17" x14ac:dyDescent="0.4">
      <c r="A45" s="69">
        <v>42</v>
      </c>
      <c r="B45" s="66">
        <v>-338.7</v>
      </c>
      <c r="C45" s="66">
        <v>-8.0642857142857132</v>
      </c>
      <c r="D45" s="71">
        <v>2.1190476190476191</v>
      </c>
      <c r="E45" s="67">
        <v>0.26190476190476192</v>
      </c>
      <c r="F45" s="67">
        <v>0.38095238095238093</v>
      </c>
      <c r="G45" s="67">
        <v>0.29201101928374656</v>
      </c>
      <c r="H45" s="67">
        <v>0.1928374655647383</v>
      </c>
      <c r="I45" s="68">
        <v>7135.8490566037735</v>
      </c>
      <c r="J45" s="68">
        <v>-7807.1428571428569</v>
      </c>
      <c r="K45" s="67">
        <v>0.11904761904761904</v>
      </c>
      <c r="L45" s="67">
        <v>4.7619047619047616E-2</v>
      </c>
      <c r="M45" s="67">
        <v>0.22865013774104684</v>
      </c>
      <c r="N45" s="67">
        <v>0.25344352617079891</v>
      </c>
      <c r="O45" s="67">
        <v>0.59036144578313254</v>
      </c>
      <c r="P45" s="67">
        <v>0.32608695652173914</v>
      </c>
      <c r="Q45" s="67">
        <v>0.51886792452830188</v>
      </c>
    </row>
    <row r="46" spans="1:17" x14ac:dyDescent="0.4">
      <c r="A46" s="69">
        <v>43</v>
      </c>
      <c r="B46" s="66">
        <v>-289.7</v>
      </c>
      <c r="C46" s="66">
        <v>-6.7372093023255815</v>
      </c>
      <c r="D46" s="71">
        <v>2.0930232558139537</v>
      </c>
      <c r="E46" s="67">
        <v>0.27906976744186046</v>
      </c>
      <c r="F46" s="67">
        <v>0.37209302325581395</v>
      </c>
      <c r="G46" s="67">
        <v>0.29599999999999999</v>
      </c>
      <c r="H46" s="67">
        <v>0.18666666666666668</v>
      </c>
      <c r="I46" s="68">
        <v>6976.5765765765764</v>
      </c>
      <c r="J46" s="68">
        <v>-7807.1428571428569</v>
      </c>
      <c r="K46" s="67">
        <v>0.11627906976744186</v>
      </c>
      <c r="L46" s="67">
        <v>6.9767441860465115E-2</v>
      </c>
      <c r="M46" s="67">
        <v>0.22933333333333333</v>
      </c>
      <c r="N46" s="67">
        <v>0.26133333333333331</v>
      </c>
      <c r="O46" s="67">
        <v>0.59302325581395354</v>
      </c>
      <c r="P46" s="67">
        <v>0.33673469387755101</v>
      </c>
      <c r="Q46" s="67">
        <v>0.50450450450450446</v>
      </c>
    </row>
    <row r="47" spans="1:17" x14ac:dyDescent="0.4">
      <c r="A47" s="69">
        <v>44</v>
      </c>
      <c r="B47" s="66">
        <v>-262.59999999999997</v>
      </c>
      <c r="C47" s="66">
        <v>-5.9681818181818178</v>
      </c>
      <c r="D47" s="71">
        <v>2.0681818181818183</v>
      </c>
      <c r="E47" s="67">
        <v>0.29545454545454547</v>
      </c>
      <c r="F47" s="67">
        <v>0.36363636363636365</v>
      </c>
      <c r="G47" s="67">
        <v>0.29842931937172773</v>
      </c>
      <c r="H47" s="67">
        <v>0.18586387434554974</v>
      </c>
      <c r="I47" s="68">
        <v>6998.2456140350878</v>
      </c>
      <c r="J47" s="68">
        <v>-7866.1971830985913</v>
      </c>
      <c r="K47" s="67">
        <v>0.11363636363636363</v>
      </c>
      <c r="L47" s="67">
        <v>6.8181818181818177E-2</v>
      </c>
      <c r="M47" s="67">
        <v>0.23036649214659685</v>
      </c>
      <c r="N47" s="67">
        <v>0.25654450261780104</v>
      </c>
      <c r="O47" s="67">
        <v>0.59090909090909094</v>
      </c>
      <c r="P47" s="67">
        <v>0.33673469387755101</v>
      </c>
      <c r="Q47" s="67">
        <v>0.50877192982456143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EC8D6-D65B-4801-BCCC-EB0FCB9E8C59}">
  <sheetPr codeName="Sheet16"/>
  <dimension ref="A1:Q6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  <row r="58" spans="1:17" x14ac:dyDescent="0.4">
      <c r="A58" s="69">
        <v>55</v>
      </c>
      <c r="B58" s="66">
        <v>34.699999999999989</v>
      </c>
      <c r="C58" s="66">
        <v>0.63090909090909075</v>
      </c>
      <c r="D58" s="71">
        <v>2.0363636363636362</v>
      </c>
      <c r="E58" s="67">
        <v>0.27272727272727271</v>
      </c>
      <c r="F58" s="67">
        <v>0.30909090909090908</v>
      </c>
      <c r="G58" s="67">
        <v>0.36776859504132231</v>
      </c>
      <c r="H58" s="67">
        <v>0.13016528925619836</v>
      </c>
      <c r="I58" s="68">
        <v>6504.4943820224717</v>
      </c>
      <c r="J58" s="68">
        <v>-9374.6031746031749</v>
      </c>
      <c r="K58" s="67">
        <v>5.4545454545454543E-2</v>
      </c>
      <c r="L58" s="67">
        <v>0.10909090909090909</v>
      </c>
      <c r="M58" s="67">
        <v>0.21694214876033058</v>
      </c>
      <c r="N58" s="67">
        <v>0.29545454545454547</v>
      </c>
      <c r="O58" s="67">
        <v>0.59047619047619049</v>
      </c>
      <c r="P58" s="67">
        <v>0.44055944055944057</v>
      </c>
      <c r="Q58" s="67">
        <v>0.42134831460674155</v>
      </c>
    </row>
    <row r="59" spans="1:17" x14ac:dyDescent="0.4">
      <c r="A59" s="69">
        <v>56</v>
      </c>
      <c r="B59" s="66">
        <v>-8.0000000000000142</v>
      </c>
      <c r="C59" s="66">
        <v>-0.1428571428571431</v>
      </c>
      <c r="D59" s="71">
        <v>2.0535714285714284</v>
      </c>
      <c r="E59" s="67">
        <v>0.26785714285714285</v>
      </c>
      <c r="F59" s="67">
        <v>0.32142857142857145</v>
      </c>
      <c r="G59" s="67">
        <v>0.36456211812627293</v>
      </c>
      <c r="H59" s="67">
        <v>0.13238289205702647</v>
      </c>
      <c r="I59" s="68">
        <v>6535.1955307262569</v>
      </c>
      <c r="J59" s="68">
        <v>-9289.2307692307695</v>
      </c>
      <c r="K59" s="67">
        <v>5.3571428571428568E-2</v>
      </c>
      <c r="L59" s="67">
        <v>0.10714285714285714</v>
      </c>
      <c r="M59" s="67">
        <v>0.21588594704684319</v>
      </c>
      <c r="N59" s="67">
        <v>0.29124236252545826</v>
      </c>
      <c r="O59" s="67">
        <v>0.59433962264150941</v>
      </c>
      <c r="P59" s="67">
        <v>0.44055944055944057</v>
      </c>
      <c r="Q59" s="67">
        <v>0.42458100558659218</v>
      </c>
    </row>
    <row r="60" spans="1:17" x14ac:dyDescent="0.4">
      <c r="A60" s="69">
        <v>57</v>
      </c>
      <c r="B60" s="66">
        <v>-6.0000000000000142</v>
      </c>
      <c r="C60" s="66">
        <v>-0.10526315789473709</v>
      </c>
      <c r="D60" s="71">
        <v>2.0526315789473686</v>
      </c>
      <c r="E60" s="67">
        <v>0.26315789473684209</v>
      </c>
      <c r="F60" s="67">
        <v>0.31578947368421051</v>
      </c>
      <c r="G60" s="67">
        <v>0.36363636363636365</v>
      </c>
      <c r="H60" s="67">
        <v>0.13131313131313133</v>
      </c>
      <c r="I60" s="68">
        <v>6510</v>
      </c>
      <c r="J60" s="68">
        <v>-9289.2307692307695</v>
      </c>
      <c r="K60" s="67">
        <v>5.2631578947368418E-2</v>
      </c>
      <c r="L60" s="67">
        <v>0.10526315789473684</v>
      </c>
      <c r="M60" s="67">
        <v>0.21414141414141413</v>
      </c>
      <c r="N60" s="67">
        <v>0.29090909090909089</v>
      </c>
      <c r="O60" s="67">
        <v>0.59433962264150941</v>
      </c>
      <c r="P60" s="67">
        <v>0.44444444444444442</v>
      </c>
      <c r="Q60" s="67">
        <v>0.42222222222222222</v>
      </c>
    </row>
    <row r="61" spans="1:17" x14ac:dyDescent="0.4">
      <c r="A61" s="69">
        <v>58</v>
      </c>
      <c r="B61" s="66">
        <v>-0.40000000000001457</v>
      </c>
      <c r="C61" s="66">
        <v>-6.8965517241381825E-3</v>
      </c>
      <c r="D61" s="71">
        <v>2.0517241379310347</v>
      </c>
      <c r="E61" s="67">
        <v>0.25862068965517243</v>
      </c>
      <c r="F61" s="67">
        <v>0.31034482758620691</v>
      </c>
      <c r="G61" s="67">
        <v>0.36220472440944884</v>
      </c>
      <c r="H61" s="67">
        <v>0.12992125984251968</v>
      </c>
      <c r="I61" s="68">
        <v>6528.260869565217</v>
      </c>
      <c r="J61" s="68">
        <v>-9269.69696969697</v>
      </c>
      <c r="K61" s="67">
        <v>5.1724137931034482E-2</v>
      </c>
      <c r="L61" s="67">
        <v>0.10344827586206896</v>
      </c>
      <c r="M61" s="67">
        <v>0.22244094488188976</v>
      </c>
      <c r="N61" s="67">
        <v>0.2874015748031496</v>
      </c>
      <c r="O61" s="67">
        <v>0.5752212389380531</v>
      </c>
      <c r="P61" s="67">
        <v>0.43835616438356162</v>
      </c>
      <c r="Q61" s="67">
        <v>0.41847826086956524</v>
      </c>
    </row>
    <row r="62" spans="1:17" x14ac:dyDescent="0.4">
      <c r="A62" s="69">
        <v>59</v>
      </c>
      <c r="B62" s="66">
        <v>21.999999999999986</v>
      </c>
      <c r="C62" s="66">
        <v>0.37288135593220317</v>
      </c>
      <c r="D62" s="71">
        <v>2.0338983050847457</v>
      </c>
      <c r="E62" s="67">
        <v>0.2711864406779661</v>
      </c>
      <c r="F62" s="67">
        <v>0.30508474576271188</v>
      </c>
      <c r="G62" s="67">
        <v>0.36434108527131781</v>
      </c>
      <c r="H62" s="67">
        <v>0.12790697674418605</v>
      </c>
      <c r="I62" s="68">
        <v>6579.255319148936</v>
      </c>
      <c r="J62" s="68">
        <v>-9269.69696969697</v>
      </c>
      <c r="K62" s="67">
        <v>5.0847457627118647E-2</v>
      </c>
      <c r="L62" s="67">
        <v>0.10169491525423729</v>
      </c>
      <c r="M62" s="67">
        <v>0.22093023255813954</v>
      </c>
      <c r="N62" s="67">
        <v>0.28875968992248063</v>
      </c>
      <c r="O62" s="67">
        <v>0.57894736842105265</v>
      </c>
      <c r="P62" s="67">
        <v>0.44295302013422821</v>
      </c>
      <c r="Q62" s="67">
        <v>0.42021276595744683</v>
      </c>
    </row>
    <row r="63" spans="1:17" x14ac:dyDescent="0.4">
      <c r="A63" s="69">
        <v>60</v>
      </c>
      <c r="B63" s="66">
        <v>66.999999999999986</v>
      </c>
      <c r="C63" s="66">
        <v>1.1166666666666665</v>
      </c>
      <c r="D63" s="71">
        <v>2.0166666666666666</v>
      </c>
      <c r="E63" s="67">
        <v>0.28333333333333333</v>
      </c>
      <c r="F63" s="67">
        <v>0.3</v>
      </c>
      <c r="G63" s="67">
        <v>0.36608863198458574</v>
      </c>
      <c r="H63" s="67">
        <v>0.12716763005780346</v>
      </c>
      <c r="I63" s="68">
        <v>6636.3157894736842</v>
      </c>
      <c r="J63" s="68">
        <v>-9269.69696969697</v>
      </c>
      <c r="K63" s="67">
        <v>0.05</v>
      </c>
      <c r="L63" s="67">
        <v>0.11666666666666667</v>
      </c>
      <c r="M63" s="67">
        <v>0.21965317919075145</v>
      </c>
      <c r="N63" s="67">
        <v>0.2928709055876686</v>
      </c>
      <c r="O63" s="67">
        <v>0.57894736842105265</v>
      </c>
      <c r="P63" s="67">
        <v>0.44736842105263158</v>
      </c>
      <c r="Q63" s="67">
        <v>0.42105263157894735</v>
      </c>
    </row>
    <row r="64" spans="1:17" x14ac:dyDescent="0.4">
      <c r="A64" s="69">
        <v>61</v>
      </c>
      <c r="B64" s="66">
        <v>39.799999999999983</v>
      </c>
      <c r="C64" s="66">
        <v>0.65245901639344239</v>
      </c>
      <c r="D64" s="71">
        <v>2.0163934426229506</v>
      </c>
      <c r="E64" s="67">
        <v>0.27868852459016391</v>
      </c>
      <c r="F64" s="67">
        <v>0.29508196721311475</v>
      </c>
      <c r="G64" s="67">
        <v>0.36174242424242425</v>
      </c>
      <c r="H64" s="67">
        <v>0.12878787878787878</v>
      </c>
      <c r="I64" s="68">
        <v>6628.7958115183246</v>
      </c>
      <c r="J64" s="68">
        <v>-9379.4117647058829</v>
      </c>
      <c r="K64" s="67">
        <v>4.9180327868852458E-2</v>
      </c>
      <c r="L64" s="67">
        <v>0.11475409836065574</v>
      </c>
      <c r="M64" s="67">
        <v>0.2178030303030303</v>
      </c>
      <c r="N64" s="67">
        <v>0.29545454545454547</v>
      </c>
      <c r="O64" s="67">
        <v>0.57391304347826089</v>
      </c>
      <c r="P64" s="67">
        <v>0.44230769230769229</v>
      </c>
      <c r="Q64" s="67">
        <v>0.41884816753926701</v>
      </c>
    </row>
    <row r="65" spans="1:17" x14ac:dyDescent="0.4">
      <c r="A65" s="69">
        <v>62</v>
      </c>
      <c r="B65" s="66">
        <v>7.9999999999999822</v>
      </c>
      <c r="C65" s="66">
        <v>0.12903225806451585</v>
      </c>
      <c r="D65" s="71">
        <v>2.032258064516129</v>
      </c>
      <c r="E65" s="67">
        <v>0.27419354838709675</v>
      </c>
      <c r="F65" s="67">
        <v>0.30645161290322581</v>
      </c>
      <c r="G65" s="67">
        <v>0.35887850467289717</v>
      </c>
      <c r="H65" s="67">
        <v>0.12897196261682242</v>
      </c>
      <c r="I65" s="68">
        <v>6635.9375</v>
      </c>
      <c r="J65" s="68">
        <v>-9417.391304347826</v>
      </c>
      <c r="K65" s="67">
        <v>4.8387096774193547E-2</v>
      </c>
      <c r="L65" s="67">
        <v>0.11290322580645161</v>
      </c>
      <c r="M65" s="67">
        <v>0.21869158878504674</v>
      </c>
      <c r="N65" s="67">
        <v>0.29532710280373831</v>
      </c>
      <c r="O65" s="67">
        <v>0.5641025641025641</v>
      </c>
      <c r="P65" s="67">
        <v>0.44303797468354428</v>
      </c>
      <c r="Q65" s="67">
        <v>0.421875</v>
      </c>
    </row>
    <row r="66" spans="1:17" x14ac:dyDescent="0.4">
      <c r="A66" s="69">
        <v>63</v>
      </c>
      <c r="B66" s="66">
        <v>45.09999999999998</v>
      </c>
      <c r="C66" s="66">
        <v>0.71587301587301555</v>
      </c>
      <c r="D66" s="71">
        <v>2.0158730158730158</v>
      </c>
      <c r="E66" s="67">
        <v>0.2857142857142857</v>
      </c>
      <c r="F66" s="67">
        <v>0.30158730158730157</v>
      </c>
      <c r="G66" s="67">
        <v>0.3596330275229358</v>
      </c>
      <c r="H66" s="67">
        <v>0.13027522935779817</v>
      </c>
      <c r="I66" s="68">
        <v>6662.2448979591836</v>
      </c>
      <c r="J66" s="68">
        <v>-9350.7042253521122</v>
      </c>
      <c r="K66" s="67">
        <v>4.7619047619047616E-2</v>
      </c>
      <c r="L66" s="67">
        <v>0.1111111111111111</v>
      </c>
      <c r="M66" s="67">
        <v>0.21834862385321102</v>
      </c>
      <c r="N66" s="67">
        <v>0.29541284403669726</v>
      </c>
      <c r="O66" s="67">
        <v>0.56302521008403361</v>
      </c>
      <c r="P66" s="67">
        <v>0.44099378881987578</v>
      </c>
      <c r="Q66" s="67">
        <v>0.42346938775510207</v>
      </c>
    </row>
    <row r="67" spans="1:17" x14ac:dyDescent="0.4">
      <c r="A67" s="69">
        <v>64</v>
      </c>
      <c r="B67" s="66">
        <v>45.899999999999977</v>
      </c>
      <c r="C67" s="66">
        <v>0.71718749999999964</v>
      </c>
      <c r="D67" s="71">
        <v>2.015625</v>
      </c>
      <c r="E67" s="67">
        <v>0.28125</v>
      </c>
      <c r="F67" s="67">
        <v>0.296875</v>
      </c>
      <c r="G67" s="67">
        <v>0.3579136690647482</v>
      </c>
      <c r="H67" s="67">
        <v>0.12949640287769784</v>
      </c>
      <c r="I67" s="68">
        <v>6665.8291457286432</v>
      </c>
      <c r="J67" s="68">
        <v>-9381.9444444444453</v>
      </c>
      <c r="K67" s="67">
        <v>4.6875E-2</v>
      </c>
      <c r="L67" s="67">
        <v>0.109375</v>
      </c>
      <c r="M67" s="67">
        <v>0.21942446043165467</v>
      </c>
      <c r="N67" s="67">
        <v>0.29136690647482016</v>
      </c>
      <c r="O67" s="67">
        <v>0.56557377049180324</v>
      </c>
      <c r="P67" s="67">
        <v>0.43827160493827161</v>
      </c>
      <c r="Q67" s="67">
        <v>0.42211055276381909</v>
      </c>
    </row>
    <row r="68" spans="1:17" x14ac:dyDescent="0.4">
      <c r="A68" s="69">
        <v>65</v>
      </c>
      <c r="B68" s="66">
        <v>38.199999999999974</v>
      </c>
      <c r="C68" s="66">
        <v>0.58769230769230729</v>
      </c>
      <c r="D68" s="71">
        <v>2.0153846153846153</v>
      </c>
      <c r="E68" s="67">
        <v>0.27692307692307694</v>
      </c>
      <c r="F68" s="67">
        <v>0.29230769230769232</v>
      </c>
      <c r="G68" s="67">
        <v>0.35879218472468916</v>
      </c>
      <c r="H68" s="67">
        <v>0.12966252220248667</v>
      </c>
      <c r="I68" s="68">
        <v>6670.7920792079212</v>
      </c>
      <c r="J68" s="68">
        <v>-9324.6575342465749</v>
      </c>
      <c r="K68" s="67">
        <v>4.6153846153846156E-2</v>
      </c>
      <c r="L68" s="67">
        <v>0.1076923076923077</v>
      </c>
      <c r="M68" s="67">
        <v>0.2202486678507993</v>
      </c>
      <c r="N68" s="67">
        <v>0.29129662522202487</v>
      </c>
      <c r="O68" s="67">
        <v>0.55645161290322576</v>
      </c>
      <c r="P68" s="67">
        <v>0.43902439024390244</v>
      </c>
      <c r="Q68" s="67">
        <v>0.43069306930693069</v>
      </c>
    </row>
    <row r="69" spans="1:17" x14ac:dyDescent="0.4">
      <c r="A69" s="69">
        <v>66</v>
      </c>
      <c r="B69" s="66">
        <v>-5.400000000000027</v>
      </c>
      <c r="C69" s="66">
        <v>-8.1818181818182234E-2</v>
      </c>
      <c r="D69" s="71">
        <v>2.0303030303030303</v>
      </c>
      <c r="E69" s="67">
        <v>0.27272727272727271</v>
      </c>
      <c r="F69" s="67">
        <v>0.30303030303030304</v>
      </c>
      <c r="G69" s="67">
        <v>0.35602094240837695</v>
      </c>
      <c r="H69" s="67">
        <v>0.13263525305410123</v>
      </c>
      <c r="I69" s="68">
        <v>6635.7843137254904</v>
      </c>
      <c r="J69" s="68">
        <v>-9127.6315789473683</v>
      </c>
      <c r="K69" s="67">
        <v>4.5454545454545456E-2</v>
      </c>
      <c r="L69" s="67">
        <v>0.10606060606060606</v>
      </c>
      <c r="M69" s="67">
        <v>0.21989528795811519</v>
      </c>
      <c r="N69" s="67">
        <v>0.29319371727748689</v>
      </c>
      <c r="O69" s="67">
        <v>0.54761904761904767</v>
      </c>
      <c r="P69" s="67">
        <v>0.43452380952380953</v>
      </c>
      <c r="Q69" s="67">
        <v>0.4264705882352941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9FD0EF-CC69-4F94-8434-490948463E4A}">
  <sheetPr codeName="Sheet14"/>
  <dimension ref="A1:Q8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">
      <c r="A69" s="69">
        <v>66</v>
      </c>
      <c r="B69" s="66">
        <v>86.1</v>
      </c>
      <c r="C69" s="66">
        <v>1.3045454545454545</v>
      </c>
      <c r="D69" s="71">
        <v>2.0606060606060606</v>
      </c>
      <c r="E69" s="67">
        <v>0.2878787878787879</v>
      </c>
      <c r="F69" s="67">
        <v>0.34848484848484851</v>
      </c>
      <c r="G69" s="67">
        <v>0.27886323268206037</v>
      </c>
      <c r="H69" s="67">
        <v>0.16341030195381884</v>
      </c>
      <c r="I69" s="68">
        <v>9550.3184713375795</v>
      </c>
      <c r="J69" s="68">
        <v>-7795.652173913043</v>
      </c>
      <c r="K69" s="67">
        <v>4.5454545454545456E-2</v>
      </c>
      <c r="L69" s="67">
        <v>0.12121212121212122</v>
      </c>
      <c r="M69" s="67">
        <v>0.28063943161634103</v>
      </c>
      <c r="N69" s="67">
        <v>0.18650088809946713</v>
      </c>
      <c r="O69" s="67">
        <v>0.58227848101265822</v>
      </c>
      <c r="P69" s="67">
        <v>0.39047619047619048</v>
      </c>
      <c r="Q69" s="67">
        <v>0.42675159235668791</v>
      </c>
    </row>
    <row r="70" spans="1:17" x14ac:dyDescent="0.4">
      <c r="A70" s="69">
        <v>67</v>
      </c>
      <c r="B70" s="66">
        <v>154.1</v>
      </c>
      <c r="C70" s="66">
        <v>2.2999999999999998</v>
      </c>
      <c r="D70" s="71">
        <v>2.044776119402985</v>
      </c>
      <c r="E70" s="67">
        <v>0.29850746268656714</v>
      </c>
      <c r="F70" s="67">
        <v>0.34328358208955223</v>
      </c>
      <c r="G70" s="67">
        <v>0.28021015761821366</v>
      </c>
      <c r="H70" s="67">
        <v>0.16462346760070051</v>
      </c>
      <c r="I70" s="68">
        <v>9796.25</v>
      </c>
      <c r="J70" s="68">
        <v>-7773.4042553191493</v>
      </c>
      <c r="K70" s="67">
        <v>4.4776119402985072E-2</v>
      </c>
      <c r="L70" s="67">
        <v>0.13432835820895522</v>
      </c>
      <c r="M70" s="67">
        <v>0.28021015761821366</v>
      </c>
      <c r="N70" s="67">
        <v>0.18563922942206654</v>
      </c>
      <c r="O70" s="67">
        <v>0.58750000000000002</v>
      </c>
      <c r="P70" s="67">
        <v>0.39622641509433965</v>
      </c>
      <c r="Q70" s="67">
        <v>0.43125000000000002</v>
      </c>
    </row>
    <row r="71" spans="1:17" x14ac:dyDescent="0.4">
      <c r="A71" s="69">
        <v>68</v>
      </c>
      <c r="B71" s="66">
        <v>152.29999999999998</v>
      </c>
      <c r="C71" s="66">
        <v>2.2397058823529408</v>
      </c>
      <c r="D71" s="71">
        <v>2.0441176470588234</v>
      </c>
      <c r="E71" s="67">
        <v>0.29411764705882354</v>
      </c>
      <c r="F71" s="67">
        <v>0.33823529411764708</v>
      </c>
      <c r="G71" s="67">
        <v>0.2795138888888889</v>
      </c>
      <c r="H71" s="67">
        <v>0.16493055555555555</v>
      </c>
      <c r="I71" s="68">
        <v>9809.9378881987577</v>
      </c>
      <c r="J71" s="68">
        <v>-7775.7894736842109</v>
      </c>
      <c r="K71" s="67">
        <v>4.4117647058823532E-2</v>
      </c>
      <c r="L71" s="67">
        <v>0.13235294117647059</v>
      </c>
      <c r="M71" s="67">
        <v>0.2795138888888889</v>
      </c>
      <c r="N71" s="67">
        <v>0.1857638888888889</v>
      </c>
      <c r="O71" s="67">
        <v>0.59006211180124224</v>
      </c>
      <c r="P71" s="67">
        <v>0.3925233644859813</v>
      </c>
      <c r="Q71" s="67">
        <v>0.43478260869565216</v>
      </c>
    </row>
    <row r="72" spans="1:17" x14ac:dyDescent="0.4">
      <c r="A72" s="69">
        <v>69</v>
      </c>
      <c r="B72" s="66">
        <v>106.19999999999999</v>
      </c>
      <c r="C72" s="66">
        <v>1.5391304347826085</v>
      </c>
      <c r="D72" s="71">
        <v>2.0579710144927534</v>
      </c>
      <c r="E72" s="67">
        <v>0.28985507246376813</v>
      </c>
      <c r="F72" s="67">
        <v>0.34782608695652173</v>
      </c>
      <c r="G72" s="67">
        <v>0.27796610169491526</v>
      </c>
      <c r="H72" s="67">
        <v>0.16271186440677965</v>
      </c>
      <c r="I72" s="68">
        <v>9756.707317073171</v>
      </c>
      <c r="J72" s="68">
        <v>-7819.791666666667</v>
      </c>
      <c r="K72" s="67">
        <v>4.3478260869565216E-2</v>
      </c>
      <c r="L72" s="67">
        <v>0.13043478260869565</v>
      </c>
      <c r="M72" s="67">
        <v>0.27796610169491526</v>
      </c>
      <c r="N72" s="67">
        <v>0.1864406779661017</v>
      </c>
      <c r="O72" s="67">
        <v>0.58536585365853655</v>
      </c>
      <c r="P72" s="67">
        <v>0.4</v>
      </c>
      <c r="Q72" s="67">
        <v>0.43292682926829268</v>
      </c>
    </row>
    <row r="73" spans="1:17" x14ac:dyDescent="0.4">
      <c r="A73" s="69">
        <v>70</v>
      </c>
      <c r="B73" s="66">
        <v>146.79999999999998</v>
      </c>
      <c r="C73" s="66">
        <v>2.097142857142857</v>
      </c>
      <c r="D73" s="71">
        <v>2.0428571428571427</v>
      </c>
      <c r="E73" s="67">
        <v>0.3</v>
      </c>
      <c r="F73" s="67">
        <v>0.34285714285714286</v>
      </c>
      <c r="G73" s="67">
        <v>0.2797319932998325</v>
      </c>
      <c r="H73" s="67">
        <v>0.1624790619765494</v>
      </c>
      <c r="I73" s="68">
        <v>9797.0059880239514</v>
      </c>
      <c r="J73" s="68">
        <v>-7779.3814432989693</v>
      </c>
      <c r="K73" s="67">
        <v>4.2857142857142858E-2</v>
      </c>
      <c r="L73" s="67">
        <v>0.12857142857142856</v>
      </c>
      <c r="M73" s="67">
        <v>0.27805695142378561</v>
      </c>
      <c r="N73" s="67">
        <v>0.18592964824120603</v>
      </c>
      <c r="O73" s="67">
        <v>0.59036144578313254</v>
      </c>
      <c r="P73" s="67">
        <v>0.40540540540540543</v>
      </c>
      <c r="Q73" s="67">
        <v>0.43712574850299402</v>
      </c>
    </row>
    <row r="74" spans="1:17" x14ac:dyDescent="0.4">
      <c r="A74" s="69">
        <v>71</v>
      </c>
      <c r="B74" s="66">
        <v>88.799999999999983</v>
      </c>
      <c r="C74" s="66">
        <v>1.2507042253521123</v>
      </c>
      <c r="D74" s="71">
        <v>2.056338028169014</v>
      </c>
      <c r="E74" s="67">
        <v>0.29577464788732394</v>
      </c>
      <c r="F74" s="67">
        <v>0.352112676056338</v>
      </c>
      <c r="G74" s="67">
        <v>0.27787021630615638</v>
      </c>
      <c r="H74" s="67">
        <v>0.16638935108153077</v>
      </c>
      <c r="I74" s="68">
        <v>9797.0059880239514</v>
      </c>
      <c r="J74" s="68">
        <v>-7806</v>
      </c>
      <c r="K74" s="67">
        <v>5.6338028169014086E-2</v>
      </c>
      <c r="L74" s="67">
        <v>0.12676056338028169</v>
      </c>
      <c r="M74" s="67">
        <v>0.28286189683860236</v>
      </c>
      <c r="N74" s="67">
        <v>0.18469217970049917</v>
      </c>
      <c r="O74" s="67">
        <v>0.57647058823529407</v>
      </c>
      <c r="P74" s="67">
        <v>0.40540540540540543</v>
      </c>
      <c r="Q74" s="67">
        <v>0.43712574850299402</v>
      </c>
    </row>
    <row r="75" spans="1:17" x14ac:dyDescent="0.4">
      <c r="A75" s="69">
        <v>72</v>
      </c>
      <c r="B75" s="66">
        <v>98.299999999999983</v>
      </c>
      <c r="C75" s="66">
        <v>1.3652777777777776</v>
      </c>
      <c r="D75" s="71">
        <v>2.0555555555555554</v>
      </c>
      <c r="E75" s="67">
        <v>0.29166666666666669</v>
      </c>
      <c r="F75" s="67">
        <v>0.34722222222222221</v>
      </c>
      <c r="G75" s="67">
        <v>0.27941176470588236</v>
      </c>
      <c r="H75" s="67">
        <v>0.16666666666666666</v>
      </c>
      <c r="I75" s="68">
        <v>9761.9883040935674</v>
      </c>
      <c r="J75" s="68">
        <v>-7748.0392156862745</v>
      </c>
      <c r="K75" s="67">
        <v>5.5555555555555552E-2</v>
      </c>
      <c r="L75" s="67">
        <v>0.125</v>
      </c>
      <c r="M75" s="67">
        <v>0.28431372549019607</v>
      </c>
      <c r="N75" s="67">
        <v>0.184640522875817</v>
      </c>
      <c r="O75" s="67">
        <v>0.58045977011494254</v>
      </c>
      <c r="P75" s="67">
        <v>0.40707964601769914</v>
      </c>
      <c r="Q75" s="67">
        <v>0.43274853801169588</v>
      </c>
    </row>
    <row r="76" spans="1:17" x14ac:dyDescent="0.4">
      <c r="A76" s="69">
        <v>73</v>
      </c>
      <c r="B76" s="66">
        <v>156.29999999999998</v>
      </c>
      <c r="C76" s="66">
        <v>2.1410958904109587</v>
      </c>
      <c r="D76" s="71">
        <v>2.0410958904109591</v>
      </c>
      <c r="E76" s="67">
        <v>0.30136986301369861</v>
      </c>
      <c r="F76" s="67">
        <v>0.34246575342465752</v>
      </c>
      <c r="G76" s="67">
        <v>0.27993527508090615</v>
      </c>
      <c r="H76" s="67">
        <v>0.16828478964401294</v>
      </c>
      <c r="I76" s="68">
        <v>9926.5895953757226</v>
      </c>
      <c r="J76" s="68">
        <v>-7724.0384615384619</v>
      </c>
      <c r="K76" s="67">
        <v>5.4794520547945202E-2</v>
      </c>
      <c r="L76" s="67">
        <v>0.13698630136986301</v>
      </c>
      <c r="M76" s="67">
        <v>0.28478964401294499</v>
      </c>
      <c r="N76" s="67">
        <v>0.18608414239482202</v>
      </c>
      <c r="O76" s="67">
        <v>0.58522727272727271</v>
      </c>
      <c r="P76" s="67">
        <v>0.4</v>
      </c>
      <c r="Q76" s="67">
        <v>0.43352601156069365</v>
      </c>
    </row>
    <row r="77" spans="1:17" x14ac:dyDescent="0.4">
      <c r="A77" s="69">
        <v>74</v>
      </c>
      <c r="B77" s="66">
        <v>99.299999999999983</v>
      </c>
      <c r="C77" s="66">
        <v>1.3418918918918916</v>
      </c>
      <c r="D77" s="71">
        <v>2.0540540540540539</v>
      </c>
      <c r="E77" s="67">
        <v>0.29729729729729731</v>
      </c>
      <c r="F77" s="67">
        <v>0.35135135135135137</v>
      </c>
      <c r="G77" s="67">
        <v>0.27858293075684382</v>
      </c>
      <c r="H77" s="67">
        <v>0.17230273752012881</v>
      </c>
      <c r="I77" s="68">
        <v>9926.5895953757226</v>
      </c>
      <c r="J77" s="68">
        <v>-7843.9252336448599</v>
      </c>
      <c r="K77" s="67">
        <v>6.7567567567567571E-2</v>
      </c>
      <c r="L77" s="67">
        <v>0.13513513513513514</v>
      </c>
      <c r="M77" s="67">
        <v>0.28341384863123992</v>
      </c>
      <c r="N77" s="67">
        <v>0.18840579710144928</v>
      </c>
      <c r="O77" s="67">
        <v>0.58522727272727271</v>
      </c>
      <c r="P77" s="67">
        <v>0.39316239316239315</v>
      </c>
      <c r="Q77" s="67">
        <v>0.43352601156069365</v>
      </c>
    </row>
    <row r="78" spans="1:17" x14ac:dyDescent="0.4">
      <c r="A78" s="69">
        <v>75</v>
      </c>
      <c r="B78" s="66">
        <v>145.29999999999998</v>
      </c>
      <c r="C78" s="66">
        <v>1.9373333333333331</v>
      </c>
      <c r="D78" s="71">
        <v>2.04</v>
      </c>
      <c r="E78" s="67">
        <v>0.30666666666666664</v>
      </c>
      <c r="F78" s="67">
        <v>0.34666666666666668</v>
      </c>
      <c r="G78" s="67">
        <v>0.28298887122416533</v>
      </c>
      <c r="H78" s="67">
        <v>0.17170111287758347</v>
      </c>
      <c r="I78" s="68">
        <v>9939.8876404494385</v>
      </c>
      <c r="J78" s="68">
        <v>-7845.3703703703704</v>
      </c>
      <c r="K78" s="67">
        <v>6.6666666666666666E-2</v>
      </c>
      <c r="L78" s="67">
        <v>0.13333333333333333</v>
      </c>
      <c r="M78" s="67">
        <v>0.2861685214626391</v>
      </c>
      <c r="N78" s="67">
        <v>0.18759936406995231</v>
      </c>
      <c r="O78" s="67">
        <v>0.58888888888888891</v>
      </c>
      <c r="P78" s="67">
        <v>0.39830508474576271</v>
      </c>
      <c r="Q78" s="67">
        <v>0.42696629213483145</v>
      </c>
    </row>
    <row r="79" spans="1:17" x14ac:dyDescent="0.4">
      <c r="A79" s="69">
        <v>76</v>
      </c>
      <c r="B79" s="66">
        <v>163.29999999999998</v>
      </c>
      <c r="C79" s="66">
        <v>2.1486842105263158</v>
      </c>
      <c r="D79" s="71">
        <v>2.0394736842105261</v>
      </c>
      <c r="E79" s="67">
        <v>0.30263157894736842</v>
      </c>
      <c r="F79" s="67">
        <v>0.34210526315789475</v>
      </c>
      <c r="G79" s="67">
        <v>0.28322784810126583</v>
      </c>
      <c r="H79" s="67">
        <v>0.17088607594936708</v>
      </c>
      <c r="I79" s="68">
        <v>10018.435754189944</v>
      </c>
      <c r="J79" s="68">
        <v>-7845.3703703703704</v>
      </c>
      <c r="K79" s="67">
        <v>6.5789473684210523E-2</v>
      </c>
      <c r="L79" s="67">
        <v>0.13157894736842105</v>
      </c>
      <c r="M79" s="67">
        <v>0.2848101265822785</v>
      </c>
      <c r="N79" s="67">
        <v>0.18829113924050633</v>
      </c>
      <c r="O79" s="67">
        <v>0.58888888888888891</v>
      </c>
      <c r="P79" s="67">
        <v>0.40336134453781514</v>
      </c>
      <c r="Q79" s="67">
        <v>0.42458100558659218</v>
      </c>
    </row>
    <row r="80" spans="1:17" x14ac:dyDescent="0.4">
      <c r="A80" s="69">
        <v>77</v>
      </c>
      <c r="B80" s="66">
        <v>89.59999999999998</v>
      </c>
      <c r="C80" s="66">
        <v>1.1636363636363634</v>
      </c>
      <c r="D80" s="71">
        <v>2.051948051948052</v>
      </c>
      <c r="E80" s="67">
        <v>0.29870129870129869</v>
      </c>
      <c r="F80" s="67">
        <v>0.35064935064935066</v>
      </c>
      <c r="G80" s="67">
        <v>0.28081123244929795</v>
      </c>
      <c r="H80" s="67">
        <v>0.17628705148205928</v>
      </c>
      <c r="I80" s="68">
        <v>10062.777777777777</v>
      </c>
      <c r="J80" s="68">
        <v>-8037.1681415929206</v>
      </c>
      <c r="K80" s="67">
        <v>7.792207792207792E-2</v>
      </c>
      <c r="L80" s="67">
        <v>0.12987012987012986</v>
      </c>
      <c r="M80" s="67">
        <v>0.28549141965678626</v>
      </c>
      <c r="N80" s="67">
        <v>0.19188767550702029</v>
      </c>
      <c r="O80" s="67">
        <v>0.57923497267759561</v>
      </c>
      <c r="P80" s="67">
        <v>0.3983739837398374</v>
      </c>
      <c r="Q80" s="67">
        <v>0.42222222222222222</v>
      </c>
    </row>
    <row r="81" spans="1:17" x14ac:dyDescent="0.4">
      <c r="A81" s="69">
        <v>78</v>
      </c>
      <c r="B81" s="66">
        <v>94.299999999999983</v>
      </c>
      <c r="C81" s="66">
        <v>1.2089743589743587</v>
      </c>
      <c r="D81" s="71">
        <v>2.0512820512820511</v>
      </c>
      <c r="E81" s="67">
        <v>0.29487179487179488</v>
      </c>
      <c r="F81" s="67">
        <v>0.34615384615384615</v>
      </c>
      <c r="G81" s="67">
        <v>0.28240740740740738</v>
      </c>
      <c r="H81" s="67">
        <v>0.17592592592592593</v>
      </c>
      <c r="I81" s="68">
        <v>10057.92349726776</v>
      </c>
      <c r="J81" s="68">
        <v>-8107.0175438596489</v>
      </c>
      <c r="K81" s="67">
        <v>7.6923076923076927E-2</v>
      </c>
      <c r="L81" s="67">
        <v>0.12820512820512819</v>
      </c>
      <c r="M81" s="67">
        <v>0.28858024691358025</v>
      </c>
      <c r="N81" s="67">
        <v>0.19135802469135801</v>
      </c>
      <c r="O81" s="67">
        <v>0.58288770053475936</v>
      </c>
      <c r="P81" s="67">
        <v>0.39516129032258063</v>
      </c>
      <c r="Q81" s="67">
        <v>0.42076502732240439</v>
      </c>
    </row>
    <row r="82" spans="1:17" x14ac:dyDescent="0.4">
      <c r="A82" s="69">
        <v>79</v>
      </c>
      <c r="B82" s="66">
        <v>118.49999999999999</v>
      </c>
      <c r="C82" s="66">
        <v>1.4999999999999998</v>
      </c>
      <c r="D82" s="71">
        <v>2.037974683544304</v>
      </c>
      <c r="E82" s="67">
        <v>0.30379746835443039</v>
      </c>
      <c r="F82" s="67">
        <v>0.34177215189873417</v>
      </c>
      <c r="G82" s="67">
        <v>0.28376327769347498</v>
      </c>
      <c r="H82" s="67">
        <v>0.17754172989377845</v>
      </c>
      <c r="I82" s="68">
        <v>9977.5401069518721</v>
      </c>
      <c r="J82" s="68">
        <v>-8087.1794871794873</v>
      </c>
      <c r="K82" s="67">
        <v>7.5949367088607597E-2</v>
      </c>
      <c r="L82" s="67">
        <v>0.12658227848101267</v>
      </c>
      <c r="M82" s="67">
        <v>0.2898330804248862</v>
      </c>
      <c r="N82" s="67">
        <v>0.19423368740515934</v>
      </c>
      <c r="O82" s="67">
        <v>0.5759162303664922</v>
      </c>
      <c r="P82" s="67">
        <v>0.40625</v>
      </c>
      <c r="Q82" s="67">
        <v>0.42245989304812837</v>
      </c>
    </row>
    <row r="83" spans="1:17" x14ac:dyDescent="0.4">
      <c r="A83" s="69">
        <v>80</v>
      </c>
      <c r="B83" s="66">
        <v>109.69999999999999</v>
      </c>
      <c r="C83" s="66">
        <v>1.3712499999999999</v>
      </c>
      <c r="D83" s="71">
        <v>2.0375000000000001</v>
      </c>
      <c r="E83" s="67">
        <v>0.3</v>
      </c>
      <c r="F83" s="67">
        <v>0.33750000000000002</v>
      </c>
      <c r="G83" s="67">
        <v>0.28313253012048195</v>
      </c>
      <c r="H83" s="67">
        <v>0.17771084337349397</v>
      </c>
      <c r="I83" s="68">
        <v>9967.021276595744</v>
      </c>
      <c r="J83" s="68">
        <v>-8059.3220338983047</v>
      </c>
      <c r="K83" s="67">
        <v>7.4999999999999997E-2</v>
      </c>
      <c r="L83" s="67">
        <v>0.125</v>
      </c>
      <c r="M83" s="67">
        <v>0.29066265060240964</v>
      </c>
      <c r="N83" s="67">
        <v>0.19427710843373494</v>
      </c>
      <c r="O83" s="67">
        <v>0.57512953367875652</v>
      </c>
      <c r="P83" s="67">
        <v>0.40310077519379844</v>
      </c>
      <c r="Q83" s="67">
        <v>0.42021276595744683</v>
      </c>
    </row>
    <row r="84" spans="1:17" x14ac:dyDescent="0.4">
      <c r="A84" s="69">
        <v>81</v>
      </c>
      <c r="B84" s="66">
        <v>173.1</v>
      </c>
      <c r="C84" s="66">
        <v>2.1370370370370368</v>
      </c>
      <c r="D84" s="71">
        <v>2.0246913580246915</v>
      </c>
      <c r="E84" s="67">
        <v>0.30864197530864196</v>
      </c>
      <c r="F84" s="67">
        <v>0.33333333333333331</v>
      </c>
      <c r="G84" s="67">
        <v>0.28464977645305511</v>
      </c>
      <c r="H84" s="67">
        <v>0.17585692995529062</v>
      </c>
      <c r="I84" s="68">
        <v>10089.005235602095</v>
      </c>
      <c r="J84" s="68">
        <v>-8059.3220338983047</v>
      </c>
      <c r="K84" s="67">
        <v>7.407407407407407E-2</v>
      </c>
      <c r="L84" s="67">
        <v>0.13580246913580246</v>
      </c>
      <c r="M84" s="67">
        <v>0.29210134128166915</v>
      </c>
      <c r="N84" s="67">
        <v>0.19374068554396423</v>
      </c>
      <c r="O84" s="67">
        <v>0.57653061224489799</v>
      </c>
      <c r="P84" s="67">
        <v>0.40769230769230769</v>
      </c>
      <c r="Q84" s="67">
        <v>0.42408376963350786</v>
      </c>
    </row>
    <row r="85" spans="1:17" x14ac:dyDescent="0.4">
      <c r="A85" s="69">
        <v>82</v>
      </c>
      <c r="B85" s="66">
        <v>214.1</v>
      </c>
      <c r="C85" s="66">
        <v>2.6109756097560974</v>
      </c>
      <c r="D85" s="71">
        <v>2.0121951219512195</v>
      </c>
      <c r="E85" s="67">
        <v>0.31707317073170732</v>
      </c>
      <c r="F85" s="67">
        <v>0.32926829268292684</v>
      </c>
      <c r="G85" s="67">
        <v>0.28592375366568917</v>
      </c>
      <c r="H85" s="67">
        <v>0.1744868035190616</v>
      </c>
      <c r="I85" s="68">
        <v>10080</v>
      </c>
      <c r="J85" s="68">
        <v>-8092.4369747899163</v>
      </c>
      <c r="K85" s="67">
        <v>7.3170731707317069E-2</v>
      </c>
      <c r="L85" s="67">
        <v>0.13414634146341464</v>
      </c>
      <c r="M85" s="67">
        <v>0.29472140762463345</v>
      </c>
      <c r="N85" s="67">
        <v>0.1906158357771261</v>
      </c>
      <c r="O85" s="67">
        <v>0.57213930348258701</v>
      </c>
      <c r="P85" s="67">
        <v>0.40769230769230769</v>
      </c>
      <c r="Q85" s="67">
        <v>0.41538461538461541</v>
      </c>
    </row>
    <row r="86" spans="1:17" x14ac:dyDescent="0.4">
      <c r="A86" s="69">
        <v>83</v>
      </c>
      <c r="B86" s="66">
        <v>210.9</v>
      </c>
      <c r="C86" s="66">
        <v>2.5409638554216869</v>
      </c>
      <c r="D86" s="71">
        <v>2.0120481927710845</v>
      </c>
      <c r="E86" s="67">
        <v>0.31325301204819278</v>
      </c>
      <c r="F86" s="67">
        <v>0.3253012048192771</v>
      </c>
      <c r="G86" s="67">
        <v>0.28592162554426703</v>
      </c>
      <c r="H86" s="67">
        <v>0.17271407837445574</v>
      </c>
      <c r="I86" s="68">
        <v>10031.472081218275</v>
      </c>
      <c r="J86" s="68">
        <v>-8092.4369747899163</v>
      </c>
      <c r="K86" s="67">
        <v>7.2289156626506021E-2</v>
      </c>
      <c r="L86" s="67">
        <v>0.13253012048192772</v>
      </c>
      <c r="M86" s="67">
        <v>0.2960812772133527</v>
      </c>
      <c r="N86" s="67">
        <v>0.19013062409288825</v>
      </c>
      <c r="O86" s="67">
        <v>0.57352941176470584</v>
      </c>
      <c r="P86" s="67">
        <v>0.40458015267175573</v>
      </c>
      <c r="Q86" s="67">
        <v>0.41116751269035534</v>
      </c>
    </row>
    <row r="87" spans="1:17" x14ac:dyDescent="0.4">
      <c r="A87" s="69">
        <v>84</v>
      </c>
      <c r="B87" s="66">
        <v>275.10000000000002</v>
      </c>
      <c r="C87" s="66">
        <v>3.2750000000000004</v>
      </c>
      <c r="D87" s="71">
        <v>2</v>
      </c>
      <c r="E87" s="67">
        <v>0.32142857142857145</v>
      </c>
      <c r="F87" s="67">
        <v>0.32142857142857145</v>
      </c>
      <c r="G87" s="67">
        <v>0.28898426323319026</v>
      </c>
      <c r="H87" s="67">
        <v>0.17024320457796852</v>
      </c>
      <c r="I87" s="68">
        <v>10054.455445544554</v>
      </c>
      <c r="J87" s="68">
        <v>-8092.4369747899163</v>
      </c>
      <c r="K87" s="67">
        <v>7.1428571428571425E-2</v>
      </c>
      <c r="L87" s="67">
        <v>0.14285714285714285</v>
      </c>
      <c r="M87" s="67">
        <v>0.29327610872675253</v>
      </c>
      <c r="N87" s="67">
        <v>0.19170243204577969</v>
      </c>
      <c r="O87" s="67">
        <v>0.57560975609756093</v>
      </c>
      <c r="P87" s="67">
        <v>0.41791044776119401</v>
      </c>
      <c r="Q87" s="67">
        <v>0.40594059405940597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10D61-48AC-4822-9A28-5D2F5F3BD630}">
  <sheetPr codeName="Sheet12"/>
  <dimension ref="A1:Q7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  <row r="61" spans="1:17" x14ac:dyDescent="0.4">
      <c r="A61" s="69">
        <v>58</v>
      </c>
      <c r="B61" s="66">
        <v>-877.29999999999973</v>
      </c>
      <c r="C61" s="66">
        <v>-15.125862068965512</v>
      </c>
      <c r="D61" s="71">
        <v>2.2413793103448274</v>
      </c>
      <c r="E61" s="67">
        <v>0.2413793103448276</v>
      </c>
      <c r="F61" s="67">
        <v>0.48275862068965519</v>
      </c>
      <c r="G61" s="67">
        <v>0.22669491525423729</v>
      </c>
      <c r="H61" s="67">
        <v>0.19279661016949154</v>
      </c>
      <c r="I61" s="68">
        <v>8998.1308411214959</v>
      </c>
      <c r="J61" s="68">
        <v>-9095.6043956043959</v>
      </c>
      <c r="K61" s="67">
        <v>0.18965517241379309</v>
      </c>
      <c r="L61" s="67">
        <v>0.1206896551724138</v>
      </c>
      <c r="M61" s="67">
        <v>0.26059322033898308</v>
      </c>
      <c r="N61" s="67">
        <v>0.15466101694915255</v>
      </c>
      <c r="O61" s="67">
        <v>0.51219512195121952</v>
      </c>
      <c r="P61" s="67">
        <v>0.24657534246575341</v>
      </c>
      <c r="Q61" s="67">
        <v>0.47663551401869159</v>
      </c>
    </row>
    <row r="62" spans="1:17" x14ac:dyDescent="0.4">
      <c r="A62" s="69">
        <v>59</v>
      </c>
      <c r="B62" s="66">
        <v>-940.6999999999997</v>
      </c>
      <c r="C62" s="66">
        <v>-15.944067796610165</v>
      </c>
      <c r="D62" s="71">
        <v>2.2542372881355934</v>
      </c>
      <c r="E62" s="67">
        <v>0.23728813559322035</v>
      </c>
      <c r="F62" s="67">
        <v>0.49152542372881358</v>
      </c>
      <c r="G62" s="67">
        <v>0.22641509433962265</v>
      </c>
      <c r="H62" s="67">
        <v>0.19287211740041929</v>
      </c>
      <c r="I62" s="68">
        <v>9025.9259259259252</v>
      </c>
      <c r="J62" s="68">
        <v>-9518.4782608695659</v>
      </c>
      <c r="K62" s="67">
        <v>0.20338983050847459</v>
      </c>
      <c r="L62" s="67">
        <v>0.11864406779661017</v>
      </c>
      <c r="M62" s="67">
        <v>0.25995807127882598</v>
      </c>
      <c r="N62" s="67">
        <v>0.15513626834381553</v>
      </c>
      <c r="O62" s="67">
        <v>0.5161290322580645</v>
      </c>
      <c r="P62" s="67">
        <v>0.24324324324324326</v>
      </c>
      <c r="Q62" s="67">
        <v>0.47222222222222221</v>
      </c>
    </row>
    <row r="63" spans="1:17" x14ac:dyDescent="0.4">
      <c r="A63" s="69">
        <v>60</v>
      </c>
      <c r="B63" s="66">
        <v>-960.99999999999966</v>
      </c>
      <c r="C63" s="66">
        <v>-16.016666666666662</v>
      </c>
      <c r="D63" s="71">
        <v>2.25</v>
      </c>
      <c r="E63" s="67">
        <v>0.23333333333333334</v>
      </c>
      <c r="F63" s="67">
        <v>0.48333333333333334</v>
      </c>
      <c r="G63" s="67">
        <v>0.22810590631364563</v>
      </c>
      <c r="H63" s="67">
        <v>0.19144602851323828</v>
      </c>
      <c r="I63" s="68">
        <v>8980.3571428571431</v>
      </c>
      <c r="J63" s="68">
        <v>-9602.1276595744675</v>
      </c>
      <c r="K63" s="67">
        <v>0.2</v>
      </c>
      <c r="L63" s="67">
        <v>0.11666666666666667</v>
      </c>
      <c r="M63" s="67">
        <v>0.26069246435845211</v>
      </c>
      <c r="N63" s="67">
        <v>0.15885947046843177</v>
      </c>
      <c r="O63" s="67">
        <v>0.515625</v>
      </c>
      <c r="P63" s="67">
        <v>0.24358974358974358</v>
      </c>
      <c r="Q63" s="67">
        <v>0.49107142857142855</v>
      </c>
    </row>
    <row r="64" spans="1:17" x14ac:dyDescent="0.4">
      <c r="A64" s="69">
        <v>61</v>
      </c>
      <c r="B64" s="66">
        <v>-924.1999999999997</v>
      </c>
      <c r="C64" s="66">
        <v>-15.150819672131142</v>
      </c>
      <c r="D64" s="71">
        <v>2.2295081967213113</v>
      </c>
      <c r="E64" s="67">
        <v>0.24590163934426229</v>
      </c>
      <c r="F64" s="67">
        <v>0.47540983606557374</v>
      </c>
      <c r="G64" s="67">
        <v>0.2289156626506024</v>
      </c>
      <c r="H64" s="67">
        <v>0.19277108433734941</v>
      </c>
      <c r="I64" s="68">
        <v>9149.1228070175439</v>
      </c>
      <c r="J64" s="68">
        <v>-9593.75</v>
      </c>
      <c r="K64" s="67">
        <v>0.19672131147540983</v>
      </c>
      <c r="L64" s="67">
        <v>0.11475409836065574</v>
      </c>
      <c r="M64" s="67">
        <v>0.26506024096385544</v>
      </c>
      <c r="N64" s="67">
        <v>0.16265060240963855</v>
      </c>
      <c r="O64" s="67">
        <v>0.51515151515151514</v>
      </c>
      <c r="P64" s="67">
        <v>0.23456790123456789</v>
      </c>
      <c r="Q64" s="67">
        <v>0.49122807017543857</v>
      </c>
    </row>
    <row r="65" spans="1:17" x14ac:dyDescent="0.4">
      <c r="A65" s="69">
        <v>62</v>
      </c>
      <c r="B65" s="66">
        <v>-970.09999999999968</v>
      </c>
      <c r="C65" s="66">
        <v>-15.646774193548382</v>
      </c>
      <c r="D65" s="71">
        <v>2.2419354838709675</v>
      </c>
      <c r="E65" s="67">
        <v>0.24193548387096775</v>
      </c>
      <c r="F65" s="67">
        <v>0.4838709677419355</v>
      </c>
      <c r="G65" s="67">
        <v>0.22593320235756384</v>
      </c>
      <c r="H65" s="67">
        <v>0.19646365422396855</v>
      </c>
      <c r="I65" s="68">
        <v>9173.9130434782601</v>
      </c>
      <c r="J65" s="68">
        <v>-9394</v>
      </c>
      <c r="K65" s="67">
        <v>0.19354838709677419</v>
      </c>
      <c r="L65" s="67">
        <v>0.11290322580645161</v>
      </c>
      <c r="M65" s="67">
        <v>0.26719056974459726</v>
      </c>
      <c r="N65" s="67">
        <v>0.16502946954813361</v>
      </c>
      <c r="O65" s="67">
        <v>0.50735294117647056</v>
      </c>
      <c r="P65" s="67">
        <v>0.22619047619047619</v>
      </c>
      <c r="Q65" s="67">
        <v>0.4956521739130435</v>
      </c>
    </row>
    <row r="66" spans="1:17" x14ac:dyDescent="0.4">
      <c r="A66" s="69">
        <v>63</v>
      </c>
      <c r="B66" s="66">
        <v>-1013.0999999999997</v>
      </c>
      <c r="C66" s="66">
        <v>-16.080952380952375</v>
      </c>
      <c r="D66" s="71">
        <v>2.253968253968254</v>
      </c>
      <c r="E66" s="67">
        <v>0.23809523809523808</v>
      </c>
      <c r="F66" s="67">
        <v>0.49206349206349204</v>
      </c>
      <c r="G66" s="67">
        <v>0.22605363984674329</v>
      </c>
      <c r="H66" s="67">
        <v>0.19731800766283525</v>
      </c>
      <c r="I66" s="68">
        <v>9178.8135593220341</v>
      </c>
      <c r="J66" s="68">
        <v>-9572.8155339805817</v>
      </c>
      <c r="K66" s="67">
        <v>0.19047619047619047</v>
      </c>
      <c r="L66" s="67">
        <v>0.1111111111111111</v>
      </c>
      <c r="M66" s="67">
        <v>0.26819923371647508</v>
      </c>
      <c r="N66" s="67">
        <v>0.16475095785440613</v>
      </c>
      <c r="O66" s="67">
        <v>0.5</v>
      </c>
      <c r="P66" s="67">
        <v>0.23255813953488372</v>
      </c>
      <c r="Q66" s="67">
        <v>0.5</v>
      </c>
    </row>
    <row r="67" spans="1:17" x14ac:dyDescent="0.4">
      <c r="A67" s="69">
        <v>64</v>
      </c>
      <c r="B67" s="66">
        <v>-1056.0999999999997</v>
      </c>
      <c r="C67" s="66">
        <v>-16.501562499999995</v>
      </c>
      <c r="D67" s="71">
        <v>2.265625</v>
      </c>
      <c r="E67" s="67">
        <v>0.234375</v>
      </c>
      <c r="F67" s="67">
        <v>0.5</v>
      </c>
      <c r="G67" s="67">
        <v>0.22641509433962265</v>
      </c>
      <c r="H67" s="67">
        <v>0.19622641509433963</v>
      </c>
      <c r="I67" s="68">
        <v>9125.8333333333339</v>
      </c>
      <c r="J67" s="68">
        <v>-9557.6923076923085</v>
      </c>
      <c r="K67" s="67">
        <v>0.1875</v>
      </c>
      <c r="L67" s="67">
        <v>0.109375</v>
      </c>
      <c r="M67" s="67">
        <v>0.26981132075471698</v>
      </c>
      <c r="N67" s="67">
        <v>0.16226415094339622</v>
      </c>
      <c r="O67" s="67">
        <v>0.49650349650349651</v>
      </c>
      <c r="P67" s="67">
        <v>0.23255813953488372</v>
      </c>
      <c r="Q67" s="67">
        <v>0.5</v>
      </c>
    </row>
    <row r="68" spans="1:17" x14ac:dyDescent="0.4">
      <c r="A68" s="69">
        <v>65</v>
      </c>
      <c r="B68" s="66">
        <v>-1083.0999999999997</v>
      </c>
      <c r="C68" s="66">
        <v>-16.663076923076918</v>
      </c>
      <c r="D68" s="71">
        <v>2.2769230769230768</v>
      </c>
      <c r="E68" s="67">
        <v>0.23076923076923078</v>
      </c>
      <c r="F68" s="67">
        <v>0.50769230769230766</v>
      </c>
      <c r="G68" s="67">
        <v>0.22574626865671643</v>
      </c>
      <c r="H68" s="67">
        <v>0.19589552238805971</v>
      </c>
      <c r="I68" s="68">
        <v>9066.9421487603304</v>
      </c>
      <c r="J68" s="68">
        <v>-9580.9523809523816</v>
      </c>
      <c r="K68" s="67">
        <v>0.18461538461538463</v>
      </c>
      <c r="L68" s="67">
        <v>0.1076923076923077</v>
      </c>
      <c r="M68" s="67">
        <v>0.26865671641791045</v>
      </c>
      <c r="N68" s="67">
        <v>0.16604477611940299</v>
      </c>
      <c r="O68" s="67">
        <v>0.49305555555555558</v>
      </c>
      <c r="P68" s="67">
        <v>0.23595505617977527</v>
      </c>
      <c r="Q68" s="67">
        <v>0.49586776859504134</v>
      </c>
    </row>
    <row r="69" spans="1:17" x14ac:dyDescent="0.4">
      <c r="A69" s="69">
        <v>66</v>
      </c>
      <c r="B69" s="66">
        <v>-1122.9999999999998</v>
      </c>
      <c r="C69" s="66">
        <v>-17.015151515151512</v>
      </c>
      <c r="D69" s="71">
        <v>2.2878787878787881</v>
      </c>
      <c r="E69" s="67">
        <v>0.22727272727272727</v>
      </c>
      <c r="F69" s="67">
        <v>0.51515151515151514</v>
      </c>
      <c r="G69" s="67">
        <v>0.22324723247232472</v>
      </c>
      <c r="H69" s="67">
        <v>0.19557195571955718</v>
      </c>
      <c r="I69" s="68">
        <v>9066.9421487603304</v>
      </c>
      <c r="J69" s="68">
        <v>-9527.3584905660373</v>
      </c>
      <c r="K69" s="67">
        <v>0.18181818181818182</v>
      </c>
      <c r="L69" s="67">
        <v>0.10606060606060606</v>
      </c>
      <c r="M69" s="67">
        <v>0.26568265682656828</v>
      </c>
      <c r="N69" s="67">
        <v>0.16605166051660517</v>
      </c>
      <c r="O69" s="67">
        <v>0.49305555555555558</v>
      </c>
      <c r="P69" s="67">
        <v>0.23333333333333334</v>
      </c>
      <c r="Q69" s="67">
        <v>0.49586776859504134</v>
      </c>
    </row>
    <row r="70" spans="1:17" x14ac:dyDescent="0.4">
      <c r="A70" s="69">
        <v>67</v>
      </c>
      <c r="B70" s="66">
        <v>-1123.7999999999997</v>
      </c>
      <c r="C70" s="66">
        <v>-16.773134328358204</v>
      </c>
      <c r="D70" s="71">
        <v>2.283582089552239</v>
      </c>
      <c r="E70" s="67">
        <v>0.22388059701492538</v>
      </c>
      <c r="F70" s="67">
        <v>0.5074626865671642</v>
      </c>
      <c r="G70" s="67">
        <v>0.22603978300180833</v>
      </c>
      <c r="H70" s="67">
        <v>0.19349005424954793</v>
      </c>
      <c r="I70" s="68">
        <v>8896.7999999999993</v>
      </c>
      <c r="J70" s="68">
        <v>-9513.0841121495323</v>
      </c>
      <c r="K70" s="67">
        <v>0.17910447761194029</v>
      </c>
      <c r="L70" s="67">
        <v>0.1044776119402985</v>
      </c>
      <c r="M70" s="67">
        <v>0.26763110307414106</v>
      </c>
      <c r="N70" s="67">
        <v>0.16636528028933092</v>
      </c>
      <c r="O70" s="67">
        <v>0.5</v>
      </c>
      <c r="P70" s="67">
        <v>0.22826086956521738</v>
      </c>
      <c r="Q70" s="67">
        <v>0.48799999999999999</v>
      </c>
    </row>
    <row r="71" spans="1:17" x14ac:dyDescent="0.4">
      <c r="A71" s="69">
        <v>68</v>
      </c>
      <c r="B71" s="66">
        <v>-1066.5999999999997</v>
      </c>
      <c r="C71" s="66">
        <v>-15.685294117647054</v>
      </c>
      <c r="D71" s="71">
        <v>2.2647058823529411</v>
      </c>
      <c r="E71" s="67">
        <v>0.23529411764705882</v>
      </c>
      <c r="F71" s="67">
        <v>0.5</v>
      </c>
      <c r="G71" s="67">
        <v>0.23131672597864769</v>
      </c>
      <c r="H71" s="67">
        <v>0.19039145907473309</v>
      </c>
      <c r="I71" s="68">
        <v>8890.7692307692305</v>
      </c>
      <c r="J71" s="68">
        <v>-9513.0841121495323</v>
      </c>
      <c r="K71" s="67">
        <v>0.17647058823529413</v>
      </c>
      <c r="L71" s="67">
        <v>0.11764705882352941</v>
      </c>
      <c r="M71" s="67">
        <v>0.27224199288256229</v>
      </c>
      <c r="N71" s="67">
        <v>0.16370106761565836</v>
      </c>
      <c r="O71" s="67">
        <v>0.5163398692810458</v>
      </c>
      <c r="P71" s="67">
        <v>0.22826086956521738</v>
      </c>
      <c r="Q71" s="67">
        <v>0.47692307692307695</v>
      </c>
    </row>
    <row r="72" spans="1:17" x14ac:dyDescent="0.4">
      <c r="A72" s="69">
        <v>69</v>
      </c>
      <c r="B72" s="66">
        <v>-1115.2999999999997</v>
      </c>
      <c r="C72" s="66">
        <v>-16.163768115942027</v>
      </c>
      <c r="D72" s="71">
        <v>2.2753623188405796</v>
      </c>
      <c r="E72" s="67">
        <v>0.2318840579710145</v>
      </c>
      <c r="F72" s="67">
        <v>0.50724637681159424</v>
      </c>
      <c r="G72" s="67">
        <v>0.22902097902097901</v>
      </c>
      <c r="H72" s="67">
        <v>0.19230769230769232</v>
      </c>
      <c r="I72" s="68">
        <v>8883.9694656488555</v>
      </c>
      <c r="J72" s="68">
        <v>-9505.454545454546</v>
      </c>
      <c r="K72" s="67">
        <v>0.17391304347826086</v>
      </c>
      <c r="L72" s="67">
        <v>0.11594202898550725</v>
      </c>
      <c r="M72" s="67">
        <v>0.27272727272727271</v>
      </c>
      <c r="N72" s="67">
        <v>0.16433566433566432</v>
      </c>
      <c r="O72" s="67">
        <v>0.51282051282051277</v>
      </c>
      <c r="P72" s="67">
        <v>0.22340425531914893</v>
      </c>
      <c r="Q72" s="67">
        <v>0.47328244274809161</v>
      </c>
    </row>
    <row r="73" spans="1:17" x14ac:dyDescent="0.4">
      <c r="A73" s="69">
        <v>70</v>
      </c>
      <c r="B73" s="66">
        <v>-1170.9999999999998</v>
      </c>
      <c r="C73" s="66">
        <v>-16.728571428571424</v>
      </c>
      <c r="D73" s="71">
        <v>2.2857142857142856</v>
      </c>
      <c r="E73" s="67">
        <v>0.22857142857142856</v>
      </c>
      <c r="F73" s="67">
        <v>0.51428571428571423</v>
      </c>
      <c r="G73" s="67">
        <v>0.22797927461139897</v>
      </c>
      <c r="H73" s="67">
        <v>0.19170984455958548</v>
      </c>
      <c r="I73" s="68">
        <v>8856.060606060606</v>
      </c>
      <c r="J73" s="68">
        <v>-9466.6666666666661</v>
      </c>
      <c r="K73" s="67">
        <v>0.18571428571428572</v>
      </c>
      <c r="L73" s="67">
        <v>0.11428571428571428</v>
      </c>
      <c r="M73" s="67">
        <v>0.27461139896373055</v>
      </c>
      <c r="N73" s="67">
        <v>0.16407599309153714</v>
      </c>
      <c r="O73" s="67">
        <v>0.50943396226415094</v>
      </c>
      <c r="P73" s="67">
        <v>0.22105263157894736</v>
      </c>
      <c r="Q73" s="67">
        <v>0.46969696969696972</v>
      </c>
    </row>
    <row r="74" spans="1:17" x14ac:dyDescent="0.4">
      <c r="A74" s="69">
        <v>71</v>
      </c>
      <c r="B74" s="66">
        <v>-1130.3999999999999</v>
      </c>
      <c r="C74" s="66">
        <v>-15.921126760563379</v>
      </c>
      <c r="D74" s="71">
        <v>2.267605633802817</v>
      </c>
      <c r="E74" s="67">
        <v>0.23943661971830985</v>
      </c>
      <c r="F74" s="67">
        <v>0.50704225352112675</v>
      </c>
      <c r="G74" s="67">
        <v>0.22920203735144312</v>
      </c>
      <c r="H74" s="67">
        <v>0.19015280135823429</v>
      </c>
      <c r="I74" s="68">
        <v>8875.5555555555547</v>
      </c>
      <c r="J74" s="68">
        <v>-9428.5714285714294</v>
      </c>
      <c r="K74" s="67">
        <v>0.18309859154929578</v>
      </c>
      <c r="L74" s="67">
        <v>0.11267605633802817</v>
      </c>
      <c r="M74" s="67">
        <v>0.27843803056027167</v>
      </c>
      <c r="N74" s="67">
        <v>0.16298811544991512</v>
      </c>
      <c r="O74" s="67">
        <v>0.51219512195121952</v>
      </c>
      <c r="P74" s="67">
        <v>0.21875</v>
      </c>
      <c r="Q74" s="67">
        <v>0.46666666666666667</v>
      </c>
    </row>
    <row r="75" spans="1:17" x14ac:dyDescent="0.4">
      <c r="A75" s="69">
        <v>72</v>
      </c>
      <c r="B75" s="66">
        <v>-1129.6999999999998</v>
      </c>
      <c r="C75" s="66">
        <v>-15.690277777777775</v>
      </c>
      <c r="D75" s="71">
        <v>2.2638888888888888</v>
      </c>
      <c r="E75" s="67">
        <v>0.2361111111111111</v>
      </c>
      <c r="F75" s="67">
        <v>0.5</v>
      </c>
      <c r="G75" s="67">
        <v>0.23</v>
      </c>
      <c r="H75" s="67">
        <v>0.19</v>
      </c>
      <c r="I75" s="68">
        <v>8834.0579710144921</v>
      </c>
      <c r="J75" s="68">
        <v>-9398.2456140350878</v>
      </c>
      <c r="K75" s="67">
        <v>0.18055555555555555</v>
      </c>
      <c r="L75" s="67">
        <v>0.1111111111111111</v>
      </c>
      <c r="M75" s="67">
        <v>0.27666666666666667</v>
      </c>
      <c r="N75" s="67">
        <v>0.16333333333333333</v>
      </c>
      <c r="O75" s="67">
        <v>0.51807228915662651</v>
      </c>
      <c r="P75" s="67">
        <v>0.22448979591836735</v>
      </c>
      <c r="Q75" s="67">
        <v>0.46376811594202899</v>
      </c>
    </row>
    <row r="76" spans="1:17" x14ac:dyDescent="0.4">
      <c r="A76" s="69">
        <v>73</v>
      </c>
      <c r="B76" s="66">
        <v>-1091.5999999999999</v>
      </c>
      <c r="C76" s="66">
        <v>-14.953424657534246</v>
      </c>
      <c r="D76" s="71">
        <v>2.2465753424657535</v>
      </c>
      <c r="E76" s="67">
        <v>0.24657534246575341</v>
      </c>
      <c r="F76" s="67">
        <v>0.49315068493150682</v>
      </c>
      <c r="G76" s="67">
        <v>0.23393739703459637</v>
      </c>
      <c r="H76" s="67">
        <v>0.19110378912685339</v>
      </c>
      <c r="I76" s="68">
        <v>8873.9436619718308</v>
      </c>
      <c r="J76" s="68">
        <v>-9408.6206896551721</v>
      </c>
      <c r="K76" s="67">
        <v>0.17808219178082191</v>
      </c>
      <c r="L76" s="67">
        <v>0.1095890410958904</v>
      </c>
      <c r="M76" s="67">
        <v>0.28171334431630973</v>
      </c>
      <c r="N76" s="67">
        <v>0.16144975288303129</v>
      </c>
      <c r="O76" s="67">
        <v>0.52631578947368418</v>
      </c>
      <c r="P76" s="67">
        <v>0.22448979591836735</v>
      </c>
      <c r="Q76" s="67">
        <v>0.46478873239436619</v>
      </c>
    </row>
    <row r="77" spans="1:17" x14ac:dyDescent="0.4">
      <c r="A77" s="69">
        <v>74</v>
      </c>
      <c r="B77" s="66">
        <v>-1149.5999999999999</v>
      </c>
      <c r="C77" s="66">
        <v>-15.535135135135134</v>
      </c>
      <c r="D77" s="71">
        <v>2.2567567567567566</v>
      </c>
      <c r="E77" s="67">
        <v>0.24324324324324326</v>
      </c>
      <c r="F77" s="67">
        <v>0.5</v>
      </c>
      <c r="G77" s="67">
        <v>0.233387358184765</v>
      </c>
      <c r="H77" s="67">
        <v>0.19286871961102106</v>
      </c>
      <c r="I77" s="68">
        <v>8872.9166666666661</v>
      </c>
      <c r="J77" s="68">
        <v>-9433.6134453781506</v>
      </c>
      <c r="K77" s="67">
        <v>0.1891891891891892</v>
      </c>
      <c r="L77" s="67">
        <v>0.10810810810810811</v>
      </c>
      <c r="M77" s="67">
        <v>0.28200972447325767</v>
      </c>
      <c r="N77" s="67">
        <v>0.15883306320907617</v>
      </c>
      <c r="O77" s="67">
        <v>0.52298850574712641</v>
      </c>
      <c r="P77" s="67">
        <v>0.22448979591836735</v>
      </c>
      <c r="Q77" s="67">
        <v>0.46527777777777779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9DBFE0-88CA-4416-9FAF-F907B63065A3}">
  <sheetPr codeName="Sheet10"/>
  <dimension ref="A1:Q12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  <row r="117" spans="1:17" x14ac:dyDescent="0.4">
      <c r="A117" s="69">
        <v>114</v>
      </c>
      <c r="B117" s="66">
        <v>-248.90000000000009</v>
      </c>
      <c r="C117" s="66">
        <v>-2.183333333333334</v>
      </c>
      <c r="D117" s="71">
        <v>2.0701754385964914</v>
      </c>
      <c r="E117" s="67">
        <v>0.27192982456140352</v>
      </c>
      <c r="F117" s="67">
        <v>0.34210526315789475</v>
      </c>
      <c r="G117" s="67">
        <v>0.27417640807651433</v>
      </c>
      <c r="H117" s="67">
        <v>0.17003188097768332</v>
      </c>
      <c r="I117" s="68">
        <v>9304.2635658914733</v>
      </c>
      <c r="J117" s="68">
        <v>-7563.125</v>
      </c>
      <c r="K117" s="67">
        <v>0.12280701754385964</v>
      </c>
      <c r="L117" s="67">
        <v>9.6491228070175433E-2</v>
      </c>
      <c r="M117" s="67">
        <v>0.29755579171094582</v>
      </c>
      <c r="N117" s="67">
        <v>0.18172157279489903</v>
      </c>
      <c r="O117" s="67">
        <v>0.5892857142857143</v>
      </c>
      <c r="P117" s="67">
        <v>0.2982456140350877</v>
      </c>
      <c r="Q117" s="67">
        <v>0.4263565891472868</v>
      </c>
    </row>
    <row r="118" spans="1:17" x14ac:dyDescent="0.4">
      <c r="A118" s="69">
        <v>115</v>
      </c>
      <c r="B118" s="66">
        <v>-327.60000000000008</v>
      </c>
      <c r="C118" s="66">
        <v>-2.8486956521739137</v>
      </c>
      <c r="D118" s="71">
        <v>2.0782608695652174</v>
      </c>
      <c r="E118" s="67">
        <v>0.26956521739130435</v>
      </c>
      <c r="F118" s="67">
        <v>0.34782608695652173</v>
      </c>
      <c r="G118" s="67">
        <v>0.27243928194297784</v>
      </c>
      <c r="H118" s="67">
        <v>0.17212249208025343</v>
      </c>
      <c r="I118" s="68">
        <v>9304.2635658914733</v>
      </c>
      <c r="J118" s="68">
        <v>-7741.1042944785277</v>
      </c>
      <c r="K118" s="67">
        <v>0.13043478260869565</v>
      </c>
      <c r="L118" s="67">
        <v>9.5652173913043481E-2</v>
      </c>
      <c r="M118" s="67">
        <v>0.29778247096092925</v>
      </c>
      <c r="N118" s="67">
        <v>0.18057022175290391</v>
      </c>
      <c r="O118" s="67">
        <v>0.58510638297872342</v>
      </c>
      <c r="P118" s="67">
        <v>0.2982456140350877</v>
      </c>
      <c r="Q118" s="67">
        <v>0.4263565891472868</v>
      </c>
    </row>
    <row r="119" spans="1:17" x14ac:dyDescent="0.4">
      <c r="A119" s="69">
        <v>116</v>
      </c>
      <c r="B119" s="66">
        <v>-316.00000000000006</v>
      </c>
      <c r="C119" s="66">
        <v>-2.7241379310344831</v>
      </c>
      <c r="D119" s="71">
        <v>2.0775862068965516</v>
      </c>
      <c r="E119" s="67">
        <v>0.26724137931034481</v>
      </c>
      <c r="F119" s="67">
        <v>0.34482758620689657</v>
      </c>
      <c r="G119" s="67">
        <v>0.27272727272727271</v>
      </c>
      <c r="H119" s="67">
        <v>0.17136886102403343</v>
      </c>
      <c r="I119" s="68">
        <v>9297.318007662836</v>
      </c>
      <c r="J119" s="68">
        <v>-7742.6829268292686</v>
      </c>
      <c r="K119" s="67">
        <v>0.12931034482758622</v>
      </c>
      <c r="L119" s="67">
        <v>9.4827586206896547E-2</v>
      </c>
      <c r="M119" s="67">
        <v>0.2988505747126437</v>
      </c>
      <c r="N119" s="67">
        <v>0.18077324973876699</v>
      </c>
      <c r="O119" s="67">
        <v>0.58391608391608396</v>
      </c>
      <c r="P119" s="67">
        <v>0.30057803468208094</v>
      </c>
      <c r="Q119" s="67">
        <v>0.42145593869731801</v>
      </c>
    </row>
    <row r="120" spans="1:17" x14ac:dyDescent="0.4">
      <c r="A120" s="69">
        <v>117</v>
      </c>
      <c r="B120" s="66">
        <v>-313.40000000000003</v>
      </c>
      <c r="C120" s="66">
        <v>-2.6786324786324789</v>
      </c>
      <c r="D120" s="71">
        <v>2.0769230769230771</v>
      </c>
      <c r="E120" s="67">
        <v>0.26495726495726496</v>
      </c>
      <c r="F120" s="67">
        <v>0.34188034188034189</v>
      </c>
      <c r="G120" s="67">
        <v>0.27253886010362693</v>
      </c>
      <c r="H120" s="67">
        <v>0.16994818652849741</v>
      </c>
      <c r="I120" s="68">
        <v>9302.6615969581744</v>
      </c>
      <c r="J120" s="68">
        <v>-7742.6829268292686</v>
      </c>
      <c r="K120" s="67">
        <v>0.12820512820512819</v>
      </c>
      <c r="L120" s="67">
        <v>9.4017094017094016E-2</v>
      </c>
      <c r="M120" s="67">
        <v>0.30051813471502592</v>
      </c>
      <c r="N120" s="67">
        <v>0.18031088082901556</v>
      </c>
      <c r="O120" s="67">
        <v>0.58275862068965523</v>
      </c>
      <c r="P120" s="67">
        <v>0.2988505747126437</v>
      </c>
      <c r="Q120" s="67">
        <v>0.4220532319391635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8D93D-B11B-4E9D-9D8F-2FBED2D484AB}">
  <sheetPr codeName="Sheet8"/>
  <dimension ref="A1:Q13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">
      <c r="A116" s="69">
        <v>113</v>
      </c>
      <c r="B116" s="66">
        <v>1346.8000000000009</v>
      </c>
      <c r="C116" s="66">
        <v>11.918584070796468</v>
      </c>
      <c r="D116" s="71">
        <v>1.7433628318584071</v>
      </c>
      <c r="E116" s="67">
        <v>0.49557522123893805</v>
      </c>
      <c r="F116" s="67">
        <v>0.23893805309734514</v>
      </c>
      <c r="G116" s="67">
        <v>0.34901531728665208</v>
      </c>
      <c r="H116" s="67">
        <v>0.15207877461706784</v>
      </c>
      <c r="I116" s="68">
        <v>9076.1755485893409</v>
      </c>
      <c r="J116" s="68">
        <v>-8412.9496402877703</v>
      </c>
      <c r="K116" s="67">
        <v>0.11504424778761062</v>
      </c>
      <c r="L116" s="67">
        <v>0.17699115044247787</v>
      </c>
      <c r="M116" s="67">
        <v>0.32713347921225383</v>
      </c>
      <c r="N116" s="67">
        <v>0.21881838074398249</v>
      </c>
      <c r="O116" s="67">
        <v>0.57859531772575246</v>
      </c>
      <c r="P116" s="67">
        <v>0.51</v>
      </c>
      <c r="Q116" s="67">
        <v>0.41692789968652039</v>
      </c>
    </row>
    <row r="117" spans="1:17" x14ac:dyDescent="0.4">
      <c r="A117" s="69">
        <v>114</v>
      </c>
      <c r="B117" s="66">
        <v>1351.1000000000008</v>
      </c>
      <c r="C117" s="66">
        <v>11.85175438596492</v>
      </c>
      <c r="D117" s="71">
        <v>1.7456140350877194</v>
      </c>
      <c r="E117" s="67">
        <v>0.49122807017543857</v>
      </c>
      <c r="F117" s="67">
        <v>0.23684210526315788</v>
      </c>
      <c r="G117" s="67">
        <v>0.34961997828447339</v>
      </c>
      <c r="H117" s="67">
        <v>0.15200868621064062</v>
      </c>
      <c r="I117" s="68">
        <v>9056.8322981366455</v>
      </c>
      <c r="J117" s="68">
        <v>-8390</v>
      </c>
      <c r="K117" s="67">
        <v>0.11403508771929824</v>
      </c>
      <c r="L117" s="67">
        <v>0.17543859649122806</v>
      </c>
      <c r="M117" s="67">
        <v>0.32573289902280128</v>
      </c>
      <c r="N117" s="67">
        <v>0.21932681867535286</v>
      </c>
      <c r="O117" s="67">
        <v>0.57999999999999996</v>
      </c>
      <c r="P117" s="67">
        <v>0.50990099009900991</v>
      </c>
      <c r="Q117" s="67">
        <v>0.41304347826086957</v>
      </c>
    </row>
    <row r="118" spans="1:17" x14ac:dyDescent="0.4">
      <c r="A118" s="69">
        <v>115</v>
      </c>
      <c r="B118" s="66">
        <v>1435.5000000000009</v>
      </c>
      <c r="C118" s="66">
        <v>12.482608695652182</v>
      </c>
      <c r="D118" s="71">
        <v>1.7391304347826086</v>
      </c>
      <c r="E118" s="67">
        <v>0.4956521739130435</v>
      </c>
      <c r="F118" s="67">
        <v>0.23478260869565218</v>
      </c>
      <c r="G118" s="67">
        <v>0.35230934479054782</v>
      </c>
      <c r="H118" s="67">
        <v>0.15037593984962405</v>
      </c>
      <c r="I118" s="68">
        <v>9069.8170731707323</v>
      </c>
      <c r="J118" s="68">
        <v>-8390</v>
      </c>
      <c r="K118" s="67">
        <v>0.11304347826086956</v>
      </c>
      <c r="L118" s="67">
        <v>0.18260869565217391</v>
      </c>
      <c r="M118" s="67">
        <v>0.32867883995703545</v>
      </c>
      <c r="N118" s="67">
        <v>0.21911922663802363</v>
      </c>
      <c r="O118" s="67">
        <v>0.5816993464052288</v>
      </c>
      <c r="P118" s="67">
        <v>0.51470588235294112</v>
      </c>
      <c r="Q118" s="67">
        <v>0.42073170731707316</v>
      </c>
    </row>
    <row r="119" spans="1:17" x14ac:dyDescent="0.4">
      <c r="A119" s="69">
        <v>116</v>
      </c>
      <c r="B119" s="66">
        <v>1471.900000000001</v>
      </c>
      <c r="C119" s="66">
        <v>12.688793103448285</v>
      </c>
      <c r="D119" s="71">
        <v>1.7327586206896552</v>
      </c>
      <c r="E119" s="67">
        <v>0.5</v>
      </c>
      <c r="F119" s="67">
        <v>0.23275862068965517</v>
      </c>
      <c r="G119" s="67">
        <v>0.35456475583864117</v>
      </c>
      <c r="H119" s="67">
        <v>0.14968152866242038</v>
      </c>
      <c r="I119" s="68">
        <v>9014.3712574850306</v>
      </c>
      <c r="J119" s="68">
        <v>-8415.6028368794323</v>
      </c>
      <c r="K119" s="67">
        <v>0.11206896551724138</v>
      </c>
      <c r="L119" s="67">
        <v>0.18103448275862069</v>
      </c>
      <c r="M119" s="67">
        <v>0.32908704883227174</v>
      </c>
      <c r="N119" s="67">
        <v>0.2208067940552017</v>
      </c>
      <c r="O119" s="67">
        <v>0.58387096774193548</v>
      </c>
      <c r="P119" s="67">
        <v>0.51923076923076927</v>
      </c>
      <c r="Q119" s="67">
        <v>0.41916167664670656</v>
      </c>
    </row>
    <row r="120" spans="1:17" x14ac:dyDescent="0.4">
      <c r="A120" s="69">
        <v>117</v>
      </c>
      <c r="B120" s="66">
        <v>1492.600000000001</v>
      </c>
      <c r="C120" s="66">
        <v>12.757264957264967</v>
      </c>
      <c r="D120" s="71">
        <v>1.7350427350427351</v>
      </c>
      <c r="E120" s="67">
        <v>0.49572649572649574</v>
      </c>
      <c r="F120" s="67">
        <v>0.23076923076923078</v>
      </c>
      <c r="G120" s="67">
        <v>0.35654008438818563</v>
      </c>
      <c r="H120" s="67">
        <v>0.14873417721518986</v>
      </c>
      <c r="I120" s="68">
        <v>8992.6035502958584</v>
      </c>
      <c r="J120" s="68">
        <v>-8415.6028368794323</v>
      </c>
      <c r="K120" s="67">
        <v>0.1111111111111111</v>
      </c>
      <c r="L120" s="67">
        <v>0.17948717948717949</v>
      </c>
      <c r="M120" s="67">
        <v>0.32911392405063289</v>
      </c>
      <c r="N120" s="67">
        <v>0.22151898734177214</v>
      </c>
      <c r="O120" s="67">
        <v>0.58653846153846156</v>
      </c>
      <c r="P120" s="67">
        <v>0.52380952380952384</v>
      </c>
      <c r="Q120" s="67">
        <v>0.41420118343195267</v>
      </c>
    </row>
    <row r="121" spans="1:17" x14ac:dyDescent="0.4">
      <c r="A121" s="69">
        <v>118</v>
      </c>
      <c r="B121" s="66">
        <v>1530.0000000000011</v>
      </c>
      <c r="C121" s="66">
        <v>12.966101694915263</v>
      </c>
      <c r="D121" s="71">
        <v>1.728813559322034</v>
      </c>
      <c r="E121" s="67">
        <v>0.5</v>
      </c>
      <c r="F121" s="67">
        <v>0.2288135593220339</v>
      </c>
      <c r="G121" s="67">
        <v>0.35379812695109258</v>
      </c>
      <c r="H121" s="67">
        <v>0.14880332986472425</v>
      </c>
      <c r="I121" s="68">
        <v>9041.4705882352937</v>
      </c>
      <c r="J121" s="68">
        <v>-8335.6643356643362</v>
      </c>
      <c r="K121" s="67">
        <v>0.11016949152542373</v>
      </c>
      <c r="L121" s="67">
        <v>0.17796610169491525</v>
      </c>
      <c r="M121" s="67">
        <v>0.32778355879292403</v>
      </c>
      <c r="N121" s="67">
        <v>0.22164412070759626</v>
      </c>
      <c r="O121" s="67">
        <v>0.58412698412698416</v>
      </c>
      <c r="P121" s="67">
        <v>0.51643192488262912</v>
      </c>
      <c r="Q121" s="67">
        <v>0.41176470588235292</v>
      </c>
    </row>
    <row r="122" spans="1:17" x14ac:dyDescent="0.4">
      <c r="A122" s="69">
        <v>119</v>
      </c>
      <c r="B122" s="66">
        <v>1530.0000000000011</v>
      </c>
      <c r="C122" s="66">
        <v>12.857142857142867</v>
      </c>
      <c r="D122" s="71">
        <v>1.73109243697479</v>
      </c>
      <c r="E122" s="67">
        <v>0.49579831932773111</v>
      </c>
      <c r="F122" s="67">
        <v>0.22689075630252101</v>
      </c>
      <c r="G122" s="67">
        <v>0.35269709543568467</v>
      </c>
      <c r="H122" s="67">
        <v>0.1483402489626556</v>
      </c>
      <c r="I122" s="68">
        <v>9041.4705882352937</v>
      </c>
      <c r="J122" s="68">
        <v>-8335.6643356643362</v>
      </c>
      <c r="K122" s="67">
        <v>0.1092436974789916</v>
      </c>
      <c r="L122" s="67">
        <v>0.17647058823529413</v>
      </c>
      <c r="M122" s="67">
        <v>0.32676348547717843</v>
      </c>
      <c r="N122" s="67">
        <v>0.22095435684647302</v>
      </c>
      <c r="O122" s="67">
        <v>0.58412698412698416</v>
      </c>
      <c r="P122" s="67">
        <v>0.51643192488262912</v>
      </c>
      <c r="Q122" s="67">
        <v>0.41176470588235292</v>
      </c>
    </row>
    <row r="123" spans="1:17" x14ac:dyDescent="0.4">
      <c r="A123" s="69">
        <v>120</v>
      </c>
      <c r="B123" s="66">
        <v>1527.0000000000011</v>
      </c>
      <c r="C123" s="66">
        <v>12.72500000000001</v>
      </c>
      <c r="D123" s="71">
        <v>1.7333333333333334</v>
      </c>
      <c r="E123" s="67">
        <v>0.49166666666666664</v>
      </c>
      <c r="F123" s="67">
        <v>0.22500000000000001</v>
      </c>
      <c r="G123" s="67">
        <v>0.3508230452674897</v>
      </c>
      <c r="H123" s="67">
        <v>0.15020576131687244</v>
      </c>
      <c r="I123" s="68">
        <v>9120.5278592375362</v>
      </c>
      <c r="J123" s="68">
        <v>-8356.1643835616433</v>
      </c>
      <c r="K123" s="67">
        <v>0.10833333333333334</v>
      </c>
      <c r="L123" s="67">
        <v>0.17499999999999999</v>
      </c>
      <c r="M123" s="67">
        <v>0.32818930041152261</v>
      </c>
      <c r="N123" s="67">
        <v>0.22119341563786007</v>
      </c>
      <c r="O123" s="67">
        <v>0.57993730407523514</v>
      </c>
      <c r="P123" s="67">
        <v>0.51162790697674421</v>
      </c>
      <c r="Q123" s="67">
        <v>0.41348973607038125</v>
      </c>
    </row>
    <row r="124" spans="1:17" x14ac:dyDescent="0.4">
      <c r="A124" s="69">
        <v>121</v>
      </c>
      <c r="B124" s="66">
        <v>1556.600000000001</v>
      </c>
      <c r="C124" s="66">
        <v>12.864462809917365</v>
      </c>
      <c r="D124" s="71">
        <v>1.7272727272727273</v>
      </c>
      <c r="E124" s="67">
        <v>0.49586776859504134</v>
      </c>
      <c r="F124" s="67">
        <v>0.2231404958677686</v>
      </c>
      <c r="G124" s="67">
        <v>0.3510204081632653</v>
      </c>
      <c r="H124" s="67">
        <v>0.15102040816326531</v>
      </c>
      <c r="I124" s="68">
        <v>9132.8488372093016</v>
      </c>
      <c r="J124" s="68">
        <v>-8351.3513513513517</v>
      </c>
      <c r="K124" s="67">
        <v>0.10743801652892562</v>
      </c>
      <c r="L124" s="67">
        <v>0.17355371900826447</v>
      </c>
      <c r="M124" s="67">
        <v>0.32857142857142857</v>
      </c>
      <c r="N124" s="67">
        <v>0.22244897959183674</v>
      </c>
      <c r="O124" s="67">
        <v>0.57763975155279501</v>
      </c>
      <c r="P124" s="67">
        <v>0.51376146788990829</v>
      </c>
      <c r="Q124" s="67">
        <v>0.41279069767441862</v>
      </c>
    </row>
    <row r="125" spans="1:17" x14ac:dyDescent="0.4">
      <c r="A125" s="69">
        <v>122</v>
      </c>
      <c r="B125" s="66">
        <v>1590.100000000001</v>
      </c>
      <c r="C125" s="66">
        <v>13.033606557377057</v>
      </c>
      <c r="D125" s="71">
        <v>1.721311475409836</v>
      </c>
      <c r="E125" s="67">
        <v>0.5</v>
      </c>
      <c r="F125" s="67">
        <v>0.22131147540983606</v>
      </c>
      <c r="G125" s="67">
        <v>0.35192697768762676</v>
      </c>
      <c r="H125" s="67">
        <v>0.15111561866125761</v>
      </c>
      <c r="I125" s="68">
        <v>9107.2046109510084</v>
      </c>
      <c r="J125" s="68">
        <v>-8308.7248322147643</v>
      </c>
      <c r="K125" s="67">
        <v>0.10655737704918032</v>
      </c>
      <c r="L125" s="67">
        <v>0.1721311475409836</v>
      </c>
      <c r="M125" s="67">
        <v>0.32860040567951321</v>
      </c>
      <c r="N125" s="67">
        <v>0.22109533468559839</v>
      </c>
      <c r="O125" s="67">
        <v>0.5771604938271605</v>
      </c>
      <c r="P125" s="67">
        <v>0.51376146788990829</v>
      </c>
      <c r="Q125" s="67">
        <v>0.40922190201729108</v>
      </c>
    </row>
    <row r="126" spans="1:17" x14ac:dyDescent="0.4">
      <c r="A126" s="69">
        <v>123</v>
      </c>
      <c r="B126" s="66">
        <v>1598.200000000001</v>
      </c>
      <c r="C126" s="66">
        <v>12.993495934959357</v>
      </c>
      <c r="D126" s="71">
        <v>1.7235772357723578</v>
      </c>
      <c r="E126" s="67">
        <v>0.49593495934959347</v>
      </c>
      <c r="F126" s="67">
        <v>0.21951219512195122</v>
      </c>
      <c r="G126" s="67">
        <v>0.35170340681362727</v>
      </c>
      <c r="H126" s="67">
        <v>0.15330661322645289</v>
      </c>
      <c r="I126" s="68">
        <v>9112.2507122507122</v>
      </c>
      <c r="J126" s="68">
        <v>-8224.1830065359482</v>
      </c>
      <c r="K126" s="67">
        <v>0.10569105691056911</v>
      </c>
      <c r="L126" s="67">
        <v>0.17073170731707318</v>
      </c>
      <c r="M126" s="67">
        <v>0.32865731462925851</v>
      </c>
      <c r="N126" s="67">
        <v>0.21943887775551102</v>
      </c>
      <c r="O126" s="67">
        <v>0.57621951219512191</v>
      </c>
      <c r="P126" s="67">
        <v>0.51598173515981738</v>
      </c>
      <c r="Q126" s="67">
        <v>0.40740740740740738</v>
      </c>
    </row>
    <row r="127" spans="1:17" x14ac:dyDescent="0.4">
      <c r="A127" s="69">
        <v>124</v>
      </c>
      <c r="B127" s="66">
        <v>1628.600000000001</v>
      </c>
      <c r="C127" s="66">
        <v>13.133870967741943</v>
      </c>
      <c r="D127" s="71">
        <v>1.717741935483871</v>
      </c>
      <c r="E127" s="67">
        <v>0.5</v>
      </c>
      <c r="F127" s="67">
        <v>0.21774193548387097</v>
      </c>
      <c r="G127" s="67">
        <v>0.35089463220675943</v>
      </c>
      <c r="H127" s="67">
        <v>0.15407554671968191</v>
      </c>
      <c r="I127" s="68">
        <v>9134.2776203966005</v>
      </c>
      <c r="J127" s="68">
        <v>-8178.0645161290322</v>
      </c>
      <c r="K127" s="67">
        <v>0.10483870967741936</v>
      </c>
      <c r="L127" s="67">
        <v>0.16935483870967741</v>
      </c>
      <c r="M127" s="67">
        <v>0.32703777335984097</v>
      </c>
      <c r="N127" s="67">
        <v>0.21968190854870775</v>
      </c>
      <c r="O127" s="67">
        <v>0.57750759878419455</v>
      </c>
      <c r="P127" s="67">
        <v>0.51583710407239824</v>
      </c>
      <c r="Q127" s="67">
        <v>0.40509915014164305</v>
      </c>
    </row>
    <row r="128" spans="1:17" x14ac:dyDescent="0.4">
      <c r="A128" s="69">
        <v>125</v>
      </c>
      <c r="B128" s="66">
        <v>1565.600000000001</v>
      </c>
      <c r="C128" s="66">
        <v>12.524800000000008</v>
      </c>
      <c r="D128" s="71">
        <v>1.728</v>
      </c>
      <c r="E128" s="67">
        <v>0.496</v>
      </c>
      <c r="F128" s="67">
        <v>0.224</v>
      </c>
      <c r="G128" s="67">
        <v>0.34985133795837464</v>
      </c>
      <c r="H128" s="67">
        <v>0.15559960356788899</v>
      </c>
      <c r="I128" s="68">
        <v>9134.2776203966005</v>
      </c>
      <c r="J128" s="68">
        <v>-8277.7070063694264</v>
      </c>
      <c r="K128" s="67">
        <v>0.112</v>
      </c>
      <c r="L128" s="67">
        <v>0.16800000000000001</v>
      </c>
      <c r="M128" s="67">
        <v>0.32606541129831518</v>
      </c>
      <c r="N128" s="67">
        <v>0.22101090188305253</v>
      </c>
      <c r="O128" s="67">
        <v>0.57750759878419455</v>
      </c>
      <c r="P128" s="67">
        <v>0.5112107623318386</v>
      </c>
      <c r="Q128" s="67">
        <v>0.40509915014164305</v>
      </c>
    </row>
    <row r="129" spans="1:17" x14ac:dyDescent="0.4">
      <c r="A129" s="69">
        <v>126</v>
      </c>
      <c r="B129" s="66">
        <v>1666.5000000000011</v>
      </c>
      <c r="C129" s="66">
        <v>13.226190476190485</v>
      </c>
      <c r="D129" s="71">
        <v>1.7222222222222223</v>
      </c>
      <c r="E129" s="67">
        <v>0.5</v>
      </c>
      <c r="F129" s="67">
        <v>0.22222222222222221</v>
      </c>
      <c r="G129" s="67">
        <v>0.3526522593320236</v>
      </c>
      <c r="H129" s="67">
        <v>0.15422396856581533</v>
      </c>
      <c r="I129" s="68">
        <v>9180.5013927576601</v>
      </c>
      <c r="J129" s="68">
        <v>-8277.7070063694264</v>
      </c>
      <c r="K129" s="67">
        <v>0.1111111111111111</v>
      </c>
      <c r="L129" s="67">
        <v>0.17460317460317459</v>
      </c>
      <c r="M129" s="67">
        <v>0.32612966601178783</v>
      </c>
      <c r="N129" s="67">
        <v>0.22298624754420432</v>
      </c>
      <c r="O129" s="67">
        <v>0.58132530120481929</v>
      </c>
      <c r="P129" s="67">
        <v>0.51541850220264318</v>
      </c>
      <c r="Q129" s="67">
        <v>0.4011142061281337</v>
      </c>
    </row>
    <row r="130" spans="1:17" x14ac:dyDescent="0.4">
      <c r="A130" s="69">
        <v>127</v>
      </c>
      <c r="B130" s="66">
        <v>1643.100000000001</v>
      </c>
      <c r="C130" s="66">
        <v>12.93779527559056</v>
      </c>
      <c r="D130" s="71">
        <v>1.7322834645669292</v>
      </c>
      <c r="E130" s="67">
        <v>0.49606299212598426</v>
      </c>
      <c r="F130" s="67">
        <v>0.2283464566929134</v>
      </c>
      <c r="G130" s="67">
        <v>0.3498542274052478</v>
      </c>
      <c r="H130" s="67">
        <v>0.15451895043731778</v>
      </c>
      <c r="I130" s="68">
        <v>9205</v>
      </c>
      <c r="J130" s="68">
        <v>-8233.3333333333339</v>
      </c>
      <c r="K130" s="67">
        <v>0.11023622047244094</v>
      </c>
      <c r="L130" s="67">
        <v>0.17322834645669291</v>
      </c>
      <c r="M130" s="67">
        <v>0.32847424684159376</v>
      </c>
      <c r="N130" s="67">
        <v>0.22157434402332363</v>
      </c>
      <c r="O130" s="67">
        <v>0.57396449704142016</v>
      </c>
      <c r="P130" s="67">
        <v>0.51315789473684215</v>
      </c>
      <c r="Q130" s="67">
        <v>0.4</v>
      </c>
    </row>
    <row r="131" spans="1:17" x14ac:dyDescent="0.4">
      <c r="A131" s="69">
        <v>128</v>
      </c>
      <c r="B131" s="66">
        <v>1573.600000000001</v>
      </c>
      <c r="C131" s="66">
        <v>12.293750000000008</v>
      </c>
      <c r="D131" s="71">
        <v>1.7421875</v>
      </c>
      <c r="E131" s="67">
        <v>0.4921875</v>
      </c>
      <c r="F131" s="67">
        <v>0.234375</v>
      </c>
      <c r="G131" s="67">
        <v>0.34778420038535646</v>
      </c>
      <c r="H131" s="67">
        <v>0.15703275529865124</v>
      </c>
      <c r="I131" s="68">
        <v>9223.8227146814406</v>
      </c>
      <c r="J131" s="68">
        <v>-8374.8466257668715</v>
      </c>
      <c r="K131" s="67">
        <v>0.1171875</v>
      </c>
      <c r="L131" s="67">
        <v>0.171875</v>
      </c>
      <c r="M131" s="67">
        <v>0.32562620423892102</v>
      </c>
      <c r="N131" s="67">
        <v>0.21965317919075145</v>
      </c>
      <c r="O131" s="67">
        <v>0.57396449704142016</v>
      </c>
      <c r="P131" s="67">
        <v>0.51315789473684215</v>
      </c>
      <c r="Q131" s="67">
        <v>0.40166204986149584</v>
      </c>
    </row>
    <row r="132" spans="1:17" x14ac:dyDescent="0.4">
      <c r="A132" s="69">
        <v>129</v>
      </c>
      <c r="B132" s="66">
        <v>1603.0000000000011</v>
      </c>
      <c r="C132" s="66">
        <v>12.426356589147296</v>
      </c>
      <c r="D132" s="71">
        <v>1.7364341085271318</v>
      </c>
      <c r="E132" s="67">
        <v>0.49612403100775193</v>
      </c>
      <c r="F132" s="67">
        <v>0.23255813953488372</v>
      </c>
      <c r="G132" s="67">
        <v>0.34699714013346045</v>
      </c>
      <c r="H132" s="67">
        <v>0.15824594852240229</v>
      </c>
      <c r="I132" s="68">
        <v>9240.1098901098903</v>
      </c>
      <c r="J132" s="68">
        <v>-8291.5662650602408</v>
      </c>
      <c r="K132" s="67">
        <v>0.11627906976744186</v>
      </c>
      <c r="L132" s="67">
        <v>0.17054263565891473</v>
      </c>
      <c r="M132" s="67">
        <v>0.32316491897044802</v>
      </c>
      <c r="N132" s="67">
        <v>0.2202097235462345</v>
      </c>
      <c r="O132" s="67">
        <v>0.57227138643067843</v>
      </c>
      <c r="P132" s="67">
        <v>0.51515151515151514</v>
      </c>
      <c r="Q132" s="67">
        <v>0.40109890109890112</v>
      </c>
    </row>
    <row r="133" spans="1:17" x14ac:dyDescent="0.4">
      <c r="A133" s="69">
        <v>130</v>
      </c>
      <c r="B133" s="66">
        <v>1682.600000000001</v>
      </c>
      <c r="C133" s="66">
        <v>12.943076923076932</v>
      </c>
      <c r="D133" s="71">
        <v>1.7307692307692308</v>
      </c>
      <c r="E133" s="67">
        <v>0.5</v>
      </c>
      <c r="F133" s="67">
        <v>0.23076923076923078</v>
      </c>
      <c r="G133" s="67">
        <v>0.35009487666034156</v>
      </c>
      <c r="H133" s="67">
        <v>0.15749525616698293</v>
      </c>
      <c r="I133" s="68">
        <v>9241.1924119241194</v>
      </c>
      <c r="J133" s="68">
        <v>-8291.5662650602408</v>
      </c>
      <c r="K133" s="67">
        <v>0.11538461538461539</v>
      </c>
      <c r="L133" s="67">
        <v>0.17692307692307693</v>
      </c>
      <c r="M133" s="67">
        <v>0.3235294117647059</v>
      </c>
      <c r="N133" s="67">
        <v>0.22011385199240988</v>
      </c>
      <c r="O133" s="67">
        <v>0.57478005865102644</v>
      </c>
      <c r="P133" s="67">
        <v>0.51724137931034486</v>
      </c>
      <c r="Q133" s="67">
        <v>0.40108401084010842</v>
      </c>
    </row>
    <row r="134" spans="1:17" x14ac:dyDescent="0.4">
      <c r="A134" s="69">
        <v>131</v>
      </c>
      <c r="B134" s="66">
        <v>1632.100000000001</v>
      </c>
      <c r="C134" s="66">
        <v>12.458778625954206</v>
      </c>
      <c r="D134" s="71">
        <v>1.7404580152671756</v>
      </c>
      <c r="E134" s="67">
        <v>0.49618320610687022</v>
      </c>
      <c r="F134" s="67">
        <v>0.23664122137404581</v>
      </c>
      <c r="G134" s="67">
        <v>0.34839924670433148</v>
      </c>
      <c r="H134" s="67">
        <v>0.15819209039548024</v>
      </c>
      <c r="I134" s="68">
        <v>9227.0270270270266</v>
      </c>
      <c r="J134" s="68">
        <v>-8288.0952380952385</v>
      </c>
      <c r="K134" s="67">
        <v>0.11450381679389313</v>
      </c>
      <c r="L134" s="67">
        <v>0.17557251908396945</v>
      </c>
      <c r="M134" s="67">
        <v>0.32297551789077211</v>
      </c>
      <c r="N134" s="67">
        <v>0.22033898305084745</v>
      </c>
      <c r="O134" s="67">
        <v>0.57434402332361512</v>
      </c>
      <c r="P134" s="67">
        <v>0.51282051282051277</v>
      </c>
      <c r="Q134" s="67">
        <v>0.4027027027027027</v>
      </c>
    </row>
    <row r="135" spans="1:17" x14ac:dyDescent="0.4">
      <c r="A135" s="69">
        <v>132</v>
      </c>
      <c r="B135" s="66">
        <v>1590.400000000001</v>
      </c>
      <c r="C135" s="66">
        <v>12.048484848484856</v>
      </c>
      <c r="D135" s="71">
        <v>1.75</v>
      </c>
      <c r="E135" s="67">
        <v>0.49242424242424243</v>
      </c>
      <c r="F135" s="67">
        <v>0.24242424242424243</v>
      </c>
      <c r="G135" s="67">
        <v>0.34669151910531221</v>
      </c>
      <c r="H135" s="67">
        <v>0.16029822926374651</v>
      </c>
      <c r="I135" s="68">
        <v>9215.322580645161</v>
      </c>
      <c r="J135" s="68">
        <v>-8284.3023255813951</v>
      </c>
      <c r="K135" s="67">
        <v>0.11363636363636363</v>
      </c>
      <c r="L135" s="67">
        <v>0.17424242424242425</v>
      </c>
      <c r="M135" s="67">
        <v>0.32152842497670087</v>
      </c>
      <c r="N135" s="67">
        <v>0.22087604846225536</v>
      </c>
      <c r="O135" s="67">
        <v>0.57101449275362315</v>
      </c>
      <c r="P135" s="67">
        <v>0.51476793248945152</v>
      </c>
      <c r="Q135" s="67">
        <v>0.40322580645161288</v>
      </c>
    </row>
    <row r="136" spans="1:17" x14ac:dyDescent="0.4">
      <c r="A136" s="69">
        <v>133</v>
      </c>
      <c r="B136" s="66">
        <v>1555.5000000000009</v>
      </c>
      <c r="C136" s="66">
        <v>11.695488721804518</v>
      </c>
      <c r="D136" s="71">
        <v>1.7593984962406015</v>
      </c>
      <c r="E136" s="67">
        <v>0.48872180451127817</v>
      </c>
      <c r="F136" s="67">
        <v>0.24812030075187969</v>
      </c>
      <c r="G136" s="67">
        <v>0.34629629629629627</v>
      </c>
      <c r="H136" s="67">
        <v>0.16111111111111112</v>
      </c>
      <c r="I136" s="68">
        <v>9218.7165775401063</v>
      </c>
      <c r="J136" s="68">
        <v>-8353.4482758620688</v>
      </c>
      <c r="K136" s="67">
        <v>0.11278195488721804</v>
      </c>
      <c r="L136" s="67">
        <v>0.17293233082706766</v>
      </c>
      <c r="M136" s="67">
        <v>0.32314814814814813</v>
      </c>
      <c r="N136" s="67">
        <v>0.21944444444444444</v>
      </c>
      <c r="O136" s="67">
        <v>0.56733524355300857</v>
      </c>
      <c r="P136" s="67">
        <v>0.51476793248945152</v>
      </c>
      <c r="Q136" s="67">
        <v>0.40374331550802139</v>
      </c>
    </row>
    <row r="137" spans="1:17" x14ac:dyDescent="0.4">
      <c r="A137" s="69">
        <v>134</v>
      </c>
      <c r="B137" s="66">
        <v>1549.3000000000009</v>
      </c>
      <c r="C137" s="66">
        <v>11.561940298507469</v>
      </c>
      <c r="D137" s="71">
        <v>1.7611940298507462</v>
      </c>
      <c r="E137" s="67">
        <v>0.48507462686567165</v>
      </c>
      <c r="F137" s="67">
        <v>0.2462686567164179</v>
      </c>
      <c r="G137" s="67">
        <v>0.34587155963302751</v>
      </c>
      <c r="H137" s="67">
        <v>0.16238532110091744</v>
      </c>
      <c r="I137" s="68">
        <v>9218.8328912466841</v>
      </c>
      <c r="J137" s="68">
        <v>-8345.1977401129952</v>
      </c>
      <c r="K137" s="67">
        <v>0.11194029850746269</v>
      </c>
      <c r="L137" s="67">
        <v>0.17164179104477612</v>
      </c>
      <c r="M137" s="67">
        <v>0.3220183486238532</v>
      </c>
      <c r="N137" s="67">
        <v>0.22110091743119267</v>
      </c>
      <c r="O137" s="67">
        <v>0.56980056980056981</v>
      </c>
      <c r="P137" s="67">
        <v>0.51037344398340245</v>
      </c>
      <c r="Q137" s="67">
        <v>0.40583554376657827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EE296-8936-4DBC-90CD-B0B3BC0EA157}">
  <sheetPr codeName="Sheet6"/>
  <dimension ref="A1:Q20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0.16738505747126436</v>
      </c>
      <c r="I169" s="68">
        <v>8503.3546325878597</v>
      </c>
      <c r="J169" s="68">
        <v>-8165.2360515021455</v>
      </c>
      <c r="K169" s="67">
        <v>0.11044176706827309</v>
      </c>
      <c r="L169" s="67">
        <v>0.11044176706827309</v>
      </c>
      <c r="M169" s="67">
        <v>0.27442528735632182</v>
      </c>
      <c r="N169" s="67">
        <v>0.21024904214559387</v>
      </c>
      <c r="O169" s="67">
        <v>0.58726003490401402</v>
      </c>
      <c r="P169" s="67">
        <v>0.38952164009111617</v>
      </c>
      <c r="Q169" s="67">
        <v>0.43530351437699683</v>
      </c>
    </row>
    <row r="170" spans="1:17" x14ac:dyDescent="0.4">
      <c r="A170" s="69">
        <v>167</v>
      </c>
      <c r="B170" s="66">
        <v>7.1054273576010019E-15</v>
      </c>
      <c r="C170" s="66">
        <v>1.4182489735730541E-17</v>
      </c>
      <c r="D170" s="71">
        <v>2</v>
      </c>
      <c r="E170" s="67">
        <v>0.33333333333333331</v>
      </c>
      <c r="F170" s="67">
        <v>0.33333333333333331</v>
      </c>
      <c r="G170" s="67">
        <v>0.3</v>
      </c>
      <c r="H170" s="67">
        <v>0.16714285714285715</v>
      </c>
      <c r="I170" s="68">
        <v>8525.1587301587297</v>
      </c>
      <c r="J170" s="68">
        <v>-8160.9686609686605</v>
      </c>
      <c r="K170" s="67">
        <v>0.11177644710578842</v>
      </c>
      <c r="L170" s="67">
        <v>0.11177644710578842</v>
      </c>
      <c r="M170" s="67">
        <v>0.2745238095238095</v>
      </c>
      <c r="N170" s="67">
        <v>0.21023809523809525</v>
      </c>
      <c r="O170" s="67">
        <v>0.58716392020815267</v>
      </c>
      <c r="P170" s="67">
        <v>0.39184597961494905</v>
      </c>
      <c r="Q170" s="67">
        <v>0.43650793650793651</v>
      </c>
    </row>
    <row r="171" spans="1:17" x14ac:dyDescent="0.4">
      <c r="A171" s="69">
        <v>168</v>
      </c>
      <c r="B171" s="66">
        <v>1.4210854715202004E-14</v>
      </c>
      <c r="C171" s="66">
        <v>2.8196140307940482E-17</v>
      </c>
      <c r="D171" s="71">
        <v>2</v>
      </c>
      <c r="E171" s="67">
        <v>0.33333333333333331</v>
      </c>
      <c r="F171" s="67">
        <v>0.33333333333333331</v>
      </c>
      <c r="G171" s="67">
        <v>0.30011862396204031</v>
      </c>
      <c r="H171" s="67">
        <v>0.16702253855278767</v>
      </c>
      <c r="I171" s="68">
        <v>8536.5217391304341</v>
      </c>
      <c r="J171" s="68">
        <v>-8153.409090909091</v>
      </c>
      <c r="K171" s="67">
        <v>0.1130952380952381</v>
      </c>
      <c r="L171" s="67">
        <v>0.1130952380952381</v>
      </c>
      <c r="M171" s="67">
        <v>0.27497034400948994</v>
      </c>
      <c r="N171" s="67">
        <v>0.21043890865954923</v>
      </c>
      <c r="O171" s="67">
        <v>0.5875754961173425</v>
      </c>
      <c r="P171" s="67">
        <v>0.39120631341600903</v>
      </c>
      <c r="Q171" s="67">
        <v>0.43715415019762843</v>
      </c>
    </row>
    <row r="172" spans="1:17" x14ac:dyDescent="0.4">
      <c r="A172" s="69">
        <v>169</v>
      </c>
      <c r="B172" s="66">
        <v>1.4210854715202004E-14</v>
      </c>
      <c r="C172" s="66">
        <v>2.8029299241029595E-17</v>
      </c>
      <c r="D172" s="71">
        <v>2</v>
      </c>
      <c r="E172" s="67">
        <v>0.33333333333333331</v>
      </c>
      <c r="F172" s="67">
        <v>0.33333333333333331</v>
      </c>
      <c r="G172" s="67">
        <v>0.30023640661938533</v>
      </c>
      <c r="H172" s="67">
        <v>0.16713947990543734</v>
      </c>
      <c r="I172" s="68">
        <v>8571.968503937007</v>
      </c>
      <c r="J172" s="68">
        <v>-8214.9929278642157</v>
      </c>
      <c r="K172" s="67">
        <v>0.11439842209072978</v>
      </c>
      <c r="L172" s="67">
        <v>0.11439842209072978</v>
      </c>
      <c r="M172" s="67">
        <v>0.27446808510638299</v>
      </c>
      <c r="N172" s="67">
        <v>0.21040189125295508</v>
      </c>
      <c r="O172" s="67">
        <v>0.58828596037898362</v>
      </c>
      <c r="P172" s="67">
        <v>0.38988764044943819</v>
      </c>
      <c r="Q172" s="67">
        <v>0.43700787401574803</v>
      </c>
    </row>
    <row r="173" spans="1:17" x14ac:dyDescent="0.4">
      <c r="A173" s="69">
        <v>170</v>
      </c>
      <c r="B173" s="66">
        <v>1.4210854715202004E-14</v>
      </c>
      <c r="C173" s="66">
        <v>2.7864421010200007E-17</v>
      </c>
      <c r="D173" s="71">
        <v>2</v>
      </c>
      <c r="E173" s="67">
        <v>0.33333333333333331</v>
      </c>
      <c r="F173" s="67">
        <v>0.33333333333333331</v>
      </c>
      <c r="G173" s="67">
        <v>0.30009363295880148</v>
      </c>
      <c r="H173" s="67">
        <v>0.16643258426966293</v>
      </c>
      <c r="I173" s="68">
        <v>8587.9875195007808</v>
      </c>
      <c r="J173" s="68">
        <v>-8231.6455696202538</v>
      </c>
      <c r="K173" s="67">
        <v>0.11372549019607843</v>
      </c>
      <c r="L173" s="67">
        <v>0.11372549019607843</v>
      </c>
      <c r="M173" s="67">
        <v>0.2752808988764045</v>
      </c>
      <c r="N173" s="67">
        <v>0.21044007490636704</v>
      </c>
      <c r="O173" s="67">
        <v>0.5875850340136054</v>
      </c>
      <c r="P173" s="67">
        <v>0.38932146829810899</v>
      </c>
      <c r="Q173" s="67">
        <v>0.43915756630265212</v>
      </c>
    </row>
    <row r="174" spans="1:17" x14ac:dyDescent="0.4">
      <c r="A174" s="69">
        <v>171</v>
      </c>
      <c r="B174" s="66">
        <v>7.1054273576010019E-15</v>
      </c>
      <c r="C174" s="66">
        <v>1.38507355898655E-17</v>
      </c>
      <c r="D174" s="71">
        <v>2</v>
      </c>
      <c r="E174" s="67">
        <v>0.33333333333333331</v>
      </c>
      <c r="F174" s="67">
        <v>0.33333333333333331</v>
      </c>
      <c r="G174" s="67">
        <v>0.30002329373398556</v>
      </c>
      <c r="H174" s="67">
        <v>0.16655019799673887</v>
      </c>
      <c r="I174" s="68">
        <v>8596.2732919254649</v>
      </c>
      <c r="J174" s="68">
        <v>-8222.2377622377626</v>
      </c>
      <c r="K174" s="67">
        <v>0.11306042884990253</v>
      </c>
      <c r="L174" s="67">
        <v>0.11306042884990253</v>
      </c>
      <c r="M174" s="67">
        <v>0.27533193570929421</v>
      </c>
      <c r="N174" s="67">
        <v>0.21057535522944329</v>
      </c>
      <c r="O174" s="67">
        <v>0.58798646362098139</v>
      </c>
      <c r="P174" s="67">
        <v>0.38827433628318586</v>
      </c>
      <c r="Q174" s="67">
        <v>0.43866459627329191</v>
      </c>
    </row>
    <row r="175" spans="1:17" x14ac:dyDescent="0.4">
      <c r="A175" s="69">
        <v>172</v>
      </c>
      <c r="B175" s="66">
        <v>7.1054273576010019E-15</v>
      </c>
      <c r="C175" s="66">
        <v>1.3770208057366282E-17</v>
      </c>
      <c r="D175" s="71">
        <v>2</v>
      </c>
      <c r="E175" s="67">
        <v>0.33333333333333331</v>
      </c>
      <c r="F175" s="67">
        <v>0.33333333333333331</v>
      </c>
      <c r="G175" s="67">
        <v>0.30002313208420078</v>
      </c>
      <c r="H175" s="67">
        <v>0.16585704371963914</v>
      </c>
      <c r="I175" s="68">
        <v>8598.3037779491133</v>
      </c>
      <c r="J175" s="68">
        <v>-8219.5258019525809</v>
      </c>
      <c r="K175" s="67">
        <v>0.11434108527131782</v>
      </c>
      <c r="L175" s="67">
        <v>0.11434108527131782</v>
      </c>
      <c r="M175" s="67">
        <v>0.27573444367337496</v>
      </c>
      <c r="N175" s="67">
        <v>0.21050196622715706</v>
      </c>
      <c r="O175" s="67">
        <v>0.58724832214765099</v>
      </c>
      <c r="P175" s="67">
        <v>0.39010989010989011</v>
      </c>
      <c r="Q175" s="67">
        <v>0.44101773323053201</v>
      </c>
    </row>
    <row r="176" spans="1:17" x14ac:dyDescent="0.4">
      <c r="A176" s="69">
        <v>173</v>
      </c>
      <c r="B176" s="66">
        <v>7.1054273576010019E-15</v>
      </c>
      <c r="C176" s="66">
        <v>1.3690611479000003E-17</v>
      </c>
      <c r="D176" s="71">
        <v>2</v>
      </c>
      <c r="E176" s="67">
        <v>0.33333333333333331</v>
      </c>
      <c r="F176" s="67">
        <v>0.33333333333333331</v>
      </c>
      <c r="G176" s="67">
        <v>0.30018416206261511</v>
      </c>
      <c r="H176" s="67">
        <v>0.16574585635359115</v>
      </c>
      <c r="I176" s="68">
        <v>8605.1380368098162</v>
      </c>
      <c r="J176" s="68">
        <v>-8209.0277777777774</v>
      </c>
      <c r="K176" s="67">
        <v>0.11368015414258188</v>
      </c>
      <c r="L176" s="67">
        <v>0.11368015414258188</v>
      </c>
      <c r="M176" s="67">
        <v>0.27578268876611417</v>
      </c>
      <c r="N176" s="67">
        <v>0.20994475138121546</v>
      </c>
      <c r="O176" s="67">
        <v>0.58848080133555924</v>
      </c>
      <c r="P176" s="67">
        <v>0.39144736842105265</v>
      </c>
      <c r="Q176" s="67">
        <v>0.44171779141104295</v>
      </c>
    </row>
    <row r="177" spans="1:17" x14ac:dyDescent="0.4">
      <c r="A177" s="69">
        <v>174</v>
      </c>
      <c r="B177" s="66">
        <v>7.1054273576010019E-15</v>
      </c>
      <c r="C177" s="66">
        <v>1.3611929803833336E-17</v>
      </c>
      <c r="D177" s="71">
        <v>2</v>
      </c>
      <c r="E177" s="67">
        <v>0.33333333333333331</v>
      </c>
      <c r="F177" s="67">
        <v>0.33333333333333331</v>
      </c>
      <c r="G177" s="67">
        <v>0.30027548209366389</v>
      </c>
      <c r="H177" s="67">
        <v>0.1659779614325069</v>
      </c>
      <c r="I177" s="68">
        <v>8604.8165137614687</v>
      </c>
      <c r="J177" s="68">
        <v>-8210.9266943291841</v>
      </c>
      <c r="K177" s="67">
        <v>0.11494252873563218</v>
      </c>
      <c r="L177" s="67">
        <v>0.11494252873563218</v>
      </c>
      <c r="M177" s="67">
        <v>0.27640036730945822</v>
      </c>
      <c r="N177" s="67">
        <v>0.20959595959595959</v>
      </c>
      <c r="O177" s="67">
        <v>0.58720930232558144</v>
      </c>
      <c r="P177" s="67">
        <v>0.39211391018619934</v>
      </c>
      <c r="Q177" s="67">
        <v>0.44113149847094801</v>
      </c>
    </row>
    <row r="178" spans="1:17" x14ac:dyDescent="0.4">
      <c r="A178" s="69">
        <v>175</v>
      </c>
      <c r="B178" s="66">
        <v>7.1054273576010019E-15</v>
      </c>
      <c r="C178" s="66">
        <v>1.3534147347811432E-17</v>
      </c>
      <c r="D178" s="71">
        <v>2</v>
      </c>
      <c r="E178" s="67">
        <v>0.33333333333333331</v>
      </c>
      <c r="F178" s="67">
        <v>0.33333333333333331</v>
      </c>
      <c r="G178" s="67">
        <v>0.30052403736614264</v>
      </c>
      <c r="H178" s="67">
        <v>0.16632490316700843</v>
      </c>
      <c r="I178" s="68">
        <v>8594.5413191811986</v>
      </c>
      <c r="J178" s="68">
        <v>-8187.1232876712329</v>
      </c>
      <c r="K178" s="67">
        <v>0.11428571428571428</v>
      </c>
      <c r="L178" s="67">
        <v>0.11428571428571428</v>
      </c>
      <c r="M178" s="67">
        <v>0.27705627705627706</v>
      </c>
      <c r="N178" s="67">
        <v>0.21007063112326271</v>
      </c>
      <c r="O178" s="67">
        <v>0.58717105263157898</v>
      </c>
      <c r="P178" s="67">
        <v>0.3926247288503254</v>
      </c>
      <c r="Q178" s="67">
        <v>0.4404852160727824</v>
      </c>
    </row>
    <row r="179" spans="1:17" x14ac:dyDescent="0.4">
      <c r="A179" s="69">
        <v>176</v>
      </c>
      <c r="B179" s="66">
        <v>1.0658141036401503E-14</v>
      </c>
      <c r="C179" s="66">
        <v>2.0185873175002847E-17</v>
      </c>
      <c r="D179" s="71">
        <v>2</v>
      </c>
      <c r="E179" s="67">
        <v>0.33333333333333331</v>
      </c>
      <c r="F179" s="67">
        <v>0.33333333333333331</v>
      </c>
      <c r="G179" s="67">
        <v>0.30065804402087587</v>
      </c>
      <c r="H179" s="67">
        <v>0.16678012253233493</v>
      </c>
      <c r="I179" s="68">
        <v>8613.5094339622647</v>
      </c>
      <c r="J179" s="68">
        <v>-8219.4557823129253</v>
      </c>
      <c r="K179" s="67">
        <v>0.11553030303030302</v>
      </c>
      <c r="L179" s="67">
        <v>0.11553030303030302</v>
      </c>
      <c r="M179" s="67">
        <v>0.27728613569321536</v>
      </c>
      <c r="N179" s="67">
        <v>0.21012026321760835</v>
      </c>
      <c r="O179" s="67">
        <v>0.58756137479541737</v>
      </c>
      <c r="P179" s="67">
        <v>0.39308855291576672</v>
      </c>
      <c r="Q179" s="67">
        <v>0.43924528301886795</v>
      </c>
    </row>
    <row r="180" spans="1:17" x14ac:dyDescent="0.4">
      <c r="A180" s="69">
        <v>177</v>
      </c>
      <c r="B180" s="66">
        <v>5.3290705182007514E-15</v>
      </c>
      <c r="C180" s="66">
        <v>1.003591434689407E-17</v>
      </c>
      <c r="D180" s="71">
        <v>2</v>
      </c>
      <c r="E180" s="67">
        <v>0.33333333333333331</v>
      </c>
      <c r="F180" s="67">
        <v>0.33333333333333331</v>
      </c>
      <c r="G180" s="67">
        <v>0.30004498425551057</v>
      </c>
      <c r="H180" s="67">
        <v>0.16666666666666666</v>
      </c>
      <c r="I180" s="68">
        <v>8624.4377811094455</v>
      </c>
      <c r="J180" s="68">
        <v>-8233.8731443994602</v>
      </c>
      <c r="K180" s="67">
        <v>0.11487758945386065</v>
      </c>
      <c r="L180" s="67">
        <v>0.11487758945386065</v>
      </c>
      <c r="M180" s="67">
        <v>0.27800269905533065</v>
      </c>
      <c r="N180" s="67">
        <v>0.20985155195681512</v>
      </c>
      <c r="O180" s="67">
        <v>0.58414239482200647</v>
      </c>
      <c r="P180" s="67">
        <v>0.3912111468381565</v>
      </c>
      <c r="Q180" s="67">
        <v>0.43853073463268366</v>
      </c>
    </row>
    <row r="181" spans="1:17" x14ac:dyDescent="0.4">
      <c r="A181" s="69">
        <v>178</v>
      </c>
      <c r="B181" s="66">
        <v>7.1054273576010019E-15</v>
      </c>
      <c r="C181" s="66">
        <v>1.3306043740825846E-17</v>
      </c>
      <c r="D181" s="71">
        <v>2</v>
      </c>
      <c r="E181" s="67">
        <v>0.33333333333333331</v>
      </c>
      <c r="F181" s="67">
        <v>0.33333333333333331</v>
      </c>
      <c r="G181" s="67">
        <v>0.30011223344556676</v>
      </c>
      <c r="H181" s="67">
        <v>0.16700336700336701</v>
      </c>
      <c r="I181" s="68">
        <v>8632.0119670905005</v>
      </c>
      <c r="J181" s="68">
        <v>-8249.0591397849457</v>
      </c>
      <c r="K181" s="67">
        <v>0.11610486891385768</v>
      </c>
      <c r="L181" s="67">
        <v>0.11610486891385768</v>
      </c>
      <c r="M181" s="67">
        <v>0.27811447811447809</v>
      </c>
      <c r="N181" s="67">
        <v>0.20987654320987653</v>
      </c>
      <c r="O181" s="67">
        <v>0.58514931396287329</v>
      </c>
      <c r="P181" s="67">
        <v>0.39037433155080214</v>
      </c>
      <c r="Q181" s="67">
        <v>0.43754674644726999</v>
      </c>
    </row>
    <row r="182" spans="1:17" x14ac:dyDescent="0.4">
      <c r="A182" s="69">
        <v>179</v>
      </c>
      <c r="B182" s="66">
        <v>6.4392935428259079E-15</v>
      </c>
      <c r="C182" s="66">
        <v>1.1991235647720499E-17</v>
      </c>
      <c r="D182" s="71">
        <v>2</v>
      </c>
      <c r="E182" s="67">
        <v>0.33333333333333331</v>
      </c>
      <c r="F182" s="67">
        <v>0.33333333333333331</v>
      </c>
      <c r="G182" s="67">
        <v>0.30029024335789239</v>
      </c>
      <c r="H182" s="67">
        <v>0.16655503460593882</v>
      </c>
      <c r="I182" s="68">
        <v>8660.4460966542756</v>
      </c>
      <c r="J182" s="68">
        <v>-8253.7533512064347</v>
      </c>
      <c r="K182" s="67">
        <v>0.1154562383612663</v>
      </c>
      <c r="L182" s="67">
        <v>0.1154562383612663</v>
      </c>
      <c r="M182" s="67">
        <v>0.27818709533377989</v>
      </c>
      <c r="N182" s="67">
        <v>0.21009153828979682</v>
      </c>
      <c r="O182" s="67">
        <v>0.5858747993579454</v>
      </c>
      <c r="P182" s="67">
        <v>0.39001062699256112</v>
      </c>
      <c r="Q182" s="67">
        <v>0.43940520446096654</v>
      </c>
    </row>
    <row r="183" spans="1:17" x14ac:dyDescent="0.4">
      <c r="A183" s="69">
        <v>180</v>
      </c>
      <c r="B183" s="66">
        <v>7.1054273576010019E-15</v>
      </c>
      <c r="C183" s="66">
        <v>1.3158198810372226E-17</v>
      </c>
      <c r="D183" s="71">
        <v>2</v>
      </c>
      <c r="E183" s="67">
        <v>0.33333333333333331</v>
      </c>
      <c r="F183" s="67">
        <v>0.33333333333333331</v>
      </c>
      <c r="G183" s="67">
        <v>0.30046635576282477</v>
      </c>
      <c r="H183" s="67">
        <v>0.16677770375305351</v>
      </c>
      <c r="I183" s="68">
        <v>8683.1485587583156</v>
      </c>
      <c r="J183" s="68">
        <v>-8257.3901464713708</v>
      </c>
      <c r="K183" s="67">
        <v>0.11481481481481481</v>
      </c>
      <c r="L183" s="67">
        <v>0.11481481481481481</v>
      </c>
      <c r="M183" s="67">
        <v>0.27914723517654899</v>
      </c>
      <c r="N183" s="67">
        <v>0.20963801909837887</v>
      </c>
      <c r="O183" s="67">
        <v>0.58472553699284013</v>
      </c>
      <c r="P183" s="67">
        <v>0.38983050847457629</v>
      </c>
      <c r="Q183" s="67">
        <v>0.43902439024390244</v>
      </c>
    </row>
    <row r="184" spans="1:17" x14ac:dyDescent="0.4">
      <c r="A184" s="69">
        <v>181</v>
      </c>
      <c r="B184" s="66">
        <v>7.1054273576010019E-15</v>
      </c>
      <c r="C184" s="66">
        <v>1.3085501579375695E-17</v>
      </c>
      <c r="D184" s="71">
        <v>2</v>
      </c>
      <c r="E184" s="67">
        <v>0.33333333333333331</v>
      </c>
      <c r="F184" s="67">
        <v>0.33333333333333331</v>
      </c>
      <c r="G184" s="67">
        <v>0.30064060083940802</v>
      </c>
      <c r="H184" s="67">
        <v>0.16699801192842942</v>
      </c>
      <c r="I184" s="68">
        <v>8684.7171197648786</v>
      </c>
      <c r="J184" s="68">
        <v>-8271.0317460317456</v>
      </c>
      <c r="K184" s="67">
        <v>0.1141804788213628</v>
      </c>
      <c r="L184" s="67">
        <v>0.1141804788213628</v>
      </c>
      <c r="M184" s="67">
        <v>0.27921360724541638</v>
      </c>
      <c r="N184" s="67">
        <v>0.20963110227523746</v>
      </c>
      <c r="O184" s="67">
        <v>0.58465189873417722</v>
      </c>
      <c r="P184" s="67">
        <v>0.39093782929399368</v>
      </c>
      <c r="Q184" s="67">
        <v>0.43864805290227776</v>
      </c>
    </row>
    <row r="185" spans="1:17" x14ac:dyDescent="0.4">
      <c r="A185" s="69">
        <v>182</v>
      </c>
      <c r="B185" s="66">
        <v>7.1054273576010019E-15</v>
      </c>
      <c r="C185" s="66">
        <v>1.3013603219049454E-17</v>
      </c>
      <c r="D185" s="71">
        <v>2</v>
      </c>
      <c r="E185" s="67">
        <v>0.33333333333333331</v>
      </c>
      <c r="F185" s="67">
        <v>0.33333333333333331</v>
      </c>
      <c r="G185" s="67">
        <v>0.30033003300330036</v>
      </c>
      <c r="H185" s="67">
        <v>0.16721672167216722</v>
      </c>
      <c r="I185" s="68">
        <v>8674.2857142857138</v>
      </c>
      <c r="J185" s="68">
        <v>-8254.4736842105267</v>
      </c>
      <c r="K185" s="67">
        <v>0.11355311355311355</v>
      </c>
      <c r="L185" s="67">
        <v>0.11355311355311355</v>
      </c>
      <c r="M185" s="67">
        <v>0.27920792079207923</v>
      </c>
      <c r="N185" s="67">
        <v>0.20946094609460947</v>
      </c>
      <c r="O185" s="67">
        <v>0.58313632781717883</v>
      </c>
      <c r="P185" s="67">
        <v>0.3907563025210084</v>
      </c>
      <c r="Q185" s="67">
        <v>0.43736263736263736</v>
      </c>
    </row>
    <row r="186" spans="1:17" x14ac:dyDescent="0.4">
      <c r="A186" s="69">
        <v>183</v>
      </c>
      <c r="B186" s="66">
        <v>7.1054273576010019E-15</v>
      </c>
      <c r="C186" s="66">
        <v>1.2942490633153009E-17</v>
      </c>
      <c r="D186" s="71">
        <v>2</v>
      </c>
      <c r="E186" s="67">
        <v>0.33333333333333331</v>
      </c>
      <c r="F186" s="67">
        <v>0.33333333333333331</v>
      </c>
      <c r="G186" s="67">
        <v>0.3001528050643964</v>
      </c>
      <c r="H186" s="67">
        <v>0.16764898493778652</v>
      </c>
      <c r="I186" s="68">
        <v>8660.7999999999993</v>
      </c>
      <c r="J186" s="68">
        <v>-8236.8489583333339</v>
      </c>
      <c r="K186" s="67">
        <v>0.11475409836065574</v>
      </c>
      <c r="L186" s="67">
        <v>0.11475409836065574</v>
      </c>
      <c r="M186" s="67">
        <v>0.27941497489631084</v>
      </c>
      <c r="N186" s="67">
        <v>0.20934293822309538</v>
      </c>
      <c r="O186" s="67">
        <v>0.58203125</v>
      </c>
      <c r="P186" s="67">
        <v>0.39207507820646509</v>
      </c>
      <c r="Q186" s="67">
        <v>0.43563636363636365</v>
      </c>
    </row>
    <row r="187" spans="1:17" x14ac:dyDescent="0.4">
      <c r="A187" s="69">
        <v>184</v>
      </c>
      <c r="B187" s="66">
        <v>6.2172489379008766E-15</v>
      </c>
      <c r="C187" s="66">
        <v>1.12631321338784E-17</v>
      </c>
      <c r="D187" s="71">
        <v>2</v>
      </c>
      <c r="E187" s="67">
        <v>0.33333333333333331</v>
      </c>
      <c r="F187" s="67">
        <v>0.33333333333333331</v>
      </c>
      <c r="G187" s="67">
        <v>0.2998914223669924</v>
      </c>
      <c r="H187" s="67">
        <v>0.16764386536373507</v>
      </c>
      <c r="I187" s="68">
        <v>8656.9152787834901</v>
      </c>
      <c r="J187" s="68">
        <v>-8239.896373056994</v>
      </c>
      <c r="K187" s="67">
        <v>0.11413043478260869</v>
      </c>
      <c r="L187" s="67">
        <v>0.11413043478260869</v>
      </c>
      <c r="M187" s="67">
        <v>0.27904451682953313</v>
      </c>
      <c r="N187" s="67">
        <v>0.20998914223669923</v>
      </c>
      <c r="O187" s="67">
        <v>0.58210116731517514</v>
      </c>
      <c r="P187" s="67">
        <v>0.39193381592554294</v>
      </c>
      <c r="Q187" s="67">
        <v>0.43519188993482982</v>
      </c>
    </row>
    <row r="188" spans="1:17" x14ac:dyDescent="0.4">
      <c r="A188" s="69">
        <v>185</v>
      </c>
      <c r="B188" s="66">
        <v>7.1054273576010019E-15</v>
      </c>
      <c r="C188" s="66">
        <v>1.2802571815497301E-17</v>
      </c>
      <c r="D188" s="71">
        <v>2</v>
      </c>
      <c r="E188" s="67">
        <v>0.33333333333333331</v>
      </c>
      <c r="F188" s="67">
        <v>0.33333333333333331</v>
      </c>
      <c r="G188" s="67">
        <v>0.29980532121998704</v>
      </c>
      <c r="H188" s="67">
        <v>0.1672074410555916</v>
      </c>
      <c r="I188" s="68">
        <v>8655.4112554112562</v>
      </c>
      <c r="J188" s="68">
        <v>-8234.2820181112547</v>
      </c>
      <c r="K188" s="67">
        <v>0.11351351351351352</v>
      </c>
      <c r="L188" s="67">
        <v>0.11351351351351352</v>
      </c>
      <c r="M188" s="67">
        <v>0.27903958468526929</v>
      </c>
      <c r="N188" s="67">
        <v>0.20982046290287693</v>
      </c>
      <c r="O188" s="67">
        <v>0.58372093023255811</v>
      </c>
      <c r="P188" s="67">
        <v>0.39072164948453608</v>
      </c>
      <c r="Q188" s="67">
        <v>0.43650793650793651</v>
      </c>
    </row>
    <row r="189" spans="1:17" x14ac:dyDescent="0.4">
      <c r="A189" s="69">
        <v>186</v>
      </c>
      <c r="B189" s="66">
        <v>7.1054273576010019E-15</v>
      </c>
      <c r="C189" s="66">
        <v>1.2733740784231186E-17</v>
      </c>
      <c r="D189" s="71">
        <v>2</v>
      </c>
      <c r="E189" s="67">
        <v>0.33333333333333331</v>
      </c>
      <c r="F189" s="67">
        <v>0.33333333333333331</v>
      </c>
      <c r="G189" s="67">
        <v>0.29987046632124353</v>
      </c>
      <c r="H189" s="67">
        <v>0.16731433506044904</v>
      </c>
      <c r="I189" s="68">
        <v>8671.2742980561561</v>
      </c>
      <c r="J189" s="68">
        <v>-8254.322580645161</v>
      </c>
      <c r="K189" s="67">
        <v>0.11469534050179211</v>
      </c>
      <c r="L189" s="67">
        <v>0.11469534050179211</v>
      </c>
      <c r="M189" s="67">
        <v>0.27849740932642486</v>
      </c>
      <c r="N189" s="67">
        <v>0.21070811744386875</v>
      </c>
      <c r="O189" s="67">
        <v>0.58372093023255811</v>
      </c>
      <c r="P189" s="67">
        <v>0.39139344262295084</v>
      </c>
      <c r="Q189" s="67">
        <v>0.43628509719222464</v>
      </c>
    </row>
    <row r="190" spans="1:17" x14ac:dyDescent="0.4">
      <c r="A190" s="69">
        <v>187</v>
      </c>
      <c r="B190" s="66">
        <v>3.5527136788005009E-15</v>
      </c>
      <c r="C190" s="66">
        <v>6.3328229568636377E-18</v>
      </c>
      <c r="D190" s="71">
        <v>2</v>
      </c>
      <c r="E190" s="67">
        <v>0.33333333333333331</v>
      </c>
      <c r="F190" s="67">
        <v>0.33333333333333331</v>
      </c>
      <c r="G190" s="67">
        <v>0.29984975316591544</v>
      </c>
      <c r="H190" s="67">
        <v>0.16784717750590256</v>
      </c>
      <c r="I190" s="68">
        <v>8689.3342877594841</v>
      </c>
      <c r="J190" s="68">
        <v>-8291.5601023017898</v>
      </c>
      <c r="K190" s="67">
        <v>0.11586452762923351</v>
      </c>
      <c r="L190" s="67">
        <v>0.11586452762923351</v>
      </c>
      <c r="M190" s="67">
        <v>0.27838591972526294</v>
      </c>
      <c r="N190" s="67">
        <v>0.21206267439364671</v>
      </c>
      <c r="O190" s="67">
        <v>0.58288357748650732</v>
      </c>
      <c r="P190" s="67">
        <v>0.3917004048582996</v>
      </c>
      <c r="Q190" s="67">
        <v>0.4345025053686471</v>
      </c>
    </row>
    <row r="191" spans="1:17" x14ac:dyDescent="0.4">
      <c r="A191" s="69">
        <v>188</v>
      </c>
      <c r="B191" s="66">
        <v>3.5527136788005009E-15</v>
      </c>
      <c r="C191" s="66">
        <v>6.2991377283696823E-18</v>
      </c>
      <c r="D191" s="71">
        <v>2</v>
      </c>
      <c r="E191" s="67">
        <v>0.33333333333333331</v>
      </c>
      <c r="F191" s="67">
        <v>0.33333333333333331</v>
      </c>
      <c r="G191" s="67">
        <v>0.3</v>
      </c>
      <c r="H191" s="67">
        <v>0.16773504273504272</v>
      </c>
      <c r="I191" s="68">
        <v>8689.2450142450143</v>
      </c>
      <c r="J191" s="68">
        <v>-8310.8280254777073</v>
      </c>
      <c r="K191" s="67">
        <v>0.11524822695035461</v>
      </c>
      <c r="L191" s="67">
        <v>0.11524822695035461</v>
      </c>
      <c r="M191" s="67">
        <v>0.27884615384615385</v>
      </c>
      <c r="N191" s="67">
        <v>0.21175213675213675</v>
      </c>
      <c r="O191" s="67">
        <v>0.58237547892720309</v>
      </c>
      <c r="P191" s="67">
        <v>0.39152371342078707</v>
      </c>
      <c r="Q191" s="67">
        <v>0.43518518518518517</v>
      </c>
    </row>
    <row r="192" spans="1:17" x14ac:dyDescent="0.4">
      <c r="A192" s="69">
        <v>189</v>
      </c>
      <c r="B192" s="66">
        <v>3.5527136788005009E-15</v>
      </c>
      <c r="C192" s="66">
        <v>6.2658089573201071E-18</v>
      </c>
      <c r="D192" s="71">
        <v>2</v>
      </c>
      <c r="E192" s="67">
        <v>0.33333333333333331</v>
      </c>
      <c r="F192" s="67">
        <v>0.33333333333333331</v>
      </c>
      <c r="G192" s="67">
        <v>0.29980903882877147</v>
      </c>
      <c r="H192" s="67">
        <v>0.16783365160195204</v>
      </c>
      <c r="I192" s="68">
        <v>8675.0884642604397</v>
      </c>
      <c r="J192" s="68">
        <v>-8297.724399494311</v>
      </c>
      <c r="K192" s="67">
        <v>0.1146384479717813</v>
      </c>
      <c r="L192" s="67">
        <v>0.1146384479717813</v>
      </c>
      <c r="M192" s="67">
        <v>0.27986420538934859</v>
      </c>
      <c r="N192" s="67">
        <v>0.21175472098451092</v>
      </c>
      <c r="O192" s="67">
        <v>0.57998483699772552</v>
      </c>
      <c r="P192" s="67">
        <v>0.39178356713426854</v>
      </c>
      <c r="Q192" s="67">
        <v>0.43453644727530077</v>
      </c>
    </row>
    <row r="193" spans="1:17" x14ac:dyDescent="0.4">
      <c r="A193" s="69">
        <v>190</v>
      </c>
      <c r="B193" s="66">
        <v>0</v>
      </c>
      <c r="C193" s="66">
        <v>0</v>
      </c>
      <c r="D193" s="71">
        <v>2</v>
      </c>
      <c r="E193" s="67">
        <v>0.33333333333333331</v>
      </c>
      <c r="F193" s="67">
        <v>0.33333333333333331</v>
      </c>
      <c r="G193" s="67">
        <v>0.299789029535865</v>
      </c>
      <c r="H193" s="67">
        <v>0.16793248945147679</v>
      </c>
      <c r="I193" s="68">
        <v>8687.2624912033771</v>
      </c>
      <c r="J193" s="68">
        <v>-8325.6281407035167</v>
      </c>
      <c r="K193" s="67">
        <v>0.11578947368421053</v>
      </c>
      <c r="L193" s="67">
        <v>0.11578947368421053</v>
      </c>
      <c r="M193" s="67">
        <v>0.27932489451476794</v>
      </c>
      <c r="N193" s="67">
        <v>0.21118143459915611</v>
      </c>
      <c r="O193" s="67">
        <v>0.58157099697885195</v>
      </c>
      <c r="P193" s="67">
        <v>0.39160839160839161</v>
      </c>
      <c r="Q193" s="67">
        <v>0.434201266713582</v>
      </c>
    </row>
    <row r="194" spans="1:17" x14ac:dyDescent="0.4">
      <c r="A194" s="69">
        <v>191</v>
      </c>
      <c r="B194" s="66">
        <v>0</v>
      </c>
      <c r="C194" s="66">
        <v>0</v>
      </c>
      <c r="D194" s="71">
        <v>2</v>
      </c>
      <c r="E194" s="67">
        <v>0.33333333333333331</v>
      </c>
      <c r="F194" s="67">
        <v>0.33333333333333331</v>
      </c>
      <c r="G194" s="67">
        <v>0.29958071278825998</v>
      </c>
      <c r="H194" s="67">
        <v>0.16813417190775681</v>
      </c>
      <c r="I194" s="68">
        <v>8684.674597620713</v>
      </c>
      <c r="J194" s="68">
        <v>-8325.4364089775554</v>
      </c>
      <c r="K194" s="67">
        <v>0.11518324607329843</v>
      </c>
      <c r="L194" s="67">
        <v>0.11518324607329843</v>
      </c>
      <c r="M194" s="67">
        <v>0.27945492662473792</v>
      </c>
      <c r="N194" s="67">
        <v>0.21132075471698114</v>
      </c>
      <c r="O194" s="67">
        <v>0.58064516129032262</v>
      </c>
      <c r="P194" s="67">
        <v>0.39087301587301587</v>
      </c>
      <c r="Q194" s="67">
        <v>0.43317004898530442</v>
      </c>
    </row>
    <row r="195" spans="1:17" x14ac:dyDescent="0.4">
      <c r="A195" s="69">
        <v>192</v>
      </c>
      <c r="B195" s="66">
        <v>-6.6613381477509392E-16</v>
      </c>
      <c r="C195" s="66">
        <v>-1.1564823173178713E-18</v>
      </c>
      <c r="D195" s="71">
        <v>2</v>
      </c>
      <c r="E195" s="67">
        <v>0.33333333333333331</v>
      </c>
      <c r="F195" s="67">
        <v>0.33333333333333331</v>
      </c>
      <c r="G195" s="67">
        <v>0.29960441390797421</v>
      </c>
      <c r="H195" s="67">
        <v>0.168228190714137</v>
      </c>
      <c r="I195" s="68">
        <v>8677.3453787352337</v>
      </c>
      <c r="J195" s="68">
        <v>-8323.7623762376243</v>
      </c>
      <c r="K195" s="67">
        <v>0.11458333333333333</v>
      </c>
      <c r="L195" s="67">
        <v>0.11458333333333333</v>
      </c>
      <c r="M195" s="67">
        <v>0.27899229648136581</v>
      </c>
      <c r="N195" s="67">
        <v>0.21090984801165938</v>
      </c>
      <c r="O195" s="67">
        <v>0.58134328358208953</v>
      </c>
      <c r="P195" s="67">
        <v>0.39091806515301086</v>
      </c>
      <c r="Q195" s="67">
        <v>0.43293954134815843</v>
      </c>
    </row>
    <row r="196" spans="1:17" x14ac:dyDescent="0.4">
      <c r="A196" s="69">
        <v>193</v>
      </c>
      <c r="B196" s="66">
        <v>0</v>
      </c>
      <c r="C196" s="66">
        <v>0</v>
      </c>
      <c r="D196" s="71">
        <v>2</v>
      </c>
      <c r="E196" s="67">
        <v>0.33333333333333331</v>
      </c>
      <c r="F196" s="67">
        <v>0.33333333333333331</v>
      </c>
      <c r="G196" s="67">
        <v>0.29991697799916978</v>
      </c>
      <c r="H196" s="67">
        <v>0.16832710668327105</v>
      </c>
      <c r="I196" s="68">
        <v>8679.1003460207612</v>
      </c>
      <c r="J196" s="68">
        <v>-8338.101109741061</v>
      </c>
      <c r="K196" s="67">
        <v>0.1157167530224525</v>
      </c>
      <c r="L196" s="67">
        <v>0.1157167530224525</v>
      </c>
      <c r="M196" s="67">
        <v>0.27936903279369035</v>
      </c>
      <c r="N196" s="67">
        <v>0.21066832710668326</v>
      </c>
      <c r="O196" s="67">
        <v>0.58098068350668652</v>
      </c>
      <c r="P196" s="67">
        <v>0.39113300492610836</v>
      </c>
      <c r="Q196" s="67">
        <v>0.43252595155709345</v>
      </c>
    </row>
    <row r="197" spans="1:17" x14ac:dyDescent="0.4">
      <c r="A197" s="69">
        <v>194</v>
      </c>
      <c r="B197" s="66">
        <v>-4.4408920985006262E-15</v>
      </c>
      <c r="C197" s="66">
        <v>-7.630398794674616E-18</v>
      </c>
      <c r="D197" s="71">
        <v>2</v>
      </c>
      <c r="E197" s="67">
        <v>0.33333333333333331</v>
      </c>
      <c r="F197" s="67">
        <v>0.33333333333333331</v>
      </c>
      <c r="G197" s="67">
        <v>0.30006199628022318</v>
      </c>
      <c r="H197" s="67">
        <v>0.1680099194048357</v>
      </c>
      <c r="I197" s="68">
        <v>8691.9421487603304</v>
      </c>
      <c r="J197" s="68">
        <v>-8330.3813038130374</v>
      </c>
      <c r="K197" s="67">
        <v>0.11683848797250859</v>
      </c>
      <c r="L197" s="67">
        <v>0.11683848797250859</v>
      </c>
      <c r="M197" s="67">
        <v>0.27980987807398222</v>
      </c>
      <c r="N197" s="67">
        <v>0.21058069849142386</v>
      </c>
      <c r="O197" s="67">
        <v>0.57976366322008865</v>
      </c>
      <c r="P197" s="67">
        <v>0.3915603532875368</v>
      </c>
      <c r="Q197" s="67">
        <v>0.43388429752066116</v>
      </c>
    </row>
    <row r="198" spans="1:17" x14ac:dyDescent="0.4">
      <c r="A198" s="69">
        <v>195</v>
      </c>
      <c r="B198" s="66">
        <v>-7.1054273576010019E-15</v>
      </c>
      <c r="C198" s="66">
        <v>-1.2146029671112824E-17</v>
      </c>
      <c r="D198" s="71">
        <v>2</v>
      </c>
      <c r="E198" s="67">
        <v>0.33333333333333331</v>
      </c>
      <c r="F198" s="67">
        <v>0.33333333333333331</v>
      </c>
      <c r="G198" s="67">
        <v>0.30006161429451633</v>
      </c>
      <c r="H198" s="67">
        <v>0.16820702402957485</v>
      </c>
      <c r="I198" s="68">
        <v>8675.2908966461328</v>
      </c>
      <c r="J198" s="68">
        <v>-8302.5641025641035</v>
      </c>
      <c r="K198" s="67">
        <v>0.11623931623931624</v>
      </c>
      <c r="L198" s="67">
        <v>0.11623931623931624</v>
      </c>
      <c r="M198" s="67">
        <v>0.28013965906757032</v>
      </c>
      <c r="N198" s="67">
        <v>0.21092626822756214</v>
      </c>
      <c r="O198" s="67">
        <v>0.57917888563049857</v>
      </c>
      <c r="P198" s="67">
        <v>0.39143135345666991</v>
      </c>
      <c r="Q198" s="67">
        <v>0.43326488706365501</v>
      </c>
    </row>
    <row r="199" spans="1:17" x14ac:dyDescent="0.4">
      <c r="A199" s="69">
        <v>196</v>
      </c>
      <c r="B199" s="66">
        <v>-7.1054273576010019E-15</v>
      </c>
      <c r="C199" s="66">
        <v>-1.2084060131974493E-17</v>
      </c>
      <c r="D199" s="71">
        <v>2</v>
      </c>
      <c r="E199" s="67">
        <v>0.33333333333333331</v>
      </c>
      <c r="F199" s="67">
        <v>0.33333333333333331</v>
      </c>
      <c r="G199" s="67">
        <v>0.30002043735949313</v>
      </c>
      <c r="H199" s="67">
        <v>0.16779072143879012</v>
      </c>
      <c r="I199" s="68">
        <v>8673.7057220708448</v>
      </c>
      <c r="J199" s="68">
        <v>-8301.8270401948848</v>
      </c>
      <c r="K199" s="67">
        <v>0.11564625850340136</v>
      </c>
      <c r="L199" s="67">
        <v>0.11564625850340136</v>
      </c>
      <c r="M199" s="67">
        <v>0.28060494584099732</v>
      </c>
      <c r="N199" s="67">
        <v>0.21070917637441242</v>
      </c>
      <c r="O199" s="67">
        <v>0.5790240349599417</v>
      </c>
      <c r="P199" s="67">
        <v>0.39088263821532493</v>
      </c>
      <c r="Q199" s="67">
        <v>0.43460490463215257</v>
      </c>
    </row>
    <row r="200" spans="1:17" x14ac:dyDescent="0.4">
      <c r="A200" s="69">
        <v>197</v>
      </c>
      <c r="B200" s="66">
        <v>-9.9920072216264089E-15</v>
      </c>
      <c r="C200" s="66">
        <v>-1.6906949613581065E-17</v>
      </c>
      <c r="D200" s="71">
        <v>2</v>
      </c>
      <c r="E200" s="67">
        <v>0.33333333333333331</v>
      </c>
      <c r="F200" s="67">
        <v>0.33333333333333331</v>
      </c>
      <c r="G200" s="67">
        <v>0.29983759642712138</v>
      </c>
      <c r="H200" s="67">
        <v>0.16808769792935443</v>
      </c>
      <c r="I200" s="68">
        <v>8670.6838185511169</v>
      </c>
      <c r="J200" s="68">
        <v>-8303.9855072463761</v>
      </c>
      <c r="K200" s="67">
        <v>0.11505922165820642</v>
      </c>
      <c r="L200" s="67">
        <v>0.11505922165820642</v>
      </c>
      <c r="M200" s="67">
        <v>0.28055217214778727</v>
      </c>
      <c r="N200" s="67">
        <v>0.21031262687779131</v>
      </c>
      <c r="O200" s="67">
        <v>0.57814761215629518</v>
      </c>
      <c r="P200" s="67">
        <v>0.39189189189189189</v>
      </c>
      <c r="Q200" s="67">
        <v>0.43331076506431959</v>
      </c>
    </row>
    <row r="201" spans="1:17" x14ac:dyDescent="0.4">
      <c r="A201" s="69">
        <v>198</v>
      </c>
      <c r="B201" s="66">
        <v>-7.1054273576010019E-15</v>
      </c>
      <c r="C201" s="66">
        <v>-1.1961998918520205E-17</v>
      </c>
      <c r="D201" s="71">
        <v>2</v>
      </c>
      <c r="E201" s="67">
        <v>0.33333333333333331</v>
      </c>
      <c r="F201" s="67">
        <v>0.33333333333333331</v>
      </c>
      <c r="G201" s="67">
        <v>0.30018192844147967</v>
      </c>
      <c r="H201" s="67">
        <v>0.16818273701233072</v>
      </c>
      <c r="I201" s="68">
        <v>8671.9865319865312</v>
      </c>
      <c r="J201" s="68">
        <v>-8322.475961538461</v>
      </c>
      <c r="K201" s="67">
        <v>0.11447811447811448</v>
      </c>
      <c r="L201" s="67">
        <v>0.11447811447811448</v>
      </c>
      <c r="M201" s="67">
        <v>0.28178694158075601</v>
      </c>
      <c r="N201" s="67">
        <v>0.20962199312714777</v>
      </c>
      <c r="O201" s="67">
        <v>0.57819225251076045</v>
      </c>
      <c r="P201" s="67">
        <v>0.39151398264223725</v>
      </c>
      <c r="Q201" s="67">
        <v>0.43299663299663299</v>
      </c>
    </row>
    <row r="202" spans="1:17" x14ac:dyDescent="0.4">
      <c r="A202" s="69">
        <v>199</v>
      </c>
      <c r="B202" s="66">
        <v>-1.4210854715202004E-14</v>
      </c>
      <c r="C202" s="66">
        <v>-2.3803776742381916E-17</v>
      </c>
      <c r="D202" s="71">
        <v>2</v>
      </c>
      <c r="E202" s="67">
        <v>0.33333333333333331</v>
      </c>
      <c r="F202" s="67">
        <v>0.33333333333333331</v>
      </c>
      <c r="G202" s="67">
        <v>0.30038175607795858</v>
      </c>
      <c r="H202" s="67">
        <v>0.16837452280490256</v>
      </c>
      <c r="I202" s="68">
        <v>8680.9364548494977</v>
      </c>
      <c r="J202" s="68">
        <v>-8328.2816229116943</v>
      </c>
      <c r="K202" s="67">
        <v>0.11557788944723618</v>
      </c>
      <c r="L202" s="67">
        <v>0.11557788944723618</v>
      </c>
      <c r="M202" s="67">
        <v>0.28129395218002812</v>
      </c>
      <c r="N202" s="67">
        <v>0.20976491862567812</v>
      </c>
      <c r="O202" s="67">
        <v>0.57857142857142863</v>
      </c>
      <c r="P202" s="67">
        <v>0.39272030651340994</v>
      </c>
      <c r="Q202" s="67">
        <v>0.43277591973244145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546</vt:i4>
      </vt:variant>
    </vt:vector>
  </HeadingPairs>
  <TitlesOfParts>
    <vt:vector size="59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2019-06-02T13:37:47Z</dcterms:modified>
</cp:coreProperties>
</file>