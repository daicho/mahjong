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6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7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8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9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2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3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4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5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7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9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0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D3126896-DF22-4BDD-A635-4482AF13A4C3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085" r:id="rId6"/>
    <sheet name="だいち" sheetId="5087" r:id="rId7"/>
    <sheet name="りくと" sheetId="5089" r:id="rId8"/>
    <sheet name="ただ" sheetId="5091" r:id="rId9"/>
    <sheet name="れんたろう" sheetId="5093" r:id="rId10"/>
    <sheet name="たかの" sheetId="5095" r:id="rId11"/>
    <sheet name="ぱぱ" sheetId="5097" r:id="rId12"/>
    <sheet name="まっつん" sheetId="5099" r:id="rId13"/>
    <sheet name="あさひ" sheetId="5101" r:id="rId14"/>
    <sheet name="いっしー" sheetId="5103" r:id="rId15"/>
    <sheet name="ほたに" sheetId="5105" r:id="rId16"/>
    <sheet name="かわたつ" sheetId="5107" r:id="rId17"/>
    <sheet name="かわたつ2" sheetId="5108" state="hidden" r:id="rId18"/>
    <sheet name="ほたに2" sheetId="5106" state="hidden" r:id="rId19"/>
    <sheet name="いっしー2" sheetId="5104" state="hidden" r:id="rId20"/>
    <sheet name="あさひ2" sheetId="5102" state="hidden" r:id="rId21"/>
    <sheet name="まっつん2" sheetId="5100" state="hidden" r:id="rId22"/>
    <sheet name="ぱぱ2" sheetId="5098" state="hidden" r:id="rId23"/>
    <sheet name="たかの2" sheetId="5096" state="hidden" r:id="rId24"/>
    <sheet name="れんたろう2" sheetId="5094" state="hidden" r:id="rId25"/>
    <sheet name="ただ2" sheetId="5092" state="hidden" r:id="rId26"/>
    <sheet name="りくと2" sheetId="5090" state="hidden" r:id="rId27"/>
    <sheet name="だいち2" sheetId="5088" state="hidden" r:id="rId28"/>
    <sheet name="全体2" sheetId="5086" state="hidden" r:id="rId29"/>
    <sheet name="通算スコア" sheetId="3331" state="hidden" r:id="rId30"/>
    <sheet name="平均スコア" sheetId="3493" state="hidden" r:id="rId31"/>
    <sheet name="平均順位" sheetId="3183" state="hidden" r:id="rId32"/>
    <sheet name="トップ率" sheetId="3185" state="hidden" r:id="rId33"/>
    <sheet name="ラス率" sheetId="4886" state="hidden" r:id="rId34"/>
    <sheet name="アガリ率" sheetId="3189" state="hidden" r:id="rId35"/>
    <sheet name="放銃率" sheetId="3190" state="hidden" r:id="rId36"/>
    <sheet name="平均アガリ点" sheetId="3520" state="hidden" r:id="rId37"/>
    <sheet name="平均放銃点" sheetId="3521" state="hidden" r:id="rId38"/>
    <sheet name="ふっとび率" sheetId="3522" state="hidden" r:id="rId39"/>
    <sheet name="ふっとばし率" sheetId="3523" state="hidden" r:id="rId40"/>
    <sheet name="リーチ率" sheetId="3524" state="hidden" r:id="rId41"/>
    <sheet name="副露率" sheetId="3525" state="hidden" r:id="rId42"/>
    <sheet name="リーチ成功率" sheetId="4841" state="hidden" r:id="rId43"/>
    <sheet name="副露成功率" sheetId="3527" state="hidden" r:id="rId44"/>
    <sheet name="ツモ率" sheetId="3528" state="hidden" r:id="rId45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107" l="1"/>
  <c r="O16" i="5107"/>
  <c r="C27" i="5107"/>
  <c r="H26" i="5107"/>
  <c r="B24" i="5107"/>
  <c r="C20" i="5107"/>
  <c r="B17" i="5107"/>
  <c r="H50" i="5107" s="1"/>
  <c r="C16" i="5107"/>
  <c r="C15" i="5107"/>
  <c r="C14" i="5107"/>
  <c r="C13" i="5107"/>
  <c r="O12" i="5107"/>
  <c r="C12" i="5107"/>
  <c r="O11" i="5107"/>
  <c r="C11" i="5107"/>
  <c r="O10" i="5107"/>
  <c r="C10" i="5107"/>
  <c r="H11" i="5107"/>
  <c r="C9" i="5107"/>
  <c r="C8" i="5107"/>
  <c r="O7" i="5107"/>
  <c r="C7" i="5107"/>
  <c r="O6" i="5107"/>
  <c r="H5" i="5107"/>
  <c r="B6" i="5107"/>
  <c r="O5" i="5107"/>
  <c r="B5" i="5107"/>
  <c r="O4" i="5107"/>
  <c r="O3" i="5107"/>
  <c r="H8" i="5107"/>
  <c r="O2" i="5107"/>
  <c r="O22" i="5093"/>
  <c r="O24" i="5087"/>
  <c r="O23" i="5085"/>
  <c r="H44" i="5107" l="1"/>
  <c r="H18" i="5107"/>
  <c r="H35" i="5107"/>
  <c r="H2" i="5107"/>
  <c r="H36" i="5107"/>
  <c r="H14" i="5107"/>
  <c r="C17" i="5107"/>
  <c r="H6" i="5107"/>
  <c r="H45" i="5107"/>
  <c r="H12" i="5107"/>
  <c r="H23" i="5107"/>
  <c r="H28" i="5107"/>
  <c r="H46" i="5107"/>
  <c r="H29" i="5107"/>
  <c r="H30" i="5107"/>
  <c r="H4" i="5107"/>
  <c r="C18" i="5107"/>
  <c r="H49" i="5107"/>
  <c r="H22" i="5107"/>
  <c r="H9" i="5107"/>
  <c r="H38" i="5107"/>
  <c r="H19" i="5107"/>
  <c r="H39" i="5107"/>
  <c r="H16" i="5107"/>
  <c r="H31" i="5107"/>
  <c r="H3" i="5107"/>
  <c r="H10" i="5107"/>
  <c r="H20" i="5107"/>
  <c r="H41" i="5107"/>
  <c r="H51" i="5107"/>
  <c r="H37" i="5107"/>
  <c r="H15" i="5107"/>
  <c r="H47" i="5107"/>
  <c r="B23" i="5107"/>
  <c r="H48" i="5107"/>
  <c r="H13" i="5107"/>
  <c r="H24" i="5107"/>
  <c r="H40" i="5107"/>
  <c r="H32" i="5107"/>
  <c r="H17" i="5107"/>
  <c r="C19" i="5107"/>
  <c r="H25" i="5107"/>
  <c r="H33" i="5107"/>
  <c r="H43" i="5107"/>
  <c r="H7" i="5107"/>
  <c r="H21" i="5107"/>
  <c r="H27" i="5107"/>
  <c r="H34" i="5107"/>
  <c r="H42" i="5107"/>
  <c r="O17" i="5095"/>
  <c r="O16" i="5103"/>
  <c r="O20" i="5105" l="1"/>
  <c r="O19" i="5105"/>
  <c r="O15" i="5099"/>
  <c r="O15" i="5089"/>
  <c r="O20" i="5087" l="1"/>
  <c r="O18" i="5105"/>
  <c r="O21" i="5097"/>
  <c r="O16" i="5105"/>
  <c r="O15" i="5105" l="1"/>
  <c r="O17" i="5105"/>
  <c r="C27" i="5105"/>
  <c r="B24" i="5105"/>
  <c r="C20" i="5105"/>
  <c r="B17" i="5105"/>
  <c r="H8" i="5105" s="1"/>
  <c r="C16" i="5105"/>
  <c r="C15" i="5105"/>
  <c r="C14" i="5105"/>
  <c r="C13" i="5105"/>
  <c r="O12" i="5105"/>
  <c r="C12" i="5105"/>
  <c r="O11" i="5105"/>
  <c r="C11" i="5105"/>
  <c r="O10" i="5105"/>
  <c r="C10" i="5105"/>
  <c r="C9" i="5105"/>
  <c r="C8" i="5105"/>
  <c r="O7" i="5105"/>
  <c r="C7" i="5105"/>
  <c r="O6" i="5105"/>
  <c r="B6" i="5105"/>
  <c r="O5" i="5105"/>
  <c r="B5" i="5105"/>
  <c r="O4" i="5105"/>
  <c r="O3" i="5105"/>
  <c r="O2" i="5105"/>
  <c r="O23" i="5093"/>
  <c r="O18" i="5095"/>
  <c r="O20" i="5085"/>
  <c r="H3" i="5105" l="1"/>
  <c r="H13" i="5105"/>
  <c r="H37" i="5105"/>
  <c r="H4" i="5105"/>
  <c r="H15" i="5105"/>
  <c r="H27" i="5105"/>
  <c r="H18" i="5105"/>
  <c r="C18" i="5105"/>
  <c r="H2" i="5105"/>
  <c r="H5" i="5105"/>
  <c r="H9" i="5105"/>
  <c r="H41" i="5105"/>
  <c r="B23" i="5105"/>
  <c r="H29" i="5105"/>
  <c r="H45" i="5105"/>
  <c r="C17" i="5105"/>
  <c r="H33" i="5105"/>
  <c r="H49" i="5105"/>
  <c r="H23" i="5105"/>
  <c r="H28" i="5105"/>
  <c r="H34" i="5105"/>
  <c r="H46" i="5105"/>
  <c r="H17" i="5105"/>
  <c r="H19" i="5105"/>
  <c r="C19" i="5105"/>
  <c r="H24" i="5105"/>
  <c r="H31" i="5105"/>
  <c r="H35" i="5105"/>
  <c r="H39" i="5105"/>
  <c r="H43" i="5105"/>
  <c r="H47" i="5105"/>
  <c r="H51" i="5105"/>
  <c r="H21" i="5105"/>
  <c r="H26" i="5105"/>
  <c r="H30" i="5105"/>
  <c r="H38" i="5105"/>
  <c r="H42" i="5105"/>
  <c r="H50" i="5105"/>
  <c r="H7" i="5105"/>
  <c r="H11" i="5105"/>
  <c r="H6" i="5105"/>
  <c r="H14" i="5105"/>
  <c r="H16" i="5105"/>
  <c r="H20" i="5105"/>
  <c r="H22" i="5105"/>
  <c r="H25" i="5105"/>
  <c r="H12" i="5105"/>
  <c r="H10" i="5105"/>
  <c r="H32" i="5105"/>
  <c r="H36" i="5105"/>
  <c r="H40" i="5105"/>
  <c r="H44" i="5105"/>
  <c r="H48" i="5105"/>
  <c r="O16" i="5095" l="1"/>
  <c r="O15" i="5091"/>
  <c r="O20" i="5099"/>
  <c r="O22" i="5099"/>
  <c r="O17" i="5087" l="1"/>
  <c r="O19" i="5103"/>
  <c r="O18" i="5103" l="1"/>
  <c r="O15" i="5103"/>
  <c r="O16" i="5093"/>
  <c r="O20" i="5091"/>
  <c r="O17" i="5101" l="1"/>
  <c r="O22" i="5097"/>
  <c r="O15" i="5101"/>
  <c r="O21" i="5103"/>
  <c r="O16" i="5089"/>
  <c r="O16" i="5099"/>
  <c r="O16" i="5085"/>
  <c r="O17" i="5103"/>
  <c r="O20" i="5103"/>
  <c r="C27" i="5103"/>
  <c r="B24" i="5103"/>
  <c r="C20" i="5103"/>
  <c r="B17" i="5103"/>
  <c r="H6" i="5103" s="1"/>
  <c r="C16" i="5103"/>
  <c r="C15" i="5103"/>
  <c r="C14" i="5103"/>
  <c r="C13" i="5103"/>
  <c r="O12" i="5103"/>
  <c r="C12" i="5103"/>
  <c r="O11" i="5103"/>
  <c r="C11" i="5103"/>
  <c r="O10" i="5103"/>
  <c r="C10" i="5103"/>
  <c r="C9" i="5103"/>
  <c r="C8" i="5103"/>
  <c r="O7" i="5103"/>
  <c r="C7" i="5103"/>
  <c r="O6" i="5103"/>
  <c r="B6" i="5103"/>
  <c r="O5" i="5103"/>
  <c r="B5" i="5103"/>
  <c r="O4" i="5103"/>
  <c r="O3" i="5103"/>
  <c r="O2" i="5103"/>
  <c r="O16" i="5101"/>
  <c r="O18" i="5101"/>
  <c r="C27" i="5101"/>
  <c r="B24" i="5101"/>
  <c r="C20" i="5101"/>
  <c r="B17" i="5101"/>
  <c r="H50" i="5101" s="1"/>
  <c r="C16" i="5101"/>
  <c r="C15" i="5101"/>
  <c r="C14" i="5101"/>
  <c r="C13" i="5101"/>
  <c r="O12" i="5101"/>
  <c r="C12" i="5101"/>
  <c r="O11" i="5101"/>
  <c r="C11" i="5101"/>
  <c r="O10" i="5101"/>
  <c r="C10" i="5101"/>
  <c r="C9" i="5101"/>
  <c r="C8" i="5101"/>
  <c r="O7" i="5101"/>
  <c r="C7" i="5101"/>
  <c r="O6" i="5101"/>
  <c r="B6" i="5101"/>
  <c r="O5" i="5101"/>
  <c r="H5" i="5101"/>
  <c r="B5" i="5101"/>
  <c r="O4" i="5101"/>
  <c r="O3" i="5101"/>
  <c r="O2" i="5101"/>
  <c r="O21" i="5099"/>
  <c r="O23" i="5099"/>
  <c r="O15" i="5087"/>
  <c r="O18" i="5087"/>
  <c r="O25" i="5085"/>
  <c r="H10" i="5103" l="1"/>
  <c r="H4" i="5103"/>
  <c r="H2" i="5103"/>
  <c r="H10" i="5101"/>
  <c r="H15" i="5101"/>
  <c r="H17" i="5101"/>
  <c r="H24" i="5101"/>
  <c r="H6" i="5101"/>
  <c r="H39" i="5101"/>
  <c r="H49" i="5101"/>
  <c r="H12" i="5101"/>
  <c r="H8" i="5101"/>
  <c r="H14" i="5101"/>
  <c r="H20" i="5101"/>
  <c r="H29" i="5101"/>
  <c r="H40" i="5101"/>
  <c r="H13" i="5101"/>
  <c r="H4" i="5101"/>
  <c r="C18" i="5101"/>
  <c r="H11" i="5101"/>
  <c r="H33" i="5101"/>
  <c r="H44" i="5101"/>
  <c r="H2" i="5101"/>
  <c r="H3" i="5101"/>
  <c r="H19" i="5101"/>
  <c r="H35" i="5101"/>
  <c r="H45" i="5101"/>
  <c r="C19" i="5101"/>
  <c r="H25" i="5101"/>
  <c r="H27" i="5101"/>
  <c r="H31" i="5101"/>
  <c r="H36" i="5101"/>
  <c r="H41" i="5101"/>
  <c r="H7" i="5101"/>
  <c r="H9" i="5101"/>
  <c r="H16" i="5101"/>
  <c r="H18" i="5101"/>
  <c r="C17" i="5101"/>
  <c r="H22" i="5101"/>
  <c r="B23" i="5101"/>
  <c r="H32" i="5101"/>
  <c r="H37" i="5101"/>
  <c r="H43" i="5101"/>
  <c r="H48" i="5101"/>
  <c r="H51" i="5101"/>
  <c r="H47" i="5101"/>
  <c r="H16" i="5103"/>
  <c r="H3" i="5103"/>
  <c r="H9" i="5103"/>
  <c r="H11" i="5103"/>
  <c r="H27" i="5103"/>
  <c r="H37" i="5103"/>
  <c r="H14" i="5103"/>
  <c r="H20" i="5103"/>
  <c r="C17" i="5103"/>
  <c r="H8" i="5103"/>
  <c r="H41" i="5103"/>
  <c r="H5" i="5103"/>
  <c r="H17" i="5103"/>
  <c r="H18" i="5103"/>
  <c r="C18" i="5103"/>
  <c r="B23" i="5103"/>
  <c r="H29" i="5103"/>
  <c r="H45" i="5103"/>
  <c r="H13" i="5103"/>
  <c r="H19" i="5103"/>
  <c r="H21" i="5103"/>
  <c r="C19" i="5103"/>
  <c r="H33" i="5103"/>
  <c r="H49" i="5103"/>
  <c r="H22" i="5103"/>
  <c r="H23" i="5103"/>
  <c r="H25" i="5103"/>
  <c r="H28" i="5103"/>
  <c r="H30" i="5103"/>
  <c r="H34" i="5103"/>
  <c r="H38" i="5103"/>
  <c r="H42" i="5103"/>
  <c r="H46" i="5103"/>
  <c r="H50" i="5103"/>
  <c r="H31" i="5103"/>
  <c r="H35" i="5103"/>
  <c r="H39" i="5103"/>
  <c r="H43" i="5103"/>
  <c r="H47" i="5103"/>
  <c r="H51" i="5103"/>
  <c r="H12" i="5103"/>
  <c r="H15" i="5103"/>
  <c r="H24" i="5103"/>
  <c r="H26" i="5103"/>
  <c r="H7" i="5103"/>
  <c r="H32" i="5103"/>
  <c r="H36" i="5103"/>
  <c r="H40" i="5103"/>
  <c r="H44" i="5103"/>
  <c r="H48" i="5103"/>
  <c r="H21" i="5101"/>
  <c r="H23" i="5101"/>
  <c r="H26" i="5101"/>
  <c r="H28" i="5101"/>
  <c r="H30" i="5101"/>
  <c r="H34" i="5101"/>
  <c r="H38" i="5101"/>
  <c r="H42" i="5101"/>
  <c r="H46" i="5101"/>
  <c r="O17" i="5099" l="1"/>
  <c r="O19" i="5097"/>
  <c r="O16" i="5097"/>
  <c r="O21" i="5089"/>
  <c r="O19" i="5095" l="1"/>
  <c r="O17" i="5093"/>
  <c r="O17" i="5097"/>
  <c r="O18" i="5097"/>
  <c r="O15" i="5095" l="1"/>
  <c r="O15" i="5093"/>
  <c r="O21" i="5091"/>
  <c r="O18" i="5091"/>
  <c r="O18" i="5099"/>
  <c r="O19" i="5099"/>
  <c r="C27" i="5099"/>
  <c r="B24" i="5099"/>
  <c r="C20" i="5099"/>
  <c r="B17" i="5099"/>
  <c r="H50" i="5099" s="1"/>
  <c r="C16" i="5099"/>
  <c r="C15" i="5099"/>
  <c r="C14" i="5099"/>
  <c r="C13" i="5099"/>
  <c r="O12" i="5099"/>
  <c r="C12" i="5099"/>
  <c r="O11" i="5099"/>
  <c r="C11" i="5099"/>
  <c r="O10" i="5099"/>
  <c r="C10" i="5099"/>
  <c r="C9" i="5099"/>
  <c r="C8" i="5099"/>
  <c r="O7" i="5099"/>
  <c r="C7" i="5099"/>
  <c r="O6" i="5099"/>
  <c r="B6" i="5099"/>
  <c r="O5" i="5099"/>
  <c r="B5" i="5099"/>
  <c r="O4" i="5099"/>
  <c r="O3" i="5099"/>
  <c r="O2" i="5099"/>
  <c r="O20" i="5093"/>
  <c r="O18" i="5089"/>
  <c r="O17" i="5085"/>
  <c r="H8" i="5099" l="1"/>
  <c r="H4" i="5099"/>
  <c r="H2" i="5099"/>
  <c r="H13" i="5099"/>
  <c r="H10" i="5099"/>
  <c r="H7" i="5099"/>
  <c r="C17" i="5099"/>
  <c r="H6" i="5099"/>
  <c r="H3" i="5099"/>
  <c r="H22" i="5099"/>
  <c r="H17" i="5099"/>
  <c r="H15" i="5099"/>
  <c r="H31" i="5099"/>
  <c r="H39" i="5099"/>
  <c r="H47" i="5099"/>
  <c r="H14" i="5099"/>
  <c r="H16" i="5099"/>
  <c r="H23" i="5099"/>
  <c r="H27" i="5099"/>
  <c r="H32" i="5099"/>
  <c r="H40" i="5099"/>
  <c r="H48" i="5099"/>
  <c r="H20" i="5099"/>
  <c r="H21" i="5099"/>
  <c r="H18" i="5099"/>
  <c r="C18" i="5099"/>
  <c r="H11" i="5099"/>
  <c r="H35" i="5099"/>
  <c r="H43" i="5099"/>
  <c r="H51" i="5099"/>
  <c r="C19" i="5099"/>
  <c r="H26" i="5099"/>
  <c r="H9" i="5099"/>
  <c r="H36" i="5099"/>
  <c r="H44" i="5099"/>
  <c r="H5" i="5099"/>
  <c r="B23" i="5099"/>
  <c r="H28" i="5099"/>
  <c r="H30" i="5099"/>
  <c r="H33" i="5099"/>
  <c r="H37" i="5099"/>
  <c r="H41" i="5099"/>
  <c r="H45" i="5099"/>
  <c r="H49" i="5099"/>
  <c r="H24" i="5099"/>
  <c r="H25" i="5099"/>
  <c r="H19" i="5099"/>
  <c r="H29" i="5099"/>
  <c r="H12" i="5099"/>
  <c r="H34" i="5099"/>
  <c r="H38" i="5099"/>
  <c r="H42" i="5099"/>
  <c r="H46" i="5099"/>
  <c r="O17" i="5091" l="1"/>
  <c r="O20" i="5097"/>
  <c r="O15" i="5097"/>
  <c r="C27" i="5097"/>
  <c r="B24" i="5097"/>
  <c r="C20" i="5097"/>
  <c r="B17" i="5097"/>
  <c r="H19" i="5097" s="1"/>
  <c r="C16" i="5097"/>
  <c r="C15" i="5097"/>
  <c r="C14" i="5097"/>
  <c r="C13" i="5097"/>
  <c r="O12" i="5097"/>
  <c r="C12" i="5097"/>
  <c r="O11" i="5097"/>
  <c r="C11" i="5097"/>
  <c r="O10" i="5097"/>
  <c r="C10" i="5097"/>
  <c r="C9" i="5097"/>
  <c r="C8" i="5097"/>
  <c r="O7" i="5097"/>
  <c r="C7" i="5097"/>
  <c r="O6" i="5097"/>
  <c r="B6" i="5097"/>
  <c r="O5" i="5097"/>
  <c r="B5" i="5097"/>
  <c r="O4" i="5097"/>
  <c r="O3" i="5097"/>
  <c r="O2" i="5097"/>
  <c r="O19" i="5087"/>
  <c r="O18" i="5085"/>
  <c r="O21" i="5095"/>
  <c r="O19" i="5089"/>
  <c r="O20" i="5089"/>
  <c r="O18" i="5093"/>
  <c r="O20" i="5095"/>
  <c r="O22" i="5095"/>
  <c r="C27" i="5095"/>
  <c r="B24" i="5095"/>
  <c r="C20" i="5095"/>
  <c r="B17" i="5095"/>
  <c r="H4" i="5095" s="1"/>
  <c r="C16" i="5095"/>
  <c r="C15" i="5095"/>
  <c r="C14" i="5095"/>
  <c r="C13" i="5095"/>
  <c r="O12" i="5095"/>
  <c r="C12" i="5095"/>
  <c r="O11" i="5095"/>
  <c r="C11" i="5095"/>
  <c r="O10" i="5095"/>
  <c r="C10" i="5095"/>
  <c r="C9" i="5095"/>
  <c r="C8" i="5095"/>
  <c r="O7" i="5095"/>
  <c r="C7" i="5095"/>
  <c r="O6" i="5095"/>
  <c r="B6" i="5095"/>
  <c r="O5" i="5095"/>
  <c r="B5" i="5095"/>
  <c r="O4" i="5095"/>
  <c r="O3" i="5095"/>
  <c r="O2" i="5095"/>
  <c r="O21" i="5093"/>
  <c r="O19" i="5093"/>
  <c r="C27" i="5093"/>
  <c r="B24" i="5093"/>
  <c r="C20" i="5093"/>
  <c r="B17" i="5093"/>
  <c r="H5" i="5093" s="1"/>
  <c r="C16" i="5093"/>
  <c r="C15" i="5093"/>
  <c r="C14" i="5093"/>
  <c r="C13" i="5093"/>
  <c r="O12" i="5093"/>
  <c r="C12" i="5093"/>
  <c r="O11" i="5093"/>
  <c r="C11" i="5093"/>
  <c r="O10" i="5093"/>
  <c r="C10" i="5093"/>
  <c r="C9" i="5093"/>
  <c r="C8" i="5093"/>
  <c r="O7" i="5093"/>
  <c r="C7" i="5093"/>
  <c r="O6" i="5093"/>
  <c r="B6" i="5093"/>
  <c r="O5" i="5093"/>
  <c r="B5" i="5093"/>
  <c r="O4" i="5093"/>
  <c r="O3" i="5093"/>
  <c r="O2" i="5093"/>
  <c r="O23" i="5087"/>
  <c r="O22" i="5087"/>
  <c r="O22" i="5085"/>
  <c r="O21" i="5085"/>
  <c r="H5" i="5097" l="1"/>
  <c r="H5" i="5095"/>
  <c r="H2" i="5093"/>
  <c r="H3" i="5093"/>
  <c r="C17" i="5093"/>
  <c r="H11" i="5097"/>
  <c r="H8" i="5097"/>
  <c r="H3" i="5097"/>
  <c r="C17" i="5097"/>
  <c r="H20" i="5097"/>
  <c r="H4" i="5097"/>
  <c r="H2" i="5097"/>
  <c r="H12" i="5097"/>
  <c r="H16" i="5097"/>
  <c r="H25" i="5097"/>
  <c r="H27" i="5097"/>
  <c r="H13" i="5097"/>
  <c r="H9" i="5097"/>
  <c r="H33" i="5097"/>
  <c r="H37" i="5097"/>
  <c r="H41" i="5097"/>
  <c r="H45" i="5097"/>
  <c r="H49" i="5097"/>
  <c r="H6" i="5097"/>
  <c r="H7" i="5097"/>
  <c r="H14" i="5097"/>
  <c r="H22" i="5097"/>
  <c r="H15" i="5097"/>
  <c r="C18" i="5097"/>
  <c r="B23" i="5097"/>
  <c r="H29" i="5097"/>
  <c r="H31" i="5097"/>
  <c r="H34" i="5097"/>
  <c r="H38" i="5097"/>
  <c r="H42" i="5097"/>
  <c r="H46" i="5097"/>
  <c r="H50" i="5097"/>
  <c r="H24" i="5097"/>
  <c r="H26" i="5097"/>
  <c r="H28" i="5097"/>
  <c r="H30" i="5097"/>
  <c r="H18" i="5097"/>
  <c r="H35" i="5097"/>
  <c r="H39" i="5097"/>
  <c r="H43" i="5097"/>
  <c r="H47" i="5097"/>
  <c r="H51" i="5097"/>
  <c r="H10" i="5097"/>
  <c r="H21" i="5097"/>
  <c r="H23" i="5097"/>
  <c r="C19" i="5097"/>
  <c r="H17" i="5097"/>
  <c r="H32" i="5097"/>
  <c r="H36" i="5097"/>
  <c r="H40" i="5097"/>
  <c r="H44" i="5097"/>
  <c r="H48" i="5097"/>
  <c r="H3" i="5095"/>
  <c r="H22" i="5095"/>
  <c r="H7" i="5095"/>
  <c r="H2" i="5095"/>
  <c r="H16" i="5095"/>
  <c r="H11" i="5095"/>
  <c r="C17" i="5095"/>
  <c r="H33" i="5095"/>
  <c r="H11" i="5093"/>
  <c r="H4" i="5093"/>
  <c r="H19" i="5095"/>
  <c r="C18" i="5095"/>
  <c r="H28" i="5095"/>
  <c r="H37" i="5095"/>
  <c r="H41" i="5095"/>
  <c r="B23" i="5095"/>
  <c r="H30" i="5095"/>
  <c r="H45" i="5095"/>
  <c r="H49" i="5095"/>
  <c r="H24" i="5095"/>
  <c r="H29" i="5095"/>
  <c r="H50" i="5095"/>
  <c r="H8" i="5095"/>
  <c r="H21" i="5095"/>
  <c r="H23" i="5095"/>
  <c r="C19" i="5095"/>
  <c r="H13" i="5095"/>
  <c r="H31" i="5095"/>
  <c r="H35" i="5095"/>
  <c r="H39" i="5095"/>
  <c r="H43" i="5095"/>
  <c r="H47" i="5095"/>
  <c r="H51" i="5095"/>
  <c r="H25" i="5095"/>
  <c r="H27" i="5095"/>
  <c r="H18" i="5095"/>
  <c r="H34" i="5095"/>
  <c r="H38" i="5095"/>
  <c r="H42" i="5095"/>
  <c r="H46" i="5095"/>
  <c r="H9" i="5095"/>
  <c r="H6" i="5095"/>
  <c r="H12" i="5095"/>
  <c r="H20" i="5095"/>
  <c r="H17" i="5095"/>
  <c r="H15" i="5095"/>
  <c r="H26" i="5095"/>
  <c r="H14" i="5095"/>
  <c r="H10" i="5095"/>
  <c r="H32" i="5095"/>
  <c r="H36" i="5095"/>
  <c r="H40" i="5095"/>
  <c r="H44" i="5095"/>
  <c r="H48" i="5095"/>
  <c r="H27" i="5093"/>
  <c r="H32" i="5093"/>
  <c r="H39" i="5093"/>
  <c r="H47" i="5093"/>
  <c r="H6" i="5093"/>
  <c r="H21" i="5093"/>
  <c r="H23" i="5093"/>
  <c r="H16" i="5093"/>
  <c r="C18" i="5093"/>
  <c r="B23" i="5093"/>
  <c r="H20" i="5093"/>
  <c r="H31" i="5093"/>
  <c r="H34" i="5093"/>
  <c r="H38" i="5093"/>
  <c r="H42" i="5093"/>
  <c r="H46" i="5093"/>
  <c r="H50" i="5093"/>
  <c r="H26" i="5093"/>
  <c r="H29" i="5093"/>
  <c r="H35" i="5093"/>
  <c r="H51" i="5093"/>
  <c r="H8" i="5093"/>
  <c r="H17" i="5093"/>
  <c r="H24" i="5093"/>
  <c r="C19" i="5093"/>
  <c r="H14" i="5093"/>
  <c r="H18" i="5093"/>
  <c r="H36" i="5093"/>
  <c r="H40" i="5093"/>
  <c r="H44" i="5093"/>
  <c r="H48" i="5093"/>
  <c r="H19" i="5093"/>
  <c r="H30" i="5093"/>
  <c r="H43" i="5093"/>
  <c r="H10" i="5093"/>
  <c r="H7" i="5093"/>
  <c r="H13" i="5093"/>
  <c r="H22" i="5093"/>
  <c r="H25" i="5093"/>
  <c r="H15" i="5093"/>
  <c r="H28" i="5093"/>
  <c r="H12" i="5093"/>
  <c r="H9" i="5093"/>
  <c r="H33" i="5093"/>
  <c r="H37" i="5093"/>
  <c r="H41" i="5093"/>
  <c r="H45" i="5093"/>
  <c r="H49" i="5093"/>
  <c r="O16" i="5091" l="1"/>
  <c r="O19" i="5091"/>
  <c r="C27" i="5091"/>
  <c r="B24" i="5091"/>
  <c r="C20" i="5091"/>
  <c r="B17" i="5091"/>
  <c r="H5" i="5091" s="1"/>
  <c r="C16" i="5091"/>
  <c r="C15" i="5091"/>
  <c r="C14" i="5091"/>
  <c r="C13" i="5091"/>
  <c r="O12" i="5091"/>
  <c r="C12" i="5091"/>
  <c r="O11" i="5091"/>
  <c r="C11" i="5091"/>
  <c r="O10" i="5091"/>
  <c r="C10" i="5091"/>
  <c r="C9" i="5091"/>
  <c r="C8" i="5091"/>
  <c r="O7" i="5091"/>
  <c r="C7" i="5091"/>
  <c r="O6" i="5091"/>
  <c r="B6" i="5091"/>
  <c r="O5" i="5091"/>
  <c r="B5" i="5091"/>
  <c r="O4" i="5091"/>
  <c r="O3" i="5091"/>
  <c r="O2" i="5091"/>
  <c r="O22" i="5089"/>
  <c r="O17" i="5089"/>
  <c r="C27" i="5089"/>
  <c r="B24" i="5089"/>
  <c r="C20" i="5089"/>
  <c r="B17" i="5089"/>
  <c r="H5" i="5089" s="1"/>
  <c r="C16" i="5089"/>
  <c r="C15" i="5089"/>
  <c r="C14" i="5089"/>
  <c r="C13" i="5089"/>
  <c r="O12" i="5089"/>
  <c r="C12" i="5089"/>
  <c r="O11" i="5089"/>
  <c r="C11" i="5089"/>
  <c r="O10" i="5089"/>
  <c r="C10" i="5089"/>
  <c r="C9" i="5089"/>
  <c r="C8" i="5089"/>
  <c r="O7" i="5089"/>
  <c r="C7" i="5089"/>
  <c r="O6" i="5089"/>
  <c r="B6" i="5089"/>
  <c r="O5" i="5089"/>
  <c r="B5" i="5089"/>
  <c r="O4" i="5089"/>
  <c r="O3" i="5089"/>
  <c r="O2" i="5089"/>
  <c r="O24" i="5085"/>
  <c r="O16" i="5087"/>
  <c r="O21" i="5087"/>
  <c r="C27" i="5087"/>
  <c r="B24" i="5087"/>
  <c r="C20" i="5087"/>
  <c r="B17" i="5087"/>
  <c r="H5" i="5087" s="1"/>
  <c r="C16" i="5087"/>
  <c r="C15" i="5087"/>
  <c r="C14" i="5087"/>
  <c r="C13" i="5087"/>
  <c r="O12" i="5087"/>
  <c r="C12" i="5087"/>
  <c r="O11" i="5087"/>
  <c r="C11" i="5087"/>
  <c r="O10" i="5087"/>
  <c r="C10" i="5087"/>
  <c r="C9" i="5087"/>
  <c r="C8" i="5087"/>
  <c r="O7" i="5087"/>
  <c r="C7" i="5087"/>
  <c r="O6" i="5087"/>
  <c r="B6" i="5087"/>
  <c r="O5" i="5087"/>
  <c r="B5" i="5087"/>
  <c r="O4" i="5087"/>
  <c r="O3" i="5087"/>
  <c r="O2" i="5087"/>
  <c r="O15" i="5085"/>
  <c r="O19" i="5085"/>
  <c r="C27" i="5085"/>
  <c r="B24" i="5085"/>
  <c r="C20" i="5085"/>
  <c r="B17" i="5085"/>
  <c r="H18" i="5085" s="1"/>
  <c r="C16" i="5085"/>
  <c r="C15" i="5085"/>
  <c r="C14" i="5085"/>
  <c r="C13" i="5085"/>
  <c r="O12" i="5085"/>
  <c r="C12" i="5085"/>
  <c r="O11" i="5085"/>
  <c r="C11" i="5085"/>
  <c r="O10" i="5085"/>
  <c r="C10" i="5085"/>
  <c r="C9" i="5085"/>
  <c r="C8" i="5085"/>
  <c r="O7" i="5085"/>
  <c r="C7" i="5085"/>
  <c r="O6" i="5085"/>
  <c r="B6" i="5085"/>
  <c r="O5" i="5085"/>
  <c r="B5" i="5085"/>
  <c r="O4" i="5085"/>
  <c r="O3" i="5085"/>
  <c r="O2" i="5085"/>
  <c r="H2" i="5089" l="1"/>
  <c r="H8" i="5089"/>
  <c r="H7" i="5089"/>
  <c r="H3" i="5089"/>
  <c r="H9" i="5089"/>
  <c r="H24" i="5091"/>
  <c r="H12" i="5089"/>
  <c r="H29" i="5089"/>
  <c r="C17" i="5089"/>
  <c r="H6" i="5089"/>
  <c r="H22" i="5089"/>
  <c r="H10" i="5089"/>
  <c r="H4" i="5089"/>
  <c r="H20" i="5089"/>
  <c r="B23" i="5089"/>
  <c r="H6" i="5091"/>
  <c r="H8" i="5091"/>
  <c r="H23" i="5089"/>
  <c r="H12" i="5091"/>
  <c r="H4" i="5091"/>
  <c r="H10" i="5091"/>
  <c r="C17" i="5091"/>
  <c r="H29" i="5091"/>
  <c r="H14" i="5091"/>
  <c r="H16" i="5091"/>
  <c r="H3" i="5091"/>
  <c r="H2" i="5091"/>
  <c r="H9" i="5091"/>
  <c r="H7" i="5091"/>
  <c r="H25" i="5091"/>
  <c r="H17" i="5091"/>
  <c r="H13" i="5091"/>
  <c r="H23" i="5091"/>
  <c r="H26" i="5091"/>
  <c r="H15" i="5091"/>
  <c r="C18" i="5091"/>
  <c r="B23" i="5091"/>
  <c r="H19" i="5091"/>
  <c r="H31" i="5091"/>
  <c r="H33" i="5091"/>
  <c r="H37" i="5091"/>
  <c r="H41" i="5091"/>
  <c r="H45" i="5091"/>
  <c r="H49" i="5091"/>
  <c r="H27" i="5091"/>
  <c r="H28" i="5091"/>
  <c r="H30" i="5091"/>
  <c r="H20" i="5091"/>
  <c r="H21" i="5091"/>
  <c r="H34" i="5091"/>
  <c r="H38" i="5091"/>
  <c r="H42" i="5091"/>
  <c r="H46" i="5091"/>
  <c r="H50" i="5091"/>
  <c r="C19" i="5091"/>
  <c r="H18" i="5091"/>
  <c r="H32" i="5091"/>
  <c r="H35" i="5091"/>
  <c r="H39" i="5091"/>
  <c r="H43" i="5091"/>
  <c r="H47" i="5091"/>
  <c r="H51" i="5091"/>
  <c r="H11" i="5091"/>
  <c r="H22" i="5091"/>
  <c r="H36" i="5091"/>
  <c r="H40" i="5091"/>
  <c r="H44" i="5091"/>
  <c r="H48" i="5091"/>
  <c r="H19" i="5089"/>
  <c r="C18" i="5089"/>
  <c r="H21" i="5089"/>
  <c r="C19" i="5089"/>
  <c r="H26" i="5089"/>
  <c r="H34" i="5089"/>
  <c r="H38" i="5089"/>
  <c r="H42" i="5089"/>
  <c r="H33" i="5089"/>
  <c r="H35" i="5089"/>
  <c r="H46" i="5089"/>
  <c r="H15" i="5089"/>
  <c r="H36" i="5089"/>
  <c r="H50" i="5089"/>
  <c r="H30" i="5089"/>
  <c r="H31" i="5089"/>
  <c r="H32" i="5089"/>
  <c r="H25" i="5089"/>
  <c r="H16" i="5089"/>
  <c r="H28" i="5089"/>
  <c r="H39" i="5089"/>
  <c r="H43" i="5089"/>
  <c r="H47" i="5089"/>
  <c r="H51" i="5089"/>
  <c r="H40" i="5089"/>
  <c r="H44" i="5089"/>
  <c r="H48" i="5089"/>
  <c r="H18" i="5089"/>
  <c r="H17" i="5089"/>
  <c r="H14" i="5089"/>
  <c r="H24" i="5089"/>
  <c r="H13" i="5089"/>
  <c r="H11" i="5089"/>
  <c r="H27" i="5089"/>
  <c r="H37" i="5089"/>
  <c r="H41" i="5089"/>
  <c r="H45" i="5089"/>
  <c r="H49" i="5089"/>
  <c r="H7" i="5087"/>
  <c r="H14" i="5087"/>
  <c r="H6" i="5087"/>
  <c r="H3" i="5087"/>
  <c r="H21" i="5087"/>
  <c r="H22" i="5087"/>
  <c r="C17" i="5087"/>
  <c r="H40" i="5087"/>
  <c r="H10" i="5087"/>
  <c r="H20" i="5087"/>
  <c r="H36" i="5087"/>
  <c r="H4" i="5087"/>
  <c r="H2" i="5087"/>
  <c r="H11" i="5087"/>
  <c r="C19" i="5087"/>
  <c r="H44" i="5087"/>
  <c r="H8" i="5087"/>
  <c r="H29" i="5087"/>
  <c r="H17" i="5087"/>
  <c r="H25" i="5087"/>
  <c r="H50" i="5087"/>
  <c r="H23" i="5087"/>
  <c r="H35" i="5087"/>
  <c r="H42" i="5087"/>
  <c r="H13" i="5087"/>
  <c r="H28" i="5087"/>
  <c r="C18" i="5087"/>
  <c r="B23" i="5087"/>
  <c r="H24" i="5087"/>
  <c r="H38" i="5087"/>
  <c r="H46" i="5087"/>
  <c r="H30" i="5087"/>
  <c r="H31" i="5087"/>
  <c r="H33" i="5087"/>
  <c r="H34" i="5087"/>
  <c r="H19" i="5087"/>
  <c r="H27" i="5087"/>
  <c r="H39" i="5087"/>
  <c r="H43" i="5087"/>
  <c r="H47" i="5087"/>
  <c r="H51" i="5087"/>
  <c r="H48" i="5087"/>
  <c r="H16" i="5087"/>
  <c r="H18" i="5087"/>
  <c r="H15" i="5087"/>
  <c r="H32" i="5087"/>
  <c r="H12" i="5087"/>
  <c r="H9" i="5087"/>
  <c r="H26" i="5087"/>
  <c r="H37" i="5087"/>
  <c r="H41" i="5087"/>
  <c r="H45" i="5087"/>
  <c r="H49" i="5087"/>
  <c r="H9" i="5085"/>
  <c r="H2" i="5085"/>
  <c r="H3" i="5085"/>
  <c r="H4" i="5085"/>
  <c r="H11" i="5085"/>
  <c r="H6" i="5085"/>
  <c r="H23" i="5085"/>
  <c r="H7" i="5085"/>
  <c r="H21" i="5085"/>
  <c r="H32" i="5085"/>
  <c r="H16" i="5085"/>
  <c r="C18" i="5085"/>
  <c r="H14" i="5085"/>
  <c r="H13" i="5085"/>
  <c r="H31" i="5085"/>
  <c r="H38" i="5085"/>
  <c r="H46" i="5085"/>
  <c r="C19" i="5085"/>
  <c r="H29" i="5085"/>
  <c r="H25" i="5085"/>
  <c r="H26" i="5085"/>
  <c r="H41" i="5085"/>
  <c r="H49" i="5085"/>
  <c r="H8" i="5085"/>
  <c r="H20" i="5085"/>
  <c r="H24" i="5085"/>
  <c r="C17" i="5085"/>
  <c r="H15" i="5085"/>
  <c r="B23" i="5085"/>
  <c r="H35" i="5085"/>
  <c r="H42" i="5085"/>
  <c r="H50" i="5085"/>
  <c r="H12" i="5085"/>
  <c r="H19" i="5085"/>
  <c r="H10" i="5085"/>
  <c r="H37" i="5085"/>
  <c r="H45" i="5085"/>
  <c r="H5" i="5085"/>
  <c r="H33" i="5085"/>
  <c r="H34" i="5085"/>
  <c r="H30" i="5085"/>
  <c r="H27" i="5085"/>
  <c r="H17" i="5085"/>
  <c r="H28" i="5085"/>
  <c r="H39" i="5085"/>
  <c r="H43" i="5085"/>
  <c r="H47" i="5085"/>
  <c r="H51" i="5085"/>
  <c r="H22" i="5085"/>
  <c r="H36" i="5085"/>
  <c r="H40" i="5085"/>
  <c r="H44" i="5085"/>
  <c r="H48" i="5085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<sst xmlns="http://schemas.openxmlformats.org/spreadsheetml/2006/main" count="2949" uniqueCount="225">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</sst>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0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5.xml"/><Relationship Id="rId42" Type="http://schemas.openxmlformats.org/officeDocument/2006/relationships/chartsheet" Target="chartsheets/sheet13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4.xml"/><Relationship Id="rId38" Type="http://schemas.openxmlformats.org/officeDocument/2006/relationships/chartsheet" Target="chartsheets/sheet9.xml"/><Relationship Id="rId46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3.xml"/><Relationship Id="rId37" Type="http://schemas.openxmlformats.org/officeDocument/2006/relationships/chartsheet" Target="chartsheets/sheet8.xml"/><Relationship Id="rId40" Type="http://schemas.openxmlformats.org/officeDocument/2006/relationships/chartsheet" Target="chartsheets/sheet11.xml"/><Relationship Id="rId45" Type="http://schemas.openxmlformats.org/officeDocument/2006/relationships/chartsheet" Target="chartsheets/sheet1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7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2.xml"/><Relationship Id="rId44" Type="http://schemas.openxmlformats.org/officeDocument/2006/relationships/chartsheet" Target="chartsheets/sheet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1.xml"/><Relationship Id="rId35" Type="http://schemas.openxmlformats.org/officeDocument/2006/relationships/chartsheet" Target="chartsheets/sheet6.xml"/><Relationship Id="rId43" Type="http://schemas.openxmlformats.org/officeDocument/2006/relationships/chartsheet" Target="chartsheets/sheet14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全体!$K$2:$K$413</c:f>
              <c:numCache>
                <c:formatCode>General</c:formatCode>
                <c:ptCount val="4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</c:numCache>
            </c:numRef>
          </c:xVal>
          <c:yVal>
            <c:numRef>
              <c:f>全体!$L$2:$L$413</c:f>
              <c:numCache>
                <c:formatCode>\+0.0;\-0.0;\±0</c:formatCode>
                <c:ptCount val="412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3.1974423109204508E-14</c:v>
                </c:pt>
                <c:pt idx="410">
                  <c:v>3.1974423109204508E-14</c:v>
                </c:pt>
                <c:pt idx="411">
                  <c:v>3.1974423109204508E-14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B4-49ED-94FB-B6DAC2A5D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-14.705882352941176</c:v>
                </c:pt>
                <c:pt idx="1">
                  <c:v>-9.8765432098765427</c:v>
                </c:pt>
                <c:pt idx="2">
                  <c:v>10.416666666666666</c:v>
                </c:pt>
                <c:pt idx="3">
                  <c:v>14.245014245014245</c:v>
                </c:pt>
                <c:pt idx="4">
                  <c:v>-15.723270440251572</c:v>
                </c:pt>
                <c:pt idx="5">
                  <c:v>20.408163265306122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3C-4F79-BAA5-11B640B71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だいち!$K$2:$K$96</c:f>
              <c:numCache>
                <c:formatCode>General</c:formatCode>
                <c:ptCount val="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だいち!$L$2:$L$96</c:f>
              <c:numCache>
                <c:formatCode>\+0.0;\-0.0;\±0</c:formatCode>
                <c:ptCount val="95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1677.6000000000013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0D-4788-971B-8BC8F98C59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2616.1290322580644</c:v>
                </c:pt>
                <c:pt idx="1">
                  <c:v>2681.521739130435</c:v>
                </c:pt>
                <c:pt idx="2">
                  <c:v>2807.9545454545455</c:v>
                </c:pt>
                <c:pt idx="3">
                  <c:v>2644.4444444444443</c:v>
                </c:pt>
                <c:pt idx="4">
                  <c:v>-83.098591549295776</c:v>
                </c:pt>
                <c:pt idx="5">
                  <c:v>884.61538461538464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66-487A-A24F-8C5DBF26B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xVal>
          <c:yVal>
            <c:numRef>
              <c:f>りくと!$L$2:$L$101</c:f>
              <c:numCache>
                <c:formatCode>\+0.0;\-0.0;\±0</c:formatCode>
                <c:ptCount val="100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17-4F11-935C-5DCA658F9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513.13131313131316</c:v>
                </c:pt>
                <c:pt idx="1">
                  <c:v>-2293.8775510204082</c:v>
                </c:pt>
                <c:pt idx="2">
                  <c:v>-867.36842105263156</c:v>
                </c:pt>
                <c:pt idx="3">
                  <c:v>647.67441860465112</c:v>
                </c:pt>
                <c:pt idx="4">
                  <c:v>133.33333333333334</c:v>
                </c:pt>
                <c:pt idx="5">
                  <c:v>312.32876712328766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2B-4A2B-B7A8-65DFCB816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ただ!$L$2:$L$40</c:f>
              <c:numCache>
                <c:formatCode>\+0.0;\-0.0;\±0</c:formatCode>
                <c:ptCount val="39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5A-434C-A25B-41A819166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-2836.8421052631579</c:v>
                </c:pt>
                <c:pt idx="1">
                  <c:v>-3252.6315789473683</c:v>
                </c:pt>
                <c:pt idx="2">
                  <c:v>-1208.5714285714287</c:v>
                </c:pt>
                <c:pt idx="3">
                  <c:v>-6190</c:v>
                </c:pt>
                <c:pt idx="4">
                  <c:v>-1188.8888888888889</c:v>
                </c:pt>
                <c:pt idx="5">
                  <c:v>-1584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6E-4BCB-A7D0-7312F4561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れんたろう!$L$2:$L$53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-79.300000000000011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B7-4705-83B2-80530EC1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-174</c:v>
                </c:pt>
                <c:pt idx="1">
                  <c:v>410</c:v>
                </c:pt>
                <c:pt idx="2">
                  <c:v>-322.91666666666669</c:v>
                </c:pt>
                <c:pt idx="3">
                  <c:v>2169.0476190476193</c:v>
                </c:pt>
                <c:pt idx="4">
                  <c:v>-1662.1621621621621</c:v>
                </c:pt>
                <c:pt idx="5">
                  <c:v>245.71428571428572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7F-4A3B-A784-3629B4233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たかの!$L$2:$L$51</c:f>
              <c:numCache>
                <c:formatCode>\+0.0;\-0.0;\±0</c:formatCode>
                <c:ptCount val="50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FA-4114-9A99-3E78370CA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269.38775510204084</c:v>
                </c:pt>
                <c:pt idx="1">
                  <c:v>316.32653061224488</c:v>
                </c:pt>
                <c:pt idx="2">
                  <c:v>-165.90909090909091</c:v>
                </c:pt>
                <c:pt idx="3">
                  <c:v>743.90243902439022</c:v>
                </c:pt>
                <c:pt idx="4">
                  <c:v>1402.5</c:v>
                </c:pt>
                <c:pt idx="5">
                  <c:v>-831.42857142857144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5F-47AB-AA13-F97052244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ぱぱ!$L$2:$L$38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D1-45F2-B96D-D2B58B8002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-2694.4444444444443</c:v>
                </c:pt>
                <c:pt idx="1">
                  <c:v>1827.7777777777778</c:v>
                </c:pt>
                <c:pt idx="2">
                  <c:v>-888.23529411764707</c:v>
                </c:pt>
                <c:pt idx="3">
                  <c:v>-4443.75</c:v>
                </c:pt>
                <c:pt idx="4">
                  <c:v>782.75862068965512</c:v>
                </c:pt>
                <c:pt idx="5">
                  <c:v>1085.7142857142858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AB-4AED-A3ED-12FA99541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まっつん!$L$2:$L$26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3-4894-881A-399E7685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-2770.8333333333335</c:v>
                </c:pt>
                <c:pt idx="1">
                  <c:v>-1282.608695652174</c:v>
                </c:pt>
                <c:pt idx="2">
                  <c:v>-1042.8571428571429</c:v>
                </c:pt>
                <c:pt idx="3">
                  <c:v>-404.76190476190476</c:v>
                </c:pt>
                <c:pt idx="4">
                  <c:v>-1100</c:v>
                </c:pt>
                <c:pt idx="5">
                  <c:v>976.47058823529414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EA-4746-B462-D2FA367B1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7D-4CF9-B195-D9EF897D5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CC-42F5-9962-05756C262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いっしー!$L$2:$L$12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C-426B-B5BB-F67DD5E52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-1860</c:v>
                </c:pt>
                <c:pt idx="1">
                  <c:v>-2160</c:v>
                </c:pt>
                <c:pt idx="2">
                  <c:v>-990</c:v>
                </c:pt>
                <c:pt idx="3">
                  <c:v>-5388.8888888888887</c:v>
                </c:pt>
                <c:pt idx="4">
                  <c:v>1077.7777777777778</c:v>
                </c:pt>
                <c:pt idx="5">
                  <c:v>-5400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27-45A9-B938-BEF8C8CF1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7D-4844-A4B2-3B6A67521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-5040</c:v>
                </c:pt>
                <c:pt idx="1">
                  <c:v>5560</c:v>
                </c:pt>
                <c:pt idx="2">
                  <c:v>-3320</c:v>
                </c:pt>
                <c:pt idx="3">
                  <c:v>-3500</c:v>
                </c:pt>
                <c:pt idx="4">
                  <c:v>4325</c:v>
                </c:pt>
                <c:pt idx="5">
                  <c:v>-475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68-4E4F-A5C2-625DD6C822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かわたつ!$L$2:$L$4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13.3</c:v>
                </c:pt>
                <c:pt idx="2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A5-4C42-AFD5-6746E1C1C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63-40F2-9895-4B4EA7334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かわたつ2!$B$1:$B$2</c:f>
              <c:strCache>
                <c:ptCount val="2"/>
                <c:pt idx="0">
                  <c:v>かわたつ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かわたつ2!$B$3:$B$5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13.3</c:v>
                </c:pt>
                <c:pt idx="2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3.1974423109204508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かわたつ2!$C$1:$C$2</c:f>
              <c:strCache>
                <c:ptCount val="2"/>
                <c:pt idx="0">
                  <c:v>かわたつ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かわたつ2!$C$3:$C$5</c:f>
              <c:numCache>
                <c:formatCode>\+0.0;\-0.0;\±0</c:formatCode>
                <c:ptCount val="3"/>
                <c:pt idx="1">
                  <c:v>13.3</c:v>
                </c:pt>
                <c:pt idx="2">
                  <c:v>6.65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77966499007409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かわたつ2!$D$1:$D$2</c:f>
              <c:strCache>
                <c:ptCount val="2"/>
                <c:pt idx="0">
                  <c:v>かわたつ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かわたつ2!$D$3:$D$5</c:f>
              <c:numCache>
                <c:formatCode>0.00\ "位"</c:formatCode>
                <c:ptCount val="3"/>
                <c:pt idx="1">
                  <c:v>2</c:v>
                </c:pt>
                <c:pt idx="2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2700729927007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かわたつ2!$E$1:$E$2</c:f>
              <c:strCache>
                <c:ptCount val="2"/>
                <c:pt idx="0">
                  <c:v>かわたつ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かわたつ2!$E$3:$E$5</c:f>
              <c:numCache>
                <c:formatCode>0.0%</c:formatCode>
                <c:ptCount val="3"/>
                <c:pt idx="1">
                  <c:v>0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8199513381995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かわたつ2!$F$1:$F$2</c:f>
              <c:strCache>
                <c:ptCount val="2"/>
                <c:pt idx="0">
                  <c:v>かわたつ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かわたつ2!$F$3:$F$5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0900243309002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かわたつ2!$G$1:$G$2</c:f>
              <c:strCache>
                <c:ptCount val="2"/>
                <c:pt idx="0">
                  <c:v>かわたつ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かわたつ2!$G$3:$G$5</c:f>
              <c:numCache>
                <c:formatCode>0.0%</c:formatCode>
                <c:ptCount val="3"/>
                <c:pt idx="1">
                  <c:v>0.15384615384615385</c:v>
                </c:pt>
                <c:pt idx="2">
                  <c:v>0.15384615384615385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1393728222996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かわたつ2!$H$1:$H$2</c:f>
              <c:strCache>
                <c:ptCount val="2"/>
                <c:pt idx="0">
                  <c:v>かわたつ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かわたつ2!$H$3:$H$5</c:f>
              <c:numCache>
                <c:formatCode>0.0%</c:formatCode>
                <c:ptCount val="3"/>
                <c:pt idx="1">
                  <c:v>7.6923076923076927E-2</c:v>
                </c:pt>
                <c:pt idx="2">
                  <c:v>7.6923076923076927E-2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666666666666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かわたつ2!$I$1:$I$2</c:f>
              <c:strCache>
                <c:ptCount val="2"/>
                <c:pt idx="0">
                  <c:v>かわたつ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かわたつ2!$I$3:$I$5</c:f>
              <c:numCache>
                <c:formatCode>0</c:formatCode>
                <c:ptCount val="3"/>
                <c:pt idx="1">
                  <c:v>13800</c:v>
                </c:pt>
                <c:pt idx="2">
                  <c:v>13800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87.18689788053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かわたつ2!$J$1:$J$2</c:f>
              <c:strCache>
                <c:ptCount val="2"/>
                <c:pt idx="0">
                  <c:v>かわたつ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かわたつ2!$J$3:$J$5</c:f>
              <c:numCache>
                <c:formatCode>0</c:formatCode>
                <c:ptCount val="3"/>
                <c:pt idx="1">
                  <c:v>-12000</c:v>
                </c:pt>
                <c:pt idx="2">
                  <c:v>-12000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19.51219512195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かわたつ2!$K$1:$K$2</c:f>
              <c:strCache>
                <c:ptCount val="2"/>
                <c:pt idx="0">
                  <c:v>かわたつ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かわたつ2!$K$3:$K$5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2189781021897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かわたつ2!$L$1:$L$2</c:f>
              <c:strCache>
                <c:ptCount val="2"/>
                <c:pt idx="0">
                  <c:v>かわたつ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かわたつ2!$L$3:$L$5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2189781021897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かわたつ2!$M$1:$M$2</c:f>
              <c:strCache>
                <c:ptCount val="2"/>
                <c:pt idx="0">
                  <c:v>かわたつ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かわたつ2!$M$3:$M$5</c:f>
              <c:numCache>
                <c:formatCode>0.0%</c:formatCode>
                <c:ptCount val="3"/>
                <c:pt idx="1">
                  <c:v>0.23076923076923078</c:v>
                </c:pt>
                <c:pt idx="2">
                  <c:v>0.23076923076923078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8873403019744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かわたつ2!$N$1:$N$2</c:f>
              <c:strCache>
                <c:ptCount val="2"/>
                <c:pt idx="0">
                  <c:v>かわたつ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かわたつ2!$N$3:$N$5</c:f>
              <c:numCache>
                <c:formatCode>0.0%</c:formatCode>
                <c:ptCount val="3"/>
                <c:pt idx="1">
                  <c:v>7.6923076923076927E-2</c:v>
                </c:pt>
                <c:pt idx="2">
                  <c:v>7.6923076923076927E-2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6027874564459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かわたつ2!$O$1:$O$2</c:f>
              <c:strCache>
                <c:ptCount val="2"/>
                <c:pt idx="0">
                  <c:v>かわたつ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かわたつ2!$O$3:$O$5</c:f>
              <c:numCache>
                <c:formatCode>0.0%</c:formatCode>
                <c:ptCount val="3"/>
                <c:pt idx="1">
                  <c:v>0.33333333333333331</c:v>
                </c:pt>
                <c:pt idx="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1792656587473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かわたつ2!$P$1:$P$2</c:f>
              <c:strCache>
                <c:ptCount val="2"/>
                <c:pt idx="0">
                  <c:v>かわたつ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かわたつ2!$P$3:$P$5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3064516129032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かわたつ2!$Q$1:$Q$2</c:f>
              <c:strCache>
                <c:ptCount val="2"/>
                <c:pt idx="0">
                  <c:v>かわたつ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かわたつ2!$Q$3:$Q$5</c:f>
              <c:numCache>
                <c:formatCode>0.0%</c:formatCode>
                <c:ptCount val="3"/>
                <c:pt idx="1">
                  <c:v>0.5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9306358381502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D4BFB18-C6CC-4231-BC84-D38AEF9B86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1C8D0A7-7543-4FC1-801F-437172D11C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6"/>
      <c r="C1" s="147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8">
        <v>0</v>
      </c>
      <c r="C2" s="149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0">
        <v>0</v>
      </c>
      <c r="C3" s="151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2">
        <v>0</v>
      </c>
      <c r="C4" s="153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4">
        <f>IF(B$2=0,0,B$4/B$2)</f>
        <v>0</v>
      </c>
      <c r="C5" s="155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4">
        <f>IF(B$2=0,0,(B$7*1+B$8*2+B$9*3)/B$2)</f>
        <v>0</v>
      </c>
      <c r="C6" s="145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2">
        <v>0</v>
      </c>
      <c r="C25" s="143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0">
        <v>0</v>
      </c>
      <c r="C26" s="141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38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43595.016736111109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43592.020555555559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43593.086956018517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43593.980173611111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43595.036122685182</v>
      </c>
      <c r="C32" s="30" t="s">
        <v>130</v>
      </c>
      <c r="D32" s="30" t="s">
        <v>131</v>
      </c>
    </row>
    <row r="33" spans="1:5" x14ac:dyDescent="0.4">
      <c r="A33" s="30" t="s">
        <v>218</v>
      </c>
      <c r="B33" s="31">
        <v>43596.111006944448</v>
      </c>
      <c r="C33" s="30" t="s">
        <v>130</v>
      </c>
      <c r="D33" s="30" t="s">
        <v>131</v>
      </c>
      <c r="E33" s="30" t="s">
        <v>169</v>
      </c>
    </row>
    <row r="34" spans="1:5" x14ac:dyDescent="0.4">
      <c r="A34" s="30" t="s">
        <v>219</v>
      </c>
      <c r="B34" s="31">
        <v>43597.633912037039</v>
      </c>
      <c r="C34" s="30" t="s">
        <v>130</v>
      </c>
      <c r="D34" s="30" t="s">
        <v>131</v>
      </c>
      <c r="E34" s="30" t="s">
        <v>169</v>
      </c>
    </row>
    <row r="35" spans="1:5" x14ac:dyDescent="0.4">
      <c r="A35" s="30" t="s">
        <v>220</v>
      </c>
      <c r="B35" s="31">
        <v>43597.749386574076</v>
      </c>
      <c r="C35" s="30" t="s">
        <v>130</v>
      </c>
      <c r="D35" s="30" t="s">
        <v>131</v>
      </c>
      <c r="E35" s="30" t="s">
        <v>169</v>
      </c>
    </row>
    <row r="36" spans="1:5" x14ac:dyDescent="0.4">
      <c r="A36" s="30" t="s">
        <v>221</v>
      </c>
      <c r="B36" s="31">
        <v>43599.035104166665</v>
      </c>
      <c r="C36" s="30" t="s">
        <v>130</v>
      </c>
      <c r="D36" s="30" t="s">
        <v>131</v>
      </c>
      <c r="E36" s="30" t="s">
        <v>169</v>
      </c>
    </row>
    <row r="37" spans="1:5" x14ac:dyDescent="0.4">
      <c r="A37" s="30" t="s">
        <v>222</v>
      </c>
      <c r="B37" s="31">
        <v>43599.989502314813</v>
      </c>
      <c r="C37" s="30" t="s">
        <v>130</v>
      </c>
      <c r="D37" s="30" t="s">
        <v>131</v>
      </c>
    </row>
    <row r="38" spans="1:5" x14ac:dyDescent="0.4">
      <c r="A38" s="30" t="s">
        <v>223</v>
      </c>
      <c r="B38" s="31">
        <v>43601.003854166665</v>
      </c>
      <c r="C38" s="30" t="s">
        <v>130</v>
      </c>
      <c r="D38" s="30" t="s">
        <v>131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2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171</v>
      </c>
    </row>
    <row r="6" spans="1:1" x14ac:dyDescent="0.4">
      <c r="A6" t="s">
        <v>172</v>
      </c>
    </row>
    <row r="7" spans="1:1" x14ac:dyDescent="0.4">
      <c r="A7" t="s">
        <v>173</v>
      </c>
    </row>
    <row r="8" spans="1:1" x14ac:dyDescent="0.4">
      <c r="A8" t="s">
        <v>177</v>
      </c>
    </row>
    <row r="9" spans="1:1" x14ac:dyDescent="0.4">
      <c r="A9" t="s">
        <v>185</v>
      </c>
    </row>
    <row r="10" spans="1:1" x14ac:dyDescent="0.4">
      <c r="A10" t="s">
        <v>186</v>
      </c>
    </row>
    <row r="11" spans="1:1" x14ac:dyDescent="0.4">
      <c r="A11" t="s">
        <v>202</v>
      </c>
    </row>
    <row r="12" spans="1:1" x14ac:dyDescent="0.4">
      <c r="A12" t="s">
        <v>224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4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162</v>
      </c>
      <c r="K1" s="159"/>
      <c r="L1" s="158" t="s">
        <v>149</v>
      </c>
      <c r="M1" s="159"/>
      <c r="N1" s="158" t="s">
        <v>150</v>
      </c>
      <c r="O1" s="159"/>
      <c r="P1" s="158" t="s">
        <v>5</v>
      </c>
      <c r="Q1" s="159"/>
      <c r="R1" s="158" t="s">
        <v>17</v>
      </c>
      <c r="S1" s="159"/>
      <c r="T1" s="158" t="s">
        <v>18</v>
      </c>
      <c r="U1" s="159"/>
      <c r="V1" s="158" t="s">
        <v>141</v>
      </c>
      <c r="W1" s="159"/>
      <c r="X1" s="158" t="s">
        <v>123</v>
      </c>
      <c r="Y1" s="159"/>
      <c r="Z1" s="158" t="s">
        <v>120</v>
      </c>
      <c r="AA1" s="159"/>
      <c r="AB1" s="158" t="s">
        <v>126</v>
      </c>
      <c r="AC1" s="159"/>
      <c r="AD1" s="158" t="s">
        <v>151</v>
      </c>
      <c r="AE1" s="159"/>
      <c r="AF1" s="158" t="s">
        <v>144</v>
      </c>
      <c r="AG1" s="159"/>
      <c r="AH1" s="158" t="s">
        <v>153</v>
      </c>
      <c r="AI1" s="159"/>
    </row>
    <row r="2" spans="1:35" x14ac:dyDescent="0.4">
      <c r="A2" s="72" t="s">
        <v>161</v>
      </c>
      <c r="B2" s="160"/>
      <c r="C2" s="161"/>
      <c r="D2" s="160"/>
      <c r="E2" s="161"/>
      <c r="F2" s="156">
        <v>0.72694620816837385</v>
      </c>
      <c r="G2" s="157"/>
      <c r="H2" s="156">
        <v>0.67747521041639469</v>
      </c>
      <c r="I2" s="157"/>
      <c r="J2" s="156">
        <v>0.65366571917615479</v>
      </c>
      <c r="K2" s="157"/>
      <c r="L2" s="156">
        <v>0.48731949695047699</v>
      </c>
      <c r="M2" s="157"/>
      <c r="N2" s="156">
        <v>0.52328997125910326</v>
      </c>
      <c r="O2" s="157"/>
      <c r="P2" s="156">
        <v>0.67541766621011023</v>
      </c>
      <c r="Q2" s="157"/>
      <c r="R2" s="156">
        <v>-3.90552966825004E-2</v>
      </c>
      <c r="S2" s="157"/>
      <c r="T2" s="156">
        <v>0.45326234786587744</v>
      </c>
      <c r="U2" s="157"/>
      <c r="V2" s="156">
        <v>0.79821712537143508</v>
      </c>
      <c r="W2" s="157"/>
      <c r="X2" s="156">
        <v>0.94893841205804597</v>
      </c>
      <c r="Y2" s="157"/>
      <c r="Z2" s="156">
        <v>-0.10740344069249634</v>
      </c>
      <c r="AA2" s="157"/>
      <c r="AB2" s="156">
        <v>0.14555345856820431</v>
      </c>
      <c r="AC2" s="157"/>
      <c r="AD2" s="156">
        <v>0.1263904782984874</v>
      </c>
      <c r="AE2" s="157"/>
      <c r="AF2" s="156">
        <v>-0.35536252554235298</v>
      </c>
      <c r="AG2" s="157"/>
      <c r="AH2" s="156">
        <v>0.85687051531365466</v>
      </c>
      <c r="AI2" s="157"/>
    </row>
    <row r="3" spans="1:35" x14ac:dyDescent="0.4">
      <c r="A3" s="74">
        <v>1</v>
      </c>
      <c r="B3" s="75" t="s">
        <v>127</v>
      </c>
      <c r="C3" s="76">
        <v>1677.6000000000013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127</v>
      </c>
      <c r="M3" s="80">
        <v>0.37664041994750658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0.19148936170212766</v>
      </c>
      <c r="X3" s="77" t="s">
        <v>127</v>
      </c>
      <c r="Y3" s="80">
        <v>0.33070866141732286</v>
      </c>
      <c r="Z3" s="77" t="s">
        <v>172</v>
      </c>
      <c r="AA3" s="80">
        <v>0.30769230769230771</v>
      </c>
      <c r="AB3" s="77" t="s">
        <v>177</v>
      </c>
      <c r="AC3" s="80">
        <v>0.625</v>
      </c>
      <c r="AD3" s="77" t="s">
        <v>127</v>
      </c>
      <c r="AE3" s="80">
        <v>0.52298850574712641</v>
      </c>
      <c r="AF3" s="77" t="s">
        <v>202</v>
      </c>
      <c r="AG3" s="80">
        <v>0.58333333333333337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172</v>
      </c>
      <c r="C4" s="84">
        <v>113</v>
      </c>
      <c r="D4" s="85" t="s">
        <v>127</v>
      </c>
      <c r="E4" s="97">
        <v>17.846808510638311</v>
      </c>
      <c r="F4" s="85" t="s">
        <v>224</v>
      </c>
      <c r="G4" s="86">
        <v>1.5</v>
      </c>
      <c r="H4" s="85" t="s">
        <v>127</v>
      </c>
      <c r="I4" s="87">
        <v>0.56382978723404253</v>
      </c>
      <c r="J4" s="85" t="s">
        <v>224</v>
      </c>
      <c r="K4" s="87">
        <v>0</v>
      </c>
      <c r="L4" s="85" t="s">
        <v>172</v>
      </c>
      <c r="M4" s="88">
        <v>0.37296037296037299</v>
      </c>
      <c r="N4" s="85" t="s">
        <v>185</v>
      </c>
      <c r="O4" s="88">
        <v>0.10526315789473684</v>
      </c>
      <c r="P4" s="85" t="s">
        <v>171</v>
      </c>
      <c r="Q4" s="89">
        <v>9334.9056603773588</v>
      </c>
      <c r="R4" s="85" t="s">
        <v>202</v>
      </c>
      <c r="S4" s="89">
        <v>-5420</v>
      </c>
      <c r="T4" s="85" t="s">
        <v>202</v>
      </c>
      <c r="U4" s="87">
        <v>0</v>
      </c>
      <c r="V4" s="85" t="s">
        <v>172</v>
      </c>
      <c r="W4" s="87">
        <v>0.12244897959183673</v>
      </c>
      <c r="X4" s="85" t="s">
        <v>128</v>
      </c>
      <c r="Y4" s="88">
        <v>0.29136690647482016</v>
      </c>
      <c r="Z4" s="85" t="s">
        <v>202</v>
      </c>
      <c r="AA4" s="88">
        <v>0.26</v>
      </c>
      <c r="AB4" s="85" t="s">
        <v>173</v>
      </c>
      <c r="AC4" s="88">
        <v>0.60810810810810811</v>
      </c>
      <c r="AD4" s="85" t="s">
        <v>185</v>
      </c>
      <c r="AE4" s="88">
        <v>0.5</v>
      </c>
      <c r="AF4" s="85" t="s">
        <v>186</v>
      </c>
      <c r="AG4" s="88">
        <v>0.55000000000000004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185</v>
      </c>
      <c r="C5" s="84">
        <v>61</v>
      </c>
      <c r="D5" s="85" t="s">
        <v>224</v>
      </c>
      <c r="E5" s="97">
        <v>6.65</v>
      </c>
      <c r="F5" s="85" t="s">
        <v>127</v>
      </c>
      <c r="G5" s="86">
        <v>1.6276595744680851</v>
      </c>
      <c r="H5" s="85" t="s">
        <v>224</v>
      </c>
      <c r="I5" s="87">
        <v>0.5</v>
      </c>
      <c r="J5" s="85" t="s">
        <v>127</v>
      </c>
      <c r="K5" s="87">
        <v>0.19148936170212766</v>
      </c>
      <c r="L5" s="85" t="s">
        <v>173</v>
      </c>
      <c r="M5" s="88">
        <v>0.30721003134796238</v>
      </c>
      <c r="N5" s="85" t="s">
        <v>172</v>
      </c>
      <c r="O5" s="88">
        <v>0.13053613053613053</v>
      </c>
      <c r="P5" s="85" t="s">
        <v>128</v>
      </c>
      <c r="Q5" s="89">
        <v>9155.8441558441555</v>
      </c>
      <c r="R5" s="85" t="s">
        <v>171</v>
      </c>
      <c r="S5" s="89">
        <v>-7267.6923076923076</v>
      </c>
      <c r="T5" s="85" t="s">
        <v>224</v>
      </c>
      <c r="U5" s="87">
        <v>0</v>
      </c>
      <c r="V5" s="85" t="s">
        <v>171</v>
      </c>
      <c r="W5" s="87">
        <v>0.11764705882352941</v>
      </c>
      <c r="X5" s="85" t="s">
        <v>145</v>
      </c>
      <c r="Y5" s="88">
        <v>0.26887340301974449</v>
      </c>
      <c r="Z5" s="85" t="s">
        <v>173</v>
      </c>
      <c r="AA5" s="88">
        <v>0.25391849529780564</v>
      </c>
      <c r="AB5" s="85" t="s">
        <v>127</v>
      </c>
      <c r="AC5" s="88">
        <v>0.6071428571428571</v>
      </c>
      <c r="AD5" s="85" t="s">
        <v>186</v>
      </c>
      <c r="AE5" s="88">
        <v>0.47058823529411764</v>
      </c>
      <c r="AF5" s="85" t="s">
        <v>173</v>
      </c>
      <c r="AG5" s="88">
        <v>0.52040816326530615</v>
      </c>
      <c r="AH5" s="85" t="s">
        <v>172</v>
      </c>
      <c r="AI5" s="92">
        <v>97500</v>
      </c>
    </row>
    <row r="6" spans="1:35" x14ac:dyDescent="0.4">
      <c r="A6" s="82">
        <v>4</v>
      </c>
      <c r="B6" s="83" t="s">
        <v>224</v>
      </c>
      <c r="C6" s="84">
        <v>13.3</v>
      </c>
      <c r="D6" s="85" t="s">
        <v>172</v>
      </c>
      <c r="E6" s="97">
        <v>2.306122448979592</v>
      </c>
      <c r="F6" s="85" t="s">
        <v>145</v>
      </c>
      <c r="G6" s="86">
        <v>1.9927007299270072</v>
      </c>
      <c r="H6" s="85" t="s">
        <v>145</v>
      </c>
      <c r="I6" s="87">
        <v>0.33819951338199511</v>
      </c>
      <c r="J6" s="85" t="s">
        <v>202</v>
      </c>
      <c r="K6" s="87">
        <v>0.2</v>
      </c>
      <c r="L6" s="85" t="s">
        <v>145</v>
      </c>
      <c r="M6" s="88">
        <v>0.30139372822299654</v>
      </c>
      <c r="N6" s="85" t="s">
        <v>127</v>
      </c>
      <c r="O6" s="88">
        <v>0.15223097112860892</v>
      </c>
      <c r="P6" s="85" t="s">
        <v>127</v>
      </c>
      <c r="Q6" s="89">
        <v>9144.5993031358885</v>
      </c>
      <c r="R6" s="85" t="s">
        <v>177</v>
      </c>
      <c r="S6" s="89">
        <v>-7291.8918918918916</v>
      </c>
      <c r="T6" s="85" t="s">
        <v>171</v>
      </c>
      <c r="U6" s="87">
        <v>3.9215686274509803E-2</v>
      </c>
      <c r="V6" s="85" t="s">
        <v>145</v>
      </c>
      <c r="W6" s="87">
        <v>0.10218978102189781</v>
      </c>
      <c r="X6" s="85" t="s">
        <v>185</v>
      </c>
      <c r="Y6" s="88">
        <v>0.26315789473684209</v>
      </c>
      <c r="Z6" s="85" t="s">
        <v>127</v>
      </c>
      <c r="AA6" s="88">
        <v>0.2283464566929134</v>
      </c>
      <c r="AB6" s="85" t="s">
        <v>172</v>
      </c>
      <c r="AC6" s="88">
        <v>0.6063829787234043</v>
      </c>
      <c r="AD6" s="85" t="s">
        <v>172</v>
      </c>
      <c r="AE6" s="88">
        <v>0.43181818181818182</v>
      </c>
      <c r="AF6" s="85" t="s">
        <v>129</v>
      </c>
      <c r="AG6" s="88">
        <v>0.50769230769230766</v>
      </c>
      <c r="AH6" s="85" t="s">
        <v>128</v>
      </c>
      <c r="AI6" s="92">
        <v>97300</v>
      </c>
    </row>
    <row r="7" spans="1:35" x14ac:dyDescent="0.4">
      <c r="A7" s="82">
        <v>5</v>
      </c>
      <c r="B7" s="83" t="s">
        <v>145</v>
      </c>
      <c r="C7" s="84">
        <v>3.1974423109204508E-14</v>
      </c>
      <c r="D7" s="85" t="s">
        <v>145</v>
      </c>
      <c r="E7" s="97">
        <v>7.77966499007409E-17</v>
      </c>
      <c r="F7" s="85" t="s">
        <v>202</v>
      </c>
      <c r="G7" s="86">
        <v>2</v>
      </c>
      <c r="H7" s="85" t="s">
        <v>172</v>
      </c>
      <c r="I7" s="87">
        <v>0.30612244897959184</v>
      </c>
      <c r="J7" s="85" t="s">
        <v>172</v>
      </c>
      <c r="K7" s="87">
        <v>0.32653061224489793</v>
      </c>
      <c r="L7" s="85" t="s">
        <v>128</v>
      </c>
      <c r="M7" s="88">
        <v>0.27697841726618705</v>
      </c>
      <c r="N7" s="85" t="s">
        <v>171</v>
      </c>
      <c r="O7" s="88">
        <v>0.15258215962441316</v>
      </c>
      <c r="P7" s="85" t="s">
        <v>129</v>
      </c>
      <c r="Q7" s="89">
        <v>8566.1538461538457</v>
      </c>
      <c r="R7" s="85" t="s">
        <v>128</v>
      </c>
      <c r="S7" s="89">
        <v>-7666.2068965517237</v>
      </c>
      <c r="T7" s="85" t="s">
        <v>127</v>
      </c>
      <c r="U7" s="87">
        <v>5.3191489361702128E-2</v>
      </c>
      <c r="V7" s="85" t="s">
        <v>128</v>
      </c>
      <c r="W7" s="87">
        <v>8.0808080808080815E-2</v>
      </c>
      <c r="X7" s="85" t="s">
        <v>171</v>
      </c>
      <c r="Y7" s="88">
        <v>0.25352112676056338</v>
      </c>
      <c r="Z7" s="85" t="s">
        <v>177</v>
      </c>
      <c r="AA7" s="88">
        <v>0.22727272727272727</v>
      </c>
      <c r="AB7" s="85" t="s">
        <v>128</v>
      </c>
      <c r="AC7" s="88">
        <v>0.60082304526748975</v>
      </c>
      <c r="AD7" s="85" t="s">
        <v>177</v>
      </c>
      <c r="AE7" s="88">
        <v>0.4</v>
      </c>
      <c r="AF7" s="85" t="s">
        <v>224</v>
      </c>
      <c r="AG7" s="88">
        <v>0.5</v>
      </c>
      <c r="AH7" s="85" t="s">
        <v>129</v>
      </c>
      <c r="AI7" s="92">
        <v>96900</v>
      </c>
    </row>
    <row r="8" spans="1:35" x14ac:dyDescent="0.4">
      <c r="A8" s="82">
        <v>6</v>
      </c>
      <c r="B8" s="83" t="s">
        <v>202</v>
      </c>
      <c r="C8" s="84">
        <v>-16.100000000000005</v>
      </c>
      <c r="D8" s="85" t="s">
        <v>171</v>
      </c>
      <c r="E8" s="97">
        <v>-1.554901960784314</v>
      </c>
      <c r="F8" s="85" t="s">
        <v>172</v>
      </c>
      <c r="G8" s="86">
        <v>2.0204081632653059</v>
      </c>
      <c r="H8" s="85" t="s">
        <v>186</v>
      </c>
      <c r="I8" s="87">
        <v>0.3</v>
      </c>
      <c r="J8" s="85" t="s">
        <v>145</v>
      </c>
      <c r="K8" s="87">
        <v>0.33090024330900242</v>
      </c>
      <c r="L8" s="85" t="s">
        <v>185</v>
      </c>
      <c r="M8" s="88">
        <v>0.26315789473684209</v>
      </c>
      <c r="N8" s="85" t="s">
        <v>145</v>
      </c>
      <c r="O8" s="88">
        <v>0.16666666666666666</v>
      </c>
      <c r="P8" s="85" t="s">
        <v>202</v>
      </c>
      <c r="Q8" s="89">
        <v>8425</v>
      </c>
      <c r="R8" s="85" t="s">
        <v>186</v>
      </c>
      <c r="S8" s="89">
        <v>-7686.95652173913</v>
      </c>
      <c r="T8" s="85" t="s">
        <v>172</v>
      </c>
      <c r="U8" s="87">
        <v>6.1224489795918366E-2</v>
      </c>
      <c r="V8" s="85" t="s">
        <v>173</v>
      </c>
      <c r="W8" s="87">
        <v>5.5555555555555552E-2</v>
      </c>
      <c r="X8" s="85" t="s">
        <v>129</v>
      </c>
      <c r="Y8" s="88">
        <v>0.24919093851132687</v>
      </c>
      <c r="Z8" s="85" t="s">
        <v>145</v>
      </c>
      <c r="AA8" s="88">
        <v>0.21602787456445993</v>
      </c>
      <c r="AB8" s="85" t="s">
        <v>185</v>
      </c>
      <c r="AC8" s="88">
        <v>0.6</v>
      </c>
      <c r="AD8" s="85" t="s">
        <v>145</v>
      </c>
      <c r="AE8" s="88">
        <v>0.38306451612903225</v>
      </c>
      <c r="AF8" s="85" t="s">
        <v>145</v>
      </c>
      <c r="AG8" s="88">
        <v>0.43930635838150289</v>
      </c>
      <c r="AH8" s="85" t="s">
        <v>171</v>
      </c>
      <c r="AI8" s="92">
        <v>91700</v>
      </c>
    </row>
    <row r="9" spans="1:35" x14ac:dyDescent="0.4">
      <c r="A9" s="82">
        <v>7</v>
      </c>
      <c r="B9" s="83" t="s">
        <v>171</v>
      </c>
      <c r="C9" s="84">
        <v>-79.300000000000011</v>
      </c>
      <c r="D9" s="85" t="s">
        <v>202</v>
      </c>
      <c r="E9" s="97">
        <v>-3.2200000000000011</v>
      </c>
      <c r="F9" s="85" t="s">
        <v>173</v>
      </c>
      <c r="G9" s="86">
        <v>2.0555555555555554</v>
      </c>
      <c r="H9" s="85" t="s">
        <v>177</v>
      </c>
      <c r="I9" s="87">
        <v>0.29166666666666669</v>
      </c>
      <c r="J9" s="85" t="s">
        <v>173</v>
      </c>
      <c r="K9" s="87">
        <v>0.33333333333333331</v>
      </c>
      <c r="L9" s="85" t="s">
        <v>177</v>
      </c>
      <c r="M9" s="88">
        <v>0.26262626262626265</v>
      </c>
      <c r="N9" s="85" t="s">
        <v>128</v>
      </c>
      <c r="O9" s="88">
        <v>0.17386091127098321</v>
      </c>
      <c r="P9" s="85" t="s">
        <v>145</v>
      </c>
      <c r="Q9" s="89">
        <v>8387.1868978805396</v>
      </c>
      <c r="R9" s="85" t="s">
        <v>173</v>
      </c>
      <c r="S9" s="89">
        <v>-7866.1016949152545</v>
      </c>
      <c r="T9" s="85" t="s">
        <v>145</v>
      </c>
      <c r="U9" s="87">
        <v>0.10218978102189781</v>
      </c>
      <c r="V9" s="85" t="s">
        <v>129</v>
      </c>
      <c r="W9" s="87">
        <v>5.2631578947368418E-2</v>
      </c>
      <c r="X9" s="85" t="s">
        <v>202</v>
      </c>
      <c r="Y9" s="88">
        <v>0.24</v>
      </c>
      <c r="Z9" s="85" t="s">
        <v>185</v>
      </c>
      <c r="AA9" s="88">
        <v>0.21052631578947367</v>
      </c>
      <c r="AB9" s="85" t="s">
        <v>145</v>
      </c>
      <c r="AC9" s="88">
        <v>0.59179265658747304</v>
      </c>
      <c r="AD9" s="85" t="s">
        <v>171</v>
      </c>
      <c r="AE9" s="88">
        <v>0.34210526315789475</v>
      </c>
      <c r="AF9" s="85" t="s">
        <v>172</v>
      </c>
      <c r="AG9" s="88">
        <v>0.43125000000000002</v>
      </c>
      <c r="AH9" s="85" t="s">
        <v>173</v>
      </c>
      <c r="AI9" s="92">
        <v>85900</v>
      </c>
    </row>
    <row r="10" spans="1:35" x14ac:dyDescent="0.4">
      <c r="A10" s="82">
        <v>8</v>
      </c>
      <c r="B10" s="83" t="s">
        <v>173</v>
      </c>
      <c r="C10" s="84">
        <v>-190.5</v>
      </c>
      <c r="D10" s="85" t="s">
        <v>128</v>
      </c>
      <c r="E10" s="97">
        <v>-3.5101010101010108</v>
      </c>
      <c r="F10" s="85" t="s">
        <v>171</v>
      </c>
      <c r="G10" s="86">
        <v>2.0784313725490198</v>
      </c>
      <c r="H10" s="85" t="s">
        <v>173</v>
      </c>
      <c r="I10" s="87">
        <v>0.27777777777777779</v>
      </c>
      <c r="J10" s="85" t="s">
        <v>171</v>
      </c>
      <c r="K10" s="87">
        <v>0.35294117647058826</v>
      </c>
      <c r="L10" s="85" t="s">
        <v>171</v>
      </c>
      <c r="M10" s="88">
        <v>0.24882629107981222</v>
      </c>
      <c r="N10" s="85" t="s">
        <v>173</v>
      </c>
      <c r="O10" s="88">
        <v>0.18495297805642633</v>
      </c>
      <c r="P10" s="85" t="s">
        <v>185</v>
      </c>
      <c r="Q10" s="89">
        <v>7860</v>
      </c>
      <c r="R10" s="85" t="s">
        <v>127</v>
      </c>
      <c r="S10" s="89">
        <v>-7880.1724137931033</v>
      </c>
      <c r="T10" s="85" t="s">
        <v>173</v>
      </c>
      <c r="U10" s="87">
        <v>0.1111111111111111</v>
      </c>
      <c r="V10" s="85" t="s">
        <v>177</v>
      </c>
      <c r="W10" s="87">
        <v>0</v>
      </c>
      <c r="X10" s="85" t="s">
        <v>173</v>
      </c>
      <c r="Y10" s="88">
        <v>0.23197492163009403</v>
      </c>
      <c r="Z10" s="85" t="s">
        <v>186</v>
      </c>
      <c r="AA10" s="88">
        <v>0.2</v>
      </c>
      <c r="AB10" s="85" t="s">
        <v>202</v>
      </c>
      <c r="AC10" s="88">
        <v>0.58333333333333337</v>
      </c>
      <c r="AD10" s="85" t="s">
        <v>173</v>
      </c>
      <c r="AE10" s="88">
        <v>0.33333333333333331</v>
      </c>
      <c r="AF10" s="85" t="s">
        <v>127</v>
      </c>
      <c r="AG10" s="88">
        <v>0.42857142857142855</v>
      </c>
      <c r="AH10" s="85" t="s">
        <v>177</v>
      </c>
      <c r="AI10" s="92">
        <v>65000</v>
      </c>
    </row>
    <row r="11" spans="1:35" x14ac:dyDescent="0.4">
      <c r="A11" s="82">
        <v>9</v>
      </c>
      <c r="B11" s="83" t="s">
        <v>186</v>
      </c>
      <c r="C11" s="84">
        <v>-197.5</v>
      </c>
      <c r="D11" s="85" t="s">
        <v>173</v>
      </c>
      <c r="E11" s="97">
        <v>-5.291666666666667</v>
      </c>
      <c r="F11" s="85" t="s">
        <v>177</v>
      </c>
      <c r="G11" s="86">
        <v>2.0833333333333335</v>
      </c>
      <c r="H11" s="85" t="s">
        <v>171</v>
      </c>
      <c r="I11" s="87">
        <v>0.27450980392156865</v>
      </c>
      <c r="J11" s="85" t="s">
        <v>128</v>
      </c>
      <c r="K11" s="87">
        <v>0.35353535353535354</v>
      </c>
      <c r="L11" s="85" t="s">
        <v>202</v>
      </c>
      <c r="M11" s="88">
        <v>0.24</v>
      </c>
      <c r="N11" s="85" t="s">
        <v>177</v>
      </c>
      <c r="O11" s="88">
        <v>0.18686868686868688</v>
      </c>
      <c r="P11" s="85" t="s">
        <v>186</v>
      </c>
      <c r="Q11" s="89">
        <v>7365</v>
      </c>
      <c r="R11" s="85" t="s">
        <v>145</v>
      </c>
      <c r="S11" s="89">
        <v>-8019.5121951219517</v>
      </c>
      <c r="T11" s="85" t="s">
        <v>128</v>
      </c>
      <c r="U11" s="87">
        <v>0.13131313131313133</v>
      </c>
      <c r="V11" s="85" t="s">
        <v>186</v>
      </c>
      <c r="W11" s="87">
        <v>0</v>
      </c>
      <c r="X11" s="85" t="s">
        <v>224</v>
      </c>
      <c r="Y11" s="88">
        <v>0.23076923076923078</v>
      </c>
      <c r="Z11" s="85" t="s">
        <v>128</v>
      </c>
      <c r="AA11" s="88">
        <v>0.18705035971223022</v>
      </c>
      <c r="AB11" s="85" t="s">
        <v>171</v>
      </c>
      <c r="AC11" s="88">
        <v>0.57407407407407407</v>
      </c>
      <c r="AD11" s="85" t="s">
        <v>202</v>
      </c>
      <c r="AE11" s="88">
        <v>0.30769230769230771</v>
      </c>
      <c r="AF11" s="85" t="s">
        <v>128</v>
      </c>
      <c r="AG11" s="88">
        <v>0.42857142857142855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177</v>
      </c>
      <c r="C12" s="84">
        <v>-204</v>
      </c>
      <c r="D12" s="85" t="s">
        <v>177</v>
      </c>
      <c r="E12" s="97">
        <v>-8.5</v>
      </c>
      <c r="F12" s="85" t="s">
        <v>128</v>
      </c>
      <c r="G12" s="86">
        <v>2.0909090909090908</v>
      </c>
      <c r="H12" s="85" t="s">
        <v>128</v>
      </c>
      <c r="I12" s="87">
        <v>0.26262626262626265</v>
      </c>
      <c r="J12" s="85" t="s">
        <v>177</v>
      </c>
      <c r="K12" s="87">
        <v>0.375</v>
      </c>
      <c r="L12" s="85" t="s">
        <v>186</v>
      </c>
      <c r="M12" s="88">
        <v>0.23529411764705882</v>
      </c>
      <c r="N12" s="85" t="s">
        <v>129</v>
      </c>
      <c r="O12" s="88">
        <v>0.1941747572815534</v>
      </c>
      <c r="P12" s="85" t="s">
        <v>177</v>
      </c>
      <c r="Q12" s="89">
        <v>7163.4615384615381</v>
      </c>
      <c r="R12" s="85" t="s">
        <v>172</v>
      </c>
      <c r="S12" s="89">
        <v>-9412.5</v>
      </c>
      <c r="T12" s="85" t="s">
        <v>186</v>
      </c>
      <c r="U12" s="87">
        <v>0.2</v>
      </c>
      <c r="V12" s="85" t="s">
        <v>185</v>
      </c>
      <c r="W12" s="87">
        <v>0</v>
      </c>
      <c r="X12" s="85" t="s">
        <v>172</v>
      </c>
      <c r="Y12" s="88">
        <v>0.21911421911421911</v>
      </c>
      <c r="Z12" s="85" t="s">
        <v>171</v>
      </c>
      <c r="AA12" s="88">
        <v>0.17840375586854459</v>
      </c>
      <c r="AB12" s="85" t="s">
        <v>186</v>
      </c>
      <c r="AC12" s="88">
        <v>0.55555555555555558</v>
      </c>
      <c r="AD12" s="85" t="s">
        <v>128</v>
      </c>
      <c r="AE12" s="88">
        <v>0.27564102564102566</v>
      </c>
      <c r="AF12" s="85" t="s">
        <v>171</v>
      </c>
      <c r="AG12" s="88">
        <v>0.3867924528301887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128</v>
      </c>
      <c r="C13" s="84">
        <v>-347.50000000000006</v>
      </c>
      <c r="D13" s="85" t="s">
        <v>186</v>
      </c>
      <c r="E13" s="97">
        <v>-19.75</v>
      </c>
      <c r="F13" s="85" t="s">
        <v>186</v>
      </c>
      <c r="G13" s="86">
        <v>2.2999999999999998</v>
      </c>
      <c r="H13" s="85" t="s">
        <v>202</v>
      </c>
      <c r="I13" s="87">
        <v>0.2</v>
      </c>
      <c r="J13" s="85" t="s">
        <v>129</v>
      </c>
      <c r="K13" s="87">
        <v>0.55263157894736847</v>
      </c>
      <c r="L13" s="85" t="s">
        <v>129</v>
      </c>
      <c r="M13" s="88">
        <v>0.21035598705501618</v>
      </c>
      <c r="N13" s="85" t="s">
        <v>202</v>
      </c>
      <c r="O13" s="88">
        <v>0.2</v>
      </c>
      <c r="P13" s="85" t="s">
        <v>173</v>
      </c>
      <c r="Q13" s="89">
        <v>6919.3877551020405</v>
      </c>
      <c r="R13" s="85" t="s">
        <v>129</v>
      </c>
      <c r="S13" s="89">
        <v>-9846.6666666666661</v>
      </c>
      <c r="T13" s="85" t="s">
        <v>177</v>
      </c>
      <c r="U13" s="87">
        <v>0.20833333333333334</v>
      </c>
      <c r="V13" s="85" t="s">
        <v>202</v>
      </c>
      <c r="W13" s="87">
        <v>0</v>
      </c>
      <c r="X13" s="85" t="s">
        <v>186</v>
      </c>
      <c r="Y13" s="88">
        <v>0.21176470588235294</v>
      </c>
      <c r="Z13" s="85" t="s">
        <v>129</v>
      </c>
      <c r="AA13" s="88">
        <v>0.14563106796116504</v>
      </c>
      <c r="AB13" s="85" t="s">
        <v>129</v>
      </c>
      <c r="AC13" s="88">
        <v>0.50649350649350644</v>
      </c>
      <c r="AD13" s="85" t="s">
        <v>129</v>
      </c>
      <c r="AE13" s="88">
        <v>0.2</v>
      </c>
      <c r="AF13" s="85" t="s">
        <v>177</v>
      </c>
      <c r="AG13" s="88">
        <v>0.38461538461538464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129</v>
      </c>
      <c r="C14" s="84">
        <v>-829.99999999999989</v>
      </c>
      <c r="D14" s="85" t="s">
        <v>129</v>
      </c>
      <c r="E14" s="97">
        <v>-21.84210526315789</v>
      </c>
      <c r="F14" s="85" t="s">
        <v>129</v>
      </c>
      <c r="G14" s="86">
        <v>2.3684210526315788</v>
      </c>
      <c r="H14" s="85" t="s">
        <v>129</v>
      </c>
      <c r="I14" s="87">
        <v>0.18421052631578946</v>
      </c>
      <c r="J14" s="85" t="s">
        <v>186</v>
      </c>
      <c r="K14" s="87">
        <v>0.6</v>
      </c>
      <c r="L14" s="85" t="s">
        <v>224</v>
      </c>
      <c r="M14" s="88">
        <v>0.15384615384615385</v>
      </c>
      <c r="N14" s="85" t="s">
        <v>186</v>
      </c>
      <c r="O14" s="88">
        <v>0.27058823529411763</v>
      </c>
      <c r="P14" s="85" t="s">
        <v>172</v>
      </c>
      <c r="Q14" s="89">
        <v>6588.75</v>
      </c>
      <c r="R14" s="85" t="s">
        <v>224</v>
      </c>
      <c r="S14" s="89">
        <v>-12000</v>
      </c>
      <c r="T14" s="85" t="s">
        <v>129</v>
      </c>
      <c r="U14" s="87">
        <v>0.21052631578947367</v>
      </c>
      <c r="V14" s="85" t="s">
        <v>224</v>
      </c>
      <c r="W14" s="87">
        <v>0</v>
      </c>
      <c r="X14" s="85" t="s">
        <v>177</v>
      </c>
      <c r="Y14" s="88">
        <v>0.20202020202020202</v>
      </c>
      <c r="Z14" s="85" t="s">
        <v>224</v>
      </c>
      <c r="AA14" s="88">
        <v>7.6923076923076927E-2</v>
      </c>
      <c r="AB14" s="85" t="s">
        <v>224</v>
      </c>
      <c r="AC14" s="88">
        <v>0.33333333333333331</v>
      </c>
      <c r="AD14" s="85" t="s">
        <v>224</v>
      </c>
      <c r="AE14" s="88">
        <v>0</v>
      </c>
      <c r="AF14" s="85" t="s">
        <v>185</v>
      </c>
      <c r="AG14" s="88">
        <v>0.2</v>
      </c>
      <c r="AH14" s="85" t="s">
        <v>224</v>
      </c>
      <c r="AI14" s="92">
        <v>48300</v>
      </c>
    </row>
  </sheetData>
  <sortState ref="AH3:AI43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DFCBD-ED2C-401E-A23F-13096ADEC687}">
  <sheetPr codeName="Sheet4"/>
  <dimension ref="A1:Q41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6" t="s">
        <v>145</v>
      </c>
      <c r="C1" s="147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8">
        <v>411</v>
      </c>
      <c r="C2" s="149"/>
      <c r="E2" s="62" t="s">
        <v>67</v>
      </c>
      <c r="F2" s="59" t="s">
        <v>23</v>
      </c>
      <c r="G2" s="46">
        <v>754</v>
      </c>
      <c r="H2" s="132">
        <f>IF(B$17=0,0,G2/B$17)</f>
        <v>0.72639691714836219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-14.705882352941176</v>
      </c>
      <c r="P2" s="118">
        <v>408</v>
      </c>
      <c r="Q2" s="102">
        <v>-6000</v>
      </c>
    </row>
    <row r="3" spans="1:17" x14ac:dyDescent="0.4">
      <c r="A3" s="55" t="s">
        <v>8</v>
      </c>
      <c r="B3" s="150">
        <v>3444</v>
      </c>
      <c r="C3" s="151"/>
      <c r="E3" s="63" t="s">
        <v>73</v>
      </c>
      <c r="F3" s="60" t="s">
        <v>28</v>
      </c>
      <c r="G3" s="47">
        <v>533</v>
      </c>
      <c r="H3" s="133">
        <f>IF(B$17=0,0,G3/B$17)</f>
        <v>0.51348747591522159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-9.8765432098765427</v>
      </c>
      <c r="P3" s="119">
        <v>405</v>
      </c>
      <c r="Q3" s="103">
        <v>-4000</v>
      </c>
    </row>
    <row r="4" spans="1:17" x14ac:dyDescent="0.4">
      <c r="A4" s="55" t="s">
        <v>6</v>
      </c>
      <c r="B4" s="152">
        <v>3.1974423109204508E-14</v>
      </c>
      <c r="C4" s="153"/>
      <c r="E4" s="63" t="s">
        <v>65</v>
      </c>
      <c r="F4" s="60" t="s">
        <v>21</v>
      </c>
      <c r="G4" s="47">
        <v>523</v>
      </c>
      <c r="H4" s="133">
        <f>IF(B$17=0,0,G4/B$17)</f>
        <v>0.5038535645472062</v>
      </c>
      <c r="I4" s="94">
        <v>6</v>
      </c>
      <c r="K4" s="38">
        <v>2</v>
      </c>
      <c r="L4" s="99">
        <v>40.4</v>
      </c>
      <c r="N4" s="115" t="s">
        <v>134</v>
      </c>
      <c r="O4" s="122">
        <f t="shared" si="0"/>
        <v>10.416666666666666</v>
      </c>
      <c r="P4" s="119">
        <v>384</v>
      </c>
      <c r="Q4" s="103">
        <v>4000</v>
      </c>
    </row>
    <row r="5" spans="1:17" x14ac:dyDescent="0.4">
      <c r="A5" s="55" t="s">
        <v>7</v>
      </c>
      <c r="B5" s="154">
        <f>IF(B$2=0,0,B$4/B$2)</f>
        <v>7.77966499007409E-17</v>
      </c>
      <c r="C5" s="155"/>
      <c r="E5" s="63" t="s">
        <v>181</v>
      </c>
      <c r="F5" s="60" t="s">
        <v>182</v>
      </c>
      <c r="G5" s="47">
        <v>419</v>
      </c>
      <c r="H5" s="133">
        <f>IF(B$17=0,0,G5/B$17)</f>
        <v>0.40366088631984587</v>
      </c>
      <c r="I5" s="94">
        <v>5</v>
      </c>
      <c r="K5" s="38">
        <v>3</v>
      </c>
      <c r="L5" s="99">
        <v>0</v>
      </c>
      <c r="N5" s="115" t="s">
        <v>135</v>
      </c>
      <c r="O5" s="122">
        <f t="shared" si="0"/>
        <v>14.245014245014245</v>
      </c>
      <c r="P5" s="119">
        <v>351</v>
      </c>
      <c r="Q5" s="103">
        <v>5000</v>
      </c>
    </row>
    <row r="6" spans="1:17" x14ac:dyDescent="0.4">
      <c r="A6" s="55" t="s">
        <v>1</v>
      </c>
      <c r="B6" s="144">
        <f>IF(B$2=0,0,(B$7*1+B$8*2+B$9*3)/B$2)</f>
        <v>1.9927007299270072</v>
      </c>
      <c r="C6" s="145"/>
      <c r="E6" s="63" t="s">
        <v>69</v>
      </c>
      <c r="F6" s="60" t="s">
        <v>12</v>
      </c>
      <c r="G6" s="47">
        <v>316</v>
      </c>
      <c r="H6" s="133">
        <f>IF(B$17=0,0,G6/B$17)</f>
        <v>0.30443159922928709</v>
      </c>
      <c r="I6" s="94">
        <v>6</v>
      </c>
      <c r="K6" s="38">
        <v>4</v>
      </c>
      <c r="L6" s="99">
        <v>2.2000000000000002</v>
      </c>
      <c r="N6" s="115" t="s">
        <v>136</v>
      </c>
      <c r="O6" s="122">
        <f t="shared" si="0"/>
        <v>-15.723270440251572</v>
      </c>
      <c r="P6" s="119">
        <v>318</v>
      </c>
      <c r="Q6" s="103">
        <v>-5000</v>
      </c>
    </row>
    <row r="7" spans="1:17" x14ac:dyDescent="0.4">
      <c r="A7" s="55" t="s">
        <v>2</v>
      </c>
      <c r="B7" s="47">
        <v>139</v>
      </c>
      <c r="C7" s="39">
        <f>IF(B$2=0,0,B7/B$2)</f>
        <v>0.33819951338199511</v>
      </c>
      <c r="E7" s="63" t="s">
        <v>68</v>
      </c>
      <c r="F7" s="60" t="s">
        <v>24</v>
      </c>
      <c r="G7" s="47">
        <v>304</v>
      </c>
      <c r="H7" s="133">
        <f>IF(B$17=0,0,G7/B$17)</f>
        <v>0.2928709055876686</v>
      </c>
      <c r="I7" s="94">
        <v>8</v>
      </c>
      <c r="K7" s="38">
        <v>5</v>
      </c>
      <c r="L7" s="99">
        <v>-37</v>
      </c>
      <c r="N7" s="116" t="s">
        <v>137</v>
      </c>
      <c r="O7" s="123">
        <f t="shared" si="0"/>
        <v>20.408163265306122</v>
      </c>
      <c r="P7" s="120">
        <v>294</v>
      </c>
      <c r="Q7" s="104">
        <v>6000</v>
      </c>
    </row>
    <row r="8" spans="1:17" x14ac:dyDescent="0.4">
      <c r="A8" s="55" t="s">
        <v>3</v>
      </c>
      <c r="B8" s="47">
        <v>136</v>
      </c>
      <c r="C8" s="39">
        <f>IF(B$2=0,0,B8/B$2)</f>
        <v>0.33090024330900242</v>
      </c>
      <c r="E8" s="63" t="s">
        <v>70</v>
      </c>
      <c r="F8" s="60" t="s">
        <v>25</v>
      </c>
      <c r="G8" s="47">
        <v>192</v>
      </c>
      <c r="H8" s="133">
        <f>IF(B$17=0,0,G8/B$17)</f>
        <v>0.18497109826589594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136</v>
      </c>
      <c r="C9" s="40">
        <f t="shared" ref="C9" si="1">IF(B$2=0,0,B9/B$2)</f>
        <v>0.33090024330900242</v>
      </c>
      <c r="E9" s="63" t="s">
        <v>66</v>
      </c>
      <c r="F9" s="60" t="s">
        <v>22</v>
      </c>
      <c r="G9" s="47">
        <v>130</v>
      </c>
      <c r="H9" s="133">
        <f>IF(B$17=0,0,G9/B$17)</f>
        <v>0.12524084778420039</v>
      </c>
      <c r="I9" s="94">
        <v>4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42</v>
      </c>
      <c r="C10" s="40">
        <f>IF(B$2=0,0,B10/B$2)</f>
        <v>0.10218978102189781</v>
      </c>
      <c r="E10" s="63" t="s">
        <v>90</v>
      </c>
      <c r="F10" s="60" t="s">
        <v>45</v>
      </c>
      <c r="G10" s="47">
        <v>127</v>
      </c>
      <c r="H10" s="133">
        <f>IF(B$17=0,0,G10/B$17)</f>
        <v>0.12235067437379576</v>
      </c>
      <c r="I10" s="94">
        <v>7</v>
      </c>
      <c r="K10" s="38">
        <v>8</v>
      </c>
      <c r="L10" s="99">
        <v>19.699999999999996</v>
      </c>
      <c r="N10" s="114" t="s">
        <v>164</v>
      </c>
      <c r="O10" s="124">
        <f>IF(P10=0,0,Q10/P10)</f>
        <v>-1.6360294117647063</v>
      </c>
      <c r="P10" s="118">
        <v>136</v>
      </c>
      <c r="Q10" s="106">
        <v>-222.50000000000006</v>
      </c>
    </row>
    <row r="11" spans="1:17" x14ac:dyDescent="0.4">
      <c r="A11" s="56" t="s">
        <v>140</v>
      </c>
      <c r="B11" s="48">
        <v>42</v>
      </c>
      <c r="C11" s="40">
        <f>IF(B$2=0,0,B11/B$2)</f>
        <v>0.10218978102189781</v>
      </c>
      <c r="E11" s="63" t="s">
        <v>71</v>
      </c>
      <c r="F11" s="60" t="s">
        <v>26</v>
      </c>
      <c r="G11" s="47">
        <v>111</v>
      </c>
      <c r="H11" s="133">
        <f>IF(B$17=0,0,G11/B$17)</f>
        <v>0.1069364161849711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-2.3588235294117661</v>
      </c>
      <c r="P11" s="119">
        <v>136</v>
      </c>
      <c r="Q11" s="107">
        <v>-320.80000000000018</v>
      </c>
    </row>
    <row r="12" spans="1:17" x14ac:dyDescent="0.4">
      <c r="A12" s="57" t="s">
        <v>160</v>
      </c>
      <c r="B12" s="49">
        <v>37</v>
      </c>
      <c r="C12" s="42">
        <f>IF(B$2=0,0,B12/B$2)</f>
        <v>9.002433090024331E-2</v>
      </c>
      <c r="E12" s="63" t="s">
        <v>72</v>
      </c>
      <c r="F12" s="60" t="s">
        <v>27</v>
      </c>
      <c r="G12" s="47">
        <v>64</v>
      </c>
      <c r="H12" s="133">
        <f>IF(B$17=0,0,G12/B$17)</f>
        <v>6.1657032755298651E-2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3.9948529411764704</v>
      </c>
      <c r="P12" s="120">
        <v>136</v>
      </c>
      <c r="Q12" s="108">
        <v>543.29999999999995</v>
      </c>
    </row>
    <row r="13" spans="1:17" x14ac:dyDescent="0.4">
      <c r="A13" s="58" t="s">
        <v>122</v>
      </c>
      <c r="B13" s="50">
        <v>926</v>
      </c>
      <c r="C13" s="44">
        <f>IF(B$3=0,0,B13/B$3)</f>
        <v>0.26887340301974449</v>
      </c>
      <c r="E13" s="63" t="s">
        <v>87</v>
      </c>
      <c r="F13" s="60" t="s">
        <v>42</v>
      </c>
      <c r="G13" s="47">
        <v>57</v>
      </c>
      <c r="H13" s="133">
        <f>IF(B$17=0,0,G13/B$17)</f>
        <v>5.4913294797687862E-2</v>
      </c>
      <c r="I13" s="94">
        <v>5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744</v>
      </c>
      <c r="C14" s="39">
        <f>IF(B$3=0,0,B14/B$3)</f>
        <v>0.21602787456445993</v>
      </c>
      <c r="E14" s="63" t="s">
        <v>84</v>
      </c>
      <c r="F14" s="60" t="s">
        <v>39</v>
      </c>
      <c r="G14" s="47">
        <v>46</v>
      </c>
      <c r="H14" s="133">
        <f>IF(B$17=0,0,G14/B$17)</f>
        <v>4.4315992292870907E-2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548</v>
      </c>
      <c r="C15" s="37">
        <f>IF(B$13=0,0,B15/B$13)</f>
        <v>0.59179265658747304</v>
      </c>
      <c r="E15" s="63" t="s">
        <v>82</v>
      </c>
      <c r="F15" s="60" t="s">
        <v>37</v>
      </c>
      <c r="G15" s="47">
        <v>33</v>
      </c>
      <c r="H15" s="133">
        <f>IF(B$17=0,0,G15/B$17)</f>
        <v>3.1791907514450865E-2</v>
      </c>
      <c r="I15" s="94">
        <v>7</v>
      </c>
      <c r="K15" s="38">
        <v>13</v>
      </c>
      <c r="L15" s="99">
        <v>-42.100000000000009</v>
      </c>
      <c r="N15" s="114" t="s">
        <v>129</v>
      </c>
      <c r="O15" s="124">
        <f>IF(P15=0,0,Q15/P15)</f>
        <v>32.763157894736842</v>
      </c>
      <c r="P15" s="118">
        <v>76</v>
      </c>
      <c r="Q15" s="106">
        <v>2490</v>
      </c>
    </row>
    <row r="16" spans="1:17" x14ac:dyDescent="0.4">
      <c r="A16" s="54" t="s">
        <v>125</v>
      </c>
      <c r="B16" s="46">
        <v>285</v>
      </c>
      <c r="C16" s="37">
        <f>IF(B$14=0,0,B16/B$14)</f>
        <v>0.38306451612903225</v>
      </c>
      <c r="E16" s="63" t="s">
        <v>79</v>
      </c>
      <c r="F16" s="60" t="s">
        <v>34</v>
      </c>
      <c r="G16" s="47">
        <v>19</v>
      </c>
      <c r="H16" s="133">
        <f>IF(B$17=0,0,G16/B$17)</f>
        <v>1.8304431599229287E-2</v>
      </c>
      <c r="I16" s="94">
        <v>5</v>
      </c>
      <c r="K16" s="38">
        <v>14</v>
      </c>
      <c r="L16" s="99">
        <v>18.79999999999999</v>
      </c>
      <c r="N16" s="115" t="s">
        <v>186</v>
      </c>
      <c r="O16" s="125">
        <f>IF(P16=0,0,Q16/P16)</f>
        <v>29.625</v>
      </c>
      <c r="P16" s="119">
        <v>20</v>
      </c>
      <c r="Q16" s="107">
        <v>592.5</v>
      </c>
    </row>
    <row r="17" spans="1:17" x14ac:dyDescent="0.4">
      <c r="A17" s="54" t="s">
        <v>10</v>
      </c>
      <c r="B17" s="46">
        <f>B19+B18</f>
        <v>1038</v>
      </c>
      <c r="C17" s="37">
        <f>IF(B$3=0,0,B17/B$3)</f>
        <v>0.30139372822299654</v>
      </c>
      <c r="E17" s="63" t="s">
        <v>92</v>
      </c>
      <c r="F17" s="60" t="s">
        <v>47</v>
      </c>
      <c r="G17" s="47">
        <v>17</v>
      </c>
      <c r="H17" s="133">
        <f>IF(B$17=0,0,G17/B$17)</f>
        <v>1.6377649325626204E-2</v>
      </c>
      <c r="I17" s="94">
        <v>3</v>
      </c>
      <c r="K17" s="38">
        <v>15</v>
      </c>
      <c r="L17" s="99">
        <v>-1.0658141036401503E-14</v>
      </c>
      <c r="N17" s="115" t="s">
        <v>177</v>
      </c>
      <c r="O17" s="125">
        <f>IF(P17=0,0,Q17/P17)</f>
        <v>12.749999999999995</v>
      </c>
      <c r="P17" s="119">
        <v>48</v>
      </c>
      <c r="Q17" s="107">
        <v>611.99999999999977</v>
      </c>
    </row>
    <row r="18" spans="1:17" x14ac:dyDescent="0.4">
      <c r="A18" s="55" t="s">
        <v>12</v>
      </c>
      <c r="B18" s="47">
        <v>456</v>
      </c>
      <c r="C18" s="39">
        <f>IF(B$17=0,0,B18/B$17)</f>
        <v>0.43930635838150289</v>
      </c>
      <c r="E18" s="63" t="s">
        <v>180</v>
      </c>
      <c r="F18" s="60" t="s">
        <v>183</v>
      </c>
      <c r="G18" s="47">
        <v>16</v>
      </c>
      <c r="H18" s="133">
        <f>IF(B$17=0,0,G18/B$17)</f>
        <v>1.5414258188824663E-2</v>
      </c>
      <c r="I18" s="94">
        <v>4</v>
      </c>
      <c r="K18" s="38">
        <v>16</v>
      </c>
      <c r="L18" s="99">
        <v>90.899999999999991</v>
      </c>
      <c r="N18" s="115" t="s">
        <v>173</v>
      </c>
      <c r="O18" s="125">
        <f>IF(P18=0,0,Q18/P18)</f>
        <v>7.9374999999999982</v>
      </c>
      <c r="P18" s="119">
        <v>72</v>
      </c>
      <c r="Q18" s="107">
        <v>571.49999999999989</v>
      </c>
    </row>
    <row r="19" spans="1:17" x14ac:dyDescent="0.4">
      <c r="A19" s="55" t="s">
        <v>11</v>
      </c>
      <c r="B19" s="47">
        <v>582</v>
      </c>
      <c r="C19" s="39">
        <f>IF(B$17=0,0,B19/B$17)</f>
        <v>0.56069364161849711</v>
      </c>
      <c r="E19" s="63" t="s">
        <v>80</v>
      </c>
      <c r="F19" s="60" t="s">
        <v>35</v>
      </c>
      <c r="G19" s="47">
        <v>15</v>
      </c>
      <c r="H19" s="133">
        <f>IF(B$17=0,0,G19/B$17)</f>
        <v>1.4450867052023121E-2</v>
      </c>
      <c r="I19" s="94">
        <v>5</v>
      </c>
      <c r="K19" s="38">
        <v>17</v>
      </c>
      <c r="L19" s="99">
        <v>8.2999999999999972</v>
      </c>
      <c r="N19" s="115" t="s">
        <v>128</v>
      </c>
      <c r="O19" s="125">
        <f>IF(P19=0,0,Q19/P19)</f>
        <v>5.2651515151515156</v>
      </c>
      <c r="P19" s="119">
        <v>198</v>
      </c>
      <c r="Q19" s="107">
        <v>1042.5</v>
      </c>
    </row>
    <row r="20" spans="1:17" x14ac:dyDescent="0.4">
      <c r="A20" s="55" t="s">
        <v>13</v>
      </c>
      <c r="B20" s="47">
        <v>574</v>
      </c>
      <c r="C20" s="39">
        <f>IF(B$3=0,0,B20/B$3)</f>
        <v>0.16666666666666666</v>
      </c>
      <c r="E20" s="63" t="s">
        <v>76</v>
      </c>
      <c r="F20" s="60" t="s">
        <v>31</v>
      </c>
      <c r="G20" s="47">
        <v>7</v>
      </c>
      <c r="H20" s="133">
        <f>IF(B$17=0,0,G20/B$17)</f>
        <v>6.7437379576107898E-3</v>
      </c>
      <c r="I20" s="94">
        <v>5</v>
      </c>
      <c r="K20" s="38">
        <v>18</v>
      </c>
      <c r="L20" s="99">
        <v>-3.5527136788005009E-15</v>
      </c>
      <c r="N20" s="115" t="s">
        <v>202</v>
      </c>
      <c r="O20" s="125">
        <f>IF(P20=0,0,Q20/P20)</f>
        <v>4.8299999999999983</v>
      </c>
      <c r="P20" s="119">
        <v>10</v>
      </c>
      <c r="Q20" s="107">
        <v>48.299999999999983</v>
      </c>
    </row>
    <row r="21" spans="1:17" x14ac:dyDescent="0.4">
      <c r="A21" s="55" t="s">
        <v>193</v>
      </c>
      <c r="B21" s="47">
        <v>7</v>
      </c>
      <c r="C21" s="135">
        <v>1</v>
      </c>
      <c r="E21" s="63" t="s">
        <v>74</v>
      </c>
      <c r="F21" s="60" t="s">
        <v>29</v>
      </c>
      <c r="G21" s="47">
        <v>6</v>
      </c>
      <c r="H21" s="133">
        <f>IF(B$17=0,0,G21/B$17)</f>
        <v>5.7803468208092483E-3</v>
      </c>
      <c r="I21" s="94">
        <v>4</v>
      </c>
      <c r="K21" s="38">
        <v>19</v>
      </c>
      <c r="L21" s="99">
        <v>30.999999999999996</v>
      </c>
      <c r="N21" s="115" t="s">
        <v>171</v>
      </c>
      <c r="O21" s="125">
        <f>IF(P21=0,0,Q21/P21)</f>
        <v>2.3323529411764725</v>
      </c>
      <c r="P21" s="119">
        <v>102</v>
      </c>
      <c r="Q21" s="107">
        <v>237.9000000000002</v>
      </c>
    </row>
    <row r="22" spans="1:17" x14ac:dyDescent="0.4">
      <c r="A22" s="55" t="s">
        <v>194</v>
      </c>
      <c r="B22" s="47">
        <v>31</v>
      </c>
      <c r="C22" s="135">
        <v>5</v>
      </c>
      <c r="E22" s="63" t="s">
        <v>93</v>
      </c>
      <c r="F22" s="60" t="s">
        <v>48</v>
      </c>
      <c r="G22" s="47">
        <v>4</v>
      </c>
      <c r="H22" s="133">
        <f>IF(B$17=0,0,G22/B$17)</f>
        <v>3.8535645472061657E-3</v>
      </c>
      <c r="I22" s="94">
        <v>3</v>
      </c>
      <c r="K22" s="38">
        <v>20</v>
      </c>
      <c r="L22" s="99">
        <v>0.79999999999999716</v>
      </c>
      <c r="N22" s="115" t="s">
        <v>172</v>
      </c>
      <c r="O22" s="125">
        <f>IF(P22=0,0,Q22/P22)</f>
        <v>-3.4591836734693895</v>
      </c>
      <c r="P22" s="119">
        <v>98</v>
      </c>
      <c r="Q22" s="107">
        <v>-339.00000000000017</v>
      </c>
    </row>
    <row r="23" spans="1:17" x14ac:dyDescent="0.4">
      <c r="A23" s="55" t="s">
        <v>5</v>
      </c>
      <c r="B23" s="51">
        <f>IF(B$17=0,0,C23/B$17)</f>
        <v>8387.1868978805396</v>
      </c>
      <c r="C23" s="41">
        <v>8705900</v>
      </c>
      <c r="E23" s="63" t="s">
        <v>75</v>
      </c>
      <c r="F23" s="60" t="s">
        <v>30</v>
      </c>
      <c r="G23" s="47">
        <v>3</v>
      </c>
      <c r="H23" s="133">
        <f>IF(B$17=0,0,G23/B$17)</f>
        <v>2.8901734104046241E-3</v>
      </c>
      <c r="I23" s="94">
        <v>3</v>
      </c>
      <c r="K23" s="38">
        <v>21</v>
      </c>
      <c r="L23" s="99">
        <v>-2.886579864025407E-15</v>
      </c>
      <c r="N23" s="115" t="s">
        <v>224</v>
      </c>
      <c r="O23" s="125">
        <f>IF(P23=0,0,Q23/P23)</f>
        <v>-9.9750000000000014</v>
      </c>
      <c r="P23" s="119">
        <v>4</v>
      </c>
      <c r="Q23" s="107">
        <v>-39.900000000000006</v>
      </c>
    </row>
    <row r="24" spans="1:17" x14ac:dyDescent="0.4">
      <c r="A24" s="57" t="s">
        <v>14</v>
      </c>
      <c r="B24" s="52">
        <f>IF(B$20=0,0,C24/B$20)</f>
        <v>-8019.5121951219517</v>
      </c>
      <c r="C24" s="45">
        <v>-4603200</v>
      </c>
      <c r="E24" s="63" t="s">
        <v>78</v>
      </c>
      <c r="F24" s="60" t="s">
        <v>33</v>
      </c>
      <c r="G24" s="47">
        <v>3</v>
      </c>
      <c r="H24" s="133">
        <f>IF(B$17=0,0,G24/B$17)</f>
        <v>2.8901734104046241E-3</v>
      </c>
      <c r="I24" s="94">
        <v>4</v>
      </c>
      <c r="K24" s="38">
        <v>22</v>
      </c>
      <c r="L24" s="99">
        <v>23.699999999999996</v>
      </c>
      <c r="N24" s="115" t="s">
        <v>127</v>
      </c>
      <c r="O24" s="125">
        <f>IF(P24=0,0,Q24/P24)</f>
        <v>-26.7702127659574</v>
      </c>
      <c r="P24" s="119">
        <v>188</v>
      </c>
      <c r="Q24" s="107">
        <v>-5032.7999999999911</v>
      </c>
    </row>
    <row r="25" spans="1:17" x14ac:dyDescent="0.4">
      <c r="A25" s="90" t="s">
        <v>142</v>
      </c>
      <c r="B25" s="142">
        <v>7</v>
      </c>
      <c r="C25" s="143"/>
      <c r="E25" s="63" t="s">
        <v>88</v>
      </c>
      <c r="F25" s="60" t="s">
        <v>43</v>
      </c>
      <c r="G25" s="47">
        <v>3</v>
      </c>
      <c r="H25" s="133">
        <f>IF(B$17=0,0,G25/B$17)</f>
        <v>2.8901734104046241E-3</v>
      </c>
      <c r="I25" s="94">
        <v>4</v>
      </c>
      <c r="K25" s="38">
        <v>23</v>
      </c>
      <c r="L25" s="99">
        <v>26.299999999999997</v>
      </c>
      <c r="N25" s="115" t="s">
        <v>185</v>
      </c>
      <c r="O25" s="125">
        <f>IF(P25=0,0,Q25/P25)</f>
        <v>-30.5</v>
      </c>
      <c r="P25" s="119">
        <v>6</v>
      </c>
      <c r="Q25" s="107">
        <v>-183</v>
      </c>
    </row>
    <row r="26" spans="1:17" x14ac:dyDescent="0.4">
      <c r="A26" s="58" t="s">
        <v>152</v>
      </c>
      <c r="B26" s="140">
        <v>116000</v>
      </c>
      <c r="C26" s="141"/>
      <c r="E26" s="63" t="s">
        <v>94</v>
      </c>
      <c r="F26" s="60" t="s">
        <v>49</v>
      </c>
      <c r="G26" s="47">
        <v>3</v>
      </c>
      <c r="H26" s="133">
        <f>IF(B$17=0,0,G26/B$17)</f>
        <v>2.8901734104046241E-3</v>
      </c>
      <c r="I26" s="94">
        <v>4</v>
      </c>
      <c r="K26" s="38">
        <v>24</v>
      </c>
      <c r="L26" s="99">
        <v>-3.5527136788005009E-15</v>
      </c>
    </row>
    <row r="27" spans="1:17" x14ac:dyDescent="0.4">
      <c r="A27" s="57" t="s">
        <v>143</v>
      </c>
      <c r="B27" s="65">
        <v>10</v>
      </c>
      <c r="C27" s="42">
        <f>IF(B$3=0,0,B27/B$3)</f>
        <v>2.9036004645760743E-3</v>
      </c>
      <c r="E27" s="63" t="s">
        <v>89</v>
      </c>
      <c r="F27" s="60" t="s">
        <v>44</v>
      </c>
      <c r="G27" s="47">
        <v>2</v>
      </c>
      <c r="H27" s="133">
        <f>IF(B$17=0,0,G27/B$17)</f>
        <v>1.9267822736030828E-3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96</v>
      </c>
      <c r="F28" s="60" t="s">
        <v>51</v>
      </c>
      <c r="G28" s="47">
        <v>2</v>
      </c>
      <c r="H28" s="133">
        <f>IF(B$17=0,0,G28/B$17)</f>
        <v>1.9267822736030828E-3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85</v>
      </c>
      <c r="F29" s="60" t="s">
        <v>40</v>
      </c>
      <c r="G29" s="47">
        <v>1</v>
      </c>
      <c r="H29" s="133">
        <f>IF(B$17=0,0,G29/B$17)</f>
        <v>9.6339113680154141E-4</v>
      </c>
      <c r="I29" s="94">
        <v>2</v>
      </c>
      <c r="K29" s="38">
        <v>27</v>
      </c>
      <c r="L29" s="99">
        <v>-1.3322676295501878E-15</v>
      </c>
    </row>
    <row r="30" spans="1:17" x14ac:dyDescent="0.4">
      <c r="E30" s="63" t="s">
        <v>86</v>
      </c>
      <c r="F30" s="60" t="s">
        <v>41</v>
      </c>
      <c r="G30" s="47">
        <v>1</v>
      </c>
      <c r="H30" s="133">
        <f>IF(B$17=0,0,G30/B$17)</f>
        <v>9.6339113680154141E-4</v>
      </c>
      <c r="I30" s="94">
        <v>2</v>
      </c>
      <c r="K30" s="38">
        <v>28</v>
      </c>
      <c r="L30" s="99">
        <v>-58.3</v>
      </c>
    </row>
    <row r="31" spans="1:17" x14ac:dyDescent="0.4">
      <c r="E31" s="63" t="s">
        <v>91</v>
      </c>
      <c r="F31" s="60" t="s">
        <v>46</v>
      </c>
      <c r="G31" s="47">
        <v>1</v>
      </c>
      <c r="H31" s="133">
        <f>IF(B$17=0,0,G31/B$17)</f>
        <v>9.6339113680154141E-4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3.1974423109204508E-14</v>
      </c>
    </row>
    <row r="412" spans="11:12" x14ac:dyDescent="0.4">
      <c r="K412" s="38">
        <v>410</v>
      </c>
      <c r="L412" s="99">
        <v>3.1974423109204508E-14</v>
      </c>
    </row>
    <row r="413" spans="11:12" x14ac:dyDescent="0.4">
      <c r="K413" s="38">
        <v>411</v>
      </c>
      <c r="L413" s="99">
        <v>3.1974423109204508E-14</v>
      </c>
    </row>
  </sheetData>
  <sortState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DA43-6A54-4153-91BB-7A5E464E7E14}">
  <sheetPr codeName="Sheet7"/>
  <dimension ref="A1:Q9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6" t="s">
        <v>127</v>
      </c>
      <c r="C1" s="147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8">
        <v>94</v>
      </c>
      <c r="C2" s="149"/>
      <c r="E2" s="62" t="s">
        <v>67</v>
      </c>
      <c r="F2" s="59" t="s">
        <v>23</v>
      </c>
      <c r="G2" s="46">
        <v>206</v>
      </c>
      <c r="H2" s="132">
        <f>IF(B$17=0,0,G2/B$17)</f>
        <v>0.71777003484320556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2616.1290322580644</v>
      </c>
      <c r="P2" s="118">
        <v>93</v>
      </c>
      <c r="Q2" s="102">
        <v>243300</v>
      </c>
    </row>
    <row r="3" spans="1:17" x14ac:dyDescent="0.4">
      <c r="A3" s="55" t="s">
        <v>8</v>
      </c>
      <c r="B3" s="150">
        <v>762</v>
      </c>
      <c r="C3" s="151"/>
      <c r="E3" s="63" t="s">
        <v>73</v>
      </c>
      <c r="F3" s="60" t="s">
        <v>28</v>
      </c>
      <c r="G3" s="47">
        <v>154</v>
      </c>
      <c r="H3" s="133">
        <f>IF(B$17=0,0,G3/B$17)</f>
        <v>0.53658536585365857</v>
      </c>
      <c r="I3" s="94">
        <v>6</v>
      </c>
      <c r="K3" s="38">
        <v>1</v>
      </c>
      <c r="L3" s="99">
        <v>-5.0999999999999996</v>
      </c>
      <c r="N3" s="115" t="s">
        <v>133</v>
      </c>
      <c r="O3" s="122">
        <f t="shared" si="0"/>
        <v>2681.521739130435</v>
      </c>
      <c r="P3" s="119">
        <v>92</v>
      </c>
      <c r="Q3" s="103">
        <v>246700</v>
      </c>
    </row>
    <row r="4" spans="1:17" x14ac:dyDescent="0.4">
      <c r="A4" s="55" t="s">
        <v>6</v>
      </c>
      <c r="B4" s="152">
        <v>1677.6000000000013</v>
      </c>
      <c r="C4" s="153"/>
      <c r="E4" s="63" t="s">
        <v>65</v>
      </c>
      <c r="F4" s="60" t="s">
        <v>21</v>
      </c>
      <c r="G4" s="47">
        <v>142</v>
      </c>
      <c r="H4" s="133">
        <f>IF(B$17=0,0,G4/B$17)</f>
        <v>0.49477351916376305</v>
      </c>
      <c r="I4" s="94">
        <v>10</v>
      </c>
      <c r="K4" s="38">
        <v>2</v>
      </c>
      <c r="L4" s="99">
        <v>-2.8999999999999995</v>
      </c>
      <c r="N4" s="115" t="s">
        <v>134</v>
      </c>
      <c r="O4" s="122">
        <f t="shared" si="0"/>
        <v>2807.9545454545455</v>
      </c>
      <c r="P4" s="119">
        <v>88</v>
      </c>
      <c r="Q4" s="103">
        <v>247100</v>
      </c>
    </row>
    <row r="5" spans="1:17" x14ac:dyDescent="0.4">
      <c r="A5" s="55" t="s">
        <v>7</v>
      </c>
      <c r="B5" s="154">
        <f>IF(B$2=0,0,B$4/B$2)</f>
        <v>17.846808510638311</v>
      </c>
      <c r="C5" s="155"/>
      <c r="E5" s="63" t="s">
        <v>181</v>
      </c>
      <c r="F5" s="60" t="s">
        <v>182</v>
      </c>
      <c r="G5" s="47">
        <v>126</v>
      </c>
      <c r="H5" s="133">
        <f>IF(B$17=0,0,G5/B$17)</f>
        <v>0.43902439024390244</v>
      </c>
      <c r="I5" s="94">
        <v>2</v>
      </c>
      <c r="K5" s="38">
        <v>3</v>
      </c>
      <c r="L5" s="99">
        <v>70.399999999999991</v>
      </c>
      <c r="N5" s="115" t="s">
        <v>135</v>
      </c>
      <c r="O5" s="122">
        <f t="shared" si="0"/>
        <v>2644.4444444444443</v>
      </c>
      <c r="P5" s="119">
        <v>81</v>
      </c>
      <c r="Q5" s="103">
        <v>214200</v>
      </c>
    </row>
    <row r="6" spans="1:17" x14ac:dyDescent="0.4">
      <c r="A6" s="55" t="s">
        <v>1</v>
      </c>
      <c r="B6" s="144">
        <f>IF(B$2=0,0,(B$7*1+B$8*2+B$9*3)/B$2)</f>
        <v>1.6276595744680851</v>
      </c>
      <c r="C6" s="145"/>
      <c r="E6" s="63" t="s">
        <v>68</v>
      </c>
      <c r="F6" s="60" t="s">
        <v>24</v>
      </c>
      <c r="G6" s="47">
        <v>89</v>
      </c>
      <c r="H6" s="133">
        <f>IF(B$17=0,0,G6/B$17)</f>
        <v>0.31010452961672474</v>
      </c>
      <c r="I6" s="94">
        <v>6</v>
      </c>
      <c r="K6" s="38">
        <v>4</v>
      </c>
      <c r="L6" s="99">
        <v>110.5</v>
      </c>
      <c r="N6" s="115" t="s">
        <v>136</v>
      </c>
      <c r="O6" s="122">
        <f t="shared" si="0"/>
        <v>-83.098591549295776</v>
      </c>
      <c r="P6" s="119">
        <v>71</v>
      </c>
      <c r="Q6" s="103">
        <v>-5900</v>
      </c>
    </row>
    <row r="7" spans="1:17" x14ac:dyDescent="0.4">
      <c r="A7" s="55" t="s">
        <v>2</v>
      </c>
      <c r="B7" s="47">
        <v>53</v>
      </c>
      <c r="C7" s="39">
        <f>IF(B$2=0,0,B7/B$2)</f>
        <v>0.56382978723404253</v>
      </c>
      <c r="E7" s="63" t="s">
        <v>69</v>
      </c>
      <c r="F7" s="60" t="s">
        <v>12</v>
      </c>
      <c r="G7" s="47">
        <v>77</v>
      </c>
      <c r="H7" s="133">
        <f>IF(B$17=0,0,G7/B$17)</f>
        <v>0.26829268292682928</v>
      </c>
      <c r="I7" s="94">
        <v>10</v>
      </c>
      <c r="K7" s="38">
        <v>5</v>
      </c>
      <c r="L7" s="99">
        <v>201.4</v>
      </c>
      <c r="N7" s="116" t="s">
        <v>137</v>
      </c>
      <c r="O7" s="123">
        <f t="shared" si="0"/>
        <v>884.61538461538464</v>
      </c>
      <c r="P7" s="120">
        <v>65</v>
      </c>
      <c r="Q7" s="104">
        <v>57500</v>
      </c>
    </row>
    <row r="8" spans="1:17" x14ac:dyDescent="0.4">
      <c r="A8" s="55" t="s">
        <v>3</v>
      </c>
      <c r="B8" s="47">
        <v>23</v>
      </c>
      <c r="C8" s="39">
        <f>IF(B$2=0,0,B8/B$2)</f>
        <v>0.24468085106382978</v>
      </c>
      <c r="E8" s="63" t="s">
        <v>70</v>
      </c>
      <c r="F8" s="60" t="s">
        <v>25</v>
      </c>
      <c r="G8" s="47">
        <v>53</v>
      </c>
      <c r="H8" s="133">
        <f>IF(B$17=0,0,G8/B$17)</f>
        <v>0.18466898954703834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18</v>
      </c>
      <c r="C9" s="40">
        <f t="shared" ref="C9" si="1">IF(B$2=0,0,B9/B$2)</f>
        <v>0.19148936170212766</v>
      </c>
      <c r="E9" s="63" t="s">
        <v>90</v>
      </c>
      <c r="F9" s="60" t="s">
        <v>45</v>
      </c>
      <c r="G9" s="47">
        <v>47</v>
      </c>
      <c r="H9" s="133">
        <f>IF(B$17=0,0,G9/B$17)</f>
        <v>0.16376306620209058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5.3191489361702128E-2</v>
      </c>
      <c r="E10" s="63" t="s">
        <v>66</v>
      </c>
      <c r="F10" s="60" t="s">
        <v>22</v>
      </c>
      <c r="G10" s="47">
        <v>44</v>
      </c>
      <c r="H10" s="133">
        <f>IF(B$17=0,0,G10/B$17)</f>
        <v>0.15331010452961671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23.522222222222222</v>
      </c>
      <c r="P10" s="118">
        <v>27</v>
      </c>
      <c r="Q10" s="106">
        <v>635.1</v>
      </c>
    </row>
    <row r="11" spans="1:17" x14ac:dyDescent="0.4">
      <c r="A11" s="56" t="s">
        <v>140</v>
      </c>
      <c r="B11" s="48">
        <v>18</v>
      </c>
      <c r="C11" s="40">
        <f>IF(B$2=0,0,B11/B$2)</f>
        <v>0.19148936170212766</v>
      </c>
      <c r="E11" s="63" t="s">
        <v>71</v>
      </c>
      <c r="F11" s="60" t="s">
        <v>26</v>
      </c>
      <c r="G11" s="47">
        <v>30</v>
      </c>
      <c r="H11" s="133">
        <f>IF(B$17=0,0,G11/B$17)</f>
        <v>0.10452961672473868</v>
      </c>
      <c r="I11" s="94">
        <v>6</v>
      </c>
      <c r="K11" s="38">
        <v>9</v>
      </c>
      <c r="L11" s="99">
        <v>277.90000000000003</v>
      </c>
      <c r="N11" s="115" t="s">
        <v>165</v>
      </c>
      <c r="O11" s="125">
        <f>IF(P11=0,0,Q11/P11)</f>
        <v>11.32413793103448</v>
      </c>
      <c r="P11" s="119">
        <v>29</v>
      </c>
      <c r="Q11" s="107">
        <v>328.39999999999992</v>
      </c>
    </row>
    <row r="12" spans="1:17" x14ac:dyDescent="0.4">
      <c r="A12" s="57" t="s">
        <v>160</v>
      </c>
      <c r="B12" s="49">
        <v>17</v>
      </c>
      <c r="C12" s="42">
        <f>IF(B$2=0,0,B12/B$2)</f>
        <v>0.18085106382978725</v>
      </c>
      <c r="E12" s="63" t="s">
        <v>87</v>
      </c>
      <c r="F12" s="60" t="s">
        <v>42</v>
      </c>
      <c r="G12" s="47">
        <v>21</v>
      </c>
      <c r="H12" s="133">
        <f>IF(B$17=0,0,G12/B$17)</f>
        <v>7.3170731707317069E-2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19.300000000000004</v>
      </c>
      <c r="P12" s="120">
        <v>37</v>
      </c>
      <c r="Q12" s="108">
        <v>714.10000000000014</v>
      </c>
    </row>
    <row r="13" spans="1:17" x14ac:dyDescent="0.4">
      <c r="A13" s="58" t="s">
        <v>122</v>
      </c>
      <c r="B13" s="50">
        <v>252</v>
      </c>
      <c r="C13" s="44">
        <f>IF(B$3=0,0,B13/B$3)</f>
        <v>0.33070866141732286</v>
      </c>
      <c r="E13" s="63" t="s">
        <v>72</v>
      </c>
      <c r="F13" s="60" t="s">
        <v>27</v>
      </c>
      <c r="G13" s="47">
        <v>18</v>
      </c>
      <c r="H13" s="133">
        <f>IF(B$17=0,0,G13/B$17)</f>
        <v>6.2717770034843204E-2</v>
      </c>
      <c r="I13" s="94">
        <v>4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174</v>
      </c>
      <c r="C14" s="39">
        <f>IF(B$3=0,0,B14/B$3)</f>
        <v>0.2283464566929134</v>
      </c>
      <c r="E14" s="63" t="s">
        <v>84</v>
      </c>
      <c r="F14" s="60" t="s">
        <v>39</v>
      </c>
      <c r="G14" s="47">
        <v>15</v>
      </c>
      <c r="H14" s="133">
        <f>IF(B$17=0,0,G14/B$17)</f>
        <v>5.2264808362369339E-2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153</v>
      </c>
      <c r="C15" s="37">
        <f>IF(B$13=0,0,B15/B$13)</f>
        <v>0.6071428571428571</v>
      </c>
      <c r="E15" s="63" t="s">
        <v>82</v>
      </c>
      <c r="F15" s="60" t="s">
        <v>37</v>
      </c>
      <c r="G15" s="47">
        <v>10</v>
      </c>
      <c r="H15" s="133">
        <f>IF(B$17=0,0,G15/B$17)</f>
        <v>3.484320557491289E-2</v>
      </c>
      <c r="I15" s="94">
        <v>5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91</v>
      </c>
      <c r="C16" s="37">
        <f>IF(B$14=0,0,B16/B$14)</f>
        <v>0.52298850574712641</v>
      </c>
      <c r="E16" s="63" t="s">
        <v>180</v>
      </c>
      <c r="F16" s="60" t="s">
        <v>183</v>
      </c>
      <c r="G16" s="47">
        <v>9</v>
      </c>
      <c r="H16" s="133">
        <f>IF(B$17=0,0,G16/B$17)</f>
        <v>3.1358885017421602E-2</v>
      </c>
      <c r="I16" s="94">
        <v>1</v>
      </c>
      <c r="K16" s="38">
        <v>14</v>
      </c>
      <c r="L16" s="99">
        <v>473.50000000000006</v>
      </c>
      <c r="N16" s="115" t="s">
        <v>129</v>
      </c>
      <c r="O16" s="125">
        <f>IF(P16=0,0,Q16/P16)</f>
        <v>56.752173913043499</v>
      </c>
      <c r="P16" s="119">
        <v>23</v>
      </c>
      <c r="Q16" s="107">
        <v>1305.3000000000004</v>
      </c>
    </row>
    <row r="17" spans="1:17" x14ac:dyDescent="0.4">
      <c r="A17" s="54" t="s">
        <v>10</v>
      </c>
      <c r="B17" s="46">
        <f>B19+B18</f>
        <v>287</v>
      </c>
      <c r="C17" s="37">
        <f>IF(B$3=0,0,B17/B$3)</f>
        <v>0.37664041994750658</v>
      </c>
      <c r="E17" s="63" t="s">
        <v>79</v>
      </c>
      <c r="F17" s="60" t="s">
        <v>34</v>
      </c>
      <c r="G17" s="47">
        <v>5</v>
      </c>
      <c r="H17" s="133">
        <f>IF(B$17=0,0,G17/B$17)</f>
        <v>1.7421602787456445E-2</v>
      </c>
      <c r="I17" s="94">
        <v>6</v>
      </c>
      <c r="K17" s="38">
        <v>15</v>
      </c>
      <c r="L17" s="99">
        <v>481.50000000000006</v>
      </c>
      <c r="N17" s="115" t="s">
        <v>186</v>
      </c>
      <c r="O17" s="125">
        <f>IF(P17=0,0,Q17/P17)</f>
        <v>42.43333333333333</v>
      </c>
      <c r="P17" s="119">
        <v>6</v>
      </c>
      <c r="Q17" s="107">
        <v>254.59999999999997</v>
      </c>
    </row>
    <row r="18" spans="1:17" x14ac:dyDescent="0.4">
      <c r="A18" s="55" t="s">
        <v>12</v>
      </c>
      <c r="B18" s="47">
        <v>123</v>
      </c>
      <c r="C18" s="39">
        <f>IF(B$17=0,0,B18/B$17)</f>
        <v>0.42857142857142855</v>
      </c>
      <c r="E18" s="63" t="s">
        <v>80</v>
      </c>
      <c r="F18" s="60" t="s">
        <v>35</v>
      </c>
      <c r="G18" s="47">
        <v>4</v>
      </c>
      <c r="H18" s="133">
        <f>IF(B$17=0,0,G18/B$17)</f>
        <v>1.3937282229965157E-2</v>
      </c>
      <c r="I18" s="94">
        <v>6</v>
      </c>
      <c r="K18" s="38">
        <v>16</v>
      </c>
      <c r="L18" s="99">
        <v>425.50000000000006</v>
      </c>
      <c r="N18" s="115" t="s">
        <v>177</v>
      </c>
      <c r="O18" s="125">
        <f>IF(P18=0,0,Q18/P18)</f>
        <v>41.15</v>
      </c>
      <c r="P18" s="119">
        <v>10</v>
      </c>
      <c r="Q18" s="107">
        <v>411.5</v>
      </c>
    </row>
    <row r="19" spans="1:17" x14ac:dyDescent="0.4">
      <c r="A19" s="55" t="s">
        <v>11</v>
      </c>
      <c r="B19" s="47">
        <v>164</v>
      </c>
      <c r="C19" s="39">
        <f>IF(B$17=0,0,B19/B$17)</f>
        <v>0.5714285714285714</v>
      </c>
      <c r="E19" s="63" t="s">
        <v>92</v>
      </c>
      <c r="F19" s="60" t="s">
        <v>47</v>
      </c>
      <c r="G19" s="47">
        <v>4</v>
      </c>
      <c r="H19" s="133">
        <f>IF(B$17=0,0,G19/B$17)</f>
        <v>1.3937282229965157E-2</v>
      </c>
      <c r="I19" s="94">
        <v>5</v>
      </c>
      <c r="K19" s="38">
        <v>17</v>
      </c>
      <c r="L19" s="99">
        <v>427.40000000000003</v>
      </c>
      <c r="N19" s="115" t="s">
        <v>173</v>
      </c>
      <c r="O19" s="125">
        <f>IF(P19=0,0,Q19/P19)</f>
        <v>23.644444444444442</v>
      </c>
      <c r="P19" s="119">
        <v>18</v>
      </c>
      <c r="Q19" s="107">
        <v>425.59999999999997</v>
      </c>
    </row>
    <row r="20" spans="1:17" x14ac:dyDescent="0.4">
      <c r="A20" s="55" t="s">
        <v>13</v>
      </c>
      <c r="B20" s="47">
        <v>116</v>
      </c>
      <c r="C20" s="39">
        <f>IF(B$3=0,0,B20/B$3)</f>
        <v>0.15223097112860892</v>
      </c>
      <c r="E20" s="63" t="s">
        <v>74</v>
      </c>
      <c r="F20" s="60" t="s">
        <v>29</v>
      </c>
      <c r="G20" s="47">
        <v>2</v>
      </c>
      <c r="H20" s="133">
        <f>IF(B$17=0,0,G20/B$17)</f>
        <v>6.9686411149825784E-3</v>
      </c>
      <c r="I20" s="94">
        <v>3</v>
      </c>
      <c r="K20" s="38">
        <v>18</v>
      </c>
      <c r="L20" s="99">
        <v>429.3</v>
      </c>
      <c r="N20" s="115" t="s">
        <v>202</v>
      </c>
      <c r="O20" s="125">
        <f>IF(P20=0,0,Q20/P20)</f>
        <v>23.1</v>
      </c>
      <c r="P20" s="119">
        <v>1</v>
      </c>
      <c r="Q20" s="107">
        <v>23.1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3.4843205574912892E-3</v>
      </c>
      <c r="I21" s="94">
        <v>6</v>
      </c>
      <c r="K21" s="38">
        <v>19</v>
      </c>
      <c r="L21" s="99">
        <v>405.40000000000003</v>
      </c>
      <c r="N21" s="115" t="s">
        <v>128</v>
      </c>
      <c r="O21" s="125">
        <f>IF(P21=0,0,Q21/P21)</f>
        <v>19.888405797101459</v>
      </c>
      <c r="P21" s="119">
        <v>69</v>
      </c>
      <c r="Q21" s="107">
        <v>1372.3000000000006</v>
      </c>
    </row>
    <row r="22" spans="1:17" x14ac:dyDescent="0.4">
      <c r="A22" s="55" t="s">
        <v>194</v>
      </c>
      <c r="B22" s="47">
        <v>27</v>
      </c>
      <c r="C22" s="135">
        <v>9</v>
      </c>
      <c r="E22" s="63" t="s">
        <v>78</v>
      </c>
      <c r="F22" s="60" t="s">
        <v>33</v>
      </c>
      <c r="G22" s="47">
        <v>1</v>
      </c>
      <c r="H22" s="133">
        <f>IF(B$17=0,0,G22/B$17)</f>
        <v>3.4843205574912892E-3</v>
      </c>
      <c r="I22" s="94">
        <v>3</v>
      </c>
      <c r="K22" s="38">
        <v>20</v>
      </c>
      <c r="L22" s="99">
        <v>469.6</v>
      </c>
      <c r="N22" s="115" t="s">
        <v>171</v>
      </c>
      <c r="O22" s="125">
        <f>IF(P22=0,0,Q22/P22)</f>
        <v>19.735483870967737</v>
      </c>
      <c r="P22" s="119">
        <v>31</v>
      </c>
      <c r="Q22" s="107">
        <v>611.79999999999984</v>
      </c>
    </row>
    <row r="23" spans="1:17" x14ac:dyDescent="0.4">
      <c r="A23" s="55" t="s">
        <v>5</v>
      </c>
      <c r="B23" s="51">
        <f>IF(B$17=0,0,C23/B$17)</f>
        <v>9144.5993031358885</v>
      </c>
      <c r="C23" s="41">
        <v>2624500</v>
      </c>
      <c r="E23" s="63" t="s">
        <v>88</v>
      </c>
      <c r="F23" s="60" t="s">
        <v>43</v>
      </c>
      <c r="G23" s="47">
        <v>1</v>
      </c>
      <c r="H23" s="133">
        <f>IF(B$17=0,0,G23/B$17)</f>
        <v>3.4843205574912892E-3</v>
      </c>
      <c r="I23" s="94">
        <v>3</v>
      </c>
      <c r="K23" s="38">
        <v>21</v>
      </c>
      <c r="L23" s="99">
        <v>468.3</v>
      </c>
      <c r="N23" s="115" t="s">
        <v>172</v>
      </c>
      <c r="O23" s="125">
        <f>IF(P23=0,0,Q23/P23)</f>
        <v>19.622222222222224</v>
      </c>
      <c r="P23" s="119">
        <v>27</v>
      </c>
      <c r="Q23" s="107">
        <v>529.80000000000007</v>
      </c>
    </row>
    <row r="24" spans="1:17" x14ac:dyDescent="0.4">
      <c r="A24" s="57" t="s">
        <v>14</v>
      </c>
      <c r="B24" s="52">
        <f>IF(B$20=0,0,C24/B$20)</f>
        <v>-7880.1724137931033</v>
      </c>
      <c r="C24" s="45">
        <v>-914100</v>
      </c>
      <c r="E24" s="63" t="s">
        <v>91</v>
      </c>
      <c r="F24" s="60" t="s">
        <v>46</v>
      </c>
      <c r="G24" s="47">
        <v>1</v>
      </c>
      <c r="H24" s="133">
        <f>IF(B$17=0,0,G24/B$17)</f>
        <v>3.4843205574912892E-3</v>
      </c>
      <c r="I24" s="94">
        <v>1</v>
      </c>
      <c r="K24" s="38">
        <v>22</v>
      </c>
      <c r="L24" s="99">
        <v>519.20000000000005</v>
      </c>
      <c r="N24" s="115" t="s">
        <v>224</v>
      </c>
      <c r="O24" s="125">
        <f>IF(P24=0,0,Q24/P24)</f>
        <v>14.799999999999999</v>
      </c>
      <c r="P24" s="119">
        <v>2</v>
      </c>
      <c r="Q24" s="107">
        <v>29.599999999999998</v>
      </c>
    </row>
    <row r="25" spans="1:17" x14ac:dyDescent="0.4">
      <c r="A25" s="90" t="s">
        <v>142</v>
      </c>
      <c r="B25" s="142">
        <v>7</v>
      </c>
      <c r="C25" s="143"/>
      <c r="E25" s="63" t="s">
        <v>93</v>
      </c>
      <c r="F25" s="60" t="s">
        <v>48</v>
      </c>
      <c r="G25" s="47">
        <v>1</v>
      </c>
      <c r="H25" s="133">
        <f>IF(B$17=0,0,G25/B$17)</f>
        <v>3.4843205574912892E-3</v>
      </c>
      <c r="I25" s="94">
        <v>4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40">
        <v>116000</v>
      </c>
      <c r="C26" s="141"/>
      <c r="E26" s="63" t="s">
        <v>94</v>
      </c>
      <c r="F26" s="60" t="s">
        <v>49</v>
      </c>
      <c r="G26" s="47">
        <v>1</v>
      </c>
      <c r="H26" s="133">
        <f>IF(B$17=0,0,G26/B$17)</f>
        <v>3.4843205574912892E-3</v>
      </c>
      <c r="I26" s="94">
        <v>3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96</v>
      </c>
      <c r="F27" s="60" t="s">
        <v>51</v>
      </c>
      <c r="G27" s="47">
        <v>1</v>
      </c>
      <c r="H27" s="133">
        <f>IF(B$17=0,0,G27/B$17)</f>
        <v>3.4843205574912892E-3</v>
      </c>
      <c r="I27" s="94">
        <v>2</v>
      </c>
      <c r="K27" s="38">
        <v>25</v>
      </c>
      <c r="L27" s="99">
        <v>655.20000000000005</v>
      </c>
    </row>
    <row r="28" spans="1:17" x14ac:dyDescent="0.4">
      <c r="E28" s="63" t="s">
        <v>75</v>
      </c>
      <c r="F28" s="60" t="s">
        <v>30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625.40000000000009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596.30000000000007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655.6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85</v>
      </c>
      <c r="F32" s="60" t="s">
        <v>40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733.6</v>
      </c>
    </row>
    <row r="33" spans="5:12" x14ac:dyDescent="0.4">
      <c r="E33" s="63" t="s">
        <v>86</v>
      </c>
      <c r="F33" s="60" t="s">
        <v>41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1677.6000000000013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0061C-DD39-4B74-836A-1E15D6181904}">
  <sheetPr codeName="Sheet9"/>
  <dimension ref="A1:Q10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6" t="s">
        <v>128</v>
      </c>
      <c r="C1" s="147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8">
        <v>99</v>
      </c>
      <c r="C2" s="149"/>
      <c r="E2" s="62" t="s">
        <v>67</v>
      </c>
      <c r="F2" s="59" t="s">
        <v>23</v>
      </c>
      <c r="G2" s="46">
        <v>174</v>
      </c>
      <c r="H2" s="132">
        <f>IF(B$17=0,0,G2/B$17)</f>
        <v>0.75324675324675328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513.13131313131316</v>
      </c>
      <c r="P2" s="118">
        <v>99</v>
      </c>
      <c r="Q2" s="102">
        <v>50800</v>
      </c>
    </row>
    <row r="3" spans="1:17" x14ac:dyDescent="0.4">
      <c r="A3" s="55" t="s">
        <v>8</v>
      </c>
      <c r="B3" s="150">
        <v>834</v>
      </c>
      <c r="C3" s="151"/>
      <c r="E3" s="63" t="s">
        <v>65</v>
      </c>
      <c r="F3" s="60" t="s">
        <v>21</v>
      </c>
      <c r="G3" s="47">
        <v>138</v>
      </c>
      <c r="H3" s="133">
        <f>IF(B$17=0,0,G3/B$17)</f>
        <v>0.59740259740259738</v>
      </c>
      <c r="I3" s="94">
        <v>2</v>
      </c>
      <c r="K3" s="38">
        <v>1</v>
      </c>
      <c r="L3" s="99">
        <v>45.5</v>
      </c>
      <c r="N3" s="115" t="s">
        <v>133</v>
      </c>
      <c r="O3" s="122">
        <f t="shared" si="0"/>
        <v>-2293.8775510204082</v>
      </c>
      <c r="P3" s="119">
        <v>98</v>
      </c>
      <c r="Q3" s="103">
        <v>-224800</v>
      </c>
    </row>
    <row r="4" spans="1:17" x14ac:dyDescent="0.4">
      <c r="A4" s="55" t="s">
        <v>6</v>
      </c>
      <c r="B4" s="152">
        <v>-347.50000000000006</v>
      </c>
      <c r="C4" s="153"/>
      <c r="E4" s="63" t="s">
        <v>73</v>
      </c>
      <c r="F4" s="60" t="s">
        <v>28</v>
      </c>
      <c r="G4" s="47">
        <v>104</v>
      </c>
      <c r="H4" s="133">
        <f>IF(B$17=0,0,G4/B$17)</f>
        <v>0.45021645021645024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-867.36842105263156</v>
      </c>
      <c r="P4" s="119">
        <v>95</v>
      </c>
      <c r="Q4" s="103">
        <v>-82400</v>
      </c>
    </row>
    <row r="5" spans="1:17" x14ac:dyDescent="0.4">
      <c r="A5" s="55" t="s">
        <v>7</v>
      </c>
      <c r="B5" s="154">
        <f>IF(B$2=0,0,B$4/B$2)</f>
        <v>-3.5101010101010108</v>
      </c>
      <c r="C5" s="155"/>
      <c r="E5" s="63" t="s">
        <v>181</v>
      </c>
      <c r="F5" s="60" t="s">
        <v>182</v>
      </c>
      <c r="G5" s="47">
        <v>100</v>
      </c>
      <c r="H5" s="133">
        <f>IF(B$17=0,0,G5/B$17)</f>
        <v>0.4329004329004329</v>
      </c>
      <c r="I5" s="94">
        <v>3</v>
      </c>
      <c r="K5" s="38">
        <v>3</v>
      </c>
      <c r="L5" s="99">
        <v>-47.300000000000004</v>
      </c>
      <c r="N5" s="115" t="s">
        <v>135</v>
      </c>
      <c r="O5" s="122">
        <f t="shared" si="0"/>
        <v>647.67441860465112</v>
      </c>
      <c r="P5" s="119">
        <v>86</v>
      </c>
      <c r="Q5" s="103">
        <v>55700</v>
      </c>
    </row>
    <row r="6" spans="1:17" x14ac:dyDescent="0.4">
      <c r="A6" s="55" t="s">
        <v>1</v>
      </c>
      <c r="B6" s="144">
        <f>IF(B$2=0,0,(B$7*1+B$8*2+B$9*3)/B$2)</f>
        <v>2.0909090909090908</v>
      </c>
      <c r="C6" s="145"/>
      <c r="E6" s="63" t="s">
        <v>68</v>
      </c>
      <c r="F6" s="60" t="s">
        <v>24</v>
      </c>
      <c r="G6" s="47">
        <v>81</v>
      </c>
      <c r="H6" s="133">
        <f>IF(B$17=0,0,G6/B$17)</f>
        <v>0.35064935064935066</v>
      </c>
      <c r="I6" s="94">
        <v>5</v>
      </c>
      <c r="K6" s="38">
        <v>4</v>
      </c>
      <c r="L6" s="99">
        <v>13.599999999999994</v>
      </c>
      <c r="N6" s="115" t="s">
        <v>136</v>
      </c>
      <c r="O6" s="122">
        <f t="shared" si="0"/>
        <v>133.33333333333334</v>
      </c>
      <c r="P6" s="119">
        <v>78</v>
      </c>
      <c r="Q6" s="103">
        <v>10400</v>
      </c>
    </row>
    <row r="7" spans="1:17" x14ac:dyDescent="0.4">
      <c r="A7" s="55" t="s">
        <v>2</v>
      </c>
      <c r="B7" s="47">
        <v>26</v>
      </c>
      <c r="C7" s="39">
        <f>IF(B$2=0,0,B7/B$2)</f>
        <v>0.26262626262626265</v>
      </c>
      <c r="E7" s="63" t="s">
        <v>69</v>
      </c>
      <c r="F7" s="60" t="s">
        <v>12</v>
      </c>
      <c r="G7" s="47">
        <v>78</v>
      </c>
      <c r="H7" s="133">
        <f>IF(B$17=0,0,G7/B$17)</f>
        <v>0.33766233766233766</v>
      </c>
      <c r="I7" s="94">
        <v>5</v>
      </c>
      <c r="K7" s="38">
        <v>5</v>
      </c>
      <c r="L7" s="99">
        <v>-16.600000000000005</v>
      </c>
      <c r="N7" s="116" t="s">
        <v>137</v>
      </c>
      <c r="O7" s="123">
        <f t="shared" si="0"/>
        <v>312.32876712328766</v>
      </c>
      <c r="P7" s="120">
        <v>73</v>
      </c>
      <c r="Q7" s="104">
        <v>22800</v>
      </c>
    </row>
    <row r="8" spans="1:17" x14ac:dyDescent="0.4">
      <c r="A8" s="55" t="s">
        <v>3</v>
      </c>
      <c r="B8" s="47">
        <v>38</v>
      </c>
      <c r="C8" s="39">
        <f>IF(B$2=0,0,B8/B$2)</f>
        <v>0.38383838383838381</v>
      </c>
      <c r="E8" s="63" t="s">
        <v>70</v>
      </c>
      <c r="F8" s="60" t="s">
        <v>25</v>
      </c>
      <c r="G8" s="47">
        <v>53</v>
      </c>
      <c r="H8" s="133">
        <f>IF(B$17=0,0,G8/B$17)</f>
        <v>0.22943722943722944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35</v>
      </c>
      <c r="C9" s="40">
        <f t="shared" ref="C9" si="1">IF(B$2=0,0,B9/B$2)</f>
        <v>0.35353535353535354</v>
      </c>
      <c r="E9" s="63" t="s">
        <v>66</v>
      </c>
      <c r="F9" s="60" t="s">
        <v>22</v>
      </c>
      <c r="G9" s="47">
        <v>38</v>
      </c>
      <c r="H9" s="133">
        <f>IF(B$17=0,0,G9/B$17)</f>
        <v>0.16450216450216451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13</v>
      </c>
      <c r="C10" s="40">
        <f>IF(B$2=0,0,B10/B$2)</f>
        <v>0.13131313131313133</v>
      </c>
      <c r="E10" s="63" t="s">
        <v>71</v>
      </c>
      <c r="F10" s="60" t="s">
        <v>26</v>
      </c>
      <c r="G10" s="47">
        <v>28</v>
      </c>
      <c r="H10" s="133">
        <f>IF(B$17=0,0,G10/B$17)</f>
        <v>0.12121212121212122</v>
      </c>
      <c r="I10" s="94">
        <v>4</v>
      </c>
      <c r="K10" s="38">
        <v>8</v>
      </c>
      <c r="L10" s="99">
        <v>-49.6</v>
      </c>
      <c r="N10" s="114" t="s">
        <v>164</v>
      </c>
      <c r="O10" s="124">
        <f>IF(P10=0,0,Q10/P10)</f>
        <v>-4.8735849056603788</v>
      </c>
      <c r="P10" s="118">
        <v>53</v>
      </c>
      <c r="Q10" s="106">
        <v>-258.30000000000007</v>
      </c>
    </row>
    <row r="11" spans="1:17" x14ac:dyDescent="0.4">
      <c r="A11" s="56" t="s">
        <v>140</v>
      </c>
      <c r="B11" s="48">
        <v>8</v>
      </c>
      <c r="C11" s="40">
        <f>IF(B$2=0,0,B11/B$2)</f>
        <v>8.0808080808080815E-2</v>
      </c>
      <c r="E11" s="63" t="s">
        <v>90</v>
      </c>
      <c r="F11" s="60" t="s">
        <v>45</v>
      </c>
      <c r="G11" s="47">
        <v>21</v>
      </c>
      <c r="H11" s="133">
        <f>IF(B$17=0,0,G11/B$17)</f>
        <v>9.0909090909090912E-2</v>
      </c>
      <c r="I11" s="94">
        <v>10</v>
      </c>
      <c r="K11" s="38">
        <v>9</v>
      </c>
      <c r="L11" s="99">
        <v>-79.5</v>
      </c>
      <c r="N11" s="115" t="s">
        <v>165</v>
      </c>
      <c r="O11" s="125">
        <f>IF(P11=0,0,Q11/P11)</f>
        <v>-8.1363636363636331</v>
      </c>
      <c r="P11" s="119">
        <v>22</v>
      </c>
      <c r="Q11" s="107">
        <v>-178.99999999999994</v>
      </c>
    </row>
    <row r="12" spans="1:17" x14ac:dyDescent="0.4">
      <c r="A12" s="57" t="s">
        <v>160</v>
      </c>
      <c r="B12" s="49">
        <v>7</v>
      </c>
      <c r="C12" s="42">
        <f>IF(B$2=0,0,B12/B$2)</f>
        <v>7.0707070707070704E-2</v>
      </c>
      <c r="E12" s="63" t="s">
        <v>72</v>
      </c>
      <c r="F12" s="60" t="s">
        <v>27</v>
      </c>
      <c r="G12" s="47">
        <v>12</v>
      </c>
      <c r="H12" s="133">
        <f>IF(B$17=0,0,G12/B$17)</f>
        <v>5.1948051948051951E-2</v>
      </c>
      <c r="I12" s="94">
        <v>8</v>
      </c>
      <c r="K12" s="38">
        <v>10</v>
      </c>
      <c r="L12" s="99">
        <v>-80.900000000000006</v>
      </c>
      <c r="N12" s="116" t="s">
        <v>166</v>
      </c>
      <c r="O12" s="126">
        <f>IF(P12=0,0,Q12/P12)</f>
        <v>3.7416666666666667</v>
      </c>
      <c r="P12" s="120">
        <v>24</v>
      </c>
      <c r="Q12" s="108">
        <v>89.8</v>
      </c>
    </row>
    <row r="13" spans="1:17" x14ac:dyDescent="0.4">
      <c r="A13" s="58" t="s">
        <v>122</v>
      </c>
      <c r="B13" s="50">
        <v>243</v>
      </c>
      <c r="C13" s="44">
        <f>IF(B$3=0,0,B13/B$3)</f>
        <v>0.29136690647482016</v>
      </c>
      <c r="E13" s="63" t="s">
        <v>87</v>
      </c>
      <c r="F13" s="60" t="s">
        <v>42</v>
      </c>
      <c r="G13" s="47">
        <v>12</v>
      </c>
      <c r="H13" s="133">
        <f>IF(B$17=0,0,G13/B$17)</f>
        <v>5.1948051948051951E-2</v>
      </c>
      <c r="I13" s="94">
        <v>6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156</v>
      </c>
      <c r="C14" s="39">
        <f>IF(B$3=0,0,B14/B$3)</f>
        <v>0.18705035971223022</v>
      </c>
      <c r="E14" s="63" t="s">
        <v>82</v>
      </c>
      <c r="F14" s="60" t="s">
        <v>37</v>
      </c>
      <c r="G14" s="47">
        <v>8</v>
      </c>
      <c r="H14" s="133">
        <f>IF(B$17=0,0,G14/B$17)</f>
        <v>3.4632034632034632E-2</v>
      </c>
      <c r="I14" s="94">
        <v>6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146</v>
      </c>
      <c r="C15" s="37">
        <f>IF(B$13=0,0,B15/B$13)</f>
        <v>0.60082304526748975</v>
      </c>
      <c r="E15" s="63" t="s">
        <v>84</v>
      </c>
      <c r="F15" s="60" t="s">
        <v>39</v>
      </c>
      <c r="G15" s="47">
        <v>7</v>
      </c>
      <c r="H15" s="133">
        <f>IF(B$17=0,0,G15/B$17)</f>
        <v>3.0303030303030304E-2</v>
      </c>
      <c r="I15" s="94">
        <v>7</v>
      </c>
      <c r="K15" s="38">
        <v>13</v>
      </c>
      <c r="L15" s="99">
        <v>-81.900000000000006</v>
      </c>
      <c r="N15" s="114" t="s">
        <v>202</v>
      </c>
      <c r="O15" s="124">
        <f>IF(P15=0,0,Q15/P15)</f>
        <v>25</v>
      </c>
      <c r="P15" s="118">
        <v>1</v>
      </c>
      <c r="Q15" s="106">
        <v>25</v>
      </c>
    </row>
    <row r="16" spans="1:17" x14ac:dyDescent="0.4">
      <c r="A16" s="54" t="s">
        <v>125</v>
      </c>
      <c r="B16" s="46">
        <v>43</v>
      </c>
      <c r="C16" s="37">
        <f>IF(B$14=0,0,B16/B$14)</f>
        <v>0.27564102564102566</v>
      </c>
      <c r="E16" s="63" t="s">
        <v>92</v>
      </c>
      <c r="F16" s="60" t="s">
        <v>47</v>
      </c>
      <c r="G16" s="47">
        <v>6</v>
      </c>
      <c r="H16" s="133">
        <f>IF(B$17=0,0,G16/B$17)</f>
        <v>2.5974025974025976E-2</v>
      </c>
      <c r="I16" s="94">
        <v>2</v>
      </c>
      <c r="K16" s="38">
        <v>14</v>
      </c>
      <c r="L16" s="99">
        <v>-25.600000000000009</v>
      </c>
      <c r="N16" s="115" t="s">
        <v>186</v>
      </c>
      <c r="O16" s="125">
        <f>IF(P16=0,0,Q16/P16)</f>
        <v>22.250000000000004</v>
      </c>
      <c r="P16" s="119">
        <v>6</v>
      </c>
      <c r="Q16" s="107">
        <v>133.50000000000003</v>
      </c>
    </row>
    <row r="17" spans="1:17" x14ac:dyDescent="0.4">
      <c r="A17" s="54" t="s">
        <v>10</v>
      </c>
      <c r="B17" s="46">
        <f>B19+B18</f>
        <v>231</v>
      </c>
      <c r="C17" s="37">
        <f>IF(B$3=0,0,B17/B$3)</f>
        <v>0.27697841726618705</v>
      </c>
      <c r="E17" s="63" t="s">
        <v>80</v>
      </c>
      <c r="F17" s="60" t="s">
        <v>35</v>
      </c>
      <c r="G17" s="47">
        <v>4</v>
      </c>
      <c r="H17" s="133">
        <f>IF(B$17=0,0,G17/B$17)</f>
        <v>1.7316017316017316E-2</v>
      </c>
      <c r="I17" s="94">
        <v>3</v>
      </c>
      <c r="K17" s="38">
        <v>15</v>
      </c>
      <c r="L17" s="99">
        <v>47.999999999999986</v>
      </c>
      <c r="N17" s="115" t="s">
        <v>129</v>
      </c>
      <c r="O17" s="125">
        <f>IF(P17=0,0,Q17/P17)</f>
        <v>6.103703703703701</v>
      </c>
      <c r="P17" s="119">
        <v>27</v>
      </c>
      <c r="Q17" s="107">
        <v>164.79999999999993</v>
      </c>
    </row>
    <row r="18" spans="1:17" x14ac:dyDescent="0.4">
      <c r="A18" s="55" t="s">
        <v>12</v>
      </c>
      <c r="B18" s="47">
        <v>99</v>
      </c>
      <c r="C18" s="39">
        <f>IF(B$17=0,0,B18/B$17)</f>
        <v>0.42857142857142855</v>
      </c>
      <c r="E18" s="63" t="s">
        <v>180</v>
      </c>
      <c r="F18" s="60" t="s">
        <v>183</v>
      </c>
      <c r="G18" s="47">
        <v>4</v>
      </c>
      <c r="H18" s="133">
        <f>IF(B$17=0,0,G18/B$17)</f>
        <v>1.7316017316017316E-2</v>
      </c>
      <c r="I18" s="94">
        <v>3</v>
      </c>
      <c r="K18" s="38">
        <v>16</v>
      </c>
      <c r="L18" s="99">
        <v>41.699999999999989</v>
      </c>
      <c r="N18" s="115" t="s">
        <v>177</v>
      </c>
      <c r="O18" s="125">
        <f>IF(P18=0,0,Q18/P18)</f>
        <v>2.4333333333333331</v>
      </c>
      <c r="P18" s="119">
        <v>18</v>
      </c>
      <c r="Q18" s="107">
        <v>43.8</v>
      </c>
    </row>
    <row r="19" spans="1:17" x14ac:dyDescent="0.4">
      <c r="A19" s="55" t="s">
        <v>11</v>
      </c>
      <c r="B19" s="47">
        <v>132</v>
      </c>
      <c r="C19" s="39">
        <f>IF(B$17=0,0,B19/B$17)</f>
        <v>0.5714285714285714</v>
      </c>
      <c r="E19" s="63" t="s">
        <v>75</v>
      </c>
      <c r="F19" s="60" t="s">
        <v>30</v>
      </c>
      <c r="G19" s="47">
        <v>2</v>
      </c>
      <c r="H19" s="133">
        <f>IF(B$17=0,0,G19/B$17)</f>
        <v>8.658008658008658E-3</v>
      </c>
      <c r="I19" s="94">
        <v>2</v>
      </c>
      <c r="K19" s="38">
        <v>17</v>
      </c>
      <c r="L19" s="99">
        <v>94.6</v>
      </c>
      <c r="N19" s="115" t="s">
        <v>171</v>
      </c>
      <c r="O19" s="125">
        <f>IF(P19=0,0,Q19/P19)</f>
        <v>0.86428571428572132</v>
      </c>
      <c r="P19" s="119">
        <v>28</v>
      </c>
      <c r="Q19" s="107">
        <v>24.200000000000198</v>
      </c>
    </row>
    <row r="20" spans="1:17" x14ac:dyDescent="0.4">
      <c r="A20" s="55" t="s">
        <v>13</v>
      </c>
      <c r="B20" s="47">
        <v>145</v>
      </c>
      <c r="C20" s="39">
        <f>IF(B$3=0,0,B20/B$3)</f>
        <v>0.17386091127098321</v>
      </c>
      <c r="E20" s="63" t="s">
        <v>76</v>
      </c>
      <c r="F20" s="60" t="s">
        <v>31</v>
      </c>
      <c r="G20" s="47">
        <v>2</v>
      </c>
      <c r="H20" s="133">
        <f>IF(B$17=0,0,G20/B$17)</f>
        <v>8.658008658008658E-3</v>
      </c>
      <c r="I20" s="94">
        <v>4</v>
      </c>
      <c r="K20" s="38">
        <v>18</v>
      </c>
      <c r="L20" s="99">
        <v>116.69999999999999</v>
      </c>
      <c r="N20" s="115" t="s">
        <v>172</v>
      </c>
      <c r="O20" s="125">
        <f>IF(P20=0,0,Q20/P20)</f>
        <v>0.41379310344827686</v>
      </c>
      <c r="P20" s="119">
        <v>29</v>
      </c>
      <c r="Q20" s="107">
        <v>12.000000000000028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79</v>
      </c>
      <c r="F21" s="60" t="s">
        <v>34</v>
      </c>
      <c r="G21" s="47">
        <v>2</v>
      </c>
      <c r="H21" s="133">
        <f>IF(B$17=0,0,G21/B$17)</f>
        <v>8.658008658008658E-3</v>
      </c>
      <c r="I21" s="94">
        <v>9</v>
      </c>
      <c r="K21" s="38">
        <v>19</v>
      </c>
      <c r="L21" s="99">
        <v>138.79999999999998</v>
      </c>
      <c r="N21" s="115" t="s">
        <v>173</v>
      </c>
      <c r="O21" s="125">
        <f>IF(P21=0,0,Q21/P21)</f>
        <v>-3.6750000000000007</v>
      </c>
      <c r="P21" s="119">
        <v>20</v>
      </c>
      <c r="Q21" s="107">
        <v>-73.500000000000014</v>
      </c>
    </row>
    <row r="22" spans="1:17" x14ac:dyDescent="0.4">
      <c r="A22" s="55" t="s">
        <v>194</v>
      </c>
      <c r="B22" s="47">
        <v>24</v>
      </c>
      <c r="C22" s="135">
        <v>6</v>
      </c>
      <c r="E22" s="63" t="s">
        <v>74</v>
      </c>
      <c r="F22" s="60" t="s">
        <v>29</v>
      </c>
      <c r="G22" s="47">
        <v>1</v>
      </c>
      <c r="H22" s="133">
        <f>IF(B$17=0,0,G22/B$17)</f>
        <v>4.329004329004329E-3</v>
      </c>
      <c r="I22" s="94">
        <v>5</v>
      </c>
      <c r="K22" s="38">
        <v>20</v>
      </c>
      <c r="L22" s="99">
        <v>164.49999999999997</v>
      </c>
      <c r="N22" s="115" t="s">
        <v>127</v>
      </c>
      <c r="O22" s="125">
        <f>IF(P22=0,0,Q22/P22)</f>
        <v>-19.888405797101459</v>
      </c>
      <c r="P22" s="119">
        <v>69</v>
      </c>
      <c r="Q22" s="107">
        <v>-1372.3000000000006</v>
      </c>
    </row>
    <row r="23" spans="1:17" x14ac:dyDescent="0.4">
      <c r="A23" s="55" t="s">
        <v>5</v>
      </c>
      <c r="B23" s="51">
        <f>IF(B$17=0,0,C23/B$17)</f>
        <v>9155.8441558441555</v>
      </c>
      <c r="C23" s="41">
        <v>2115000</v>
      </c>
      <c r="E23" s="63" t="s">
        <v>78</v>
      </c>
      <c r="F23" s="60" t="s">
        <v>33</v>
      </c>
      <c r="G23" s="47">
        <v>1</v>
      </c>
      <c r="H23" s="133">
        <f>IF(B$17=0,0,G23/B$17)</f>
        <v>4.329004329004329E-3</v>
      </c>
      <c r="I23" s="94">
        <v>2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-7666.2068965517237</v>
      </c>
      <c r="C24" s="45">
        <v>-1111600</v>
      </c>
      <c r="E24" s="63" t="s">
        <v>85</v>
      </c>
      <c r="F24" s="60" t="s">
        <v>40</v>
      </c>
      <c r="G24" s="47">
        <v>1</v>
      </c>
      <c r="H24" s="133">
        <f>IF(B$17=0,0,G24/B$17)</f>
        <v>4.329004329004329E-3</v>
      </c>
      <c r="I24" s="94">
        <v>1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2">
        <v>7</v>
      </c>
      <c r="C25" s="143"/>
      <c r="E25" s="63" t="s">
        <v>89</v>
      </c>
      <c r="F25" s="60" t="s">
        <v>44</v>
      </c>
      <c r="G25" s="47">
        <v>1</v>
      </c>
      <c r="H25" s="133">
        <f>IF(B$17=0,0,G25/B$17)</f>
        <v>4.329004329004329E-3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0">
        <v>97300</v>
      </c>
      <c r="C26" s="141"/>
      <c r="E26" s="63" t="s">
        <v>93</v>
      </c>
      <c r="F26" s="60" t="s">
        <v>48</v>
      </c>
      <c r="G26" s="47">
        <v>1</v>
      </c>
      <c r="H26" s="133">
        <f>IF(B$17=0,0,G26/B$17)</f>
        <v>4.329004329004329E-3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5.9952038369304557E-3</v>
      </c>
      <c r="E27" s="63" t="s">
        <v>94</v>
      </c>
      <c r="F27" s="60" t="s">
        <v>49</v>
      </c>
      <c r="G27" s="47">
        <v>1</v>
      </c>
      <c r="H27" s="133">
        <f>IF(B$17=0,0,G27/B$17)</f>
        <v>4.329004329004329E-3</v>
      </c>
      <c r="I27" s="94">
        <v>2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4.329004329004329E-3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265B5-8407-4B5C-A125-4CBCCD477218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6" t="s">
        <v>129</v>
      </c>
      <c r="C1" s="147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8">
        <v>38</v>
      </c>
      <c r="C2" s="149"/>
      <c r="E2" s="62" t="s">
        <v>67</v>
      </c>
      <c r="F2" s="59" t="s">
        <v>23</v>
      </c>
      <c r="G2" s="46">
        <v>53</v>
      </c>
      <c r="H2" s="132">
        <f>IF(B$17=0,0,G2/B$17)</f>
        <v>0.81538461538461537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-2836.8421052631579</v>
      </c>
      <c r="P2" s="118">
        <v>38</v>
      </c>
      <c r="Q2" s="102">
        <v>-107800</v>
      </c>
    </row>
    <row r="3" spans="1:17" x14ac:dyDescent="0.4">
      <c r="A3" s="55" t="s">
        <v>8</v>
      </c>
      <c r="B3" s="150">
        <v>309</v>
      </c>
      <c r="C3" s="151"/>
      <c r="E3" s="63" t="s">
        <v>65</v>
      </c>
      <c r="F3" s="60" t="s">
        <v>21</v>
      </c>
      <c r="G3" s="47">
        <v>37</v>
      </c>
      <c r="H3" s="133">
        <f>IF(B$17=0,0,G3/B$17)</f>
        <v>0.56923076923076921</v>
      </c>
      <c r="I3" s="94">
        <v>4</v>
      </c>
      <c r="K3" s="38">
        <v>1</v>
      </c>
      <c r="L3" s="99">
        <v>-40.4</v>
      </c>
      <c r="N3" s="115" t="s">
        <v>133</v>
      </c>
      <c r="O3" s="122">
        <f t="shared" si="0"/>
        <v>-3252.6315789473683</v>
      </c>
      <c r="P3" s="119">
        <v>38</v>
      </c>
      <c r="Q3" s="103">
        <v>-123600</v>
      </c>
    </row>
    <row r="4" spans="1:17" x14ac:dyDescent="0.4">
      <c r="A4" s="55" t="s">
        <v>6</v>
      </c>
      <c r="B4" s="152">
        <v>-829.99999999999989</v>
      </c>
      <c r="C4" s="153"/>
      <c r="E4" s="63" t="s">
        <v>69</v>
      </c>
      <c r="F4" s="60" t="s">
        <v>12</v>
      </c>
      <c r="G4" s="47">
        <v>26</v>
      </c>
      <c r="H4" s="133">
        <f>IF(B$17=0,0,G4/B$17)</f>
        <v>0.4</v>
      </c>
      <c r="I4" s="94">
        <v>3</v>
      </c>
      <c r="K4" s="38">
        <v>2</v>
      </c>
      <c r="L4" s="99">
        <v>-3.3999999999999986</v>
      </c>
      <c r="N4" s="115" t="s">
        <v>134</v>
      </c>
      <c r="O4" s="122">
        <f t="shared" si="0"/>
        <v>-1208.5714285714287</v>
      </c>
      <c r="P4" s="119">
        <v>35</v>
      </c>
      <c r="Q4" s="103">
        <v>-42300</v>
      </c>
    </row>
    <row r="5" spans="1:17" x14ac:dyDescent="0.4">
      <c r="A5" s="55" t="s">
        <v>7</v>
      </c>
      <c r="B5" s="154">
        <f>IF(B$2=0,0,B$4/B$2)</f>
        <v>-21.84210526315789</v>
      </c>
      <c r="C5" s="155"/>
      <c r="E5" s="63" t="s">
        <v>181</v>
      </c>
      <c r="F5" s="60" t="s">
        <v>182</v>
      </c>
      <c r="G5" s="47">
        <v>26</v>
      </c>
      <c r="H5" s="133">
        <f>IF(B$17=0,0,G5/B$17)</f>
        <v>0.4</v>
      </c>
      <c r="I5" s="94">
        <v>6</v>
      </c>
      <c r="K5" s="38">
        <v>3</v>
      </c>
      <c r="L5" s="99">
        <v>-23.099999999999998</v>
      </c>
      <c r="N5" s="115" t="s">
        <v>135</v>
      </c>
      <c r="O5" s="122">
        <f t="shared" si="0"/>
        <v>-6190</v>
      </c>
      <c r="P5" s="119">
        <v>30</v>
      </c>
      <c r="Q5" s="103">
        <v>-185700</v>
      </c>
    </row>
    <row r="6" spans="1:17" x14ac:dyDescent="0.4">
      <c r="A6" s="55" t="s">
        <v>1</v>
      </c>
      <c r="B6" s="144">
        <f>IF(B$2=0,0,(B$7*1+B$8*2+B$9*3)/B$2)</f>
        <v>2.3684210526315788</v>
      </c>
      <c r="C6" s="145"/>
      <c r="E6" s="63" t="s">
        <v>68</v>
      </c>
      <c r="F6" s="60" t="s">
        <v>24</v>
      </c>
      <c r="G6" s="47">
        <v>23</v>
      </c>
      <c r="H6" s="133">
        <f>IF(B$17=0,0,G6/B$17)</f>
        <v>0.35384615384615387</v>
      </c>
      <c r="I6" s="94">
        <v>4</v>
      </c>
      <c r="K6" s="38">
        <v>4</v>
      </c>
      <c r="L6" s="99">
        <v>-31.4</v>
      </c>
      <c r="N6" s="115" t="s">
        <v>136</v>
      </c>
      <c r="O6" s="122">
        <f t="shared" si="0"/>
        <v>-1188.8888888888889</v>
      </c>
      <c r="P6" s="119">
        <v>27</v>
      </c>
      <c r="Q6" s="103">
        <v>-32100</v>
      </c>
    </row>
    <row r="7" spans="1:17" x14ac:dyDescent="0.4">
      <c r="A7" s="55" t="s">
        <v>2</v>
      </c>
      <c r="B7" s="47">
        <v>7</v>
      </c>
      <c r="C7" s="39">
        <f>IF(B$2=0,0,B7/B$2)</f>
        <v>0.18421052631578946</v>
      </c>
      <c r="E7" s="63" t="s">
        <v>73</v>
      </c>
      <c r="F7" s="60" t="s">
        <v>28</v>
      </c>
      <c r="G7" s="47">
        <v>20</v>
      </c>
      <c r="H7" s="133">
        <f>IF(B$17=0,0,G7/B$17)</f>
        <v>0.30769230769230771</v>
      </c>
      <c r="I7" s="94">
        <v>11</v>
      </c>
      <c r="K7" s="38">
        <v>5</v>
      </c>
      <c r="L7" s="99">
        <v>-32.199999999999996</v>
      </c>
      <c r="N7" s="116" t="s">
        <v>137</v>
      </c>
      <c r="O7" s="123">
        <f t="shared" si="0"/>
        <v>-1584</v>
      </c>
      <c r="P7" s="120">
        <v>25</v>
      </c>
      <c r="Q7" s="104">
        <v>-39600</v>
      </c>
    </row>
    <row r="8" spans="1:17" x14ac:dyDescent="0.4">
      <c r="A8" s="55" t="s">
        <v>3</v>
      </c>
      <c r="B8" s="47">
        <v>10</v>
      </c>
      <c r="C8" s="39">
        <f>IF(B$2=0,0,B8/B$2)</f>
        <v>0.26315789473684209</v>
      </c>
      <c r="E8" s="63" t="s">
        <v>70</v>
      </c>
      <c r="F8" s="60" t="s">
        <v>25</v>
      </c>
      <c r="G8" s="47">
        <v>16</v>
      </c>
      <c r="H8" s="133">
        <f>IF(B$17=0,0,G8/B$17)</f>
        <v>0.24615384615384617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21</v>
      </c>
      <c r="C9" s="40">
        <f t="shared" ref="C9" si="1">IF(B$2=0,0,B9/B$2)</f>
        <v>0.55263157894736847</v>
      </c>
      <c r="E9" s="63" t="s">
        <v>71</v>
      </c>
      <c r="F9" s="60" t="s">
        <v>26</v>
      </c>
      <c r="G9" s="47">
        <v>14</v>
      </c>
      <c r="H9" s="133">
        <f>IF(B$17=0,0,G9/B$17)</f>
        <v>0.2153846153846154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0.21052631578947367</v>
      </c>
      <c r="E10" s="63" t="s">
        <v>72</v>
      </c>
      <c r="F10" s="60" t="s">
        <v>27</v>
      </c>
      <c r="G10" s="47">
        <v>8</v>
      </c>
      <c r="H10" s="133">
        <f>IF(B$17=0,0,G10/B$17)</f>
        <v>0.12307692307692308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-24.338461538461534</v>
      </c>
      <c r="P10" s="118">
        <v>13</v>
      </c>
      <c r="Q10" s="106">
        <v>-316.39999999999992</v>
      </c>
    </row>
    <row r="11" spans="1:17" x14ac:dyDescent="0.4">
      <c r="A11" s="56" t="s">
        <v>140</v>
      </c>
      <c r="B11" s="48">
        <v>2</v>
      </c>
      <c r="C11" s="40">
        <f>IF(B$2=0,0,B11/B$2)</f>
        <v>5.2631578947368418E-2</v>
      </c>
      <c r="E11" s="63" t="s">
        <v>90</v>
      </c>
      <c r="F11" s="60" t="s">
        <v>45</v>
      </c>
      <c r="G11" s="47">
        <v>6</v>
      </c>
      <c r="H11" s="133">
        <f>IF(B$17=0,0,G11/B$17)</f>
        <v>9.2307692307692313E-2</v>
      </c>
      <c r="I11" s="94">
        <v>9</v>
      </c>
      <c r="K11" s="38">
        <v>9</v>
      </c>
      <c r="L11" s="99">
        <v>-127.6</v>
      </c>
      <c r="N11" s="115" t="s">
        <v>165</v>
      </c>
      <c r="O11" s="125">
        <f>IF(P11=0,0,Q11/P11)</f>
        <v>-18.900000000000002</v>
      </c>
      <c r="P11" s="119">
        <v>15</v>
      </c>
      <c r="Q11" s="107">
        <v>-283.50000000000006</v>
      </c>
    </row>
    <row r="12" spans="1:17" x14ac:dyDescent="0.4">
      <c r="A12" s="57" t="s">
        <v>160</v>
      </c>
      <c r="B12" s="49">
        <v>4</v>
      </c>
      <c r="C12" s="42">
        <f>IF(B$2=0,0,B12/B$2)</f>
        <v>0.10526315789473684</v>
      </c>
      <c r="E12" s="63" t="s">
        <v>66</v>
      </c>
      <c r="F12" s="60" t="s">
        <v>22</v>
      </c>
      <c r="G12" s="47">
        <v>5</v>
      </c>
      <c r="H12" s="133">
        <f>IF(B$17=0,0,G12/B$17)</f>
        <v>7.6923076923076927E-2</v>
      </c>
      <c r="I12" s="94">
        <v>7</v>
      </c>
      <c r="K12" s="38">
        <v>10</v>
      </c>
      <c r="L12" s="99">
        <v>-231.39999999999998</v>
      </c>
      <c r="N12" s="116" t="s">
        <v>166</v>
      </c>
      <c r="O12" s="126">
        <f>IF(P12=0,0,Q12/P12)</f>
        <v>-23.009999999999998</v>
      </c>
      <c r="P12" s="120">
        <v>10</v>
      </c>
      <c r="Q12" s="108">
        <v>-230.1</v>
      </c>
    </row>
    <row r="13" spans="1:17" x14ac:dyDescent="0.4">
      <c r="A13" s="58" t="s">
        <v>122</v>
      </c>
      <c r="B13" s="50">
        <v>77</v>
      </c>
      <c r="C13" s="44">
        <f>IF(B$3=0,0,B13/B$3)</f>
        <v>0.24919093851132687</v>
      </c>
      <c r="E13" s="63" t="s">
        <v>87</v>
      </c>
      <c r="F13" s="60" t="s">
        <v>42</v>
      </c>
      <c r="G13" s="47">
        <v>2</v>
      </c>
      <c r="H13" s="133">
        <f>IF(B$17=0,0,G13/B$17)</f>
        <v>3.0769230769230771E-2</v>
      </c>
      <c r="I13" s="94">
        <v>9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0.14563106796116504</v>
      </c>
      <c r="E14" s="63" t="s">
        <v>78</v>
      </c>
      <c r="F14" s="60" t="s">
        <v>33</v>
      </c>
      <c r="G14" s="47">
        <v>1</v>
      </c>
      <c r="H14" s="133">
        <f>IF(B$17=0,0,G14/B$17)</f>
        <v>1.5384615384615385E-2</v>
      </c>
      <c r="I14" s="94">
        <v>1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39</v>
      </c>
      <c r="C15" s="37">
        <f>IF(B$13=0,0,B15/B$13)</f>
        <v>0.50649350649350644</v>
      </c>
      <c r="E15" s="63" t="s">
        <v>79</v>
      </c>
      <c r="F15" s="60" t="s">
        <v>34</v>
      </c>
      <c r="G15" s="47">
        <v>1</v>
      </c>
      <c r="H15" s="133">
        <f>IF(B$17=0,0,G15/B$17)</f>
        <v>1.5384615384615385E-2</v>
      </c>
      <c r="I15" s="94">
        <v>7</v>
      </c>
      <c r="K15" s="38">
        <v>13</v>
      </c>
      <c r="L15" s="99">
        <v>-369.1</v>
      </c>
      <c r="N15" s="114" t="s">
        <v>177</v>
      </c>
      <c r="O15" s="124">
        <f>IF(P15=0,0,Q15/P15)</f>
        <v>42.625</v>
      </c>
      <c r="P15" s="118">
        <v>4</v>
      </c>
      <c r="Q15" s="106">
        <v>170.5</v>
      </c>
    </row>
    <row r="16" spans="1:17" x14ac:dyDescent="0.4">
      <c r="A16" s="54" t="s">
        <v>125</v>
      </c>
      <c r="B16" s="46">
        <v>9</v>
      </c>
      <c r="C16" s="37">
        <f>IF(B$14=0,0,B16/B$14)</f>
        <v>0.2</v>
      </c>
      <c r="E16" s="63" t="s">
        <v>80</v>
      </c>
      <c r="F16" s="60" t="s">
        <v>35</v>
      </c>
      <c r="G16" s="47">
        <v>1</v>
      </c>
      <c r="H16" s="133">
        <f>IF(B$17=0,0,G16/B$17)</f>
        <v>1.5384615384615385E-2</v>
      </c>
      <c r="I16" s="94">
        <v>4</v>
      </c>
      <c r="K16" s="38">
        <v>14</v>
      </c>
      <c r="L16" s="99">
        <v>-394.6</v>
      </c>
      <c r="N16" s="115" t="s">
        <v>128</v>
      </c>
      <c r="O16" s="125">
        <f>IF(P16=0,0,Q16/P16)</f>
        <v>-6.1037037037036974</v>
      </c>
      <c r="P16" s="119">
        <v>27</v>
      </c>
      <c r="Q16" s="107">
        <v>-164.79999999999984</v>
      </c>
    </row>
    <row r="17" spans="1:17" x14ac:dyDescent="0.4">
      <c r="A17" s="54" t="s">
        <v>10</v>
      </c>
      <c r="B17" s="46">
        <f>B19+B18</f>
        <v>65</v>
      </c>
      <c r="C17" s="37">
        <f>IF(B$3=0,0,B17/B$3)</f>
        <v>0.21035598705501618</v>
      </c>
      <c r="E17" s="63" t="s">
        <v>82</v>
      </c>
      <c r="F17" s="60" t="s">
        <v>37</v>
      </c>
      <c r="G17" s="47">
        <v>1</v>
      </c>
      <c r="H17" s="133">
        <f>IF(B$17=0,0,G17/B$17)</f>
        <v>1.5384615384615385E-2</v>
      </c>
      <c r="I17" s="94">
        <v>9</v>
      </c>
      <c r="K17" s="38">
        <v>15</v>
      </c>
      <c r="L17" s="99">
        <v>-424.5</v>
      </c>
      <c r="N17" s="115" t="s">
        <v>173</v>
      </c>
      <c r="O17" s="125">
        <f>IF(P17=0,0,Q17/P17)</f>
        <v>-30.733333333333331</v>
      </c>
      <c r="P17" s="119">
        <v>6</v>
      </c>
      <c r="Q17" s="107">
        <v>-184.39999999999998</v>
      </c>
    </row>
    <row r="18" spans="1:17" x14ac:dyDescent="0.4">
      <c r="A18" s="55" t="s">
        <v>12</v>
      </c>
      <c r="B18" s="47">
        <v>33</v>
      </c>
      <c r="C18" s="39">
        <f>IF(B$17=0,0,B18/B$17)</f>
        <v>0.50769230769230766</v>
      </c>
      <c r="E18" s="63" t="s">
        <v>84</v>
      </c>
      <c r="F18" s="60" t="s">
        <v>39</v>
      </c>
      <c r="G18" s="47">
        <v>1</v>
      </c>
      <c r="H18" s="133">
        <f>IF(B$17=0,0,G18/B$17)</f>
        <v>1.5384615384615385E-2</v>
      </c>
      <c r="I18" s="94">
        <v>9</v>
      </c>
      <c r="K18" s="38">
        <v>16</v>
      </c>
      <c r="L18" s="99">
        <v>-472</v>
      </c>
      <c r="N18" s="115" t="s">
        <v>171</v>
      </c>
      <c r="O18" s="125">
        <f>IF(P18=0,0,Q18/P18)</f>
        <v>-46.55</v>
      </c>
      <c r="P18" s="119">
        <v>8</v>
      </c>
      <c r="Q18" s="107">
        <v>-372.4</v>
      </c>
    </row>
    <row r="19" spans="1:17" x14ac:dyDescent="0.4">
      <c r="A19" s="55" t="s">
        <v>11</v>
      </c>
      <c r="B19" s="47">
        <v>32</v>
      </c>
      <c r="C19" s="39">
        <f>IF(B$17=0,0,B19/B$17)</f>
        <v>0.49230769230769234</v>
      </c>
      <c r="E19" s="63" t="s">
        <v>88</v>
      </c>
      <c r="F19" s="60" t="s">
        <v>43</v>
      </c>
      <c r="G19" s="47">
        <v>1</v>
      </c>
      <c r="H19" s="133">
        <f>IF(B$17=0,0,G19/B$17)</f>
        <v>1.5384615384615385E-2</v>
      </c>
      <c r="I19" s="94">
        <v>1</v>
      </c>
      <c r="K19" s="38">
        <v>17</v>
      </c>
      <c r="L19" s="99">
        <v>-538.29999999999995</v>
      </c>
      <c r="N19" s="115" t="s">
        <v>127</v>
      </c>
      <c r="O19" s="125">
        <f>IF(P19=0,0,Q19/P19)</f>
        <v>-56.752173913043507</v>
      </c>
      <c r="P19" s="119">
        <v>23</v>
      </c>
      <c r="Q19" s="107">
        <v>-1305.3000000000006</v>
      </c>
    </row>
    <row r="20" spans="1:17" x14ac:dyDescent="0.4">
      <c r="A20" s="55" t="s">
        <v>13</v>
      </c>
      <c r="B20" s="47">
        <v>60</v>
      </c>
      <c r="C20" s="39">
        <f>IF(B$3=0,0,B20/B$3)</f>
        <v>0.1941747572815534</v>
      </c>
      <c r="E20" s="63" t="s">
        <v>89</v>
      </c>
      <c r="F20" s="60" t="s">
        <v>44</v>
      </c>
      <c r="G20" s="47">
        <v>1</v>
      </c>
      <c r="H20" s="133">
        <f>IF(B$17=0,0,G20/B$17)</f>
        <v>1.5384615384615385E-2</v>
      </c>
      <c r="I20" s="94">
        <v>1</v>
      </c>
      <c r="K20" s="38">
        <v>18</v>
      </c>
      <c r="L20" s="99">
        <v>-537.19999999999993</v>
      </c>
      <c r="N20" s="115" t="s">
        <v>186</v>
      </c>
      <c r="O20" s="125">
        <f>IF(P20=0,0,Q20/P20)</f>
        <v>-72.3</v>
      </c>
      <c r="P20" s="119">
        <v>1</v>
      </c>
      <c r="Q20" s="107">
        <v>-72.3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92</v>
      </c>
      <c r="F21" s="60" t="s">
        <v>47</v>
      </c>
      <c r="G21" s="47">
        <v>1</v>
      </c>
      <c r="H21" s="133">
        <f>IF(B$17=0,0,G21/B$17)</f>
        <v>1.5384615384615385E-2</v>
      </c>
      <c r="I21" s="94">
        <v>4</v>
      </c>
      <c r="K21" s="38">
        <v>19</v>
      </c>
      <c r="L21" s="99">
        <v>-569.49999999999989</v>
      </c>
      <c r="N21" s="115" t="s">
        <v>172</v>
      </c>
      <c r="O21" s="125">
        <f>IF(P21=0,0,Q21/P21)</f>
        <v>-80.185714285714283</v>
      </c>
      <c r="P21" s="119">
        <v>7</v>
      </c>
      <c r="Q21" s="107">
        <v>-561.29999999999995</v>
      </c>
    </row>
    <row r="22" spans="1:17" x14ac:dyDescent="0.4">
      <c r="A22" s="55" t="s">
        <v>194</v>
      </c>
      <c r="B22" s="47">
        <v>31</v>
      </c>
      <c r="C22" s="135">
        <v>1</v>
      </c>
      <c r="E22" s="63" t="s">
        <v>94</v>
      </c>
      <c r="F22" s="60" t="s">
        <v>49</v>
      </c>
      <c r="G22" s="47">
        <v>1</v>
      </c>
      <c r="H22" s="133">
        <f>IF(B$17=0,0,G22/B$17)</f>
        <v>1.5384615384615385E-2</v>
      </c>
      <c r="I22" s="94">
        <v>1</v>
      </c>
      <c r="K22" s="38">
        <v>20</v>
      </c>
      <c r="L22" s="99">
        <v>-632.99999999999989</v>
      </c>
    </row>
    <row r="23" spans="1:17" x14ac:dyDescent="0.4">
      <c r="A23" s="55" t="s">
        <v>5</v>
      </c>
      <c r="B23" s="51">
        <f>IF(B$17=0,0,C23/B$17)</f>
        <v>8566.1538461538457</v>
      </c>
      <c r="C23" s="41">
        <v>556800</v>
      </c>
      <c r="E23" s="63" t="s">
        <v>74</v>
      </c>
      <c r="F23" s="60" t="s">
        <v>29</v>
      </c>
      <c r="G23" s="47">
        <v>0</v>
      </c>
      <c r="H23" s="133">
        <f>IF(B$17=0,0,G23/B$17)</f>
        <v>0</v>
      </c>
      <c r="I23" s="94">
        <v>6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-9846.6666666666661</v>
      </c>
      <c r="C24" s="45">
        <v>-590800</v>
      </c>
      <c r="E24" s="63" t="s">
        <v>75</v>
      </c>
      <c r="F24" s="60" t="s">
        <v>30</v>
      </c>
      <c r="G24" s="47">
        <v>0</v>
      </c>
      <c r="H24" s="133">
        <f>IF(B$17=0,0,G24/B$17)</f>
        <v>0</v>
      </c>
      <c r="I24" s="94">
        <v>4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2">
        <v>7</v>
      </c>
      <c r="C25" s="143"/>
      <c r="E25" s="63" t="s">
        <v>76</v>
      </c>
      <c r="F25" s="60" t="s">
        <v>31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0">
        <v>96900</v>
      </c>
      <c r="C26" s="141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3.2362459546925568E-3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-876.19999999999993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-931.09999999999991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90D6B-9027-494C-8AFF-E063C678E7DC}">
  <sheetPr codeName="Sheet13"/>
  <dimension ref="A1:Q5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6" t="s">
        <v>171</v>
      </c>
      <c r="C1" s="147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8">
        <v>51</v>
      </c>
      <c r="C2" s="149"/>
      <c r="E2" s="62" t="s">
        <v>67</v>
      </c>
      <c r="F2" s="59" t="s">
        <v>23</v>
      </c>
      <c r="G2" s="46">
        <v>80</v>
      </c>
      <c r="H2" s="132">
        <f>IF(B$17=0,0,G2/B$17)</f>
        <v>0.75471698113207553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-174</v>
      </c>
      <c r="P2" s="118">
        <v>50</v>
      </c>
      <c r="Q2" s="102">
        <v>-8700</v>
      </c>
    </row>
    <row r="3" spans="1:17" x14ac:dyDescent="0.4">
      <c r="A3" s="55" t="s">
        <v>8</v>
      </c>
      <c r="B3" s="150">
        <v>426</v>
      </c>
      <c r="C3" s="151"/>
      <c r="E3" s="63" t="s">
        <v>65</v>
      </c>
      <c r="F3" s="60" t="s">
        <v>21</v>
      </c>
      <c r="G3" s="47">
        <v>58</v>
      </c>
      <c r="H3" s="133">
        <f>IF(B$17=0,0,G3/B$17)</f>
        <v>0.54716981132075471</v>
      </c>
      <c r="I3" s="94">
        <v>5</v>
      </c>
      <c r="K3" s="38">
        <v>1</v>
      </c>
      <c r="L3" s="99">
        <v>-51.2</v>
      </c>
      <c r="N3" s="115" t="s">
        <v>133</v>
      </c>
      <c r="O3" s="122">
        <f t="shared" si="0"/>
        <v>410</v>
      </c>
      <c r="P3" s="119">
        <v>50</v>
      </c>
      <c r="Q3" s="103">
        <v>20500</v>
      </c>
    </row>
    <row r="4" spans="1:17" x14ac:dyDescent="0.4">
      <c r="A4" s="55" t="s">
        <v>6</v>
      </c>
      <c r="B4" s="152">
        <v>-79.300000000000011</v>
      </c>
      <c r="C4" s="153"/>
      <c r="E4" s="63" t="s">
        <v>73</v>
      </c>
      <c r="F4" s="60" t="s">
        <v>28</v>
      </c>
      <c r="G4" s="47">
        <v>54</v>
      </c>
      <c r="H4" s="133">
        <f>IF(B$17=0,0,G4/B$17)</f>
        <v>0.50943396226415094</v>
      </c>
      <c r="I4" s="94">
        <v>9</v>
      </c>
      <c r="K4" s="38">
        <v>2</v>
      </c>
      <c r="L4" s="99">
        <v>-93.300000000000011</v>
      </c>
      <c r="N4" s="115" t="s">
        <v>134</v>
      </c>
      <c r="O4" s="122">
        <f t="shared" si="0"/>
        <v>-322.91666666666669</v>
      </c>
      <c r="P4" s="119">
        <v>48</v>
      </c>
      <c r="Q4" s="103">
        <v>-15500</v>
      </c>
    </row>
    <row r="5" spans="1:17" x14ac:dyDescent="0.4">
      <c r="A5" s="55" t="s">
        <v>7</v>
      </c>
      <c r="B5" s="154">
        <f>IF(B$2=0,0,B$4/B$2)</f>
        <v>-1.554901960784314</v>
      </c>
      <c r="C5" s="155"/>
      <c r="E5" s="63" t="s">
        <v>181</v>
      </c>
      <c r="F5" s="60" t="s">
        <v>182</v>
      </c>
      <c r="G5" s="47">
        <v>38</v>
      </c>
      <c r="H5" s="133">
        <f>IF(B$17=0,0,G5/B$17)</f>
        <v>0.35849056603773582</v>
      </c>
      <c r="I5" s="94">
        <v>9</v>
      </c>
      <c r="K5" s="38">
        <v>3</v>
      </c>
      <c r="L5" s="99">
        <v>-60.100000000000009</v>
      </c>
      <c r="N5" s="115" t="s">
        <v>135</v>
      </c>
      <c r="O5" s="122">
        <f t="shared" si="0"/>
        <v>2169.0476190476193</v>
      </c>
      <c r="P5" s="119">
        <v>42</v>
      </c>
      <c r="Q5" s="103">
        <v>91100</v>
      </c>
    </row>
    <row r="6" spans="1:17" x14ac:dyDescent="0.4">
      <c r="A6" s="55" t="s">
        <v>1</v>
      </c>
      <c r="B6" s="144">
        <f>IF(B$2=0,0,(B$7*1+B$8*2+B$9*3)/B$2)</f>
        <v>2.0784313725490198</v>
      </c>
      <c r="C6" s="145"/>
      <c r="E6" s="63" t="s">
        <v>68</v>
      </c>
      <c r="F6" s="60" t="s">
        <v>24</v>
      </c>
      <c r="G6" s="47">
        <v>32</v>
      </c>
      <c r="H6" s="133">
        <f>IF(B$17=0,0,G6/B$17)</f>
        <v>0.30188679245283018</v>
      </c>
      <c r="I6" s="94">
        <v>7</v>
      </c>
      <c r="K6" s="38">
        <v>4</v>
      </c>
      <c r="L6" s="99">
        <v>-11.300000000000011</v>
      </c>
      <c r="N6" s="115" t="s">
        <v>136</v>
      </c>
      <c r="O6" s="122">
        <f t="shared" si="0"/>
        <v>-1662.1621621621621</v>
      </c>
      <c r="P6" s="119">
        <v>37</v>
      </c>
      <c r="Q6" s="103">
        <v>-61500</v>
      </c>
    </row>
    <row r="7" spans="1:17" x14ac:dyDescent="0.4">
      <c r="A7" s="55" t="s">
        <v>2</v>
      </c>
      <c r="B7" s="47">
        <v>14</v>
      </c>
      <c r="C7" s="39">
        <f>IF(B$2=0,0,B7/B$2)</f>
        <v>0.27450980392156865</v>
      </c>
      <c r="E7" s="63" t="s">
        <v>69</v>
      </c>
      <c r="F7" s="60" t="s">
        <v>12</v>
      </c>
      <c r="G7" s="47">
        <v>29</v>
      </c>
      <c r="H7" s="133">
        <f>IF(B$17=0,0,G7/B$17)</f>
        <v>0.27358490566037735</v>
      </c>
      <c r="I7" s="94">
        <v>9</v>
      </c>
      <c r="K7" s="38">
        <v>5</v>
      </c>
      <c r="L7" s="99">
        <v>-36.100000000000009</v>
      </c>
      <c r="N7" s="116" t="s">
        <v>137</v>
      </c>
      <c r="O7" s="123">
        <f t="shared" si="0"/>
        <v>245.71428571428572</v>
      </c>
      <c r="P7" s="120">
        <v>35</v>
      </c>
      <c r="Q7" s="104">
        <v>8600</v>
      </c>
    </row>
    <row r="8" spans="1:17" x14ac:dyDescent="0.4">
      <c r="A8" s="55" t="s">
        <v>3</v>
      </c>
      <c r="B8" s="47">
        <v>19</v>
      </c>
      <c r="C8" s="39">
        <f>IF(B$2=0,0,B8/B$2)</f>
        <v>0.37254901960784315</v>
      </c>
      <c r="E8" s="63" t="s">
        <v>70</v>
      </c>
      <c r="F8" s="60" t="s">
        <v>25</v>
      </c>
      <c r="G8" s="47">
        <v>22</v>
      </c>
      <c r="H8" s="133">
        <f>IF(B$17=0,0,G8/B$17)</f>
        <v>0.20754716981132076</v>
      </c>
      <c r="I8" s="94">
        <v>4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18</v>
      </c>
      <c r="C9" s="40">
        <f t="shared" ref="C9" si="1">IF(B$2=0,0,B9/B$2)</f>
        <v>0.35294117647058826</v>
      </c>
      <c r="E9" s="63" t="s">
        <v>90</v>
      </c>
      <c r="F9" s="60" t="s">
        <v>45</v>
      </c>
      <c r="G9" s="47">
        <v>16</v>
      </c>
      <c r="H9" s="133">
        <f>IF(B$17=0,0,G9/B$17)</f>
        <v>0.15094339622641509</v>
      </c>
      <c r="I9" s="94">
        <v>5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3.9215686274509803E-2</v>
      </c>
      <c r="E10" s="63" t="s">
        <v>66</v>
      </c>
      <c r="F10" s="60" t="s">
        <v>22</v>
      </c>
      <c r="G10" s="47">
        <v>15</v>
      </c>
      <c r="H10" s="133">
        <f>IF(B$17=0,0,G10/B$17)</f>
        <v>0.14150943396226415</v>
      </c>
      <c r="I10" s="94">
        <v>3</v>
      </c>
      <c r="K10" s="38">
        <v>8</v>
      </c>
      <c r="L10" s="99">
        <v>-1.7000000000000028</v>
      </c>
      <c r="N10" s="114" t="s">
        <v>164</v>
      </c>
      <c r="O10" s="124">
        <f>IF(P10=0,0,Q10/P10)</f>
        <v>4.4083333333333323</v>
      </c>
      <c r="P10" s="118">
        <v>12</v>
      </c>
      <c r="Q10" s="106">
        <v>52.899999999999991</v>
      </c>
    </row>
    <row r="11" spans="1:17" x14ac:dyDescent="0.4">
      <c r="A11" s="56" t="s">
        <v>140</v>
      </c>
      <c r="B11" s="48">
        <v>6</v>
      </c>
      <c r="C11" s="40">
        <f>IF(B$2=0,0,B11/B$2)</f>
        <v>0.11764705882352941</v>
      </c>
      <c r="E11" s="63" t="s">
        <v>71</v>
      </c>
      <c r="F11" s="60" t="s">
        <v>26</v>
      </c>
      <c r="G11" s="47">
        <v>13</v>
      </c>
      <c r="H11" s="133">
        <f>IF(B$17=0,0,G11/B$17)</f>
        <v>0.12264150943396226</v>
      </c>
      <c r="I11" s="94">
        <v>2</v>
      </c>
      <c r="K11" s="38">
        <v>9</v>
      </c>
      <c r="L11" s="99">
        <v>-5.8000000000000025</v>
      </c>
      <c r="N11" s="115" t="s">
        <v>165</v>
      </c>
      <c r="O11" s="125">
        <f>IF(P11=0,0,Q11/P11)</f>
        <v>-4.2272727272727257</v>
      </c>
      <c r="P11" s="119">
        <v>22</v>
      </c>
      <c r="Q11" s="107">
        <v>-92.999999999999972</v>
      </c>
    </row>
    <row r="12" spans="1:17" x14ac:dyDescent="0.4">
      <c r="A12" s="57" t="s">
        <v>160</v>
      </c>
      <c r="B12" s="49">
        <v>4</v>
      </c>
      <c r="C12" s="42">
        <f>IF(B$2=0,0,B12/B$2)</f>
        <v>7.8431372549019607E-2</v>
      </c>
      <c r="E12" s="63" t="s">
        <v>87</v>
      </c>
      <c r="F12" s="60" t="s">
        <v>42</v>
      </c>
      <c r="G12" s="47">
        <v>8</v>
      </c>
      <c r="H12" s="133">
        <f>IF(B$17=0,0,G12/B$17)</f>
        <v>7.5471698113207544E-2</v>
      </c>
      <c r="I12" s="94">
        <v>3</v>
      </c>
      <c r="K12" s="38">
        <v>10</v>
      </c>
      <c r="L12" s="99">
        <v>-56.500000000000007</v>
      </c>
      <c r="N12" s="116" t="s">
        <v>166</v>
      </c>
      <c r="O12" s="126">
        <f>IF(P12=0,0,Q12/P12)</f>
        <v>-2.4500000000000002</v>
      </c>
      <c r="P12" s="120">
        <v>16</v>
      </c>
      <c r="Q12" s="108">
        <v>-39.200000000000003</v>
      </c>
    </row>
    <row r="13" spans="1:17" x14ac:dyDescent="0.4">
      <c r="A13" s="58" t="s">
        <v>122</v>
      </c>
      <c r="B13" s="50">
        <v>108</v>
      </c>
      <c r="C13" s="44">
        <f>IF(B$3=0,0,B13/B$3)</f>
        <v>0.25352112676056338</v>
      </c>
      <c r="E13" s="63" t="s">
        <v>72</v>
      </c>
      <c r="F13" s="60" t="s">
        <v>27</v>
      </c>
      <c r="G13" s="47">
        <v>7</v>
      </c>
      <c r="H13" s="133">
        <f>IF(B$17=0,0,G13/B$17)</f>
        <v>6.6037735849056603E-2</v>
      </c>
      <c r="I13" s="94">
        <v>3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76</v>
      </c>
      <c r="C14" s="39">
        <f>IF(B$3=0,0,B14/B$3)</f>
        <v>0.17840375586854459</v>
      </c>
      <c r="E14" s="63" t="s">
        <v>84</v>
      </c>
      <c r="F14" s="60" t="s">
        <v>39</v>
      </c>
      <c r="G14" s="47">
        <v>7</v>
      </c>
      <c r="H14" s="133">
        <f>IF(B$17=0,0,G14/B$17)</f>
        <v>6.6037735849056603E-2</v>
      </c>
      <c r="I14" s="94">
        <v>2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62</v>
      </c>
      <c r="C15" s="37">
        <f>IF(B$13=0,0,B15/B$13)</f>
        <v>0.57407407407407407</v>
      </c>
      <c r="E15" s="63" t="s">
        <v>82</v>
      </c>
      <c r="F15" s="60" t="s">
        <v>37</v>
      </c>
      <c r="G15" s="47">
        <v>5</v>
      </c>
      <c r="H15" s="133">
        <f>IF(B$17=0,0,G15/B$17)</f>
        <v>4.716981132075472E-2</v>
      </c>
      <c r="I15" s="94">
        <v>3</v>
      </c>
      <c r="K15" s="38">
        <v>13</v>
      </c>
      <c r="L15" s="99">
        <v>-58.7</v>
      </c>
      <c r="N15" s="114" t="s">
        <v>129</v>
      </c>
      <c r="O15" s="124">
        <f>IF(P15=0,0,Q15/P15)</f>
        <v>46.55</v>
      </c>
      <c r="P15" s="118">
        <v>8</v>
      </c>
      <c r="Q15" s="106">
        <v>372.4</v>
      </c>
    </row>
    <row r="16" spans="1:17" x14ac:dyDescent="0.4">
      <c r="A16" s="54" t="s">
        <v>125</v>
      </c>
      <c r="B16" s="46">
        <v>26</v>
      </c>
      <c r="C16" s="37">
        <f>IF(B$14=0,0,B16/B$14)</f>
        <v>0.34210526315789475</v>
      </c>
      <c r="E16" s="63" t="s">
        <v>79</v>
      </c>
      <c r="F16" s="60" t="s">
        <v>34</v>
      </c>
      <c r="G16" s="47">
        <v>4</v>
      </c>
      <c r="H16" s="133">
        <f>IF(B$17=0,0,G16/B$17)</f>
        <v>3.7735849056603772E-2</v>
      </c>
      <c r="I16" s="94">
        <v>2</v>
      </c>
      <c r="K16" s="38">
        <v>14</v>
      </c>
      <c r="L16" s="99">
        <v>-29.400000000000002</v>
      </c>
      <c r="N16" s="115" t="s">
        <v>186</v>
      </c>
      <c r="O16" s="125">
        <f>IF(P16=0,0,Q16/P16)</f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106</v>
      </c>
      <c r="C17" s="37">
        <f>IF(B$3=0,0,B17/B$3)</f>
        <v>0.24882629107981222</v>
      </c>
      <c r="E17" s="63" t="s">
        <v>76</v>
      </c>
      <c r="F17" s="60" t="s">
        <v>31</v>
      </c>
      <c r="G17" s="47">
        <v>2</v>
      </c>
      <c r="H17" s="133">
        <f>IF(B$17=0,0,G17/B$17)</f>
        <v>1.8867924528301886E-2</v>
      </c>
      <c r="I17" s="94">
        <v>3</v>
      </c>
      <c r="K17" s="38">
        <v>15</v>
      </c>
      <c r="L17" s="99">
        <v>-26.3</v>
      </c>
      <c r="N17" s="115" t="s">
        <v>173</v>
      </c>
      <c r="O17" s="125">
        <f>IF(P17=0,0,Q17/P17)</f>
        <v>13.35</v>
      </c>
      <c r="P17" s="119">
        <v>14</v>
      </c>
      <c r="Q17" s="107">
        <v>186.9</v>
      </c>
    </row>
    <row r="18" spans="1:17" x14ac:dyDescent="0.4">
      <c r="A18" s="55" t="s">
        <v>12</v>
      </c>
      <c r="B18" s="47">
        <v>41</v>
      </c>
      <c r="C18" s="39">
        <f>IF(B$17=0,0,B18/B$17)</f>
        <v>0.3867924528301887</v>
      </c>
      <c r="E18" s="63" t="s">
        <v>93</v>
      </c>
      <c r="F18" s="60" t="s">
        <v>48</v>
      </c>
      <c r="G18" s="47">
        <v>2</v>
      </c>
      <c r="H18" s="133">
        <f>IF(B$17=0,0,G18/B$17)</f>
        <v>1.8867924528301886E-2</v>
      </c>
      <c r="I18" s="94">
        <v>1</v>
      </c>
      <c r="K18" s="38">
        <v>16</v>
      </c>
      <c r="L18" s="99">
        <v>-50.3</v>
      </c>
      <c r="N18" s="115" t="s">
        <v>128</v>
      </c>
      <c r="O18" s="125">
        <f>IF(P18=0,0,Q18/P18)</f>
        <v>-0.86428571428572132</v>
      </c>
      <c r="P18" s="119">
        <v>28</v>
      </c>
      <c r="Q18" s="107">
        <v>-24.200000000000198</v>
      </c>
    </row>
    <row r="19" spans="1:17" x14ac:dyDescent="0.4">
      <c r="A19" s="55" t="s">
        <v>11</v>
      </c>
      <c r="B19" s="47">
        <v>65</v>
      </c>
      <c r="C19" s="39">
        <f>IF(B$17=0,0,B19/B$17)</f>
        <v>0.6132075471698113</v>
      </c>
      <c r="E19" s="63" t="s">
        <v>180</v>
      </c>
      <c r="F19" s="60" t="s">
        <v>183</v>
      </c>
      <c r="G19" s="47">
        <v>2</v>
      </c>
      <c r="H19" s="133">
        <f>IF(B$17=0,0,G19/B$17)</f>
        <v>1.8867924528301886E-2</v>
      </c>
      <c r="I19" s="94">
        <v>2</v>
      </c>
      <c r="K19" s="38">
        <v>17</v>
      </c>
      <c r="L19" s="99">
        <v>-74.3</v>
      </c>
      <c r="N19" s="115" t="s">
        <v>172</v>
      </c>
      <c r="O19" s="125">
        <f>IF(P19=0,0,Q19/P19)</f>
        <v>-1.0923076923076933</v>
      </c>
      <c r="P19" s="119">
        <v>13</v>
      </c>
      <c r="Q19" s="107">
        <v>-14.200000000000012</v>
      </c>
    </row>
    <row r="20" spans="1:17" x14ac:dyDescent="0.4">
      <c r="A20" s="55" t="s">
        <v>13</v>
      </c>
      <c r="B20" s="47">
        <v>65</v>
      </c>
      <c r="C20" s="39">
        <f>IF(B$3=0,0,B20/B$3)</f>
        <v>0.15258215962441316</v>
      </c>
      <c r="E20" s="63" t="s">
        <v>88</v>
      </c>
      <c r="F20" s="60" t="s">
        <v>43</v>
      </c>
      <c r="G20" s="47">
        <v>1</v>
      </c>
      <c r="H20" s="133">
        <f>IF(B$17=0,0,G20/B$17)</f>
        <v>9.433962264150943E-3</v>
      </c>
      <c r="I20" s="94">
        <v>2</v>
      </c>
      <c r="K20" s="38">
        <v>18</v>
      </c>
      <c r="L20" s="99">
        <v>-76.099999999999994</v>
      </c>
      <c r="N20" s="115" t="s">
        <v>177</v>
      </c>
      <c r="O20" s="125">
        <f>IF(P20=0,0,Q20/P20)</f>
        <v>-12.149999999999999</v>
      </c>
      <c r="P20" s="119">
        <v>2</v>
      </c>
      <c r="Q20" s="107">
        <v>-24.299999999999997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74</v>
      </c>
      <c r="F21" s="60" t="s">
        <v>29</v>
      </c>
      <c r="G21" s="47">
        <v>0</v>
      </c>
      <c r="H21" s="133">
        <f>IF(B$17=0,0,G21/B$17)</f>
        <v>0</v>
      </c>
      <c r="I21" s="94">
        <v>6</v>
      </c>
      <c r="K21" s="38">
        <v>19</v>
      </c>
      <c r="L21" s="99">
        <v>0.60000000000000853</v>
      </c>
      <c r="N21" s="115" t="s">
        <v>127</v>
      </c>
      <c r="O21" s="125">
        <f>IF(P21=0,0,Q21/P21)</f>
        <v>-19.735483870967737</v>
      </c>
      <c r="P21" s="119">
        <v>31</v>
      </c>
      <c r="Q21" s="107">
        <v>-611.79999999999984</v>
      </c>
    </row>
    <row r="22" spans="1:17" x14ac:dyDescent="0.4">
      <c r="A22" s="55" t="s">
        <v>194</v>
      </c>
      <c r="B22" s="47">
        <v>20</v>
      </c>
      <c r="C22" s="135">
        <v>7</v>
      </c>
      <c r="E22" s="63" t="s">
        <v>75</v>
      </c>
      <c r="F22" s="60" t="s">
        <v>30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-3.5999999999999917</v>
      </c>
      <c r="N22" s="115" t="s">
        <v>224</v>
      </c>
      <c r="O22" s="125">
        <f>IF(P22=0,0,Q22/P22)</f>
        <v>-34.75</v>
      </c>
      <c r="P22" s="119">
        <v>2</v>
      </c>
      <c r="Q22" s="107">
        <v>-69.5</v>
      </c>
    </row>
    <row r="23" spans="1:17" x14ac:dyDescent="0.4">
      <c r="A23" s="55" t="s">
        <v>5</v>
      </c>
      <c r="B23" s="51">
        <f>IF(B$17=0,0,C23/B$17)</f>
        <v>9334.9056603773588</v>
      </c>
      <c r="C23" s="41">
        <v>989500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-3.0999999999999917</v>
      </c>
      <c r="N23" s="115" t="s">
        <v>202</v>
      </c>
      <c r="O23" s="125">
        <f>IF(P23=0,0,Q23/P23)</f>
        <v>-51.999999999999993</v>
      </c>
      <c r="P23" s="119">
        <v>2</v>
      </c>
      <c r="Q23" s="107">
        <v>-103.99999999999999</v>
      </c>
    </row>
    <row r="24" spans="1:17" x14ac:dyDescent="0.4">
      <c r="A24" s="57" t="s">
        <v>14</v>
      </c>
      <c r="B24" s="52">
        <f>IF(B$20=0,0,C24/B$20)</f>
        <v>-7267.6923076923076</v>
      </c>
      <c r="C24" s="45">
        <v>-472400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2">
        <v>7</v>
      </c>
      <c r="C25" s="143"/>
      <c r="E25" s="63" t="s">
        <v>80</v>
      </c>
      <c r="F25" s="60" t="s">
        <v>35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0">
        <v>91700</v>
      </c>
      <c r="C26" s="141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2.3474178403755869E-3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-39.999999999999986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-71.099999999999994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-116.49999999999999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92</v>
      </c>
      <c r="F32" s="60" t="s">
        <v>47</v>
      </c>
      <c r="G32" s="47">
        <v>0</v>
      </c>
      <c r="H32" s="133">
        <f>IF(B$17=0,0,G32/B$17)</f>
        <v>0</v>
      </c>
      <c r="I32" s="94">
        <v>8</v>
      </c>
      <c r="K32" s="38">
        <v>30</v>
      </c>
      <c r="L32" s="99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-79.300000000000011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AB844-E8F0-4389-86D8-23EC2944024C}">
  <sheetPr codeName="Sheet1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6" t="s">
        <v>172</v>
      </c>
      <c r="C1" s="147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8">
        <v>49</v>
      </c>
      <c r="C2" s="149"/>
      <c r="E2" s="62" t="s">
        <v>67</v>
      </c>
      <c r="F2" s="59" t="s">
        <v>23</v>
      </c>
      <c r="G2" s="46">
        <v>110</v>
      </c>
      <c r="H2" s="132">
        <f>IF(B$17=0,0,G2/B$17)</f>
        <v>0.6875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269.38775510204084</v>
      </c>
      <c r="P2" s="118">
        <v>49</v>
      </c>
      <c r="Q2" s="102">
        <v>13200</v>
      </c>
    </row>
    <row r="3" spans="1:17" x14ac:dyDescent="0.4">
      <c r="A3" s="55" t="s">
        <v>8</v>
      </c>
      <c r="B3" s="150">
        <v>429</v>
      </c>
      <c r="C3" s="151"/>
      <c r="E3" s="63" t="s">
        <v>73</v>
      </c>
      <c r="F3" s="60" t="s">
        <v>28</v>
      </c>
      <c r="G3" s="47">
        <v>95</v>
      </c>
      <c r="H3" s="133">
        <f>IF(B$17=0,0,G3/B$17)</f>
        <v>0.59375</v>
      </c>
      <c r="I3" s="94">
        <v>3</v>
      </c>
      <c r="K3" s="38">
        <v>1</v>
      </c>
      <c r="L3" s="99">
        <v>11.1</v>
      </c>
      <c r="N3" s="115" t="s">
        <v>133</v>
      </c>
      <c r="O3" s="122">
        <f t="shared" si="0"/>
        <v>316.32653061224488</v>
      </c>
      <c r="P3" s="119">
        <v>49</v>
      </c>
      <c r="Q3" s="103">
        <v>15500</v>
      </c>
    </row>
    <row r="4" spans="1:17" x14ac:dyDescent="0.4">
      <c r="A4" s="55" t="s">
        <v>6</v>
      </c>
      <c r="B4" s="152">
        <v>113</v>
      </c>
      <c r="C4" s="153"/>
      <c r="E4" s="63" t="s">
        <v>181</v>
      </c>
      <c r="F4" s="60" t="s">
        <v>182</v>
      </c>
      <c r="G4" s="47">
        <v>64</v>
      </c>
      <c r="H4" s="133">
        <f>IF(B$17=0,0,G4/B$17)</f>
        <v>0.4</v>
      </c>
      <c r="I4" s="94">
        <v>6</v>
      </c>
      <c r="K4" s="38">
        <v>2</v>
      </c>
      <c r="L4" s="99">
        <v>-7.7000000000000011</v>
      </c>
      <c r="N4" s="115" t="s">
        <v>134</v>
      </c>
      <c r="O4" s="122">
        <f t="shared" si="0"/>
        <v>-165.90909090909091</v>
      </c>
      <c r="P4" s="119">
        <v>44</v>
      </c>
      <c r="Q4" s="103">
        <v>-7300</v>
      </c>
    </row>
    <row r="5" spans="1:17" x14ac:dyDescent="0.4">
      <c r="A5" s="55" t="s">
        <v>7</v>
      </c>
      <c r="B5" s="154">
        <f>IF(B$2=0,0,B$4/B$2)</f>
        <v>2.306122448979592</v>
      </c>
      <c r="C5" s="155"/>
      <c r="E5" s="63" t="s">
        <v>65</v>
      </c>
      <c r="F5" s="60" t="s">
        <v>21</v>
      </c>
      <c r="G5" s="47">
        <v>57</v>
      </c>
      <c r="H5" s="133">
        <f>IF(B$17=0,0,G5/B$17)</f>
        <v>0.35625000000000001</v>
      </c>
      <c r="I5" s="94">
        <v>12</v>
      </c>
      <c r="K5" s="38">
        <v>3</v>
      </c>
      <c r="L5" s="99">
        <v>1.7999999999999989</v>
      </c>
      <c r="N5" s="115" t="s">
        <v>135</v>
      </c>
      <c r="O5" s="122">
        <f t="shared" si="0"/>
        <v>743.90243902439022</v>
      </c>
      <c r="P5" s="119">
        <v>41</v>
      </c>
      <c r="Q5" s="103">
        <v>30500</v>
      </c>
    </row>
    <row r="6" spans="1:17" x14ac:dyDescent="0.4">
      <c r="A6" s="55" t="s">
        <v>1</v>
      </c>
      <c r="B6" s="144">
        <f>IF(B$2=0,0,(B$7*1+B$8*2+B$9*3)/B$2)</f>
        <v>2.0204081632653059</v>
      </c>
      <c r="C6" s="145"/>
      <c r="E6" s="63" t="s">
        <v>69</v>
      </c>
      <c r="F6" s="60" t="s">
        <v>12</v>
      </c>
      <c r="G6" s="47">
        <v>44</v>
      </c>
      <c r="H6" s="133">
        <f>IF(B$17=0,0,G6/B$17)</f>
        <v>0.27500000000000002</v>
      </c>
      <c r="I6" s="94">
        <v>8</v>
      </c>
      <c r="K6" s="38">
        <v>4</v>
      </c>
      <c r="L6" s="99">
        <v>34.9</v>
      </c>
      <c r="N6" s="115" t="s">
        <v>136</v>
      </c>
      <c r="O6" s="122">
        <f t="shared" si="0"/>
        <v>1402.5</v>
      </c>
      <c r="P6" s="119">
        <v>40</v>
      </c>
      <c r="Q6" s="103">
        <v>56100</v>
      </c>
    </row>
    <row r="7" spans="1:17" x14ac:dyDescent="0.4">
      <c r="A7" s="55" t="s">
        <v>2</v>
      </c>
      <c r="B7" s="47">
        <v>15</v>
      </c>
      <c r="C7" s="39">
        <f>IF(B$2=0,0,B7/B$2)</f>
        <v>0.30612244897959184</v>
      </c>
      <c r="E7" s="63" t="s">
        <v>68</v>
      </c>
      <c r="F7" s="60" t="s">
        <v>24</v>
      </c>
      <c r="G7" s="47">
        <v>28</v>
      </c>
      <c r="H7" s="133">
        <f>IF(B$17=0,0,G7/B$17)</f>
        <v>0.17499999999999999</v>
      </c>
      <c r="I7" s="94">
        <v>11</v>
      </c>
      <c r="K7" s="38">
        <v>5</v>
      </c>
      <c r="L7" s="99">
        <v>29.4</v>
      </c>
      <c r="N7" s="116" t="s">
        <v>137</v>
      </c>
      <c r="O7" s="123">
        <f t="shared" si="0"/>
        <v>-831.42857142857144</v>
      </c>
      <c r="P7" s="120">
        <v>35</v>
      </c>
      <c r="Q7" s="104">
        <v>-29100</v>
      </c>
    </row>
    <row r="8" spans="1:17" x14ac:dyDescent="0.4">
      <c r="A8" s="55" t="s">
        <v>3</v>
      </c>
      <c r="B8" s="47">
        <v>18</v>
      </c>
      <c r="C8" s="39">
        <f>IF(B$2=0,0,B8/B$2)</f>
        <v>0.36734693877551022</v>
      </c>
      <c r="E8" s="63" t="s">
        <v>70</v>
      </c>
      <c r="F8" s="60" t="s">
        <v>25</v>
      </c>
      <c r="G8" s="47">
        <v>22</v>
      </c>
      <c r="H8" s="133">
        <f>IF(B$17=0,0,G8/B$17)</f>
        <v>0.13750000000000001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0.32653061224489793</v>
      </c>
      <c r="E9" s="63" t="s">
        <v>66</v>
      </c>
      <c r="F9" s="60" t="s">
        <v>22</v>
      </c>
      <c r="G9" s="47">
        <v>16</v>
      </c>
      <c r="H9" s="133">
        <f>IF(B$17=0,0,G9/B$17)</f>
        <v>0.1</v>
      </c>
      <c r="I9" s="94">
        <v>5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6.1224489795918366E-2</v>
      </c>
      <c r="E10" s="63" t="s">
        <v>90</v>
      </c>
      <c r="F10" s="60" t="s">
        <v>45</v>
      </c>
      <c r="G10" s="47">
        <v>11</v>
      </c>
      <c r="H10" s="133">
        <f>IF(B$17=0,0,G10/B$17)</f>
        <v>6.8750000000000006E-2</v>
      </c>
      <c r="I10" s="94">
        <v>11</v>
      </c>
      <c r="K10" s="38">
        <v>8</v>
      </c>
      <c r="L10" s="99">
        <v>-29.5</v>
      </c>
      <c r="N10" s="114" t="s">
        <v>164</v>
      </c>
      <c r="O10" s="124">
        <f>IF(P10=0,0,Q10/P10)</f>
        <v>-10.842857142857145</v>
      </c>
      <c r="P10" s="118">
        <v>14</v>
      </c>
      <c r="Q10" s="106">
        <v>-151.80000000000004</v>
      </c>
    </row>
    <row r="11" spans="1:17" x14ac:dyDescent="0.4">
      <c r="A11" s="56" t="s">
        <v>140</v>
      </c>
      <c r="B11" s="48">
        <v>6</v>
      </c>
      <c r="C11" s="40">
        <f>IF(B$2=0,0,B11/B$2)</f>
        <v>0.12244897959183673</v>
      </c>
      <c r="E11" s="63" t="s">
        <v>71</v>
      </c>
      <c r="F11" s="60" t="s">
        <v>26</v>
      </c>
      <c r="G11" s="47">
        <v>10</v>
      </c>
      <c r="H11" s="133">
        <f>IF(B$17=0,0,G11/B$17)</f>
        <v>6.25E-2</v>
      </c>
      <c r="I11" s="94">
        <v>8</v>
      </c>
      <c r="K11" s="38">
        <v>9</v>
      </c>
      <c r="L11" s="99">
        <v>-56.5</v>
      </c>
      <c r="N11" s="115" t="s">
        <v>165</v>
      </c>
      <c r="O11" s="125">
        <f>IF(P11=0,0,Q11/P11)</f>
        <v>9.9647058823529395</v>
      </c>
      <c r="P11" s="119">
        <v>17</v>
      </c>
      <c r="Q11" s="107">
        <v>169.39999999999998</v>
      </c>
    </row>
    <row r="12" spans="1:17" x14ac:dyDescent="0.4">
      <c r="A12" s="57" t="s">
        <v>160</v>
      </c>
      <c r="B12" s="49">
        <v>2</v>
      </c>
      <c r="C12" s="42">
        <f>IF(B$2=0,0,B12/B$2)</f>
        <v>4.0816326530612242E-2</v>
      </c>
      <c r="E12" s="63" t="s">
        <v>72</v>
      </c>
      <c r="F12" s="60" t="s">
        <v>27</v>
      </c>
      <c r="G12" s="47">
        <v>10</v>
      </c>
      <c r="H12" s="133">
        <f>IF(B$17=0,0,G12/B$17)</f>
        <v>6.25E-2</v>
      </c>
      <c r="I12" s="94">
        <v>5</v>
      </c>
      <c r="K12" s="38">
        <v>10</v>
      </c>
      <c r="L12" s="99">
        <v>24.200000000000003</v>
      </c>
      <c r="N12" s="116" t="s">
        <v>166</v>
      </c>
      <c r="O12" s="126">
        <f>IF(P12=0,0,Q12/P12)</f>
        <v>5.3000000000000007</v>
      </c>
      <c r="P12" s="120">
        <v>18</v>
      </c>
      <c r="Q12" s="108">
        <v>95.4</v>
      </c>
    </row>
    <row r="13" spans="1:17" x14ac:dyDescent="0.4">
      <c r="A13" s="58" t="s">
        <v>122</v>
      </c>
      <c r="B13" s="50">
        <v>94</v>
      </c>
      <c r="C13" s="44">
        <f>IF(B$3=0,0,B13/B$3)</f>
        <v>0.21911421911421911</v>
      </c>
      <c r="E13" s="63" t="s">
        <v>84</v>
      </c>
      <c r="F13" s="60" t="s">
        <v>39</v>
      </c>
      <c r="G13" s="47">
        <v>8</v>
      </c>
      <c r="H13" s="133">
        <f>IF(B$17=0,0,G13/B$17)</f>
        <v>0.05</v>
      </c>
      <c r="I13" s="94">
        <v>5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132</v>
      </c>
      <c r="C14" s="39">
        <f>IF(B$3=0,0,B14/B$3)</f>
        <v>0.30769230769230771</v>
      </c>
      <c r="E14" s="63" t="s">
        <v>87</v>
      </c>
      <c r="F14" s="60" t="s">
        <v>42</v>
      </c>
      <c r="G14" s="47">
        <v>8</v>
      </c>
      <c r="H14" s="133">
        <f>IF(B$17=0,0,G14/B$17)</f>
        <v>0.05</v>
      </c>
      <c r="I14" s="94">
        <v>7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57</v>
      </c>
      <c r="C15" s="37">
        <f>IF(B$13=0,0,B15/B$13)</f>
        <v>0.6063829787234043</v>
      </c>
      <c r="E15" s="63" t="s">
        <v>82</v>
      </c>
      <c r="F15" s="60" t="s">
        <v>37</v>
      </c>
      <c r="G15" s="47">
        <v>5</v>
      </c>
      <c r="H15" s="133">
        <f>IF(B$17=0,0,G15/B$17)</f>
        <v>3.125E-2</v>
      </c>
      <c r="I15" s="94">
        <v>8</v>
      </c>
      <c r="K15" s="38">
        <v>13</v>
      </c>
      <c r="L15" s="99">
        <v>-3</v>
      </c>
      <c r="N15" s="114" t="s">
        <v>129</v>
      </c>
      <c r="O15" s="124">
        <f>IF(P15=0,0,Q15/P15)</f>
        <v>80.185714285714283</v>
      </c>
      <c r="P15" s="118">
        <v>7</v>
      </c>
      <c r="Q15" s="106">
        <v>561.29999999999995</v>
      </c>
    </row>
    <row r="16" spans="1:17" x14ac:dyDescent="0.4">
      <c r="A16" s="54" t="s">
        <v>125</v>
      </c>
      <c r="B16" s="46">
        <v>57</v>
      </c>
      <c r="C16" s="37">
        <f>IF(B$14=0,0,B16/B$14)</f>
        <v>0.43181818181818182</v>
      </c>
      <c r="E16" s="63" t="s">
        <v>79</v>
      </c>
      <c r="F16" s="60" t="s">
        <v>34</v>
      </c>
      <c r="G16" s="47">
        <v>2</v>
      </c>
      <c r="H16" s="133">
        <f>IF(B$17=0,0,G16/B$17)</f>
        <v>1.2500000000000001E-2</v>
      </c>
      <c r="I16" s="94">
        <v>8</v>
      </c>
      <c r="K16" s="38">
        <v>14</v>
      </c>
      <c r="L16" s="99">
        <v>-12.3</v>
      </c>
      <c r="N16" s="115" t="s">
        <v>177</v>
      </c>
      <c r="O16" s="125">
        <f>IF(P16=0,0,Q16/P16)</f>
        <v>18.733333333333334</v>
      </c>
      <c r="P16" s="119">
        <v>6</v>
      </c>
      <c r="Q16" s="107">
        <v>112.4</v>
      </c>
    </row>
    <row r="17" spans="1:17" x14ac:dyDescent="0.4">
      <c r="A17" s="54" t="s">
        <v>10</v>
      </c>
      <c r="B17" s="46">
        <f>B19+B18</f>
        <v>160</v>
      </c>
      <c r="C17" s="37">
        <f>IF(B$3=0,0,B17/B$3)</f>
        <v>0.37296037296037299</v>
      </c>
      <c r="E17" s="63" t="s">
        <v>80</v>
      </c>
      <c r="F17" s="60" t="s">
        <v>35</v>
      </c>
      <c r="G17" s="47">
        <v>2</v>
      </c>
      <c r="H17" s="133">
        <f>IF(B$17=0,0,G17/B$17)</f>
        <v>1.2500000000000001E-2</v>
      </c>
      <c r="I17" s="94">
        <v>7</v>
      </c>
      <c r="K17" s="38">
        <v>15</v>
      </c>
      <c r="L17" s="99">
        <v>-80.3</v>
      </c>
      <c r="N17" s="115" t="s">
        <v>186</v>
      </c>
      <c r="O17" s="125">
        <f>IF(P17=0,0,Q17/P17)</f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69</v>
      </c>
      <c r="C18" s="39">
        <f>IF(B$17=0,0,B18/B$17)</f>
        <v>0.43125000000000002</v>
      </c>
      <c r="E18" s="63" t="s">
        <v>92</v>
      </c>
      <c r="F18" s="60" t="s">
        <v>47</v>
      </c>
      <c r="G18" s="47">
        <v>2</v>
      </c>
      <c r="H18" s="133">
        <f>IF(B$17=0,0,G18/B$17)</f>
        <v>1.2500000000000001E-2</v>
      </c>
      <c r="I18" s="94">
        <v>6</v>
      </c>
      <c r="K18" s="38">
        <v>16</v>
      </c>
      <c r="L18" s="99">
        <v>-87.6</v>
      </c>
      <c r="N18" s="115" t="s">
        <v>202</v>
      </c>
      <c r="O18" s="125">
        <f>IF(P18=0,0,Q18/P18)</f>
        <v>16.449999999999996</v>
      </c>
      <c r="P18" s="119">
        <v>4</v>
      </c>
      <c r="Q18" s="107">
        <v>65.799999999999983</v>
      </c>
    </row>
    <row r="19" spans="1:17" x14ac:dyDescent="0.4">
      <c r="A19" s="55" t="s">
        <v>11</v>
      </c>
      <c r="B19" s="47">
        <v>91</v>
      </c>
      <c r="C19" s="39">
        <f>IF(B$17=0,0,B19/B$17)</f>
        <v>0.56874999999999998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6</v>
      </c>
      <c r="K19" s="38">
        <v>17</v>
      </c>
      <c r="L19" s="99">
        <v>-55.099999999999994</v>
      </c>
      <c r="N19" s="115" t="s">
        <v>173</v>
      </c>
      <c r="O19" s="125">
        <f>IF(P19=0,0,Q19/P19)</f>
        <v>9.2399999999999984</v>
      </c>
      <c r="P19" s="119">
        <v>10</v>
      </c>
      <c r="Q19" s="107">
        <v>92.399999999999977</v>
      </c>
    </row>
    <row r="20" spans="1:17" x14ac:dyDescent="0.4">
      <c r="A20" s="55" t="s">
        <v>13</v>
      </c>
      <c r="B20" s="47">
        <v>56</v>
      </c>
      <c r="C20" s="39">
        <f>IF(B$3=0,0,B20/B$3)</f>
        <v>0.13053613053613053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4</v>
      </c>
      <c r="K20" s="38">
        <v>18</v>
      </c>
      <c r="L20" s="99">
        <v>-28.199999999999996</v>
      </c>
      <c r="N20" s="115" t="s">
        <v>171</v>
      </c>
      <c r="O20" s="125">
        <f>IF(P20=0,0,Q20/P20)</f>
        <v>1.0923076923076911</v>
      </c>
      <c r="P20" s="119">
        <v>13</v>
      </c>
      <c r="Q20" s="107">
        <v>14.199999999999983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29.200000000000003</v>
      </c>
      <c r="N21" s="115" t="s">
        <v>128</v>
      </c>
      <c r="O21" s="125">
        <f>IF(P21=0,0,Q21/P21)</f>
        <v>-0.41379310344827624</v>
      </c>
      <c r="P21" s="119">
        <v>29</v>
      </c>
      <c r="Q21" s="107">
        <v>-12.000000000000011</v>
      </c>
    </row>
    <row r="22" spans="1:17" x14ac:dyDescent="0.4">
      <c r="A22" s="55" t="s">
        <v>194</v>
      </c>
      <c r="B22" s="47">
        <v>23</v>
      </c>
      <c r="C22" s="135">
        <v>3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43</v>
      </c>
      <c r="N22" s="115" t="s">
        <v>127</v>
      </c>
      <c r="O22" s="125">
        <f>IF(P22=0,0,Q22/P22)</f>
        <v>-19.622222222222224</v>
      </c>
      <c r="P22" s="119">
        <v>27</v>
      </c>
      <c r="Q22" s="107">
        <v>-529.80000000000007</v>
      </c>
    </row>
    <row r="23" spans="1:17" x14ac:dyDescent="0.4">
      <c r="A23" s="55" t="s">
        <v>5</v>
      </c>
      <c r="B23" s="51">
        <f>IF(B$17=0,0,C23/B$17)</f>
        <v>6588.75</v>
      </c>
      <c r="C23" s="41">
        <v>1054200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89.9</v>
      </c>
    </row>
    <row r="24" spans="1:17" x14ac:dyDescent="0.4">
      <c r="A24" s="57" t="s">
        <v>14</v>
      </c>
      <c r="B24" s="52">
        <f>IF(B$20=0,0,C24/B$20)</f>
        <v>-9412.5</v>
      </c>
      <c r="C24" s="45">
        <v>-527100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2">
        <v>7</v>
      </c>
      <c r="C25" s="143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0">
        <v>97500</v>
      </c>
      <c r="C26" s="141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2.331002331002331E-3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30.400000000000006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113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28B0D-0E97-462E-A859-BDFB9C712342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6" t="s">
        <v>173</v>
      </c>
      <c r="C1" s="147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8">
        <v>36</v>
      </c>
      <c r="C2" s="149"/>
      <c r="E2" s="62" t="s">
        <v>67</v>
      </c>
      <c r="F2" s="59" t="s">
        <v>23</v>
      </c>
      <c r="G2" s="46">
        <v>73</v>
      </c>
      <c r="H2" s="132">
        <f>IF(B$17=0,0,G2/B$17)</f>
        <v>0.74489795918367352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-2694.4444444444443</v>
      </c>
      <c r="P2" s="118">
        <v>36</v>
      </c>
      <c r="Q2" s="102">
        <v>-97000</v>
      </c>
    </row>
    <row r="3" spans="1:17" x14ac:dyDescent="0.4">
      <c r="A3" s="55" t="s">
        <v>8</v>
      </c>
      <c r="B3" s="150">
        <v>319</v>
      </c>
      <c r="C3" s="151"/>
      <c r="E3" s="63" t="s">
        <v>73</v>
      </c>
      <c r="F3" s="60" t="s">
        <v>28</v>
      </c>
      <c r="G3" s="47">
        <v>51</v>
      </c>
      <c r="H3" s="133">
        <f>IF(B$17=0,0,G3/B$17)</f>
        <v>0.52040816326530615</v>
      </c>
      <c r="I3" s="94">
        <v>7</v>
      </c>
      <c r="K3" s="38">
        <v>1</v>
      </c>
      <c r="L3" s="99">
        <v>-82.6</v>
      </c>
      <c r="N3" s="115" t="s">
        <v>133</v>
      </c>
      <c r="O3" s="122">
        <f t="shared" si="0"/>
        <v>1827.7777777777778</v>
      </c>
      <c r="P3" s="119">
        <v>36</v>
      </c>
      <c r="Q3" s="103">
        <v>65800</v>
      </c>
    </row>
    <row r="4" spans="1:17" x14ac:dyDescent="0.4">
      <c r="A4" s="55" t="s">
        <v>6</v>
      </c>
      <c r="B4" s="152">
        <v>-190.5</v>
      </c>
      <c r="C4" s="153"/>
      <c r="E4" s="63" t="s">
        <v>65</v>
      </c>
      <c r="F4" s="60" t="s">
        <v>21</v>
      </c>
      <c r="G4" s="47">
        <v>44</v>
      </c>
      <c r="H4" s="133">
        <f>IF(B$17=0,0,G4/B$17)</f>
        <v>0.44897959183673469</v>
      </c>
      <c r="I4" s="94">
        <v>11</v>
      </c>
      <c r="K4" s="38">
        <v>2</v>
      </c>
      <c r="L4" s="99">
        <v>-122.3</v>
      </c>
      <c r="N4" s="115" t="s">
        <v>134</v>
      </c>
      <c r="O4" s="122">
        <f t="shared" si="0"/>
        <v>-888.23529411764707</v>
      </c>
      <c r="P4" s="119">
        <v>34</v>
      </c>
      <c r="Q4" s="103">
        <v>-30200</v>
      </c>
    </row>
    <row r="5" spans="1:17" x14ac:dyDescent="0.4">
      <c r="A5" s="55" t="s">
        <v>7</v>
      </c>
      <c r="B5" s="154">
        <f>IF(B$2=0,0,B$4/B$2)</f>
        <v>-5.291666666666667</v>
      </c>
      <c r="C5" s="155"/>
      <c r="E5" s="63" t="s">
        <v>69</v>
      </c>
      <c r="F5" s="60" t="s">
        <v>12</v>
      </c>
      <c r="G5" s="47">
        <v>38</v>
      </c>
      <c r="H5" s="133">
        <f>IF(B$17=0,0,G5/B$17)</f>
        <v>0.38775510204081631</v>
      </c>
      <c r="I5" s="94">
        <v>4</v>
      </c>
      <c r="K5" s="38">
        <v>3</v>
      </c>
      <c r="L5" s="99">
        <v>-149</v>
      </c>
      <c r="N5" s="115" t="s">
        <v>135</v>
      </c>
      <c r="O5" s="122">
        <f t="shared" si="0"/>
        <v>-4443.75</v>
      </c>
      <c r="P5" s="119">
        <v>32</v>
      </c>
      <c r="Q5" s="103">
        <v>-142200</v>
      </c>
    </row>
    <row r="6" spans="1:17" x14ac:dyDescent="0.4">
      <c r="A6" s="55" t="s">
        <v>1</v>
      </c>
      <c r="B6" s="144">
        <f>IF(B$2=0,0,(B$7*1+B$8*2+B$9*3)/B$2)</f>
        <v>2.0555555555555554</v>
      </c>
      <c r="C6" s="145"/>
      <c r="E6" s="63" t="s">
        <v>181</v>
      </c>
      <c r="F6" s="60" t="s">
        <v>182</v>
      </c>
      <c r="G6" s="47">
        <v>34</v>
      </c>
      <c r="H6" s="133">
        <f>IF(B$17=0,0,G6/B$17)</f>
        <v>0.34693877551020408</v>
      </c>
      <c r="I6" s="94">
        <v>10</v>
      </c>
      <c r="K6" s="38">
        <v>4</v>
      </c>
      <c r="L6" s="99">
        <v>-150.6</v>
      </c>
      <c r="N6" s="115" t="s">
        <v>136</v>
      </c>
      <c r="O6" s="122">
        <f t="shared" si="0"/>
        <v>782.75862068965512</v>
      </c>
      <c r="P6" s="119">
        <v>29</v>
      </c>
      <c r="Q6" s="103">
        <v>22700</v>
      </c>
    </row>
    <row r="7" spans="1:17" x14ac:dyDescent="0.4">
      <c r="A7" s="55" t="s">
        <v>2</v>
      </c>
      <c r="B7" s="47">
        <v>10</v>
      </c>
      <c r="C7" s="39">
        <f>IF(B$2=0,0,B7/B$2)</f>
        <v>0.27777777777777779</v>
      </c>
      <c r="E7" s="63" t="s">
        <v>68</v>
      </c>
      <c r="F7" s="60" t="s">
        <v>24</v>
      </c>
      <c r="G7" s="47">
        <v>26</v>
      </c>
      <c r="H7" s="133">
        <f>IF(B$17=0,0,G7/B$17)</f>
        <v>0.26530612244897961</v>
      </c>
      <c r="I7" s="94">
        <v>9</v>
      </c>
      <c r="K7" s="38">
        <v>5</v>
      </c>
      <c r="L7" s="99">
        <v>-184.89999999999998</v>
      </c>
      <c r="N7" s="116" t="s">
        <v>137</v>
      </c>
      <c r="O7" s="123">
        <f t="shared" si="0"/>
        <v>1085.7142857142858</v>
      </c>
      <c r="P7" s="120">
        <v>28</v>
      </c>
      <c r="Q7" s="104">
        <v>30400</v>
      </c>
    </row>
    <row r="8" spans="1:17" x14ac:dyDescent="0.4">
      <c r="A8" s="55" t="s">
        <v>3</v>
      </c>
      <c r="B8" s="47">
        <v>14</v>
      </c>
      <c r="C8" s="39">
        <f>IF(B$2=0,0,B8/B$2)</f>
        <v>0.3888888888888889</v>
      </c>
      <c r="E8" s="63" t="s">
        <v>71</v>
      </c>
      <c r="F8" s="60" t="s">
        <v>26</v>
      </c>
      <c r="G8" s="47">
        <v>12</v>
      </c>
      <c r="H8" s="133">
        <f>IF(B$17=0,0,G8/B$17)</f>
        <v>0.12244897959183673</v>
      </c>
      <c r="I8" s="94">
        <v>3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12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12</v>
      </c>
      <c r="H9" s="133">
        <f>IF(B$17=0,0,G9/B$17)</f>
        <v>0.12244897959183673</v>
      </c>
      <c r="I9" s="94">
        <v>6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0.1111111111111111</v>
      </c>
      <c r="E10" s="63" t="s">
        <v>70</v>
      </c>
      <c r="F10" s="60" t="s">
        <v>25</v>
      </c>
      <c r="G10" s="47">
        <v>10</v>
      </c>
      <c r="H10" s="133">
        <f>IF(B$17=0,0,G10/B$17)</f>
        <v>0.10204081632653061</v>
      </c>
      <c r="I10" s="94">
        <v>10</v>
      </c>
      <c r="K10" s="38">
        <v>8</v>
      </c>
      <c r="L10" s="99">
        <v>-219.59999999999997</v>
      </c>
      <c r="N10" s="114" t="s">
        <v>164</v>
      </c>
      <c r="O10" s="124">
        <f>IF(P10=0,0,Q10/P10)</f>
        <v>-2.9000000000000004</v>
      </c>
      <c r="P10" s="118">
        <v>9</v>
      </c>
      <c r="Q10" s="106">
        <v>-26.1</v>
      </c>
    </row>
    <row r="11" spans="1:17" x14ac:dyDescent="0.4">
      <c r="A11" s="56" t="s">
        <v>140</v>
      </c>
      <c r="B11" s="48">
        <v>2</v>
      </c>
      <c r="C11" s="40">
        <f>IF(B$2=0,0,B11/B$2)</f>
        <v>5.5555555555555552E-2</v>
      </c>
      <c r="E11" s="63" t="s">
        <v>66</v>
      </c>
      <c r="F11" s="60" t="s">
        <v>22</v>
      </c>
      <c r="G11" s="47">
        <v>7</v>
      </c>
      <c r="H11" s="133">
        <f>IF(B$17=0,0,G11/B$17)</f>
        <v>7.1428571428571425E-2</v>
      </c>
      <c r="I11" s="94">
        <v>9</v>
      </c>
      <c r="K11" s="38">
        <v>9</v>
      </c>
      <c r="L11" s="99">
        <v>-260.59999999999997</v>
      </c>
      <c r="N11" s="115" t="s">
        <v>165</v>
      </c>
      <c r="O11" s="125">
        <f>IF(P11=0,0,Q11/P11)</f>
        <v>-6.8647058823529399</v>
      </c>
      <c r="P11" s="119">
        <v>17</v>
      </c>
      <c r="Q11" s="107">
        <v>-116.69999999999997</v>
      </c>
    </row>
    <row r="12" spans="1:17" x14ac:dyDescent="0.4">
      <c r="A12" s="57" t="s">
        <v>160</v>
      </c>
      <c r="B12" s="49">
        <v>1</v>
      </c>
      <c r="C12" s="42">
        <f>IF(B$2=0,0,B12/B$2)</f>
        <v>2.7777777777777776E-2</v>
      </c>
      <c r="E12" s="63" t="s">
        <v>72</v>
      </c>
      <c r="F12" s="60" t="s">
        <v>27</v>
      </c>
      <c r="G12" s="47">
        <v>6</v>
      </c>
      <c r="H12" s="133">
        <f>IF(B$17=0,0,G12/B$17)</f>
        <v>6.1224489795918366E-2</v>
      </c>
      <c r="I12" s="94">
        <v>7</v>
      </c>
      <c r="K12" s="38">
        <v>10</v>
      </c>
      <c r="L12" s="99">
        <v>-318.39999999999998</v>
      </c>
      <c r="N12" s="116" t="s">
        <v>166</v>
      </c>
      <c r="O12" s="126">
        <f>IF(P12=0,0,Q12/P12)</f>
        <v>-4.7699999999999987</v>
      </c>
      <c r="P12" s="120">
        <v>10</v>
      </c>
      <c r="Q12" s="108">
        <v>-47.699999999999989</v>
      </c>
    </row>
    <row r="13" spans="1:17" x14ac:dyDescent="0.4">
      <c r="A13" s="58" t="s">
        <v>122</v>
      </c>
      <c r="B13" s="50">
        <v>74</v>
      </c>
      <c r="C13" s="44">
        <f>IF(B$3=0,0,B13/B$3)</f>
        <v>0.23197492163009403</v>
      </c>
      <c r="E13" s="63" t="s">
        <v>87</v>
      </c>
      <c r="F13" s="60" t="s">
        <v>42</v>
      </c>
      <c r="G13" s="47">
        <v>4</v>
      </c>
      <c r="H13" s="133">
        <f>IF(B$17=0,0,G13/B$17)</f>
        <v>4.0816326530612242E-2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81</v>
      </c>
      <c r="C14" s="39">
        <f>IF(B$3=0,0,B14/B$3)</f>
        <v>0.25391849529780564</v>
      </c>
      <c r="E14" s="63" t="s">
        <v>74</v>
      </c>
      <c r="F14" s="60" t="s">
        <v>29</v>
      </c>
      <c r="G14" s="47">
        <v>2</v>
      </c>
      <c r="H14" s="133">
        <f>IF(B$17=0,0,G14/B$17)</f>
        <v>2.0408163265306121E-2</v>
      </c>
      <c r="I14" s="94">
        <v>2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45</v>
      </c>
      <c r="C15" s="37">
        <f>IF(B$13=0,0,B15/B$13)</f>
        <v>0.60810810810810811</v>
      </c>
      <c r="E15" s="63" t="s">
        <v>79</v>
      </c>
      <c r="F15" s="60" t="s">
        <v>34</v>
      </c>
      <c r="G15" s="47">
        <v>2</v>
      </c>
      <c r="H15" s="133">
        <f>IF(B$17=0,0,G15/B$17)</f>
        <v>2.0408163265306121E-2</v>
      </c>
      <c r="I15" s="94">
        <v>3</v>
      </c>
      <c r="K15" s="38">
        <v>13</v>
      </c>
      <c r="L15" s="99">
        <v>-302.59999999999997</v>
      </c>
      <c r="N15" s="114" t="s">
        <v>129</v>
      </c>
      <c r="O15" s="124">
        <f>IF(P15=0,0,Q15/P15)</f>
        <v>30.733333333333334</v>
      </c>
      <c r="P15" s="118">
        <v>6</v>
      </c>
      <c r="Q15" s="106">
        <v>184.4</v>
      </c>
    </row>
    <row r="16" spans="1:17" x14ac:dyDescent="0.4">
      <c r="A16" s="54" t="s">
        <v>125</v>
      </c>
      <c r="B16" s="46">
        <v>27</v>
      </c>
      <c r="C16" s="37">
        <f>IF(B$14=0,0,B16/B$14)</f>
        <v>0.33333333333333331</v>
      </c>
      <c r="E16" s="63" t="s">
        <v>80</v>
      </c>
      <c r="F16" s="60" t="s">
        <v>35</v>
      </c>
      <c r="G16" s="47">
        <v>2</v>
      </c>
      <c r="H16" s="133">
        <f>IF(B$17=0,0,G16/B$17)</f>
        <v>2.0408163265306121E-2</v>
      </c>
      <c r="I16" s="94">
        <v>2</v>
      </c>
      <c r="K16" s="38">
        <v>14</v>
      </c>
      <c r="L16" s="99">
        <v>-269.99999999999994</v>
      </c>
      <c r="N16" s="115" t="s">
        <v>128</v>
      </c>
      <c r="O16" s="125">
        <f>IF(P16=0,0,Q16/P16)</f>
        <v>3.6750000000000016</v>
      </c>
      <c r="P16" s="119">
        <v>20</v>
      </c>
      <c r="Q16" s="107">
        <v>73.500000000000028</v>
      </c>
    </row>
    <row r="17" spans="1:17" x14ac:dyDescent="0.4">
      <c r="A17" s="54" t="s">
        <v>10</v>
      </c>
      <c r="B17" s="46">
        <f>B19+B18</f>
        <v>98</v>
      </c>
      <c r="C17" s="37">
        <f>IF(B$3=0,0,B17/B$3)</f>
        <v>0.30721003134796238</v>
      </c>
      <c r="E17" s="63" t="s">
        <v>84</v>
      </c>
      <c r="F17" s="60" t="s">
        <v>39</v>
      </c>
      <c r="G17" s="47">
        <v>2</v>
      </c>
      <c r="H17" s="133">
        <f>IF(B$17=0,0,G17/B$17)</f>
        <v>2.0408163265306121E-2</v>
      </c>
      <c r="I17" s="94">
        <v>8</v>
      </c>
      <c r="K17" s="38">
        <v>15</v>
      </c>
      <c r="L17" s="99">
        <v>-264.59999999999997</v>
      </c>
      <c r="N17" s="115" t="s">
        <v>172</v>
      </c>
      <c r="O17" s="125">
        <f>IF(P17=0,0,Q17/P17)</f>
        <v>-9.2399999999999984</v>
      </c>
      <c r="P17" s="119">
        <v>10</v>
      </c>
      <c r="Q17" s="107">
        <v>-92.399999999999977</v>
      </c>
    </row>
    <row r="18" spans="1:17" x14ac:dyDescent="0.4">
      <c r="A18" s="55" t="s">
        <v>12</v>
      </c>
      <c r="B18" s="47">
        <v>51</v>
      </c>
      <c r="C18" s="39">
        <f>IF(B$17=0,0,B18/B$17)</f>
        <v>0.52040816326530615</v>
      </c>
      <c r="E18" s="63" t="s">
        <v>92</v>
      </c>
      <c r="F18" s="60" t="s">
        <v>47</v>
      </c>
      <c r="G18" s="47">
        <v>1</v>
      </c>
      <c r="H18" s="133">
        <f>IF(B$17=0,0,G18/B$17)</f>
        <v>1.020408163265306E-2</v>
      </c>
      <c r="I18" s="94">
        <v>7</v>
      </c>
      <c r="K18" s="38">
        <v>16</v>
      </c>
      <c r="L18" s="99">
        <v>-292.79999999999995</v>
      </c>
      <c r="N18" s="115" t="s">
        <v>171</v>
      </c>
      <c r="O18" s="125">
        <f>IF(P18=0,0,Q18/P18)</f>
        <v>-13.349999999999998</v>
      </c>
      <c r="P18" s="119">
        <v>14</v>
      </c>
      <c r="Q18" s="107">
        <v>-186.89999999999998</v>
      </c>
    </row>
    <row r="19" spans="1:17" x14ac:dyDescent="0.4">
      <c r="A19" s="55" t="s">
        <v>11</v>
      </c>
      <c r="B19" s="47">
        <v>47</v>
      </c>
      <c r="C19" s="39">
        <f>IF(B$17=0,0,B19/B$17)</f>
        <v>0.47959183673469385</v>
      </c>
      <c r="E19" s="63" t="s">
        <v>180</v>
      </c>
      <c r="F19" s="60" t="s">
        <v>183</v>
      </c>
      <c r="G19" s="47">
        <v>1</v>
      </c>
      <c r="H19" s="133">
        <f>IF(B$17=0,0,G19/B$17)</f>
        <v>1.020408163265306E-2</v>
      </c>
      <c r="I19" s="94">
        <v>5</v>
      </c>
      <c r="K19" s="38">
        <v>17</v>
      </c>
      <c r="L19" s="99">
        <v>-248.89999999999995</v>
      </c>
      <c r="N19" s="115" t="s">
        <v>177</v>
      </c>
      <c r="O19" s="125">
        <f>IF(P19=0,0,Q19/P19)</f>
        <v>-17.950000000000003</v>
      </c>
      <c r="P19" s="119">
        <v>2</v>
      </c>
      <c r="Q19" s="107">
        <v>-35.900000000000006</v>
      </c>
    </row>
    <row r="20" spans="1:17" x14ac:dyDescent="0.4">
      <c r="A20" s="55" t="s">
        <v>13</v>
      </c>
      <c r="B20" s="47">
        <v>59</v>
      </c>
      <c r="C20" s="39">
        <f>IF(B$3=0,0,B20/B$3)</f>
        <v>0.18495297805642633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4</v>
      </c>
      <c r="K20" s="38">
        <v>18</v>
      </c>
      <c r="L20" s="99">
        <v>-218.99999999999994</v>
      </c>
      <c r="N20" s="115" t="s">
        <v>127</v>
      </c>
      <c r="O20" s="125">
        <f>IF(P20=0,0,Q20/P20)</f>
        <v>-23.644444444444439</v>
      </c>
      <c r="P20" s="119">
        <v>18</v>
      </c>
      <c r="Q20" s="107">
        <v>-425.59999999999991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-188.59999999999994</v>
      </c>
      <c r="N21" s="115" t="s">
        <v>202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2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-182.79999999999993</v>
      </c>
      <c r="N22" s="115" t="s">
        <v>185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6919.3877551020405</v>
      </c>
      <c r="C23" s="41">
        <v>678100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-7866.1016949152545</v>
      </c>
      <c r="C24" s="45">
        <v>-464100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2">
        <v>6</v>
      </c>
      <c r="C25" s="143"/>
      <c r="E25" s="63" t="s">
        <v>82</v>
      </c>
      <c r="F25" s="60" t="s">
        <v>37</v>
      </c>
      <c r="G25" s="47">
        <v>0</v>
      </c>
      <c r="H25" s="133">
        <f>IF(B$17=0,0,G25/B$17)</f>
        <v>0</v>
      </c>
      <c r="I25" s="94">
        <v>10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0">
        <v>85900</v>
      </c>
      <c r="C26" s="141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1</v>
      </c>
      <c r="C27" s="42">
        <f>IF(B$3=0,0,B27/B$3)</f>
        <v>3.134796238244514E-3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-344.29999999999995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-285.09999999999997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5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-194.1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C9F8C-BDDC-473E-BCC6-33F9979DF04D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6" t="s">
        <v>177</v>
      </c>
      <c r="C1" s="147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8">
        <v>24</v>
      </c>
      <c r="C2" s="149"/>
      <c r="E2" s="62" t="s">
        <v>67</v>
      </c>
      <c r="F2" s="59" t="s">
        <v>23</v>
      </c>
      <c r="G2" s="46">
        <v>29</v>
      </c>
      <c r="H2" s="132">
        <f>IF(B$17=0,0,G2/B$17)</f>
        <v>0.55769230769230771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-2770.8333333333335</v>
      </c>
      <c r="P2" s="118">
        <v>24</v>
      </c>
      <c r="Q2" s="102">
        <v>-66500</v>
      </c>
    </row>
    <row r="3" spans="1:17" x14ac:dyDescent="0.4">
      <c r="A3" s="55" t="s">
        <v>8</v>
      </c>
      <c r="B3" s="150">
        <v>198</v>
      </c>
      <c r="C3" s="151"/>
      <c r="E3" s="63" t="s">
        <v>73</v>
      </c>
      <c r="F3" s="60" t="s">
        <v>28</v>
      </c>
      <c r="G3" s="47">
        <v>29</v>
      </c>
      <c r="H3" s="133">
        <f>IF(B$17=0,0,G3/B$17)</f>
        <v>0.55769230769230771</v>
      </c>
      <c r="I3" s="94">
        <v>5</v>
      </c>
      <c r="K3" s="38">
        <v>1</v>
      </c>
      <c r="L3" s="99">
        <v>-1.9</v>
      </c>
      <c r="N3" s="115" t="s">
        <v>133</v>
      </c>
      <c r="O3" s="122">
        <f t="shared" si="0"/>
        <v>-1282.608695652174</v>
      </c>
      <c r="P3" s="119">
        <v>23</v>
      </c>
      <c r="Q3" s="103">
        <v>-29500</v>
      </c>
    </row>
    <row r="4" spans="1:17" x14ac:dyDescent="0.4">
      <c r="A4" s="55" t="s">
        <v>6</v>
      </c>
      <c r="B4" s="152">
        <v>-204</v>
      </c>
      <c r="C4" s="153"/>
      <c r="E4" s="63" t="s">
        <v>65</v>
      </c>
      <c r="F4" s="60" t="s">
        <v>21</v>
      </c>
      <c r="G4" s="47">
        <v>26</v>
      </c>
      <c r="H4" s="133">
        <f>IF(B$17=0,0,G4/B$17)</f>
        <v>0.5</v>
      </c>
      <c r="I4" s="94">
        <v>7</v>
      </c>
      <c r="K4" s="38">
        <v>2</v>
      </c>
      <c r="L4" s="99">
        <v>30</v>
      </c>
      <c r="N4" s="115" t="s">
        <v>134</v>
      </c>
      <c r="O4" s="122">
        <f t="shared" si="0"/>
        <v>-1042.8571428571429</v>
      </c>
      <c r="P4" s="119">
        <v>21</v>
      </c>
      <c r="Q4" s="103">
        <v>-21900</v>
      </c>
    </row>
    <row r="5" spans="1:17" x14ac:dyDescent="0.4">
      <c r="A5" s="55" t="s">
        <v>7</v>
      </c>
      <c r="B5" s="154">
        <f>IF(B$2=0,0,B$4/B$2)</f>
        <v>-8.5</v>
      </c>
      <c r="C5" s="155"/>
      <c r="E5" s="63" t="s">
        <v>181</v>
      </c>
      <c r="F5" s="60" t="s">
        <v>182</v>
      </c>
      <c r="G5" s="47">
        <v>18</v>
      </c>
      <c r="H5" s="133">
        <f>IF(B$17=0,0,G5/B$17)</f>
        <v>0.34615384615384615</v>
      </c>
      <c r="I5" s="94">
        <v>11</v>
      </c>
      <c r="K5" s="38">
        <v>3</v>
      </c>
      <c r="L5" s="99">
        <v>-10</v>
      </c>
      <c r="N5" s="115" t="s">
        <v>135</v>
      </c>
      <c r="O5" s="122">
        <f t="shared" si="0"/>
        <v>-404.76190476190476</v>
      </c>
      <c r="P5" s="119">
        <v>21</v>
      </c>
      <c r="Q5" s="103">
        <v>-8500</v>
      </c>
    </row>
    <row r="6" spans="1:17" x14ac:dyDescent="0.4">
      <c r="A6" s="55" t="s">
        <v>1</v>
      </c>
      <c r="B6" s="144">
        <f>IF(B$2=0,0,(B$7*1+B$8*2+B$9*3)/B$2)</f>
        <v>2.0833333333333335</v>
      </c>
      <c r="C6" s="145"/>
      <c r="E6" s="63" t="s">
        <v>68</v>
      </c>
      <c r="F6" s="60" t="s">
        <v>24</v>
      </c>
      <c r="G6" s="47">
        <v>13</v>
      </c>
      <c r="H6" s="133">
        <f>IF(B$17=0,0,G6/B$17)</f>
        <v>0.25</v>
      </c>
      <c r="I6" s="94">
        <v>10</v>
      </c>
      <c r="K6" s="38">
        <v>4</v>
      </c>
      <c r="L6" s="99">
        <v>40</v>
      </c>
      <c r="N6" s="115" t="s">
        <v>136</v>
      </c>
      <c r="O6" s="122">
        <f t="shared" si="0"/>
        <v>-1100</v>
      </c>
      <c r="P6" s="119">
        <v>20</v>
      </c>
      <c r="Q6" s="103">
        <v>-22000</v>
      </c>
    </row>
    <row r="7" spans="1:17" x14ac:dyDescent="0.4">
      <c r="A7" s="55" t="s">
        <v>2</v>
      </c>
      <c r="B7" s="47">
        <v>7</v>
      </c>
      <c r="C7" s="39">
        <f>IF(B$2=0,0,B7/B$2)</f>
        <v>0.29166666666666669</v>
      </c>
      <c r="E7" s="63" t="s">
        <v>69</v>
      </c>
      <c r="F7" s="60" t="s">
        <v>12</v>
      </c>
      <c r="G7" s="47">
        <v>11</v>
      </c>
      <c r="H7" s="133">
        <f>IF(B$17=0,0,G7/B$17)</f>
        <v>0.21153846153846154</v>
      </c>
      <c r="I7" s="94">
        <v>11</v>
      </c>
      <c r="K7" s="38">
        <v>5</v>
      </c>
      <c r="L7" s="99">
        <v>35.4</v>
      </c>
      <c r="N7" s="116" t="s">
        <v>137</v>
      </c>
      <c r="O7" s="123">
        <f t="shared" si="0"/>
        <v>976.47058823529414</v>
      </c>
      <c r="P7" s="120">
        <v>17</v>
      </c>
      <c r="Q7" s="104">
        <v>16600</v>
      </c>
    </row>
    <row r="8" spans="1:17" x14ac:dyDescent="0.4">
      <c r="A8" s="55" t="s">
        <v>3</v>
      </c>
      <c r="B8" s="47">
        <v>8</v>
      </c>
      <c r="C8" s="39">
        <f>IF(B$2=0,0,B8/B$2)</f>
        <v>0.33333333333333331</v>
      </c>
      <c r="E8" s="63" t="s">
        <v>70</v>
      </c>
      <c r="F8" s="60" t="s">
        <v>25</v>
      </c>
      <c r="G8" s="47">
        <v>8</v>
      </c>
      <c r="H8" s="133">
        <f>IF(B$17=0,0,G8/B$17)</f>
        <v>0.15384615384615385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ref="C9" si="1">IF(B$2=0,0,B9/B$2)</f>
        <v>0.375</v>
      </c>
      <c r="E9" s="63" t="s">
        <v>90</v>
      </c>
      <c r="F9" s="60" t="s">
        <v>45</v>
      </c>
      <c r="G9" s="47">
        <v>6</v>
      </c>
      <c r="H9" s="133">
        <f>IF(B$17=0,0,G9/B$17)</f>
        <v>0.11538461538461539</v>
      </c>
      <c r="I9" s="94">
        <v>8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0.20833333333333334</v>
      </c>
      <c r="E10" s="63" t="s">
        <v>66</v>
      </c>
      <c r="F10" s="60" t="s">
        <v>22</v>
      </c>
      <c r="G10" s="47">
        <v>4</v>
      </c>
      <c r="H10" s="133">
        <f>IF(B$17=0,0,G10/B$17)</f>
        <v>7.6923076923076927E-2</v>
      </c>
      <c r="I10" s="94">
        <v>7</v>
      </c>
      <c r="K10" s="38">
        <v>8</v>
      </c>
      <c r="L10" s="99">
        <v>-87.1</v>
      </c>
      <c r="N10" s="114" t="s">
        <v>164</v>
      </c>
      <c r="O10" s="124">
        <f>IF(P10=0,0,Q10/P10)</f>
        <v>-3.1500000000000012</v>
      </c>
      <c r="P10" s="118">
        <v>4</v>
      </c>
      <c r="Q10" s="106">
        <v>-12.600000000000005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3</v>
      </c>
      <c r="H11" s="133">
        <f>IF(B$17=0,0,G11/B$17)</f>
        <v>5.7692307692307696E-2</v>
      </c>
      <c r="I11" s="94">
        <v>3</v>
      </c>
      <c r="K11" s="38">
        <v>9</v>
      </c>
      <c r="L11" s="99">
        <v>-128.6</v>
      </c>
      <c r="N11" s="115" t="s">
        <v>165</v>
      </c>
      <c r="O11" s="125">
        <f>IF(P11=0,0,Q11/P11)</f>
        <v>-12.25</v>
      </c>
      <c r="P11" s="119">
        <v>8</v>
      </c>
      <c r="Q11" s="107">
        <v>-98</v>
      </c>
    </row>
    <row r="12" spans="1:17" x14ac:dyDescent="0.4">
      <c r="A12" s="57" t="s">
        <v>160</v>
      </c>
      <c r="B12" s="49">
        <v>2</v>
      </c>
      <c r="C12" s="42">
        <f>IF(B$2=0,0,B12/B$2)</f>
        <v>8.3333333333333329E-2</v>
      </c>
      <c r="E12" s="63" t="s">
        <v>92</v>
      </c>
      <c r="F12" s="60" t="s">
        <v>47</v>
      </c>
      <c r="G12" s="47">
        <v>3</v>
      </c>
      <c r="H12" s="133">
        <f>IF(B$17=0,0,G12/B$17)</f>
        <v>5.7692307692307696E-2</v>
      </c>
      <c r="I12" s="94">
        <v>1</v>
      </c>
      <c r="K12" s="38">
        <v>10</v>
      </c>
      <c r="L12" s="99">
        <v>-183.7</v>
      </c>
      <c r="N12" s="116" t="s">
        <v>166</v>
      </c>
      <c r="O12" s="126">
        <f>IF(P12=0,0,Q12/P12)</f>
        <v>-7.7833333333333323</v>
      </c>
      <c r="P12" s="120">
        <v>12</v>
      </c>
      <c r="Q12" s="108">
        <v>-93.399999999999991</v>
      </c>
    </row>
    <row r="13" spans="1:17" x14ac:dyDescent="0.4">
      <c r="A13" s="58" t="s">
        <v>122</v>
      </c>
      <c r="B13" s="50">
        <v>40</v>
      </c>
      <c r="C13" s="44">
        <f>IF(B$3=0,0,B13/B$3)</f>
        <v>0.20202020202020202</v>
      </c>
      <c r="E13" s="63" t="s">
        <v>71</v>
      </c>
      <c r="F13" s="60" t="s">
        <v>26</v>
      </c>
      <c r="G13" s="47">
        <v>2</v>
      </c>
      <c r="H13" s="133">
        <f>IF(B$17=0,0,G13/B$17)</f>
        <v>3.8461538461538464E-2</v>
      </c>
      <c r="I13" s="94">
        <v>9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0.22727272727272727</v>
      </c>
      <c r="E14" s="63" t="s">
        <v>72</v>
      </c>
      <c r="F14" s="60" t="s">
        <v>27</v>
      </c>
      <c r="G14" s="47">
        <v>2</v>
      </c>
      <c r="H14" s="133">
        <f>IF(B$17=0,0,G14/B$17)</f>
        <v>3.8461538461538464E-2</v>
      </c>
      <c r="I14" s="94">
        <v>9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25</v>
      </c>
      <c r="C15" s="37">
        <f>IF(B$13=0,0,B15/B$13)</f>
        <v>0.625</v>
      </c>
      <c r="E15" s="63" t="s">
        <v>82</v>
      </c>
      <c r="F15" s="60" t="s">
        <v>37</v>
      </c>
      <c r="G15" s="47">
        <v>2</v>
      </c>
      <c r="H15" s="133">
        <f>IF(B$17=0,0,G15/B$17)</f>
        <v>3.8461538461538464E-2</v>
      </c>
      <c r="I15" s="94">
        <v>4</v>
      </c>
      <c r="K15" s="38">
        <v>13</v>
      </c>
      <c r="L15" s="99">
        <v>-209.59999999999997</v>
      </c>
      <c r="N15" s="114" t="s">
        <v>202</v>
      </c>
      <c r="O15" s="124">
        <f>IF(P15=0,0,Q15/P15)</f>
        <v>81.5</v>
      </c>
      <c r="P15" s="118">
        <v>1</v>
      </c>
      <c r="Q15" s="106">
        <v>81.5</v>
      </c>
    </row>
    <row r="16" spans="1:17" x14ac:dyDescent="0.4">
      <c r="A16" s="54" t="s">
        <v>125</v>
      </c>
      <c r="B16" s="46">
        <v>18</v>
      </c>
      <c r="C16" s="37">
        <f>IF(B$14=0,0,B16/B$14)</f>
        <v>0.4</v>
      </c>
      <c r="E16" s="63" t="s">
        <v>75</v>
      </c>
      <c r="F16" s="60" t="s">
        <v>30</v>
      </c>
      <c r="G16" s="47">
        <v>1</v>
      </c>
      <c r="H16" s="133">
        <f>IF(B$17=0,0,G16/B$17)</f>
        <v>1.9230769230769232E-2</v>
      </c>
      <c r="I16" s="94">
        <v>1</v>
      </c>
      <c r="K16" s="38">
        <v>14</v>
      </c>
      <c r="L16" s="99">
        <v>-178.49999999999997</v>
      </c>
      <c r="N16" s="115" t="s">
        <v>186</v>
      </c>
      <c r="O16" s="125">
        <f>IF(P16=0,0,Q16/P16)</f>
        <v>60.800000000000004</v>
      </c>
      <c r="P16" s="119">
        <v>2</v>
      </c>
      <c r="Q16" s="107">
        <v>121.60000000000001</v>
      </c>
    </row>
    <row r="17" spans="1:17" x14ac:dyDescent="0.4">
      <c r="A17" s="54" t="s">
        <v>10</v>
      </c>
      <c r="B17" s="46">
        <f>B19+B18</f>
        <v>52</v>
      </c>
      <c r="C17" s="37">
        <f>IF(B$3=0,0,B17/B$3)</f>
        <v>0.26262626262626265</v>
      </c>
      <c r="E17" s="63" t="s">
        <v>76</v>
      </c>
      <c r="F17" s="60" t="s">
        <v>31</v>
      </c>
      <c r="G17" s="47">
        <v>1</v>
      </c>
      <c r="H17" s="133">
        <f>IF(B$17=0,0,G17/B$17)</f>
        <v>1.9230769230769232E-2</v>
      </c>
      <c r="I17" s="94">
        <v>2</v>
      </c>
      <c r="K17" s="38">
        <v>15</v>
      </c>
      <c r="L17" s="99">
        <v>-146.19999999999999</v>
      </c>
      <c r="N17" s="115" t="s">
        <v>173</v>
      </c>
      <c r="O17" s="125">
        <f>IF(P17=0,0,Q17/P17)</f>
        <v>17.95</v>
      </c>
      <c r="P17" s="119">
        <v>2</v>
      </c>
      <c r="Q17" s="107">
        <v>35.9</v>
      </c>
    </row>
    <row r="18" spans="1:17" x14ac:dyDescent="0.4">
      <c r="A18" s="55" t="s">
        <v>12</v>
      </c>
      <c r="B18" s="47">
        <v>20</v>
      </c>
      <c r="C18" s="39">
        <f>IF(B$17=0,0,B18/B$17)</f>
        <v>0.38461538461538464</v>
      </c>
      <c r="E18" s="63" t="s">
        <v>79</v>
      </c>
      <c r="F18" s="60" t="s">
        <v>34</v>
      </c>
      <c r="G18" s="47">
        <v>1</v>
      </c>
      <c r="H18" s="133">
        <f>IF(B$17=0,0,G18/B$17)</f>
        <v>1.9230769230769232E-2</v>
      </c>
      <c r="I18" s="94">
        <v>4</v>
      </c>
      <c r="K18" s="38">
        <v>16</v>
      </c>
      <c r="L18" s="99">
        <v>-153.29999999999998</v>
      </c>
      <c r="N18" s="115" t="s">
        <v>171</v>
      </c>
      <c r="O18" s="125">
        <f>IF(P18=0,0,Q18/P18)</f>
        <v>12.149999999999999</v>
      </c>
      <c r="P18" s="119">
        <v>2</v>
      </c>
      <c r="Q18" s="107">
        <v>24.299999999999997</v>
      </c>
    </row>
    <row r="19" spans="1:17" x14ac:dyDescent="0.4">
      <c r="A19" s="55" t="s">
        <v>11</v>
      </c>
      <c r="B19" s="47">
        <v>32</v>
      </c>
      <c r="C19" s="39">
        <f>IF(B$17=0,0,B19/B$17)</f>
        <v>0.61538461538461542</v>
      </c>
      <c r="E19" s="63" t="s">
        <v>86</v>
      </c>
      <c r="F19" s="60" t="s">
        <v>41</v>
      </c>
      <c r="G19" s="47">
        <v>1</v>
      </c>
      <c r="H19" s="133">
        <f>IF(B$17=0,0,G19/B$17)</f>
        <v>1.9230769230769232E-2</v>
      </c>
      <c r="I19" s="94">
        <v>1</v>
      </c>
      <c r="K19" s="38">
        <v>17</v>
      </c>
      <c r="L19" s="99">
        <v>-161.19999999999999</v>
      </c>
      <c r="N19" s="115" t="s">
        <v>128</v>
      </c>
      <c r="O19" s="125">
        <f>IF(P19=0,0,Q19/P19)</f>
        <v>-2.4333333333333322</v>
      </c>
      <c r="P19" s="119">
        <v>18</v>
      </c>
      <c r="Q19" s="107">
        <v>-43.799999999999983</v>
      </c>
    </row>
    <row r="20" spans="1:17" x14ac:dyDescent="0.4">
      <c r="A20" s="55" t="s">
        <v>13</v>
      </c>
      <c r="B20" s="47">
        <v>37</v>
      </c>
      <c r="C20" s="39">
        <f>IF(B$3=0,0,B20/B$3)</f>
        <v>0.18686868686868688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6</v>
      </c>
      <c r="K20" s="38">
        <v>18</v>
      </c>
      <c r="L20" s="99">
        <v>-159</v>
      </c>
      <c r="N20" s="115" t="s">
        <v>172</v>
      </c>
      <c r="O20" s="125">
        <f>IF(P20=0,0,Q20/P20)</f>
        <v>-18.733333333333338</v>
      </c>
      <c r="P20" s="119">
        <v>6</v>
      </c>
      <c r="Q20" s="107">
        <v>-112.40000000000002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-235.6</v>
      </c>
      <c r="N21" s="115" t="s">
        <v>127</v>
      </c>
      <c r="O21" s="125">
        <f>IF(P21=0,0,Q21/P21)</f>
        <v>-41.150000000000006</v>
      </c>
      <c r="P21" s="119">
        <v>10</v>
      </c>
      <c r="Q21" s="107">
        <v>-411.50000000000006</v>
      </c>
    </row>
    <row r="22" spans="1:17" x14ac:dyDescent="0.4">
      <c r="A22" s="55" t="s">
        <v>194</v>
      </c>
      <c r="B22" s="47">
        <v>21</v>
      </c>
      <c r="C22" s="135">
        <v>0</v>
      </c>
      <c r="E22" s="63" t="s">
        <v>78</v>
      </c>
      <c r="F22" s="60" t="s">
        <v>33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-200.8</v>
      </c>
      <c r="N22" s="115" t="s">
        <v>129</v>
      </c>
      <c r="O22" s="125">
        <f>IF(P22=0,0,Q22/P22)</f>
        <v>-42.625000000000007</v>
      </c>
      <c r="P22" s="119">
        <v>4</v>
      </c>
      <c r="Q22" s="107">
        <v>-170.50000000000003</v>
      </c>
    </row>
    <row r="23" spans="1:17" x14ac:dyDescent="0.4">
      <c r="A23" s="55" t="s">
        <v>5</v>
      </c>
      <c r="B23" s="51">
        <f>IF(B$17=0,0,C23/B$17)</f>
        <v>7163.4615384615381</v>
      </c>
      <c r="C23" s="41">
        <v>372500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8</v>
      </c>
      <c r="K23" s="38">
        <v>21</v>
      </c>
      <c r="L23" s="99">
        <v>-188.60000000000002</v>
      </c>
      <c r="N23" s="115" t="s">
        <v>185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-7291.8918918918916</v>
      </c>
      <c r="C24" s="45">
        <v>-269800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2">
        <v>7</v>
      </c>
      <c r="C25" s="143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0">
        <v>65000</v>
      </c>
      <c r="C26" s="141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1</v>
      </c>
      <c r="C27" s="42">
        <f>IF(B$3=0,0,B27/B$3)</f>
        <v>5.0505050505050509E-3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10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EEDDD-6179-49ED-B097-F23816F3F236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6" t="s">
        <v>185</v>
      </c>
      <c r="C1" s="147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8">
        <v>3</v>
      </c>
      <c r="C2" s="149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0">
        <v>19</v>
      </c>
      <c r="C3" s="151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10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2">
        <v>61</v>
      </c>
      <c r="C4" s="153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2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4">
        <f>IF(B$2=0,0,B$4/B$2)</f>
        <v>20.333333333333332</v>
      </c>
      <c r="C5" s="155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4">
        <f>IF(B$2=0,0,(B$7*1+B$8*2+B$9*3)/B$2)</f>
        <v>1.3333333333333333</v>
      </c>
      <c r="C6" s="145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181</v>
      </c>
      <c r="F7" s="60" t="s">
        <v>182</v>
      </c>
      <c r="G7" s="47">
        <v>2</v>
      </c>
      <c r="H7" s="133">
        <f>IF(B$17=0,0,G7/B$17)</f>
        <v>0.4</v>
      </c>
      <c r="I7" s="94">
        <v>6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12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5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4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7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8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10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2">
        <v>3</v>
      </c>
      <c r="C25" s="143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40">
        <v>53500</v>
      </c>
      <c r="C26" s="141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8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F6869-D991-44E2-8865-641A7207D55F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6" t="s">
        <v>186</v>
      </c>
      <c r="C1" s="147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8">
        <v>10</v>
      </c>
      <c r="C2" s="149"/>
      <c r="E2" s="62" t="s">
        <v>67</v>
      </c>
      <c r="F2" s="59" t="s">
        <v>23</v>
      </c>
      <c r="G2" s="46">
        <v>16</v>
      </c>
      <c r="H2" s="132">
        <f>IF(B$17=0,0,G2/B$17)</f>
        <v>0.8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-1860</v>
      </c>
      <c r="P2" s="118">
        <v>10</v>
      </c>
      <c r="Q2" s="102">
        <v>-18600</v>
      </c>
    </row>
    <row r="3" spans="1:17" x14ac:dyDescent="0.4">
      <c r="A3" s="55" t="s">
        <v>8</v>
      </c>
      <c r="B3" s="150">
        <v>85</v>
      </c>
      <c r="C3" s="151"/>
      <c r="E3" s="63" t="s">
        <v>73</v>
      </c>
      <c r="F3" s="60" t="s">
        <v>28</v>
      </c>
      <c r="G3" s="47">
        <v>16</v>
      </c>
      <c r="H3" s="133">
        <f>IF(B$17=0,0,G3/B$17)</f>
        <v>0.8</v>
      </c>
      <c r="I3" s="94">
        <v>1</v>
      </c>
      <c r="K3" s="38">
        <v>1</v>
      </c>
      <c r="L3" s="99">
        <v>-43.7</v>
      </c>
      <c r="N3" s="115" t="s">
        <v>133</v>
      </c>
      <c r="O3" s="122">
        <f t="shared" si="0"/>
        <v>-2160</v>
      </c>
      <c r="P3" s="119">
        <v>10</v>
      </c>
      <c r="Q3" s="103">
        <v>-21600</v>
      </c>
    </row>
    <row r="4" spans="1:17" x14ac:dyDescent="0.4">
      <c r="A4" s="55" t="s">
        <v>6</v>
      </c>
      <c r="B4" s="152">
        <v>-197.5</v>
      </c>
      <c r="C4" s="153"/>
      <c r="E4" s="63" t="s">
        <v>65</v>
      </c>
      <c r="F4" s="60" t="s">
        <v>21</v>
      </c>
      <c r="G4" s="47">
        <v>10</v>
      </c>
      <c r="H4" s="133">
        <f>IF(B$17=0,0,G4/B$17)</f>
        <v>0.5</v>
      </c>
      <c r="I4" s="94">
        <v>7</v>
      </c>
      <c r="K4" s="38">
        <v>2</v>
      </c>
      <c r="L4" s="99">
        <v>-76.2</v>
      </c>
      <c r="N4" s="115" t="s">
        <v>134</v>
      </c>
      <c r="O4" s="122">
        <f t="shared" si="0"/>
        <v>-990</v>
      </c>
      <c r="P4" s="119">
        <v>10</v>
      </c>
      <c r="Q4" s="103">
        <v>-9900</v>
      </c>
    </row>
    <row r="5" spans="1:17" x14ac:dyDescent="0.4">
      <c r="A5" s="55" t="s">
        <v>7</v>
      </c>
      <c r="B5" s="154">
        <f>IF(B$2=0,0,B$4/B$2)</f>
        <v>-19.75</v>
      </c>
      <c r="C5" s="155"/>
      <c r="E5" s="63" t="s">
        <v>69</v>
      </c>
      <c r="F5" s="60" t="s">
        <v>12</v>
      </c>
      <c r="G5" s="47">
        <v>6</v>
      </c>
      <c r="H5" s="133">
        <f>IF(B$17=0,0,G5/B$17)</f>
        <v>0.3</v>
      </c>
      <c r="I5" s="94">
        <v>7</v>
      </c>
      <c r="K5" s="38">
        <v>3</v>
      </c>
      <c r="L5" s="99">
        <v>-78.400000000000006</v>
      </c>
      <c r="N5" s="115" t="s">
        <v>135</v>
      </c>
      <c r="O5" s="122">
        <f t="shared" si="0"/>
        <v>-5388.8888888888887</v>
      </c>
      <c r="P5" s="119">
        <v>9</v>
      </c>
      <c r="Q5" s="103">
        <v>-48500</v>
      </c>
    </row>
    <row r="6" spans="1:17" x14ac:dyDescent="0.4">
      <c r="A6" s="55" t="s">
        <v>1</v>
      </c>
      <c r="B6" s="144">
        <f>IF(B$2=0,0,(B$7*1+B$8*2+B$9*3)/B$2)</f>
        <v>2.2999999999999998</v>
      </c>
      <c r="C6" s="145"/>
      <c r="E6" s="63" t="s">
        <v>181</v>
      </c>
      <c r="F6" s="60" t="s">
        <v>182</v>
      </c>
      <c r="G6" s="47">
        <v>5</v>
      </c>
      <c r="H6" s="133">
        <f>IF(B$17=0,0,G6/B$17)</f>
        <v>0.25</v>
      </c>
      <c r="I6" s="94">
        <v>12</v>
      </c>
      <c r="K6" s="38">
        <v>4</v>
      </c>
      <c r="L6" s="99">
        <v>-49.800000000000004</v>
      </c>
      <c r="N6" s="115" t="s">
        <v>136</v>
      </c>
      <c r="O6" s="122">
        <f t="shared" si="0"/>
        <v>1077.7777777777778</v>
      </c>
      <c r="P6" s="119">
        <v>9</v>
      </c>
      <c r="Q6" s="103">
        <v>9700</v>
      </c>
    </row>
    <row r="7" spans="1:17" x14ac:dyDescent="0.4">
      <c r="A7" s="55" t="s">
        <v>2</v>
      </c>
      <c r="B7" s="47">
        <v>3</v>
      </c>
      <c r="C7" s="39">
        <f>IF(B$2=0,0,B7/B$2)</f>
        <v>0.3</v>
      </c>
      <c r="E7" s="63" t="s">
        <v>90</v>
      </c>
      <c r="F7" s="60" t="s">
        <v>45</v>
      </c>
      <c r="G7" s="47">
        <v>4</v>
      </c>
      <c r="H7" s="133">
        <f>IF(B$17=0,0,G7/B$17)</f>
        <v>0.2</v>
      </c>
      <c r="I7" s="94">
        <v>2</v>
      </c>
      <c r="K7" s="38">
        <v>5</v>
      </c>
      <c r="L7" s="99">
        <v>-121</v>
      </c>
      <c r="N7" s="116" t="s">
        <v>137</v>
      </c>
      <c r="O7" s="123">
        <f t="shared" si="0"/>
        <v>-5400</v>
      </c>
      <c r="P7" s="120">
        <v>9</v>
      </c>
      <c r="Q7" s="104">
        <v>-48600</v>
      </c>
    </row>
    <row r="8" spans="1:17" x14ac:dyDescent="0.4">
      <c r="A8" s="55" t="s">
        <v>3</v>
      </c>
      <c r="B8" s="47">
        <v>1</v>
      </c>
      <c r="C8" s="39">
        <f>IF(B$2=0,0,B8/B$2)</f>
        <v>0.1</v>
      </c>
      <c r="E8" s="63" t="s">
        <v>84</v>
      </c>
      <c r="F8" s="60" t="s">
        <v>39</v>
      </c>
      <c r="G8" s="47">
        <v>3</v>
      </c>
      <c r="H8" s="133">
        <f>IF(B$17=0,0,G8/B$17)</f>
        <v>0.15</v>
      </c>
      <c r="I8" s="94">
        <v>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1">IF(B$2=0,0,B9/B$2)</f>
        <v>0.6</v>
      </c>
      <c r="E9" s="63" t="s">
        <v>68</v>
      </c>
      <c r="F9" s="60" t="s">
        <v>24</v>
      </c>
      <c r="G9" s="47">
        <v>2</v>
      </c>
      <c r="H9" s="133">
        <f>IF(B$17=0,0,G9/B$17)</f>
        <v>0.1</v>
      </c>
      <c r="I9" s="94">
        <v>12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0.2</v>
      </c>
      <c r="E10" s="63" t="s">
        <v>70</v>
      </c>
      <c r="F10" s="60" t="s">
        <v>25</v>
      </c>
      <c r="G10" s="47">
        <v>2</v>
      </c>
      <c r="H10" s="133">
        <f>IF(B$17=0,0,G10/B$17)</f>
        <v>0.1</v>
      </c>
      <c r="I10" s="94">
        <v>11</v>
      </c>
      <c r="K10" s="38">
        <v>8</v>
      </c>
      <c r="L10" s="99">
        <v>-170.5</v>
      </c>
      <c r="N10" s="114" t="s">
        <v>164</v>
      </c>
      <c r="O10" s="124">
        <f>IF(P10=0,0,Q10/P10)</f>
        <v>-43.233333333333327</v>
      </c>
      <c r="P10" s="118">
        <v>3</v>
      </c>
      <c r="Q10" s="106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71</v>
      </c>
      <c r="F11" s="60" t="s">
        <v>26</v>
      </c>
      <c r="G11" s="47">
        <v>2</v>
      </c>
      <c r="H11" s="133">
        <f>IF(B$17=0,0,G11/B$17)</f>
        <v>0.1</v>
      </c>
      <c r="I11" s="94">
        <v>7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80</v>
      </c>
      <c r="F12" s="60" t="s">
        <v>35</v>
      </c>
      <c r="G12" s="47">
        <v>2</v>
      </c>
      <c r="H12" s="133">
        <f>IF(B$17=0,0,G12/B$17)</f>
        <v>0.1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0.53333333333333377</v>
      </c>
      <c r="P12" s="120">
        <v>3</v>
      </c>
      <c r="Q12" s="108">
        <v>1.6000000000000014</v>
      </c>
    </row>
    <row r="13" spans="1:17" x14ac:dyDescent="0.4">
      <c r="A13" s="58" t="s">
        <v>122</v>
      </c>
      <c r="B13" s="50">
        <v>18</v>
      </c>
      <c r="C13" s="44">
        <f>IF(B$3=0,0,B13/B$3)</f>
        <v>0.21176470588235294</v>
      </c>
      <c r="E13" s="63" t="s">
        <v>74</v>
      </c>
      <c r="F13" s="60" t="s">
        <v>29</v>
      </c>
      <c r="G13" s="47">
        <v>1</v>
      </c>
      <c r="H13" s="133">
        <f>IF(B$17=0,0,G13/B$17)</f>
        <v>0.05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0.2</v>
      </c>
      <c r="E14" s="63" t="s">
        <v>76</v>
      </c>
      <c r="F14" s="60" t="s">
        <v>31</v>
      </c>
      <c r="G14" s="47">
        <v>1</v>
      </c>
      <c r="H14" s="133">
        <f>IF(B$17=0,0,G14/B$17)</f>
        <v>0.05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</v>
      </c>
      <c r="C15" s="37">
        <f>IF(B$13=0,0,B15/B$13)</f>
        <v>0.55555555555555558</v>
      </c>
      <c r="E15" s="63" t="s">
        <v>82</v>
      </c>
      <c r="F15" s="60" t="s">
        <v>37</v>
      </c>
      <c r="G15" s="47">
        <v>1</v>
      </c>
      <c r="H15" s="133">
        <f>IF(B$17=0,0,G15/B$17)</f>
        <v>0.05</v>
      </c>
      <c r="I15" s="94">
        <v>2</v>
      </c>
      <c r="N15" s="114" t="s">
        <v>129</v>
      </c>
      <c r="O15" s="124">
        <f>IF(P15=0,0,Q15/P15)</f>
        <v>72.3</v>
      </c>
      <c r="P15" s="118">
        <v>1</v>
      </c>
      <c r="Q15" s="106">
        <v>72.3</v>
      </c>
    </row>
    <row r="16" spans="1:17" x14ac:dyDescent="0.4">
      <c r="A16" s="54" t="s">
        <v>125</v>
      </c>
      <c r="B16" s="46">
        <v>8</v>
      </c>
      <c r="C16" s="37">
        <f>IF(B$14=0,0,B16/B$14)</f>
        <v>0.47058823529411764</v>
      </c>
      <c r="E16" s="63" t="s">
        <v>66</v>
      </c>
      <c r="F16" s="60" t="s">
        <v>22</v>
      </c>
      <c r="G16" s="47">
        <v>0</v>
      </c>
      <c r="H16" s="133">
        <f>IF(B$17=0,0,G16/B$17)</f>
        <v>0</v>
      </c>
      <c r="I16" s="94">
        <v>10</v>
      </c>
      <c r="N16" s="115" t="s">
        <v>172</v>
      </c>
      <c r="O16" s="125">
        <f>IF(P16=0,0,Q16/P16)</f>
        <v>-17.350000000000001</v>
      </c>
      <c r="P16" s="119">
        <v>2</v>
      </c>
      <c r="Q16" s="107">
        <v>-34.700000000000003</v>
      </c>
    </row>
    <row r="17" spans="1:17" x14ac:dyDescent="0.4">
      <c r="A17" s="54" t="s">
        <v>10</v>
      </c>
      <c r="B17" s="46">
        <f>B19+B18</f>
        <v>20</v>
      </c>
      <c r="C17" s="37">
        <f>IF(B$3=0,0,B17/B$3)</f>
        <v>0.23529411764705882</v>
      </c>
      <c r="E17" s="63" t="s">
        <v>72</v>
      </c>
      <c r="F17" s="60" t="s">
        <v>27</v>
      </c>
      <c r="G17" s="47">
        <v>0</v>
      </c>
      <c r="H17" s="133">
        <f>IF(B$17=0,0,G17/B$17)</f>
        <v>0</v>
      </c>
      <c r="I17" s="94">
        <v>10</v>
      </c>
      <c r="N17" s="115" t="s">
        <v>128</v>
      </c>
      <c r="O17" s="125">
        <f>IF(P17=0,0,Q17/P17)</f>
        <v>-22.25</v>
      </c>
      <c r="P17" s="119">
        <v>6</v>
      </c>
      <c r="Q17" s="107">
        <v>-133.5</v>
      </c>
    </row>
    <row r="18" spans="1:17" x14ac:dyDescent="0.4">
      <c r="A18" s="55" t="s">
        <v>12</v>
      </c>
      <c r="B18" s="47">
        <v>11</v>
      </c>
      <c r="C18" s="39">
        <f>IF(B$17=0,0,B18/B$17)</f>
        <v>0.55000000000000004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4</v>
      </c>
      <c r="N18" s="115" t="s">
        <v>171</v>
      </c>
      <c r="O18" s="125">
        <f>IF(P18=0,0,Q18/P18)</f>
        <v>-25.400000000000002</v>
      </c>
      <c r="P18" s="119">
        <v>2</v>
      </c>
      <c r="Q18" s="107">
        <v>-50.800000000000004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0.45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127</v>
      </c>
      <c r="O19" s="125">
        <f>IF(P19=0,0,Q19/P19)</f>
        <v>-42.43333333333333</v>
      </c>
      <c r="P19" s="119">
        <v>6</v>
      </c>
      <c r="Q19" s="107">
        <v>-254.6</v>
      </c>
    </row>
    <row r="20" spans="1:17" x14ac:dyDescent="0.4">
      <c r="A20" s="55" t="s">
        <v>13</v>
      </c>
      <c r="B20" s="47">
        <v>23</v>
      </c>
      <c r="C20" s="39">
        <f>IF(B$3=0,0,B20/B$3)</f>
        <v>0.27058823529411763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5</v>
      </c>
      <c r="N20" s="115" t="s">
        <v>177</v>
      </c>
      <c r="O20" s="125">
        <f>IF(P20=0,0,Q20/P20)</f>
        <v>-60.800000000000004</v>
      </c>
      <c r="P20" s="119">
        <v>2</v>
      </c>
      <c r="Q20" s="107">
        <v>-121.60000000000001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10</v>
      </c>
      <c r="N21" s="115" t="s">
        <v>185</v>
      </c>
      <c r="O21" s="125">
        <f>IF(P21=0,0,Q21/P21)</f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10</v>
      </c>
      <c r="C22" s="135">
        <v>4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7365</v>
      </c>
      <c r="C23" s="41">
        <v>147300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-7686.95652173913</v>
      </c>
      <c r="C24" s="45">
        <v>-176800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17" x14ac:dyDescent="0.4">
      <c r="A25" s="90" t="s">
        <v>142</v>
      </c>
      <c r="B25" s="142">
        <v>5</v>
      </c>
      <c r="C25" s="143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40">
        <v>62700</v>
      </c>
      <c r="C26" s="141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10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8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8C16B-5540-416A-BB78-F23598355DB2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6" t="s">
        <v>202</v>
      </c>
      <c r="C1" s="147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8">
        <v>5</v>
      </c>
      <c r="C2" s="149"/>
      <c r="E2" s="62" t="s">
        <v>65</v>
      </c>
      <c r="F2" s="59" t="s">
        <v>21</v>
      </c>
      <c r="G2" s="46">
        <v>7</v>
      </c>
      <c r="H2" s="132">
        <f>IF(B$17=0,0,G2/B$17)</f>
        <v>0.58333333333333337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-5040</v>
      </c>
      <c r="P2" s="118">
        <v>5</v>
      </c>
      <c r="Q2" s="102">
        <v>-25200</v>
      </c>
    </row>
    <row r="3" spans="1:17" x14ac:dyDescent="0.4">
      <c r="A3" s="55" t="s">
        <v>8</v>
      </c>
      <c r="B3" s="150">
        <v>50</v>
      </c>
      <c r="C3" s="151"/>
      <c r="E3" s="63" t="s">
        <v>67</v>
      </c>
      <c r="F3" s="60" t="s">
        <v>23</v>
      </c>
      <c r="G3" s="47">
        <v>7</v>
      </c>
      <c r="H3" s="133">
        <f>IF(B$17=0,0,G3/B$17)</f>
        <v>0.58333333333333337</v>
      </c>
      <c r="I3" s="94">
        <v>11</v>
      </c>
      <c r="K3" s="38">
        <v>1</v>
      </c>
      <c r="L3" s="99">
        <v>-12.5</v>
      </c>
      <c r="N3" s="115" t="s">
        <v>133</v>
      </c>
      <c r="O3" s="122">
        <f t="shared" si="0"/>
        <v>5560</v>
      </c>
      <c r="P3" s="119">
        <v>5</v>
      </c>
      <c r="Q3" s="103">
        <v>27800</v>
      </c>
    </row>
    <row r="4" spans="1:17" x14ac:dyDescent="0.4">
      <c r="A4" s="55" t="s">
        <v>6</v>
      </c>
      <c r="B4" s="152">
        <v>-16.100000000000005</v>
      </c>
      <c r="C4" s="153"/>
      <c r="E4" s="63" t="s">
        <v>68</v>
      </c>
      <c r="F4" s="60" t="s">
        <v>24</v>
      </c>
      <c r="G4" s="47">
        <v>7</v>
      </c>
      <c r="H4" s="133">
        <f>IF(B$17=0,0,G4/B$17)</f>
        <v>0.58333333333333337</v>
      </c>
      <c r="I4" s="94">
        <v>1</v>
      </c>
      <c r="K4" s="38">
        <v>2</v>
      </c>
      <c r="L4" s="99">
        <v>-28.1</v>
      </c>
      <c r="N4" s="115" t="s">
        <v>134</v>
      </c>
      <c r="O4" s="122">
        <f t="shared" si="0"/>
        <v>-3320</v>
      </c>
      <c r="P4" s="119">
        <v>5</v>
      </c>
      <c r="Q4" s="103">
        <v>-16600</v>
      </c>
    </row>
    <row r="5" spans="1:17" x14ac:dyDescent="0.4">
      <c r="A5" s="55" t="s">
        <v>7</v>
      </c>
      <c r="B5" s="154">
        <f>IF(B$2=0,0,B$4/B$2)</f>
        <v>-3.2200000000000011</v>
      </c>
      <c r="C5" s="155"/>
      <c r="E5" s="63" t="s">
        <v>73</v>
      </c>
      <c r="F5" s="60" t="s">
        <v>28</v>
      </c>
      <c r="G5" s="47">
        <v>7</v>
      </c>
      <c r="H5" s="133">
        <f>IF(B$17=0,0,G5/B$17)</f>
        <v>0.58333333333333337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-3500</v>
      </c>
      <c r="P5" s="119">
        <v>5</v>
      </c>
      <c r="Q5" s="103">
        <v>-17500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69</v>
      </c>
      <c r="F6" s="60" t="s">
        <v>12</v>
      </c>
      <c r="G6" s="47">
        <v>5</v>
      </c>
      <c r="H6" s="133">
        <f>IF(B$17=0,0,G6/B$17)</f>
        <v>0.41666666666666669</v>
      </c>
      <c r="I6" s="94">
        <v>2</v>
      </c>
      <c r="K6" s="38">
        <v>4</v>
      </c>
      <c r="L6" s="99">
        <v>19.399999999999995</v>
      </c>
      <c r="N6" s="115" t="s">
        <v>136</v>
      </c>
      <c r="O6" s="122">
        <f t="shared" si="0"/>
        <v>4325</v>
      </c>
      <c r="P6" s="119">
        <v>4</v>
      </c>
      <c r="Q6" s="103">
        <v>17300</v>
      </c>
    </row>
    <row r="7" spans="1:17" x14ac:dyDescent="0.4">
      <c r="A7" s="55" t="s">
        <v>2</v>
      </c>
      <c r="B7" s="47">
        <v>1</v>
      </c>
      <c r="C7" s="39">
        <f>IF(B$2=0,0,B7/B$2)</f>
        <v>0.2</v>
      </c>
      <c r="E7" s="63" t="s">
        <v>70</v>
      </c>
      <c r="F7" s="60" t="s">
        <v>25</v>
      </c>
      <c r="G7" s="47">
        <v>5</v>
      </c>
      <c r="H7" s="133">
        <f>IF(B$17=0,0,G7/B$17)</f>
        <v>0.41666666666666669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-475</v>
      </c>
      <c r="P7" s="120">
        <v>4</v>
      </c>
      <c r="Q7" s="104">
        <v>-1900</v>
      </c>
    </row>
    <row r="8" spans="1:17" x14ac:dyDescent="0.4">
      <c r="A8" s="55" t="s">
        <v>3</v>
      </c>
      <c r="B8" s="47">
        <v>3</v>
      </c>
      <c r="C8" s="39">
        <f>IF(B$2=0,0,B8/B$2)</f>
        <v>0.6</v>
      </c>
      <c r="E8" s="63" t="s">
        <v>181</v>
      </c>
      <c r="F8" s="60" t="s">
        <v>182</v>
      </c>
      <c r="G8" s="47">
        <v>5</v>
      </c>
      <c r="H8" s="133">
        <f>IF(B$17=0,0,G8/B$17)</f>
        <v>0.41666666666666669</v>
      </c>
      <c r="I8" s="94">
        <v>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0.2</v>
      </c>
      <c r="E9" s="63" t="s">
        <v>79</v>
      </c>
      <c r="F9" s="60" t="s">
        <v>34</v>
      </c>
      <c r="G9" s="47">
        <v>2</v>
      </c>
      <c r="H9" s="133">
        <f>IF(B$17=0,0,G9/B$17)</f>
        <v>0.16666666666666666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90</v>
      </c>
      <c r="F10" s="60" t="s">
        <v>45</v>
      </c>
      <c r="G10" s="47">
        <v>2</v>
      </c>
      <c r="H10" s="133">
        <f>IF(B$17=0,0,G10/B$17)</f>
        <v>0.16666666666666666</v>
      </c>
      <c r="I10" s="94">
        <v>3</v>
      </c>
      <c r="N10" s="114" t="s">
        <v>164</v>
      </c>
      <c r="O10" s="124">
        <f>IF(P10=0,0,Q10/P10)</f>
        <v>-15.6</v>
      </c>
      <c r="P10" s="118">
        <v>1</v>
      </c>
      <c r="Q10" s="106">
        <v>-15.6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66</v>
      </c>
      <c r="F11" s="60" t="s">
        <v>22</v>
      </c>
      <c r="G11" s="47">
        <v>1</v>
      </c>
      <c r="H11" s="133">
        <f>IF(B$17=0,0,G11/B$17)</f>
        <v>8.3333333333333329E-2</v>
      </c>
      <c r="I11" s="94">
        <v>6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87</v>
      </c>
      <c r="F12" s="60" t="s">
        <v>42</v>
      </c>
      <c r="G12" s="47">
        <v>1</v>
      </c>
      <c r="H12" s="133">
        <f>IF(B$17=0,0,G12/B$17)</f>
        <v>8.3333333333333329E-2</v>
      </c>
      <c r="I12" s="94">
        <v>2</v>
      </c>
      <c r="N12" s="116" t="s">
        <v>166</v>
      </c>
      <c r="O12" s="126">
        <f>IF(P12=0,0,Q12/P12)</f>
        <v>-2.7333333333333343</v>
      </c>
      <c r="P12" s="120">
        <v>3</v>
      </c>
      <c r="Q12" s="108">
        <v>-8.2000000000000028</v>
      </c>
    </row>
    <row r="13" spans="1:17" x14ac:dyDescent="0.4">
      <c r="A13" s="58" t="s">
        <v>122</v>
      </c>
      <c r="B13" s="50">
        <v>12</v>
      </c>
      <c r="C13" s="44">
        <f>IF(B$3=0,0,B13/B$3)</f>
        <v>0.24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</v>
      </c>
      <c r="C14" s="39">
        <f>IF(B$3=0,0,B14/B$3)</f>
        <v>0.26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</v>
      </c>
      <c r="C15" s="37">
        <f>IF(B$13=0,0,B15/B$13)</f>
        <v>0.58333333333333337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6</v>
      </c>
      <c r="N15" s="114" t="s">
        <v>171</v>
      </c>
      <c r="O15" s="124">
        <f>IF(P15=0,0,Q15/P15)</f>
        <v>52</v>
      </c>
      <c r="P15" s="118">
        <v>2</v>
      </c>
      <c r="Q15" s="106">
        <v>104</v>
      </c>
    </row>
    <row r="16" spans="1:17" x14ac:dyDescent="0.4">
      <c r="A16" s="54" t="s">
        <v>125</v>
      </c>
      <c r="B16" s="46">
        <v>4</v>
      </c>
      <c r="C16" s="37">
        <f>IF(B$14=0,0,B16/B$14)</f>
        <v>0.30769230769230771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4</v>
      </c>
      <c r="N16" s="115" t="s">
        <v>173</v>
      </c>
      <c r="O16" s="125">
        <f>IF(P16=0,0,Q16/P16)</f>
        <v>43.1</v>
      </c>
      <c r="P16" s="119">
        <v>1</v>
      </c>
      <c r="Q16" s="107">
        <v>43.1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0.24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7</v>
      </c>
      <c r="N17" s="115" t="s">
        <v>172</v>
      </c>
      <c r="O17" s="125">
        <f>IF(P17=0,0,Q17/P17)</f>
        <v>-16.450000000000006</v>
      </c>
      <c r="P17" s="119">
        <v>4</v>
      </c>
      <c r="Q17" s="107">
        <v>-65.800000000000026</v>
      </c>
    </row>
    <row r="18" spans="1:17" x14ac:dyDescent="0.4">
      <c r="A18" s="55" t="s">
        <v>12</v>
      </c>
      <c r="B18" s="47">
        <v>7</v>
      </c>
      <c r="C18" s="39">
        <f>IF(B$17=0,0,B18/B$17)</f>
        <v>0.58333333333333337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-23.1</v>
      </c>
      <c r="P18" s="119">
        <v>1</v>
      </c>
      <c r="Q18" s="107">
        <v>-23.1</v>
      </c>
    </row>
    <row r="19" spans="1:17" x14ac:dyDescent="0.4">
      <c r="A19" s="55" t="s">
        <v>11</v>
      </c>
      <c r="B19" s="47">
        <v>5</v>
      </c>
      <c r="C19" s="39">
        <f>IF(B$17=0,0,B19/B$17)</f>
        <v>0.41666666666666669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5</v>
      </c>
      <c r="N19" s="115" t="s">
        <v>128</v>
      </c>
      <c r="O19" s="125">
        <f>IF(P19=0,0,Q19/P19)</f>
        <v>-25</v>
      </c>
      <c r="P19" s="119">
        <v>1</v>
      </c>
      <c r="Q19" s="107">
        <v>-25</v>
      </c>
    </row>
    <row r="20" spans="1:17" x14ac:dyDescent="0.4">
      <c r="A20" s="55" t="s">
        <v>13</v>
      </c>
      <c r="B20" s="47">
        <v>10</v>
      </c>
      <c r="C20" s="39">
        <f>IF(B$3=0,0,B20/B$3)</f>
        <v>0.2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8</v>
      </c>
      <c r="N20" s="115" t="s">
        <v>177</v>
      </c>
      <c r="O20" s="125">
        <f>IF(P20=0,0,Q20/P20)</f>
        <v>-81.5</v>
      </c>
      <c r="P20" s="119">
        <v>1</v>
      </c>
      <c r="Q20" s="107">
        <v>-81.5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8</v>
      </c>
      <c r="C22" s="135">
        <v>3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10</v>
      </c>
    </row>
    <row r="23" spans="1:17" x14ac:dyDescent="0.4">
      <c r="A23" s="55" t="s">
        <v>5</v>
      </c>
      <c r="B23" s="51">
        <f>IF(B$17=0,0,C23/B$17)</f>
        <v>8425</v>
      </c>
      <c r="C23" s="41">
        <v>101100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-5420</v>
      </c>
      <c r="C24" s="45">
        <v>-54200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2">
        <v>4</v>
      </c>
      <c r="C25" s="143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40">
        <v>54800</v>
      </c>
      <c r="C26" s="141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8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E91B7-7A67-4E5A-B49E-5DBFF1086212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6" t="s">
        <v>224</v>
      </c>
      <c r="C1" s="147"/>
      <c r="E1" s="129" t="s">
        <v>167</v>
      </c>
      <c r="F1" s="139" t="s">
        <v>116</v>
      </c>
      <c r="G1" s="138" t="s">
        <v>117</v>
      </c>
      <c r="H1" s="130" t="s">
        <v>118</v>
      </c>
      <c r="I1" s="139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8">
        <v>2</v>
      </c>
      <c r="C2" s="149"/>
      <c r="E2" s="62" t="s">
        <v>67</v>
      </c>
      <c r="F2" s="59" t="s">
        <v>23</v>
      </c>
      <c r="G2" s="46">
        <v>3</v>
      </c>
      <c r="H2" s="132">
        <f>IF(B$17=0,0,G2/B$17)</f>
        <v>1.5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0">
        <v>13</v>
      </c>
      <c r="C3" s="151"/>
      <c r="E3" s="63" t="s">
        <v>65</v>
      </c>
      <c r="F3" s="60" t="s">
        <v>21</v>
      </c>
      <c r="G3" s="47">
        <v>1</v>
      </c>
      <c r="H3" s="133">
        <f>IF(B$17=0,0,G3/B$17)</f>
        <v>0.5</v>
      </c>
      <c r="I3" s="94">
        <v>7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2">
        <v>13.3</v>
      </c>
      <c r="C4" s="153"/>
      <c r="E4" s="63" t="s">
        <v>68</v>
      </c>
      <c r="F4" s="60" t="s">
        <v>24</v>
      </c>
      <c r="G4" s="47">
        <v>1</v>
      </c>
      <c r="H4" s="133">
        <f>IF(B$17=0,0,G4/B$17)</f>
        <v>0.5</v>
      </c>
      <c r="I4" s="94">
        <v>2</v>
      </c>
      <c r="K4" s="38">
        <v>2</v>
      </c>
      <c r="L4" s="99">
        <v>13.3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4">
        <f>IF(B$2=0,0,B$4/B$2)</f>
        <v>6.65</v>
      </c>
      <c r="C5" s="155"/>
      <c r="E5" s="63" t="s">
        <v>69</v>
      </c>
      <c r="F5" s="60" t="s">
        <v>12</v>
      </c>
      <c r="G5" s="47">
        <v>1</v>
      </c>
      <c r="H5" s="133">
        <f>IF(B$17=0,0,G5/B$17)</f>
        <v>0.5</v>
      </c>
      <c r="I5" s="94">
        <v>1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4">
        <f>IF(B$2=0,0,(B$7*1+B$8*2+B$9*3)/B$2)</f>
        <v>1.5</v>
      </c>
      <c r="C6" s="145"/>
      <c r="E6" s="63" t="s">
        <v>82</v>
      </c>
      <c r="F6" s="60" t="s">
        <v>37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55" t="s">
        <v>2</v>
      </c>
      <c r="B7" s="47">
        <v>1</v>
      </c>
      <c r="C7" s="39">
        <f>IF(B$2=0,0,B7/B$2)</f>
        <v>0.5</v>
      </c>
      <c r="E7" s="63" t="s">
        <v>181</v>
      </c>
      <c r="F7" s="60" t="s">
        <v>182</v>
      </c>
      <c r="G7" s="47">
        <v>1</v>
      </c>
      <c r="H7" s="133">
        <f>IF(B$17=0,0,G7/B$17)</f>
        <v>0.5</v>
      </c>
      <c r="I7" s="94">
        <v>1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0.5</v>
      </c>
      <c r="E8" s="63" t="s">
        <v>66</v>
      </c>
      <c r="F8" s="60" t="s">
        <v>22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0</v>
      </c>
      <c r="H9" s="133">
        <f>IF(B$17=0,0,G9/B$17)</f>
        <v>0</v>
      </c>
      <c r="I9" s="94">
        <v>12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71</v>
      </c>
      <c r="F10" s="60" t="s">
        <v>26</v>
      </c>
      <c r="G10" s="47">
        <v>0</v>
      </c>
      <c r="H10" s="133">
        <f>IF(B$17=0,0,G10/B$17)</f>
        <v>0</v>
      </c>
      <c r="I10" s="94">
        <v>10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72</v>
      </c>
      <c r="F11" s="60" t="s">
        <v>27</v>
      </c>
      <c r="G11" s="47">
        <v>0</v>
      </c>
      <c r="H11" s="133">
        <f>IF(B$17=0,0,G11/B$17)</f>
        <v>0</v>
      </c>
      <c r="I11" s="94">
        <v>10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73</v>
      </c>
      <c r="F12" s="60" t="s">
        <v>28</v>
      </c>
      <c r="G12" s="47">
        <v>0</v>
      </c>
      <c r="H12" s="133">
        <f>IF(B$17=0,0,G12/B$17)</f>
        <v>0</v>
      </c>
      <c r="I12" s="94">
        <v>12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6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4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7</v>
      </c>
      <c r="N15" s="114" t="s">
        <v>171</v>
      </c>
      <c r="O15" s="124">
        <f>IF(P15=0,0,Q15/P15)</f>
        <v>34.75</v>
      </c>
      <c r="P15" s="118">
        <v>2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1</v>
      </c>
      <c r="N16" s="115" t="s">
        <v>127</v>
      </c>
      <c r="O16" s="125">
        <f>IF(P16=0,0,Q16/P16)</f>
        <v>-14.799999999999999</v>
      </c>
      <c r="P16" s="119">
        <v>2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5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3">
        <f>IF(B$17=0,0,G18/B$17)</f>
        <v>0</v>
      </c>
      <c r="I18" s="94">
        <v>10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8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83</v>
      </c>
      <c r="F21" s="60" t="s">
        <v>38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84</v>
      </c>
      <c r="F22" s="60" t="s">
        <v>39</v>
      </c>
      <c r="G22" s="47">
        <v>0</v>
      </c>
      <c r="H22" s="133">
        <f>IF(B$17=0,0,G22/B$17)</f>
        <v>0</v>
      </c>
      <c r="I22" s="94">
        <v>10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3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3</v>
      </c>
    </row>
    <row r="25" spans="1:9" x14ac:dyDescent="0.4">
      <c r="A25" s="90" t="s">
        <v>142</v>
      </c>
      <c r="B25" s="142">
        <v>5</v>
      </c>
      <c r="C25" s="143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10</v>
      </c>
    </row>
    <row r="26" spans="1:9" x14ac:dyDescent="0.4">
      <c r="A26" s="58" t="s">
        <v>152</v>
      </c>
      <c r="B26" s="140">
        <v>48300</v>
      </c>
      <c r="C26" s="141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5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4</v>
      </c>
    </row>
    <row r="28" spans="1:9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12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8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FC38A-5A6F-4445-839B-D12DF848E101}">
  <sheetPr codeName="Sheet28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  <row r="5" spans="1:17" x14ac:dyDescent="0.4">
      <c r="A5" s="69">
        <v>2</v>
      </c>
      <c r="B5" s="66">
        <v>13.3</v>
      </c>
      <c r="C5" s="66">
        <v>6.65</v>
      </c>
      <c r="D5" s="71">
        <v>1.5</v>
      </c>
      <c r="E5" s="67">
        <v>0.5</v>
      </c>
      <c r="F5" s="67">
        <v>0</v>
      </c>
      <c r="G5" s="67">
        <v>0.15384615384615385</v>
      </c>
      <c r="H5" s="67">
        <v>7.6923076923076927E-2</v>
      </c>
      <c r="I5" s="68">
        <v>13800</v>
      </c>
      <c r="J5" s="68">
        <v>-12000</v>
      </c>
      <c r="K5" s="67">
        <v>0</v>
      </c>
      <c r="L5" s="67">
        <v>0</v>
      </c>
      <c r="M5" s="67">
        <v>0.23076923076923078</v>
      </c>
      <c r="N5" s="67">
        <v>7.6923076923076927E-2</v>
      </c>
      <c r="O5" s="67">
        <v>0.33333333333333331</v>
      </c>
      <c r="P5" s="67">
        <v>0</v>
      </c>
      <c r="Q5" s="67">
        <v>0.5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008CC-9BF4-44DF-9998-668EB4A92D2D}">
  <sheetPr codeName="Sheet26"/>
  <dimension ref="A1:Q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D9D9A-4DDD-461B-9D7E-A4E7AE5D3820}">
  <sheetPr codeName="Sheet24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8A671-26A3-445F-85D2-F9E986EF013D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825F3-55C7-4697-8D30-B9AE0CBEF41C}">
  <sheetPr codeName="Sheet20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60DF-6B64-41FE-96DC-D7A56B035E2C}">
  <sheetPr codeName="Sheet18"/>
  <dimension ref="A1:Q3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7D30A-CE7D-4C49-AA0B-8011EDE4DD7A}">
  <sheetPr codeName="Sheet16"/>
  <dimension ref="A1:Q5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CB531-E55E-4841-9E4E-4CD7BEA9F16F}">
  <sheetPr codeName="Sheet14"/>
  <dimension ref="A1:Q5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-79.300000000000011</v>
      </c>
      <c r="C54" s="66">
        <v>-1.554901960784314</v>
      </c>
      <c r="D54" s="71">
        <v>2.0784313725490198</v>
      </c>
      <c r="E54" s="67">
        <v>0.27450980392156865</v>
      </c>
      <c r="F54" s="67">
        <v>0.35294117647058826</v>
      </c>
      <c r="G54" s="67">
        <v>0.24882629107981222</v>
      </c>
      <c r="H54" s="67">
        <v>0.15258215962441316</v>
      </c>
      <c r="I54" s="68">
        <v>9334.9056603773588</v>
      </c>
      <c r="J54" s="68">
        <v>-7267.6923076923076</v>
      </c>
      <c r="K54" s="67">
        <v>3.9215686274509803E-2</v>
      </c>
      <c r="L54" s="67">
        <v>0.11764705882352941</v>
      </c>
      <c r="M54" s="67">
        <v>0.25352112676056338</v>
      </c>
      <c r="N54" s="67">
        <v>0.17840375586854459</v>
      </c>
      <c r="O54" s="67">
        <v>0.57407407407407407</v>
      </c>
      <c r="P54" s="67">
        <v>0.34210526315789475</v>
      </c>
      <c r="Q54" s="67">
        <v>0.3867924528301887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1F2A5-56C6-4153-B694-4251456C1D25}">
  <sheetPr codeName="Sheet12"/>
  <dimension ref="A1:Q4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55049-4FB1-4EE9-96BE-D1C72EE30713}">
  <sheetPr codeName="Sheet10"/>
  <dimension ref="A1:Q10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D48F7-EB76-4947-859D-79256C438166}">
  <sheetPr codeName="Sheet8"/>
  <dimension ref="A1:Q9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1677.6000000000013</v>
      </c>
      <c r="C97" s="66">
        <v>17.846808510638311</v>
      </c>
      <c r="D97" s="71">
        <v>1.6276595744680851</v>
      </c>
      <c r="E97" s="67">
        <v>0.56382978723404253</v>
      </c>
      <c r="F97" s="67">
        <v>0.19148936170212766</v>
      </c>
      <c r="G97" s="67">
        <v>0.37664041994750658</v>
      </c>
      <c r="H97" s="67">
        <v>0.15223097112860892</v>
      </c>
      <c r="I97" s="68">
        <v>9144.5993031358885</v>
      </c>
      <c r="J97" s="68">
        <v>-7880.1724137931033</v>
      </c>
      <c r="K97" s="67">
        <v>5.3191489361702128E-2</v>
      </c>
      <c r="L97" s="67">
        <v>0.19148936170212766</v>
      </c>
      <c r="M97" s="67">
        <v>0.33070866141732286</v>
      </c>
      <c r="N97" s="67">
        <v>0.2283464566929134</v>
      </c>
      <c r="O97" s="67">
        <v>0.6071428571428571</v>
      </c>
      <c r="P97" s="67">
        <v>0.52298850574712641</v>
      </c>
      <c r="Q97" s="67">
        <v>0.42857142857142855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AFC41-FE19-448E-A8A3-22078C764B40}">
  <sheetPr codeName="Sheet6"/>
  <dimension ref="A1:Q14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3.1974423109204508E-14</v>
      </c>
      <c r="C140" s="66">
        <v>7.77966499007409E-17</v>
      </c>
      <c r="D140" s="71">
        <v>1.9927007299270072</v>
      </c>
      <c r="E140" s="67">
        <v>0.33819951338199511</v>
      </c>
      <c r="F140" s="67">
        <v>0.33090024330900242</v>
      </c>
      <c r="G140" s="67">
        <v>0.30139372822299654</v>
      </c>
      <c r="H140" s="67">
        <v>0.16666666666666666</v>
      </c>
      <c r="I140" s="68">
        <v>8387.1868978805396</v>
      </c>
      <c r="J140" s="68">
        <v>-8019.5121951219517</v>
      </c>
      <c r="K140" s="67">
        <v>0.10218978102189781</v>
      </c>
      <c r="L140" s="67">
        <v>0.10218978102189781</v>
      </c>
      <c r="M140" s="67">
        <v>0.26887340301974449</v>
      </c>
      <c r="N140" s="67">
        <v>0.21602787456445993</v>
      </c>
      <c r="O140" s="67">
        <v>0.59179265658747304</v>
      </c>
      <c r="P140" s="67">
        <v>0.38306451612903225</v>
      </c>
      <c r="Q140" s="67">
        <v>0.43930635838150289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29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507</vt:i4>
      </vt:variant>
    </vt:vector>
  </HeadingPairs>
  <TitlesOfParts>
    <vt:vector size="552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2019-05-15T15:06:07Z</dcterms:modified>
</cp:coreProperties>
</file>