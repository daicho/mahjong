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E9DDA106-DAC5-41BD-A658-6A414E3546B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65" r:id="rId6"/>
    <sheet name="だいち" sheetId="5267" r:id="rId7"/>
    <sheet name="りくと" sheetId="5269" r:id="rId8"/>
    <sheet name="ただ" sheetId="5271" r:id="rId9"/>
    <sheet name="れんたろう" sheetId="5273" r:id="rId10"/>
    <sheet name="たかの" sheetId="5275" r:id="rId11"/>
    <sheet name="ぱぱ" sheetId="5277" r:id="rId12"/>
    <sheet name="まっつん" sheetId="5279" r:id="rId13"/>
    <sheet name="あさひ" sheetId="5281" r:id="rId14"/>
    <sheet name="いっしー" sheetId="5283" r:id="rId15"/>
    <sheet name="ほたに" sheetId="5285" r:id="rId16"/>
    <sheet name="かわたつ" sheetId="5287" r:id="rId17"/>
    <sheet name="やがさき" sheetId="5289" r:id="rId18"/>
    <sheet name="やがさき2" sheetId="5290" state="hidden" r:id="rId19"/>
    <sheet name="かわたつ2" sheetId="5288" state="hidden" r:id="rId20"/>
    <sheet name="ほたに2" sheetId="5286" state="hidden" r:id="rId21"/>
    <sheet name="いっしー2" sheetId="5284" state="hidden" r:id="rId22"/>
    <sheet name="あさひ2" sheetId="5282" state="hidden" r:id="rId23"/>
    <sheet name="まっつん2" sheetId="5280" state="hidden" r:id="rId24"/>
    <sheet name="ぱぱ2" sheetId="5278" state="hidden" r:id="rId25"/>
    <sheet name="たかの2" sheetId="5276" state="hidden" r:id="rId26"/>
    <sheet name="れんたろう2" sheetId="5274" state="hidden" r:id="rId27"/>
    <sheet name="ただ2" sheetId="5272" state="hidden" r:id="rId28"/>
    <sheet name="りくと2" sheetId="5270" state="hidden" r:id="rId29"/>
    <sheet name="だいち2" sheetId="5268" state="hidden" r:id="rId30"/>
    <sheet name="全体2" sheetId="526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71" l="1"/>
  <c r="O16" i="5275"/>
  <c r="O15" i="5265"/>
  <c r="O16" i="5289"/>
  <c r="O15" i="5289"/>
  <c r="C27" i="5289"/>
  <c r="B24" i="5289"/>
  <c r="C20" i="5289"/>
  <c r="B17" i="5289"/>
  <c r="H49" i="5289" s="1"/>
  <c r="C16" i="5289"/>
  <c r="C15" i="5289"/>
  <c r="H14" i="5289"/>
  <c r="C14" i="5289"/>
  <c r="C13" i="5289"/>
  <c r="O12" i="5289"/>
  <c r="C12" i="5289"/>
  <c r="O11" i="5289"/>
  <c r="C11" i="5289"/>
  <c r="O10" i="5289"/>
  <c r="C10" i="5289"/>
  <c r="C9" i="5289"/>
  <c r="H8" i="5289"/>
  <c r="C8" i="5289"/>
  <c r="O7" i="5289"/>
  <c r="C7" i="5289"/>
  <c r="O6" i="5289"/>
  <c r="B6" i="5289"/>
  <c r="O5" i="5289"/>
  <c r="B5" i="5289"/>
  <c r="O4" i="5289"/>
  <c r="O3" i="5289"/>
  <c r="O2" i="5289"/>
  <c r="O15" i="5287"/>
  <c r="O16" i="5287"/>
  <c r="H42" i="5287"/>
  <c r="H39" i="5287"/>
  <c r="H31" i="5287"/>
  <c r="H30" i="5287"/>
  <c r="C27" i="5287"/>
  <c r="B24" i="5287"/>
  <c r="H21" i="5287"/>
  <c r="C20" i="5287"/>
  <c r="C18" i="5287"/>
  <c r="H17" i="5287"/>
  <c r="B17" i="5287"/>
  <c r="H49" i="5287" s="1"/>
  <c r="H16" i="5287"/>
  <c r="C16" i="5287"/>
  <c r="C15" i="5287"/>
  <c r="H14" i="5287"/>
  <c r="C14" i="5287"/>
  <c r="C13" i="5287"/>
  <c r="O12" i="5287"/>
  <c r="H12" i="5287"/>
  <c r="C12" i="5287"/>
  <c r="O11" i="5287"/>
  <c r="H11" i="5287"/>
  <c r="C11" i="5287"/>
  <c r="O10" i="5287"/>
  <c r="H10" i="5287"/>
  <c r="C10" i="5287"/>
  <c r="H9" i="5287"/>
  <c r="C9" i="5287"/>
  <c r="H8" i="5287"/>
  <c r="C8" i="5287"/>
  <c r="O7" i="5287"/>
  <c r="C7" i="5287"/>
  <c r="O6" i="5287"/>
  <c r="H6" i="5287"/>
  <c r="B6" i="5287"/>
  <c r="O5" i="5287"/>
  <c r="H5" i="5287"/>
  <c r="B5" i="5287"/>
  <c r="O4" i="5287"/>
  <c r="H4" i="5287"/>
  <c r="O3" i="5287"/>
  <c r="H3" i="5287"/>
  <c r="O2" i="5287"/>
  <c r="H2" i="5287"/>
  <c r="O23" i="5273"/>
  <c r="O18" i="5267"/>
  <c r="O25" i="5265"/>
  <c r="H11" i="5289" l="1"/>
  <c r="H5" i="5289"/>
  <c r="H4" i="5289"/>
  <c r="H2" i="5289"/>
  <c r="H10" i="5289"/>
  <c r="H16" i="5289"/>
  <c r="C18" i="5289"/>
  <c r="H31" i="5289"/>
  <c r="H42" i="5289"/>
  <c r="H19" i="5289"/>
  <c r="H24" i="5289"/>
  <c r="H34" i="5289"/>
  <c r="H46" i="5289"/>
  <c r="H7" i="5289"/>
  <c r="H13" i="5289"/>
  <c r="C17" i="5289"/>
  <c r="H38" i="5289"/>
  <c r="H47" i="5289"/>
  <c r="H15" i="5289"/>
  <c r="H3" i="5289"/>
  <c r="H6" i="5289"/>
  <c r="H9" i="5289"/>
  <c r="H12" i="5289"/>
  <c r="H17" i="5289"/>
  <c r="H21" i="5289"/>
  <c r="H30" i="5289"/>
  <c r="H39" i="5289"/>
  <c r="H50" i="5289"/>
  <c r="C19" i="5289"/>
  <c r="H22" i="5289"/>
  <c r="H27" i="5289"/>
  <c r="H35" i="5289"/>
  <c r="H43" i="5289"/>
  <c r="H51" i="5289"/>
  <c r="B23" i="5289"/>
  <c r="H25" i="5289"/>
  <c r="H28" i="5289"/>
  <c r="H32" i="5289"/>
  <c r="H36" i="5289"/>
  <c r="H40" i="5289"/>
  <c r="H44" i="5289"/>
  <c r="H48" i="5289"/>
  <c r="H18" i="5289"/>
  <c r="H20" i="5289"/>
  <c r="H23" i="5289"/>
  <c r="H26" i="5289"/>
  <c r="H29" i="5289"/>
  <c r="H33" i="5289"/>
  <c r="H37" i="5289"/>
  <c r="H41" i="5289"/>
  <c r="H45" i="5289"/>
  <c r="H19" i="5287"/>
  <c r="H34" i="5287"/>
  <c r="H46" i="5287"/>
  <c r="H24" i="5287"/>
  <c r="H7" i="5287"/>
  <c r="H13" i="5287"/>
  <c r="H15" i="5287"/>
  <c r="C17" i="5287"/>
  <c r="H38" i="5287"/>
  <c r="H47" i="5287"/>
  <c r="H50" i="5287"/>
  <c r="C19" i="5287"/>
  <c r="H22" i="5287"/>
  <c r="H27" i="5287"/>
  <c r="H35" i="5287"/>
  <c r="H43" i="5287"/>
  <c r="H51" i="5287"/>
  <c r="B23" i="5287"/>
  <c r="H25" i="5287"/>
  <c r="H28" i="5287"/>
  <c r="H32" i="5287"/>
  <c r="H36" i="5287"/>
  <c r="H40" i="5287"/>
  <c r="H44" i="5287"/>
  <c r="H48" i="5287"/>
  <c r="H18" i="5287"/>
  <c r="H20" i="5287"/>
  <c r="H23" i="5287"/>
  <c r="H26" i="5287"/>
  <c r="H29" i="5287"/>
  <c r="H33" i="5287"/>
  <c r="H37" i="5287"/>
  <c r="H41" i="5287"/>
  <c r="H45" i="5287"/>
  <c r="O17" i="5275" l="1"/>
  <c r="O18" i="5283"/>
  <c r="O20" i="5285" l="1"/>
  <c r="O18" i="5285"/>
  <c r="O15" i="5279"/>
  <c r="O20" i="5269"/>
  <c r="O24" i="5267" l="1"/>
  <c r="O16" i="5285"/>
  <c r="O21" i="5277"/>
  <c r="O15" i="5285"/>
  <c r="O17" i="5285" l="1"/>
  <c r="O19" i="5285"/>
  <c r="C27" i="5285"/>
  <c r="B24" i="5285"/>
  <c r="C20" i="5285"/>
  <c r="B17" i="5285"/>
  <c r="H48" i="5285" s="1"/>
  <c r="C16" i="5285"/>
  <c r="C15" i="5285"/>
  <c r="C14" i="5285"/>
  <c r="C13" i="5285"/>
  <c r="O12" i="5285"/>
  <c r="C12" i="5285"/>
  <c r="O11" i="5285"/>
  <c r="C11" i="5285"/>
  <c r="O10" i="5285"/>
  <c r="C10" i="5285"/>
  <c r="C9" i="5285"/>
  <c r="H8" i="5285"/>
  <c r="C8" i="5285"/>
  <c r="O7" i="5285"/>
  <c r="C7" i="5285"/>
  <c r="O6" i="5285"/>
  <c r="B6" i="5285"/>
  <c r="O5" i="5285"/>
  <c r="B5" i="5285"/>
  <c r="O4" i="5285"/>
  <c r="O3" i="5285"/>
  <c r="O2" i="5285"/>
  <c r="O21" i="5273"/>
  <c r="O18" i="5275"/>
  <c r="O19" i="5265"/>
  <c r="H2" i="5285" l="1"/>
  <c r="C17" i="5285"/>
  <c r="H4" i="5285"/>
  <c r="H10" i="5285"/>
  <c r="H18" i="5285"/>
  <c r="H20" i="5285"/>
  <c r="H23" i="5285"/>
  <c r="H26" i="5285"/>
  <c r="H29" i="5285"/>
  <c r="H33" i="5285"/>
  <c r="H37" i="5285"/>
  <c r="H41" i="5285"/>
  <c r="H45" i="5285"/>
  <c r="H49" i="5285"/>
  <c r="H7" i="5285"/>
  <c r="H13" i="5285"/>
  <c r="H15" i="5285"/>
  <c r="C19" i="5285"/>
  <c r="H21" i="5285"/>
  <c r="H30" i="5285"/>
  <c r="H34" i="5285"/>
  <c r="H38" i="5285"/>
  <c r="H42" i="5285"/>
  <c r="H46" i="5285"/>
  <c r="H50" i="5285"/>
  <c r="H3" i="5285"/>
  <c r="H6" i="5285"/>
  <c r="H9" i="5285"/>
  <c r="H12" i="5285"/>
  <c r="H17" i="5285"/>
  <c r="H19" i="5285"/>
  <c r="H22" i="5285"/>
  <c r="H24" i="5285"/>
  <c r="H27" i="5285"/>
  <c r="H31" i="5285"/>
  <c r="H35" i="5285"/>
  <c r="H39" i="5285"/>
  <c r="H43" i="5285"/>
  <c r="H47" i="5285"/>
  <c r="H51" i="5285"/>
  <c r="H5" i="5285"/>
  <c r="H11" i="5285"/>
  <c r="H14" i="5285"/>
  <c r="H16" i="5285"/>
  <c r="C18" i="5285"/>
  <c r="B23" i="5285"/>
  <c r="H25" i="5285"/>
  <c r="H28" i="5285"/>
  <c r="H32" i="5285"/>
  <c r="H36" i="5285"/>
  <c r="H40" i="5285"/>
  <c r="H44" i="5285"/>
  <c r="O20" i="5275" l="1"/>
  <c r="O16" i="5271"/>
  <c r="O21" i="5279"/>
  <c r="O20" i="5279"/>
  <c r="O22" i="5267" l="1"/>
  <c r="O16" i="5283"/>
  <c r="O20" i="5283" l="1"/>
  <c r="O15" i="5283"/>
  <c r="O15" i="5273"/>
  <c r="O22" i="5271"/>
  <c r="O17" i="5281" l="1"/>
  <c r="O22" i="5277"/>
  <c r="O15" i="5281"/>
  <c r="O21" i="5283"/>
  <c r="O15" i="5269"/>
  <c r="O18" i="5279"/>
  <c r="O17" i="5265"/>
  <c r="O19" i="5283"/>
  <c r="O17" i="5283"/>
  <c r="C27" i="5283"/>
  <c r="B24" i="5283"/>
  <c r="C20" i="5283"/>
  <c r="B17" i="5283"/>
  <c r="H50" i="5283" s="1"/>
  <c r="C16" i="5283"/>
  <c r="C15" i="5283"/>
  <c r="C14" i="5283"/>
  <c r="C13" i="5283"/>
  <c r="O12" i="5283"/>
  <c r="C12" i="5283"/>
  <c r="O11" i="5283"/>
  <c r="C11" i="5283"/>
  <c r="O10" i="5283"/>
  <c r="C10" i="5283"/>
  <c r="C9" i="5283"/>
  <c r="C8" i="5283"/>
  <c r="O7" i="5283"/>
  <c r="C7" i="5283"/>
  <c r="O6" i="5283"/>
  <c r="B6" i="5283"/>
  <c r="O5" i="5283"/>
  <c r="B5" i="5283"/>
  <c r="O4" i="5283"/>
  <c r="O3" i="5283"/>
  <c r="O2" i="5283"/>
  <c r="O16" i="5281"/>
  <c r="O18" i="5281"/>
  <c r="C27" i="5281"/>
  <c r="B24" i="5281"/>
  <c r="C20" i="5281"/>
  <c r="B17" i="5281"/>
  <c r="H48" i="5281" s="1"/>
  <c r="C16" i="5281"/>
  <c r="C15" i="5281"/>
  <c r="C14" i="5281"/>
  <c r="C13" i="5281"/>
  <c r="O12" i="5281"/>
  <c r="C12" i="5281"/>
  <c r="O11" i="5281"/>
  <c r="C11" i="5281"/>
  <c r="O10" i="5281"/>
  <c r="C10" i="5281"/>
  <c r="C9" i="5281"/>
  <c r="C8" i="5281"/>
  <c r="O7" i="5281"/>
  <c r="C7" i="5281"/>
  <c r="O6" i="5281"/>
  <c r="B6" i="5281"/>
  <c r="O5" i="5281"/>
  <c r="B5" i="5281"/>
  <c r="O4" i="5281"/>
  <c r="O3" i="5281"/>
  <c r="O2" i="5281"/>
  <c r="O22" i="5279"/>
  <c r="O23" i="5279"/>
  <c r="O15" i="5267"/>
  <c r="O17" i="5267"/>
  <c r="O26" i="5265"/>
  <c r="H10" i="5281" l="1"/>
  <c r="H4" i="5281"/>
  <c r="H2" i="5281"/>
  <c r="H8" i="5281"/>
  <c r="C17" i="5281"/>
  <c r="H2" i="5283"/>
  <c r="H4" i="5283"/>
  <c r="H9" i="5283"/>
  <c r="H6" i="5283"/>
  <c r="C17" i="5283"/>
  <c r="H3" i="5283"/>
  <c r="H8" i="5283"/>
  <c r="H10" i="5283"/>
  <c r="H12" i="5283"/>
  <c r="H17" i="5283"/>
  <c r="H19" i="5283"/>
  <c r="H22" i="5283"/>
  <c r="H24" i="5283"/>
  <c r="H27" i="5283"/>
  <c r="H31" i="5283"/>
  <c r="H35" i="5283"/>
  <c r="H39" i="5283"/>
  <c r="H43" i="5283"/>
  <c r="H47" i="5283"/>
  <c r="H51" i="5283"/>
  <c r="H5" i="5283"/>
  <c r="H11" i="5283"/>
  <c r="H14" i="5283"/>
  <c r="H16" i="5283"/>
  <c r="C18" i="5283"/>
  <c r="B23" i="5283"/>
  <c r="H25" i="5283"/>
  <c r="H28" i="5283"/>
  <c r="H32" i="5283"/>
  <c r="H36" i="5283"/>
  <c r="H40" i="5283"/>
  <c r="H44" i="5283"/>
  <c r="H48" i="5283"/>
  <c r="H18" i="5283"/>
  <c r="H20" i="5283"/>
  <c r="H23" i="5283"/>
  <c r="H26" i="5283"/>
  <c r="H29" i="5283"/>
  <c r="H33" i="5283"/>
  <c r="H37" i="5283"/>
  <c r="H41" i="5283"/>
  <c r="H45" i="5283"/>
  <c r="H49" i="5283"/>
  <c r="H7" i="5283"/>
  <c r="H13" i="5283"/>
  <c r="H15" i="5283"/>
  <c r="C19" i="5283"/>
  <c r="H21" i="5283"/>
  <c r="H30" i="5283"/>
  <c r="H34" i="5283"/>
  <c r="H38" i="5283"/>
  <c r="H42" i="5283"/>
  <c r="H46" i="5283"/>
  <c r="H18" i="5281"/>
  <c r="H20" i="5281"/>
  <c r="H23" i="5281"/>
  <c r="H26" i="5281"/>
  <c r="H29" i="5281"/>
  <c r="H33" i="5281"/>
  <c r="H37" i="5281"/>
  <c r="H41" i="5281"/>
  <c r="H45" i="5281"/>
  <c r="H49" i="5281"/>
  <c r="H7" i="5281"/>
  <c r="H13" i="5281"/>
  <c r="H15" i="5281"/>
  <c r="C19" i="5281"/>
  <c r="H21" i="5281"/>
  <c r="H30" i="5281"/>
  <c r="H34" i="5281"/>
  <c r="H38" i="5281"/>
  <c r="H42" i="5281"/>
  <c r="H46" i="5281"/>
  <c r="H50" i="5281"/>
  <c r="H3" i="5281"/>
  <c r="H6" i="5281"/>
  <c r="H9" i="5281"/>
  <c r="H12" i="5281"/>
  <c r="H17" i="5281"/>
  <c r="H19" i="5281"/>
  <c r="H22" i="5281"/>
  <c r="H24" i="5281"/>
  <c r="H27" i="5281"/>
  <c r="H31" i="5281"/>
  <c r="H35" i="5281"/>
  <c r="H39" i="5281"/>
  <c r="H43" i="5281"/>
  <c r="H47" i="5281"/>
  <c r="H51" i="5281"/>
  <c r="H5" i="5281"/>
  <c r="H11" i="5281"/>
  <c r="H14" i="5281"/>
  <c r="H16" i="5281"/>
  <c r="C18" i="5281"/>
  <c r="B23" i="5281"/>
  <c r="H25" i="5281"/>
  <c r="H28" i="5281"/>
  <c r="H32" i="5281"/>
  <c r="H36" i="5281"/>
  <c r="H40" i="5281"/>
  <c r="H44" i="5281"/>
  <c r="O16" i="5279" l="1"/>
  <c r="O20" i="5277"/>
  <c r="O16" i="5277"/>
  <c r="O17" i="5269"/>
  <c r="O19" i="5275" l="1"/>
  <c r="O17" i="5273"/>
  <c r="O17" i="5277"/>
  <c r="O18" i="5277"/>
  <c r="O15" i="5275" l="1"/>
  <c r="O16" i="5273"/>
  <c r="O21" i="5271"/>
  <c r="O19" i="5271"/>
  <c r="O17" i="5279"/>
  <c r="O19" i="5279"/>
  <c r="C27" i="5279"/>
  <c r="B24" i="5279"/>
  <c r="C20" i="5279"/>
  <c r="B17" i="5279"/>
  <c r="H51" i="5279" s="1"/>
  <c r="C16" i="5279"/>
  <c r="C15" i="5279"/>
  <c r="C14" i="5279"/>
  <c r="C13" i="5279"/>
  <c r="O12" i="5279"/>
  <c r="C12" i="5279"/>
  <c r="O11" i="5279"/>
  <c r="C11" i="5279"/>
  <c r="O10" i="5279"/>
  <c r="C10" i="5279"/>
  <c r="C9" i="5279"/>
  <c r="C8" i="5279"/>
  <c r="O7" i="5279"/>
  <c r="C7" i="5279"/>
  <c r="O6" i="5279"/>
  <c r="B6" i="5279"/>
  <c r="O5" i="5279"/>
  <c r="B5" i="5279"/>
  <c r="O4" i="5279"/>
  <c r="O3" i="5279"/>
  <c r="O2" i="5279"/>
  <c r="O22" i="5273"/>
  <c r="O21" i="5269"/>
  <c r="O22" i="5265"/>
  <c r="H10" i="5279" l="1"/>
  <c r="H4" i="5279"/>
  <c r="H2" i="5279"/>
  <c r="H8" i="5279"/>
  <c r="H21" i="5279"/>
  <c r="H7" i="5279"/>
  <c r="H15" i="5279"/>
  <c r="C18" i="5279"/>
  <c r="H13" i="5279"/>
  <c r="C17" i="5279"/>
  <c r="H3" i="5279"/>
  <c r="H6" i="5279"/>
  <c r="H9" i="5279"/>
  <c r="H12" i="5279"/>
  <c r="H5" i="5279"/>
  <c r="H11" i="5279"/>
  <c r="H14" i="5279"/>
  <c r="H16" i="5279"/>
  <c r="C19" i="5279"/>
  <c r="B23" i="5279"/>
  <c r="H25" i="5279"/>
  <c r="H28" i="5279"/>
  <c r="H32" i="5279"/>
  <c r="H36" i="5279"/>
  <c r="H40" i="5279"/>
  <c r="H44" i="5279"/>
  <c r="H48" i="5279"/>
  <c r="H18" i="5279"/>
  <c r="H20" i="5279"/>
  <c r="H23" i="5279"/>
  <c r="H26" i="5279"/>
  <c r="H29" i="5279"/>
  <c r="H33" i="5279"/>
  <c r="H37" i="5279"/>
  <c r="H41" i="5279"/>
  <c r="H45" i="5279"/>
  <c r="H49" i="5279"/>
  <c r="H30" i="5279"/>
  <c r="H34" i="5279"/>
  <c r="H38" i="5279"/>
  <c r="H42" i="5279"/>
  <c r="H46" i="5279"/>
  <c r="H50" i="5279"/>
  <c r="H17" i="5279"/>
  <c r="H19" i="5279"/>
  <c r="H22" i="5279"/>
  <c r="H24" i="5279"/>
  <c r="H27" i="5279"/>
  <c r="H31" i="5279"/>
  <c r="H35" i="5279"/>
  <c r="H39" i="5279"/>
  <c r="H43" i="5279"/>
  <c r="H47" i="5279"/>
  <c r="O18" i="5271" l="1"/>
  <c r="O19" i="5277"/>
  <c r="O15" i="5277"/>
  <c r="C27" i="5277"/>
  <c r="B24" i="5277"/>
  <c r="C20" i="5277"/>
  <c r="B17" i="5277"/>
  <c r="H51" i="5277" s="1"/>
  <c r="C16" i="5277"/>
  <c r="C15" i="5277"/>
  <c r="C14" i="5277"/>
  <c r="C13" i="5277"/>
  <c r="O12" i="5277"/>
  <c r="C12" i="5277"/>
  <c r="O11" i="5277"/>
  <c r="C11" i="5277"/>
  <c r="O10" i="5277"/>
  <c r="C10" i="5277"/>
  <c r="C9" i="5277"/>
  <c r="C8" i="5277"/>
  <c r="O7" i="5277"/>
  <c r="C7" i="5277"/>
  <c r="O6" i="5277"/>
  <c r="B6" i="5277"/>
  <c r="O5" i="5277"/>
  <c r="B5" i="5277"/>
  <c r="O4" i="5277"/>
  <c r="O3" i="5277"/>
  <c r="O2" i="5277"/>
  <c r="O20" i="5267"/>
  <c r="O18" i="5265"/>
  <c r="O21" i="5275"/>
  <c r="O18" i="5269"/>
  <c r="O19" i="5269"/>
  <c r="O20" i="5273"/>
  <c r="O22" i="5275"/>
  <c r="O23" i="5275"/>
  <c r="C27" i="5275"/>
  <c r="B24" i="5275"/>
  <c r="C20" i="5275"/>
  <c r="B17" i="5275"/>
  <c r="H51" i="5275" s="1"/>
  <c r="C16" i="5275"/>
  <c r="C15" i="5275"/>
  <c r="C14" i="5275"/>
  <c r="C13" i="5275"/>
  <c r="O12" i="5275"/>
  <c r="C12" i="5275"/>
  <c r="O11" i="5275"/>
  <c r="C11" i="5275"/>
  <c r="O10" i="5275"/>
  <c r="C10" i="5275"/>
  <c r="C9" i="5275"/>
  <c r="C8" i="5275"/>
  <c r="O7" i="5275"/>
  <c r="C7" i="5275"/>
  <c r="O6" i="5275"/>
  <c r="B6" i="5275"/>
  <c r="O5" i="5275"/>
  <c r="B5" i="5275"/>
  <c r="O4" i="5275"/>
  <c r="O3" i="5275"/>
  <c r="O2" i="5275"/>
  <c r="O19" i="5273"/>
  <c r="O18" i="5273"/>
  <c r="C27" i="5273"/>
  <c r="B24" i="5273"/>
  <c r="C20" i="5273"/>
  <c r="B17" i="5273"/>
  <c r="H51" i="5273" s="1"/>
  <c r="C16" i="5273"/>
  <c r="C15" i="5273"/>
  <c r="C14" i="5273"/>
  <c r="C13" i="5273"/>
  <c r="O12" i="5273"/>
  <c r="C12" i="5273"/>
  <c r="O11" i="5273"/>
  <c r="C11" i="5273"/>
  <c r="O10" i="5273"/>
  <c r="C10" i="5273"/>
  <c r="C9" i="5273"/>
  <c r="C8" i="5273"/>
  <c r="O7" i="5273"/>
  <c r="C7" i="5273"/>
  <c r="O6" i="5273"/>
  <c r="B6" i="5273"/>
  <c r="O5" i="5273"/>
  <c r="B5" i="5273"/>
  <c r="O4" i="5273"/>
  <c r="O3" i="5273"/>
  <c r="O2" i="5273"/>
  <c r="O19" i="5267"/>
  <c r="O23" i="5267"/>
  <c r="O21" i="5265"/>
  <c r="O23" i="5265"/>
  <c r="H8" i="5275" l="1"/>
  <c r="C17" i="5277"/>
  <c r="H14" i="5277"/>
  <c r="H11" i="5277"/>
  <c r="H5" i="5277"/>
  <c r="H8" i="5277"/>
  <c r="H4" i="5277"/>
  <c r="H7" i="5277"/>
  <c r="H2" i="5277"/>
  <c r="H10" i="5277"/>
  <c r="H16" i="5277"/>
  <c r="H2" i="5275"/>
  <c r="H4" i="5275"/>
  <c r="H10" i="5275"/>
  <c r="H2" i="5273"/>
  <c r="H3" i="5273"/>
  <c r="H11" i="5273"/>
  <c r="C18" i="5277"/>
  <c r="B23" i="5277"/>
  <c r="H25" i="5277"/>
  <c r="H28" i="5277"/>
  <c r="H32" i="5277"/>
  <c r="H36" i="5277"/>
  <c r="H40" i="5277"/>
  <c r="H44" i="5277"/>
  <c r="H48" i="5277"/>
  <c r="H18" i="5277"/>
  <c r="H20" i="5277"/>
  <c r="H23" i="5277"/>
  <c r="H26" i="5277"/>
  <c r="H29" i="5277"/>
  <c r="H33" i="5277"/>
  <c r="H37" i="5277"/>
  <c r="H41" i="5277"/>
  <c r="H45" i="5277"/>
  <c r="H49" i="5277"/>
  <c r="H13" i="5277"/>
  <c r="H15" i="5277"/>
  <c r="C19" i="5277"/>
  <c r="H21" i="5277"/>
  <c r="H30" i="5277"/>
  <c r="H34" i="5277"/>
  <c r="H38" i="5277"/>
  <c r="H42" i="5277"/>
  <c r="H46" i="5277"/>
  <c r="H50" i="5277"/>
  <c r="H3" i="5277"/>
  <c r="H6" i="5277"/>
  <c r="H9" i="5277"/>
  <c r="H12" i="5277"/>
  <c r="H17" i="5277"/>
  <c r="H19" i="5277"/>
  <c r="H22" i="5277"/>
  <c r="H24" i="5277"/>
  <c r="H27" i="5277"/>
  <c r="H31" i="5277"/>
  <c r="H35" i="5277"/>
  <c r="H39" i="5277"/>
  <c r="H43" i="5277"/>
  <c r="H47" i="5277"/>
  <c r="H25" i="5275"/>
  <c r="H36" i="5275"/>
  <c r="C17" i="5275"/>
  <c r="H40" i="5275"/>
  <c r="H15" i="5275"/>
  <c r="C18" i="5275"/>
  <c r="H28" i="5275"/>
  <c r="H44" i="5275"/>
  <c r="H7" i="5275"/>
  <c r="H13" i="5275"/>
  <c r="H21" i="5275"/>
  <c r="H3" i="5275"/>
  <c r="H6" i="5275"/>
  <c r="H9" i="5275"/>
  <c r="H12" i="5275"/>
  <c r="B23" i="5275"/>
  <c r="H5" i="5275"/>
  <c r="H11" i="5275"/>
  <c r="H14" i="5275"/>
  <c r="H16" i="5275"/>
  <c r="C19" i="5275"/>
  <c r="H32" i="5275"/>
  <c r="H48" i="5275"/>
  <c r="H18" i="5275"/>
  <c r="H20" i="5275"/>
  <c r="H23" i="5275"/>
  <c r="H26" i="5275"/>
  <c r="H29" i="5275"/>
  <c r="H33" i="5275"/>
  <c r="H37" i="5275"/>
  <c r="H41" i="5275"/>
  <c r="H45" i="5275"/>
  <c r="H49" i="5275"/>
  <c r="H30" i="5275"/>
  <c r="H34" i="5275"/>
  <c r="H38" i="5275"/>
  <c r="H42" i="5275"/>
  <c r="H46" i="5275"/>
  <c r="H50" i="5275"/>
  <c r="H17" i="5275"/>
  <c r="H19" i="5275"/>
  <c r="H22" i="5275"/>
  <c r="H24" i="5275"/>
  <c r="H27" i="5275"/>
  <c r="H31" i="5275"/>
  <c r="H35" i="5275"/>
  <c r="H39" i="5275"/>
  <c r="H43" i="5275"/>
  <c r="H47" i="5275"/>
  <c r="H4" i="5273"/>
  <c r="H42" i="5273"/>
  <c r="C17" i="5273"/>
  <c r="H15" i="5273"/>
  <c r="B23" i="5273"/>
  <c r="H25" i="5273"/>
  <c r="H38" i="5273"/>
  <c r="H44" i="5273"/>
  <c r="H49" i="5273"/>
  <c r="C19" i="5273"/>
  <c r="H24" i="5273"/>
  <c r="H5" i="5273"/>
  <c r="H8" i="5273"/>
  <c r="H17" i="5273"/>
  <c r="H28" i="5273"/>
  <c r="H10" i="5273"/>
  <c r="H7" i="5273"/>
  <c r="H13" i="5273"/>
  <c r="H26" i="5273"/>
  <c r="H18" i="5273"/>
  <c r="H9" i="5273"/>
  <c r="H34" i="5273"/>
  <c r="H40" i="5273"/>
  <c r="H45" i="5273"/>
  <c r="H50" i="5273"/>
  <c r="H20" i="5273"/>
  <c r="H21" i="5273"/>
  <c r="H37" i="5273"/>
  <c r="H48" i="5273"/>
  <c r="H6" i="5273"/>
  <c r="H23" i="5273"/>
  <c r="H27" i="5273"/>
  <c r="H14" i="5273"/>
  <c r="C18" i="5273"/>
  <c r="H16" i="5273"/>
  <c r="H12" i="5273"/>
  <c r="H33" i="5273"/>
  <c r="H36" i="5273"/>
  <c r="H41" i="5273"/>
  <c r="H46" i="5273"/>
  <c r="H22" i="5273"/>
  <c r="H29" i="5273"/>
  <c r="H30" i="5273"/>
  <c r="H31" i="5273"/>
  <c r="H32" i="5273"/>
  <c r="H19" i="5273"/>
  <c r="H35" i="5273"/>
  <c r="H39" i="5273"/>
  <c r="H43" i="5273"/>
  <c r="H47" i="5273"/>
  <c r="O17" i="5271" l="1"/>
  <c r="O20" i="5271"/>
  <c r="C27" i="5271"/>
  <c r="B24" i="5271"/>
  <c r="C20" i="5271"/>
  <c r="B17" i="5271"/>
  <c r="H50" i="5271" s="1"/>
  <c r="C16" i="5271"/>
  <c r="C15" i="5271"/>
  <c r="C14" i="5271"/>
  <c r="C13" i="5271"/>
  <c r="O12" i="5271"/>
  <c r="C12" i="5271"/>
  <c r="O11" i="5271"/>
  <c r="C11" i="5271"/>
  <c r="O10" i="5271"/>
  <c r="C10" i="5271"/>
  <c r="C9" i="5271"/>
  <c r="C8" i="5271"/>
  <c r="O7" i="5271"/>
  <c r="C7" i="5271"/>
  <c r="O6" i="5271"/>
  <c r="B6" i="5271"/>
  <c r="O5" i="5271"/>
  <c r="B5" i="5271"/>
  <c r="O4" i="5271"/>
  <c r="O3" i="5271"/>
  <c r="O2" i="5271"/>
  <c r="O22" i="5269"/>
  <c r="O16" i="5269"/>
  <c r="C27" i="5269"/>
  <c r="B24" i="5269"/>
  <c r="C20" i="5269"/>
  <c r="B17" i="5269"/>
  <c r="H49" i="5269" s="1"/>
  <c r="C16" i="5269"/>
  <c r="C15" i="5269"/>
  <c r="C14" i="5269"/>
  <c r="C13" i="5269"/>
  <c r="O12" i="5269"/>
  <c r="C12" i="5269"/>
  <c r="O11" i="5269"/>
  <c r="C11" i="5269"/>
  <c r="O10" i="5269"/>
  <c r="C10" i="5269"/>
  <c r="C9" i="5269"/>
  <c r="C8" i="5269"/>
  <c r="O7" i="5269"/>
  <c r="C7" i="5269"/>
  <c r="O6" i="5269"/>
  <c r="B6" i="5269"/>
  <c r="O5" i="5269"/>
  <c r="B5" i="5269"/>
  <c r="O4" i="5269"/>
  <c r="O3" i="5269"/>
  <c r="O2" i="5269"/>
  <c r="O24" i="5265"/>
  <c r="O16" i="5267"/>
  <c r="O21" i="5267"/>
  <c r="C27" i="5267"/>
  <c r="B24" i="5267"/>
  <c r="C20" i="5267"/>
  <c r="B17" i="5267"/>
  <c r="H51" i="5267" s="1"/>
  <c r="C16" i="5267"/>
  <c r="C15" i="5267"/>
  <c r="C14" i="5267"/>
  <c r="C13" i="5267"/>
  <c r="O12" i="5267"/>
  <c r="C12" i="5267"/>
  <c r="O11" i="5267"/>
  <c r="C11" i="5267"/>
  <c r="O10" i="5267"/>
  <c r="C10" i="5267"/>
  <c r="C9" i="5267"/>
  <c r="C8" i="5267"/>
  <c r="O7" i="5267"/>
  <c r="C7" i="5267"/>
  <c r="O6" i="5267"/>
  <c r="B6" i="5267"/>
  <c r="O5" i="5267"/>
  <c r="B5" i="5267"/>
  <c r="O4" i="5267"/>
  <c r="O3" i="5267"/>
  <c r="O2" i="5267"/>
  <c r="O16" i="5265"/>
  <c r="O20" i="5265"/>
  <c r="C27" i="5265"/>
  <c r="B24" i="5265"/>
  <c r="C20" i="5265"/>
  <c r="B17" i="5265"/>
  <c r="H50" i="5265" s="1"/>
  <c r="C16" i="5265"/>
  <c r="C15" i="5265"/>
  <c r="C14" i="5265"/>
  <c r="C13" i="5265"/>
  <c r="O12" i="5265"/>
  <c r="C12" i="5265"/>
  <c r="O11" i="5265"/>
  <c r="C11" i="5265"/>
  <c r="O10" i="5265"/>
  <c r="C10" i="5265"/>
  <c r="C9" i="5265"/>
  <c r="C8" i="5265"/>
  <c r="O7" i="5265"/>
  <c r="C7" i="5265"/>
  <c r="O6" i="5265"/>
  <c r="B6" i="5265"/>
  <c r="O5" i="5265"/>
  <c r="B5" i="5265"/>
  <c r="O4" i="5265"/>
  <c r="O3" i="5265"/>
  <c r="O2" i="5265"/>
  <c r="H9" i="5271" l="1"/>
  <c r="H3" i="5271"/>
  <c r="H10" i="5269"/>
  <c r="H8" i="5269"/>
  <c r="H2" i="5271"/>
  <c r="H7" i="5271"/>
  <c r="H11" i="5267"/>
  <c r="H30" i="5267"/>
  <c r="C18" i="5267"/>
  <c r="H20" i="5267"/>
  <c r="H6" i="5267"/>
  <c r="H2" i="5267"/>
  <c r="H4" i="5267"/>
  <c r="H3" i="5267"/>
  <c r="H17" i="5267"/>
  <c r="H17" i="5271"/>
  <c r="H12" i="5271"/>
  <c r="H35" i="5271"/>
  <c r="H47" i="5271"/>
  <c r="H8" i="5271"/>
  <c r="H25" i="5271"/>
  <c r="H19" i="5271"/>
  <c r="C17" i="5271"/>
  <c r="H39" i="5271"/>
  <c r="H48" i="5271"/>
  <c r="H13" i="5271"/>
  <c r="H4" i="5271"/>
  <c r="H20" i="5271"/>
  <c r="H32" i="5271"/>
  <c r="H40" i="5271"/>
  <c r="H10" i="5271"/>
  <c r="H16" i="5271"/>
  <c r="H14" i="5271"/>
  <c r="H6" i="5271"/>
  <c r="H24" i="5271"/>
  <c r="H26" i="5271"/>
  <c r="H15" i="5271"/>
  <c r="C18" i="5271"/>
  <c r="H18" i="5271"/>
  <c r="H43" i="5271"/>
  <c r="H30" i="5269"/>
  <c r="H5" i="5269"/>
  <c r="H9" i="5269"/>
  <c r="H12" i="5269"/>
  <c r="C18" i="5269"/>
  <c r="H4" i="5269"/>
  <c r="H2" i="5269"/>
  <c r="H16" i="5269"/>
  <c r="H11" i="5265"/>
  <c r="H51" i="5271"/>
  <c r="C19" i="5271"/>
  <c r="H29" i="5271"/>
  <c r="H11" i="5271"/>
  <c r="H36" i="5271"/>
  <c r="H44" i="5271"/>
  <c r="H5" i="5271"/>
  <c r="B23" i="5271"/>
  <c r="H21" i="5271"/>
  <c r="H31" i="5271"/>
  <c r="H33" i="5271"/>
  <c r="H37" i="5271"/>
  <c r="H41" i="5271"/>
  <c r="H45" i="5271"/>
  <c r="H49" i="5271"/>
  <c r="H27" i="5271"/>
  <c r="H28" i="5271"/>
  <c r="H30" i="5271"/>
  <c r="H22" i="5271"/>
  <c r="H23" i="5271"/>
  <c r="H34" i="5271"/>
  <c r="H38" i="5271"/>
  <c r="H42" i="5271"/>
  <c r="H46" i="5271"/>
  <c r="H14" i="5269"/>
  <c r="H21" i="5269"/>
  <c r="H31" i="5269"/>
  <c r="H3" i="5269"/>
  <c r="H6" i="5269"/>
  <c r="H11" i="5269"/>
  <c r="H17" i="5269"/>
  <c r="H39" i="5269"/>
  <c r="H42" i="5269"/>
  <c r="H19" i="5269"/>
  <c r="H24" i="5269"/>
  <c r="H34" i="5269"/>
  <c r="H46" i="5269"/>
  <c r="H7" i="5269"/>
  <c r="H13" i="5269"/>
  <c r="H15" i="5269"/>
  <c r="C17" i="5269"/>
  <c r="H38" i="5269"/>
  <c r="H47" i="5269"/>
  <c r="H50" i="5269"/>
  <c r="C19" i="5269"/>
  <c r="H22" i="5269"/>
  <c r="H27" i="5269"/>
  <c r="H35" i="5269"/>
  <c r="H43" i="5269"/>
  <c r="H51" i="5269"/>
  <c r="B23" i="5269"/>
  <c r="H25" i="5269"/>
  <c r="H28" i="5269"/>
  <c r="H32" i="5269"/>
  <c r="H36" i="5269"/>
  <c r="H40" i="5269"/>
  <c r="H44" i="5269"/>
  <c r="H48" i="5269"/>
  <c r="H18" i="5269"/>
  <c r="H20" i="5269"/>
  <c r="H23" i="5269"/>
  <c r="H26" i="5269"/>
  <c r="H29" i="5269"/>
  <c r="H33" i="5269"/>
  <c r="H37" i="5269"/>
  <c r="H41" i="5269"/>
  <c r="H45" i="5269"/>
  <c r="H3" i="5265"/>
  <c r="C17" i="5265"/>
  <c r="H2" i="5265"/>
  <c r="H4" i="5265"/>
  <c r="B23" i="5267"/>
  <c r="H9" i="5267"/>
  <c r="H36" i="5267"/>
  <c r="H44" i="5267"/>
  <c r="H38" i="5267"/>
  <c r="C17" i="5267"/>
  <c r="H13" i="5267"/>
  <c r="H40" i="5267"/>
  <c r="H49" i="5267"/>
  <c r="H15" i="5267"/>
  <c r="H25" i="5267"/>
  <c r="H45" i="5267"/>
  <c r="H8" i="5267"/>
  <c r="H21" i="5267"/>
  <c r="H22" i="5267"/>
  <c r="H27" i="5267"/>
  <c r="H10" i="5267"/>
  <c r="H7" i="5267"/>
  <c r="H12" i="5267"/>
  <c r="H29" i="5267"/>
  <c r="H19" i="5267"/>
  <c r="H14" i="5267"/>
  <c r="H35" i="5267"/>
  <c r="H41" i="5267"/>
  <c r="H50" i="5267"/>
  <c r="H46" i="5267"/>
  <c r="H16" i="5267"/>
  <c r="C19" i="5267"/>
  <c r="H33" i="5267"/>
  <c r="H24" i="5267"/>
  <c r="H26" i="5267"/>
  <c r="H37" i="5267"/>
  <c r="H42" i="5267"/>
  <c r="H48" i="5267"/>
  <c r="H5" i="5267"/>
  <c r="H31" i="5267"/>
  <c r="H32" i="5267"/>
  <c r="H23" i="5267"/>
  <c r="H34" i="5267"/>
  <c r="H18" i="5267"/>
  <c r="H28" i="5267"/>
  <c r="H39" i="5267"/>
  <c r="H43" i="5267"/>
  <c r="H47" i="5267"/>
  <c r="H34" i="5265"/>
  <c r="H35" i="5265"/>
  <c r="H28" i="5265"/>
  <c r="H29" i="5265"/>
  <c r="H17" i="5265"/>
  <c r="H31" i="5265"/>
  <c r="H40" i="5265"/>
  <c r="H43" i="5265"/>
  <c r="H47" i="5265"/>
  <c r="H51" i="5265"/>
  <c r="H8" i="5265"/>
  <c r="H20" i="5265"/>
  <c r="H26" i="5265"/>
  <c r="C19" i="5265"/>
  <c r="H14" i="5265"/>
  <c r="H23" i="5265"/>
  <c r="H37" i="5265"/>
  <c r="H41" i="5265"/>
  <c r="H44" i="5265"/>
  <c r="H48" i="5265"/>
  <c r="H19" i="5265"/>
  <c r="H10" i="5265"/>
  <c r="H6" i="5265"/>
  <c r="H12" i="5265"/>
  <c r="H22" i="5265"/>
  <c r="H18" i="5265"/>
  <c r="H15" i="5265"/>
  <c r="H27" i="5265"/>
  <c r="H13" i="5265"/>
  <c r="H9" i="5265"/>
  <c r="H24" i="5265"/>
  <c r="H38" i="5265"/>
  <c r="H33" i="5265"/>
  <c r="H45" i="5265"/>
  <c r="H49" i="5265"/>
  <c r="H5" i="5265"/>
  <c r="H7" i="5265"/>
  <c r="H21" i="5265"/>
  <c r="H32" i="5265"/>
  <c r="H16" i="5265"/>
  <c r="C18" i="5265"/>
  <c r="B23" i="5265"/>
  <c r="H25" i="5265"/>
  <c r="H30" i="5265"/>
  <c r="H36" i="5265"/>
  <c r="H39" i="5265"/>
  <c r="H42" i="5265"/>
  <c r="H46" i="526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<sst xmlns="http://schemas.openxmlformats.org/spreadsheetml/2006/main" count="3209" uniqueCount="236">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</sst>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全体!$K$2:$K$527</c:f>
              <c:numCache>
                <c:formatCode>General</c:formatCode>
                <c:ptCount val="5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</c:numCache>
            </c:numRef>
          </c:xVal>
          <c:yVal>
            <c:numRef>
              <c:f>全体!$L$2:$L$527</c:f>
              <c:numCache>
                <c:formatCode>\+0.0;\-0.0;\±0</c:formatCode>
                <c:ptCount val="52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44.500000000000007</c:v>
                </c:pt>
                <c:pt idx="518">
                  <c:v>44.70000000000001</c:v>
                </c:pt>
                <c:pt idx="519">
                  <c:v>2.0000000000000071</c:v>
                </c:pt>
                <c:pt idx="520">
                  <c:v>-55.999999999999993</c:v>
                </c:pt>
                <c:pt idx="521">
                  <c:v>7.1054273576010019E-15</c:v>
                </c:pt>
                <c:pt idx="522">
                  <c:v>2.0000000000000071</c:v>
                </c:pt>
                <c:pt idx="523">
                  <c:v>38.400000000000006</c:v>
                </c:pt>
                <c:pt idx="524">
                  <c:v>47.900000000000006</c:v>
                </c:pt>
                <c:pt idx="525">
                  <c:v>2.0000000000000071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3-47A4-81E0-C4FA62293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-15.238095238095237</c:v>
                </c:pt>
                <c:pt idx="1">
                  <c:v>-7.7972709551656916</c:v>
                </c:pt>
                <c:pt idx="2">
                  <c:v>12.345679012345679</c:v>
                </c:pt>
                <c:pt idx="3">
                  <c:v>6.8493150684931505</c:v>
                </c:pt>
                <c:pt idx="4">
                  <c:v>-12.72264631043257</c:v>
                </c:pt>
                <c:pt idx="5">
                  <c:v>28.011204481792717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B-41AD-B3C2-3FE6B91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だいち!$L$2:$L$118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A26-A4AC-9C8D38571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1764.655172413793</c:v>
                </c:pt>
                <c:pt idx="1">
                  <c:v>1462.8318584070796</c:v>
                </c:pt>
                <c:pt idx="2">
                  <c:v>1548.148148148148</c:v>
                </c:pt>
                <c:pt idx="3">
                  <c:v>2092.8571428571427</c:v>
                </c:pt>
                <c:pt idx="4">
                  <c:v>916.27906976744191</c:v>
                </c:pt>
                <c:pt idx="5">
                  <c:v>339.4736842105263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0-4EAD-8885-5F0EEA83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DA-420D-8935-CDF3A26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7-4C51-930E-DF6CC9BB8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ただ!$L$2:$L$64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3-4540-A5F5-B90EB183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-2414.516129032258</c:v>
                </c:pt>
                <c:pt idx="1">
                  <c:v>-1278.3333333333333</c:v>
                </c:pt>
                <c:pt idx="2">
                  <c:v>-1119.6428571428571</c:v>
                </c:pt>
                <c:pt idx="3">
                  <c:v>-5270.833333333333</c:v>
                </c:pt>
                <c:pt idx="4">
                  <c:v>-1266.6666666666667</c:v>
                </c:pt>
                <c:pt idx="5">
                  <c:v>-1741.0256410256411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A-4701-9361-FA1A32D6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150.69999999999999</c:v>
                </c:pt>
                <c:pt idx="71">
                  <c:v>92.699999999999989</c:v>
                </c:pt>
                <c:pt idx="72">
                  <c:v>102.19999999999999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6-460E-B2AA-6A258CDF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-922.22222222222217</c:v>
                </c:pt>
                <c:pt idx="1">
                  <c:v>638.02816901408448</c:v>
                </c:pt>
                <c:pt idx="2">
                  <c:v>1588.0597014925372</c:v>
                </c:pt>
                <c:pt idx="3">
                  <c:v>2305.2631578947367</c:v>
                </c:pt>
                <c:pt idx="4">
                  <c:v>-1188.2352941176471</c:v>
                </c:pt>
                <c:pt idx="5">
                  <c:v>725.531914893617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F-4476-99D0-551506E6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たかの!$L$2:$L$59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4-4D9C-968C-A8AD8806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585.96491228070181</c:v>
                </c:pt>
                <c:pt idx="1">
                  <c:v>359.64912280701753</c:v>
                </c:pt>
                <c:pt idx="2">
                  <c:v>-958.82352941176475</c:v>
                </c:pt>
                <c:pt idx="3">
                  <c:v>241.66666666666666</c:v>
                </c:pt>
                <c:pt idx="4">
                  <c:v>221.27659574468086</c:v>
                </c:pt>
                <c:pt idx="5">
                  <c:v>-660.97560975609758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F-4320-8445-5242A3A22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0-47F3-83E7-5DDEA4ED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9-4908-A7B1-57DE9720E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-18.599999999999991</c:v>
                </c:pt>
                <c:pt idx="40">
                  <c:v>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C-4C17-90FD-994C9C863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618.42105263157896</c:v>
                </c:pt>
                <c:pt idx="2">
                  <c:v>-1642.8571428571429</c:v>
                </c:pt>
                <c:pt idx="3">
                  <c:v>1826.4705882352941</c:v>
                </c:pt>
                <c:pt idx="4">
                  <c:v>-1270</c:v>
                </c:pt>
                <c:pt idx="5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0-4A21-8236-2D26FAE6C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856-827E-69D0637B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856-BD8B-6B453B9E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2-4AF6-A722-714EECFAB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4-4816-88C2-C294B20DF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C-4C0A-9C07-EE5E5BF3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EB5-82B3-24713C4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F-436B-8D08-B800F8BB9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4-46C5-80F4-E339C1B7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3E7-82E6-A1F1210F6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C-4EAF-889F-5FE88386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れんたろう2!$B$3:$B$75</c:f>
              <c:numCache>
                <c:formatCode>\+0.0;\-0.0;\±0</c:formatCode>
                <c:ptCount val="7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150.69999999999999</c:v>
                </c:pt>
                <c:pt idx="71">
                  <c:v>92.699999999999989</c:v>
                </c:pt>
                <c:pt idx="72">
                  <c:v>102.19999999999999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0000000000000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れんたろう2!$C$3:$C$75</c:f>
              <c:numCache>
                <c:formatCode>\+0.0;\-0.0;\±0</c:formatCode>
                <c:ptCount val="73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2.1528571428571426</c:v>
                </c:pt>
                <c:pt idx="71">
                  <c:v>1.3056338028169012</c:v>
                </c:pt>
                <c:pt idx="72">
                  <c:v>1.4194444444444443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809523809523823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れんたろう2!$D$3:$D$75</c:f>
              <c:numCache>
                <c:formatCode>0.00\ "位"</c:formatCode>
                <c:ptCount val="73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れんたろう2!$E$3:$E$75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れんたろう2!$F$3:$F$75</c:f>
              <c:numCache>
                <c:formatCode>0.0%</c:formatCode>
                <c:ptCount val="73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れんたろう2!$G$3:$G$75</c:f>
              <c:numCache>
                <c:formatCode>0.0%</c:formatCode>
                <c:ptCount val="73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524037366142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れんたろう2!$H$3:$H$75</c:f>
              <c:numCache>
                <c:formatCode>0.0%</c:formatCode>
                <c:ptCount val="73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0.16080402010050251</c:v>
                </c:pt>
                <c:pt idx="71">
                  <c:v>0.16472545757071547</c:v>
                </c:pt>
                <c:pt idx="72">
                  <c:v>0.16503267973856209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09706083390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れんたろう2!$I$3:$I$75</c:f>
              <c:numCache>
                <c:formatCode>0</c:formatCode>
                <c:ptCount val="73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3.1008339651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れんたろう2!$J$3:$J$75</c:f>
              <c:numCache>
                <c:formatCode>0</c:formatCode>
                <c:ptCount val="73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-7819.791666666667</c:v>
                </c:pt>
                <c:pt idx="71">
                  <c:v>-7845.454545454545</c:v>
                </c:pt>
                <c:pt idx="72">
                  <c:v>-7786.1386138613861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93.0041152263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れんたろう2!$K$3:$K$75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れんたろう2!$L$3:$L$75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れんたろう2!$M$3:$M$75</c:f>
              <c:numCache>
                <c:formatCode>0.0%</c:formatCode>
                <c:ptCount val="73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05627705627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れんたろう2!$N$3:$N$75</c:f>
              <c:numCache>
                <c:formatCode>0.0%</c:formatCode>
                <c:ptCount val="73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070631123262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れんたろう2!$O$3:$O$75</c:f>
              <c:numCache>
                <c:formatCode>0.0%</c:formatCode>
                <c:ptCount val="73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17105263157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れんたろう2!$P$3:$P$75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62472885032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れんたろう2!$A$3:$A$75</c:f>
              <c:numCache>
                <c:formatCode>0\ "回"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れんたろう2!$Q$3:$Q$75</c:f>
              <c:numCache>
                <c:formatCode>0.0%</c:formatCode>
                <c:ptCount val="73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4852160727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7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525</v>
      </c>
    </row>
    <row r="2" spans="1:2" x14ac:dyDescent="0.4">
      <c r="A2" t="s">
        <v>127</v>
      </c>
      <c r="B2">
        <v>116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62</v>
      </c>
    </row>
    <row r="5" spans="1:2" x14ac:dyDescent="0.4">
      <c r="A5" t="s">
        <v>171</v>
      </c>
      <c r="B5">
        <v>72</v>
      </c>
    </row>
    <row r="6" spans="1:2" x14ac:dyDescent="0.4">
      <c r="A6" t="s">
        <v>172</v>
      </c>
      <c r="B6">
        <v>57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40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0.47041858919974816</v>
      </c>
      <c r="G2" s="155"/>
      <c r="H2" s="154">
        <v>0.12123446609553243</v>
      </c>
      <c r="I2" s="155"/>
      <c r="J2" s="154">
        <v>0.65030530685983012</v>
      </c>
      <c r="K2" s="155"/>
      <c r="L2" s="154">
        <v>0.25685415183955518</v>
      </c>
      <c r="M2" s="155"/>
      <c r="N2" s="154">
        <v>0.47608515711221966</v>
      </c>
      <c r="O2" s="155"/>
      <c r="P2" s="154">
        <v>0.45299492071424879</v>
      </c>
      <c r="Q2" s="155"/>
      <c r="R2" s="154">
        <v>-3.2100988228597964E-2</v>
      </c>
      <c r="S2" s="155"/>
      <c r="T2" s="154">
        <v>0.22277822442732276</v>
      </c>
      <c r="U2" s="155"/>
      <c r="V2" s="154">
        <v>0.70373438722346726</v>
      </c>
      <c r="W2" s="155"/>
      <c r="X2" s="154">
        <v>0.84143605338099436</v>
      </c>
      <c r="Y2" s="155"/>
      <c r="Z2" s="154">
        <v>-0.10821884218575165</v>
      </c>
      <c r="AA2" s="155"/>
      <c r="AB2" s="154">
        <v>-0.31746460076073912</v>
      </c>
      <c r="AC2" s="155"/>
      <c r="AD2" s="154">
        <v>2.5047143854025254E-2</v>
      </c>
      <c r="AE2" s="155"/>
      <c r="AF2" s="154">
        <v>-0.47752943336188891</v>
      </c>
      <c r="AG2" s="155"/>
      <c r="AH2" s="154">
        <v>0.71089419131357079</v>
      </c>
      <c r="AI2" s="155"/>
    </row>
    <row r="3" spans="1:35" x14ac:dyDescent="0.4">
      <c r="A3" s="74">
        <v>1</v>
      </c>
      <c r="B3" s="75" t="s">
        <v>127</v>
      </c>
      <c r="C3" s="76">
        <v>1471.900000000001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0.18103448275862069</v>
      </c>
      <c r="X3" s="77" t="s">
        <v>225</v>
      </c>
      <c r="Y3" s="80">
        <v>0.375</v>
      </c>
      <c r="Z3" s="77" t="s">
        <v>172</v>
      </c>
      <c r="AA3" s="80">
        <v>0.29090909090909089</v>
      </c>
      <c r="AB3" s="77" t="s">
        <v>225</v>
      </c>
      <c r="AC3" s="80">
        <v>1</v>
      </c>
      <c r="AD3" s="77" t="s">
        <v>127</v>
      </c>
      <c r="AE3" s="80">
        <v>0.51923076923076927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102.19999999999999</v>
      </c>
      <c r="D4" s="85" t="s">
        <v>224</v>
      </c>
      <c r="E4" s="97">
        <v>13.3</v>
      </c>
      <c r="F4" s="85" t="s">
        <v>127</v>
      </c>
      <c r="G4" s="86">
        <v>1.7327586206896552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0.36363636363636365</v>
      </c>
      <c r="N4" s="85" t="s">
        <v>185</v>
      </c>
      <c r="O4" s="88">
        <v>0.10526315789473684</v>
      </c>
      <c r="P4" s="85" t="s">
        <v>171</v>
      </c>
      <c r="Q4" s="89">
        <v>9761.9883040935674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0.125</v>
      </c>
      <c r="X4" s="85" t="s">
        <v>127</v>
      </c>
      <c r="Y4" s="88">
        <v>0.32908704883227174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12.688793103448285</v>
      </c>
      <c r="F5" s="85" t="s">
        <v>177</v>
      </c>
      <c r="G5" s="86">
        <v>1.95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0.35456475583864117</v>
      </c>
      <c r="N5" s="85" t="s">
        <v>172</v>
      </c>
      <c r="O5" s="88">
        <v>0.13131313131313133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145</v>
      </c>
      <c r="W5" s="87">
        <v>0.11428571428571428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0.67948717948717952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37.400000000000006</v>
      </c>
      <c r="D6" s="85" t="s">
        <v>171</v>
      </c>
      <c r="E6" s="97">
        <v>1.4194444444444443</v>
      </c>
      <c r="F6" s="85" t="s">
        <v>145</v>
      </c>
      <c r="G6" s="86">
        <v>2</v>
      </c>
      <c r="H6" s="85" t="s">
        <v>177</v>
      </c>
      <c r="I6" s="87">
        <v>0.4</v>
      </c>
      <c r="J6" s="85" t="s">
        <v>127</v>
      </c>
      <c r="K6" s="87">
        <v>0.23275862068965517</v>
      </c>
      <c r="L6" s="85" t="s">
        <v>202</v>
      </c>
      <c r="M6" s="88">
        <v>0.30434782608695654</v>
      </c>
      <c r="N6" s="85" t="s">
        <v>127</v>
      </c>
      <c r="O6" s="88">
        <v>0.14968152866242038</v>
      </c>
      <c r="P6" s="85" t="s">
        <v>129</v>
      </c>
      <c r="Q6" s="89">
        <v>9173.9130434782601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129</v>
      </c>
      <c r="W6" s="87">
        <v>0.11290322580645161</v>
      </c>
      <c r="X6" s="85" t="s">
        <v>171</v>
      </c>
      <c r="Y6" s="88">
        <v>0.28431372549019607</v>
      </c>
      <c r="Z6" s="85" t="s">
        <v>127</v>
      </c>
      <c r="AA6" s="88">
        <v>0.2208067940552017</v>
      </c>
      <c r="AB6" s="85" t="s">
        <v>186</v>
      </c>
      <c r="AC6" s="88">
        <v>0.625</v>
      </c>
      <c r="AD6" s="85" t="s">
        <v>172</v>
      </c>
      <c r="AE6" s="88">
        <v>0.44444444444444442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0.93500000000000016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0.31578947368421051</v>
      </c>
      <c r="L7" s="85" t="s">
        <v>145</v>
      </c>
      <c r="M7" s="88">
        <v>0.30052403736614264</v>
      </c>
      <c r="N7" s="85" t="s">
        <v>177</v>
      </c>
      <c r="O7" s="88">
        <v>0.16060606060606061</v>
      </c>
      <c r="P7" s="85" t="s">
        <v>127</v>
      </c>
      <c r="Q7" s="89">
        <v>9014.3712574850306</v>
      </c>
      <c r="R7" s="85" t="s">
        <v>177</v>
      </c>
      <c r="S7" s="89">
        <v>-7664.1509433962265</v>
      </c>
      <c r="T7" s="85" t="s">
        <v>172</v>
      </c>
      <c r="U7" s="87">
        <v>5.2631578947368418E-2</v>
      </c>
      <c r="V7" s="85" t="s">
        <v>172</v>
      </c>
      <c r="W7" s="87">
        <v>0.10526315789473684</v>
      </c>
      <c r="X7" s="85" t="s">
        <v>145</v>
      </c>
      <c r="Y7" s="88">
        <v>0.27705627705627706</v>
      </c>
      <c r="Z7" s="85" t="s">
        <v>185</v>
      </c>
      <c r="AA7" s="88">
        <v>0.21052631578947367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2.0000000000000071</v>
      </c>
      <c r="D8" s="85" t="s">
        <v>145</v>
      </c>
      <c r="E8" s="97">
        <v>3.809523809523823E-3</v>
      </c>
      <c r="F8" s="85" t="s">
        <v>224</v>
      </c>
      <c r="G8" s="86">
        <v>2</v>
      </c>
      <c r="H8" s="85" t="s">
        <v>171</v>
      </c>
      <c r="I8" s="87">
        <v>0.29166666666666669</v>
      </c>
      <c r="J8" s="85" t="s">
        <v>145</v>
      </c>
      <c r="K8" s="87">
        <v>0.33333333333333331</v>
      </c>
      <c r="L8" s="85" t="s">
        <v>177</v>
      </c>
      <c r="M8" s="88">
        <v>0.3</v>
      </c>
      <c r="N8" s="85" t="s">
        <v>171</v>
      </c>
      <c r="O8" s="88">
        <v>0.16503267973856209</v>
      </c>
      <c r="P8" s="85" t="s">
        <v>225</v>
      </c>
      <c r="Q8" s="89">
        <v>8666.6666666666661</v>
      </c>
      <c r="R8" s="85" t="s">
        <v>186</v>
      </c>
      <c r="S8" s="89">
        <v>-7700</v>
      </c>
      <c r="T8" s="85" t="s">
        <v>171</v>
      </c>
      <c r="U8" s="87">
        <v>5.5555555555555552E-2</v>
      </c>
      <c r="V8" s="85" t="s">
        <v>177</v>
      </c>
      <c r="W8" s="87">
        <v>0.1</v>
      </c>
      <c r="X8" s="85" t="s">
        <v>129</v>
      </c>
      <c r="Y8" s="88">
        <v>0.26719056974459726</v>
      </c>
      <c r="Z8" s="85" t="s">
        <v>145</v>
      </c>
      <c r="AA8" s="88">
        <v>0.21007063112326271</v>
      </c>
      <c r="AB8" s="85" t="s">
        <v>185</v>
      </c>
      <c r="AC8" s="88">
        <v>0.6</v>
      </c>
      <c r="AD8" s="85" t="s">
        <v>171</v>
      </c>
      <c r="AE8" s="88">
        <v>0.40707964601769914</v>
      </c>
      <c r="AF8" s="85" t="s">
        <v>129</v>
      </c>
      <c r="AG8" s="88">
        <v>0.4956521739130435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-6.0000000000000142</v>
      </c>
      <c r="D9" s="85" t="s">
        <v>172</v>
      </c>
      <c r="E9" s="97">
        <v>-0.10526315789473709</v>
      </c>
      <c r="F9" s="85" t="s">
        <v>172</v>
      </c>
      <c r="G9" s="86">
        <v>2.0526315789473686</v>
      </c>
      <c r="H9" s="85" t="s">
        <v>173</v>
      </c>
      <c r="I9" s="87">
        <v>0.27500000000000002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145</v>
      </c>
      <c r="O9" s="88">
        <v>0.16609706083390294</v>
      </c>
      <c r="P9" s="85" t="s">
        <v>177</v>
      </c>
      <c r="Q9" s="89">
        <v>8664.6464646464647</v>
      </c>
      <c r="R9" s="85" t="s">
        <v>171</v>
      </c>
      <c r="S9" s="89">
        <v>-7786.1386138613861</v>
      </c>
      <c r="T9" s="85" t="s">
        <v>127</v>
      </c>
      <c r="U9" s="87">
        <v>0.11206896551724138</v>
      </c>
      <c r="V9" s="85" t="s">
        <v>128</v>
      </c>
      <c r="W9" s="87">
        <v>9.6491228070175433E-2</v>
      </c>
      <c r="X9" s="85" t="s">
        <v>185</v>
      </c>
      <c r="Y9" s="88">
        <v>0.26315789473684209</v>
      </c>
      <c r="Z9" s="85" t="s">
        <v>177</v>
      </c>
      <c r="AA9" s="88">
        <v>0.20909090909090908</v>
      </c>
      <c r="AB9" s="85" t="s">
        <v>172</v>
      </c>
      <c r="AC9" s="88">
        <v>0.59433962264150941</v>
      </c>
      <c r="AD9" s="85" t="s">
        <v>145</v>
      </c>
      <c r="AE9" s="88">
        <v>0.3926247288503254</v>
      </c>
      <c r="AF9" s="85" t="s">
        <v>145</v>
      </c>
      <c r="AG9" s="88">
        <v>0.4404852160727824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2.0555555555555554</v>
      </c>
      <c r="H10" s="85" t="s">
        <v>128</v>
      </c>
      <c r="I10" s="87">
        <v>0.27192982456140352</v>
      </c>
      <c r="J10" s="85" t="s">
        <v>171</v>
      </c>
      <c r="K10" s="87">
        <v>0.34722222222222221</v>
      </c>
      <c r="L10" s="85" t="s">
        <v>171</v>
      </c>
      <c r="M10" s="88">
        <v>0.27941176470588236</v>
      </c>
      <c r="N10" s="85" t="s">
        <v>128</v>
      </c>
      <c r="O10" s="88">
        <v>0.17003188097768332</v>
      </c>
      <c r="P10" s="85" t="s">
        <v>145</v>
      </c>
      <c r="Q10" s="89">
        <v>8593.1008339651253</v>
      </c>
      <c r="R10" s="85" t="s">
        <v>145</v>
      </c>
      <c r="S10" s="89">
        <v>-8193.0041152263366</v>
      </c>
      <c r="T10" s="85" t="s">
        <v>145</v>
      </c>
      <c r="U10" s="87">
        <v>0.11428571428571428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0.37681159420289856</v>
      </c>
      <c r="AF10" s="85" t="s">
        <v>171</v>
      </c>
      <c r="AG10" s="88">
        <v>0.43274853801169588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172</v>
      </c>
      <c r="I11" s="87">
        <v>0.26315789473684209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-8415.6028368794323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177</v>
      </c>
      <c r="Y11" s="88">
        <v>0.23636363636363636</v>
      </c>
      <c r="Z11" s="85" t="s">
        <v>171</v>
      </c>
      <c r="AA11" s="88">
        <v>0.184640522875817</v>
      </c>
      <c r="AB11" s="85" t="s">
        <v>145</v>
      </c>
      <c r="AC11" s="88">
        <v>0.58717105263157898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0.24193548387096775</v>
      </c>
      <c r="J12" s="85" t="s">
        <v>177</v>
      </c>
      <c r="K12" s="87">
        <v>0.35</v>
      </c>
      <c r="L12" s="85" t="s">
        <v>186</v>
      </c>
      <c r="M12" s="88">
        <v>0.26923076923076922</v>
      </c>
      <c r="N12" s="85" t="s">
        <v>173</v>
      </c>
      <c r="O12" s="88">
        <v>0.1930835734870317</v>
      </c>
      <c r="P12" s="85" t="s">
        <v>186</v>
      </c>
      <c r="Q12" s="89">
        <v>7700</v>
      </c>
      <c r="R12" s="85" t="s">
        <v>172</v>
      </c>
      <c r="S12" s="89">
        <v>-9289.2307692307695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0.18172157279489903</v>
      </c>
      <c r="AB12" s="85" t="s">
        <v>127</v>
      </c>
      <c r="AC12" s="88">
        <v>0.58387096774193548</v>
      </c>
      <c r="AD12" s="85" t="s">
        <v>128</v>
      </c>
      <c r="AE12" s="88">
        <v>0.2982456140350877</v>
      </c>
      <c r="AF12" s="85" t="s">
        <v>172</v>
      </c>
      <c r="AG12" s="88">
        <v>0.42222222222222222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0.4838709677419355</v>
      </c>
      <c r="L13" s="85" t="s">
        <v>185</v>
      </c>
      <c r="M13" s="88">
        <v>0.26315789473684209</v>
      </c>
      <c r="N13" s="85" t="s">
        <v>129</v>
      </c>
      <c r="O13" s="88">
        <v>0.19646365422396855</v>
      </c>
      <c r="P13" s="85" t="s">
        <v>202</v>
      </c>
      <c r="Q13" s="89">
        <v>7438.0952380952385</v>
      </c>
      <c r="R13" s="85" t="s">
        <v>129</v>
      </c>
      <c r="S13" s="89">
        <v>-9394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0.16502946954813361</v>
      </c>
      <c r="AB13" s="85" t="s">
        <v>171</v>
      </c>
      <c r="AC13" s="88">
        <v>0.58045977011494254</v>
      </c>
      <c r="AD13" s="85" t="s">
        <v>129</v>
      </c>
      <c r="AE13" s="88">
        <v>0.22619047619047619</v>
      </c>
      <c r="AF13" s="85" t="s">
        <v>127</v>
      </c>
      <c r="AG13" s="88">
        <v>0.41916167664670656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-15.646774193548382</v>
      </c>
      <c r="F14" s="85" t="s">
        <v>129</v>
      </c>
      <c r="G14" s="86">
        <v>2.2419354838709675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0.22593320235756384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0.17499999999999999</v>
      </c>
      <c r="V14" s="85" t="s">
        <v>224</v>
      </c>
      <c r="W14" s="87">
        <v>0</v>
      </c>
      <c r="X14" s="85" t="s">
        <v>173</v>
      </c>
      <c r="Y14" s="88">
        <v>0.23054755043227665</v>
      </c>
      <c r="Z14" s="85" t="s">
        <v>225</v>
      </c>
      <c r="AA14" s="88">
        <v>0.125</v>
      </c>
      <c r="AB14" s="85" t="s">
        <v>129</v>
      </c>
      <c r="AC14" s="88">
        <v>0.50735294117647056</v>
      </c>
      <c r="AD14" s="85" t="s">
        <v>224</v>
      </c>
      <c r="AE14" s="88">
        <v>0</v>
      </c>
      <c r="AF14" s="85" t="s">
        <v>177</v>
      </c>
      <c r="AG14" s="88">
        <v>0.41414141414141414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-970.09999999999968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6510</v>
      </c>
      <c r="R15" s="85" t="s">
        <v>225</v>
      </c>
      <c r="S15" s="89">
        <v>-14000</v>
      </c>
      <c r="T15" s="85" t="s">
        <v>129</v>
      </c>
      <c r="U15" s="87">
        <v>0.19354838709677419</v>
      </c>
      <c r="V15" s="85" t="s">
        <v>225</v>
      </c>
      <c r="W15" s="87">
        <v>0</v>
      </c>
      <c r="X15" s="85" t="s">
        <v>172</v>
      </c>
      <c r="Y15" s="88">
        <v>0.21414141414141413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AA192-EF1F-494F-A9AB-FDC5411916BC}">
  <sheetPr codeName="Sheet4"/>
  <dimension ref="A1:Q5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525</v>
      </c>
      <c r="C2" s="147"/>
      <c r="E2" s="62" t="s">
        <v>67</v>
      </c>
      <c r="F2" s="59" t="s">
        <v>23</v>
      </c>
      <c r="G2" s="46">
        <v>971</v>
      </c>
      <c r="H2" s="132">
        <f>IF(B$17=0,0,G2/B$17)</f>
        <v>0.73616376042456411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-15.238095238095237</v>
      </c>
      <c r="P2" s="118">
        <v>525</v>
      </c>
      <c r="Q2" s="102">
        <v>-8000</v>
      </c>
    </row>
    <row r="3" spans="1:17" x14ac:dyDescent="0.4">
      <c r="A3" s="55" t="s">
        <v>8</v>
      </c>
      <c r="B3" s="148">
        <v>4389</v>
      </c>
      <c r="C3" s="149"/>
      <c r="E3" s="63" t="s">
        <v>65</v>
      </c>
      <c r="F3" s="60" t="s">
        <v>21</v>
      </c>
      <c r="G3" s="47">
        <v>684</v>
      </c>
      <c r="H3" s="133">
        <f>IF(B$17=0,0,G3/B$17)</f>
        <v>0.5185746777862017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-7.7972709551656916</v>
      </c>
      <c r="P3" s="119">
        <v>513</v>
      </c>
      <c r="Q3" s="103">
        <v>-4000</v>
      </c>
    </row>
    <row r="4" spans="1:17" x14ac:dyDescent="0.4">
      <c r="A4" s="55" t="s">
        <v>6</v>
      </c>
      <c r="B4" s="150">
        <v>2.0000000000000071</v>
      </c>
      <c r="C4" s="151"/>
      <c r="E4" s="63" t="s">
        <v>73</v>
      </c>
      <c r="F4" s="60" t="s">
        <v>28</v>
      </c>
      <c r="G4" s="47">
        <v>677</v>
      </c>
      <c r="H4" s="133">
        <f>IF(B$17=0,0,G4/B$17)</f>
        <v>0.51326762699014405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12.345679012345679</v>
      </c>
      <c r="P4" s="119">
        <v>486</v>
      </c>
      <c r="Q4" s="103">
        <v>6000</v>
      </c>
    </row>
    <row r="5" spans="1:17" x14ac:dyDescent="0.4">
      <c r="A5" s="55" t="s">
        <v>7</v>
      </c>
      <c r="B5" s="152">
        <f>IF(B$2=0,0,B$4/B$2)</f>
        <v>3.809523809523823E-3</v>
      </c>
      <c r="C5" s="153"/>
      <c r="E5" s="63" t="s">
        <v>181</v>
      </c>
      <c r="F5" s="60" t="s">
        <v>182</v>
      </c>
      <c r="G5" s="47">
        <v>531</v>
      </c>
      <c r="H5" s="133">
        <f>IF(B$17=0,0,G5/B$17)</f>
        <v>0.40257771038665657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6.8493150684931505</v>
      </c>
      <c r="P5" s="119">
        <v>438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416</v>
      </c>
      <c r="H6" s="133">
        <f>IF(B$17=0,0,G6/B$17)</f>
        <v>0.31539044730856708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-12.72264631043257</v>
      </c>
      <c r="P6" s="119">
        <v>393</v>
      </c>
      <c r="Q6" s="103">
        <v>-5000</v>
      </c>
    </row>
    <row r="7" spans="1:17" x14ac:dyDescent="0.4">
      <c r="A7" s="55" t="s">
        <v>2</v>
      </c>
      <c r="B7" s="47">
        <v>175</v>
      </c>
      <c r="C7" s="39">
        <f>IF(B$2=0,0,B7/B$2)</f>
        <v>0.33333333333333331</v>
      </c>
      <c r="E7" s="63" t="s">
        <v>68</v>
      </c>
      <c r="F7" s="60" t="s">
        <v>24</v>
      </c>
      <c r="G7" s="47">
        <v>398</v>
      </c>
      <c r="H7" s="133">
        <f>IF(B$17=0,0,G7/B$17)</f>
        <v>0.30174374526156178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28.011204481792717</v>
      </c>
      <c r="P7" s="120">
        <v>357</v>
      </c>
      <c r="Q7" s="104">
        <v>10000</v>
      </c>
    </row>
    <row r="8" spans="1:17" x14ac:dyDescent="0.4">
      <c r="A8" s="55" t="s">
        <v>3</v>
      </c>
      <c r="B8" s="47">
        <v>175</v>
      </c>
      <c r="C8" s="39">
        <f>IF(B$2=0,0,B8/B$2)</f>
        <v>0.33333333333333331</v>
      </c>
      <c r="E8" s="63" t="s">
        <v>70</v>
      </c>
      <c r="F8" s="60" t="s">
        <v>25</v>
      </c>
      <c r="G8" s="47">
        <v>236</v>
      </c>
      <c r="H8" s="133">
        <f>IF(B$17=0,0,G8/B$17)</f>
        <v>0.17892342683851403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161</v>
      </c>
      <c r="H9" s="133">
        <f>IF(B$17=0,0,G9/B$17)</f>
        <v>0.12206216830932524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60</v>
      </c>
      <c r="C10" s="40">
        <f>IF(B$2=0,0,B10/B$2)</f>
        <v>0.11428571428571428</v>
      </c>
      <c r="E10" s="63" t="s">
        <v>66</v>
      </c>
      <c r="F10" s="60" t="s">
        <v>22</v>
      </c>
      <c r="G10" s="47">
        <v>159</v>
      </c>
      <c r="H10" s="133">
        <f>IF(B$17=0,0,G10/B$17)</f>
        <v>0.12054586808188021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-1.608571428571429</v>
      </c>
      <c r="P10" s="118">
        <v>175</v>
      </c>
      <c r="Q10" s="106">
        <v>-281.50000000000006</v>
      </c>
    </row>
    <row r="11" spans="1:17" x14ac:dyDescent="0.4">
      <c r="A11" s="56" t="s">
        <v>140</v>
      </c>
      <c r="B11" s="48">
        <v>60</v>
      </c>
      <c r="C11" s="40">
        <f>IF(B$2=0,0,B11/B$2)</f>
        <v>0.11428571428571428</v>
      </c>
      <c r="E11" s="63" t="s">
        <v>71</v>
      </c>
      <c r="F11" s="60" t="s">
        <v>26</v>
      </c>
      <c r="G11" s="47">
        <v>138</v>
      </c>
      <c r="H11" s="133">
        <f>IF(B$17=0,0,G11/B$17)</f>
        <v>0.10462471569370735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-1.017714285714286</v>
      </c>
      <c r="P11" s="119">
        <v>175</v>
      </c>
      <c r="Q11" s="107">
        <v>-178.10000000000005</v>
      </c>
    </row>
    <row r="12" spans="1:17" x14ac:dyDescent="0.4">
      <c r="A12" s="57" t="s">
        <v>160</v>
      </c>
      <c r="B12" s="49">
        <v>44</v>
      </c>
      <c r="C12" s="42">
        <f>IF(B$2=0,0,B12/B$2)</f>
        <v>8.3809523809523806E-2</v>
      </c>
      <c r="E12" s="63" t="s">
        <v>72</v>
      </c>
      <c r="F12" s="60" t="s">
        <v>27</v>
      </c>
      <c r="G12" s="47">
        <v>87</v>
      </c>
      <c r="H12" s="133">
        <f>IF(B$17=0,0,G12/B$17)</f>
        <v>6.5959059893858987E-2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2.6377142857142863</v>
      </c>
      <c r="P12" s="120">
        <v>175</v>
      </c>
      <c r="Q12" s="108">
        <v>461.60000000000008</v>
      </c>
    </row>
    <row r="13" spans="1:17" x14ac:dyDescent="0.4">
      <c r="A13" s="58" t="s">
        <v>122</v>
      </c>
      <c r="B13" s="50">
        <v>1216</v>
      </c>
      <c r="C13" s="44">
        <f>IF(B$3=0,0,B13/B$3)</f>
        <v>0.27705627705627706</v>
      </c>
      <c r="E13" s="63" t="s">
        <v>87</v>
      </c>
      <c r="F13" s="60" t="s">
        <v>42</v>
      </c>
      <c r="G13" s="47">
        <v>76</v>
      </c>
      <c r="H13" s="133">
        <f>IF(B$17=0,0,G13/B$17)</f>
        <v>5.7619408642911298E-2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922</v>
      </c>
      <c r="C14" s="39">
        <f>IF(B$3=0,0,B14/B$3)</f>
        <v>0.21007063112326271</v>
      </c>
      <c r="E14" s="63" t="s">
        <v>84</v>
      </c>
      <c r="F14" s="60" t="s">
        <v>39</v>
      </c>
      <c r="G14" s="47">
        <v>59</v>
      </c>
      <c r="H14" s="133">
        <f>IF(B$17=0,0,G14/B$17)</f>
        <v>4.4730856709628508E-2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714</v>
      </c>
      <c r="C15" s="37">
        <f>IF(B$13=0,0,B15/B$13)</f>
        <v>0.58717105263157898</v>
      </c>
      <c r="E15" s="63" t="s">
        <v>82</v>
      </c>
      <c r="F15" s="60" t="s">
        <v>37</v>
      </c>
      <c r="G15" s="47">
        <v>39</v>
      </c>
      <c r="H15" s="133">
        <f>IF(B$17=0,0,G15/B$17)</f>
        <v>2.9567854435178165E-2</v>
      </c>
      <c r="I15" s="94">
        <v>8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362</v>
      </c>
      <c r="C16" s="37">
        <f>IF(B$14=0,0,B16/B$14)</f>
        <v>0.3926247288503254</v>
      </c>
      <c r="E16" s="63" t="s">
        <v>79</v>
      </c>
      <c r="F16" s="60" t="s">
        <v>34</v>
      </c>
      <c r="G16" s="47">
        <v>32</v>
      </c>
      <c r="H16" s="133">
        <f>IF(B$17=0,0,G16/B$17)</f>
        <v>2.4260803639120546E-2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23.470161290322601</v>
      </c>
      <c r="P16" s="119">
        <v>124</v>
      </c>
      <c r="Q16" s="107">
        <v>2910.3000000000025</v>
      </c>
    </row>
    <row r="17" spans="1:17" x14ac:dyDescent="0.4">
      <c r="A17" s="54" t="s">
        <v>10</v>
      </c>
      <c r="B17" s="46">
        <f>B19+B18</f>
        <v>1319</v>
      </c>
      <c r="C17" s="37">
        <f>IF(B$3=0,0,B17/B$3)</f>
        <v>0.30052403736614264</v>
      </c>
      <c r="E17" s="63" t="s">
        <v>92</v>
      </c>
      <c r="F17" s="60" t="s">
        <v>47</v>
      </c>
      <c r="G17" s="47">
        <v>23</v>
      </c>
      <c r="H17" s="133">
        <f>IF(B$17=0,0,G17/B$17)</f>
        <v>1.7437452615617893E-2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581</v>
      </c>
      <c r="C18" s="39">
        <f>IF(B$17=0,0,B18/B$17)</f>
        <v>0.4404852160727824</v>
      </c>
      <c r="E18" s="63" t="s">
        <v>80</v>
      </c>
      <c r="F18" s="60" t="s">
        <v>35</v>
      </c>
      <c r="G18" s="47">
        <v>21</v>
      </c>
      <c r="H18" s="133">
        <f>IF(B$17=0,0,G18/B$17)</f>
        <v>1.5921152388172859E-2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738</v>
      </c>
      <c r="C19" s="39">
        <f>IF(B$17=0,0,B19/B$17)</f>
        <v>0.55951478392721754</v>
      </c>
      <c r="E19" s="63" t="s">
        <v>180</v>
      </c>
      <c r="F19" s="60" t="s">
        <v>183</v>
      </c>
      <c r="G19" s="47">
        <v>18</v>
      </c>
      <c r="H19" s="133">
        <f>IF(B$17=0,0,G19/B$17)</f>
        <v>1.3646702047005308E-2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729</v>
      </c>
      <c r="C20" s="39">
        <f>IF(B$3=0,0,B20/B$3)</f>
        <v>0.16609706083390294</v>
      </c>
      <c r="E20" s="63" t="s">
        <v>76</v>
      </c>
      <c r="F20" s="60" t="s">
        <v>31</v>
      </c>
      <c r="G20" s="47">
        <v>9</v>
      </c>
      <c r="H20" s="133">
        <f>IF(B$17=0,0,G20/B$17)</f>
        <v>6.8233510235026539E-3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6.0652009097801364E-3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0.17543859649122645</v>
      </c>
      <c r="P21" s="119">
        <v>114</v>
      </c>
      <c r="Q21" s="107">
        <v>19.999999999999815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5</v>
      </c>
      <c r="H22" s="133">
        <f>IF(B$17=0,0,G22/B$17)</f>
        <v>3.7907505686125853E-3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-1.3775000000000022</v>
      </c>
      <c r="P22" s="119">
        <v>80</v>
      </c>
      <c r="Q22" s="107">
        <v>-110.20000000000017</v>
      </c>
    </row>
    <row r="23" spans="1:17" x14ac:dyDescent="0.4">
      <c r="A23" s="55" t="s">
        <v>5</v>
      </c>
      <c r="B23" s="51">
        <f>IF(B$17=0,0,C23/B$17)</f>
        <v>8593.1008339651253</v>
      </c>
      <c r="C23" s="41">
        <v>11334300</v>
      </c>
      <c r="E23" s="63" t="s">
        <v>93</v>
      </c>
      <c r="F23" s="60" t="s">
        <v>48</v>
      </c>
      <c r="G23" s="47">
        <v>5</v>
      </c>
      <c r="H23" s="133">
        <f>IF(B$17=0,0,G23/B$17)</f>
        <v>3.7907505686125853E-3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-2.1152777777777754</v>
      </c>
      <c r="P23" s="119">
        <v>144</v>
      </c>
      <c r="Q23" s="107">
        <v>-304.59999999999968</v>
      </c>
    </row>
    <row r="24" spans="1:17" x14ac:dyDescent="0.4">
      <c r="A24" s="57" t="s">
        <v>14</v>
      </c>
      <c r="B24" s="52">
        <f>IF(B$20=0,0,C24/B$20)</f>
        <v>-8193.0041152263366</v>
      </c>
      <c r="C24" s="45">
        <v>-5972700</v>
      </c>
      <c r="E24" s="63" t="s">
        <v>94</v>
      </c>
      <c r="F24" s="60" t="s">
        <v>49</v>
      </c>
      <c r="G24" s="47">
        <v>5</v>
      </c>
      <c r="H24" s="133">
        <f>IF(B$17=0,0,G24/B$17)</f>
        <v>3.7907505686125853E-3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-19.033189655172386</v>
      </c>
      <c r="P24" s="119">
        <v>232</v>
      </c>
      <c r="Q24" s="107">
        <v>-4415.6999999999935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3.0326004548900682E-3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2.2744503411675512E-3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2.9619503303713831E-3</v>
      </c>
      <c r="E27" s="63" t="s">
        <v>85</v>
      </c>
      <c r="F27" s="60" t="s">
        <v>40</v>
      </c>
      <c r="G27" s="47">
        <v>3</v>
      </c>
      <c r="H27" s="133">
        <f>IF(B$17=0,0,G27/B$17)</f>
        <v>2.2744503411675512E-3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2.2744503411675512E-3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1.5163002274450341E-3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1.5163002274450341E-3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1.5163002274450341E-3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1</v>
      </c>
      <c r="H32" s="133">
        <f>IF(B$17=0,0,G32/B$17)</f>
        <v>7.5815011372251705E-4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7.5815011372251705E-4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44.500000000000007</v>
      </c>
    </row>
    <row r="520" spans="11:12" x14ac:dyDescent="0.4">
      <c r="K520" s="38">
        <v>518</v>
      </c>
      <c r="L520" s="99">
        <v>44.70000000000001</v>
      </c>
    </row>
    <row r="521" spans="11:12" x14ac:dyDescent="0.4">
      <c r="K521" s="38">
        <v>519</v>
      </c>
      <c r="L521" s="99">
        <v>2.0000000000000071</v>
      </c>
    </row>
    <row r="522" spans="11:12" x14ac:dyDescent="0.4">
      <c r="K522" s="38">
        <v>520</v>
      </c>
      <c r="L522" s="99">
        <v>-55.999999999999993</v>
      </c>
    </row>
    <row r="523" spans="11:12" x14ac:dyDescent="0.4">
      <c r="K523" s="38">
        <v>521</v>
      </c>
      <c r="L523" s="99">
        <v>7.1054273576010019E-15</v>
      </c>
    </row>
    <row r="524" spans="11:12" x14ac:dyDescent="0.4">
      <c r="K524" s="38">
        <v>522</v>
      </c>
      <c r="L524" s="99">
        <v>2.0000000000000071</v>
      </c>
    </row>
    <row r="525" spans="11:12" x14ac:dyDescent="0.4">
      <c r="K525" s="38">
        <v>523</v>
      </c>
      <c r="L525" s="99">
        <v>38.400000000000006</v>
      </c>
    </row>
    <row r="526" spans="11:12" x14ac:dyDescent="0.4">
      <c r="K526" s="38">
        <v>524</v>
      </c>
      <c r="L526" s="99">
        <v>47.900000000000006</v>
      </c>
    </row>
    <row r="527" spans="11:12" x14ac:dyDescent="0.4">
      <c r="K527" s="38">
        <v>525</v>
      </c>
      <c r="L527" s="99">
        <v>2.0000000000000071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1B88-A249-445E-849F-C27EF0E704A9}">
  <sheetPr codeName="Sheet7"/>
  <dimension ref="A1:Q1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116</v>
      </c>
      <c r="C2" s="147"/>
      <c r="E2" s="62" t="s">
        <v>67</v>
      </c>
      <c r="F2" s="59" t="s">
        <v>23</v>
      </c>
      <c r="G2" s="46">
        <v>245</v>
      </c>
      <c r="H2" s="132">
        <f>IF(B$17=0,0,G2/B$17)</f>
        <v>0.73353293413173648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1764.655172413793</v>
      </c>
      <c r="P2" s="118">
        <v>116</v>
      </c>
      <c r="Q2" s="102">
        <v>204700</v>
      </c>
    </row>
    <row r="3" spans="1:17" x14ac:dyDescent="0.4">
      <c r="A3" s="55" t="s">
        <v>8</v>
      </c>
      <c r="B3" s="148">
        <v>942</v>
      </c>
      <c r="C3" s="149"/>
      <c r="E3" s="63" t="s">
        <v>73</v>
      </c>
      <c r="F3" s="60" t="s">
        <v>28</v>
      </c>
      <c r="G3" s="47">
        <v>185</v>
      </c>
      <c r="H3" s="133">
        <f>IF(B$17=0,0,G3/B$17)</f>
        <v>0.55389221556886226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1462.8318584070796</v>
      </c>
      <c r="P3" s="119">
        <v>113</v>
      </c>
      <c r="Q3" s="103">
        <v>165300</v>
      </c>
    </row>
    <row r="4" spans="1:17" x14ac:dyDescent="0.4">
      <c r="A4" s="55" t="s">
        <v>6</v>
      </c>
      <c r="B4" s="150">
        <v>1471.900000000001</v>
      </c>
      <c r="C4" s="151"/>
      <c r="E4" s="63" t="s">
        <v>65</v>
      </c>
      <c r="F4" s="60" t="s">
        <v>21</v>
      </c>
      <c r="G4" s="47">
        <v>169</v>
      </c>
      <c r="H4" s="133">
        <f>IF(B$17=0,0,G4/B$17)</f>
        <v>0.50598802395209586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1548.148148148148</v>
      </c>
      <c r="P4" s="119">
        <v>108</v>
      </c>
      <c r="Q4" s="103">
        <v>167200</v>
      </c>
    </row>
    <row r="5" spans="1:17" x14ac:dyDescent="0.4">
      <c r="A5" s="55" t="s">
        <v>7</v>
      </c>
      <c r="B5" s="152">
        <f>IF(B$2=0,0,B$4/B$2)</f>
        <v>12.688793103448285</v>
      </c>
      <c r="C5" s="153"/>
      <c r="E5" s="63" t="s">
        <v>181</v>
      </c>
      <c r="F5" s="60" t="s">
        <v>182</v>
      </c>
      <c r="G5" s="47">
        <v>138</v>
      </c>
      <c r="H5" s="133">
        <f>IF(B$17=0,0,G5/B$17)</f>
        <v>0.41317365269461076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2092.8571428571427</v>
      </c>
      <c r="P5" s="119">
        <v>98</v>
      </c>
      <c r="Q5" s="103">
        <v>205100</v>
      </c>
    </row>
    <row r="6" spans="1:17" x14ac:dyDescent="0.4">
      <c r="A6" s="55" t="s">
        <v>1</v>
      </c>
      <c r="B6" s="142">
        <f>IF(B$2=0,0,(B$7*1+B$8*2+B$9*3)/B$2)</f>
        <v>1.7327586206896552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0.29640718562874252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916.27906976744191</v>
      </c>
      <c r="P6" s="119">
        <v>86</v>
      </c>
      <c r="Q6" s="103">
        <v>78800</v>
      </c>
    </row>
    <row r="7" spans="1:17" x14ac:dyDescent="0.4">
      <c r="A7" s="55" t="s">
        <v>2</v>
      </c>
      <c r="B7" s="47">
        <v>58</v>
      </c>
      <c r="C7" s="39">
        <f>IF(B$2=0,0,B7/B$2)</f>
        <v>0.5</v>
      </c>
      <c r="E7" s="63" t="s">
        <v>69</v>
      </c>
      <c r="F7" s="60" t="s">
        <v>12</v>
      </c>
      <c r="G7" s="47">
        <v>88</v>
      </c>
      <c r="H7" s="133">
        <f>IF(B$17=0,0,G7/B$17)</f>
        <v>0.26347305389221559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339.4736842105263</v>
      </c>
      <c r="P7" s="120">
        <v>76</v>
      </c>
      <c r="Q7" s="104">
        <v>25800</v>
      </c>
    </row>
    <row r="8" spans="1:17" x14ac:dyDescent="0.4">
      <c r="A8" s="55" t="s">
        <v>3</v>
      </c>
      <c r="B8" s="47">
        <v>31</v>
      </c>
      <c r="C8" s="39">
        <f>IF(B$2=0,0,B8/B$2)</f>
        <v>0.26724137931034481</v>
      </c>
      <c r="E8" s="63" t="s">
        <v>70</v>
      </c>
      <c r="F8" s="60" t="s">
        <v>25</v>
      </c>
      <c r="G8" s="47">
        <v>59</v>
      </c>
      <c r="H8" s="133">
        <f>IF(B$17=0,0,G8/B$17)</f>
        <v>0.17664670658682635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0.23275862068965517</v>
      </c>
      <c r="E9" s="63" t="s">
        <v>90</v>
      </c>
      <c r="F9" s="60" t="s">
        <v>45</v>
      </c>
      <c r="G9" s="47">
        <v>51</v>
      </c>
      <c r="H9" s="133">
        <f>IF(B$17=0,0,G9/B$17)</f>
        <v>0.15269461077844312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0.11206896551724138</v>
      </c>
      <c r="E10" s="63" t="s">
        <v>66</v>
      </c>
      <c r="F10" s="60" t="s">
        <v>22</v>
      </c>
      <c r="G10" s="47">
        <v>49</v>
      </c>
      <c r="H10" s="133">
        <f>IF(B$17=0,0,G10/B$17)</f>
        <v>0.1467065868263473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0.18103448275862069</v>
      </c>
      <c r="E11" s="63" t="s">
        <v>71</v>
      </c>
      <c r="F11" s="60" t="s">
        <v>26</v>
      </c>
      <c r="G11" s="47">
        <v>33</v>
      </c>
      <c r="H11" s="133">
        <f>IF(B$17=0,0,G11/B$17)</f>
        <v>9.880239520958084E-2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0.15517241379310345</v>
      </c>
      <c r="E12" s="63" t="s">
        <v>72</v>
      </c>
      <c r="F12" s="60" t="s">
        <v>27</v>
      </c>
      <c r="G12" s="47">
        <v>23</v>
      </c>
      <c r="H12" s="133">
        <f>IF(B$17=0,0,G12/B$17)</f>
        <v>6.8862275449101798E-2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310</v>
      </c>
      <c r="C13" s="44">
        <f>IF(B$3=0,0,B13/B$3)</f>
        <v>0.32908704883227174</v>
      </c>
      <c r="E13" s="63" t="s">
        <v>87</v>
      </c>
      <c r="F13" s="60" t="s">
        <v>42</v>
      </c>
      <c r="G13" s="47">
        <v>23</v>
      </c>
      <c r="H13" s="133">
        <f>IF(B$17=0,0,G13/B$17)</f>
        <v>6.8862275449101798E-2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208</v>
      </c>
      <c r="C14" s="39">
        <f>IF(B$3=0,0,B14/B$3)</f>
        <v>0.2208067940552017</v>
      </c>
      <c r="E14" s="63" t="s">
        <v>84</v>
      </c>
      <c r="F14" s="60" t="s">
        <v>39</v>
      </c>
      <c r="G14" s="47">
        <v>17</v>
      </c>
      <c r="H14" s="133">
        <f>IF(B$17=0,0,G14/B$17)</f>
        <v>5.089820359281437E-2</v>
      </c>
      <c r="I14" s="94">
        <v>2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181</v>
      </c>
      <c r="C15" s="37">
        <f>IF(B$13=0,0,B15/B$13)</f>
        <v>0.58387096774193548</v>
      </c>
      <c r="E15" s="63" t="s">
        <v>82</v>
      </c>
      <c r="F15" s="60" t="s">
        <v>37</v>
      </c>
      <c r="G15" s="47">
        <v>11</v>
      </c>
      <c r="H15" s="133">
        <f>IF(B$17=0,0,G15/B$17)</f>
        <v>3.2934131736526949E-2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108</v>
      </c>
      <c r="C16" s="37">
        <f>IF(B$14=0,0,B16/B$14)</f>
        <v>0.51923076923076927</v>
      </c>
      <c r="E16" s="63" t="s">
        <v>180</v>
      </c>
      <c r="F16" s="60" t="s">
        <v>183</v>
      </c>
      <c r="G16" s="47">
        <v>10</v>
      </c>
      <c r="H16" s="133">
        <f>IF(B$17=0,0,G16/B$17)</f>
        <v>2.9940119760479042E-2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34.872222222222234</v>
      </c>
      <c r="P16" s="119">
        <v>36</v>
      </c>
      <c r="Q16" s="107">
        <v>1255.4000000000003</v>
      </c>
    </row>
    <row r="17" spans="1:17" x14ac:dyDescent="0.4">
      <c r="A17" s="54" t="s">
        <v>10</v>
      </c>
      <c r="B17" s="46">
        <f>B19+B18</f>
        <v>334</v>
      </c>
      <c r="C17" s="37">
        <f>IF(B$3=0,0,B17/B$3)</f>
        <v>0.35456475583864117</v>
      </c>
      <c r="E17" s="63" t="s">
        <v>79</v>
      </c>
      <c r="F17" s="60" t="s">
        <v>34</v>
      </c>
      <c r="G17" s="47">
        <v>7</v>
      </c>
      <c r="H17" s="133">
        <f>IF(B$17=0,0,G17/B$17)</f>
        <v>2.0958083832335328E-2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140</v>
      </c>
      <c r="C18" s="39">
        <f>IF(B$17=0,0,B18/B$17)</f>
        <v>0.41916167664670656</v>
      </c>
      <c r="E18" s="63" t="s">
        <v>92</v>
      </c>
      <c r="F18" s="60" t="s">
        <v>47</v>
      </c>
      <c r="G18" s="47">
        <v>5</v>
      </c>
      <c r="H18" s="133">
        <f>IF(B$17=0,0,G18/B$17)</f>
        <v>1.4970059880239521E-2</v>
      </c>
      <c r="I18" s="94">
        <v>5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194</v>
      </c>
      <c r="C19" s="39">
        <f>IF(B$17=0,0,B19/B$17)</f>
        <v>0.58083832335329344</v>
      </c>
      <c r="E19" s="63" t="s">
        <v>80</v>
      </c>
      <c r="F19" s="60" t="s">
        <v>35</v>
      </c>
      <c r="G19" s="47">
        <v>4</v>
      </c>
      <c r="H19" s="133">
        <f>IF(B$17=0,0,G19/B$17)</f>
        <v>1.1976047904191617E-2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24.660000000000004</v>
      </c>
      <c r="P19" s="119">
        <v>30</v>
      </c>
      <c r="Q19" s="107">
        <v>739.80000000000007</v>
      </c>
    </row>
    <row r="20" spans="1:17" x14ac:dyDescent="0.4">
      <c r="A20" s="55" t="s">
        <v>13</v>
      </c>
      <c r="B20" s="47">
        <v>141</v>
      </c>
      <c r="C20" s="39">
        <f>IF(B$3=0,0,B20/B$3)</f>
        <v>0.14968152866242038</v>
      </c>
      <c r="E20" s="63" t="s">
        <v>74</v>
      </c>
      <c r="F20" s="60" t="s">
        <v>29</v>
      </c>
      <c r="G20" s="47">
        <v>2</v>
      </c>
      <c r="H20" s="133">
        <f>IF(B$17=0,0,G20/B$17)</f>
        <v>5.9880239520958087E-3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2.9940119760479044E-3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2.9940119760479044E-3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9014.3712574850306</v>
      </c>
      <c r="C23" s="41">
        <v>3010800</v>
      </c>
      <c r="E23" s="63" t="s">
        <v>86</v>
      </c>
      <c r="F23" s="60" t="s">
        <v>41</v>
      </c>
      <c r="G23" s="47">
        <v>1</v>
      </c>
      <c r="H23" s="133">
        <f>IF(B$17=0,0,G23/B$17)</f>
        <v>2.9940119760479044E-3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-0.43658536585366164</v>
      </c>
      <c r="P23" s="119">
        <v>41</v>
      </c>
      <c r="Q23" s="107">
        <v>-17.900000000000126</v>
      </c>
    </row>
    <row r="24" spans="1:17" x14ac:dyDescent="0.4">
      <c r="A24" s="57" t="s">
        <v>14</v>
      </c>
      <c r="B24" s="52">
        <f>IF(B$20=0,0,C24/B$20)</f>
        <v>-8415.6028368794323</v>
      </c>
      <c r="C24" s="45">
        <v>-1186600</v>
      </c>
      <c r="E24" s="63" t="s">
        <v>88</v>
      </c>
      <c r="F24" s="60" t="s">
        <v>43</v>
      </c>
      <c r="G24" s="47">
        <v>1</v>
      </c>
      <c r="H24" s="133">
        <f>IF(B$17=0,0,G24/B$17)</f>
        <v>2.9940119760479044E-3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2.9940119760479044E-3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2.9940119760479044E-3</v>
      </c>
      <c r="I26" s="94">
        <v>5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1.0615711252653928E-3</v>
      </c>
      <c r="E27" s="63" t="s">
        <v>94</v>
      </c>
      <c r="F27" s="60" t="s">
        <v>49</v>
      </c>
      <c r="G27" s="47">
        <v>1</v>
      </c>
      <c r="H27" s="133">
        <f>IF(B$17=0,0,G27/B$17)</f>
        <v>2.9940119760479044E-3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2.9940119760479044E-3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229C-86BC-409E-B52A-E3FFDF9F9A2C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4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4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C3F7-AD8A-49EF-930C-3B88A1E3B7DD}">
  <sheetPr codeName="Sheet11"/>
  <dimension ref="A1:Q64"/>
  <sheetViews>
    <sheetView showGridLines="0" topLeftCell="A46" zoomScaleNormal="100" workbookViewId="0">
      <selection activeCell="L62" sqref="L62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0.89565217391304353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-2414.516129032258</v>
      </c>
      <c r="P2" s="118">
        <v>62</v>
      </c>
      <c r="Q2" s="102">
        <v>-149700</v>
      </c>
    </row>
    <row r="3" spans="1:17" x14ac:dyDescent="0.4">
      <c r="A3" s="55" t="s">
        <v>8</v>
      </c>
      <c r="B3" s="148">
        <v>509</v>
      </c>
      <c r="C3" s="149"/>
      <c r="E3" s="63" t="s">
        <v>65</v>
      </c>
      <c r="F3" s="60" t="s">
        <v>21</v>
      </c>
      <c r="G3" s="47">
        <v>66</v>
      </c>
      <c r="H3" s="133">
        <f>IF(B$17=0,0,G3/B$17)</f>
        <v>0.57391304347826089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-1278.3333333333333</v>
      </c>
      <c r="P3" s="119">
        <v>60</v>
      </c>
      <c r="Q3" s="103">
        <v>-76700</v>
      </c>
    </row>
    <row r="4" spans="1:17" x14ac:dyDescent="0.4">
      <c r="A4" s="55" t="s">
        <v>6</v>
      </c>
      <c r="B4" s="150">
        <v>-970.09999999999968</v>
      </c>
      <c r="C4" s="151"/>
      <c r="E4" s="63" t="s">
        <v>69</v>
      </c>
      <c r="F4" s="60" t="s">
        <v>12</v>
      </c>
      <c r="G4" s="47">
        <v>49</v>
      </c>
      <c r="H4" s="133">
        <f>IF(B$17=0,0,G4/B$17)</f>
        <v>0.42608695652173911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-1119.6428571428571</v>
      </c>
      <c r="P4" s="119">
        <v>56</v>
      </c>
      <c r="Q4" s="103">
        <v>-62700</v>
      </c>
    </row>
    <row r="5" spans="1:17" x14ac:dyDescent="0.4">
      <c r="A5" s="55" t="s">
        <v>7</v>
      </c>
      <c r="B5" s="152">
        <f>IF(B$2=0,0,B$4/B$2)</f>
        <v>-15.646774193548382</v>
      </c>
      <c r="C5" s="153"/>
      <c r="E5" s="63" t="s">
        <v>181</v>
      </c>
      <c r="F5" s="60" t="s">
        <v>182</v>
      </c>
      <c r="G5" s="47">
        <v>43</v>
      </c>
      <c r="H5" s="133">
        <f>IF(B$17=0,0,G5/B$17)</f>
        <v>0.37391304347826088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-5270.833333333333</v>
      </c>
      <c r="P5" s="119">
        <v>48</v>
      </c>
      <c r="Q5" s="103">
        <v>-253000</v>
      </c>
    </row>
    <row r="6" spans="1:17" x14ac:dyDescent="0.4">
      <c r="A6" s="55" t="s">
        <v>1</v>
      </c>
      <c r="B6" s="142">
        <f>IF(B$2=0,0,(B$7*1+B$8*2+B$9*3)/B$2)</f>
        <v>2.2419354838709675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0.35652173913043478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-1266.6666666666667</v>
      </c>
      <c r="P6" s="119">
        <v>42</v>
      </c>
      <c r="Q6" s="103">
        <v>-53200</v>
      </c>
    </row>
    <row r="7" spans="1:17" x14ac:dyDescent="0.4">
      <c r="A7" s="55" t="s">
        <v>2</v>
      </c>
      <c r="B7" s="47">
        <v>15</v>
      </c>
      <c r="C7" s="39">
        <f>IF(B$2=0,0,B7/B$2)</f>
        <v>0.24193548387096775</v>
      </c>
      <c r="E7" s="63" t="s">
        <v>73</v>
      </c>
      <c r="F7" s="60" t="s">
        <v>28</v>
      </c>
      <c r="G7" s="47">
        <v>40</v>
      </c>
      <c r="H7" s="133">
        <f>IF(B$17=0,0,G7/B$17)</f>
        <v>0.34782608695652173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-1741.0256410256411</v>
      </c>
      <c r="P7" s="120">
        <v>39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0.27419354838709675</v>
      </c>
      <c r="E8" s="63" t="s">
        <v>70</v>
      </c>
      <c r="F8" s="60" t="s">
        <v>25</v>
      </c>
      <c r="G8" s="47">
        <v>26</v>
      </c>
      <c r="H8" s="133">
        <f>IF(B$17=0,0,G8/B$17)</f>
        <v>0.22608695652173913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0.4838709677419355</v>
      </c>
      <c r="E9" s="63" t="s">
        <v>71</v>
      </c>
      <c r="F9" s="60" t="s">
        <v>26</v>
      </c>
      <c r="G9" s="47">
        <v>19</v>
      </c>
      <c r="H9" s="133">
        <f>IF(B$17=0,0,G9/B$17)</f>
        <v>0.16521739130434782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0.19354838709677419</v>
      </c>
      <c r="E10" s="63" t="s">
        <v>72</v>
      </c>
      <c r="F10" s="60" t="s">
        <v>27</v>
      </c>
      <c r="G10" s="47">
        <v>13</v>
      </c>
      <c r="H10" s="133">
        <f>IF(B$17=0,0,G10/B$17)</f>
        <v>0.11304347826086956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-17.789473684210524</v>
      </c>
      <c r="P10" s="118">
        <v>19</v>
      </c>
      <c r="Q10" s="106">
        <v>-337.99999999999994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90</v>
      </c>
      <c r="F11" s="60" t="s">
        <v>45</v>
      </c>
      <c r="G11" s="47">
        <v>10</v>
      </c>
      <c r="H11" s="133">
        <f>IF(B$17=0,0,G11/B$17)</f>
        <v>8.6956521739130432E-2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8.0645161290322578E-2</v>
      </c>
      <c r="E12" s="63" t="s">
        <v>87</v>
      </c>
      <c r="F12" s="60" t="s">
        <v>42</v>
      </c>
      <c r="G12" s="47">
        <v>9</v>
      </c>
      <c r="H12" s="133">
        <f>IF(B$17=0,0,G12/B$17)</f>
        <v>7.8260869565217397E-2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136</v>
      </c>
      <c r="C13" s="44">
        <f>IF(B$3=0,0,B13/B$3)</f>
        <v>0.26719056974459726</v>
      </c>
      <c r="E13" s="63" t="s">
        <v>66</v>
      </c>
      <c r="F13" s="60" t="s">
        <v>22</v>
      </c>
      <c r="G13" s="47">
        <v>8</v>
      </c>
      <c r="H13" s="133">
        <f>IF(B$17=0,0,G13/B$17)</f>
        <v>6.9565217391304349E-2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0.16502946954813361</v>
      </c>
      <c r="E14" s="63" t="s">
        <v>84</v>
      </c>
      <c r="F14" s="60" t="s">
        <v>39</v>
      </c>
      <c r="G14" s="47">
        <v>5</v>
      </c>
      <c r="H14" s="133">
        <f>IF(B$17=0,0,G14/B$17)</f>
        <v>4.3478260869565216E-2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0.50735294117647056</v>
      </c>
      <c r="E15" s="63" t="s">
        <v>79</v>
      </c>
      <c r="F15" s="60" t="s">
        <v>34</v>
      </c>
      <c r="G15" s="47">
        <v>4</v>
      </c>
      <c r="H15" s="133">
        <f>IF(B$17=0,0,G15/B$17)</f>
        <v>3.4782608695652174E-2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0.22619047619047619</v>
      </c>
      <c r="E16" s="63" t="s">
        <v>75</v>
      </c>
      <c r="F16" s="60" t="s">
        <v>30</v>
      </c>
      <c r="G16" s="47">
        <v>2</v>
      </c>
      <c r="H16" s="133">
        <f>IF(B$17=0,0,G16/B$17)</f>
        <v>1.7391304347826087E-2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115</v>
      </c>
      <c r="C17" s="37">
        <f>IF(B$3=0,0,B17/B$3)</f>
        <v>0.22593320235756384</v>
      </c>
      <c r="E17" s="63" t="s">
        <v>82</v>
      </c>
      <c r="F17" s="60" t="s">
        <v>37</v>
      </c>
      <c r="G17" s="47">
        <v>2</v>
      </c>
      <c r="H17" s="133">
        <f>IF(B$17=0,0,G17/B$17)</f>
        <v>1.7391304347826087E-2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57</v>
      </c>
      <c r="C18" s="39">
        <f>IF(B$17=0,0,B18/B$17)</f>
        <v>0.4956521739130435</v>
      </c>
      <c r="E18" s="63" t="s">
        <v>94</v>
      </c>
      <c r="F18" s="60" t="s">
        <v>49</v>
      </c>
      <c r="G18" s="47">
        <v>2</v>
      </c>
      <c r="H18" s="133">
        <f>IF(B$17=0,0,G18/B$17)</f>
        <v>1.7391304347826087E-2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58</v>
      </c>
      <c r="C19" s="39">
        <f>IF(B$17=0,0,B19/B$17)</f>
        <v>0.5043478260869565</v>
      </c>
      <c r="E19" s="63" t="s">
        <v>78</v>
      </c>
      <c r="F19" s="60" t="s">
        <v>33</v>
      </c>
      <c r="G19" s="47">
        <v>1</v>
      </c>
      <c r="H19" s="133">
        <f>IF(B$17=0,0,G19/B$17)</f>
        <v>8.6956521739130436E-3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-23.099999999999998</v>
      </c>
      <c r="P19" s="119">
        <v>19</v>
      </c>
      <c r="Q19" s="107">
        <v>-438.9</v>
      </c>
    </row>
    <row r="20" spans="1:17" x14ac:dyDescent="0.4">
      <c r="A20" s="55" t="s">
        <v>13</v>
      </c>
      <c r="B20" s="47">
        <v>100</v>
      </c>
      <c r="C20" s="39">
        <f>IF(B$3=0,0,B20/B$3)</f>
        <v>0.19646365422396855</v>
      </c>
      <c r="E20" s="63" t="s">
        <v>80</v>
      </c>
      <c r="F20" s="60" t="s">
        <v>35</v>
      </c>
      <c r="G20" s="47">
        <v>1</v>
      </c>
      <c r="H20" s="133">
        <f>IF(B$17=0,0,G20/B$17)</f>
        <v>8.6956521739130436E-3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-34.872222222222234</v>
      </c>
      <c r="P20" s="119">
        <v>36</v>
      </c>
      <c r="Q20" s="107">
        <v>-1255.4000000000005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8.6956521739130436E-3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89</v>
      </c>
      <c r="F22" s="60" t="s">
        <v>44</v>
      </c>
      <c r="G22" s="47">
        <v>1</v>
      </c>
      <c r="H22" s="133">
        <f>IF(B$17=0,0,G22/B$17)</f>
        <v>8.6956521739130436E-3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9173.9130434782601</v>
      </c>
      <c r="C23" s="41">
        <v>1055000</v>
      </c>
      <c r="E23" s="63" t="s">
        <v>92</v>
      </c>
      <c r="F23" s="60" t="s">
        <v>47</v>
      </c>
      <c r="G23" s="47">
        <v>1</v>
      </c>
      <c r="H23" s="133">
        <f>IF(B$17=0,0,G23/B$17)</f>
        <v>8.6956521739130436E-3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-9394</v>
      </c>
      <c r="C24" s="45">
        <v>-939400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1.9646365422396855E-3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2FD8-B0FD-4E76-AFE1-ED177855761E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72</v>
      </c>
      <c r="C2" s="147"/>
      <c r="E2" s="62" t="s">
        <v>67</v>
      </c>
      <c r="F2" s="59" t="s">
        <v>23</v>
      </c>
      <c r="G2" s="46">
        <v>142</v>
      </c>
      <c r="H2" s="132">
        <f>IF(B$17=0,0,G2/B$17)</f>
        <v>0.83040935672514615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-922.22222222222217</v>
      </c>
      <c r="P2" s="118">
        <v>72</v>
      </c>
      <c r="Q2" s="102">
        <v>-66400</v>
      </c>
    </row>
    <row r="3" spans="1:17" x14ac:dyDescent="0.4">
      <c r="A3" s="55" t="s">
        <v>8</v>
      </c>
      <c r="B3" s="148">
        <v>612</v>
      </c>
      <c r="C3" s="149"/>
      <c r="E3" s="63" t="s">
        <v>65</v>
      </c>
      <c r="F3" s="60" t="s">
        <v>21</v>
      </c>
      <c r="G3" s="47">
        <v>96</v>
      </c>
      <c r="H3" s="133">
        <f>IF(B$17=0,0,G3/B$17)</f>
        <v>0.56140350877192979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638.02816901408448</v>
      </c>
      <c r="P3" s="119">
        <v>71</v>
      </c>
      <c r="Q3" s="103">
        <v>45300</v>
      </c>
    </row>
    <row r="4" spans="1:17" x14ac:dyDescent="0.4">
      <c r="A4" s="55" t="s">
        <v>6</v>
      </c>
      <c r="B4" s="150">
        <v>102.19999999999999</v>
      </c>
      <c r="C4" s="151"/>
      <c r="E4" s="63" t="s">
        <v>73</v>
      </c>
      <c r="F4" s="60" t="s">
        <v>28</v>
      </c>
      <c r="G4" s="47">
        <v>87</v>
      </c>
      <c r="H4" s="133">
        <f>IF(B$17=0,0,G4/B$17)</f>
        <v>0.50877192982456143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1588.0597014925372</v>
      </c>
      <c r="P4" s="119">
        <v>67</v>
      </c>
      <c r="Q4" s="103">
        <v>106400</v>
      </c>
    </row>
    <row r="5" spans="1:17" x14ac:dyDescent="0.4">
      <c r="A5" s="55" t="s">
        <v>7</v>
      </c>
      <c r="B5" s="152">
        <f>IF(B$2=0,0,B$4/B$2)</f>
        <v>1.4194444444444443</v>
      </c>
      <c r="C5" s="153"/>
      <c r="E5" s="63" t="s">
        <v>181</v>
      </c>
      <c r="F5" s="60" t="s">
        <v>182</v>
      </c>
      <c r="G5" s="47">
        <v>65</v>
      </c>
      <c r="H5" s="133">
        <f>IF(B$17=0,0,G5/B$17)</f>
        <v>0.38011695906432746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2305.2631578947367</v>
      </c>
      <c r="P5" s="119">
        <v>57</v>
      </c>
      <c r="Q5" s="103">
        <v>131400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68</v>
      </c>
      <c r="F6" s="60" t="s">
        <v>24</v>
      </c>
      <c r="G6" s="47">
        <v>54</v>
      </c>
      <c r="H6" s="133">
        <f>IF(B$17=0,0,G6/B$17)</f>
        <v>0.31578947368421051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-1188.2352941176471</v>
      </c>
      <c r="P6" s="119">
        <v>51</v>
      </c>
      <c r="Q6" s="103">
        <v>-60600</v>
      </c>
    </row>
    <row r="7" spans="1:17" x14ac:dyDescent="0.4">
      <c r="A7" s="55" t="s">
        <v>2</v>
      </c>
      <c r="B7" s="47">
        <v>21</v>
      </c>
      <c r="C7" s="39">
        <f>IF(B$2=0,0,B7/B$2)</f>
        <v>0.29166666666666669</v>
      </c>
      <c r="E7" s="63" t="s">
        <v>69</v>
      </c>
      <c r="F7" s="60" t="s">
        <v>12</v>
      </c>
      <c r="G7" s="47">
        <v>54</v>
      </c>
      <c r="H7" s="133">
        <f>IF(B$17=0,0,G7/B$17)</f>
        <v>0.31578947368421051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725.531914893617</v>
      </c>
      <c r="P7" s="120">
        <v>47</v>
      </c>
      <c r="Q7" s="104">
        <v>34100</v>
      </c>
    </row>
    <row r="8" spans="1:17" x14ac:dyDescent="0.4">
      <c r="A8" s="55" t="s">
        <v>3</v>
      </c>
      <c r="B8" s="47">
        <v>26</v>
      </c>
      <c r="C8" s="39">
        <f>IF(B$2=0,0,B8/B$2)</f>
        <v>0.3611111111111111</v>
      </c>
      <c r="E8" s="63" t="s">
        <v>70</v>
      </c>
      <c r="F8" s="60" t="s">
        <v>25</v>
      </c>
      <c r="G8" s="47">
        <v>35</v>
      </c>
      <c r="H8" s="133">
        <f>IF(B$17=0,0,G8/B$17)</f>
        <v>0.2046783625730994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0.34722222222222221</v>
      </c>
      <c r="E9" s="63" t="s">
        <v>90</v>
      </c>
      <c r="F9" s="60" t="s">
        <v>45</v>
      </c>
      <c r="G9" s="47">
        <v>26</v>
      </c>
      <c r="H9" s="133">
        <f>IF(B$17=0,0,G9/B$17)</f>
        <v>0.15204678362573099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5.5555555555555552E-2</v>
      </c>
      <c r="E10" s="63" t="s">
        <v>66</v>
      </c>
      <c r="F10" s="60" t="s">
        <v>22</v>
      </c>
      <c r="G10" s="47">
        <v>24</v>
      </c>
      <c r="H10" s="133">
        <f>IF(B$17=0,0,G10/B$17)</f>
        <v>0.14035087719298245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6.0277777777777777</v>
      </c>
      <c r="P10" s="118">
        <v>18</v>
      </c>
      <c r="Q10" s="106">
        <v>108.5</v>
      </c>
    </row>
    <row r="11" spans="1:17" x14ac:dyDescent="0.4">
      <c r="A11" s="56" t="s">
        <v>140</v>
      </c>
      <c r="B11" s="48">
        <v>9</v>
      </c>
      <c r="C11" s="40">
        <f>IF(B$2=0,0,B11/B$2)</f>
        <v>0.125</v>
      </c>
      <c r="E11" s="63" t="s">
        <v>71</v>
      </c>
      <c r="F11" s="60" t="s">
        <v>26</v>
      </c>
      <c r="G11" s="47">
        <v>20</v>
      </c>
      <c r="H11" s="133">
        <f>IF(B$17=0,0,G11/B$17)</f>
        <v>0.11695906432748537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87</v>
      </c>
      <c r="F12" s="60" t="s">
        <v>42</v>
      </c>
      <c r="G12" s="47">
        <v>13</v>
      </c>
      <c r="H12" s="133">
        <f>IF(B$17=0,0,G12/B$17)</f>
        <v>7.6023391812865493E-2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174</v>
      </c>
      <c r="C13" s="44">
        <f>IF(B$3=0,0,B13/B$3)</f>
        <v>0.28431372549019607</v>
      </c>
      <c r="E13" s="63" t="s">
        <v>72</v>
      </c>
      <c r="F13" s="60" t="s">
        <v>27</v>
      </c>
      <c r="G13" s="47">
        <v>12</v>
      </c>
      <c r="H13" s="133">
        <f>IF(B$17=0,0,G13/B$17)</f>
        <v>7.0175438596491224E-2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0.184640522875817</v>
      </c>
      <c r="E14" s="63" t="s">
        <v>79</v>
      </c>
      <c r="F14" s="60" t="s">
        <v>34</v>
      </c>
      <c r="G14" s="47">
        <v>7</v>
      </c>
      <c r="H14" s="133">
        <f>IF(B$17=0,0,G14/B$17)</f>
        <v>4.0935672514619881E-2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101</v>
      </c>
      <c r="C15" s="37">
        <f>IF(B$13=0,0,B15/B$13)</f>
        <v>0.58045977011494254</v>
      </c>
      <c r="E15" s="63" t="s">
        <v>82</v>
      </c>
      <c r="F15" s="60" t="s">
        <v>37</v>
      </c>
      <c r="G15" s="47">
        <v>7</v>
      </c>
      <c r="H15" s="133">
        <f>IF(B$17=0,0,G15/B$17)</f>
        <v>4.0935672514619881E-2</v>
      </c>
      <c r="I15" s="94">
        <v>2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46</v>
      </c>
      <c r="C16" s="37">
        <f>IF(B$14=0,0,B16/B$14)</f>
        <v>0.40707964601769914</v>
      </c>
      <c r="E16" s="63" t="s">
        <v>84</v>
      </c>
      <c r="F16" s="60" t="s">
        <v>39</v>
      </c>
      <c r="G16" s="47">
        <v>7</v>
      </c>
      <c r="H16" s="133">
        <f>IF(B$17=0,0,G16/B$17)</f>
        <v>4.0935672514619881E-2</v>
      </c>
      <c r="I16" s="94">
        <v>8</v>
      </c>
      <c r="K16" s="38">
        <v>14</v>
      </c>
      <c r="L16" s="99">
        <v>-29.400000000000002</v>
      </c>
      <c r="N16" s="115" t="s">
        <v>129</v>
      </c>
      <c r="O16" s="125">
        <f>IF(P16=0,0,Q16/P16)</f>
        <v>23.099999999999994</v>
      </c>
      <c r="P16" s="119">
        <v>19</v>
      </c>
      <c r="Q16" s="107">
        <v>438.89999999999992</v>
      </c>
    </row>
    <row r="17" spans="1:17" x14ac:dyDescent="0.4">
      <c r="A17" s="54" t="s">
        <v>10</v>
      </c>
      <c r="B17" s="46">
        <f>B19+B18</f>
        <v>171</v>
      </c>
      <c r="C17" s="37">
        <f>IF(B$3=0,0,B17/B$3)</f>
        <v>0.27941176470588236</v>
      </c>
      <c r="E17" s="63" t="s">
        <v>76</v>
      </c>
      <c r="F17" s="60" t="s">
        <v>31</v>
      </c>
      <c r="G17" s="47">
        <v>3</v>
      </c>
      <c r="H17" s="133">
        <f>IF(B$17=0,0,G17/B$17)</f>
        <v>1.7543859649122806E-2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74</v>
      </c>
      <c r="C18" s="39">
        <f>IF(B$17=0,0,B18/B$17)</f>
        <v>0.43274853801169588</v>
      </c>
      <c r="E18" s="63" t="s">
        <v>80</v>
      </c>
      <c r="F18" s="60" t="s">
        <v>35</v>
      </c>
      <c r="G18" s="47">
        <v>3</v>
      </c>
      <c r="H18" s="133">
        <f>IF(B$17=0,0,G18/B$17)</f>
        <v>1.7543859649122806E-2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3.9187500000000002</v>
      </c>
      <c r="P18" s="119">
        <v>16</v>
      </c>
      <c r="Q18" s="107">
        <v>62.7</v>
      </c>
    </row>
    <row r="19" spans="1:17" x14ac:dyDescent="0.4">
      <c r="A19" s="55" t="s">
        <v>11</v>
      </c>
      <c r="B19" s="47">
        <v>97</v>
      </c>
      <c r="C19" s="39">
        <f>IF(B$17=0,0,B19/B$17)</f>
        <v>0.56725146198830412</v>
      </c>
      <c r="E19" s="63" t="s">
        <v>92</v>
      </c>
      <c r="F19" s="60" t="s">
        <v>47</v>
      </c>
      <c r="G19" s="47">
        <v>3</v>
      </c>
      <c r="H19" s="133">
        <f>IF(B$17=0,0,G19/B$17)</f>
        <v>1.7543859649122806E-2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0.4365853658536637</v>
      </c>
      <c r="P19" s="119">
        <v>41</v>
      </c>
      <c r="Q19" s="107">
        <v>17.900000000000212</v>
      </c>
    </row>
    <row r="20" spans="1:17" x14ac:dyDescent="0.4">
      <c r="A20" s="55" t="s">
        <v>13</v>
      </c>
      <c r="B20" s="47">
        <v>101</v>
      </c>
      <c r="C20" s="39">
        <f>IF(B$3=0,0,B20/B$3)</f>
        <v>0.16503267973856209</v>
      </c>
      <c r="E20" s="63" t="s">
        <v>85</v>
      </c>
      <c r="F20" s="60" t="s">
        <v>40</v>
      </c>
      <c r="G20" s="47">
        <v>2</v>
      </c>
      <c r="H20" s="133">
        <f>IF(B$17=0,0,G20/B$17)</f>
        <v>1.1695906432748537E-2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1.1695906432748537E-2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180</v>
      </c>
      <c r="F22" s="60" t="s">
        <v>183</v>
      </c>
      <c r="G22" s="47">
        <v>2</v>
      </c>
      <c r="H22" s="133">
        <f>IF(B$17=0,0,G22/B$17)</f>
        <v>1.1695906432748537E-2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-27.833333333333332</v>
      </c>
      <c r="P22" s="119">
        <v>12</v>
      </c>
      <c r="Q22" s="107">
        <v>-334</v>
      </c>
    </row>
    <row r="23" spans="1:17" x14ac:dyDescent="0.4">
      <c r="A23" s="55" t="s">
        <v>5</v>
      </c>
      <c r="B23" s="51">
        <f>IF(B$17=0,0,C23/B$17)</f>
        <v>9761.9883040935674</v>
      </c>
      <c r="C23" s="41">
        <v>1669300</v>
      </c>
      <c r="E23" s="63" t="s">
        <v>74</v>
      </c>
      <c r="F23" s="60" t="s">
        <v>29</v>
      </c>
      <c r="G23" s="47">
        <v>1</v>
      </c>
      <c r="H23" s="133">
        <f>IF(B$17=0,0,G23/B$17)</f>
        <v>5.8479532163742687E-3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-7786.1386138613861</v>
      </c>
      <c r="C24" s="45">
        <v>-786400</v>
      </c>
      <c r="E24" s="63" t="s">
        <v>88</v>
      </c>
      <c r="F24" s="60" t="s">
        <v>43</v>
      </c>
      <c r="G24" s="47">
        <v>1</v>
      </c>
      <c r="H24" s="133">
        <f>IF(B$17=0,0,G24/B$17)</f>
        <v>5.8479532163742687E-3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5.8479532163742687E-3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1.6339869281045752E-3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150.69999999999999</v>
      </c>
    </row>
    <row r="73" spans="11:12" x14ac:dyDescent="0.4">
      <c r="K73" s="38">
        <v>71</v>
      </c>
      <c r="L73" s="99">
        <v>92.699999999999989</v>
      </c>
    </row>
    <row r="74" spans="11:12" x14ac:dyDescent="0.4">
      <c r="K74" s="38">
        <v>72</v>
      </c>
      <c r="L74" s="99">
        <v>102.19999999999999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659D-4151-451A-AF0C-731FBD3E29FA}">
  <sheetPr codeName="Sheet15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</v>
      </c>
      <c r="C2" s="147"/>
      <c r="E2" s="62" t="s">
        <v>65</v>
      </c>
      <c r="F2" s="59" t="s">
        <v>21</v>
      </c>
      <c r="G2" s="46">
        <v>63</v>
      </c>
      <c r="H2" s="132">
        <f>IF(B$17=0,0,G2/B$17)</f>
        <v>0.35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585.96491228070181</v>
      </c>
      <c r="P2" s="118">
        <v>57</v>
      </c>
      <c r="Q2" s="102">
        <v>33400</v>
      </c>
    </row>
    <row r="3" spans="1:17" x14ac:dyDescent="0.4">
      <c r="A3" s="55" t="s">
        <v>8</v>
      </c>
      <c r="B3" s="148">
        <v>495</v>
      </c>
      <c r="C3" s="149"/>
      <c r="E3" s="63" t="s">
        <v>66</v>
      </c>
      <c r="F3" s="60" t="s">
        <v>22</v>
      </c>
      <c r="G3" s="47">
        <v>20</v>
      </c>
      <c r="H3" s="133">
        <f>IF(B$17=0,0,G3/B$17)</f>
        <v>0.1111111111111111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359.64912280701753</v>
      </c>
      <c r="P3" s="119">
        <v>57</v>
      </c>
      <c r="Q3" s="103">
        <v>20500</v>
      </c>
    </row>
    <row r="4" spans="1:17" x14ac:dyDescent="0.4">
      <c r="A4" s="55" t="s">
        <v>6</v>
      </c>
      <c r="B4" s="150">
        <v>-6.0000000000000142</v>
      </c>
      <c r="C4" s="151"/>
      <c r="E4" s="63" t="s">
        <v>67</v>
      </c>
      <c r="F4" s="60" t="s">
        <v>23</v>
      </c>
      <c r="G4" s="47">
        <v>119</v>
      </c>
      <c r="H4" s="133">
        <f>IF(B$17=0,0,G4/B$17)</f>
        <v>0.66111111111111109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-958.82352941176475</v>
      </c>
      <c r="P4" s="119">
        <v>51</v>
      </c>
      <c r="Q4" s="103">
        <v>-48900</v>
      </c>
    </row>
    <row r="5" spans="1:17" x14ac:dyDescent="0.4">
      <c r="A5" s="55" t="s">
        <v>7</v>
      </c>
      <c r="B5" s="152">
        <f>IF(B$2=0,0,B$4/B$2)</f>
        <v>-0.10526315789473709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0.17777777777777778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241.66666666666666</v>
      </c>
      <c r="P5" s="119">
        <v>48</v>
      </c>
      <c r="Q5" s="103">
        <v>11600</v>
      </c>
    </row>
    <row r="6" spans="1:17" x14ac:dyDescent="0.4">
      <c r="A6" s="55" t="s">
        <v>1</v>
      </c>
      <c r="B6" s="142">
        <f>IF(B$2=0,0,(B$7*1+B$8*2+B$9*3)/B$2)</f>
        <v>2.0526315789473686</v>
      </c>
      <c r="C6" s="143"/>
      <c r="E6" s="63" t="s">
        <v>69</v>
      </c>
      <c r="F6" s="60" t="s">
        <v>12</v>
      </c>
      <c r="G6" s="47">
        <v>49</v>
      </c>
      <c r="H6" s="133">
        <f>IF(B$17=0,0,G6/B$17)</f>
        <v>0.2722222222222222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221.27659574468086</v>
      </c>
      <c r="P6" s="119">
        <v>47</v>
      </c>
      <c r="Q6" s="103">
        <v>10400</v>
      </c>
    </row>
    <row r="7" spans="1:17" x14ac:dyDescent="0.4">
      <c r="A7" s="55" t="s">
        <v>2</v>
      </c>
      <c r="B7" s="47">
        <v>15</v>
      </c>
      <c r="C7" s="39">
        <f>IF(B$2=0,0,B7/B$2)</f>
        <v>0.26315789473684209</v>
      </c>
      <c r="E7" s="63" t="s">
        <v>70</v>
      </c>
      <c r="F7" s="60" t="s">
        <v>25</v>
      </c>
      <c r="G7" s="47">
        <v>25</v>
      </c>
      <c r="H7" s="133">
        <f>IF(B$17=0,0,G7/B$17)</f>
        <v>0.1388888888888889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-660.97560975609758</v>
      </c>
      <c r="P7" s="120">
        <v>41</v>
      </c>
      <c r="Q7" s="104">
        <v>-27100</v>
      </c>
    </row>
    <row r="8" spans="1:17" x14ac:dyDescent="0.4">
      <c r="A8" s="55" t="s">
        <v>3</v>
      </c>
      <c r="B8" s="47">
        <v>24</v>
      </c>
      <c r="C8" s="39">
        <f>IF(B$2=0,0,B8/B$2)</f>
        <v>0.42105263157894735</v>
      </c>
      <c r="E8" s="63" t="s">
        <v>71</v>
      </c>
      <c r="F8" s="60" t="s">
        <v>26</v>
      </c>
      <c r="G8" s="47">
        <v>10</v>
      </c>
      <c r="H8" s="133">
        <f>IF(B$17=0,0,G8/B$17)</f>
        <v>5.5555555555555552E-2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0.31578947368421051</v>
      </c>
      <c r="E9" s="63" t="s">
        <v>72</v>
      </c>
      <c r="F9" s="60" t="s">
        <v>27</v>
      </c>
      <c r="G9" s="47">
        <v>13</v>
      </c>
      <c r="H9" s="133">
        <f>IF(B$17=0,0,G9/B$17)</f>
        <v>7.2222222222222215E-2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5.2631578947368418E-2</v>
      </c>
      <c r="E10" s="63" t="s">
        <v>73</v>
      </c>
      <c r="F10" s="60" t="s">
        <v>28</v>
      </c>
      <c r="G10" s="47">
        <v>105</v>
      </c>
      <c r="H10" s="133">
        <f>IF(B$17=0,0,G10/B$17)</f>
        <v>0.58333333333333337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0.10526315789473684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3.5087719298245612E-2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1.9095238095238098</v>
      </c>
      <c r="P12" s="120">
        <v>21</v>
      </c>
      <c r="Q12" s="108">
        <v>40.100000000000009</v>
      </c>
    </row>
    <row r="13" spans="1:17" x14ac:dyDescent="0.4">
      <c r="A13" s="58" t="s">
        <v>122</v>
      </c>
      <c r="B13" s="50">
        <v>106</v>
      </c>
      <c r="C13" s="44">
        <f>IF(B$3=0,0,B13/B$3)</f>
        <v>0.21414141414141413</v>
      </c>
      <c r="E13" s="63" t="s">
        <v>76</v>
      </c>
      <c r="F13" s="60" t="s">
        <v>31</v>
      </c>
      <c r="G13" s="47">
        <v>1</v>
      </c>
      <c r="H13" s="133">
        <f>IF(B$17=0,0,G13/B$17)</f>
        <v>5.5555555555555558E-3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0.29090909090909089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63</v>
      </c>
      <c r="C15" s="37">
        <f>IF(B$13=0,0,B15/B$13)</f>
        <v>0.59433962264150941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64</v>
      </c>
      <c r="C16" s="37">
        <f>IF(B$14=0,0,B16/B$14)</f>
        <v>0.44444444444444442</v>
      </c>
      <c r="E16" s="63" t="s">
        <v>79</v>
      </c>
      <c r="F16" s="60" t="s">
        <v>34</v>
      </c>
      <c r="G16" s="47">
        <v>2</v>
      </c>
      <c r="H16" s="133">
        <f>IF(B$17=0,0,G16/B$17)</f>
        <v>1.1111111111111112E-2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180</v>
      </c>
      <c r="C17" s="37">
        <f>IF(B$3=0,0,B17/B$3)</f>
        <v>0.36363636363636365</v>
      </c>
      <c r="E17" s="63" t="s">
        <v>80</v>
      </c>
      <c r="F17" s="60" t="s">
        <v>35</v>
      </c>
      <c r="G17" s="47">
        <v>2</v>
      </c>
      <c r="H17" s="133">
        <f>IF(B$17=0,0,G17/B$17)</f>
        <v>1.1111111111111112E-2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76</v>
      </c>
      <c r="C18" s="39">
        <f>IF(B$17=0,0,B18/B$17)</f>
        <v>0.42222222222222222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104</v>
      </c>
      <c r="C19" s="39">
        <f>IF(B$17=0,0,B19/B$17)</f>
        <v>0.57777777777777772</v>
      </c>
      <c r="E19" s="63" t="s">
        <v>82</v>
      </c>
      <c r="F19" s="60" t="s">
        <v>37</v>
      </c>
      <c r="G19" s="47">
        <v>6</v>
      </c>
      <c r="H19" s="133">
        <f>IF(B$17=0,0,G19/B$17)</f>
        <v>3.3333333333333333E-2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65</v>
      </c>
      <c r="C20" s="39">
        <f>IF(B$3=0,0,B20/B$3)</f>
        <v>0.13131313131313133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6.4555555555555548</v>
      </c>
      <c r="P20" s="119">
        <v>9</v>
      </c>
      <c r="Q20" s="107">
        <v>58.099999999999994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9</v>
      </c>
      <c r="H21" s="133">
        <f>IF(B$17=0,0,G21/B$17)</f>
        <v>0.05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-3.9187500000000011</v>
      </c>
      <c r="P22" s="119">
        <v>16</v>
      </c>
      <c r="Q22" s="107">
        <v>-62.700000000000017</v>
      </c>
    </row>
    <row r="23" spans="1:17" x14ac:dyDescent="0.4">
      <c r="A23" s="55" t="s">
        <v>5</v>
      </c>
      <c r="B23" s="51">
        <f>IF(B$17=0,0,C23/B$17)</f>
        <v>6510</v>
      </c>
      <c r="C23" s="41">
        <v>1171800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-24.660000000000004</v>
      </c>
      <c r="P23" s="119">
        <v>30</v>
      </c>
      <c r="Q23" s="107">
        <v>-739.80000000000007</v>
      </c>
    </row>
    <row r="24" spans="1:17" x14ac:dyDescent="0.4">
      <c r="A24" s="57" t="s">
        <v>14</v>
      </c>
      <c r="B24" s="52">
        <f>IF(B$20=0,0,C24/B$20)</f>
        <v>-9289.2307692307695</v>
      </c>
      <c r="C24" s="45">
        <v>-603800</v>
      </c>
      <c r="E24" s="63" t="s">
        <v>87</v>
      </c>
      <c r="F24" s="60" t="s">
        <v>42</v>
      </c>
      <c r="G24" s="47">
        <v>8</v>
      </c>
      <c r="H24" s="133">
        <f>IF(B$17=0,0,G24/B$17)</f>
        <v>4.4444444444444446E-2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5.5555555555555558E-3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2.0202020202020202E-3</v>
      </c>
      <c r="E27" s="63" t="s">
        <v>90</v>
      </c>
      <c r="F27" s="60" t="s">
        <v>45</v>
      </c>
      <c r="G27" s="47">
        <v>12</v>
      </c>
      <c r="H27" s="133">
        <f>IF(B$17=0,0,G27/B$17)</f>
        <v>6.6666666666666666E-2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1.1111111111111112E-2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77</v>
      </c>
      <c r="H51" s="134">
        <f>IF(B$17=0,0,G51/B$17)</f>
        <v>0.42777777777777776</v>
      </c>
      <c r="I51" s="95">
        <v>3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</sheetData>
  <sortState ref="E2:I5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09FB-22CD-472F-9D42-8F15D3E41B1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FABF9-7CE8-42A4-AD4B-8F84ECF5496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53</v>
      </c>
      <c r="H2" s="132">
        <f>IF(B$17=0,0,G2/B$17)</f>
        <v>0.53535353535353536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962.5</v>
      </c>
      <c r="P2" s="118">
        <v>40</v>
      </c>
      <c r="Q2" s="102">
        <v>38500</v>
      </c>
    </row>
    <row r="3" spans="1:17" x14ac:dyDescent="0.4">
      <c r="A3" s="55" t="s">
        <v>8</v>
      </c>
      <c r="B3" s="148">
        <v>330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7.0707070707070704E-2</v>
      </c>
      <c r="I3" s="94">
        <v>7</v>
      </c>
      <c r="K3" s="38">
        <v>1</v>
      </c>
      <c r="L3" s="99">
        <v>-1.9</v>
      </c>
      <c r="N3" s="115" t="s">
        <v>133</v>
      </c>
      <c r="O3" s="122">
        <f t="shared" si="0"/>
        <v>618.42105263157896</v>
      </c>
      <c r="P3" s="119">
        <v>38</v>
      </c>
      <c r="Q3" s="103">
        <v>23500</v>
      </c>
    </row>
    <row r="4" spans="1:17" x14ac:dyDescent="0.4">
      <c r="A4" s="55" t="s">
        <v>6</v>
      </c>
      <c r="B4" s="150">
        <v>37.400000000000006</v>
      </c>
      <c r="C4" s="151"/>
      <c r="E4" s="63" t="s">
        <v>67</v>
      </c>
      <c r="F4" s="60" t="s">
        <v>23</v>
      </c>
      <c r="G4" s="47">
        <v>53</v>
      </c>
      <c r="H4" s="133">
        <f>IF(B$17=0,0,G4/B$17)</f>
        <v>0.53535353535353536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-1642.8571428571429</v>
      </c>
      <c r="P4" s="119">
        <v>35</v>
      </c>
      <c r="Q4" s="103">
        <v>-57500</v>
      </c>
    </row>
    <row r="5" spans="1:17" x14ac:dyDescent="0.4">
      <c r="A5" s="55" t="s">
        <v>7</v>
      </c>
      <c r="B5" s="152">
        <f>IF(B$2=0,0,B$4/B$2)</f>
        <v>0.93500000000000016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0.32323232323232326</v>
      </c>
      <c r="I5" s="94">
        <v>8</v>
      </c>
      <c r="K5" s="38">
        <v>3</v>
      </c>
      <c r="L5" s="99">
        <v>-10</v>
      </c>
      <c r="N5" s="115" t="s">
        <v>135</v>
      </c>
      <c r="O5" s="122">
        <f t="shared" si="0"/>
        <v>1826.4705882352941</v>
      </c>
      <c r="P5" s="119">
        <v>34</v>
      </c>
      <c r="Q5" s="103">
        <v>62100</v>
      </c>
    </row>
    <row r="6" spans="1:17" x14ac:dyDescent="0.4">
      <c r="A6" s="55" t="s">
        <v>1</v>
      </c>
      <c r="B6" s="142">
        <f>IF(B$2=0,0,(B$7*1+B$8*2+B$9*3)/B$2)</f>
        <v>1.95</v>
      </c>
      <c r="C6" s="143"/>
      <c r="E6" s="63" t="s">
        <v>69</v>
      </c>
      <c r="F6" s="60" t="s">
        <v>12</v>
      </c>
      <c r="G6" s="47">
        <v>27</v>
      </c>
      <c r="H6" s="133">
        <f>IF(B$17=0,0,G6/B$17)</f>
        <v>0.27272727272727271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-1270</v>
      </c>
      <c r="P6" s="119">
        <v>30</v>
      </c>
      <c r="Q6" s="103">
        <v>-38100</v>
      </c>
    </row>
    <row r="7" spans="1:17" x14ac:dyDescent="0.4">
      <c r="A7" s="55" t="s">
        <v>2</v>
      </c>
      <c r="B7" s="47">
        <v>16</v>
      </c>
      <c r="C7" s="39">
        <f>IF(B$2=0,0,B7/B$2)</f>
        <v>0.4</v>
      </c>
      <c r="E7" s="63" t="s">
        <v>70</v>
      </c>
      <c r="F7" s="60" t="s">
        <v>25</v>
      </c>
      <c r="G7" s="47">
        <v>12</v>
      </c>
      <c r="H7" s="133">
        <f>IF(B$17=0,0,G7/B$17)</f>
        <v>0.12121212121212122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284</v>
      </c>
      <c r="P7" s="120">
        <v>25</v>
      </c>
      <c r="Q7" s="104">
        <v>7100</v>
      </c>
    </row>
    <row r="8" spans="1:17" x14ac:dyDescent="0.4">
      <c r="A8" s="55" t="s">
        <v>3</v>
      </c>
      <c r="B8" s="47">
        <v>10</v>
      </c>
      <c r="C8" s="39">
        <f>IF(B$2=0,0,B8/B$2)</f>
        <v>0.25</v>
      </c>
      <c r="E8" s="63" t="s">
        <v>71</v>
      </c>
      <c r="F8" s="60" t="s">
        <v>26</v>
      </c>
      <c r="G8" s="47">
        <v>8</v>
      </c>
      <c r="H8" s="133">
        <f>IF(B$17=0,0,G8/B$17)</f>
        <v>8.0808080808080815E-2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4</v>
      </c>
      <c r="H9" s="133">
        <f>IF(B$17=0,0,G9/B$17)</f>
        <v>4.0404040404040407E-2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0.17499999999999999</v>
      </c>
      <c r="E10" s="63" t="s">
        <v>73</v>
      </c>
      <c r="F10" s="60" t="s">
        <v>28</v>
      </c>
      <c r="G10" s="47">
        <v>51</v>
      </c>
      <c r="H10" s="133">
        <f>IF(B$17=0,0,G10/B$17)</f>
        <v>0.51515151515151514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4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0.60625000000000018</v>
      </c>
      <c r="P11" s="119">
        <v>16</v>
      </c>
      <c r="Q11" s="107">
        <v>9.7000000000000028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75</v>
      </c>
      <c r="F12" s="60" t="s">
        <v>30</v>
      </c>
      <c r="G12" s="47">
        <v>1</v>
      </c>
      <c r="H12" s="133">
        <f>IF(B$17=0,0,G12/B$17)</f>
        <v>1.0101010101010102E-2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78</v>
      </c>
      <c r="C13" s="44">
        <f>IF(B$3=0,0,B13/B$3)</f>
        <v>0.23636363636363636</v>
      </c>
      <c r="E13" s="63" t="s">
        <v>76</v>
      </c>
      <c r="F13" s="60" t="s">
        <v>31</v>
      </c>
      <c r="G13" s="47">
        <v>1</v>
      </c>
      <c r="H13" s="133">
        <f>IF(B$17=0,0,G13/B$17)</f>
        <v>1.0101010101010102E-2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0.20909090909090908</v>
      </c>
      <c r="E14" s="63" t="s">
        <v>77</v>
      </c>
      <c r="F14" s="60" t="s">
        <v>32</v>
      </c>
      <c r="G14" s="47">
        <v>1</v>
      </c>
      <c r="H14" s="133">
        <f>IF(B$17=0,0,G14/B$17)</f>
        <v>1.0101010101010102E-2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</v>
      </c>
      <c r="C15" s="37">
        <f>IF(B$13=0,0,B15/B$13)</f>
        <v>0.67948717948717952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79</v>
      </c>
      <c r="F16" s="60" t="s">
        <v>34</v>
      </c>
      <c r="G16" s="47">
        <v>3</v>
      </c>
      <c r="H16" s="133">
        <f>IF(B$17=0,0,G16/B$17)</f>
        <v>3.0303030303030304E-2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 t="shared" si="2"/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</v>
      </c>
      <c r="E17" s="63" t="s">
        <v>80</v>
      </c>
      <c r="F17" s="60" t="s">
        <v>35</v>
      </c>
      <c r="G17" s="47">
        <v>2</v>
      </c>
      <c r="H17" s="133">
        <f>IF(B$17=0,0,G17/B$17)</f>
        <v>2.0202020202020204E-2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 t="shared" si="2"/>
        <v>27.833333333333339</v>
      </c>
      <c r="P17" s="119">
        <v>12</v>
      </c>
      <c r="Q17" s="107">
        <v>334.00000000000006</v>
      </c>
    </row>
    <row r="18" spans="1:17" x14ac:dyDescent="0.4">
      <c r="A18" s="55" t="s">
        <v>12</v>
      </c>
      <c r="B18" s="47">
        <v>41</v>
      </c>
      <c r="C18" s="39">
        <f>IF(B$17=0,0,B18/B$17)</f>
        <v>0.41414141414141414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58</v>
      </c>
      <c r="C19" s="39">
        <f>IF(B$17=0,0,B19/B$17)</f>
        <v>0.58585858585858586</v>
      </c>
      <c r="E19" s="63" t="s">
        <v>82</v>
      </c>
      <c r="F19" s="60" t="s">
        <v>37</v>
      </c>
      <c r="G19" s="47">
        <v>3</v>
      </c>
      <c r="H19" s="133">
        <f>IF(B$17=0,0,G19/B$17)</f>
        <v>3.0303030303030304E-2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0.16060606060606061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5.0505050505050504E-2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 t="shared" si="2"/>
        <v>-6.4555555555555593</v>
      </c>
      <c r="P21" s="119">
        <v>9</v>
      </c>
      <c r="Q21" s="107">
        <v>-58.100000000000037</v>
      </c>
    </row>
    <row r="22" spans="1:17" x14ac:dyDescent="0.4">
      <c r="A22" s="55" t="s">
        <v>194</v>
      </c>
      <c r="B22" s="47">
        <v>21</v>
      </c>
      <c r="C22" s="135">
        <v>14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8664.6464646464647</v>
      </c>
      <c r="C23" s="41">
        <v>857800</v>
      </c>
      <c r="E23" s="63" t="s">
        <v>86</v>
      </c>
      <c r="F23" s="60" t="s">
        <v>41</v>
      </c>
      <c r="G23" s="47">
        <v>2</v>
      </c>
      <c r="H23" s="133">
        <f>IF(B$17=0,0,G23/B$17)</f>
        <v>2.0202020202020204E-2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87</v>
      </c>
      <c r="F24" s="60" t="s">
        <v>42</v>
      </c>
      <c r="G24" s="47">
        <v>2</v>
      </c>
      <c r="H24" s="133">
        <f>IF(B$17=0,0,G24/B$17)</f>
        <v>2.0202020202020204E-2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6.0606060606060606E-3</v>
      </c>
      <c r="E27" s="63" t="s">
        <v>90</v>
      </c>
      <c r="F27" s="60" t="s">
        <v>45</v>
      </c>
      <c r="G27" s="47">
        <v>13</v>
      </c>
      <c r="H27" s="133">
        <f>IF(B$17=0,0,G27/B$17)</f>
        <v>0.13131313131313133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1.0101010101010102E-2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5.0505050505050504E-2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1.0101010101010102E-2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1.0101010101010102E-2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-18.599999999999991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37.400000000000006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37</v>
      </c>
      <c r="H51" s="134">
        <f>IF(B$17=0,0,G51/B$17)</f>
        <v>0.37373737373737376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BC1CF-0374-4EA0-9338-6F6985027CB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AD5-0CF3-48D9-8179-FAA40D48630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5181-6F0D-4772-A943-BD81E806EA5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DF5B-1485-41D0-8A6D-A075B331B9B5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8A78-DE13-4EDF-9C05-676A3B3D144C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05B2-547A-44B8-BFED-C5334432F938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50D-152D-43AD-9A20-4C9DF01799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7E9B-5EDC-4A48-8206-3D8BB3D3165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1E4B-7B85-4330-BD0A-3AFB3F260948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3A1E-FC69-4889-B8D1-93BA76053CB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0E52-8993-4717-ABCE-37673FBC07C5}">
  <sheetPr codeName="Sheet2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-18.599999999999991</v>
      </c>
      <c r="C42" s="66">
        <v>-0.47692307692307667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8602.0833333333339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37.400000000000006</v>
      </c>
      <c r="C43" s="66">
        <v>0.93500000000000016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8664.6464646464647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B2F-8DA1-44C3-BB6E-5A5DDAFDF703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280-FC21-4F99-B84D-8ACED24C0D9C}">
  <sheetPr codeName="Sheet16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F8895-0D0D-49A7-87C0-BCD8E2ACE6F2}">
  <sheetPr codeName="Sheet14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150.69999999999999</v>
      </c>
      <c r="C73" s="66">
        <v>2.1528571428571426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0.16080402010050251</v>
      </c>
      <c r="I73" s="68">
        <v>9797.0059880239514</v>
      </c>
      <c r="J73" s="68">
        <v>-7819.791666666667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92.699999999999989</v>
      </c>
      <c r="C74" s="66">
        <v>1.3056338028169012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0.16472545757071547</v>
      </c>
      <c r="I74" s="68">
        <v>9797.0059880239514</v>
      </c>
      <c r="J74" s="68">
        <v>-7845.454545454545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102.19999999999999</v>
      </c>
      <c r="C75" s="66">
        <v>1.4194444444444443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0.16503267973856209</v>
      </c>
      <c r="I75" s="68">
        <v>9761.9883040935674</v>
      </c>
      <c r="J75" s="68">
        <v>-7786.1386138613861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0072-237D-4E86-B80B-763E2CFA96AF}">
  <sheetPr codeName="Sheet12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3F9B-B361-4A60-80F9-FDEC77C4AA21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3CA8-89C2-4E57-A89F-3D812FC46049}">
  <sheetPr codeName="Sheet8"/>
  <dimension ref="A1:Q1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769F-778D-4520-9B40-DB3180FE2761}">
  <sheetPr codeName="Sheet6"/>
  <dimension ref="A1:Q1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2.0000000000000071</v>
      </c>
      <c r="C176" s="66">
        <v>3.8535645472061795E-3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0.16551565377532229</v>
      </c>
      <c r="I176" s="68">
        <v>8603.6809815950928</v>
      </c>
      <c r="J176" s="68">
        <v>-8215.0208623087619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2.0000000000000071</v>
      </c>
      <c r="C177" s="66">
        <v>3.8314176245210865E-3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0.16574839302112029</v>
      </c>
      <c r="I177" s="68">
        <v>8603.3639143730888</v>
      </c>
      <c r="J177" s="68">
        <v>-8216.8975069252083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2.0000000000000071</v>
      </c>
      <c r="C178" s="66">
        <v>3.809523809523823E-3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0.16609706083390294</v>
      </c>
      <c r="I178" s="68">
        <v>8593.1008339651253</v>
      </c>
      <c r="J178" s="68">
        <v>-8193.0041152263366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2019-05-23T01:26:34Z</dcterms:modified>
</cp:coreProperties>
</file>