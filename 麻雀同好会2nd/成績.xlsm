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437F80F-261D-4C7E-A2F4-77E2D478673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730" r:id="rId6"/>
    <sheet name="だいち" sheetId="4732" r:id="rId7"/>
    <sheet name="りくと" sheetId="4734" r:id="rId8"/>
    <sheet name="ただ" sheetId="4736" r:id="rId9"/>
    <sheet name="れんたろう" sheetId="4738" r:id="rId10"/>
    <sheet name="たかの" sheetId="4740" r:id="rId11"/>
    <sheet name="ぱぱ" sheetId="4742" r:id="rId12"/>
    <sheet name="まっつん" sheetId="4744" r:id="rId13"/>
    <sheet name="あさひ" sheetId="4746" r:id="rId14"/>
    <sheet name="いっしー" sheetId="4748" r:id="rId15"/>
    <sheet name="いっしー2" sheetId="4749" state="hidden" r:id="rId16"/>
    <sheet name="あさひ2" sheetId="4747" state="hidden" r:id="rId17"/>
    <sheet name="まっつん2" sheetId="4745" state="hidden" r:id="rId18"/>
    <sheet name="ぱぱ2" sheetId="4743" state="hidden" r:id="rId19"/>
    <sheet name="たかの2" sheetId="4741" state="hidden" r:id="rId20"/>
    <sheet name="れんたろう2" sheetId="4739" state="hidden" r:id="rId21"/>
    <sheet name="ただ2" sheetId="4737" state="hidden" r:id="rId22"/>
    <sheet name="りくと2" sheetId="4735" state="hidden" r:id="rId23"/>
    <sheet name="だいち2" sheetId="4733" state="hidden" r:id="rId24"/>
    <sheet name="全体2" sheetId="47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740" l="1"/>
  <c r="O15" i="4736"/>
  <c r="O22" i="4744"/>
  <c r="O18" i="4744"/>
  <c r="O18" i="4732" l="1"/>
  <c r="O17" i="4748"/>
  <c r="O16" i="4748" l="1"/>
  <c r="O15" i="4748"/>
  <c r="O17" i="4738"/>
  <c r="O20" i="4736"/>
  <c r="O17" i="4746" l="1"/>
  <c r="O20" i="4742"/>
  <c r="O15" i="4746"/>
  <c r="O20" i="4748"/>
  <c r="O15" i="4734"/>
  <c r="O15" i="4744"/>
  <c r="O15" i="4730"/>
  <c r="O19" i="4748"/>
  <c r="O18" i="4748"/>
  <c r="C27" i="4748"/>
  <c r="B24" i="4748"/>
  <c r="C20" i="4748"/>
  <c r="B17" i="4748"/>
  <c r="H51" i="4748" s="1"/>
  <c r="C16" i="4748"/>
  <c r="C15" i="4748"/>
  <c r="C14" i="4748"/>
  <c r="C13" i="4748"/>
  <c r="O12" i="4748"/>
  <c r="C12" i="4748"/>
  <c r="O11" i="4748"/>
  <c r="C11" i="4748"/>
  <c r="O10" i="4748"/>
  <c r="C10" i="4748"/>
  <c r="C9" i="4748"/>
  <c r="C8" i="4748"/>
  <c r="O7" i="4748"/>
  <c r="C7" i="4748"/>
  <c r="O6" i="4748"/>
  <c r="B6" i="4748"/>
  <c r="O5" i="4748"/>
  <c r="B5" i="4748"/>
  <c r="O4" i="4748"/>
  <c r="O3" i="4748"/>
  <c r="O2" i="4748"/>
  <c r="O16" i="4746"/>
  <c r="O18" i="4746"/>
  <c r="C27" i="4746"/>
  <c r="B24" i="4746"/>
  <c r="C20" i="4746"/>
  <c r="B17" i="4746"/>
  <c r="H7" i="4746" s="1"/>
  <c r="C16" i="4746"/>
  <c r="C15" i="4746"/>
  <c r="C14" i="4746"/>
  <c r="C13" i="4746"/>
  <c r="O12" i="4746"/>
  <c r="C12" i="4746"/>
  <c r="O11" i="4746"/>
  <c r="C11" i="4746"/>
  <c r="O10" i="4746"/>
  <c r="C10" i="4746"/>
  <c r="C9" i="4746"/>
  <c r="C8" i="4746"/>
  <c r="O7" i="4746"/>
  <c r="C7" i="4746"/>
  <c r="O6" i="4746"/>
  <c r="B6" i="4746"/>
  <c r="O5" i="4746"/>
  <c r="B5" i="4746"/>
  <c r="O4" i="4746"/>
  <c r="O3" i="4746"/>
  <c r="O2" i="4746"/>
  <c r="O21" i="4744"/>
  <c r="O20" i="4744"/>
  <c r="O16" i="4732"/>
  <c r="O17" i="4732"/>
  <c r="O22" i="4730"/>
  <c r="H19" i="4746" l="1"/>
  <c r="H12" i="4746"/>
  <c r="H3" i="4746"/>
  <c r="H27" i="4746"/>
  <c r="H32" i="4746"/>
  <c r="H18" i="4746"/>
  <c r="H8" i="4746"/>
  <c r="H22" i="4746"/>
  <c r="H46" i="4746"/>
  <c r="H38" i="4746"/>
  <c r="H39" i="4746"/>
  <c r="H40" i="4746"/>
  <c r="H26" i="4746"/>
  <c r="H4" i="4746"/>
  <c r="H47" i="4746"/>
  <c r="H10" i="4746"/>
  <c r="H48" i="4746"/>
  <c r="H15" i="4746"/>
  <c r="C17" i="4746"/>
  <c r="H30" i="4746"/>
  <c r="C19" i="4746"/>
  <c r="H31" i="4746"/>
  <c r="H3" i="4748"/>
  <c r="H42" i="4748"/>
  <c r="H11" i="4748"/>
  <c r="H6" i="4748"/>
  <c r="H17" i="4748"/>
  <c r="H45" i="4748"/>
  <c r="H30" i="4748"/>
  <c r="B23" i="4748"/>
  <c r="H15" i="4748"/>
  <c r="H34" i="4748"/>
  <c r="H46" i="4748"/>
  <c r="H2" i="4748"/>
  <c r="H4" i="4748"/>
  <c r="H8" i="4748"/>
  <c r="H13" i="4748"/>
  <c r="H18" i="4748"/>
  <c r="H9" i="4748"/>
  <c r="H36" i="4748"/>
  <c r="H19" i="4748"/>
  <c r="H28" i="4748"/>
  <c r="H50" i="4748"/>
  <c r="H44" i="4748"/>
  <c r="C18" i="4748"/>
  <c r="H22" i="4748"/>
  <c r="C19" i="4748"/>
  <c r="H47" i="4748"/>
  <c r="H37" i="4748"/>
  <c r="H7" i="4748"/>
  <c r="H16" i="4748"/>
  <c r="H38" i="4748"/>
  <c r="H52" i="4748"/>
  <c r="C17" i="4748"/>
  <c r="H31" i="4748"/>
  <c r="H25" i="4748"/>
  <c r="H23" i="4748"/>
  <c r="H12" i="4748"/>
  <c r="H14" i="4748"/>
  <c r="H20" i="4748"/>
  <c r="H24" i="4748"/>
  <c r="H29" i="4748"/>
  <c r="H39" i="4748"/>
  <c r="H5" i="4748"/>
  <c r="H26" i="4748"/>
  <c r="H32" i="4748"/>
  <c r="H40" i="4748"/>
  <c r="H48" i="4748"/>
  <c r="H10" i="4748"/>
  <c r="H27" i="4748"/>
  <c r="H33" i="4748"/>
  <c r="H41" i="4748"/>
  <c r="H49" i="4748"/>
  <c r="H21" i="4748"/>
  <c r="H35" i="4748"/>
  <c r="H43" i="4748"/>
  <c r="H23" i="4746"/>
  <c r="H33" i="4746"/>
  <c r="H24" i="4746"/>
  <c r="H28" i="4746"/>
  <c r="H34" i="4746"/>
  <c r="H42" i="4746"/>
  <c r="H50" i="4746"/>
  <c r="H43" i="4746"/>
  <c r="H41" i="4746"/>
  <c r="H35" i="4746"/>
  <c r="H5" i="4746"/>
  <c r="H25" i="4746"/>
  <c r="H52" i="4746"/>
  <c r="H11" i="4746"/>
  <c r="H49" i="4746"/>
  <c r="H9" i="4746"/>
  <c r="H16" i="4746"/>
  <c r="H20" i="4746"/>
  <c r="H51" i="4746"/>
  <c r="H14" i="4746"/>
  <c r="H17" i="4746"/>
  <c r="C18" i="4746"/>
  <c r="H29" i="4746"/>
  <c r="H36" i="4746"/>
  <c r="H44" i="4746"/>
  <c r="H2" i="4746"/>
  <c r="H13" i="4746"/>
  <c r="H21" i="4746"/>
  <c r="B23" i="4746"/>
  <c r="H6" i="4746"/>
  <c r="H37" i="4746"/>
  <c r="H45" i="4746"/>
  <c r="O16" i="4744" l="1"/>
  <c r="O19" i="4742"/>
  <c r="O17" i="4742"/>
  <c r="O18" i="4734"/>
  <c r="O18" i="4740" l="1"/>
  <c r="O19" i="4738"/>
  <c r="O16" i="4742"/>
  <c r="O18" i="4742"/>
  <c r="O16" i="4740" l="1"/>
  <c r="O15" i="4738"/>
  <c r="O19" i="4736"/>
  <c r="O21" i="4736"/>
  <c r="O19" i="4744"/>
  <c r="O17" i="4744"/>
  <c r="C27" i="4744"/>
  <c r="B24" i="4744"/>
  <c r="C20" i="4744"/>
  <c r="B17" i="4744"/>
  <c r="H51" i="4744" s="1"/>
  <c r="H21" i="4744"/>
  <c r="C16" i="4744"/>
  <c r="C15" i="4744"/>
  <c r="C14" i="4744"/>
  <c r="C13" i="4744"/>
  <c r="O12" i="4744"/>
  <c r="C12" i="4744"/>
  <c r="O11" i="4744"/>
  <c r="C11" i="4744"/>
  <c r="O10" i="4744"/>
  <c r="C10" i="4744"/>
  <c r="C9" i="4744"/>
  <c r="C8" i="4744"/>
  <c r="O7" i="4744"/>
  <c r="C7" i="4744"/>
  <c r="O6" i="4744"/>
  <c r="B6" i="4744"/>
  <c r="O5" i="4744"/>
  <c r="B5" i="4744"/>
  <c r="O4" i="4744"/>
  <c r="O3" i="4744"/>
  <c r="O2" i="4744"/>
  <c r="O16" i="4738"/>
  <c r="O19" i="4734"/>
  <c r="O17" i="4730"/>
  <c r="H15" i="4744" l="1"/>
  <c r="H32" i="4744"/>
  <c r="H44" i="4744"/>
  <c r="C17" i="4744"/>
  <c r="C18" i="4744"/>
  <c r="H3" i="4744"/>
  <c r="H48" i="4744"/>
  <c r="H30" i="4744"/>
  <c r="H9" i="4744"/>
  <c r="H36" i="4744"/>
  <c r="H4" i="4744"/>
  <c r="H40" i="4744"/>
  <c r="H19" i="4744"/>
  <c r="H12" i="4744"/>
  <c r="H2" i="4744"/>
  <c r="H17" i="4744"/>
  <c r="H13" i="4744"/>
  <c r="H52" i="4744"/>
  <c r="H23" i="4744"/>
  <c r="B23" i="4744"/>
  <c r="H10" i="4744"/>
  <c r="H37" i="4744"/>
  <c r="H45" i="4744"/>
  <c r="H5" i="4744"/>
  <c r="H20" i="4744"/>
  <c r="C19" i="4744"/>
  <c r="H27" i="4744"/>
  <c r="H31" i="4744"/>
  <c r="H38" i="4744"/>
  <c r="H46" i="4744"/>
  <c r="H8" i="4744"/>
  <c r="H6" i="4744"/>
  <c r="H16" i="4744"/>
  <c r="H18" i="4744"/>
  <c r="H24" i="4744"/>
  <c r="H14" i="4744"/>
  <c r="H39" i="4744"/>
  <c r="H47" i="4744"/>
  <c r="H25" i="4744"/>
  <c r="H28" i="4744"/>
  <c r="H33" i="4744"/>
  <c r="H41" i="4744"/>
  <c r="H49" i="4744"/>
  <c r="H7" i="4744"/>
  <c r="H11" i="4744"/>
  <c r="H26" i="4744"/>
  <c r="H29" i="4744"/>
  <c r="H34" i="4744"/>
  <c r="H42" i="4744"/>
  <c r="H50" i="4744"/>
  <c r="H22" i="4744"/>
  <c r="H35" i="4744"/>
  <c r="H43" i="4744"/>
  <c r="O16" i="4736" l="1"/>
  <c r="O21" i="4742"/>
  <c r="O15" i="4742"/>
  <c r="C27" i="4742"/>
  <c r="B24" i="4742"/>
  <c r="C20" i="4742"/>
  <c r="B17" i="4742"/>
  <c r="H51" i="4742" s="1"/>
  <c r="C16" i="4742"/>
  <c r="C15" i="4742"/>
  <c r="C14" i="4742"/>
  <c r="C13" i="4742"/>
  <c r="O12" i="4742"/>
  <c r="C12" i="4742"/>
  <c r="O11" i="4742"/>
  <c r="C11" i="4742"/>
  <c r="O10" i="4742"/>
  <c r="C10" i="4742"/>
  <c r="C9" i="4742"/>
  <c r="C8" i="4742"/>
  <c r="O7" i="4742"/>
  <c r="C7" i="4742"/>
  <c r="O6" i="4742"/>
  <c r="B6" i="4742"/>
  <c r="O5" i="4742"/>
  <c r="B5" i="4742"/>
  <c r="O4" i="4742"/>
  <c r="O3" i="4742"/>
  <c r="O2" i="4742"/>
  <c r="O15" i="4732"/>
  <c r="O18" i="4730"/>
  <c r="O17" i="4740"/>
  <c r="O16" i="4734"/>
  <c r="O20" i="4734"/>
  <c r="O20" i="4738"/>
  <c r="O19" i="4740"/>
  <c r="O20" i="4740"/>
  <c r="H52" i="4740"/>
  <c r="H30" i="4740"/>
  <c r="C27" i="4740"/>
  <c r="B24" i="4740"/>
  <c r="C20" i="4740"/>
  <c r="B17" i="4740"/>
  <c r="H51" i="4740" s="1"/>
  <c r="C16" i="4740"/>
  <c r="C15" i="4740"/>
  <c r="C14" i="4740"/>
  <c r="C13" i="4740"/>
  <c r="O12" i="4740"/>
  <c r="C12" i="4740"/>
  <c r="O11" i="4740"/>
  <c r="C11" i="4740"/>
  <c r="O10" i="4740"/>
  <c r="C10" i="4740"/>
  <c r="C9" i="4740"/>
  <c r="C8" i="4740"/>
  <c r="O7" i="4740"/>
  <c r="C7" i="4740"/>
  <c r="O6" i="4740"/>
  <c r="B6" i="4740"/>
  <c r="O5" i="4740"/>
  <c r="B5" i="4740"/>
  <c r="O4" i="4740"/>
  <c r="O3" i="4740"/>
  <c r="O2" i="4740"/>
  <c r="O21" i="4738"/>
  <c r="O18" i="4738"/>
  <c r="C27" i="4738"/>
  <c r="B24" i="4738"/>
  <c r="C20" i="4738"/>
  <c r="B17" i="4738"/>
  <c r="H52" i="4738" s="1"/>
  <c r="C16" i="4738"/>
  <c r="C15" i="4738"/>
  <c r="C14" i="4738"/>
  <c r="C13" i="4738"/>
  <c r="O12" i="4738"/>
  <c r="C12" i="4738"/>
  <c r="O11" i="4738"/>
  <c r="C11" i="4738"/>
  <c r="O10" i="4738"/>
  <c r="C10" i="4738"/>
  <c r="C9" i="4738"/>
  <c r="C8" i="4738"/>
  <c r="O7" i="4738"/>
  <c r="C7" i="4738"/>
  <c r="O6" i="4738"/>
  <c r="B6" i="4738"/>
  <c r="O5" i="4738"/>
  <c r="B5" i="4738"/>
  <c r="O4" i="4738"/>
  <c r="O3" i="4738"/>
  <c r="O2" i="4738"/>
  <c r="O20" i="4732"/>
  <c r="O21" i="4732"/>
  <c r="O20" i="4730"/>
  <c r="O19" i="4730"/>
  <c r="H19" i="4740" l="1"/>
  <c r="H14" i="4738"/>
  <c r="H14" i="4740"/>
  <c r="C17" i="4742"/>
  <c r="H9" i="4742"/>
  <c r="C18" i="4742"/>
  <c r="H5" i="4742"/>
  <c r="H44" i="4742"/>
  <c r="H29" i="4742"/>
  <c r="H3" i="4742"/>
  <c r="H36" i="4742"/>
  <c r="H40" i="4742"/>
  <c r="H2" i="4742"/>
  <c r="H16" i="4742"/>
  <c r="H48" i="4742"/>
  <c r="H7" i="4742"/>
  <c r="H32" i="4742"/>
  <c r="H19" i="4742"/>
  <c r="H12" i="4742"/>
  <c r="H21" i="4742"/>
  <c r="H27" i="4742"/>
  <c r="H52" i="4742"/>
  <c r="H22" i="4742"/>
  <c r="B23" i="4742"/>
  <c r="H8" i="4742"/>
  <c r="H37" i="4742"/>
  <c r="H45" i="4742"/>
  <c r="H6" i="4742"/>
  <c r="H20" i="4742"/>
  <c r="C19" i="4742"/>
  <c r="H26" i="4742"/>
  <c r="H30" i="4742"/>
  <c r="H38" i="4742"/>
  <c r="H46" i="4742"/>
  <c r="H14" i="4742"/>
  <c r="H4" i="4742"/>
  <c r="H11" i="4742"/>
  <c r="H17" i="4742"/>
  <c r="H23" i="4742"/>
  <c r="H31" i="4742"/>
  <c r="H39" i="4742"/>
  <c r="H47" i="4742"/>
  <c r="H24" i="4742"/>
  <c r="H13" i="4742"/>
  <c r="H33" i="4742"/>
  <c r="H41" i="4742"/>
  <c r="H49" i="4742"/>
  <c r="H10" i="4742"/>
  <c r="H18" i="4742"/>
  <c r="H25" i="4742"/>
  <c r="H28" i="4742"/>
  <c r="H34" i="4742"/>
  <c r="H42" i="4742"/>
  <c r="H50" i="4742"/>
  <c r="H15" i="4742"/>
  <c r="H35" i="4742"/>
  <c r="H43" i="4742"/>
  <c r="H3" i="4740"/>
  <c r="H28" i="4740"/>
  <c r="H6" i="4740"/>
  <c r="H32" i="4740"/>
  <c r="H36" i="4740"/>
  <c r="H16" i="4740"/>
  <c r="H44" i="4740"/>
  <c r="H9" i="4740"/>
  <c r="C17" i="4740"/>
  <c r="C18" i="4740"/>
  <c r="H5" i="4740"/>
  <c r="H2" i="4740"/>
  <c r="H40" i="4740"/>
  <c r="H22" i="4740"/>
  <c r="H48" i="4740"/>
  <c r="H24" i="4740"/>
  <c r="B23" i="4740"/>
  <c r="H10" i="4740"/>
  <c r="H37" i="4740"/>
  <c r="H45" i="4740"/>
  <c r="H4" i="4740"/>
  <c r="H23" i="4740"/>
  <c r="C19" i="4740"/>
  <c r="H27" i="4740"/>
  <c r="H31" i="4740"/>
  <c r="H38" i="4740"/>
  <c r="H46" i="4740"/>
  <c r="H11" i="4740"/>
  <c r="H7" i="4740"/>
  <c r="H17" i="4740"/>
  <c r="H20" i="4740"/>
  <c r="H25" i="4740"/>
  <c r="H18" i="4740"/>
  <c r="H39" i="4740"/>
  <c r="H47" i="4740"/>
  <c r="H12" i="4740"/>
  <c r="H13" i="4740"/>
  <c r="H33" i="4740"/>
  <c r="H41" i="4740"/>
  <c r="H49" i="4740"/>
  <c r="H8" i="4740"/>
  <c r="H21" i="4740"/>
  <c r="H26" i="4740"/>
  <c r="H29" i="4740"/>
  <c r="H34" i="4740"/>
  <c r="H42" i="4740"/>
  <c r="H50" i="4740"/>
  <c r="H15" i="4740"/>
  <c r="H35" i="4740"/>
  <c r="H43" i="4740"/>
  <c r="H11" i="4738"/>
  <c r="H7" i="4738"/>
  <c r="H22" i="4738"/>
  <c r="H31" i="4738"/>
  <c r="H18" i="4738"/>
  <c r="H4" i="4738"/>
  <c r="H41" i="4738"/>
  <c r="H49" i="4738"/>
  <c r="C17" i="4738"/>
  <c r="C18" i="4738"/>
  <c r="H37" i="4738"/>
  <c r="H3" i="4738"/>
  <c r="H13" i="4738"/>
  <c r="H45" i="4738"/>
  <c r="H2" i="4738"/>
  <c r="H20" i="4738"/>
  <c r="H29" i="4738"/>
  <c r="H19" i="4738"/>
  <c r="H25" i="4738"/>
  <c r="B23" i="4738"/>
  <c r="H9" i="4738"/>
  <c r="H38" i="4738"/>
  <c r="H46" i="4738"/>
  <c r="H5" i="4738"/>
  <c r="H23" i="4738"/>
  <c r="C19" i="4738"/>
  <c r="H28" i="4738"/>
  <c r="H32" i="4738"/>
  <c r="H39" i="4738"/>
  <c r="H47" i="4738"/>
  <c r="H10" i="4738"/>
  <c r="H8" i="4738"/>
  <c r="H12" i="4738"/>
  <c r="H21" i="4738"/>
  <c r="H26" i="4738"/>
  <c r="H33" i="4738"/>
  <c r="H40" i="4738"/>
  <c r="H48" i="4738"/>
  <c r="H17" i="4738"/>
  <c r="H15" i="4738"/>
  <c r="H34" i="4738"/>
  <c r="H42" i="4738"/>
  <c r="H50" i="4738"/>
  <c r="H6" i="4738"/>
  <c r="H16" i="4738"/>
  <c r="H27" i="4738"/>
  <c r="H30" i="4738"/>
  <c r="H35" i="4738"/>
  <c r="H43" i="4738"/>
  <c r="H51" i="4738"/>
  <c r="H24" i="4738"/>
  <c r="H36" i="4738"/>
  <c r="H44" i="4738"/>
  <c r="O17" i="4736" l="1"/>
  <c r="O18" i="4736"/>
  <c r="C27" i="4736"/>
  <c r="B24" i="4736"/>
  <c r="C20" i="4736"/>
  <c r="B17" i="4736"/>
  <c r="H5" i="4736" s="1"/>
  <c r="C16" i="4736"/>
  <c r="C15" i="4736"/>
  <c r="C14" i="4736"/>
  <c r="C13" i="4736"/>
  <c r="O12" i="4736"/>
  <c r="C12" i="4736"/>
  <c r="O11" i="4736"/>
  <c r="C11" i="4736"/>
  <c r="O10" i="4736"/>
  <c r="C10" i="4736"/>
  <c r="C9" i="4736"/>
  <c r="C8" i="4736"/>
  <c r="O7" i="4736"/>
  <c r="C7" i="4736"/>
  <c r="O6" i="4736"/>
  <c r="B6" i="4736"/>
  <c r="O5" i="4736"/>
  <c r="B5" i="4736"/>
  <c r="O4" i="4736"/>
  <c r="O3" i="4736"/>
  <c r="O2" i="4736"/>
  <c r="O21" i="4734"/>
  <c r="O17" i="4734"/>
  <c r="C27" i="4734"/>
  <c r="B24" i="4734"/>
  <c r="C20" i="4734"/>
  <c r="B17" i="4734"/>
  <c r="H5" i="4734" s="1"/>
  <c r="C16" i="4734"/>
  <c r="C15" i="4734"/>
  <c r="C14" i="4734"/>
  <c r="C13" i="4734"/>
  <c r="O12" i="4734"/>
  <c r="C12" i="4734"/>
  <c r="O11" i="4734"/>
  <c r="C11" i="4734"/>
  <c r="O10" i="4734"/>
  <c r="C10" i="4734"/>
  <c r="C9" i="4734"/>
  <c r="C8" i="4734"/>
  <c r="O7" i="4734"/>
  <c r="C7" i="4734"/>
  <c r="O6" i="4734"/>
  <c r="B6" i="4734"/>
  <c r="O5" i="4734"/>
  <c r="B5" i="4734"/>
  <c r="O4" i="4734"/>
  <c r="O3" i="4734"/>
  <c r="O2" i="4734"/>
  <c r="O23" i="4730"/>
  <c r="O19" i="4732"/>
  <c r="O22" i="4732"/>
  <c r="C27" i="4732"/>
  <c r="B24" i="4732"/>
  <c r="C20" i="4732"/>
  <c r="B17" i="4732"/>
  <c r="H5" i="4732" s="1"/>
  <c r="C16" i="4732"/>
  <c r="C15" i="4732"/>
  <c r="C14" i="4732"/>
  <c r="C13" i="4732"/>
  <c r="O12" i="4732"/>
  <c r="C12" i="4732"/>
  <c r="O11" i="4732"/>
  <c r="C11" i="4732"/>
  <c r="O10" i="4732"/>
  <c r="C10" i="4732"/>
  <c r="C9" i="4732"/>
  <c r="C8" i="4732"/>
  <c r="O7" i="4732"/>
  <c r="C7" i="4732"/>
  <c r="O6" i="4732"/>
  <c r="B6" i="4732"/>
  <c r="O5" i="4732"/>
  <c r="B5" i="4732"/>
  <c r="O4" i="4732"/>
  <c r="O3" i="4732"/>
  <c r="O2" i="4732"/>
  <c r="O16" i="4730"/>
  <c r="O21" i="4730"/>
  <c r="C27" i="4730"/>
  <c r="B24" i="4730"/>
  <c r="C20" i="4730"/>
  <c r="B17" i="4730"/>
  <c r="H50" i="4730" s="1"/>
  <c r="C16" i="4730"/>
  <c r="C15" i="4730"/>
  <c r="C14" i="4730"/>
  <c r="C13" i="4730"/>
  <c r="O12" i="4730"/>
  <c r="C12" i="4730"/>
  <c r="O11" i="4730"/>
  <c r="C11" i="4730"/>
  <c r="O10" i="4730"/>
  <c r="C10" i="4730"/>
  <c r="C9" i="4730"/>
  <c r="C8" i="4730"/>
  <c r="O7" i="4730"/>
  <c r="C7" i="4730"/>
  <c r="O6" i="4730"/>
  <c r="B6" i="4730"/>
  <c r="O5" i="4730"/>
  <c r="B5" i="4730"/>
  <c r="O4" i="4730"/>
  <c r="O3" i="4730"/>
  <c r="O2" i="4730"/>
  <c r="H22" i="4734" l="1"/>
  <c r="H33" i="4732"/>
  <c r="H20" i="4732"/>
  <c r="H3" i="4732"/>
  <c r="H18" i="4732"/>
  <c r="H7" i="4732"/>
  <c r="H10" i="4732"/>
  <c r="H16" i="4732"/>
  <c r="H14" i="4736"/>
  <c r="H27" i="4736"/>
  <c r="H6" i="4736"/>
  <c r="H2" i="4732"/>
  <c r="H30" i="4732"/>
  <c r="H10" i="4736"/>
  <c r="H30" i="4736"/>
  <c r="H32" i="4736"/>
  <c r="H19" i="4736"/>
  <c r="H40" i="4736"/>
  <c r="H8" i="4736"/>
  <c r="H38" i="4736"/>
  <c r="H2" i="4736"/>
  <c r="H26" i="4736"/>
  <c r="H46" i="4736"/>
  <c r="H11" i="4736"/>
  <c r="C17" i="4736"/>
  <c r="H4" i="4736"/>
  <c r="C19" i="4736"/>
  <c r="H16" i="4736"/>
  <c r="H20" i="4736"/>
  <c r="H48" i="4736"/>
  <c r="H17" i="4736"/>
  <c r="H23" i="4736"/>
  <c r="H31" i="4736"/>
  <c r="H39" i="4736"/>
  <c r="H47" i="4736"/>
  <c r="H13" i="4736"/>
  <c r="H33" i="4736"/>
  <c r="H49" i="4736"/>
  <c r="H9" i="4736"/>
  <c r="H18" i="4736"/>
  <c r="H25" i="4736"/>
  <c r="H28" i="4736"/>
  <c r="H34" i="4736"/>
  <c r="H42" i="4736"/>
  <c r="H50" i="4736"/>
  <c r="H24" i="4736"/>
  <c r="H41" i="4736"/>
  <c r="H21" i="4736"/>
  <c r="H35" i="4736"/>
  <c r="H43" i="4736"/>
  <c r="H51" i="4736"/>
  <c r="C18" i="4736"/>
  <c r="H15" i="4736"/>
  <c r="H29" i="4736"/>
  <c r="H36" i="4736"/>
  <c r="H44" i="4736"/>
  <c r="H52" i="4736"/>
  <c r="H3" i="4736"/>
  <c r="H7" i="4736"/>
  <c r="H22" i="4736"/>
  <c r="B23" i="4736"/>
  <c r="H12" i="4736"/>
  <c r="H37" i="4736"/>
  <c r="H45" i="4736"/>
  <c r="H31" i="4734"/>
  <c r="H7" i="4734"/>
  <c r="C18" i="4734"/>
  <c r="H26" i="4734"/>
  <c r="H41" i="4734"/>
  <c r="H33" i="4734"/>
  <c r="H4" i="4734"/>
  <c r="C19" i="4734"/>
  <c r="H20" i="4734"/>
  <c r="H23" i="4734"/>
  <c r="H47" i="4734"/>
  <c r="C17" i="4734"/>
  <c r="H25" i="4734"/>
  <c r="H39" i="4734"/>
  <c r="H27" i="4734"/>
  <c r="H2" i="4734"/>
  <c r="H49" i="4734"/>
  <c r="H10" i="4734"/>
  <c r="H6" i="4734"/>
  <c r="H13" i="4734"/>
  <c r="H17" i="4734"/>
  <c r="H29" i="4734"/>
  <c r="H15" i="4734"/>
  <c r="H40" i="4734"/>
  <c r="H48" i="4734"/>
  <c r="H14" i="4734"/>
  <c r="H50" i="4734"/>
  <c r="H8" i="4734"/>
  <c r="H21" i="4734"/>
  <c r="H30" i="4734"/>
  <c r="H32" i="4734"/>
  <c r="H35" i="4734"/>
  <c r="H43" i="4734"/>
  <c r="H51" i="4734"/>
  <c r="H12" i="4734"/>
  <c r="H34" i="4734"/>
  <c r="H42" i="4734"/>
  <c r="H18" i="4734"/>
  <c r="H36" i="4734"/>
  <c r="H44" i="4734"/>
  <c r="H52" i="4734"/>
  <c r="H19" i="4734"/>
  <c r="H24" i="4734"/>
  <c r="H37" i="4734"/>
  <c r="H45" i="4734"/>
  <c r="H16" i="4734"/>
  <c r="H3" i="4734"/>
  <c r="H9" i="4734"/>
  <c r="H28" i="4734"/>
  <c r="B23" i="4734"/>
  <c r="H11" i="4734"/>
  <c r="H38" i="4734"/>
  <c r="H46" i="4734"/>
  <c r="H39" i="4732"/>
  <c r="H38" i="4732"/>
  <c r="H28" i="4732"/>
  <c r="H40" i="4732"/>
  <c r="H46" i="4732"/>
  <c r="C17" i="4732"/>
  <c r="H47" i="4732"/>
  <c r="H24" i="4732"/>
  <c r="H31" i="4732"/>
  <c r="H13" i="4732"/>
  <c r="C19" i="4732"/>
  <c r="H22" i="4732"/>
  <c r="H48" i="4732"/>
  <c r="H15" i="4732"/>
  <c r="H11" i="4732"/>
  <c r="H34" i="4732"/>
  <c r="H41" i="4732"/>
  <c r="H49" i="4732"/>
  <c r="H8" i="4732"/>
  <c r="H19" i="4732"/>
  <c r="H29" i="4732"/>
  <c r="H21" i="4732"/>
  <c r="H35" i="4732"/>
  <c r="H42" i="4732"/>
  <c r="H50" i="4732"/>
  <c r="H26" i="4732"/>
  <c r="H23" i="4732"/>
  <c r="H43" i="4732"/>
  <c r="H51" i="4732"/>
  <c r="H6" i="4732"/>
  <c r="H17" i="4732"/>
  <c r="H25" i="4732"/>
  <c r="C18" i="4732"/>
  <c r="H14" i="4732"/>
  <c r="H32" i="4732"/>
  <c r="H36" i="4732"/>
  <c r="H44" i="4732"/>
  <c r="H52" i="4732"/>
  <c r="H4" i="4732"/>
  <c r="H12" i="4732"/>
  <c r="H27" i="4732"/>
  <c r="B23" i="4732"/>
  <c r="H9" i="4732"/>
  <c r="H37" i="4732"/>
  <c r="H45" i="4732"/>
  <c r="H26" i="4730"/>
  <c r="H16" i="4730"/>
  <c r="H17" i="4730"/>
  <c r="H41" i="4730"/>
  <c r="H2" i="4730"/>
  <c r="C17" i="4730"/>
  <c r="H40" i="4730"/>
  <c r="H6" i="4730"/>
  <c r="H3" i="4730"/>
  <c r="H48" i="4730"/>
  <c r="H22" i="4730"/>
  <c r="H23" i="4730"/>
  <c r="H13" i="4730"/>
  <c r="H33" i="4730"/>
  <c r="H11" i="4730"/>
  <c r="H49" i="4730"/>
  <c r="H15" i="4730"/>
  <c r="H12" i="4730"/>
  <c r="H35" i="4730"/>
  <c r="H42" i="4730"/>
  <c r="H8" i="4730"/>
  <c r="H18" i="4730"/>
  <c r="H34" i="4730"/>
  <c r="H27" i="4730"/>
  <c r="H36" i="4730"/>
  <c r="H43" i="4730"/>
  <c r="H51" i="4730"/>
  <c r="H19" i="4730"/>
  <c r="H30" i="4730"/>
  <c r="H44" i="4730"/>
  <c r="H52" i="4730"/>
  <c r="H7" i="4730"/>
  <c r="H21" i="4730"/>
  <c r="H31" i="4730"/>
  <c r="C18" i="4730"/>
  <c r="H14" i="4730"/>
  <c r="H28" i="4730"/>
  <c r="H37" i="4730"/>
  <c r="H45" i="4730"/>
  <c r="H20" i="4730"/>
  <c r="H4" i="4730"/>
  <c r="H10" i="4730"/>
  <c r="H32" i="4730"/>
  <c r="B23" i="4730"/>
  <c r="H9" i="4730"/>
  <c r="H38" i="4730"/>
  <c r="H46" i="4730"/>
  <c r="H5" i="4730"/>
  <c r="H24" i="4730"/>
  <c r="C19" i="4730"/>
  <c r="H25" i="4730"/>
  <c r="H29" i="4730"/>
  <c r="H39" i="4730"/>
  <c r="H47" i="473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<sst xmlns="http://schemas.openxmlformats.org/spreadsheetml/2006/main" count="2441" uniqueCount="204">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</sst>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全体!$K$2:$K$197</c:f>
              <c:numCache>
                <c:formatCode>General</c:formatCode>
                <c:ptCount val="1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</c:numCache>
            </c:numRef>
          </c:xVal>
          <c:yVal>
            <c:numRef>
              <c:f>全体!$L$2:$L$197</c:f>
              <c:numCache>
                <c:formatCode>\+0.0;\-0.0;\±0</c:formatCode>
                <c:ptCount val="19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8-460A-AEDE-82D027213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-25.641025641025642</c:v>
                </c:pt>
                <c:pt idx="1">
                  <c:v>-10.416666666666666</c:v>
                </c:pt>
                <c:pt idx="2">
                  <c:v>40.229885057471265</c:v>
                </c:pt>
                <c:pt idx="3">
                  <c:v>-6.1728395061728394</c:v>
                </c:pt>
                <c:pt idx="4">
                  <c:v>-32.679738562091501</c:v>
                </c:pt>
                <c:pt idx="5">
                  <c:v>40.816326530612244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6-4DD0-91AF-7AA21C22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だいち!$L$2:$L$45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3D1-B82F-DA3ABB100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5467.4418604651164</c:v>
                </c:pt>
                <c:pt idx="1">
                  <c:v>4097.6190476190477</c:v>
                </c:pt>
                <c:pt idx="2">
                  <c:v>2063.1578947368421</c:v>
                </c:pt>
                <c:pt idx="3">
                  <c:v>4328.5714285714284</c:v>
                </c:pt>
                <c:pt idx="4">
                  <c:v>1934.375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D1-4988-BA13-A67E704C4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りくと!$L$2:$L$47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7-4A20-9ED0-CE7A5E474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491.11111111111109</c:v>
                </c:pt>
                <c:pt idx="1">
                  <c:v>-1304.5454545454545</c:v>
                </c:pt>
                <c:pt idx="2">
                  <c:v>771.42857142857144</c:v>
                </c:pt>
                <c:pt idx="3">
                  <c:v>507.69230769230768</c:v>
                </c:pt>
                <c:pt idx="4">
                  <c:v>1513.5135135135135</c:v>
                </c:pt>
                <c:pt idx="5">
                  <c:v>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D-4DFB-AEB6-AD6BC00AF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BB-44EC-B4E4-C2B842E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-4321.0526315789475</c:v>
                </c:pt>
                <c:pt idx="1">
                  <c:v>-4221.0526315789475</c:v>
                </c:pt>
                <c:pt idx="2">
                  <c:v>-5037.5</c:v>
                </c:pt>
                <c:pt idx="3">
                  <c:v>-2293.3333333333335</c:v>
                </c:pt>
                <c:pt idx="4">
                  <c:v>-2640</c:v>
                </c:pt>
                <c:pt idx="5">
                  <c:v>-2246.6666666666665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8-4B65-B734-D96A13A8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れんたろう!$L$2:$L$31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0-4B71-9119-29E1FC899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520.68965517241384</c:v>
                </c:pt>
                <c:pt idx="1">
                  <c:v>958.62068965517244</c:v>
                </c:pt>
                <c:pt idx="2">
                  <c:v>-155.55555555555554</c:v>
                </c:pt>
                <c:pt idx="3">
                  <c:v>-2853.8461538461538</c:v>
                </c:pt>
                <c:pt idx="4">
                  <c:v>-962.5</c:v>
                </c:pt>
                <c:pt idx="5">
                  <c:v>218.18181818181819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8-42DC-9D9E-3529F93DA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2-46AF-82AC-604457E2D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-1225</c:v>
                </c:pt>
                <c:pt idx="1">
                  <c:v>2805</c:v>
                </c:pt>
                <c:pt idx="2">
                  <c:v>-1575</c:v>
                </c:pt>
                <c:pt idx="3">
                  <c:v>2542.8571428571427</c:v>
                </c:pt>
                <c:pt idx="4">
                  <c:v>-3542.8571428571427</c:v>
                </c:pt>
                <c:pt idx="5">
                  <c:v>-269.23076923076923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B-444A-A04B-DA8A7ED21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A8-474D-A3E8-ADA503F6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C-4614-A3BC-3D6BCA37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7-4D9F-985C-8287BBFDA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8-4CC5-B337-3B9765821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C-44CC-A9AF-3CC1C81C5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3A-4A92-A282-82B06EF53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F3-41D2-BD1F-E3C77053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9-439C-BA71-97706D966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4C35B4-7BCB-4B74-B76D-B9DBB5F89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908672-36B9-476D-86D4-88A60B482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C43619-24A8-40A2-93F4-3A0BB9959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4771B3-4AD9-4BFE-B5A3-3B74A107C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BD093B-ED8B-4491-B401-641B68AF3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AB5994-37A7-4BD9-8827-C3FE91FDA5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78F698-8F7E-446A-974B-9C25A38119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781B57-D9AA-4E9F-89D7-6BC333BA4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BB873D-A84D-4980-9FA0-BCB56C39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696741-3B2B-4CE0-8CBD-DA69EAB74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9F9B5B-5BEC-4539-9691-1E08165FC4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7953C9-81FC-40BE-831B-641A2293B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C5ADB9-BB40-4DAF-95CE-32FFA5E5DA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405100-0A1E-4252-8074-3E11D522A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743341-60C7-447B-9725-ECCEE2329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28B76C-9F24-4116-A22E-C9C61774B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B96F78-CA9F-43A3-8D6F-83163B862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641FBE-8B70-41DA-9762-396F9A4A5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60CB72-A3A5-493B-BEB7-EF608330E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74554E-A4DB-4CF0-8389-7D741D260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43570.006145833337</v>
      </c>
      <c r="C15" s="30" t="s">
        <v>132</v>
      </c>
      <c r="D15" s="30" t="s">
        <v>133</v>
      </c>
      <c r="E15" s="30" t="s">
        <v>172</v>
      </c>
      <c r="F15" s="30" t="s">
        <v>177</v>
      </c>
      <c r="G15" s="30" t="s">
        <v>178</v>
      </c>
      <c r="H15" s="30" t="s">
        <v>190</v>
      </c>
    </row>
    <row r="16" spans="1:10" x14ac:dyDescent="0.4">
      <c r="A16" s="30" t="s">
        <v>203</v>
      </c>
      <c r="B16" s="31">
        <v>43571.043113425927</v>
      </c>
      <c r="C16" s="30" t="s">
        <v>132</v>
      </c>
      <c r="D16" s="30" t="s">
        <v>133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0.99627496396918658</v>
      </c>
      <c r="G2" s="161"/>
      <c r="H2" s="160">
        <v>0.93237047513781302</v>
      </c>
      <c r="I2" s="161"/>
      <c r="J2" s="160">
        <v>0.95162671288823431</v>
      </c>
      <c r="K2" s="161"/>
      <c r="L2" s="160">
        <v>0.90481198975365473</v>
      </c>
      <c r="M2" s="161"/>
      <c r="N2" s="160">
        <v>0.79970389671213205</v>
      </c>
      <c r="O2" s="161"/>
      <c r="P2" s="160">
        <v>0.69296947360231587</v>
      </c>
      <c r="Q2" s="161"/>
      <c r="R2" s="160">
        <v>0.41655409008066441</v>
      </c>
      <c r="S2" s="161"/>
      <c r="T2" s="160">
        <v>0.79831129567181602</v>
      </c>
      <c r="U2" s="161"/>
      <c r="V2" s="160">
        <v>0.94672642078038949</v>
      </c>
      <c r="W2" s="161"/>
      <c r="X2" s="160">
        <v>0.74413519352923818</v>
      </c>
      <c r="Y2" s="161"/>
      <c r="Z2" s="160">
        <v>0.42956781083999485</v>
      </c>
      <c r="AA2" s="161"/>
      <c r="AB2" s="160">
        <v>0.77693417526846675</v>
      </c>
      <c r="AC2" s="161"/>
      <c r="AD2" s="160">
        <v>0.8238169795738135</v>
      </c>
      <c r="AE2" s="161"/>
      <c r="AF2" s="160">
        <v>-0.25967281243908508</v>
      </c>
      <c r="AG2" s="161"/>
      <c r="AH2" s="160">
        <v>0.92574168590987693</v>
      </c>
      <c r="AI2" s="161"/>
      <c r="AJ2" s="160">
        <v>5.4995615469083561E-2</v>
      </c>
      <c r="AK2" s="161"/>
    </row>
    <row r="3" spans="1:37" x14ac:dyDescent="0.4">
      <c r="A3" s="74">
        <v>1</v>
      </c>
      <c r="B3" s="75" t="s">
        <v>129</v>
      </c>
      <c r="C3" s="76">
        <v>1151</v>
      </c>
      <c r="D3" s="77" t="s">
        <v>129</v>
      </c>
      <c r="E3" s="98">
        <v>26.767441860465116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0.41935483870967744</v>
      </c>
      <c r="N3" s="77" t="s">
        <v>188</v>
      </c>
      <c r="O3" s="80">
        <v>0.10526315789473684</v>
      </c>
      <c r="P3" s="77" t="s">
        <v>129</v>
      </c>
      <c r="Q3" s="81">
        <v>9323.0769230769238</v>
      </c>
      <c r="R3" s="77" t="s">
        <v>188</v>
      </c>
      <c r="S3" s="81">
        <v>-5150</v>
      </c>
      <c r="T3" s="77" t="s">
        <v>188</v>
      </c>
      <c r="U3" s="79">
        <v>0</v>
      </c>
      <c r="V3" s="77" t="s">
        <v>129</v>
      </c>
      <c r="W3" s="79">
        <v>0.20930232558139536</v>
      </c>
      <c r="X3" s="77" t="s">
        <v>129</v>
      </c>
      <c r="Y3" s="80">
        <v>0.33724340175953077</v>
      </c>
      <c r="Z3" s="77" t="s">
        <v>175</v>
      </c>
      <c r="AA3" s="80">
        <v>0.36419753086419754</v>
      </c>
      <c r="AB3" s="77" t="s">
        <v>189</v>
      </c>
      <c r="AC3" s="80">
        <v>0.7142857142857143</v>
      </c>
      <c r="AD3" s="77" t="s">
        <v>129</v>
      </c>
      <c r="AE3" s="80">
        <v>0.56097560975609762</v>
      </c>
      <c r="AF3" s="77" t="s">
        <v>176</v>
      </c>
      <c r="AG3" s="80">
        <v>0.5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111.49999999999996</v>
      </c>
      <c r="D4" s="86" t="s">
        <v>188</v>
      </c>
      <c r="E4" s="99">
        <v>20.333333333333332</v>
      </c>
      <c r="F4" s="86" t="s">
        <v>129</v>
      </c>
      <c r="G4" s="87">
        <v>1.4883720930232558</v>
      </c>
      <c r="H4" s="86" t="s">
        <v>129</v>
      </c>
      <c r="I4" s="88">
        <v>0.65116279069767447</v>
      </c>
      <c r="J4" s="86" t="s">
        <v>129</v>
      </c>
      <c r="K4" s="88">
        <v>0.13953488372093023</v>
      </c>
      <c r="L4" s="86" t="s">
        <v>175</v>
      </c>
      <c r="M4" s="89">
        <v>0.35802469135802467</v>
      </c>
      <c r="N4" s="86" t="s">
        <v>175</v>
      </c>
      <c r="O4" s="89">
        <v>0.13580246913580246</v>
      </c>
      <c r="P4" s="86" t="s">
        <v>130</v>
      </c>
      <c r="Q4" s="90">
        <v>8982.4561403508778</v>
      </c>
      <c r="R4" s="86" t="s">
        <v>130</v>
      </c>
      <c r="S4" s="90">
        <v>-7075.8064516129034</v>
      </c>
      <c r="T4" s="86" t="s">
        <v>129</v>
      </c>
      <c r="U4" s="88">
        <v>2.3255813953488372E-2</v>
      </c>
      <c r="V4" s="86" t="s">
        <v>175</v>
      </c>
      <c r="W4" s="88">
        <v>0.1</v>
      </c>
      <c r="X4" s="86" t="s">
        <v>130</v>
      </c>
      <c r="Y4" s="89">
        <v>0.28645833333333331</v>
      </c>
      <c r="Z4" s="86" t="s">
        <v>180</v>
      </c>
      <c r="AA4" s="89">
        <v>0.2413793103448276</v>
      </c>
      <c r="AB4" s="86" t="s">
        <v>175</v>
      </c>
      <c r="AC4" s="89">
        <v>0.6470588235294118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2.477777777777777</v>
      </c>
      <c r="F5" s="86" t="s">
        <v>130</v>
      </c>
      <c r="G5" s="87">
        <v>1.9777777777777779</v>
      </c>
      <c r="H5" s="86" t="s">
        <v>147</v>
      </c>
      <c r="I5" s="88">
        <v>0.33333333333333331</v>
      </c>
      <c r="J5" s="86" t="s">
        <v>130</v>
      </c>
      <c r="K5" s="88">
        <v>0.26666666666666666</v>
      </c>
      <c r="L5" s="86" t="s">
        <v>147</v>
      </c>
      <c r="M5" s="89">
        <v>0.30012300123001229</v>
      </c>
      <c r="N5" s="86" t="s">
        <v>129</v>
      </c>
      <c r="O5" s="89">
        <v>0.1466275659824047</v>
      </c>
      <c r="P5" s="86" t="s">
        <v>174</v>
      </c>
      <c r="Q5" s="90">
        <v>8361.016949152543</v>
      </c>
      <c r="R5" s="86" t="s">
        <v>174</v>
      </c>
      <c r="S5" s="90">
        <v>-7193.181818181818</v>
      </c>
      <c r="T5" s="86" t="s">
        <v>174</v>
      </c>
      <c r="U5" s="88">
        <v>3.4482758620689655E-2</v>
      </c>
      <c r="V5" s="86" t="s">
        <v>147</v>
      </c>
      <c r="W5" s="88">
        <v>8.7179487179487175E-2</v>
      </c>
      <c r="X5" s="86" t="s">
        <v>188</v>
      </c>
      <c r="Y5" s="89">
        <v>0.26315789473684209</v>
      </c>
      <c r="Z5" s="86" t="s">
        <v>129</v>
      </c>
      <c r="AA5" s="89">
        <v>0.2404692082111437</v>
      </c>
      <c r="AB5" s="86" t="s">
        <v>130</v>
      </c>
      <c r="AC5" s="89">
        <v>0.6454545454545455</v>
      </c>
      <c r="AD5" s="86" t="s">
        <v>175</v>
      </c>
      <c r="AE5" s="89">
        <v>0.44067796610169491</v>
      </c>
      <c r="AF5" s="86" t="s">
        <v>131</v>
      </c>
      <c r="AG5" s="89">
        <v>0.45454545454545453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43</v>
      </c>
      <c r="D6" s="86" t="s">
        <v>175</v>
      </c>
      <c r="E6" s="99">
        <v>2.15</v>
      </c>
      <c r="F6" s="86" t="s">
        <v>175</v>
      </c>
      <c r="G6" s="87">
        <v>2</v>
      </c>
      <c r="H6" s="86" t="s">
        <v>175</v>
      </c>
      <c r="I6" s="88">
        <v>0.3</v>
      </c>
      <c r="J6" s="86" t="s">
        <v>175</v>
      </c>
      <c r="K6" s="88">
        <v>0.3</v>
      </c>
      <c r="L6" s="86" t="s">
        <v>130</v>
      </c>
      <c r="M6" s="89">
        <v>0.296875</v>
      </c>
      <c r="N6" s="86" t="s">
        <v>130</v>
      </c>
      <c r="O6" s="89">
        <v>0.16145833333333334</v>
      </c>
      <c r="P6" s="86" t="s">
        <v>147</v>
      </c>
      <c r="Q6" s="90">
        <v>8204.7131147540986</v>
      </c>
      <c r="R6" s="86" t="s">
        <v>180</v>
      </c>
      <c r="S6" s="90">
        <v>-7411.1111111111113</v>
      </c>
      <c r="T6" s="86" t="s">
        <v>175</v>
      </c>
      <c r="U6" s="88">
        <v>0.05</v>
      </c>
      <c r="V6" s="86" t="s">
        <v>174</v>
      </c>
      <c r="W6" s="88">
        <v>6.8965517241379309E-2</v>
      </c>
      <c r="X6" s="86" t="s">
        <v>147</v>
      </c>
      <c r="Y6" s="89">
        <v>0.25645756457564578</v>
      </c>
      <c r="Z6" s="86" t="s">
        <v>189</v>
      </c>
      <c r="AA6" s="89">
        <v>0.22807017543859648</v>
      </c>
      <c r="AB6" s="86" t="s">
        <v>129</v>
      </c>
      <c r="AC6" s="89">
        <v>0.63478260869565217</v>
      </c>
      <c r="AD6" s="86" t="s">
        <v>147</v>
      </c>
      <c r="AE6" s="89">
        <v>0.38550724637681161</v>
      </c>
      <c r="AF6" s="86" t="s">
        <v>129</v>
      </c>
      <c r="AG6" s="89">
        <v>0.40559440559440557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1.7763568394002505E-14</v>
      </c>
      <c r="D7" s="86" t="s">
        <v>147</v>
      </c>
      <c r="E7" s="99">
        <v>9.1095222533346175E-17</v>
      </c>
      <c r="F7" s="86" t="s">
        <v>147</v>
      </c>
      <c r="G7" s="87">
        <v>2</v>
      </c>
      <c r="H7" s="86" t="s">
        <v>130</v>
      </c>
      <c r="I7" s="88">
        <v>0.28888888888888886</v>
      </c>
      <c r="J7" s="86" t="s">
        <v>147</v>
      </c>
      <c r="K7" s="88">
        <v>0.33333333333333331</v>
      </c>
      <c r="L7" s="86" t="s">
        <v>176</v>
      </c>
      <c r="M7" s="89">
        <v>0.28387096774193549</v>
      </c>
      <c r="N7" s="86" t="s">
        <v>174</v>
      </c>
      <c r="O7" s="89">
        <v>0.17460317460317459</v>
      </c>
      <c r="P7" s="86" t="s">
        <v>188</v>
      </c>
      <c r="Q7" s="90">
        <v>7860</v>
      </c>
      <c r="R7" s="86" t="s">
        <v>129</v>
      </c>
      <c r="S7" s="90">
        <v>-7844</v>
      </c>
      <c r="T7" s="86" t="s">
        <v>147</v>
      </c>
      <c r="U7" s="88">
        <v>8.7179487179487175E-2</v>
      </c>
      <c r="V7" s="86" t="s">
        <v>130</v>
      </c>
      <c r="W7" s="88">
        <v>6.6666666666666666E-2</v>
      </c>
      <c r="X7" s="86" t="s">
        <v>174</v>
      </c>
      <c r="Y7" s="89">
        <v>0.23809523809523808</v>
      </c>
      <c r="Z7" s="86" t="s">
        <v>176</v>
      </c>
      <c r="AA7" s="89">
        <v>0.22580645161290322</v>
      </c>
      <c r="AB7" s="86" t="s">
        <v>188</v>
      </c>
      <c r="AC7" s="89">
        <v>0.6</v>
      </c>
      <c r="AD7" s="86" t="s">
        <v>189</v>
      </c>
      <c r="AE7" s="89">
        <v>0.38461538461538464</v>
      </c>
      <c r="AF7" s="86" t="s">
        <v>130</v>
      </c>
      <c r="AG7" s="89">
        <v>0.40350877192982454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-121.79999999999998</v>
      </c>
      <c r="D8" s="86" t="s">
        <v>174</v>
      </c>
      <c r="E8" s="99">
        <v>-4.1999999999999993</v>
      </c>
      <c r="F8" s="86" t="s">
        <v>174</v>
      </c>
      <c r="G8" s="87">
        <v>2.103448275862069</v>
      </c>
      <c r="H8" s="86" t="s">
        <v>180</v>
      </c>
      <c r="I8" s="88">
        <v>0.25</v>
      </c>
      <c r="J8" s="86" t="s">
        <v>174</v>
      </c>
      <c r="K8" s="88">
        <v>0.34482758620689657</v>
      </c>
      <c r="L8" s="86" t="s">
        <v>188</v>
      </c>
      <c r="M8" s="89">
        <v>0.26315789473684209</v>
      </c>
      <c r="N8" s="86" t="s">
        <v>147</v>
      </c>
      <c r="O8" s="89">
        <v>0.17712177121771217</v>
      </c>
      <c r="P8" s="86" t="s">
        <v>131</v>
      </c>
      <c r="Q8" s="90">
        <v>7260.606060606061</v>
      </c>
      <c r="R8" s="86" t="s">
        <v>147</v>
      </c>
      <c r="S8" s="90">
        <v>-7851.7361111111113</v>
      </c>
      <c r="T8" s="86" t="s">
        <v>130</v>
      </c>
      <c r="U8" s="88">
        <v>8.8888888888888892E-2</v>
      </c>
      <c r="V8" s="86" t="s">
        <v>176</v>
      </c>
      <c r="W8" s="88">
        <v>5.8823529411764705E-2</v>
      </c>
      <c r="X8" s="86" t="s">
        <v>131</v>
      </c>
      <c r="Y8" s="89">
        <v>0.23668639053254437</v>
      </c>
      <c r="Z8" s="86" t="s">
        <v>147</v>
      </c>
      <c r="AA8" s="89">
        <v>0.21217712177121772</v>
      </c>
      <c r="AB8" s="86" t="s">
        <v>147</v>
      </c>
      <c r="AC8" s="89">
        <v>0.59472422062350117</v>
      </c>
      <c r="AD8" s="86" t="s">
        <v>174</v>
      </c>
      <c r="AE8" s="89">
        <v>0.34090909090909088</v>
      </c>
      <c r="AF8" s="86" t="s">
        <v>147</v>
      </c>
      <c r="AG8" s="89">
        <v>0.40163934426229508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176</v>
      </c>
      <c r="E9" s="99">
        <v>-14.641176470588233</v>
      </c>
      <c r="F9" s="86" t="s">
        <v>176</v>
      </c>
      <c r="G9" s="87">
        <v>2.2352941176470589</v>
      </c>
      <c r="H9" s="86" t="s">
        <v>174</v>
      </c>
      <c r="I9" s="88">
        <v>0.2413793103448276</v>
      </c>
      <c r="J9" s="86" t="s">
        <v>176</v>
      </c>
      <c r="K9" s="88">
        <v>0.41176470588235292</v>
      </c>
      <c r="L9" s="86" t="s">
        <v>174</v>
      </c>
      <c r="M9" s="89">
        <v>0.23412698412698413</v>
      </c>
      <c r="N9" s="86" t="s">
        <v>180</v>
      </c>
      <c r="O9" s="89">
        <v>0.20689655172413793</v>
      </c>
      <c r="P9" s="86" t="s">
        <v>175</v>
      </c>
      <c r="Q9" s="90">
        <v>6710.3448275862065</v>
      </c>
      <c r="R9" s="86" t="s">
        <v>176</v>
      </c>
      <c r="S9" s="90">
        <v>-8067.5675675675675</v>
      </c>
      <c r="T9" s="86" t="s">
        <v>176</v>
      </c>
      <c r="U9" s="88">
        <v>0.11764705882352941</v>
      </c>
      <c r="V9" s="86" t="s">
        <v>131</v>
      </c>
      <c r="W9" s="88">
        <v>0</v>
      </c>
      <c r="X9" s="86" t="s">
        <v>175</v>
      </c>
      <c r="Y9" s="89">
        <v>0.20987654320987653</v>
      </c>
      <c r="Z9" s="86" t="s">
        <v>188</v>
      </c>
      <c r="AA9" s="89">
        <v>0.21052631578947367</v>
      </c>
      <c r="AB9" s="86" t="s">
        <v>176</v>
      </c>
      <c r="AC9" s="89">
        <v>0.55172413793103448</v>
      </c>
      <c r="AD9" s="86" t="s">
        <v>180</v>
      </c>
      <c r="AE9" s="89">
        <v>0.33333333333333331</v>
      </c>
      <c r="AF9" s="86" t="s">
        <v>175</v>
      </c>
      <c r="AG9" s="89">
        <v>0.37931034482758619</v>
      </c>
      <c r="AH9" s="86" t="s">
        <v>176</v>
      </c>
      <c r="AI9" s="94">
        <v>58900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180</v>
      </c>
      <c r="E10" s="99">
        <v>-17.341666666666665</v>
      </c>
      <c r="F10" s="86" t="s">
        <v>180</v>
      </c>
      <c r="G10" s="87">
        <v>2.3333333333333335</v>
      </c>
      <c r="H10" s="86" t="s">
        <v>176</v>
      </c>
      <c r="I10" s="88">
        <v>0.17647058823529413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0.21893491124260356</v>
      </c>
      <c r="P10" s="86" t="s">
        <v>189</v>
      </c>
      <c r="Q10" s="90">
        <v>6500</v>
      </c>
      <c r="R10" s="86" t="s">
        <v>175</v>
      </c>
      <c r="S10" s="90">
        <v>-8440.9090909090901</v>
      </c>
      <c r="T10" s="86" t="s">
        <v>189</v>
      </c>
      <c r="U10" s="88">
        <v>0.14285714285714285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130</v>
      </c>
      <c r="AA10" s="89">
        <v>0.17708333333333334</v>
      </c>
      <c r="AB10" s="86" t="s">
        <v>180</v>
      </c>
      <c r="AC10" s="89">
        <v>0.52941176470588236</v>
      </c>
      <c r="AD10" s="86" t="s">
        <v>176</v>
      </c>
      <c r="AE10" s="89">
        <v>0.31428571428571428</v>
      </c>
      <c r="AF10" s="86" t="s">
        <v>180</v>
      </c>
      <c r="AG10" s="89">
        <v>0.35</v>
      </c>
      <c r="AH10" s="86" t="s">
        <v>188</v>
      </c>
      <c r="AI10" s="94">
        <v>53500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-248.89999999999995</v>
      </c>
      <c r="D11" s="86" t="s">
        <v>131</v>
      </c>
      <c r="E11" s="99">
        <v>-29.973684210526311</v>
      </c>
      <c r="F11" s="86" t="s">
        <v>131</v>
      </c>
      <c r="G11" s="87">
        <v>2.5263157894736841</v>
      </c>
      <c r="H11" s="86" t="s">
        <v>189</v>
      </c>
      <c r="I11" s="88">
        <v>0.14285714285714285</v>
      </c>
      <c r="J11" s="86" t="s">
        <v>131</v>
      </c>
      <c r="K11" s="88">
        <v>0.63157894736842102</v>
      </c>
      <c r="L11" s="86" t="s">
        <v>189</v>
      </c>
      <c r="M11" s="89">
        <v>0.21052631578947367</v>
      </c>
      <c r="N11" s="86" t="s">
        <v>176</v>
      </c>
      <c r="O11" s="89">
        <v>0.23870967741935484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0.21052631578947367</v>
      </c>
      <c r="V11" s="86" t="s">
        <v>188</v>
      </c>
      <c r="W11" s="88">
        <v>0</v>
      </c>
      <c r="X11" s="86" t="s">
        <v>176</v>
      </c>
      <c r="Y11" s="89">
        <v>0.18709677419354839</v>
      </c>
      <c r="Z11" s="86" t="s">
        <v>174</v>
      </c>
      <c r="AA11" s="89">
        <v>0.17460317460317459</v>
      </c>
      <c r="AB11" s="86" t="s">
        <v>174</v>
      </c>
      <c r="AC11" s="89">
        <v>0.5</v>
      </c>
      <c r="AD11" s="86" t="s">
        <v>130</v>
      </c>
      <c r="AE11" s="89">
        <v>0.25</v>
      </c>
      <c r="AF11" s="86" t="s">
        <v>174</v>
      </c>
      <c r="AG11" s="89">
        <v>0.32203389830508472</v>
      </c>
      <c r="AH11" s="86" t="s">
        <v>131</v>
      </c>
      <c r="AI11" s="94">
        <v>52200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-569.49999999999989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131</v>
      </c>
      <c r="I12" s="88">
        <v>0.10526315789473684</v>
      </c>
      <c r="J12" s="86" t="s">
        <v>189</v>
      </c>
      <c r="K12" s="88">
        <v>0.7142857142857143</v>
      </c>
      <c r="L12" s="86" t="s">
        <v>131</v>
      </c>
      <c r="M12" s="89">
        <v>0.19526627218934911</v>
      </c>
      <c r="N12" s="86" t="s">
        <v>189</v>
      </c>
      <c r="O12" s="89">
        <v>0.2807017543859649</v>
      </c>
      <c r="P12" s="86" t="s">
        <v>176</v>
      </c>
      <c r="Q12" s="90">
        <v>6311.363636363636</v>
      </c>
      <c r="R12" s="86" t="s">
        <v>131</v>
      </c>
      <c r="S12" s="90">
        <v>-9345.9459459459467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0.11242603550295859</v>
      </c>
      <c r="AB12" s="86" t="s">
        <v>131</v>
      </c>
      <c r="AC12" s="89">
        <v>0.47499999999999998</v>
      </c>
      <c r="AD12" s="86" t="s">
        <v>131</v>
      </c>
      <c r="AE12" s="89">
        <v>0.21052631578947367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2206-C47A-43C6-BB53-112B96C2EEAA}">
  <sheetPr codeName="Sheet4"/>
  <dimension ref="A1:Q1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195</v>
      </c>
      <c r="C2" s="149"/>
      <c r="E2" s="62" t="s">
        <v>68</v>
      </c>
      <c r="F2" s="59" t="s">
        <v>23</v>
      </c>
      <c r="G2" s="46">
        <v>362</v>
      </c>
      <c r="H2" s="134">
        <f>IF(B$17=0,0,G2/B$17)</f>
        <v>0.74180327868852458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-25.641025641025642</v>
      </c>
      <c r="P2" s="120">
        <v>195</v>
      </c>
      <c r="Q2" s="104">
        <v>-5000</v>
      </c>
    </row>
    <row r="3" spans="1:17" x14ac:dyDescent="0.4">
      <c r="A3" s="55" t="s">
        <v>8</v>
      </c>
      <c r="B3" s="150">
        <v>1626</v>
      </c>
      <c r="C3" s="151"/>
      <c r="E3" s="63" t="s">
        <v>74</v>
      </c>
      <c r="F3" s="60" t="s">
        <v>28</v>
      </c>
      <c r="G3" s="47">
        <v>260</v>
      </c>
      <c r="H3" s="135">
        <f>IF(B$17=0,0,G3/B$17)</f>
        <v>0.53278688524590168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-10.416666666666666</v>
      </c>
      <c r="P3" s="121">
        <v>192</v>
      </c>
      <c r="Q3" s="105">
        <v>-2000</v>
      </c>
    </row>
    <row r="4" spans="1:17" x14ac:dyDescent="0.4">
      <c r="A4" s="55" t="s">
        <v>6</v>
      </c>
      <c r="B4" s="152">
        <v>1.7763568394002505E-14</v>
      </c>
      <c r="C4" s="153"/>
      <c r="E4" s="63" t="s">
        <v>66</v>
      </c>
      <c r="F4" s="60" t="s">
        <v>21</v>
      </c>
      <c r="G4" s="47">
        <v>238</v>
      </c>
      <c r="H4" s="135">
        <f>IF(B$17=0,0,G4/B$17)</f>
        <v>0.48770491803278687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40.229885057471265</v>
      </c>
      <c r="P4" s="121">
        <v>174</v>
      </c>
      <c r="Q4" s="105">
        <v>7000</v>
      </c>
    </row>
    <row r="5" spans="1:17" x14ac:dyDescent="0.4">
      <c r="A5" s="55" t="s">
        <v>7</v>
      </c>
      <c r="B5" s="154">
        <f>IF(B$2=0,0,B$4/B$2)</f>
        <v>9.1095222533346175E-17</v>
      </c>
      <c r="C5" s="155"/>
      <c r="E5" s="63" t="s">
        <v>184</v>
      </c>
      <c r="F5" s="60" t="s">
        <v>185</v>
      </c>
      <c r="G5" s="47">
        <v>183</v>
      </c>
      <c r="H5" s="135">
        <f>IF(B$17=0,0,G5/B$17)</f>
        <v>0.375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0"/>
        <v>-6.1728395061728394</v>
      </c>
      <c r="P5" s="121">
        <v>162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70</v>
      </c>
      <c r="F6" s="60" t="s">
        <v>12</v>
      </c>
      <c r="G6" s="47">
        <v>138</v>
      </c>
      <c r="H6" s="135">
        <f>IF(B$17=0,0,G6/B$17)</f>
        <v>0.28278688524590162</v>
      </c>
      <c r="I6" s="96">
        <v>4</v>
      </c>
      <c r="K6" s="38">
        <v>4</v>
      </c>
      <c r="L6" s="101">
        <v>2.2000000000000002</v>
      </c>
      <c r="N6" s="117" t="s">
        <v>138</v>
      </c>
      <c r="O6" s="124">
        <f t="shared" si="0"/>
        <v>-32.679738562091501</v>
      </c>
      <c r="P6" s="121">
        <v>153</v>
      </c>
      <c r="Q6" s="105">
        <v>-5000</v>
      </c>
    </row>
    <row r="7" spans="1:17" x14ac:dyDescent="0.4">
      <c r="A7" s="55" t="s">
        <v>2</v>
      </c>
      <c r="B7" s="47">
        <v>65</v>
      </c>
      <c r="C7" s="39">
        <f>IF(B$2=0,0,B7/B$2)</f>
        <v>0.33333333333333331</v>
      </c>
      <c r="E7" s="63" t="s">
        <v>69</v>
      </c>
      <c r="F7" s="60" t="s">
        <v>24</v>
      </c>
      <c r="G7" s="47">
        <v>134</v>
      </c>
      <c r="H7" s="135">
        <f>IF(B$17=0,0,G7/B$17)</f>
        <v>0.27459016393442626</v>
      </c>
      <c r="I7" s="96">
        <v>5</v>
      </c>
      <c r="K7" s="38">
        <v>5</v>
      </c>
      <c r="L7" s="101">
        <v>-37</v>
      </c>
      <c r="N7" s="118" t="s">
        <v>139</v>
      </c>
      <c r="O7" s="125">
        <f t="shared" si="0"/>
        <v>40.816326530612244</v>
      </c>
      <c r="P7" s="122">
        <v>147</v>
      </c>
      <c r="Q7" s="106">
        <v>6000</v>
      </c>
    </row>
    <row r="8" spans="1:17" x14ac:dyDescent="0.4">
      <c r="A8" s="55" t="s">
        <v>3</v>
      </c>
      <c r="B8" s="47">
        <v>65</v>
      </c>
      <c r="C8" s="39">
        <f>IF(B$2=0,0,B8/B$2)</f>
        <v>0.33333333333333331</v>
      </c>
      <c r="E8" s="63" t="s">
        <v>71</v>
      </c>
      <c r="F8" s="60" t="s">
        <v>25</v>
      </c>
      <c r="G8" s="47">
        <v>90</v>
      </c>
      <c r="H8" s="135">
        <f>IF(B$17=0,0,G8/B$17)</f>
        <v>0.18442622950819673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65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68</v>
      </c>
      <c r="H9" s="135">
        <f>IF(B$17=0,0,G9/B$17)</f>
        <v>0.13934426229508196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17</v>
      </c>
      <c r="C10" s="40">
        <f>IF(B$2=0,0,B10/B$2)</f>
        <v>8.7179487179487175E-2</v>
      </c>
      <c r="E10" s="63" t="s">
        <v>72</v>
      </c>
      <c r="F10" s="60" t="s">
        <v>26</v>
      </c>
      <c r="G10" s="47">
        <v>54</v>
      </c>
      <c r="H10" s="135">
        <f>IF(B$17=0,0,G10/B$17)</f>
        <v>0.11065573770491803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-4.5769230769230766</v>
      </c>
      <c r="P10" s="120">
        <v>65</v>
      </c>
      <c r="Q10" s="108">
        <v>-297.5</v>
      </c>
    </row>
    <row r="11" spans="1:17" x14ac:dyDescent="0.4">
      <c r="A11" s="56" t="s">
        <v>142</v>
      </c>
      <c r="B11" s="48">
        <v>17</v>
      </c>
      <c r="C11" s="40">
        <f>IF(B$2=0,0,B11/B$2)</f>
        <v>8.7179487179487175E-2</v>
      </c>
      <c r="E11" s="63" t="s">
        <v>67</v>
      </c>
      <c r="F11" s="60" t="s">
        <v>22</v>
      </c>
      <c r="G11" s="47">
        <v>52</v>
      </c>
      <c r="H11" s="135">
        <f>IF(B$17=0,0,G11/B$17)</f>
        <v>0.10655737704918032</v>
      </c>
      <c r="I11" s="96">
        <v>6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-5.2292307692307709</v>
      </c>
      <c r="P11" s="121">
        <v>65</v>
      </c>
      <c r="Q11" s="109">
        <v>-339.90000000000009</v>
      </c>
    </row>
    <row r="12" spans="1:17" x14ac:dyDescent="0.4">
      <c r="A12" s="57" t="s">
        <v>162</v>
      </c>
      <c r="B12" s="49">
        <v>19</v>
      </c>
      <c r="C12" s="42">
        <f>IF(B$2=0,0,B12/B$2)</f>
        <v>9.7435897435897437E-2</v>
      </c>
      <c r="E12" s="63" t="s">
        <v>89</v>
      </c>
      <c r="F12" s="60" t="s">
        <v>43</v>
      </c>
      <c r="G12" s="47">
        <v>32</v>
      </c>
      <c r="H12" s="135">
        <f>IF(B$17=0,0,G12/B$17)</f>
        <v>6.5573770491803282E-2</v>
      </c>
      <c r="I12" s="96">
        <v>3</v>
      </c>
      <c r="K12" s="38">
        <v>10</v>
      </c>
      <c r="L12" s="101">
        <v>40.099999999999994</v>
      </c>
      <c r="N12" s="118" t="s">
        <v>169</v>
      </c>
      <c r="O12" s="128">
        <f>IF(P12=0,0,Q12/P12)</f>
        <v>9.8061538461538476</v>
      </c>
      <c r="P12" s="122">
        <v>65</v>
      </c>
      <c r="Q12" s="110">
        <v>637.40000000000009</v>
      </c>
    </row>
    <row r="13" spans="1:17" x14ac:dyDescent="0.4">
      <c r="A13" s="58" t="s">
        <v>124</v>
      </c>
      <c r="B13" s="50">
        <v>417</v>
      </c>
      <c r="C13" s="44">
        <f>IF(B$3=0,0,B13/B$3)</f>
        <v>0.25645756457564578</v>
      </c>
      <c r="E13" s="63" t="s">
        <v>73</v>
      </c>
      <c r="F13" s="60" t="s">
        <v>27</v>
      </c>
      <c r="G13" s="47">
        <v>29</v>
      </c>
      <c r="H13" s="135">
        <f>IF(B$17=0,0,G13/B$17)</f>
        <v>5.9426229508196718E-2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345</v>
      </c>
      <c r="C14" s="39">
        <f>IF(B$3=0,0,B14/B$3)</f>
        <v>0.21217712177121772</v>
      </c>
      <c r="E14" s="63" t="s">
        <v>86</v>
      </c>
      <c r="F14" s="60" t="s">
        <v>40</v>
      </c>
      <c r="G14" s="47">
        <v>21</v>
      </c>
      <c r="H14" s="135">
        <f>IF(B$17=0,0,G14/B$17)</f>
        <v>4.3032786885245901E-2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248</v>
      </c>
      <c r="C15" s="37">
        <f>IF(B$13=0,0,B15/B$13)</f>
        <v>0.59472422062350117</v>
      </c>
      <c r="E15" s="63" t="s">
        <v>84</v>
      </c>
      <c r="F15" s="60" t="s">
        <v>38</v>
      </c>
      <c r="G15" s="47">
        <v>13</v>
      </c>
      <c r="H15" s="135">
        <f>IF(B$17=0,0,G15/B$17)</f>
        <v>2.663934426229508E-2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133</v>
      </c>
      <c r="C16" s="37">
        <f>IF(B$14=0,0,B16/B$14)</f>
        <v>0.38550724637681161</v>
      </c>
      <c r="E16" s="63" t="s">
        <v>80</v>
      </c>
      <c r="F16" s="60" t="s">
        <v>34</v>
      </c>
      <c r="G16" s="47">
        <v>10</v>
      </c>
      <c r="H16" s="135">
        <f>IF(B$17=0,0,G16/B$17)</f>
        <v>2.0491803278688523E-2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44.96052631578948</v>
      </c>
      <c r="P16" s="121">
        <v>38</v>
      </c>
      <c r="Q16" s="109">
        <v>1708.5000000000002</v>
      </c>
    </row>
    <row r="17" spans="1:17" x14ac:dyDescent="0.4">
      <c r="A17" s="54" t="s">
        <v>10</v>
      </c>
      <c r="B17" s="46">
        <f>B19+B18</f>
        <v>488</v>
      </c>
      <c r="C17" s="37">
        <f>IF(B$3=0,0,B17/B$3)</f>
        <v>0.30012300123001229</v>
      </c>
      <c r="E17" s="63" t="s">
        <v>94</v>
      </c>
      <c r="F17" s="60" t="s">
        <v>48</v>
      </c>
      <c r="G17" s="47">
        <v>8</v>
      </c>
      <c r="H17" s="135">
        <f>IF(B$17=0,0,G17/B$17)</f>
        <v>1.6393442622950821E-2</v>
      </c>
      <c r="I17" s="96">
        <v>4</v>
      </c>
      <c r="K17" s="38">
        <v>15</v>
      </c>
      <c r="L17" s="101">
        <v>-1.0658141036401503E-14</v>
      </c>
      <c r="N17" s="117" t="s">
        <v>180</v>
      </c>
      <c r="O17" s="127">
        <f>IF(P17=0,0,Q17/P17)</f>
        <v>26.012500000000003</v>
      </c>
      <c r="P17" s="121">
        <v>24</v>
      </c>
      <c r="Q17" s="109">
        <v>624.30000000000007</v>
      </c>
    </row>
    <row r="18" spans="1:17" x14ac:dyDescent="0.4">
      <c r="A18" s="55" t="s">
        <v>12</v>
      </c>
      <c r="B18" s="47">
        <v>196</v>
      </c>
      <c r="C18" s="39">
        <f>IF(B$17=0,0,B18/B$17)</f>
        <v>0.40163934426229508</v>
      </c>
      <c r="E18" s="63" t="s">
        <v>77</v>
      </c>
      <c r="F18" s="60" t="s">
        <v>31</v>
      </c>
      <c r="G18" s="47">
        <v>5</v>
      </c>
      <c r="H18" s="135">
        <f>IF(B$17=0,0,G18/B$17)</f>
        <v>1.0245901639344262E-2</v>
      </c>
      <c r="I18" s="96">
        <v>3</v>
      </c>
      <c r="K18" s="38">
        <v>16</v>
      </c>
      <c r="L18" s="101">
        <v>90.899999999999991</v>
      </c>
      <c r="N18" s="117" t="s">
        <v>176</v>
      </c>
      <c r="O18" s="127">
        <f>IF(P18=0,0,Q18/P18)</f>
        <v>21.961764705882356</v>
      </c>
      <c r="P18" s="121">
        <v>34</v>
      </c>
      <c r="Q18" s="109">
        <v>746.7</v>
      </c>
    </row>
    <row r="19" spans="1:17" x14ac:dyDescent="0.4">
      <c r="A19" s="55" t="s">
        <v>11</v>
      </c>
      <c r="B19" s="47">
        <v>292</v>
      </c>
      <c r="C19" s="39">
        <f>IF(B$17=0,0,B19/B$17)</f>
        <v>0.59836065573770492</v>
      </c>
      <c r="E19" s="63" t="s">
        <v>81</v>
      </c>
      <c r="F19" s="60" t="s">
        <v>35</v>
      </c>
      <c r="G19" s="47">
        <v>5</v>
      </c>
      <c r="H19" s="135">
        <f>IF(B$17=0,0,G19/B$17)</f>
        <v>1.0245901639344262E-2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6.3000000000000016</v>
      </c>
      <c r="P19" s="121">
        <v>58</v>
      </c>
      <c r="Q19" s="109">
        <v>365.40000000000009</v>
      </c>
    </row>
    <row r="20" spans="1:17" x14ac:dyDescent="0.4">
      <c r="A20" s="55" t="s">
        <v>13</v>
      </c>
      <c r="B20" s="47">
        <v>288</v>
      </c>
      <c r="C20" s="39">
        <f>IF(B$3=0,0,B20/B$3)</f>
        <v>0.17712177121771217</v>
      </c>
      <c r="E20" s="63" t="s">
        <v>183</v>
      </c>
      <c r="F20" s="60" t="s">
        <v>186</v>
      </c>
      <c r="G20" s="47">
        <v>4</v>
      </c>
      <c r="H20" s="135">
        <f>IF(B$17=0,0,G20/B$17)</f>
        <v>8.1967213114754103E-3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-3.2250000000000023</v>
      </c>
      <c r="P20" s="121">
        <v>40</v>
      </c>
      <c r="Q20" s="109">
        <v>-129.00000000000009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75</v>
      </c>
      <c r="F21" s="60" t="s">
        <v>29</v>
      </c>
      <c r="G21" s="47">
        <v>3</v>
      </c>
      <c r="H21" s="135">
        <f>IF(B$17=0,0,G21/B$17)</f>
        <v>6.1475409836065573E-3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-3.7166666666666686</v>
      </c>
      <c r="P21" s="121">
        <v>90</v>
      </c>
      <c r="Q21" s="109">
        <v>-334.50000000000017</v>
      </c>
    </row>
    <row r="22" spans="1:17" x14ac:dyDescent="0.4">
      <c r="A22" s="55" t="s">
        <v>197</v>
      </c>
      <c r="B22" s="47">
        <v>31</v>
      </c>
      <c r="C22" s="137">
        <v>6</v>
      </c>
      <c r="E22" s="63" t="s">
        <v>76</v>
      </c>
      <c r="F22" s="60" t="s">
        <v>30</v>
      </c>
      <c r="G22" s="47">
        <v>2</v>
      </c>
      <c r="H22" s="135">
        <f>IF(B$17=0,0,G22/B$17)</f>
        <v>4.0983606557377051E-3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8204.7131147540986</v>
      </c>
      <c r="C23" s="41">
        <v>4003900</v>
      </c>
      <c r="E23" s="63" t="s">
        <v>95</v>
      </c>
      <c r="F23" s="60" t="s">
        <v>49</v>
      </c>
      <c r="G23" s="47">
        <v>2</v>
      </c>
      <c r="H23" s="135">
        <f>IF(B$17=0,0,G23/B$17)</f>
        <v>4.0983606557377051E-3</v>
      </c>
      <c r="I23" s="96">
        <v>3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-40.151162790697676</v>
      </c>
      <c r="P23" s="121">
        <v>86</v>
      </c>
      <c r="Q23" s="109">
        <v>-3453</v>
      </c>
    </row>
    <row r="24" spans="1:17" x14ac:dyDescent="0.4">
      <c r="A24" s="57" t="s">
        <v>14</v>
      </c>
      <c r="B24" s="52">
        <f>IF(B$20=0,0,C24/B$20)</f>
        <v>-7851.7361111111113</v>
      </c>
      <c r="C24" s="45">
        <v>-2261300</v>
      </c>
      <c r="E24" s="63" t="s">
        <v>79</v>
      </c>
      <c r="F24" s="60" t="s">
        <v>33</v>
      </c>
      <c r="G24" s="47">
        <v>1</v>
      </c>
      <c r="H24" s="135">
        <f>IF(B$17=0,0,G24/B$17)</f>
        <v>2.0491803278688526E-3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87</v>
      </c>
      <c r="F25" s="60" t="s">
        <v>41</v>
      </c>
      <c r="G25" s="47">
        <v>1</v>
      </c>
      <c r="H25" s="135">
        <f>IF(B$17=0,0,G25/B$17)</f>
        <v>2.0491803278688526E-3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88</v>
      </c>
      <c r="F26" s="60" t="s">
        <v>42</v>
      </c>
      <c r="G26" s="47">
        <v>1</v>
      </c>
      <c r="H26" s="135">
        <f>IF(B$17=0,0,G26/B$17)</f>
        <v>2.0491803278688526E-3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4.3050430504305041E-3</v>
      </c>
      <c r="E27" s="63" t="s">
        <v>90</v>
      </c>
      <c r="F27" s="60" t="s">
        <v>44</v>
      </c>
      <c r="G27" s="47">
        <v>1</v>
      </c>
      <c r="H27" s="135">
        <f>IF(B$17=0,0,G27/B$17)</f>
        <v>2.0491803278688526E-3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91</v>
      </c>
      <c r="F28" s="60" t="s">
        <v>45</v>
      </c>
      <c r="G28" s="47">
        <v>1</v>
      </c>
      <c r="H28" s="135">
        <f>IF(B$17=0,0,G28/B$17)</f>
        <v>2.0491803278688526E-3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93</v>
      </c>
      <c r="F29" s="60" t="s">
        <v>47</v>
      </c>
      <c r="G29" s="47">
        <v>1</v>
      </c>
      <c r="H29" s="135">
        <f>IF(B$17=0,0,G29/B$17)</f>
        <v>2.0491803278688526E-3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98</v>
      </c>
      <c r="F30" s="60" t="s">
        <v>52</v>
      </c>
      <c r="G30" s="47">
        <v>1</v>
      </c>
      <c r="H30" s="135">
        <f>IF(B$17=0,0,G30/B$17)</f>
        <v>2.0491803278688526E-3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78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82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37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85</v>
      </c>
      <c r="F34" s="60" t="s">
        <v>39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516A7-D8BF-4616-AF02-CC95F61A46F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43</v>
      </c>
      <c r="C2" s="149"/>
      <c r="E2" s="62" t="s">
        <v>68</v>
      </c>
      <c r="F2" s="59" t="s">
        <v>23</v>
      </c>
      <c r="G2" s="46">
        <v>122</v>
      </c>
      <c r="H2" s="134">
        <f>IF(B$17=0,0,G2/B$17)</f>
        <v>0.85314685314685312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5467.4418604651164</v>
      </c>
      <c r="P2" s="120">
        <v>43</v>
      </c>
      <c r="Q2" s="104">
        <v>235100</v>
      </c>
    </row>
    <row r="3" spans="1:17" x14ac:dyDescent="0.4">
      <c r="A3" s="55" t="s">
        <v>8</v>
      </c>
      <c r="B3" s="150">
        <v>341</v>
      </c>
      <c r="C3" s="151"/>
      <c r="E3" s="63" t="s">
        <v>74</v>
      </c>
      <c r="F3" s="60" t="s">
        <v>28</v>
      </c>
      <c r="G3" s="47">
        <v>80</v>
      </c>
      <c r="H3" s="135">
        <f>IF(B$17=0,0,G3/B$17)</f>
        <v>0.55944055944055948</v>
      </c>
      <c r="I3" s="96">
        <v>4</v>
      </c>
      <c r="K3" s="38">
        <v>1</v>
      </c>
      <c r="L3" s="101">
        <v>-5.0999999999999996</v>
      </c>
      <c r="N3" s="117" t="s">
        <v>135</v>
      </c>
      <c r="O3" s="124">
        <f t="shared" si="0"/>
        <v>4097.6190476190477</v>
      </c>
      <c r="P3" s="121">
        <v>42</v>
      </c>
      <c r="Q3" s="105">
        <v>172100</v>
      </c>
    </row>
    <row r="4" spans="1:17" x14ac:dyDescent="0.4">
      <c r="A4" s="55" t="s">
        <v>6</v>
      </c>
      <c r="B4" s="152">
        <v>1151</v>
      </c>
      <c r="C4" s="153"/>
      <c r="E4" s="63" t="s">
        <v>66</v>
      </c>
      <c r="F4" s="60" t="s">
        <v>21</v>
      </c>
      <c r="G4" s="47">
        <v>72</v>
      </c>
      <c r="H4" s="135">
        <f>IF(B$17=0,0,G4/B$17)</f>
        <v>0.50349650349650354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2063.1578947368421</v>
      </c>
      <c r="P4" s="121">
        <v>38</v>
      </c>
      <c r="Q4" s="105">
        <v>78400</v>
      </c>
    </row>
    <row r="5" spans="1:17" x14ac:dyDescent="0.4">
      <c r="A5" s="55" t="s">
        <v>7</v>
      </c>
      <c r="B5" s="154">
        <f>IF(B$2=0,0,B$4/B$2)</f>
        <v>26.767441860465116</v>
      </c>
      <c r="C5" s="155"/>
      <c r="E5" s="63" t="s">
        <v>184</v>
      </c>
      <c r="F5" s="60" t="s">
        <v>185</v>
      </c>
      <c r="G5" s="47">
        <v>62</v>
      </c>
      <c r="H5" s="135">
        <f>IF(B$17=0,0,G5/B$17)</f>
        <v>0.43356643356643354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4328.5714285714284</v>
      </c>
      <c r="P5" s="121">
        <v>35</v>
      </c>
      <c r="Q5" s="105">
        <v>151500</v>
      </c>
    </row>
    <row r="6" spans="1:17" x14ac:dyDescent="0.4">
      <c r="A6" s="55" t="s">
        <v>1</v>
      </c>
      <c r="B6" s="144">
        <f>IF(B$2=0,0,(B$7*1+B$8*2+B$9*3)/B$2)</f>
        <v>1.4883720930232558</v>
      </c>
      <c r="C6" s="145"/>
      <c r="E6" s="63" t="s">
        <v>69</v>
      </c>
      <c r="F6" s="60" t="s">
        <v>24</v>
      </c>
      <c r="G6" s="47">
        <v>48</v>
      </c>
      <c r="H6" s="135">
        <f>IF(B$17=0,0,G6/B$17)</f>
        <v>0.33566433566433568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1934.375</v>
      </c>
      <c r="P6" s="121">
        <v>32</v>
      </c>
      <c r="Q6" s="105">
        <v>61900</v>
      </c>
    </row>
    <row r="7" spans="1:17" x14ac:dyDescent="0.4">
      <c r="A7" s="55" t="s">
        <v>2</v>
      </c>
      <c r="B7" s="47">
        <v>28</v>
      </c>
      <c r="C7" s="39">
        <f>IF(B$2=0,0,B7/B$2)</f>
        <v>0.65116279069767447</v>
      </c>
      <c r="E7" s="63" t="s">
        <v>70</v>
      </c>
      <c r="F7" s="60" t="s">
        <v>12</v>
      </c>
      <c r="G7" s="47">
        <v>35</v>
      </c>
      <c r="H7" s="135">
        <f>IF(B$17=0,0,G7/B$17)</f>
        <v>0.24475524475524477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9</v>
      </c>
      <c r="C8" s="39">
        <f>IF(B$2=0,0,B8/B$2)</f>
        <v>0.20930232558139536</v>
      </c>
      <c r="E8" s="63" t="s">
        <v>71</v>
      </c>
      <c r="F8" s="60" t="s">
        <v>25</v>
      </c>
      <c r="G8" s="47">
        <v>26</v>
      </c>
      <c r="H8" s="135">
        <f>IF(B$17=0,0,G8/B$17)</f>
        <v>0.18181818181818182</v>
      </c>
      <c r="I8" s="96">
        <v>7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0.13953488372093023</v>
      </c>
      <c r="E9" s="63" t="s">
        <v>92</v>
      </c>
      <c r="F9" s="60" t="s">
        <v>46</v>
      </c>
      <c r="G9" s="47">
        <v>25</v>
      </c>
      <c r="H9" s="135">
        <f>IF(B$17=0,0,G9/B$17)</f>
        <v>0.17482517482517482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2.3255813953488372E-2</v>
      </c>
      <c r="E10" s="63" t="s">
        <v>67</v>
      </c>
      <c r="F10" s="60" t="s">
        <v>22</v>
      </c>
      <c r="G10" s="47">
        <v>20</v>
      </c>
      <c r="H10" s="135">
        <f>IF(B$17=0,0,G10/B$17)</f>
        <v>0.13986013986013987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18.299999999999997</v>
      </c>
      <c r="P10" s="120">
        <v>13</v>
      </c>
      <c r="Q10" s="108">
        <v>237.89999999999998</v>
      </c>
    </row>
    <row r="11" spans="1:17" x14ac:dyDescent="0.4">
      <c r="A11" s="56" t="s">
        <v>142</v>
      </c>
      <c r="B11" s="48">
        <v>9</v>
      </c>
      <c r="C11" s="40">
        <f>IF(B$2=0,0,B11/B$2)</f>
        <v>0.20930232558139536</v>
      </c>
      <c r="E11" s="63" t="s">
        <v>89</v>
      </c>
      <c r="F11" s="60" t="s">
        <v>43</v>
      </c>
      <c r="G11" s="47">
        <v>14</v>
      </c>
      <c r="H11" s="135">
        <f>IF(B$17=0,0,G11/B$17)</f>
        <v>9.7902097902097904E-2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8</v>
      </c>
      <c r="C12" s="42">
        <f>IF(B$2=0,0,B12/B$2)</f>
        <v>0.18604651162790697</v>
      </c>
      <c r="E12" s="63" t="s">
        <v>72</v>
      </c>
      <c r="F12" s="60" t="s">
        <v>26</v>
      </c>
      <c r="G12" s="47">
        <v>10</v>
      </c>
      <c r="H12" s="135">
        <f>IF(B$17=0,0,G12/B$17)</f>
        <v>6.9930069930069935E-2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39.847058823529416</v>
      </c>
      <c r="P12" s="122">
        <v>17</v>
      </c>
      <c r="Q12" s="110">
        <v>677.40000000000009</v>
      </c>
    </row>
    <row r="13" spans="1:17" x14ac:dyDescent="0.4">
      <c r="A13" s="58" t="s">
        <v>124</v>
      </c>
      <c r="B13" s="50">
        <v>115</v>
      </c>
      <c r="C13" s="44">
        <f>IF(B$3=0,0,B13/B$3)</f>
        <v>0.33724340175953077</v>
      </c>
      <c r="E13" s="63" t="s">
        <v>73</v>
      </c>
      <c r="F13" s="60" t="s">
        <v>27</v>
      </c>
      <c r="G13" s="47">
        <v>10</v>
      </c>
      <c r="H13" s="135">
        <f>IF(B$17=0,0,G13/B$17)</f>
        <v>6.9930069930069935E-2</v>
      </c>
      <c r="I13" s="96">
        <v>4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82</v>
      </c>
      <c r="C14" s="39">
        <f>IF(B$3=0,0,B14/B$3)</f>
        <v>0.2404692082111437</v>
      </c>
      <c r="E14" s="63" t="s">
        <v>86</v>
      </c>
      <c r="F14" s="60" t="s">
        <v>40</v>
      </c>
      <c r="G14" s="47">
        <v>8</v>
      </c>
      <c r="H14" s="135">
        <f>IF(B$17=0,0,G14/B$17)</f>
        <v>5.5944055944055944E-2</v>
      </c>
      <c r="I14" s="96">
        <v>3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73</v>
      </c>
      <c r="C15" s="37">
        <f>IF(B$13=0,0,B15/B$13)</f>
        <v>0.63478260869565217</v>
      </c>
      <c r="E15" s="63" t="s">
        <v>84</v>
      </c>
      <c r="F15" s="60" t="s">
        <v>38</v>
      </c>
      <c r="G15" s="47">
        <v>4</v>
      </c>
      <c r="H15" s="135">
        <f>IF(B$17=0,0,G15/B$17)</f>
        <v>2.7972027972027972E-2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127</v>
      </c>
      <c r="B16" s="46">
        <v>46</v>
      </c>
      <c r="C16" s="37">
        <f>IF(B$14=0,0,B16/B$14)</f>
        <v>0.56097560975609762</v>
      </c>
      <c r="E16" s="63" t="s">
        <v>80</v>
      </c>
      <c r="F16" s="60" t="s">
        <v>34</v>
      </c>
      <c r="G16" s="47">
        <v>3</v>
      </c>
      <c r="H16" s="135">
        <f>IF(B$17=0,0,G16/B$17)</f>
        <v>2.097902097902098E-2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0.41935483870967744</v>
      </c>
      <c r="E17" s="63" t="s">
        <v>75</v>
      </c>
      <c r="F17" s="60" t="s">
        <v>29</v>
      </c>
      <c r="G17" s="47">
        <v>2</v>
      </c>
      <c r="H17" s="135">
        <f>IF(B$17=0,0,G17/B$17)</f>
        <v>1.3986013986013986E-2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58</v>
      </c>
      <c r="C18" s="39">
        <f>IF(B$17=0,0,B18/B$17)</f>
        <v>0.40559440559440557</v>
      </c>
      <c r="E18" s="63" t="s">
        <v>94</v>
      </c>
      <c r="F18" s="60" t="s">
        <v>48</v>
      </c>
      <c r="G18" s="47">
        <v>2</v>
      </c>
      <c r="H18" s="135">
        <f>IF(B$17=0,0,G18/B$17)</f>
        <v>1.3986013986013986E-2</v>
      </c>
      <c r="I18" s="96">
        <v>5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85</v>
      </c>
      <c r="C19" s="39">
        <f>IF(B$17=0,0,B19/B$17)</f>
        <v>0.59440559440559437</v>
      </c>
      <c r="E19" s="63" t="s">
        <v>77</v>
      </c>
      <c r="F19" s="60" t="s">
        <v>31</v>
      </c>
      <c r="G19" s="47">
        <v>1</v>
      </c>
      <c r="H19" s="135">
        <f>IF(B$17=0,0,G19/B$17)</f>
        <v>6.993006993006993E-3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50</v>
      </c>
      <c r="C20" s="39">
        <f>IF(B$3=0,0,B20/B$3)</f>
        <v>0.1466275659824047</v>
      </c>
      <c r="E20" s="63" t="s">
        <v>79</v>
      </c>
      <c r="F20" s="60" t="s">
        <v>33</v>
      </c>
      <c r="G20" s="47">
        <v>1</v>
      </c>
      <c r="H20" s="135">
        <f>IF(B$17=0,0,G20/B$17)</f>
        <v>6.993006993006993E-3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90</v>
      </c>
      <c r="F21" s="60" t="s">
        <v>44</v>
      </c>
      <c r="G21" s="47">
        <v>1</v>
      </c>
      <c r="H21" s="135">
        <f>IF(B$17=0,0,G21/B$17)</f>
        <v>6.993006993006993E-3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35.777777777777771</v>
      </c>
      <c r="P21" s="121">
        <v>18</v>
      </c>
      <c r="Q21" s="109">
        <v>643.99999999999989</v>
      </c>
    </row>
    <row r="22" spans="1:17" x14ac:dyDescent="0.4">
      <c r="A22" s="55" t="s">
        <v>197</v>
      </c>
      <c r="B22" s="47">
        <v>27</v>
      </c>
      <c r="C22" s="137">
        <v>10</v>
      </c>
      <c r="E22" s="63" t="s">
        <v>93</v>
      </c>
      <c r="F22" s="60" t="s">
        <v>47</v>
      </c>
      <c r="G22" s="47">
        <v>1</v>
      </c>
      <c r="H22" s="135">
        <f>IF(B$17=0,0,G22/B$17)</f>
        <v>6.993006993006993E-3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22.465625000000003</v>
      </c>
      <c r="P22" s="121">
        <v>32</v>
      </c>
      <c r="Q22" s="109">
        <v>718.90000000000009</v>
      </c>
    </row>
    <row r="23" spans="1:17" x14ac:dyDescent="0.4">
      <c r="A23" s="55" t="s">
        <v>5</v>
      </c>
      <c r="B23" s="51">
        <f>IF(B$17=0,0,C23/B$17)</f>
        <v>9323.0769230769238</v>
      </c>
      <c r="C23" s="41">
        <v>1333200</v>
      </c>
      <c r="E23" s="63" t="s">
        <v>98</v>
      </c>
      <c r="F23" s="60" t="s">
        <v>52</v>
      </c>
      <c r="G23" s="47">
        <v>1</v>
      </c>
      <c r="H23" s="135">
        <f>IF(B$17=0,0,G23/B$17)</f>
        <v>6.993006993006993E-3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-7844</v>
      </c>
      <c r="C24" s="45">
        <v>-392200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D342-5E8F-4E0E-959A-2BAD6372A5D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45</v>
      </c>
      <c r="C2" s="149"/>
      <c r="E2" s="62" t="s">
        <v>68</v>
      </c>
      <c r="F2" s="59" t="s">
        <v>23</v>
      </c>
      <c r="G2" s="46">
        <v>75</v>
      </c>
      <c r="H2" s="134">
        <f>IF(B$17=0,0,G2/B$17)</f>
        <v>0.65789473684210531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491.11111111111109</v>
      </c>
      <c r="P2" s="120">
        <v>45</v>
      </c>
      <c r="Q2" s="104">
        <v>22100</v>
      </c>
    </row>
    <row r="3" spans="1:17" x14ac:dyDescent="0.4">
      <c r="A3" s="55" t="s">
        <v>8</v>
      </c>
      <c r="B3" s="150">
        <v>384</v>
      </c>
      <c r="C3" s="151"/>
      <c r="E3" s="63" t="s">
        <v>66</v>
      </c>
      <c r="F3" s="60" t="s">
        <v>21</v>
      </c>
      <c r="G3" s="47">
        <v>67</v>
      </c>
      <c r="H3" s="135">
        <f>IF(B$17=0,0,G3/B$17)</f>
        <v>0.58771929824561409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-1304.5454545454545</v>
      </c>
      <c r="P3" s="121">
        <v>44</v>
      </c>
      <c r="Q3" s="105">
        <v>-57400</v>
      </c>
    </row>
    <row r="4" spans="1:17" x14ac:dyDescent="0.4">
      <c r="A4" s="55" t="s">
        <v>6</v>
      </c>
      <c r="B4" s="152">
        <v>111.49999999999996</v>
      </c>
      <c r="C4" s="153"/>
      <c r="E4" s="63" t="s">
        <v>74</v>
      </c>
      <c r="F4" s="60" t="s">
        <v>28</v>
      </c>
      <c r="G4" s="47">
        <v>49</v>
      </c>
      <c r="H4" s="135">
        <f>IF(B$17=0,0,G4/B$17)</f>
        <v>0.42982456140350878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771.42857142857144</v>
      </c>
      <c r="P4" s="121">
        <v>42</v>
      </c>
      <c r="Q4" s="105">
        <v>32400</v>
      </c>
    </row>
    <row r="5" spans="1:17" x14ac:dyDescent="0.4">
      <c r="A5" s="55" t="s">
        <v>7</v>
      </c>
      <c r="B5" s="154">
        <f>IF(B$2=0,0,B$4/B$2)</f>
        <v>2.477777777777777</v>
      </c>
      <c r="C5" s="155"/>
      <c r="E5" s="63" t="s">
        <v>184</v>
      </c>
      <c r="F5" s="60" t="s">
        <v>185</v>
      </c>
      <c r="G5" s="47">
        <v>45</v>
      </c>
      <c r="H5" s="135">
        <f>IF(B$17=0,0,G5/B$17)</f>
        <v>0.39473684210526316</v>
      </c>
      <c r="I5" s="96">
        <v>4</v>
      </c>
      <c r="K5" s="38">
        <v>3</v>
      </c>
      <c r="L5" s="101">
        <v>-47.300000000000004</v>
      </c>
      <c r="N5" s="117" t="s">
        <v>137</v>
      </c>
      <c r="O5" s="124">
        <f t="shared" si="0"/>
        <v>507.69230769230768</v>
      </c>
      <c r="P5" s="121">
        <v>39</v>
      </c>
      <c r="Q5" s="105">
        <v>19800</v>
      </c>
    </row>
    <row r="6" spans="1:17" x14ac:dyDescent="0.4">
      <c r="A6" s="55" t="s">
        <v>1</v>
      </c>
      <c r="B6" s="144">
        <f>IF(B$2=0,0,(B$7*1+B$8*2+B$9*3)/B$2)</f>
        <v>1.9777777777777779</v>
      </c>
      <c r="C6" s="145"/>
      <c r="E6" s="63" t="s">
        <v>70</v>
      </c>
      <c r="F6" s="60" t="s">
        <v>12</v>
      </c>
      <c r="G6" s="47">
        <v>42</v>
      </c>
      <c r="H6" s="135">
        <f>IF(B$17=0,0,G6/B$17)</f>
        <v>0.36842105263157893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1513.5135135135135</v>
      </c>
      <c r="P6" s="121">
        <v>37</v>
      </c>
      <c r="Q6" s="105">
        <v>56000</v>
      </c>
    </row>
    <row r="7" spans="1:17" x14ac:dyDescent="0.4">
      <c r="A7" s="55" t="s">
        <v>2</v>
      </c>
      <c r="B7" s="47">
        <v>13</v>
      </c>
      <c r="C7" s="39">
        <f>IF(B$2=0,0,B7/B$2)</f>
        <v>0.28888888888888886</v>
      </c>
      <c r="E7" s="63" t="s">
        <v>69</v>
      </c>
      <c r="F7" s="60" t="s">
        <v>24</v>
      </c>
      <c r="G7" s="47">
        <v>40</v>
      </c>
      <c r="H7" s="135">
        <f>IF(B$17=0,0,G7/B$17)</f>
        <v>0.35087719298245612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516.66666666666663</v>
      </c>
      <c r="P7" s="122">
        <v>36</v>
      </c>
      <c r="Q7" s="106">
        <v>18600</v>
      </c>
    </row>
    <row r="8" spans="1:17" x14ac:dyDescent="0.4">
      <c r="A8" s="55" t="s">
        <v>3</v>
      </c>
      <c r="B8" s="47">
        <v>20</v>
      </c>
      <c r="C8" s="39">
        <f>IF(B$2=0,0,B8/B$2)</f>
        <v>0.44444444444444442</v>
      </c>
      <c r="E8" s="63" t="s">
        <v>71</v>
      </c>
      <c r="F8" s="60" t="s">
        <v>25</v>
      </c>
      <c r="G8" s="47">
        <v>25</v>
      </c>
      <c r="H8" s="135">
        <f>IF(B$17=0,0,G8/B$17)</f>
        <v>0.21929824561403508</v>
      </c>
      <c r="I8" s="96">
        <v>2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0.26666666666666666</v>
      </c>
      <c r="E9" s="63" t="s">
        <v>72</v>
      </c>
      <c r="F9" s="60" t="s">
        <v>26</v>
      </c>
      <c r="G9" s="47">
        <v>18</v>
      </c>
      <c r="H9" s="135">
        <f>IF(B$17=0,0,G9/B$17)</f>
        <v>0.15789473684210525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8.8888888888888892E-2</v>
      </c>
      <c r="E10" s="63" t="s">
        <v>67</v>
      </c>
      <c r="F10" s="60" t="s">
        <v>22</v>
      </c>
      <c r="G10" s="47">
        <v>14</v>
      </c>
      <c r="H10" s="135">
        <f>IF(B$17=0,0,G10/B$17)</f>
        <v>0.12280701754385964</v>
      </c>
      <c r="I10" s="96">
        <v>3</v>
      </c>
      <c r="K10" s="38">
        <v>8</v>
      </c>
      <c r="L10" s="101">
        <v>-49.6</v>
      </c>
      <c r="N10" s="116" t="s">
        <v>167</v>
      </c>
      <c r="O10" s="126">
        <f>IF(P10=0,0,Q10/P10)</f>
        <v>3.2434782608695629</v>
      </c>
      <c r="P10" s="120">
        <v>23</v>
      </c>
      <c r="Q10" s="108">
        <v>74.599999999999952</v>
      </c>
    </row>
    <row r="11" spans="1:17" x14ac:dyDescent="0.4">
      <c r="A11" s="56" t="s">
        <v>142</v>
      </c>
      <c r="B11" s="48">
        <v>3</v>
      </c>
      <c r="C11" s="40">
        <f>IF(B$2=0,0,B11/B$2)</f>
        <v>6.6666666666666666E-2</v>
      </c>
      <c r="E11" s="63" t="s">
        <v>92</v>
      </c>
      <c r="F11" s="60" t="s">
        <v>46</v>
      </c>
      <c r="G11" s="47">
        <v>10</v>
      </c>
      <c r="H11" s="135">
        <f>IF(B$17=0,0,G11/B$17)</f>
        <v>8.771929824561403E-2</v>
      </c>
      <c r="I11" s="96">
        <v>9</v>
      </c>
      <c r="K11" s="38">
        <v>9</v>
      </c>
      <c r="L11" s="101">
        <v>-79.5</v>
      </c>
      <c r="N11" s="117" t="s">
        <v>168</v>
      </c>
      <c r="O11" s="127">
        <f>IF(P11=0,0,Q11/P11)</f>
        <v>-4.0846153846153834</v>
      </c>
      <c r="P11" s="121">
        <v>13</v>
      </c>
      <c r="Q11" s="109">
        <v>-53.099999999999987</v>
      </c>
    </row>
    <row r="12" spans="1:17" x14ac:dyDescent="0.4">
      <c r="A12" s="57" t="s">
        <v>162</v>
      </c>
      <c r="B12" s="49">
        <v>4</v>
      </c>
      <c r="C12" s="42">
        <f>IF(B$2=0,0,B12/B$2)</f>
        <v>8.8888888888888892E-2</v>
      </c>
      <c r="E12" s="63" t="s">
        <v>89</v>
      </c>
      <c r="F12" s="60" t="s">
        <v>43</v>
      </c>
      <c r="G12" s="47">
        <v>7</v>
      </c>
      <c r="H12" s="135">
        <f>IF(B$17=0,0,G12/B$17)</f>
        <v>6.1403508771929821E-2</v>
      </c>
      <c r="I12" s="96">
        <v>4</v>
      </c>
      <c r="K12" s="38">
        <v>10</v>
      </c>
      <c r="L12" s="101">
        <v>-80.900000000000006</v>
      </c>
      <c r="N12" s="118" t="s">
        <v>169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124</v>
      </c>
      <c r="B13" s="50">
        <v>110</v>
      </c>
      <c r="C13" s="44">
        <f>IF(B$3=0,0,B13/B$3)</f>
        <v>0.28645833333333331</v>
      </c>
      <c r="E13" s="63" t="s">
        <v>73</v>
      </c>
      <c r="F13" s="60" t="s">
        <v>27</v>
      </c>
      <c r="G13" s="47">
        <v>4</v>
      </c>
      <c r="H13" s="135">
        <f>IF(B$17=0,0,G13/B$17)</f>
        <v>3.5087719298245612E-2</v>
      </c>
      <c r="I13" s="96">
        <v>7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68</v>
      </c>
      <c r="C14" s="39">
        <f>IF(B$3=0,0,B14/B$3)</f>
        <v>0.17708333333333334</v>
      </c>
      <c r="E14" s="63" t="s">
        <v>84</v>
      </c>
      <c r="F14" s="60" t="s">
        <v>38</v>
      </c>
      <c r="G14" s="47">
        <v>4</v>
      </c>
      <c r="H14" s="135">
        <f>IF(B$17=0,0,G14/B$17)</f>
        <v>3.5087719298245612E-2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71</v>
      </c>
      <c r="C15" s="37">
        <f>IF(B$13=0,0,B15/B$13)</f>
        <v>0.6454545454545455</v>
      </c>
      <c r="E15" s="63" t="s">
        <v>94</v>
      </c>
      <c r="F15" s="60" t="s">
        <v>48</v>
      </c>
      <c r="G15" s="47">
        <v>4</v>
      </c>
      <c r="H15" s="135">
        <f>IF(B$17=0,0,G15/B$17)</f>
        <v>3.5087719298245612E-2</v>
      </c>
      <c r="I15" s="96">
        <v>2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17</v>
      </c>
      <c r="C16" s="37">
        <f>IF(B$14=0,0,B16/B$14)</f>
        <v>0.25</v>
      </c>
      <c r="E16" s="63" t="s">
        <v>183</v>
      </c>
      <c r="F16" s="60" t="s">
        <v>186</v>
      </c>
      <c r="G16" s="47">
        <v>3</v>
      </c>
      <c r="H16" s="135">
        <f>IF(B$17=0,0,G16/B$17)</f>
        <v>2.6315789473684209E-2</v>
      </c>
      <c r="I16" s="96">
        <v>1</v>
      </c>
      <c r="K16" s="38">
        <v>14</v>
      </c>
      <c r="L16" s="101">
        <v>-25.600000000000009</v>
      </c>
      <c r="N16" s="117" t="s">
        <v>174</v>
      </c>
      <c r="O16" s="127">
        <f>IF(P16=0,0,Q16/P16)</f>
        <v>31.406666666666677</v>
      </c>
      <c r="P16" s="121">
        <v>15</v>
      </c>
      <c r="Q16" s="109">
        <v>471.10000000000014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0.296875</v>
      </c>
      <c r="E17" s="63" t="s">
        <v>76</v>
      </c>
      <c r="F17" s="60" t="s">
        <v>30</v>
      </c>
      <c r="G17" s="47">
        <v>2</v>
      </c>
      <c r="H17" s="135">
        <f>IF(B$17=0,0,G17/B$17)</f>
        <v>1.7543859649122806E-2</v>
      </c>
      <c r="I17" s="96">
        <v>1</v>
      </c>
      <c r="K17" s="38">
        <v>15</v>
      </c>
      <c r="L17" s="101">
        <v>47.999999999999986</v>
      </c>
      <c r="N17" s="117" t="s">
        <v>131</v>
      </c>
      <c r="O17" s="127">
        <f>IF(P17=0,0,Q17/P17)</f>
        <v>21.899999999999995</v>
      </c>
      <c r="P17" s="121">
        <v>12</v>
      </c>
      <c r="Q17" s="109">
        <v>262.79999999999995</v>
      </c>
    </row>
    <row r="18" spans="1:17" x14ac:dyDescent="0.4">
      <c r="A18" s="55" t="s">
        <v>12</v>
      </c>
      <c r="B18" s="47">
        <v>46</v>
      </c>
      <c r="C18" s="39">
        <f>IF(B$17=0,0,B18/B$17)</f>
        <v>0.40350877192982454</v>
      </c>
      <c r="E18" s="63" t="s">
        <v>81</v>
      </c>
      <c r="F18" s="60" t="s">
        <v>35</v>
      </c>
      <c r="G18" s="47">
        <v>2</v>
      </c>
      <c r="H18" s="135">
        <f>IF(B$17=0,0,G18/B$17)</f>
        <v>1.7543859649122806E-2</v>
      </c>
      <c r="I18" s="96">
        <v>3</v>
      </c>
      <c r="K18" s="38">
        <v>16</v>
      </c>
      <c r="L18" s="101">
        <v>41.699999999999989</v>
      </c>
      <c r="N18" s="117" t="s">
        <v>176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68</v>
      </c>
      <c r="C19" s="39">
        <f>IF(B$17=0,0,B19/B$17)</f>
        <v>0.59649122807017541</v>
      </c>
      <c r="E19" s="63" t="s">
        <v>86</v>
      </c>
      <c r="F19" s="60" t="s">
        <v>40</v>
      </c>
      <c r="G19" s="47">
        <v>2</v>
      </c>
      <c r="H19" s="135">
        <f>IF(B$17=0,0,G19/B$17)</f>
        <v>1.7543859649122806E-2</v>
      </c>
      <c r="I19" s="96">
        <v>9</v>
      </c>
      <c r="K19" s="38">
        <v>17</v>
      </c>
      <c r="L19" s="101">
        <v>94.6</v>
      </c>
      <c r="N19" s="117" t="s">
        <v>180</v>
      </c>
      <c r="O19" s="127">
        <f>IF(P19=0,0,Q19/P19)</f>
        <v>9.1875</v>
      </c>
      <c r="P19" s="121">
        <v>8</v>
      </c>
      <c r="Q19" s="109">
        <v>73.5</v>
      </c>
    </row>
    <row r="20" spans="1:17" x14ac:dyDescent="0.4">
      <c r="A20" s="55" t="s">
        <v>13</v>
      </c>
      <c r="B20" s="47">
        <v>62</v>
      </c>
      <c r="C20" s="39">
        <f>IF(B$3=0,0,B20/B$3)</f>
        <v>0.16145833333333334</v>
      </c>
      <c r="E20" s="63" t="s">
        <v>75</v>
      </c>
      <c r="F20" s="60" t="s">
        <v>29</v>
      </c>
      <c r="G20" s="47">
        <v>1</v>
      </c>
      <c r="H20" s="135">
        <f>IF(B$17=0,0,G20/B$17)</f>
        <v>8.771929824561403E-3</v>
      </c>
      <c r="I20" s="96">
        <v>2</v>
      </c>
      <c r="K20" s="38">
        <v>18</v>
      </c>
      <c r="L20" s="101">
        <v>116.69999999999999</v>
      </c>
      <c r="N20" s="117" t="s">
        <v>175</v>
      </c>
      <c r="O20" s="127">
        <f>IF(P20=0,0,Q20/P20)</f>
        <v>-8.672727272727272</v>
      </c>
      <c r="P20" s="121">
        <v>11</v>
      </c>
      <c r="Q20" s="109">
        <v>-95.399999999999991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77</v>
      </c>
      <c r="F21" s="60" t="s">
        <v>31</v>
      </c>
      <c r="G21" s="47">
        <v>1</v>
      </c>
      <c r="H21" s="135">
        <f>IF(B$17=0,0,G21/B$17)</f>
        <v>8.771929824561403E-3</v>
      </c>
      <c r="I21" s="96">
        <v>4</v>
      </c>
      <c r="K21" s="38">
        <v>19</v>
      </c>
      <c r="L21" s="101">
        <v>138.79999999999998</v>
      </c>
      <c r="N21" s="117" t="s">
        <v>129</v>
      </c>
      <c r="O21" s="127">
        <f>IF(P21=0,0,Q21/P21)</f>
        <v>-22.465625000000003</v>
      </c>
      <c r="P21" s="121">
        <v>32</v>
      </c>
      <c r="Q21" s="109">
        <v>-718.90000000000009</v>
      </c>
    </row>
    <row r="22" spans="1:17" x14ac:dyDescent="0.4">
      <c r="A22" s="55" t="s">
        <v>197</v>
      </c>
      <c r="B22" s="47">
        <v>24</v>
      </c>
      <c r="C22" s="137">
        <v>3</v>
      </c>
      <c r="E22" s="63" t="s">
        <v>80</v>
      </c>
      <c r="F22" s="60" t="s">
        <v>34</v>
      </c>
      <c r="G22" s="47">
        <v>1</v>
      </c>
      <c r="H22" s="135">
        <f>IF(B$17=0,0,G22/B$17)</f>
        <v>8.771929824561403E-3</v>
      </c>
      <c r="I22" s="96">
        <v>6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8982.4561403508778</v>
      </c>
      <c r="C23" s="41">
        <v>1024000</v>
      </c>
      <c r="E23" s="63" t="s">
        <v>87</v>
      </c>
      <c r="F23" s="60" t="s">
        <v>41</v>
      </c>
      <c r="G23" s="47">
        <v>1</v>
      </c>
      <c r="H23" s="135">
        <f>IF(B$17=0,0,G23/B$17)</f>
        <v>8.771929824561403E-3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-7075.8064516129034</v>
      </c>
      <c r="C24" s="45">
        <v>-438700</v>
      </c>
      <c r="E24" s="63" t="s">
        <v>91</v>
      </c>
      <c r="F24" s="60" t="s">
        <v>45</v>
      </c>
      <c r="G24" s="47">
        <v>1</v>
      </c>
      <c r="H24" s="135">
        <f>IF(B$17=0,0,G24/B$17)</f>
        <v>8.771929824561403E-3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95</v>
      </c>
      <c r="F25" s="60" t="s">
        <v>49</v>
      </c>
      <c r="G25" s="47">
        <v>1</v>
      </c>
      <c r="H25" s="135">
        <f>IF(B$17=0,0,G25/B$17)</f>
        <v>8.771929824561403E-3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78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1.0416666666666666E-2</v>
      </c>
      <c r="E27" s="63" t="s">
        <v>79</v>
      </c>
      <c r="F27" s="60" t="s">
        <v>33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245.59999999999997</v>
      </c>
    </row>
    <row r="28" spans="1:17" x14ac:dyDescent="0.4">
      <c r="E28" s="63" t="s">
        <v>82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37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85</v>
      </c>
      <c r="F30" s="60" t="s">
        <v>39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90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3C4D0-000E-41F2-ACA9-7918C8ED5871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19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0.90909090909090906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-4321.0526315789475</v>
      </c>
      <c r="P2" s="120">
        <v>19</v>
      </c>
      <c r="Q2" s="104">
        <v>-82100</v>
      </c>
    </row>
    <row r="3" spans="1:17" x14ac:dyDescent="0.4">
      <c r="A3" s="55" t="s">
        <v>8</v>
      </c>
      <c r="B3" s="150">
        <v>169</v>
      </c>
      <c r="C3" s="151"/>
      <c r="E3" s="63" t="s">
        <v>66</v>
      </c>
      <c r="F3" s="60" t="s">
        <v>21</v>
      </c>
      <c r="G3" s="47">
        <v>18</v>
      </c>
      <c r="H3" s="135">
        <f>IF(B$17=0,0,G3/B$17)</f>
        <v>0.54545454545454541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-4221.0526315789475</v>
      </c>
      <c r="P3" s="121">
        <v>19</v>
      </c>
      <c r="Q3" s="105">
        <v>-80200</v>
      </c>
    </row>
    <row r="4" spans="1:17" x14ac:dyDescent="0.4">
      <c r="A4" s="55" t="s">
        <v>6</v>
      </c>
      <c r="B4" s="152">
        <v>-569.49999999999989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0.36363636363636365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-5037.5</v>
      </c>
      <c r="P4" s="121">
        <v>16</v>
      </c>
      <c r="Q4" s="105">
        <v>-80600</v>
      </c>
    </row>
    <row r="5" spans="1:17" x14ac:dyDescent="0.4">
      <c r="A5" s="55" t="s">
        <v>7</v>
      </c>
      <c r="B5" s="154">
        <f>IF(B$2=0,0,B$4/B$2)</f>
        <v>-29.973684210526311</v>
      </c>
      <c r="C5" s="155"/>
      <c r="E5" s="63" t="s">
        <v>184</v>
      </c>
      <c r="F5" s="60" t="s">
        <v>185</v>
      </c>
      <c r="G5" s="47">
        <v>11</v>
      </c>
      <c r="H5" s="135">
        <f>IF(B$17=0,0,G5/B$17)</f>
        <v>0.33333333333333331</v>
      </c>
      <c r="I5" s="96">
        <v>6</v>
      </c>
      <c r="K5" s="38">
        <v>3</v>
      </c>
      <c r="L5" s="101">
        <v>-23.099999999999998</v>
      </c>
      <c r="N5" s="117" t="s">
        <v>137</v>
      </c>
      <c r="O5" s="124">
        <f t="shared" si="0"/>
        <v>-2293.3333333333335</v>
      </c>
      <c r="P5" s="121">
        <v>15</v>
      </c>
      <c r="Q5" s="105">
        <v>-34400</v>
      </c>
    </row>
    <row r="6" spans="1:17" x14ac:dyDescent="0.4">
      <c r="A6" s="55" t="s">
        <v>1</v>
      </c>
      <c r="B6" s="144">
        <f>IF(B$2=0,0,(B$7*1+B$8*2+B$9*3)/B$2)</f>
        <v>2.5263157894736841</v>
      </c>
      <c r="C6" s="145"/>
      <c r="E6" s="63" t="s">
        <v>69</v>
      </c>
      <c r="F6" s="60" t="s">
        <v>24</v>
      </c>
      <c r="G6" s="47">
        <v>10</v>
      </c>
      <c r="H6" s="135">
        <f>IF(B$17=0,0,G6/B$17)</f>
        <v>0.30303030303030304</v>
      </c>
      <c r="I6" s="96">
        <v>4</v>
      </c>
      <c r="K6" s="38">
        <v>4</v>
      </c>
      <c r="L6" s="101">
        <v>-31.4</v>
      </c>
      <c r="N6" s="117" t="s">
        <v>138</v>
      </c>
      <c r="O6" s="124">
        <f t="shared" si="0"/>
        <v>-2640</v>
      </c>
      <c r="P6" s="121">
        <v>15</v>
      </c>
      <c r="Q6" s="105">
        <v>-39600</v>
      </c>
    </row>
    <row r="7" spans="1:17" x14ac:dyDescent="0.4">
      <c r="A7" s="55" t="s">
        <v>2</v>
      </c>
      <c r="B7" s="47">
        <v>2</v>
      </c>
      <c r="C7" s="39">
        <f>IF(B$2=0,0,B7/B$2)</f>
        <v>0.10526315789473684</v>
      </c>
      <c r="E7" s="63" t="s">
        <v>72</v>
      </c>
      <c r="F7" s="60" t="s">
        <v>26</v>
      </c>
      <c r="G7" s="47">
        <v>8</v>
      </c>
      <c r="H7" s="135">
        <f>IF(B$17=0,0,G7/B$17)</f>
        <v>0.24242424242424243</v>
      </c>
      <c r="I7" s="96">
        <v>1</v>
      </c>
      <c r="K7" s="38">
        <v>5</v>
      </c>
      <c r="L7" s="101">
        <v>-32.199999999999996</v>
      </c>
      <c r="N7" s="118" t="s">
        <v>139</v>
      </c>
      <c r="O7" s="125">
        <f t="shared" si="0"/>
        <v>-2246.6666666666665</v>
      </c>
      <c r="P7" s="122">
        <v>15</v>
      </c>
      <c r="Q7" s="106">
        <v>-33700</v>
      </c>
    </row>
    <row r="8" spans="1:17" x14ac:dyDescent="0.4">
      <c r="A8" s="55" t="s">
        <v>3</v>
      </c>
      <c r="B8" s="47">
        <v>5</v>
      </c>
      <c r="C8" s="39">
        <f>IF(B$2=0,0,B8/B$2)</f>
        <v>0.26315789473684209</v>
      </c>
      <c r="E8" s="63" t="s">
        <v>74</v>
      </c>
      <c r="F8" s="60" t="s">
        <v>28</v>
      </c>
      <c r="G8" s="47">
        <v>8</v>
      </c>
      <c r="H8" s="135">
        <f>IF(B$17=0,0,G8/B$17)</f>
        <v>0.24242424242424243</v>
      </c>
      <c r="I8" s="96">
        <v>10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0.63157894736842102</v>
      </c>
      <c r="E9" s="63" t="s">
        <v>71</v>
      </c>
      <c r="F9" s="60" t="s">
        <v>25</v>
      </c>
      <c r="G9" s="47">
        <v>7</v>
      </c>
      <c r="H9" s="135">
        <f>IF(B$17=0,0,G9/B$17)</f>
        <v>0.21212121212121213</v>
      </c>
      <c r="I9" s="96">
        <v>3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67</v>
      </c>
      <c r="F10" s="60" t="s">
        <v>22</v>
      </c>
      <c r="G10" s="47">
        <v>4</v>
      </c>
      <c r="H10" s="135">
        <f>IF(B$17=0,0,G10/B$17)</f>
        <v>0.12121212121212122</v>
      </c>
      <c r="I10" s="96">
        <v>4</v>
      </c>
      <c r="K10" s="38">
        <v>8</v>
      </c>
      <c r="L10" s="101">
        <v>-79.599999999999994</v>
      </c>
      <c r="N10" s="116" t="s">
        <v>167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4</v>
      </c>
      <c r="H11" s="135">
        <f>IF(B$17=0,0,G11/B$17)</f>
        <v>0.12121212121212122</v>
      </c>
      <c r="I11" s="96">
        <v>2</v>
      </c>
      <c r="K11" s="38">
        <v>9</v>
      </c>
      <c r="L11" s="101">
        <v>-127.6</v>
      </c>
      <c r="N11" s="117" t="s">
        <v>168</v>
      </c>
      <c r="O11" s="127">
        <f>IF(P11=0,0,Q11/P11)</f>
        <v>-30.028571428571432</v>
      </c>
      <c r="P11" s="121">
        <v>7</v>
      </c>
      <c r="Q11" s="109">
        <v>-210.20000000000002</v>
      </c>
    </row>
    <row r="12" spans="1:17" x14ac:dyDescent="0.4">
      <c r="A12" s="57" t="s">
        <v>162</v>
      </c>
      <c r="B12" s="49">
        <v>1</v>
      </c>
      <c r="C12" s="42">
        <f>IF(B$2=0,0,B12/B$2)</f>
        <v>5.2631578947368418E-2</v>
      </c>
      <c r="E12" s="63" t="s">
        <v>92</v>
      </c>
      <c r="F12" s="60" t="s">
        <v>46</v>
      </c>
      <c r="G12" s="47">
        <v>4</v>
      </c>
      <c r="H12" s="135">
        <f>IF(B$17=0,0,G12/B$17)</f>
        <v>0.12121212121212122</v>
      </c>
      <c r="I12" s="96">
        <v>7</v>
      </c>
      <c r="K12" s="38">
        <v>10</v>
      </c>
      <c r="L12" s="101">
        <v>-231.39999999999998</v>
      </c>
      <c r="N12" s="118" t="s">
        <v>169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124</v>
      </c>
      <c r="B13" s="50">
        <v>40</v>
      </c>
      <c r="C13" s="44">
        <f>IF(B$3=0,0,B13/B$3)</f>
        <v>0.23668639053254437</v>
      </c>
      <c r="E13" s="63" t="s">
        <v>89</v>
      </c>
      <c r="F13" s="60" t="s">
        <v>43</v>
      </c>
      <c r="G13" s="47">
        <v>2</v>
      </c>
      <c r="H13" s="135">
        <f>IF(B$17=0,0,G13/B$17)</f>
        <v>6.0606060606060608E-2</v>
      </c>
      <c r="I13" s="96">
        <v>5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19</v>
      </c>
      <c r="C14" s="39">
        <f>IF(B$3=0,0,B14/B$3)</f>
        <v>0.11242603550295859</v>
      </c>
      <c r="E14" s="63" t="s">
        <v>80</v>
      </c>
      <c r="F14" s="60" t="s">
        <v>34</v>
      </c>
      <c r="G14" s="47">
        <v>1</v>
      </c>
      <c r="H14" s="135">
        <f>IF(B$17=0,0,G14/B$17)</f>
        <v>3.0303030303030304E-2</v>
      </c>
      <c r="I14" s="96">
        <v>3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</v>
      </c>
      <c r="C15" s="37">
        <f>IF(B$13=0,0,B15/B$13)</f>
        <v>0.47499999999999998</v>
      </c>
      <c r="E15" s="63" t="s">
        <v>86</v>
      </c>
      <c r="F15" s="60" t="s">
        <v>40</v>
      </c>
      <c r="G15" s="47">
        <v>1</v>
      </c>
      <c r="H15" s="135">
        <f>IF(B$17=0,0,G15/B$17)</f>
        <v>3.0303030303030304E-2</v>
      </c>
      <c r="I15" s="96">
        <v>8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0.21052631578947367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0.19526627218934911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-21.899999999999995</v>
      </c>
      <c r="P17" s="121">
        <v>12</v>
      </c>
      <c r="Q17" s="109">
        <v>-262.79999999999995</v>
      </c>
    </row>
    <row r="18" spans="1:17" x14ac:dyDescent="0.4">
      <c r="A18" s="55" t="s">
        <v>12</v>
      </c>
      <c r="B18" s="47">
        <v>15</v>
      </c>
      <c r="C18" s="39">
        <f>IF(B$17=0,0,B18/B$17)</f>
        <v>0.45454545454545453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18</v>
      </c>
      <c r="C19" s="39">
        <f>IF(B$17=0,0,B19/B$17)</f>
        <v>0.54545454545454541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175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37</v>
      </c>
      <c r="C20" s="39">
        <f>IF(B$3=0,0,B20/B$3)</f>
        <v>0.21893491124260356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-537.19999999999993</v>
      </c>
      <c r="N20" s="117" t="s">
        <v>189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K21" s="38">
        <v>19</v>
      </c>
      <c r="L21" s="101">
        <v>-569.49999999999989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7260.606060606061</v>
      </c>
      <c r="C23" s="41">
        <v>239600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-9345.9459459459467</v>
      </c>
      <c r="C24" s="45">
        <v>-345800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6F5BD-FE45-4D80-9853-F433986A742A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29</v>
      </c>
      <c r="C2" s="149"/>
      <c r="E2" s="62" t="s">
        <v>68</v>
      </c>
      <c r="F2" s="59" t="s">
        <v>23</v>
      </c>
      <c r="G2" s="46">
        <v>40</v>
      </c>
      <c r="H2" s="134">
        <f>IF(B$17=0,0,G2/B$17)</f>
        <v>0.67796610169491522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520.68965517241384</v>
      </c>
      <c r="P2" s="120">
        <v>29</v>
      </c>
      <c r="Q2" s="104">
        <v>15100</v>
      </c>
    </row>
    <row r="3" spans="1:17" x14ac:dyDescent="0.4">
      <c r="A3" s="55" t="s">
        <v>8</v>
      </c>
      <c r="B3" s="150">
        <v>252</v>
      </c>
      <c r="C3" s="151"/>
      <c r="E3" s="63" t="s">
        <v>74</v>
      </c>
      <c r="F3" s="60" t="s">
        <v>28</v>
      </c>
      <c r="G3" s="47">
        <v>33</v>
      </c>
      <c r="H3" s="135">
        <f>IF(B$17=0,0,G3/B$17)</f>
        <v>0.55932203389830504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0"/>
        <v>958.62068965517244</v>
      </c>
      <c r="P3" s="121">
        <v>29</v>
      </c>
      <c r="Q3" s="105">
        <v>27800</v>
      </c>
    </row>
    <row r="4" spans="1:17" x14ac:dyDescent="0.4">
      <c r="A4" s="55" t="s">
        <v>6</v>
      </c>
      <c r="B4" s="152">
        <v>-121.79999999999998</v>
      </c>
      <c r="C4" s="153"/>
      <c r="E4" s="63" t="s">
        <v>66</v>
      </c>
      <c r="F4" s="60" t="s">
        <v>21</v>
      </c>
      <c r="G4" s="47">
        <v>28</v>
      </c>
      <c r="H4" s="135">
        <f>IF(B$17=0,0,G4/B$17)</f>
        <v>0.47457627118644069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-155.55555555555554</v>
      </c>
      <c r="P4" s="121">
        <v>27</v>
      </c>
      <c r="Q4" s="105">
        <v>-4200</v>
      </c>
    </row>
    <row r="5" spans="1:17" x14ac:dyDescent="0.4">
      <c r="A5" s="55" t="s">
        <v>7</v>
      </c>
      <c r="B5" s="154">
        <f>IF(B$2=0,0,B$4/B$2)</f>
        <v>-4.1999999999999993</v>
      </c>
      <c r="C5" s="155"/>
      <c r="E5" s="63" t="s">
        <v>184</v>
      </c>
      <c r="F5" s="60" t="s">
        <v>185</v>
      </c>
      <c r="G5" s="47">
        <v>18</v>
      </c>
      <c r="H5" s="135">
        <f>IF(B$17=0,0,G5/B$17)</f>
        <v>0.30508474576271188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0"/>
        <v>-2853.8461538461538</v>
      </c>
      <c r="P5" s="121">
        <v>26</v>
      </c>
      <c r="Q5" s="105">
        <v>-74200</v>
      </c>
    </row>
    <row r="6" spans="1:17" x14ac:dyDescent="0.4">
      <c r="A6" s="55" t="s">
        <v>1</v>
      </c>
      <c r="B6" s="144">
        <f>IF(B$2=0,0,(B$7*1+B$8*2+B$9*3)/B$2)</f>
        <v>2.103448275862069</v>
      </c>
      <c r="C6" s="145"/>
      <c r="E6" s="63" t="s">
        <v>71</v>
      </c>
      <c r="F6" s="60" t="s">
        <v>25</v>
      </c>
      <c r="G6" s="47">
        <v>13</v>
      </c>
      <c r="H6" s="135">
        <f>IF(B$17=0,0,G6/B$17)</f>
        <v>0.22033898305084745</v>
      </c>
      <c r="I6" s="96">
        <v>1</v>
      </c>
      <c r="K6" s="38">
        <v>4</v>
      </c>
      <c r="L6" s="101">
        <v>-11.300000000000011</v>
      </c>
      <c r="N6" s="117" t="s">
        <v>138</v>
      </c>
      <c r="O6" s="124">
        <f t="shared" si="0"/>
        <v>-962.5</v>
      </c>
      <c r="P6" s="121">
        <v>24</v>
      </c>
      <c r="Q6" s="105">
        <v>-23100</v>
      </c>
    </row>
    <row r="7" spans="1:17" x14ac:dyDescent="0.4">
      <c r="A7" s="55" t="s">
        <v>2</v>
      </c>
      <c r="B7" s="47">
        <v>7</v>
      </c>
      <c r="C7" s="39">
        <f>IF(B$2=0,0,B7/B$2)</f>
        <v>0.2413793103448276</v>
      </c>
      <c r="E7" s="63" t="s">
        <v>69</v>
      </c>
      <c r="F7" s="60" t="s">
        <v>24</v>
      </c>
      <c r="G7" s="47">
        <v>11</v>
      </c>
      <c r="H7" s="135">
        <f>IF(B$17=0,0,G7/B$17)</f>
        <v>0.1864406779661017</v>
      </c>
      <c r="I7" s="96">
        <v>7</v>
      </c>
      <c r="K7" s="38">
        <v>5</v>
      </c>
      <c r="L7" s="101">
        <v>-36.100000000000009</v>
      </c>
      <c r="N7" s="118" t="s">
        <v>139</v>
      </c>
      <c r="O7" s="125">
        <f t="shared" si="0"/>
        <v>218.18181818181819</v>
      </c>
      <c r="P7" s="122">
        <v>22</v>
      </c>
      <c r="Q7" s="106">
        <v>4800</v>
      </c>
    </row>
    <row r="8" spans="1:17" x14ac:dyDescent="0.4">
      <c r="A8" s="55" t="s">
        <v>3</v>
      </c>
      <c r="B8" s="47">
        <v>12</v>
      </c>
      <c r="C8" s="39">
        <f>IF(B$2=0,0,B8/B$2)</f>
        <v>0.41379310344827586</v>
      </c>
      <c r="E8" s="63" t="s">
        <v>70</v>
      </c>
      <c r="F8" s="60" t="s">
        <v>12</v>
      </c>
      <c r="G8" s="47">
        <v>11</v>
      </c>
      <c r="H8" s="135">
        <f>IF(B$17=0,0,G8/B$17)</f>
        <v>0.1864406779661017</v>
      </c>
      <c r="I8" s="96">
        <v>9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0.34482758620689657</v>
      </c>
      <c r="E9" s="63" t="s">
        <v>92</v>
      </c>
      <c r="F9" s="60" t="s">
        <v>46</v>
      </c>
      <c r="G9" s="47">
        <v>11</v>
      </c>
      <c r="H9" s="135">
        <f>IF(B$17=0,0,G9/B$17)</f>
        <v>0.1864406779661017</v>
      </c>
      <c r="I9" s="96">
        <v>3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3.4482758620689655E-2</v>
      </c>
      <c r="E10" s="63" t="s">
        <v>67</v>
      </c>
      <c r="F10" s="60" t="s">
        <v>22</v>
      </c>
      <c r="G10" s="47">
        <v>7</v>
      </c>
      <c r="H10" s="135">
        <f>IF(B$17=0,0,G10/B$17)</f>
        <v>0.11864406779661017</v>
      </c>
      <c r="I10" s="96">
        <v>5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6.8965517241379309E-2</v>
      </c>
      <c r="E11" s="63" t="s">
        <v>72</v>
      </c>
      <c r="F11" s="60" t="s">
        <v>26</v>
      </c>
      <c r="G11" s="47">
        <v>7</v>
      </c>
      <c r="H11" s="135">
        <f>IF(B$17=0,0,G11/B$17)</f>
        <v>0.11864406779661017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-6.672727272727272</v>
      </c>
      <c r="P11" s="121">
        <v>11</v>
      </c>
      <c r="Q11" s="109">
        <v>-73.399999999999991</v>
      </c>
    </row>
    <row r="12" spans="1:17" x14ac:dyDescent="0.4">
      <c r="A12" s="57" t="s">
        <v>162</v>
      </c>
      <c r="B12" s="49">
        <v>2</v>
      </c>
      <c r="C12" s="42">
        <f>IF(B$2=0,0,B12/B$2)</f>
        <v>6.8965517241379309E-2</v>
      </c>
      <c r="E12" s="63" t="s">
        <v>73</v>
      </c>
      <c r="F12" s="60" t="s">
        <v>27</v>
      </c>
      <c r="G12" s="47">
        <v>6</v>
      </c>
      <c r="H12" s="135">
        <f>IF(B$17=0,0,G12/B$17)</f>
        <v>0.10169491525423729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-5.1818181818181817</v>
      </c>
      <c r="P12" s="122">
        <v>11</v>
      </c>
      <c r="Q12" s="110">
        <v>-57</v>
      </c>
    </row>
    <row r="13" spans="1:17" x14ac:dyDescent="0.4">
      <c r="A13" s="58" t="s">
        <v>124</v>
      </c>
      <c r="B13" s="50">
        <v>60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>IF(B$17=0,0,G13/B$17)</f>
        <v>6.7796610169491525E-2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0.17460317460317459</v>
      </c>
      <c r="E14" s="63" t="s">
        <v>80</v>
      </c>
      <c r="F14" s="60" t="s">
        <v>34</v>
      </c>
      <c r="G14" s="47">
        <v>3</v>
      </c>
      <c r="H14" s="135">
        <f>IF(B$17=0,0,G14/B$17)</f>
        <v>5.0847457627118647E-2</v>
      </c>
      <c r="I14" s="96">
        <v>1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30</v>
      </c>
      <c r="C15" s="37">
        <f>IF(B$13=0,0,B15/B$13)</f>
        <v>0.5</v>
      </c>
      <c r="E15" s="63" t="s">
        <v>89</v>
      </c>
      <c r="F15" s="60" t="s">
        <v>43</v>
      </c>
      <c r="G15" s="47">
        <v>3</v>
      </c>
      <c r="H15" s="135">
        <f>IF(B$17=0,0,G15/B$17)</f>
        <v>5.0847457627118647E-2</v>
      </c>
      <c r="I15" s="96">
        <v>7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0.34090909090909088</v>
      </c>
      <c r="E16" s="63" t="s">
        <v>77</v>
      </c>
      <c r="F16" s="60" t="s">
        <v>31</v>
      </c>
      <c r="G16" s="47">
        <v>2</v>
      </c>
      <c r="H16" s="135">
        <f>IF(B$17=0,0,G16/B$17)</f>
        <v>3.3898305084745763E-2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59</v>
      </c>
      <c r="C17" s="37">
        <f>IF(B$3=0,0,B17/B$3)</f>
        <v>0.23412698412698413</v>
      </c>
      <c r="E17" s="63" t="s">
        <v>84</v>
      </c>
      <c r="F17" s="60" t="s">
        <v>38</v>
      </c>
      <c r="G17" s="47">
        <v>1</v>
      </c>
      <c r="H17" s="135">
        <f>IF(B$17=0,0,G17/B$17)</f>
        <v>1.6949152542372881E-2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19</v>
      </c>
      <c r="C18" s="39">
        <f>IF(B$17=0,0,B18/B$17)</f>
        <v>0.32203389830508472</v>
      </c>
      <c r="E18" s="63" t="s">
        <v>95</v>
      </c>
      <c r="F18" s="60" t="s">
        <v>49</v>
      </c>
      <c r="G18" s="47">
        <v>1</v>
      </c>
      <c r="H18" s="135">
        <f>IF(B$17=0,0,G18/B$17)</f>
        <v>1.6949152542372881E-2</v>
      </c>
      <c r="I18" s="96">
        <v>1</v>
      </c>
      <c r="K18" s="38">
        <v>16</v>
      </c>
      <c r="L18" s="101">
        <v>-50.3</v>
      </c>
      <c r="N18" s="117" t="s">
        <v>175</v>
      </c>
      <c r="O18" s="127">
        <f>IF(P18=0,0,Q18/P18)</f>
        <v>16.074999999999999</v>
      </c>
      <c r="P18" s="121">
        <v>8</v>
      </c>
      <c r="Q18" s="109">
        <v>128.6</v>
      </c>
    </row>
    <row r="19" spans="1:17" x14ac:dyDescent="0.4">
      <c r="A19" s="55" t="s">
        <v>11</v>
      </c>
      <c r="B19" s="47">
        <v>40</v>
      </c>
      <c r="C19" s="39">
        <f>IF(B$17=0,0,B19/B$17)</f>
        <v>0.67796610169491522</v>
      </c>
      <c r="E19" s="63" t="s">
        <v>183</v>
      </c>
      <c r="F19" s="60" t="s">
        <v>186</v>
      </c>
      <c r="G19" s="47">
        <v>1</v>
      </c>
      <c r="H19" s="135">
        <f>IF(B$17=0,0,G19/B$17)</f>
        <v>1.6949152542372881E-2</v>
      </c>
      <c r="I19" s="96">
        <v>2</v>
      </c>
      <c r="K19" s="38">
        <v>17</v>
      </c>
      <c r="L19" s="101">
        <v>-74.3</v>
      </c>
      <c r="N19" s="117" t="s">
        <v>176</v>
      </c>
      <c r="O19" s="127">
        <f>IF(P19=0,0,Q19/P19)</f>
        <v>15.190000000000001</v>
      </c>
      <c r="P19" s="121">
        <v>10</v>
      </c>
      <c r="Q19" s="109">
        <v>151.9</v>
      </c>
    </row>
    <row r="20" spans="1:17" x14ac:dyDescent="0.4">
      <c r="A20" s="55" t="s">
        <v>13</v>
      </c>
      <c r="B20" s="47">
        <v>44</v>
      </c>
      <c r="C20" s="39">
        <f>IF(B$3=0,0,B20/B$3)</f>
        <v>0.17460317460317459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-31.406666666666677</v>
      </c>
      <c r="P20" s="121">
        <v>15</v>
      </c>
      <c r="Q20" s="109">
        <v>-471.10000000000014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129</v>
      </c>
      <c r="O21" s="127">
        <f>IF(P21=0,0,Q21/P21)</f>
        <v>-35.777777777777779</v>
      </c>
      <c r="P21" s="121">
        <v>18</v>
      </c>
      <c r="Q21" s="109">
        <v>-644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8361.016949152543</v>
      </c>
      <c r="C23" s="41">
        <v>493300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-7193.181818181818</v>
      </c>
      <c r="C24" s="45">
        <v>-316500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5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3.968253968253968E-3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6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AE0A7-0596-4BBD-A6E3-32240C99AE4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20</v>
      </c>
      <c r="C2" s="149"/>
      <c r="E2" s="62" t="s">
        <v>74</v>
      </c>
      <c r="F2" s="59" t="s">
        <v>28</v>
      </c>
      <c r="G2" s="46">
        <v>46</v>
      </c>
      <c r="H2" s="134">
        <f>IF(B$17=0,0,G2/B$17)</f>
        <v>0.7931034482758621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-1225</v>
      </c>
      <c r="P2" s="120">
        <v>20</v>
      </c>
      <c r="Q2" s="104">
        <v>-24500</v>
      </c>
    </row>
    <row r="3" spans="1:17" x14ac:dyDescent="0.4">
      <c r="A3" s="55" t="s">
        <v>8</v>
      </c>
      <c r="B3" s="150">
        <v>162</v>
      </c>
      <c r="C3" s="151"/>
      <c r="E3" s="63" t="s">
        <v>68</v>
      </c>
      <c r="F3" s="60" t="s">
        <v>23</v>
      </c>
      <c r="G3" s="47">
        <v>35</v>
      </c>
      <c r="H3" s="135">
        <f>IF(B$17=0,0,G3/B$17)</f>
        <v>0.60344827586206895</v>
      </c>
      <c r="I3" s="96">
        <v>8</v>
      </c>
      <c r="K3" s="38">
        <v>1</v>
      </c>
      <c r="L3" s="101">
        <v>11.1</v>
      </c>
      <c r="N3" s="117" t="s">
        <v>135</v>
      </c>
      <c r="O3" s="124">
        <f t="shared" si="0"/>
        <v>2805</v>
      </c>
      <c r="P3" s="121">
        <v>20</v>
      </c>
      <c r="Q3" s="105">
        <v>56100</v>
      </c>
    </row>
    <row r="4" spans="1:17" x14ac:dyDescent="0.4">
      <c r="A4" s="55" t="s">
        <v>6</v>
      </c>
      <c r="B4" s="152">
        <v>43</v>
      </c>
      <c r="C4" s="153"/>
      <c r="E4" s="63" t="s">
        <v>184</v>
      </c>
      <c r="F4" s="60" t="s">
        <v>185</v>
      </c>
      <c r="G4" s="47">
        <v>23</v>
      </c>
      <c r="H4" s="135">
        <f>IF(B$17=0,0,G4/B$17)</f>
        <v>0.39655172413793105</v>
      </c>
      <c r="I4" s="96">
        <v>3</v>
      </c>
      <c r="K4" s="38">
        <v>2</v>
      </c>
      <c r="L4" s="101">
        <v>-7.7000000000000011</v>
      </c>
      <c r="N4" s="117" t="s">
        <v>136</v>
      </c>
      <c r="O4" s="124">
        <f t="shared" si="0"/>
        <v>-1575</v>
      </c>
      <c r="P4" s="121">
        <v>16</v>
      </c>
      <c r="Q4" s="105">
        <v>-25200</v>
      </c>
    </row>
    <row r="5" spans="1:17" x14ac:dyDescent="0.4">
      <c r="A5" s="55" t="s">
        <v>7</v>
      </c>
      <c r="B5" s="154">
        <f>IF(B$2=0,0,B$4/B$2)</f>
        <v>2.15</v>
      </c>
      <c r="C5" s="155"/>
      <c r="E5" s="63" t="s">
        <v>66</v>
      </c>
      <c r="F5" s="60" t="s">
        <v>21</v>
      </c>
      <c r="G5" s="47">
        <v>20</v>
      </c>
      <c r="H5" s="135">
        <f>IF(B$17=0,0,G5/B$17)</f>
        <v>0.34482758620689657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2542.8571428571427</v>
      </c>
      <c r="P5" s="121">
        <v>14</v>
      </c>
      <c r="Q5" s="105">
        <v>35600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13</v>
      </c>
      <c r="H6" s="135">
        <f>IF(B$17=0,0,G6/B$17)</f>
        <v>0.22413793103448276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-3542.8571428571427</v>
      </c>
      <c r="P6" s="121">
        <v>14</v>
      </c>
      <c r="Q6" s="105">
        <v>-49600</v>
      </c>
    </row>
    <row r="7" spans="1:17" x14ac:dyDescent="0.4">
      <c r="A7" s="55" t="s">
        <v>2</v>
      </c>
      <c r="B7" s="47">
        <v>6</v>
      </c>
      <c r="C7" s="39">
        <f>IF(B$2=0,0,B7/B$2)</f>
        <v>0.3</v>
      </c>
      <c r="E7" s="63" t="s">
        <v>70</v>
      </c>
      <c r="F7" s="60" t="s">
        <v>12</v>
      </c>
      <c r="G7" s="47">
        <v>13</v>
      </c>
      <c r="H7" s="135">
        <f>IF(B$17=0,0,G7/B$17)</f>
        <v>0.22413793103448276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0"/>
        <v>-269.23076923076923</v>
      </c>
      <c r="P7" s="122">
        <v>13</v>
      </c>
      <c r="Q7" s="106">
        <v>-3500</v>
      </c>
    </row>
    <row r="8" spans="1:17" x14ac:dyDescent="0.4">
      <c r="A8" s="55" t="s">
        <v>3</v>
      </c>
      <c r="B8" s="47">
        <v>8</v>
      </c>
      <c r="C8" s="39">
        <f>IF(B$2=0,0,B8/B$2)</f>
        <v>0.4</v>
      </c>
      <c r="E8" s="63" t="s">
        <v>71</v>
      </c>
      <c r="F8" s="60" t="s">
        <v>25</v>
      </c>
      <c r="G8" s="47">
        <v>7</v>
      </c>
      <c r="H8" s="135">
        <f>IF(B$17=0,0,G8/B$17)</f>
        <v>0.1206896551724138</v>
      </c>
      <c r="I8" s="96">
        <v>9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0.3</v>
      </c>
      <c r="E9" s="63" t="s">
        <v>72</v>
      </c>
      <c r="F9" s="60" t="s">
        <v>26</v>
      </c>
      <c r="G9" s="47">
        <v>4</v>
      </c>
      <c r="H9" s="135">
        <f>IF(B$17=0,0,G9/B$17)</f>
        <v>6.8965517241379309E-2</v>
      </c>
      <c r="I9" s="96">
        <v>8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92</v>
      </c>
      <c r="F10" s="60" t="s">
        <v>46</v>
      </c>
      <c r="G10" s="47">
        <v>4</v>
      </c>
      <c r="H10" s="135">
        <f>IF(B$17=0,0,G10/B$17)</f>
        <v>6.8965517241379309E-2</v>
      </c>
      <c r="I10" s="96">
        <v>10</v>
      </c>
      <c r="K10" s="38">
        <v>8</v>
      </c>
      <c r="L10" s="101">
        <v>-29.5</v>
      </c>
      <c r="N10" s="116" t="s">
        <v>167</v>
      </c>
      <c r="O10" s="126">
        <f>IF(P10=0,0,Q10/P10)</f>
        <v>-19.160000000000004</v>
      </c>
      <c r="P10" s="120">
        <v>5</v>
      </c>
      <c r="Q10" s="108">
        <v>-95.800000000000011</v>
      </c>
    </row>
    <row r="11" spans="1:17" x14ac:dyDescent="0.4">
      <c r="A11" s="56" t="s">
        <v>142</v>
      </c>
      <c r="B11" s="48">
        <v>2</v>
      </c>
      <c r="C11" s="40">
        <f>IF(B$2=0,0,B11/B$2)</f>
        <v>0.1</v>
      </c>
      <c r="E11" s="63" t="s">
        <v>67</v>
      </c>
      <c r="F11" s="60" t="s">
        <v>22</v>
      </c>
      <c r="G11" s="47">
        <v>3</v>
      </c>
      <c r="H11" s="135">
        <f>IF(B$17=0,0,G11/B$17)</f>
        <v>5.1724137931034482E-2</v>
      </c>
      <c r="I11" s="96">
        <v>7</v>
      </c>
      <c r="K11" s="38">
        <v>9</v>
      </c>
      <c r="L11" s="101">
        <v>-56.5</v>
      </c>
      <c r="N11" s="117" t="s">
        <v>168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162</v>
      </c>
      <c r="B12" s="49">
        <v>1</v>
      </c>
      <c r="C12" s="42">
        <f>IF(B$2=0,0,B12/B$2)</f>
        <v>0.05</v>
      </c>
      <c r="E12" s="63" t="s">
        <v>84</v>
      </c>
      <c r="F12" s="60" t="s">
        <v>38</v>
      </c>
      <c r="G12" s="47">
        <v>3</v>
      </c>
      <c r="H12" s="135">
        <f>IF(B$17=0,0,G12/B$17)</f>
        <v>5.1724137931034482E-2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124</v>
      </c>
      <c r="B13" s="50">
        <v>34</v>
      </c>
      <c r="C13" s="44">
        <f>IF(B$3=0,0,B13/B$3)</f>
        <v>0.20987654320987653</v>
      </c>
      <c r="E13" s="63" t="s">
        <v>89</v>
      </c>
      <c r="F13" s="60" t="s">
        <v>43</v>
      </c>
      <c r="G13" s="47">
        <v>3</v>
      </c>
      <c r="H13" s="135">
        <f>IF(B$17=0,0,G13/B$17)</f>
        <v>5.1724137931034482E-2</v>
      </c>
      <c r="I13" s="96">
        <v>6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59</v>
      </c>
      <c r="C14" s="39">
        <f>IF(B$3=0,0,B14/B$3)</f>
        <v>0.36419753086419754</v>
      </c>
      <c r="E14" s="63" t="s">
        <v>80</v>
      </c>
      <c r="F14" s="60" t="s">
        <v>34</v>
      </c>
      <c r="G14" s="47">
        <v>2</v>
      </c>
      <c r="H14" s="135">
        <f>IF(B$17=0,0,G14/B$17)</f>
        <v>3.4482758620689655E-2</v>
      </c>
      <c r="I14" s="96">
        <v>2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22</v>
      </c>
      <c r="C15" s="37">
        <f>IF(B$13=0,0,B15/B$13)</f>
        <v>0.6470588235294118</v>
      </c>
      <c r="E15" s="63" t="s">
        <v>81</v>
      </c>
      <c r="F15" s="60" t="s">
        <v>35</v>
      </c>
      <c r="G15" s="47">
        <v>2</v>
      </c>
      <c r="H15" s="135">
        <f>IF(B$17=0,0,G15/B$17)</f>
        <v>3.4482758620689655E-2</v>
      </c>
      <c r="I15" s="96">
        <v>1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26</v>
      </c>
      <c r="C16" s="37">
        <f>IF(B$14=0,0,B16/B$14)</f>
        <v>0.44067796610169491</v>
      </c>
      <c r="E16" s="63" t="s">
        <v>86</v>
      </c>
      <c r="F16" s="60" t="s">
        <v>40</v>
      </c>
      <c r="G16" s="47">
        <v>2</v>
      </c>
      <c r="H16" s="135">
        <f>IF(B$17=0,0,G16/B$17)</f>
        <v>3.4482758620689655E-2</v>
      </c>
      <c r="I16" s="96">
        <v>7</v>
      </c>
      <c r="K16" s="38">
        <v>14</v>
      </c>
      <c r="L16" s="101">
        <v>-12.3</v>
      </c>
      <c r="N16" s="117" t="s">
        <v>131</v>
      </c>
      <c r="O16" s="127">
        <f>IF(P16=0,0,Q16/P16)</f>
        <v>70.183333333333323</v>
      </c>
      <c r="P16" s="121">
        <v>6</v>
      </c>
      <c r="Q16" s="109">
        <v>421.09999999999997</v>
      </c>
    </row>
    <row r="17" spans="1:17" x14ac:dyDescent="0.4">
      <c r="A17" s="54" t="s">
        <v>10</v>
      </c>
      <c r="B17" s="46">
        <f>B19+B18</f>
        <v>58</v>
      </c>
      <c r="C17" s="37">
        <f>IF(B$3=0,0,B17/B$3)</f>
        <v>0.35802469135802467</v>
      </c>
      <c r="E17" s="63" t="s">
        <v>73</v>
      </c>
      <c r="F17" s="60" t="s">
        <v>27</v>
      </c>
      <c r="G17" s="47">
        <v>1</v>
      </c>
      <c r="H17" s="135">
        <f>IF(B$17=0,0,G17/B$17)</f>
        <v>1.7241379310344827E-2</v>
      </c>
      <c r="I17" s="96">
        <v>8</v>
      </c>
      <c r="K17" s="38">
        <v>15</v>
      </c>
      <c r="L17" s="101">
        <v>-80.3</v>
      </c>
      <c r="N17" s="117" t="s">
        <v>130</v>
      </c>
      <c r="O17" s="127">
        <f>IF(P17=0,0,Q17/P17)</f>
        <v>8.6727272727272702</v>
      </c>
      <c r="P17" s="121">
        <v>11</v>
      </c>
      <c r="Q17" s="109">
        <v>95.399999999999963</v>
      </c>
    </row>
    <row r="18" spans="1:17" x14ac:dyDescent="0.4">
      <c r="A18" s="55" t="s">
        <v>12</v>
      </c>
      <c r="B18" s="47">
        <v>22</v>
      </c>
      <c r="C18" s="39">
        <f>IF(B$17=0,0,B18/B$17)</f>
        <v>0.37931034482758619</v>
      </c>
      <c r="E18" s="63" t="s">
        <v>94</v>
      </c>
      <c r="F18" s="60" t="s">
        <v>48</v>
      </c>
      <c r="G18" s="47">
        <v>1</v>
      </c>
      <c r="H18" s="135">
        <f>IF(B$17=0,0,G18/B$17)</f>
        <v>1.7241379310344827E-2</v>
      </c>
      <c r="I18" s="96">
        <v>3</v>
      </c>
      <c r="K18" s="38">
        <v>16</v>
      </c>
      <c r="L18" s="101">
        <v>-87.6</v>
      </c>
      <c r="N18" s="117" t="s">
        <v>176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36</v>
      </c>
      <c r="C19" s="39">
        <f>IF(B$17=0,0,B19/B$17)</f>
        <v>0.62068965517241381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-16.075000000000003</v>
      </c>
      <c r="P19" s="121">
        <v>8</v>
      </c>
      <c r="Q19" s="109">
        <v>-128.60000000000002</v>
      </c>
    </row>
    <row r="20" spans="1:17" x14ac:dyDescent="0.4">
      <c r="A20" s="55" t="s">
        <v>13</v>
      </c>
      <c r="B20" s="47">
        <v>22</v>
      </c>
      <c r="C20" s="39">
        <f>IF(B$3=0,0,B20/B$3)</f>
        <v>0.13580246913580246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129</v>
      </c>
      <c r="O20" s="127">
        <f>IF(P20=0,0,Q20/P20)</f>
        <v>-39.799999999999997</v>
      </c>
      <c r="P20" s="121">
        <v>10</v>
      </c>
      <c r="Q20" s="109">
        <v>-398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77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</row>
    <row r="22" spans="1:17" x14ac:dyDescent="0.4">
      <c r="A22" s="55" t="s">
        <v>197</v>
      </c>
      <c r="B22" s="47">
        <v>23</v>
      </c>
      <c r="C22" s="137">
        <v>6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6710.3448275862065</v>
      </c>
      <c r="C23" s="41">
        <v>389200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</row>
    <row r="24" spans="1:17" x14ac:dyDescent="0.4">
      <c r="A24" s="57" t="s">
        <v>14</v>
      </c>
      <c r="B24" s="52">
        <f>IF(B$20=0,0,C24/B$20)</f>
        <v>-8440.9090909090901</v>
      </c>
      <c r="C24" s="45">
        <v>-185700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6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9AA76-DC1B-47A4-8AAC-A9D1A1FB82B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17</v>
      </c>
      <c r="C2" s="149"/>
      <c r="E2" s="62" t="s">
        <v>68</v>
      </c>
      <c r="F2" s="59" t="s">
        <v>23</v>
      </c>
      <c r="G2" s="46">
        <v>36</v>
      </c>
      <c r="H2" s="134">
        <f>IF(B$17=0,0,G2/B$17)</f>
        <v>0.81818181818181823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74</v>
      </c>
      <c r="F3" s="60" t="s">
        <v>28</v>
      </c>
      <c r="G3" s="47">
        <v>20</v>
      </c>
      <c r="H3" s="135">
        <f>IF(B$17=0,0,G3/B$17)</f>
        <v>0.45454545454545453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70</v>
      </c>
      <c r="F4" s="60" t="s">
        <v>12</v>
      </c>
      <c r="G4" s="47">
        <v>17</v>
      </c>
      <c r="H4" s="135">
        <f>IF(B$17=0,0,G4/B$17)</f>
        <v>0.38636363636363635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66</v>
      </c>
      <c r="F5" s="60" t="s">
        <v>21</v>
      </c>
      <c r="G5" s="47">
        <v>16</v>
      </c>
      <c r="H5" s="135">
        <f>IF(B$17=0,0,G5/B$17)</f>
        <v>0.36363636363636365</v>
      </c>
      <c r="I5" s="96">
        <v>9</v>
      </c>
      <c r="K5" s="38">
        <v>3</v>
      </c>
      <c r="L5" s="101">
        <v>-149</v>
      </c>
      <c r="N5" s="117" t="s">
        <v>137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184</v>
      </c>
      <c r="F6" s="60" t="s">
        <v>185</v>
      </c>
      <c r="G6" s="47">
        <v>12</v>
      </c>
      <c r="H6" s="135">
        <f>IF(B$17=0,0,G6/B$17)</f>
        <v>0.27272727272727271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69</v>
      </c>
      <c r="F7" s="60" t="s">
        <v>24</v>
      </c>
      <c r="G7" s="47">
        <v>7</v>
      </c>
      <c r="H7" s="135">
        <f>IF(B$17=0,0,G7/B$17)</f>
        <v>0.15909090909090909</v>
      </c>
      <c r="I7" s="96">
        <v>8</v>
      </c>
      <c r="K7" s="38">
        <v>5</v>
      </c>
      <c r="L7" s="101">
        <v>-184.89999999999998</v>
      </c>
      <c r="N7" s="118" t="s">
        <v>139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92</v>
      </c>
      <c r="F8" s="60" t="s">
        <v>46</v>
      </c>
      <c r="G8" s="47">
        <v>7</v>
      </c>
      <c r="H8" s="135">
        <f>IF(B$17=0,0,G8/B$17)</f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72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71</v>
      </c>
      <c r="F10" s="60" t="s">
        <v>25</v>
      </c>
      <c r="G10" s="47">
        <v>5</v>
      </c>
      <c r="H10" s="135">
        <f>IF(B$17=0,0,G10/B$17)</f>
        <v>0.11363636363636363</v>
      </c>
      <c r="I10" s="96">
        <v>10</v>
      </c>
      <c r="K10" s="38">
        <v>8</v>
      </c>
      <c r="L10" s="101">
        <v>-219.59999999999997</v>
      </c>
      <c r="N10" s="116" t="s">
        <v>167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142</v>
      </c>
      <c r="B11" s="48">
        <v>1</v>
      </c>
      <c r="C11" s="40">
        <f>IF(B$2=0,0,B11/B$2)</f>
        <v>5.8823529411764705E-2</v>
      </c>
      <c r="E11" s="63" t="s">
        <v>73</v>
      </c>
      <c r="F11" s="60" t="s">
        <v>27</v>
      </c>
      <c r="G11" s="47">
        <v>3</v>
      </c>
      <c r="H11" s="135">
        <f>IF(B$17=0,0,G11/B$17)</f>
        <v>6.8181818181818177E-2</v>
      </c>
      <c r="I11" s="96">
        <v>5</v>
      </c>
      <c r="K11" s="38">
        <v>9</v>
      </c>
      <c r="L11" s="101">
        <v>-260.59999999999997</v>
      </c>
      <c r="N11" s="117" t="s">
        <v>168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162</v>
      </c>
      <c r="B12" s="49">
        <v>1</v>
      </c>
      <c r="C12" s="42">
        <f>IF(B$2=0,0,B12/B$2)</f>
        <v>5.8823529411764705E-2</v>
      </c>
      <c r="E12" s="63" t="s">
        <v>86</v>
      </c>
      <c r="F12" s="60" t="s">
        <v>40</v>
      </c>
      <c r="G12" s="47">
        <v>2</v>
      </c>
      <c r="H12" s="135">
        <f>IF(B$17=0,0,G12/B$17)</f>
        <v>4.5454545454545456E-2</v>
      </c>
      <c r="I12" s="96">
        <v>5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29</v>
      </c>
      <c r="C13" s="44">
        <f>IF(B$3=0,0,B13/B$3)</f>
        <v>0.18709677419354839</v>
      </c>
      <c r="E13" s="63" t="s">
        <v>89</v>
      </c>
      <c r="F13" s="60" t="s">
        <v>43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35</v>
      </c>
      <c r="C14" s="39">
        <f>IF(B$3=0,0,B14/B$3)</f>
        <v>0.22580645161290322</v>
      </c>
      <c r="E14" s="63" t="s">
        <v>67</v>
      </c>
      <c r="F14" s="60" t="s">
        <v>22</v>
      </c>
      <c r="G14" s="47">
        <v>1</v>
      </c>
      <c r="H14" s="135">
        <f>IF(B$17=0,0,G14/B$17)</f>
        <v>2.2727272727272728E-2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0.55172413793103448</v>
      </c>
      <c r="E15" s="63" t="s">
        <v>81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131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127</v>
      </c>
      <c r="B16" s="46">
        <v>11</v>
      </c>
      <c r="C16" s="37">
        <f>IF(B$14=0,0,B16/B$14)</f>
        <v>0.31428571428571428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130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174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180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197</v>
      </c>
      <c r="B22" s="47">
        <v>11</v>
      </c>
      <c r="C22" s="137">
        <v>1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58900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5A97-BE24-4632-A651-5C9514DD15AA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9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4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9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9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E16C6-4601-458A-BD57-13CA6D507AD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2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BA07C-7CD6-43DE-8DD1-9422AD3D31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9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EE78-8E75-4BC4-927B-1C8654E6574B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3BC5-4C02-4065-9C1D-E3450CC5F4F0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4A5BA-D8F8-4208-AFA7-D8AC6AE0472A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C8BA4-7178-4456-A430-E0D3D865BCF1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  <row r="20" spans="1:16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0.18709677419354839</v>
      </c>
      <c r="M20" s="67">
        <v>0.22580645161290322</v>
      </c>
      <c r="N20" s="67">
        <v>0.55172413793103448</v>
      </c>
      <c r="O20" s="67">
        <v>0.31428571428571428</v>
      </c>
      <c r="P20" s="67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8C49-0895-4DEA-8829-E0ADBB0628D4}">
  <sheetPr codeName="Sheet16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  <row r="22" spans="1:16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0.21088435374149661</v>
      </c>
      <c r="M22" s="67">
        <v>0.35374149659863946</v>
      </c>
      <c r="N22" s="67">
        <v>0.64516129032258063</v>
      </c>
      <c r="O22" s="67">
        <v>0.44230769230769229</v>
      </c>
      <c r="P22" s="67">
        <v>0.37254901960784315</v>
      </c>
    </row>
    <row r="23" spans="1:16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0.20987654320987653</v>
      </c>
      <c r="M23" s="67">
        <v>0.36419753086419754</v>
      </c>
      <c r="N23" s="67">
        <v>0.6470588235294118</v>
      </c>
      <c r="O23" s="67">
        <v>0.44067796610169491</v>
      </c>
      <c r="P23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E3A2-C3E3-4222-B4C9-82A210CEE068}">
  <sheetPr codeName="Sheet14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E131-7D7A-4B14-99F9-EEC190D04C6D}">
  <sheetPr codeName="Sheet12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42C2-C4C8-486D-8EA6-24D7C23BE541}">
  <sheetPr codeName="Sheet10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  <row r="47" spans="1:16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0.30352303523035229</v>
      </c>
      <c r="G47" s="67">
        <v>0.16260162601626016</v>
      </c>
      <c r="H47" s="68">
        <v>9000.8928571428569</v>
      </c>
      <c r="I47" s="68">
        <v>-7113.333333333333</v>
      </c>
      <c r="J47" s="67">
        <v>6.8181818181818177E-2</v>
      </c>
      <c r="K47" s="67">
        <v>6.8181818181818177E-2</v>
      </c>
      <c r="L47" s="67">
        <v>0.29539295392953929</v>
      </c>
      <c r="M47" s="67">
        <v>0.18157181571815717</v>
      </c>
      <c r="N47" s="67">
        <v>0.64220183486238536</v>
      </c>
      <c r="O47" s="67">
        <v>0.2537313432835821</v>
      </c>
      <c r="P47" s="67">
        <v>0.4107142857142857</v>
      </c>
    </row>
    <row r="48" spans="1:16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0.296875</v>
      </c>
      <c r="G48" s="67">
        <v>0.16145833333333334</v>
      </c>
      <c r="H48" s="68">
        <v>8982.4561403508778</v>
      </c>
      <c r="I48" s="68">
        <v>-7075.8064516129034</v>
      </c>
      <c r="J48" s="67">
        <v>8.8888888888888892E-2</v>
      </c>
      <c r="K48" s="67">
        <v>6.6666666666666666E-2</v>
      </c>
      <c r="L48" s="67">
        <v>0.28645833333333331</v>
      </c>
      <c r="M48" s="67">
        <v>0.17708333333333334</v>
      </c>
      <c r="N48" s="67">
        <v>0.6454545454545455</v>
      </c>
      <c r="O48" s="67">
        <v>0.25</v>
      </c>
      <c r="P48" s="67">
        <v>0.40350877192982454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66A3-35EE-4CFD-B4A4-73902A5854E7}">
  <sheetPr codeName="Sheet8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  <row r="46" spans="1:16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0.33724340175953077</v>
      </c>
      <c r="M46" s="67">
        <v>0.2404692082111437</v>
      </c>
      <c r="N46" s="67">
        <v>0.63478260869565217</v>
      </c>
      <c r="O46" s="67">
        <v>0.56097560975609762</v>
      </c>
      <c r="P46" s="67">
        <v>0.40559440559440557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839BF-D06F-4CE8-8C77-7A28FF052826}">
  <sheetPr codeName="Sheet6"/>
  <dimension ref="A1:Q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  <row r="67" spans="1:16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0.30044275774826057</v>
      </c>
      <c r="G67" s="67">
        <v>0.17773561037318153</v>
      </c>
      <c r="H67" s="68">
        <v>8209.4736842105267</v>
      </c>
      <c r="I67" s="68">
        <v>-7880.7829181494662</v>
      </c>
      <c r="J67" s="67">
        <v>8.3333333333333329E-2</v>
      </c>
      <c r="K67" s="67">
        <v>8.3333333333333329E-2</v>
      </c>
      <c r="L67" s="67">
        <v>0.25932953826691968</v>
      </c>
      <c r="M67" s="67">
        <v>0.21125869702719799</v>
      </c>
      <c r="N67" s="67">
        <v>0.59268292682926826</v>
      </c>
      <c r="O67" s="67">
        <v>0.38622754491017963</v>
      </c>
      <c r="P67" s="67">
        <v>0.40210526315789474</v>
      </c>
    </row>
    <row r="68" spans="1:16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0.30012300123001229</v>
      </c>
      <c r="G68" s="67">
        <v>0.17712177121771217</v>
      </c>
      <c r="H68" s="68">
        <v>8204.7131147540986</v>
      </c>
      <c r="I68" s="68">
        <v>-7851.7361111111113</v>
      </c>
      <c r="J68" s="67">
        <v>8.7179487179487175E-2</v>
      </c>
      <c r="K68" s="67">
        <v>8.7179487179487175E-2</v>
      </c>
      <c r="L68" s="67">
        <v>0.25645756457564578</v>
      </c>
      <c r="M68" s="67">
        <v>0.21217712177121772</v>
      </c>
      <c r="N68" s="67">
        <v>0.59472422062350117</v>
      </c>
      <c r="O68" s="67">
        <v>0.38550724637681161</v>
      </c>
      <c r="P68" s="67">
        <v>0.40163934426229508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2019-04-17T05:57:11Z</dcterms:modified>
</cp:coreProperties>
</file>