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E6929C1-30D7-4D9A-8D50-B059E7C999B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50" r:id="rId6"/>
    <sheet name="だいち" sheetId="4452" r:id="rId7"/>
    <sheet name="りくと" sheetId="4454" r:id="rId8"/>
    <sheet name="ただ" sheetId="4456" r:id="rId9"/>
    <sheet name="れんたろう" sheetId="4458" r:id="rId10"/>
    <sheet name="たかの" sheetId="4460" r:id="rId11"/>
    <sheet name="ぱぱ" sheetId="4462" r:id="rId12"/>
    <sheet name="まっつん" sheetId="4464" r:id="rId13"/>
    <sheet name="まっつん2" sheetId="4465" state="hidden" r:id="rId14"/>
    <sheet name="ぱぱ2" sheetId="4463" state="hidden" r:id="rId15"/>
    <sheet name="たかの2" sheetId="4461" state="hidden" r:id="rId16"/>
    <sheet name="れんたろう2" sheetId="4459" state="hidden" r:id="rId17"/>
    <sheet name="ただ2" sheetId="4457" state="hidden" r:id="rId18"/>
    <sheet name="りくと2" sheetId="4455" state="hidden" r:id="rId19"/>
    <sheet name="だいち2" sheetId="4453" state="hidden" r:id="rId20"/>
    <sheet name="全体2" sheetId="4451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464" l="1"/>
  <c r="O19" i="4462"/>
  <c r="O18" i="4462"/>
  <c r="O15" i="4454"/>
  <c r="O17" i="4460" l="1"/>
  <c r="O17" i="4458"/>
  <c r="O15" i="4462"/>
  <c r="O17" i="4462"/>
  <c r="O15" i="4460" l="1"/>
  <c r="O15" i="4458"/>
  <c r="O18" i="4456"/>
  <c r="O19" i="4456"/>
  <c r="O17" i="4464"/>
  <c r="O16" i="4464"/>
  <c r="H12" i="4464"/>
  <c r="H52" i="4464"/>
  <c r="H51" i="4464"/>
  <c r="H50" i="4464"/>
  <c r="H49" i="4464"/>
  <c r="H48" i="4464"/>
  <c r="H47" i="4464"/>
  <c r="H46" i="4464"/>
  <c r="H45" i="4464"/>
  <c r="H44" i="4464"/>
  <c r="H43" i="4464"/>
  <c r="H42" i="4464"/>
  <c r="H41" i="4464"/>
  <c r="H40" i="4464"/>
  <c r="H39" i="4464"/>
  <c r="H38" i="4464"/>
  <c r="H37" i="4464"/>
  <c r="H36" i="4464"/>
  <c r="H35" i="4464"/>
  <c r="H34" i="4464"/>
  <c r="H33" i="4464"/>
  <c r="H32" i="4464"/>
  <c r="H11" i="4464"/>
  <c r="H31" i="4464"/>
  <c r="H10" i="4464"/>
  <c r="H30" i="4464"/>
  <c r="H29" i="4464"/>
  <c r="H28" i="4464"/>
  <c r="C25" i="4464"/>
  <c r="H27" i="4464"/>
  <c r="H26" i="4464"/>
  <c r="H25" i="4464"/>
  <c r="B22" i="4464"/>
  <c r="H24" i="4464"/>
  <c r="H23" i="4464"/>
  <c r="C20" i="4464"/>
  <c r="H22" i="4464"/>
  <c r="H21" i="4464"/>
  <c r="H20" i="4464"/>
  <c r="B17" i="4464"/>
  <c r="B21" i="4464" s="1"/>
  <c r="H19" i="4464"/>
  <c r="C16" i="4464"/>
  <c r="H18" i="4464"/>
  <c r="C15" i="4464"/>
  <c r="H17" i="4464"/>
  <c r="C14" i="4464"/>
  <c r="H9" i="4464"/>
  <c r="C13" i="4464"/>
  <c r="O12" i="4464"/>
  <c r="H16" i="4464"/>
  <c r="C12" i="4464"/>
  <c r="O11" i="4464"/>
  <c r="H15" i="4464"/>
  <c r="C11" i="4464"/>
  <c r="O10" i="4464"/>
  <c r="H8" i="4464"/>
  <c r="C10" i="4464"/>
  <c r="H14" i="4464"/>
  <c r="C9" i="4464"/>
  <c r="H13" i="4464"/>
  <c r="C8" i="4464"/>
  <c r="O7" i="4464"/>
  <c r="H7" i="4464"/>
  <c r="C7" i="4464"/>
  <c r="O6" i="4464"/>
  <c r="H5" i="4464"/>
  <c r="B6" i="4464"/>
  <c r="O5" i="4464"/>
  <c r="H4" i="4464"/>
  <c r="B5" i="4464"/>
  <c r="O4" i="4464"/>
  <c r="H3" i="4464"/>
  <c r="O3" i="4464"/>
  <c r="H6" i="4464"/>
  <c r="O2" i="4464"/>
  <c r="H2" i="4464"/>
  <c r="O16" i="4458"/>
  <c r="O20" i="4454"/>
  <c r="O20" i="4450"/>
  <c r="C18" i="4464" l="1"/>
  <c r="C19" i="4464"/>
  <c r="C17" i="4464"/>
  <c r="O16" i="4456" l="1"/>
  <c r="O20" i="4462"/>
  <c r="O16" i="4462"/>
  <c r="H6" i="4462"/>
  <c r="H52" i="4462"/>
  <c r="H51" i="4462"/>
  <c r="H50" i="4462"/>
  <c r="H49" i="4462"/>
  <c r="H48" i="4462"/>
  <c r="H47" i="4462"/>
  <c r="H46" i="4462"/>
  <c r="H45" i="4462"/>
  <c r="H44" i="4462"/>
  <c r="H43" i="4462"/>
  <c r="H42" i="4462"/>
  <c r="H41" i="4462"/>
  <c r="H40" i="4462"/>
  <c r="H39" i="4462"/>
  <c r="H38" i="4462"/>
  <c r="H37" i="4462"/>
  <c r="H36" i="4462"/>
  <c r="H35" i="4462"/>
  <c r="H34" i="4462"/>
  <c r="H33" i="4462"/>
  <c r="H32" i="4462"/>
  <c r="H31" i="4462"/>
  <c r="H30" i="4462"/>
  <c r="H8" i="4462"/>
  <c r="H29" i="4462"/>
  <c r="H28" i="4462"/>
  <c r="H27" i="4462"/>
  <c r="C25" i="4462"/>
  <c r="H26" i="4462"/>
  <c r="H25" i="4462"/>
  <c r="H11" i="4462"/>
  <c r="B22" i="4462"/>
  <c r="H24" i="4462"/>
  <c r="H23" i="4462"/>
  <c r="C20" i="4462"/>
  <c r="H22" i="4462"/>
  <c r="H21" i="4462"/>
  <c r="H20" i="4462"/>
  <c r="B17" i="4462"/>
  <c r="B21" i="4462" s="1"/>
  <c r="H19" i="4462"/>
  <c r="C16" i="4462"/>
  <c r="H18" i="4462"/>
  <c r="C15" i="4462"/>
  <c r="H17" i="4462"/>
  <c r="C14" i="4462"/>
  <c r="H16" i="4462"/>
  <c r="C13" i="4462"/>
  <c r="O12" i="4462"/>
  <c r="H15" i="4462"/>
  <c r="C12" i="4462"/>
  <c r="O11" i="4462"/>
  <c r="H14" i="4462"/>
  <c r="C11" i="4462"/>
  <c r="O10" i="4462"/>
  <c r="H3" i="4462"/>
  <c r="C10" i="4462"/>
  <c r="H12" i="4462"/>
  <c r="C9" i="4462"/>
  <c r="H10" i="4462"/>
  <c r="C8" i="4462"/>
  <c r="O7" i="4462"/>
  <c r="H7" i="4462"/>
  <c r="C7" i="4462"/>
  <c r="O6" i="4462"/>
  <c r="H4" i="4462"/>
  <c r="B6" i="4462"/>
  <c r="O5" i="4462"/>
  <c r="H9" i="4462"/>
  <c r="B5" i="4462"/>
  <c r="O4" i="4462"/>
  <c r="H2" i="4462"/>
  <c r="O3" i="4462"/>
  <c r="H13" i="4462"/>
  <c r="O2" i="4462"/>
  <c r="H5" i="4462"/>
  <c r="O15" i="4452"/>
  <c r="O15" i="4450"/>
  <c r="O19" i="4460"/>
  <c r="O17" i="4454"/>
  <c r="O16" i="4454"/>
  <c r="O19" i="4458"/>
  <c r="O16" i="4460"/>
  <c r="O18" i="4460"/>
  <c r="H3" i="4460"/>
  <c r="H52" i="4460"/>
  <c r="H51" i="4460"/>
  <c r="H50" i="4460"/>
  <c r="H49" i="4460"/>
  <c r="H48" i="4460"/>
  <c r="H47" i="4460"/>
  <c r="H46" i="4460"/>
  <c r="H45" i="4460"/>
  <c r="H44" i="4460"/>
  <c r="H43" i="4460"/>
  <c r="H42" i="4460"/>
  <c r="H41" i="4460"/>
  <c r="H40" i="4460"/>
  <c r="H39" i="4460"/>
  <c r="H38" i="4460"/>
  <c r="H37" i="4460"/>
  <c r="H36" i="4460"/>
  <c r="H35" i="4460"/>
  <c r="H34" i="4460"/>
  <c r="H33" i="4460"/>
  <c r="H32" i="4460"/>
  <c r="H31" i="4460"/>
  <c r="H30" i="4460"/>
  <c r="H9" i="4460"/>
  <c r="H29" i="4460"/>
  <c r="H28" i="4460"/>
  <c r="H13" i="4460"/>
  <c r="C25" i="4460"/>
  <c r="H27" i="4460"/>
  <c r="H26" i="4460"/>
  <c r="H12" i="4460"/>
  <c r="B22" i="4460"/>
  <c r="H25" i="4460"/>
  <c r="H11" i="4460"/>
  <c r="C20" i="4460"/>
  <c r="H24" i="4460"/>
  <c r="H23" i="4460"/>
  <c r="H22" i="4460"/>
  <c r="B17" i="4460"/>
  <c r="C18" i="4460" s="1"/>
  <c r="H21" i="4460"/>
  <c r="C16" i="4460"/>
  <c r="H20" i="4460"/>
  <c r="C15" i="4460"/>
  <c r="H19" i="4460"/>
  <c r="C14" i="4460"/>
  <c r="H18" i="4460"/>
  <c r="C13" i="4460"/>
  <c r="O12" i="4460"/>
  <c r="H17" i="4460"/>
  <c r="C12" i="4460"/>
  <c r="O11" i="4460"/>
  <c r="H16" i="4460"/>
  <c r="C11" i="4460"/>
  <c r="O10" i="4460"/>
  <c r="H2" i="4460"/>
  <c r="C10" i="4460"/>
  <c r="H15" i="4460"/>
  <c r="C9" i="4460"/>
  <c r="H14" i="4460"/>
  <c r="C8" i="4460"/>
  <c r="O7" i="4460"/>
  <c r="H10" i="4460"/>
  <c r="C7" i="4460"/>
  <c r="O6" i="4460"/>
  <c r="H7" i="4460"/>
  <c r="B6" i="4460"/>
  <c r="O5" i="4460"/>
  <c r="H6" i="4460"/>
  <c r="B5" i="4460"/>
  <c r="O4" i="4460"/>
  <c r="H5" i="4460"/>
  <c r="O3" i="4460"/>
  <c r="H8" i="4460"/>
  <c r="O2" i="4460"/>
  <c r="H4" i="4460"/>
  <c r="O20" i="4458"/>
  <c r="O18" i="4458"/>
  <c r="H5" i="4458"/>
  <c r="H52" i="4458"/>
  <c r="H51" i="4458"/>
  <c r="H50" i="4458"/>
  <c r="H49" i="4458"/>
  <c r="H48" i="4458"/>
  <c r="H47" i="4458"/>
  <c r="H46" i="4458"/>
  <c r="H45" i="4458"/>
  <c r="H44" i="4458"/>
  <c r="H43" i="4458"/>
  <c r="H42" i="4458"/>
  <c r="H41" i="4458"/>
  <c r="H40" i="4458"/>
  <c r="H39" i="4458"/>
  <c r="H38" i="4458"/>
  <c r="H37" i="4458"/>
  <c r="H36" i="4458"/>
  <c r="H35" i="4458"/>
  <c r="H34" i="4458"/>
  <c r="H33" i="4458"/>
  <c r="H14" i="4458"/>
  <c r="H32" i="4458"/>
  <c r="H31" i="4458"/>
  <c r="H9" i="4458"/>
  <c r="H30" i="4458"/>
  <c r="H29" i="4458"/>
  <c r="H28" i="4458"/>
  <c r="C25" i="4458"/>
  <c r="H27" i="4458"/>
  <c r="H26" i="4458"/>
  <c r="H13" i="4458"/>
  <c r="B22" i="4458"/>
  <c r="H25" i="4458"/>
  <c r="H24" i="4458"/>
  <c r="C20" i="4458"/>
  <c r="H23" i="4458"/>
  <c r="H22" i="4458"/>
  <c r="H21" i="4458"/>
  <c r="B17" i="4458"/>
  <c r="B21" i="4458" s="1"/>
  <c r="H20" i="4458"/>
  <c r="C16" i="4458"/>
  <c r="H19" i="4458"/>
  <c r="C15" i="4458"/>
  <c r="H18" i="4458"/>
  <c r="C14" i="4458"/>
  <c r="H12" i="4458"/>
  <c r="C13" i="4458"/>
  <c r="O12" i="4458"/>
  <c r="H17" i="4458"/>
  <c r="C12" i="4458"/>
  <c r="O11" i="4458"/>
  <c r="H16" i="4458"/>
  <c r="C11" i="4458"/>
  <c r="O10" i="4458"/>
  <c r="H3" i="4458"/>
  <c r="C10" i="4458"/>
  <c r="H15" i="4458"/>
  <c r="C9" i="4458"/>
  <c r="H8" i="4458"/>
  <c r="C8" i="4458"/>
  <c r="O7" i="4458"/>
  <c r="H6" i="4458"/>
  <c r="C7" i="4458"/>
  <c r="O6" i="4458"/>
  <c r="H7" i="4458"/>
  <c r="B6" i="4458"/>
  <c r="O5" i="4458"/>
  <c r="H11" i="4458"/>
  <c r="B5" i="4458"/>
  <c r="O4" i="4458"/>
  <c r="H2" i="4458"/>
  <c r="O3" i="4458"/>
  <c r="H10" i="4458"/>
  <c r="O2" i="4458"/>
  <c r="H4" i="4458"/>
  <c r="O19" i="4452"/>
  <c r="O16" i="4452"/>
  <c r="O18" i="4450"/>
  <c r="O17" i="4450"/>
  <c r="C19" i="4458" l="1"/>
  <c r="C19" i="4462"/>
  <c r="C18" i="4462"/>
  <c r="C17" i="4462"/>
  <c r="C19" i="4460"/>
  <c r="C18" i="4458"/>
  <c r="B21" i="4460"/>
  <c r="C17" i="4460"/>
  <c r="C17" i="4458"/>
  <c r="O15" i="4456" l="1"/>
  <c r="O17" i="4456"/>
  <c r="H7" i="4456"/>
  <c r="H52" i="4456"/>
  <c r="H51" i="4456"/>
  <c r="H50" i="4456"/>
  <c r="H49" i="4456"/>
  <c r="H48" i="4456"/>
  <c r="H47" i="4456"/>
  <c r="H46" i="4456"/>
  <c r="H45" i="4456"/>
  <c r="H44" i="4456"/>
  <c r="H43" i="4456"/>
  <c r="H42" i="4456"/>
  <c r="H41" i="4456"/>
  <c r="H40" i="4456"/>
  <c r="H39" i="4456"/>
  <c r="H38" i="4456"/>
  <c r="H37" i="4456"/>
  <c r="H36" i="4456"/>
  <c r="H35" i="4456"/>
  <c r="H34" i="4456"/>
  <c r="H33" i="4456"/>
  <c r="H32" i="4456"/>
  <c r="H31" i="4456"/>
  <c r="H30" i="4456"/>
  <c r="H9" i="4456"/>
  <c r="H29" i="4456"/>
  <c r="H28" i="4456"/>
  <c r="H12" i="4456"/>
  <c r="C25" i="4456"/>
  <c r="H27" i="4456"/>
  <c r="H26" i="4456"/>
  <c r="H15" i="4456"/>
  <c r="B22" i="4456"/>
  <c r="H25" i="4456"/>
  <c r="H24" i="4456"/>
  <c r="C20" i="4456"/>
  <c r="H23" i="4456"/>
  <c r="H22" i="4456"/>
  <c r="H21" i="4456"/>
  <c r="B17" i="4456"/>
  <c r="B21" i="4456" s="1"/>
  <c r="H14" i="4456"/>
  <c r="C16" i="4456"/>
  <c r="H20" i="4456"/>
  <c r="C15" i="4456"/>
  <c r="H19" i="4456"/>
  <c r="C14" i="4456"/>
  <c r="H18" i="4456"/>
  <c r="C13" i="4456"/>
  <c r="O12" i="4456"/>
  <c r="H17" i="4456"/>
  <c r="C12" i="4456"/>
  <c r="O11" i="4456"/>
  <c r="H16" i="4456"/>
  <c r="C11" i="4456"/>
  <c r="O10" i="4456"/>
  <c r="H5" i="4456"/>
  <c r="C10" i="4456"/>
  <c r="H8" i="4456"/>
  <c r="C9" i="4456"/>
  <c r="H11" i="4456"/>
  <c r="C8" i="4456"/>
  <c r="O7" i="4456"/>
  <c r="H10" i="4456"/>
  <c r="C7" i="4456"/>
  <c r="O6" i="4456"/>
  <c r="H6" i="4456"/>
  <c r="B6" i="4456"/>
  <c r="O5" i="4456"/>
  <c r="H4" i="4456"/>
  <c r="B5" i="4456"/>
  <c r="O4" i="4456"/>
  <c r="H2" i="4456"/>
  <c r="O3" i="4456"/>
  <c r="H13" i="4456"/>
  <c r="O2" i="4456"/>
  <c r="H3" i="4456"/>
  <c r="O19" i="4454"/>
  <c r="O18" i="4454"/>
  <c r="H4" i="4454"/>
  <c r="H52" i="4454"/>
  <c r="H51" i="4454"/>
  <c r="H50" i="4454"/>
  <c r="H49" i="4454"/>
  <c r="H48" i="4454"/>
  <c r="H47" i="4454"/>
  <c r="H46" i="4454"/>
  <c r="H45" i="4454"/>
  <c r="H44" i="4454"/>
  <c r="H43" i="4454"/>
  <c r="H42" i="4454"/>
  <c r="H41" i="4454"/>
  <c r="H40" i="4454"/>
  <c r="H39" i="4454"/>
  <c r="H38" i="4454"/>
  <c r="H37" i="4454"/>
  <c r="H36" i="4454"/>
  <c r="H35" i="4454"/>
  <c r="H34" i="4454"/>
  <c r="H33" i="4454"/>
  <c r="H32" i="4454"/>
  <c r="H18" i="4454"/>
  <c r="H31" i="4454"/>
  <c r="H11" i="4454"/>
  <c r="H30" i="4454"/>
  <c r="H29" i="4454"/>
  <c r="H13" i="4454"/>
  <c r="C25" i="4454"/>
  <c r="H28" i="4454"/>
  <c r="H27" i="4454"/>
  <c r="H17" i="4454"/>
  <c r="B22" i="4454"/>
  <c r="H26" i="4454"/>
  <c r="H12" i="4454"/>
  <c r="C20" i="4454"/>
  <c r="H25" i="4454"/>
  <c r="H24" i="4454"/>
  <c r="H23" i="4454"/>
  <c r="B17" i="4454"/>
  <c r="B21" i="4454" s="1"/>
  <c r="H22" i="4454"/>
  <c r="C16" i="4454"/>
  <c r="H21" i="4454"/>
  <c r="C15" i="4454"/>
  <c r="H20" i="4454"/>
  <c r="C14" i="4454"/>
  <c r="H16" i="4454"/>
  <c r="C13" i="4454"/>
  <c r="O12" i="4454"/>
  <c r="H19" i="4454"/>
  <c r="C12" i="4454"/>
  <c r="O11" i="4454"/>
  <c r="H15" i="4454"/>
  <c r="C11" i="4454"/>
  <c r="O10" i="4454"/>
  <c r="H7" i="4454"/>
  <c r="C10" i="4454"/>
  <c r="H14" i="4454"/>
  <c r="C9" i="4454"/>
  <c r="H10" i="4454"/>
  <c r="C8" i="4454"/>
  <c r="O7" i="4454"/>
  <c r="H8" i="4454"/>
  <c r="C7" i="4454"/>
  <c r="O6" i="4454"/>
  <c r="H6" i="4454"/>
  <c r="B6" i="4454"/>
  <c r="O5" i="4454"/>
  <c r="H5" i="4454"/>
  <c r="B5" i="4454"/>
  <c r="O4" i="4454"/>
  <c r="H2" i="4454"/>
  <c r="O3" i="4454"/>
  <c r="H9" i="4454"/>
  <c r="O2" i="4454"/>
  <c r="H3" i="4454"/>
  <c r="O21" i="4450"/>
  <c r="O17" i="4452"/>
  <c r="O18" i="4452"/>
  <c r="H4" i="4452"/>
  <c r="H52" i="4452"/>
  <c r="H51" i="4452"/>
  <c r="H50" i="4452"/>
  <c r="H49" i="4452"/>
  <c r="H48" i="4452"/>
  <c r="H47" i="4452"/>
  <c r="H46" i="4452"/>
  <c r="H45" i="4452"/>
  <c r="H44" i="4452"/>
  <c r="H43" i="4452"/>
  <c r="H42" i="4452"/>
  <c r="H41" i="4452"/>
  <c r="H40" i="4452"/>
  <c r="H39" i="4452"/>
  <c r="H38" i="4452"/>
  <c r="H37" i="4452"/>
  <c r="H36" i="4452"/>
  <c r="H35" i="4452"/>
  <c r="H34" i="4452"/>
  <c r="H33" i="4452"/>
  <c r="H32" i="4452"/>
  <c r="H31" i="4452"/>
  <c r="H30" i="4452"/>
  <c r="H7" i="4452"/>
  <c r="H29" i="4452"/>
  <c r="H28" i="4452"/>
  <c r="H11" i="4452"/>
  <c r="C25" i="4452"/>
  <c r="H27" i="4452"/>
  <c r="H26" i="4452"/>
  <c r="H14" i="4452"/>
  <c r="B22" i="4452"/>
  <c r="H25" i="4452"/>
  <c r="H16" i="4452"/>
  <c r="C20" i="4452"/>
  <c r="H24" i="4452"/>
  <c r="H23" i="4452"/>
  <c r="H22" i="4452"/>
  <c r="B17" i="4452"/>
  <c r="C18" i="4452" s="1"/>
  <c r="H13" i="4452"/>
  <c r="C16" i="4452"/>
  <c r="H21" i="4452"/>
  <c r="C15" i="4452"/>
  <c r="H20" i="4452"/>
  <c r="C14" i="4452"/>
  <c r="H19" i="4452"/>
  <c r="C13" i="4452"/>
  <c r="O12" i="4452"/>
  <c r="H18" i="4452"/>
  <c r="C12" i="4452"/>
  <c r="O11" i="4452"/>
  <c r="H17" i="4452"/>
  <c r="C11" i="4452"/>
  <c r="O10" i="4452"/>
  <c r="H2" i="4452"/>
  <c r="C10" i="4452"/>
  <c r="H15" i="4452"/>
  <c r="C9" i="4452"/>
  <c r="H12" i="4452"/>
  <c r="C8" i="4452"/>
  <c r="O7" i="4452"/>
  <c r="H6" i="4452"/>
  <c r="C7" i="4452"/>
  <c r="O6" i="4452"/>
  <c r="H8" i="4452"/>
  <c r="B6" i="4452"/>
  <c r="O5" i="4452"/>
  <c r="H9" i="4452"/>
  <c r="B5" i="4452"/>
  <c r="O4" i="4452"/>
  <c r="H3" i="4452"/>
  <c r="O3" i="4452"/>
  <c r="H10" i="4452"/>
  <c r="O2" i="4452"/>
  <c r="H5" i="4452"/>
  <c r="O16" i="4450"/>
  <c r="O19" i="4450"/>
  <c r="H5" i="4450"/>
  <c r="H52" i="4450"/>
  <c r="H51" i="4450"/>
  <c r="H50" i="4450"/>
  <c r="H49" i="4450"/>
  <c r="H48" i="4450"/>
  <c r="H47" i="4450"/>
  <c r="H46" i="4450"/>
  <c r="H45" i="4450"/>
  <c r="H44" i="4450"/>
  <c r="H43" i="4450"/>
  <c r="H42" i="4450"/>
  <c r="H41" i="4450"/>
  <c r="H40" i="4450"/>
  <c r="H39" i="4450"/>
  <c r="H38" i="4450"/>
  <c r="H37" i="4450"/>
  <c r="H36" i="4450"/>
  <c r="H35" i="4450"/>
  <c r="H34" i="4450"/>
  <c r="H33" i="4450"/>
  <c r="H20" i="4450"/>
  <c r="H18" i="4450"/>
  <c r="H32" i="4450"/>
  <c r="H9" i="4450"/>
  <c r="H31" i="4450"/>
  <c r="H30" i="4450"/>
  <c r="H12" i="4450"/>
  <c r="C25" i="4450"/>
  <c r="H29" i="4450"/>
  <c r="H28" i="4450"/>
  <c r="H13" i="4450"/>
  <c r="B22" i="4450"/>
  <c r="H27" i="4450"/>
  <c r="H15" i="4450"/>
  <c r="C20" i="4450"/>
  <c r="H26" i="4450"/>
  <c r="H25" i="4450"/>
  <c r="H24" i="4450"/>
  <c r="B17" i="4450"/>
  <c r="B21" i="4450" s="1"/>
  <c r="H17" i="4450"/>
  <c r="C16" i="4450"/>
  <c r="H23" i="4450"/>
  <c r="C15" i="4450"/>
  <c r="H22" i="4450"/>
  <c r="C14" i="4450"/>
  <c r="H16" i="4450"/>
  <c r="C13" i="4450"/>
  <c r="O12" i="4450"/>
  <c r="H21" i="4450"/>
  <c r="C12" i="4450"/>
  <c r="O11" i="4450"/>
  <c r="H19" i="4450"/>
  <c r="C11" i="4450"/>
  <c r="O10" i="4450"/>
  <c r="H3" i="4450"/>
  <c r="C10" i="4450"/>
  <c r="H14" i="4450"/>
  <c r="C9" i="4450"/>
  <c r="H11" i="4450"/>
  <c r="C8" i="4450"/>
  <c r="O7" i="4450"/>
  <c r="H8" i="4450"/>
  <c r="C7" i="4450"/>
  <c r="O6" i="4450"/>
  <c r="H6" i="4450"/>
  <c r="B6" i="4450"/>
  <c r="O5" i="4450"/>
  <c r="H7" i="4450"/>
  <c r="B5" i="4450"/>
  <c r="O4" i="4450"/>
  <c r="H2" i="4450"/>
  <c r="O3" i="4450"/>
  <c r="H10" i="4450"/>
  <c r="O2" i="4450"/>
  <c r="H4" i="4450"/>
  <c r="C19" i="4452" l="1"/>
  <c r="C19" i="4454"/>
  <c r="C19" i="4456"/>
  <c r="C19" i="4450"/>
  <c r="C18" i="4454"/>
  <c r="C17" i="4456"/>
  <c r="C18" i="4456"/>
  <c r="C17" i="4454"/>
  <c r="C18" i="4450"/>
  <c r="B21" i="4452"/>
  <c r="C17" i="4452"/>
  <c r="C17" i="445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<sst xmlns="http://schemas.openxmlformats.org/spreadsheetml/2006/main" count="1971" uniqueCount="193">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</sst>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全体!$L$2:$L$71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F-4670-9056-467C63105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-72.463768115942031</c:v>
                </c:pt>
                <c:pt idx="1">
                  <c:v>0</c:v>
                </c:pt>
                <c:pt idx="2">
                  <c:v>79.365079365079367</c:v>
                </c:pt>
                <c:pt idx="3">
                  <c:v>0</c:v>
                </c:pt>
                <c:pt idx="4">
                  <c:v>-17.543859649122808</c:v>
                </c:pt>
                <c:pt idx="5">
                  <c:v>19.607843137254903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3-4899-8ADD-DCD49596A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A1-4173-9C6B-F86ED6776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2553.8461538461538</c:v>
                </c:pt>
                <c:pt idx="1">
                  <c:v>4823.0769230769229</c:v>
                </c:pt>
                <c:pt idx="2">
                  <c:v>4391.666666666667</c:v>
                </c:pt>
                <c:pt idx="3">
                  <c:v>7872.727272727273</c:v>
                </c:pt>
                <c:pt idx="4">
                  <c:v>1180</c:v>
                </c:pt>
                <c:pt idx="5">
                  <c:v>766.66666666666663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E2-4799-A22B-72F4FCB08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りくと!$L$2:$L$17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E3-4464-AC4F-9A9DD617F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686.66666666666663</c:v>
                </c:pt>
                <c:pt idx="1">
                  <c:v>-846.66666666666663</c:v>
                </c:pt>
                <c:pt idx="2">
                  <c:v>-780</c:v>
                </c:pt>
                <c:pt idx="3">
                  <c:v>2953.3333333333335</c:v>
                </c:pt>
                <c:pt idx="4">
                  <c:v>3040</c:v>
                </c:pt>
                <c:pt idx="5">
                  <c:v>-557.14285714285711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5-4951-93FC-CBF288D24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A-4E96-8E2A-B244FFFAD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1255.5555555555557</c:v>
                </c:pt>
                <c:pt idx="1">
                  <c:v>-3022.2222222222222</c:v>
                </c:pt>
                <c:pt idx="2">
                  <c:v>-2914.2857142857142</c:v>
                </c:pt>
                <c:pt idx="3">
                  <c:v>-5114.2857142857147</c:v>
                </c:pt>
                <c:pt idx="4">
                  <c:v>-1571.4285714285713</c:v>
                </c:pt>
                <c:pt idx="5">
                  <c:v>-642.85714285714289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5-4070-BF75-CD1528400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D-4D12-AF4B-528381EA9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-3153.8461538461538</c:v>
                </c:pt>
                <c:pt idx="1">
                  <c:v>2123.0769230769229</c:v>
                </c:pt>
                <c:pt idx="2">
                  <c:v>-316.66666666666669</c:v>
                </c:pt>
                <c:pt idx="3">
                  <c:v>-5209.090909090909</c:v>
                </c:pt>
                <c:pt idx="4">
                  <c:v>2200</c:v>
                </c:pt>
                <c:pt idx="5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B-43E2-BECB-82AC28907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9-4E1B-BDC6-2314BEB7E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2700</c:v>
                </c:pt>
                <c:pt idx="1">
                  <c:v>1842.8571428571429</c:v>
                </c:pt>
                <c:pt idx="2">
                  <c:v>-1466.6666666666667</c:v>
                </c:pt>
                <c:pt idx="3">
                  <c:v>4200</c:v>
                </c:pt>
                <c:pt idx="4">
                  <c:v>-4716.666666666667</c:v>
                </c:pt>
                <c:pt idx="5">
                  <c:v>-3020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4-480F-BF1F-35BB6F49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C4-4F90-8B33-F11C4B2C6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-3600</c:v>
                </c:pt>
                <c:pt idx="1">
                  <c:v>-5730</c:v>
                </c:pt>
                <c:pt idx="2">
                  <c:v>-122.22222222222223</c:v>
                </c:pt>
                <c:pt idx="3">
                  <c:v>-7700</c:v>
                </c:pt>
                <c:pt idx="4">
                  <c:v>-4585.7142857142853</c:v>
                </c:pt>
                <c:pt idx="5">
                  <c:v>-1716.6666666666667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8-4EC3-977C-B5702E205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C-4BF4-9CCB-7F3057F13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-850</c:v>
                </c:pt>
                <c:pt idx="1">
                  <c:v>-3000</c:v>
                </c:pt>
                <c:pt idx="2">
                  <c:v>-950</c:v>
                </c:pt>
                <c:pt idx="3">
                  <c:v>-700</c:v>
                </c:pt>
                <c:pt idx="4">
                  <c:v>-4500</c:v>
                </c:pt>
                <c:pt idx="5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B-4175-B67C-066781CB6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まっつん2!$C$3:$C$5</c:f>
              <c:numCache>
                <c:formatCode>\+0.0;\-0.0;\±0</c:formatCode>
                <c:ptCount val="3"/>
                <c:pt idx="1">
                  <c:v>-1.9</c:v>
                </c:pt>
                <c:pt idx="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まっつん2!$D$3:$D$5</c:f>
              <c:numCache>
                <c:formatCode>0.00\ "位"</c:formatCode>
                <c:ptCount val="3"/>
                <c:pt idx="1">
                  <c:v>2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まっつん2!$E$3:$E$5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まっつん2!$F$3:$F$5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まっつん2!$G$3:$G$5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まっつん2!$H$3:$H$5</c:f>
              <c:numCache>
                <c:formatCode>0</c:formatCode>
                <c:ptCount val="3"/>
                <c:pt idx="1">
                  <c:v>7050</c:v>
                </c:pt>
                <c:pt idx="2">
                  <c:v>8800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まっつん2!$I$3:$I$5</c:f>
              <c:numCache>
                <c:formatCode>0</c:formatCode>
                <c:ptCount val="3"/>
                <c:pt idx="1">
                  <c:v>-3900</c:v>
                </c:pt>
                <c:pt idx="2">
                  <c:v>-2933.3333333333335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まっつん2!$M$3:$M$5</c:f>
              <c:numCache>
                <c:formatCode>0.0%</c:formatCode>
                <c:ptCount val="3"/>
                <c:pt idx="1">
                  <c:v>0</c:v>
                </c:pt>
                <c:pt idx="2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まっつん2!$N$3:$N$5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まっつん2!$O$3:$O$5</c:f>
              <c:numCache>
                <c:formatCode>0.0%</c:formatCode>
                <c:ptCount val="3"/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まっつん2!$P$3:$P$5</c:f>
              <c:numCache>
                <c:formatCode>0.0%</c:formatCode>
                <c:ptCount val="3"/>
                <c:pt idx="1">
                  <c:v>0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まっつん2!$Q$3:$Q$5</c:f>
              <c:numCache>
                <c:formatCode>0.0%</c:formatCode>
                <c:ptCount val="3"/>
                <c:pt idx="1">
                  <c:v>0.5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まっつん2!$L$3:$L$5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49FC8-E445-4528-9E32-C17C73F8D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4D0EC8-353B-491C-8A59-816E436F8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C919C7-DB88-4D85-ABB0-789BE0A6D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970077-A0C0-4CAC-91BE-2AB9B09E3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8F4E0F-86E5-418B-A3DA-8D92A811E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F31F4A-9175-47E4-A06F-1485B6809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2343CD-AEE4-4206-B304-801B043B9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B5BE41-859E-4B64-A6C3-55556C5E1A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A13C79-541E-4E1C-955B-E0B177EC9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1BFDD1-B790-4B04-9777-3D5B8D77D9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372313-C0DA-4DE0-A77F-049D474F99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910435-5CEF-4D88-83A5-48DF3D2A0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F3ECB6-2D44-4075-991C-A39711E55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7EC26B-D481-446A-96F2-E41FE971E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74C8E3-3C74-4325-9C5A-DB776D6D0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2A3BAE-F5EF-4573-9F14-4CE8CEB1D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7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7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7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7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7" x14ac:dyDescent="0.4">
      <c r="A7" s="30" t="s">
        <v>192</v>
      </c>
      <c r="B7" s="31">
        <v>43561.748182870368</v>
      </c>
      <c r="C7" s="30" t="s">
        <v>134</v>
      </c>
      <c r="D7" s="30" t="s">
        <v>135</v>
      </c>
      <c r="E7" s="30" t="s">
        <v>177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>
      <selection activeCell="A2" sqref="A2"/>
    </sheetView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0.98438552428981263</v>
      </c>
      <c r="G2" s="164"/>
      <c r="H2" s="163">
        <v>0.98029001752539058</v>
      </c>
      <c r="I2" s="164"/>
      <c r="J2" s="163">
        <v>0.98108506092816505</v>
      </c>
      <c r="K2" s="164"/>
      <c r="L2" s="163">
        <v>0.8293182841346608</v>
      </c>
      <c r="M2" s="164"/>
      <c r="N2" s="163">
        <v>0.97590764341944636</v>
      </c>
      <c r="O2" s="164"/>
      <c r="P2" s="163">
        <v>0.78163438595139334</v>
      </c>
      <c r="Q2" s="164"/>
      <c r="R2" s="163">
        <v>0.6358379978704588</v>
      </c>
      <c r="S2" s="164"/>
      <c r="T2" s="163">
        <v>0.8911536384775165</v>
      </c>
      <c r="U2" s="164"/>
      <c r="V2" s="163">
        <v>0.98229224695480422</v>
      </c>
      <c r="W2" s="164"/>
      <c r="X2" s="163">
        <v>0.93118579964025805</v>
      </c>
      <c r="Y2" s="164"/>
      <c r="Z2" s="163">
        <v>0.8744296479218967</v>
      </c>
      <c r="AA2" s="164"/>
      <c r="AB2" s="163">
        <v>-0.50464340810119857</v>
      </c>
      <c r="AC2" s="164"/>
      <c r="AD2" s="163">
        <v>0.4699475063532666</v>
      </c>
      <c r="AE2" s="164"/>
      <c r="AF2" s="163">
        <v>0.68246399288576276</v>
      </c>
      <c r="AG2" s="164"/>
      <c r="AH2" s="163">
        <v>-0.89010328545620043</v>
      </c>
      <c r="AI2" s="164"/>
      <c r="AJ2" s="163">
        <v>-0.79975435383159077</v>
      </c>
      <c r="AK2" s="164"/>
      <c r="AL2" s="163">
        <v>0.96954019757951282</v>
      </c>
      <c r="AM2" s="164"/>
      <c r="AN2" s="163">
        <v>3.4143287096895361E-2</v>
      </c>
      <c r="AO2" s="164"/>
    </row>
    <row r="3" spans="1:41" x14ac:dyDescent="0.4">
      <c r="A3" s="74">
        <v>1</v>
      </c>
      <c r="B3" s="75" t="s">
        <v>131</v>
      </c>
      <c r="C3" s="76">
        <v>418.90000000000003</v>
      </c>
      <c r="D3" s="77" t="s">
        <v>131</v>
      </c>
      <c r="E3" s="100">
        <v>32.223076923076924</v>
      </c>
      <c r="F3" s="77" t="s">
        <v>131</v>
      </c>
      <c r="G3" s="78">
        <v>1.3846153846153846</v>
      </c>
      <c r="H3" s="77" t="s">
        <v>131</v>
      </c>
      <c r="I3" s="79">
        <v>0.69230769230769229</v>
      </c>
      <c r="J3" s="77" t="s">
        <v>185</v>
      </c>
      <c r="K3" s="79">
        <v>0</v>
      </c>
      <c r="L3" s="77" t="s">
        <v>131</v>
      </c>
      <c r="M3" s="80">
        <v>0.44444444444444442</v>
      </c>
      <c r="N3" s="77" t="s">
        <v>131</v>
      </c>
      <c r="O3" s="80">
        <v>0.1388888888888889</v>
      </c>
      <c r="P3" s="77" t="s">
        <v>185</v>
      </c>
      <c r="Q3" s="81">
        <v>8800</v>
      </c>
      <c r="R3" s="77" t="s">
        <v>185</v>
      </c>
      <c r="S3" s="81">
        <v>-2933.3333333333335</v>
      </c>
      <c r="T3" s="77" t="s">
        <v>131</v>
      </c>
      <c r="U3" s="79">
        <v>0</v>
      </c>
      <c r="V3" s="77" t="s">
        <v>131</v>
      </c>
      <c r="W3" s="79">
        <v>0.15384615384615385</v>
      </c>
      <c r="X3" s="77" t="s">
        <v>185</v>
      </c>
      <c r="Y3" s="79">
        <v>0.5</v>
      </c>
      <c r="Z3" s="77" t="s">
        <v>132</v>
      </c>
      <c r="AA3" s="80">
        <v>0.36507936507936506</v>
      </c>
      <c r="AB3" s="77" t="s">
        <v>180</v>
      </c>
      <c r="AC3" s="80">
        <v>0.34545454545454546</v>
      </c>
      <c r="AD3" s="77" t="s">
        <v>185</v>
      </c>
      <c r="AE3" s="80">
        <v>1</v>
      </c>
      <c r="AF3" s="77" t="s">
        <v>131</v>
      </c>
      <c r="AG3" s="80">
        <v>0.6428571428571429</v>
      </c>
      <c r="AH3" s="77" t="s">
        <v>181</v>
      </c>
      <c r="AI3" s="80">
        <v>0.52</v>
      </c>
      <c r="AJ3" s="77" t="s">
        <v>149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3</v>
      </c>
    </row>
    <row r="4" spans="1:41" x14ac:dyDescent="0.4">
      <c r="A4" s="84">
        <v>2</v>
      </c>
      <c r="B4" s="85" t="s">
        <v>132</v>
      </c>
      <c r="C4" s="86">
        <v>47.999999999999986</v>
      </c>
      <c r="D4" s="87" t="s">
        <v>185</v>
      </c>
      <c r="E4" s="101">
        <v>15</v>
      </c>
      <c r="F4" s="87" t="s">
        <v>185</v>
      </c>
      <c r="G4" s="88">
        <v>1.5</v>
      </c>
      <c r="H4" s="87" t="s">
        <v>185</v>
      </c>
      <c r="I4" s="89">
        <v>0.5</v>
      </c>
      <c r="J4" s="87" t="s">
        <v>131</v>
      </c>
      <c r="K4" s="89">
        <v>7.6923076923076927E-2</v>
      </c>
      <c r="L4" s="87" t="s">
        <v>132</v>
      </c>
      <c r="M4" s="90">
        <v>0.33088235294117646</v>
      </c>
      <c r="N4" s="87" t="s">
        <v>180</v>
      </c>
      <c r="O4" s="90">
        <v>0.16363636363636364</v>
      </c>
      <c r="P4" s="87" t="s">
        <v>132</v>
      </c>
      <c r="Q4" s="91">
        <v>8133.333333333333</v>
      </c>
      <c r="R4" s="87" t="s">
        <v>179</v>
      </c>
      <c r="S4" s="91">
        <v>-6895.833333333333</v>
      </c>
      <c r="T4" s="87" t="s">
        <v>132</v>
      </c>
      <c r="U4" s="89">
        <v>0</v>
      </c>
      <c r="V4" s="87" t="s">
        <v>179</v>
      </c>
      <c r="W4" s="89">
        <v>7.6923076923076927E-2</v>
      </c>
      <c r="X4" s="87" t="s">
        <v>131</v>
      </c>
      <c r="Y4" s="89">
        <v>0.30769230769230771</v>
      </c>
      <c r="Z4" s="87" t="s">
        <v>131</v>
      </c>
      <c r="AA4" s="90">
        <v>0.3611111111111111</v>
      </c>
      <c r="AB4" s="87" t="s">
        <v>181</v>
      </c>
      <c r="AC4" s="90">
        <v>0.28735632183908044</v>
      </c>
      <c r="AD4" s="87" t="s">
        <v>180</v>
      </c>
      <c r="AE4" s="90">
        <v>0.7</v>
      </c>
      <c r="AF4" s="87" t="s">
        <v>149</v>
      </c>
      <c r="AG4" s="90">
        <v>0.38848920863309355</v>
      </c>
      <c r="AH4" s="87" t="s">
        <v>132</v>
      </c>
      <c r="AI4" s="90">
        <v>0.4</v>
      </c>
      <c r="AJ4" s="87" t="s">
        <v>133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2</v>
      </c>
    </row>
    <row r="5" spans="1:41" x14ac:dyDescent="0.4">
      <c r="A5" s="84">
        <v>3</v>
      </c>
      <c r="B5" s="85" t="s">
        <v>185</v>
      </c>
      <c r="C5" s="86">
        <v>30</v>
      </c>
      <c r="D5" s="87" t="s">
        <v>132</v>
      </c>
      <c r="E5" s="101">
        <v>3.1999999999999988</v>
      </c>
      <c r="F5" s="87" t="s">
        <v>179</v>
      </c>
      <c r="G5" s="88">
        <v>2</v>
      </c>
      <c r="H5" s="87" t="s">
        <v>179</v>
      </c>
      <c r="I5" s="89">
        <v>0.38461538461538464</v>
      </c>
      <c r="J5" s="87" t="s">
        <v>180</v>
      </c>
      <c r="K5" s="89">
        <v>0.14285714285714285</v>
      </c>
      <c r="L5" s="87" t="s">
        <v>180</v>
      </c>
      <c r="M5" s="90">
        <v>0.30909090909090908</v>
      </c>
      <c r="N5" s="87" t="s">
        <v>132</v>
      </c>
      <c r="O5" s="90">
        <v>0.16911764705882354</v>
      </c>
      <c r="P5" s="87" t="s">
        <v>179</v>
      </c>
      <c r="Q5" s="91">
        <v>7880.7692307692305</v>
      </c>
      <c r="R5" s="87" t="s">
        <v>180</v>
      </c>
      <c r="S5" s="91">
        <v>-7100</v>
      </c>
      <c r="T5" s="87" t="s">
        <v>180</v>
      </c>
      <c r="U5" s="89">
        <v>0</v>
      </c>
      <c r="V5" s="87" t="s">
        <v>132</v>
      </c>
      <c r="W5" s="89">
        <v>6.6666666666666666E-2</v>
      </c>
      <c r="X5" s="87" t="s">
        <v>149</v>
      </c>
      <c r="Y5" s="89">
        <v>0.11594202898550725</v>
      </c>
      <c r="Z5" s="87" t="s">
        <v>149</v>
      </c>
      <c r="AA5" s="90">
        <v>0.26909722222222221</v>
      </c>
      <c r="AB5" s="87" t="s">
        <v>131</v>
      </c>
      <c r="AC5" s="90">
        <v>0.25925925925925924</v>
      </c>
      <c r="AD5" s="87" t="s">
        <v>132</v>
      </c>
      <c r="AE5" s="90">
        <v>0.63043478260869568</v>
      </c>
      <c r="AF5" s="87" t="s">
        <v>133</v>
      </c>
      <c r="AG5" s="90">
        <v>0.375</v>
      </c>
      <c r="AH5" s="87" t="s">
        <v>185</v>
      </c>
      <c r="AI5" s="90">
        <v>0.4</v>
      </c>
      <c r="AJ5" s="87" t="s">
        <v>181</v>
      </c>
      <c r="AK5" s="92">
        <v>6</v>
      </c>
      <c r="AL5" s="87" t="s">
        <v>132</v>
      </c>
      <c r="AM5" s="96">
        <v>88600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180</v>
      </c>
      <c r="C6" s="86">
        <v>7.7999999999999972</v>
      </c>
      <c r="D6" s="87" t="s">
        <v>180</v>
      </c>
      <c r="E6" s="101">
        <v>1.1142857142857139</v>
      </c>
      <c r="F6" s="87" t="s">
        <v>149</v>
      </c>
      <c r="G6" s="88">
        <v>2</v>
      </c>
      <c r="H6" s="87" t="s">
        <v>132</v>
      </c>
      <c r="I6" s="89">
        <v>0.33333333333333331</v>
      </c>
      <c r="J6" s="87" t="s">
        <v>149</v>
      </c>
      <c r="K6" s="89">
        <v>0.33333333333333331</v>
      </c>
      <c r="L6" s="87" t="s">
        <v>149</v>
      </c>
      <c r="M6" s="90">
        <v>0.30528052805280526</v>
      </c>
      <c r="N6" s="87" t="s">
        <v>185</v>
      </c>
      <c r="O6" s="90">
        <v>0.17647058823529413</v>
      </c>
      <c r="P6" s="87" t="s">
        <v>131</v>
      </c>
      <c r="Q6" s="91">
        <v>7870.833333333333</v>
      </c>
      <c r="R6" s="87" t="s">
        <v>131</v>
      </c>
      <c r="S6" s="91">
        <v>-7546.666666666667</v>
      </c>
      <c r="T6" s="87" t="s">
        <v>185</v>
      </c>
      <c r="U6" s="89">
        <v>0</v>
      </c>
      <c r="V6" s="87" t="s">
        <v>149</v>
      </c>
      <c r="W6" s="89">
        <v>5.7971014492753624E-2</v>
      </c>
      <c r="X6" s="87" t="s">
        <v>133</v>
      </c>
      <c r="Y6" s="89">
        <v>0.1111111111111111</v>
      </c>
      <c r="Z6" s="87" t="s">
        <v>179</v>
      </c>
      <c r="AA6" s="90">
        <v>0.24074074074074073</v>
      </c>
      <c r="AB6" s="87" t="s">
        <v>179</v>
      </c>
      <c r="AC6" s="90">
        <v>0.25</v>
      </c>
      <c r="AD6" s="87" t="s">
        <v>133</v>
      </c>
      <c r="AE6" s="90">
        <v>0.55555555555555558</v>
      </c>
      <c r="AF6" s="87" t="s">
        <v>180</v>
      </c>
      <c r="AG6" s="90">
        <v>0.36842105263157893</v>
      </c>
      <c r="AH6" s="87" t="s">
        <v>149</v>
      </c>
      <c r="AI6" s="90">
        <v>0.37297297297297299</v>
      </c>
      <c r="AJ6" s="87" t="s">
        <v>131</v>
      </c>
      <c r="AK6" s="92">
        <v>4</v>
      </c>
      <c r="AL6" s="87" t="s">
        <v>179</v>
      </c>
      <c r="AM6" s="96">
        <v>64600</v>
      </c>
      <c r="AN6" s="87" t="s">
        <v>131</v>
      </c>
      <c r="AO6" s="93">
        <v>0</v>
      </c>
    </row>
    <row r="7" spans="1:41" x14ac:dyDescent="0.4">
      <c r="A7" s="84">
        <v>5</v>
      </c>
      <c r="B7" s="85" t="s">
        <v>149</v>
      </c>
      <c r="C7" s="86">
        <v>0</v>
      </c>
      <c r="D7" s="87" t="s">
        <v>149</v>
      </c>
      <c r="E7" s="101">
        <v>0</v>
      </c>
      <c r="F7" s="87" t="s">
        <v>180</v>
      </c>
      <c r="G7" s="88">
        <v>2</v>
      </c>
      <c r="H7" s="87" t="s">
        <v>149</v>
      </c>
      <c r="I7" s="89">
        <v>0.33333333333333331</v>
      </c>
      <c r="J7" s="87" t="s">
        <v>179</v>
      </c>
      <c r="K7" s="89">
        <v>0.38461538461538464</v>
      </c>
      <c r="L7" s="87" t="s">
        <v>185</v>
      </c>
      <c r="M7" s="90">
        <v>0.29411764705882354</v>
      </c>
      <c r="N7" s="87" t="s">
        <v>149</v>
      </c>
      <c r="O7" s="90">
        <v>0.18976897689768976</v>
      </c>
      <c r="P7" s="87" t="s">
        <v>133</v>
      </c>
      <c r="Q7" s="91">
        <v>7710.5263157894733</v>
      </c>
      <c r="R7" s="87" t="s">
        <v>149</v>
      </c>
      <c r="S7" s="91">
        <v>-7970.434782608696</v>
      </c>
      <c r="T7" s="87" t="s">
        <v>149</v>
      </c>
      <c r="U7" s="89">
        <v>5.7971014492753624E-2</v>
      </c>
      <c r="V7" s="87" t="s">
        <v>181</v>
      </c>
      <c r="W7" s="89">
        <v>0</v>
      </c>
      <c r="X7" s="87" t="s">
        <v>179</v>
      </c>
      <c r="Y7" s="89">
        <v>7.6923076923076927E-2</v>
      </c>
      <c r="Z7" s="87" t="s">
        <v>133</v>
      </c>
      <c r="AA7" s="90">
        <v>0.24</v>
      </c>
      <c r="AB7" s="87" t="s">
        <v>149</v>
      </c>
      <c r="AC7" s="90">
        <v>0.24131944444444445</v>
      </c>
      <c r="AD7" s="87" t="s">
        <v>149</v>
      </c>
      <c r="AE7" s="90">
        <v>0.55483870967741933</v>
      </c>
      <c r="AF7" s="87" t="s">
        <v>181</v>
      </c>
      <c r="AG7" s="90">
        <v>0.36</v>
      </c>
      <c r="AH7" s="87" t="s">
        <v>180</v>
      </c>
      <c r="AI7" s="90">
        <v>0.35294117647058826</v>
      </c>
      <c r="AJ7" s="87" t="s">
        <v>132</v>
      </c>
      <c r="AK7" s="92">
        <v>4</v>
      </c>
      <c r="AL7" s="87" t="s">
        <v>133</v>
      </c>
      <c r="AM7" s="96">
        <v>52200</v>
      </c>
      <c r="AN7" s="87" t="s">
        <v>181</v>
      </c>
      <c r="AO7" s="93">
        <v>0</v>
      </c>
    </row>
    <row r="8" spans="1:41" x14ac:dyDescent="0.4">
      <c r="A8" s="84">
        <v>6</v>
      </c>
      <c r="B8" s="85" t="s">
        <v>179</v>
      </c>
      <c r="C8" s="86">
        <v>-58.7</v>
      </c>
      <c r="D8" s="87" t="s">
        <v>179</v>
      </c>
      <c r="E8" s="101">
        <v>-4.5153846153846153</v>
      </c>
      <c r="F8" s="87" t="s">
        <v>132</v>
      </c>
      <c r="G8" s="88">
        <v>2.0666666666666669</v>
      </c>
      <c r="H8" s="87" t="s">
        <v>133</v>
      </c>
      <c r="I8" s="89">
        <v>0.22222222222222221</v>
      </c>
      <c r="J8" s="87" t="s">
        <v>132</v>
      </c>
      <c r="K8" s="89">
        <v>0.4</v>
      </c>
      <c r="L8" s="87" t="s">
        <v>181</v>
      </c>
      <c r="M8" s="90">
        <v>0.25773195876288657</v>
      </c>
      <c r="N8" s="87" t="s">
        <v>179</v>
      </c>
      <c r="O8" s="90">
        <v>0.20338983050847459</v>
      </c>
      <c r="P8" s="87" t="s">
        <v>149</v>
      </c>
      <c r="Q8" s="91">
        <v>7338.9189189189192</v>
      </c>
      <c r="R8" s="87" t="s">
        <v>132</v>
      </c>
      <c r="S8" s="91">
        <v>-8026.086956521739</v>
      </c>
      <c r="T8" s="87" t="s">
        <v>179</v>
      </c>
      <c r="U8" s="89">
        <v>7.6923076923076927E-2</v>
      </c>
      <c r="V8" s="87" t="s">
        <v>133</v>
      </c>
      <c r="W8" s="89">
        <v>0</v>
      </c>
      <c r="X8" s="87" t="s">
        <v>132</v>
      </c>
      <c r="Y8" s="89">
        <v>6.6666666666666666E-2</v>
      </c>
      <c r="Z8" s="87" t="s">
        <v>180</v>
      </c>
      <c r="AA8" s="90">
        <v>0.18181818181818182</v>
      </c>
      <c r="AB8" s="87" t="s">
        <v>132</v>
      </c>
      <c r="AC8" s="90">
        <v>0.23015873015873015</v>
      </c>
      <c r="AD8" s="87" t="s">
        <v>131</v>
      </c>
      <c r="AE8" s="90">
        <v>0.51282051282051277</v>
      </c>
      <c r="AF8" s="87" t="s">
        <v>185</v>
      </c>
      <c r="AG8" s="90">
        <v>0.33333333333333331</v>
      </c>
      <c r="AH8" s="87" t="s">
        <v>179</v>
      </c>
      <c r="AI8" s="90">
        <v>0.34615384615384615</v>
      </c>
      <c r="AJ8" s="87" t="s">
        <v>179</v>
      </c>
      <c r="AK8" s="92">
        <v>4</v>
      </c>
      <c r="AL8" s="87" t="s">
        <v>180</v>
      </c>
      <c r="AM8" s="96">
        <v>48100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133</v>
      </c>
      <c r="C9" s="86">
        <v>-127.6</v>
      </c>
      <c r="D9" s="87" t="s">
        <v>133</v>
      </c>
      <c r="E9" s="101">
        <v>-14.177777777777777</v>
      </c>
      <c r="F9" s="87" t="s">
        <v>133</v>
      </c>
      <c r="G9" s="88">
        <v>2.2222222222222223</v>
      </c>
      <c r="H9" s="87" t="s">
        <v>180</v>
      </c>
      <c r="I9" s="89">
        <v>0.14285714285714285</v>
      </c>
      <c r="J9" s="87" t="s">
        <v>133</v>
      </c>
      <c r="K9" s="89">
        <v>0.44444444444444442</v>
      </c>
      <c r="L9" s="87" t="s">
        <v>133</v>
      </c>
      <c r="M9" s="90">
        <v>0.25333333333333335</v>
      </c>
      <c r="N9" s="87" t="s">
        <v>181</v>
      </c>
      <c r="O9" s="90">
        <v>0.23711340206185566</v>
      </c>
      <c r="P9" s="87" t="s">
        <v>180</v>
      </c>
      <c r="Q9" s="91">
        <v>5858.8235294117649</v>
      </c>
      <c r="R9" s="87" t="s">
        <v>133</v>
      </c>
      <c r="S9" s="91">
        <v>-9244.4444444444453</v>
      </c>
      <c r="T9" s="87" t="s">
        <v>133</v>
      </c>
      <c r="U9" s="89">
        <v>0.1111111111111111</v>
      </c>
      <c r="V9" s="87" t="s">
        <v>180</v>
      </c>
      <c r="W9" s="89">
        <v>0</v>
      </c>
      <c r="X9" s="87" t="s">
        <v>181</v>
      </c>
      <c r="Y9" s="89">
        <v>0</v>
      </c>
      <c r="Z9" s="87" t="s">
        <v>181</v>
      </c>
      <c r="AA9" s="90">
        <v>0.16091954022988506</v>
      </c>
      <c r="AB9" s="87" t="s">
        <v>185</v>
      </c>
      <c r="AC9" s="90">
        <v>0.17647058823529413</v>
      </c>
      <c r="AD9" s="87" t="s">
        <v>179</v>
      </c>
      <c r="AE9" s="90">
        <v>0.46153846153846156</v>
      </c>
      <c r="AF9" s="87" t="s">
        <v>179</v>
      </c>
      <c r="AG9" s="90">
        <v>0.29629629629629628</v>
      </c>
      <c r="AH9" s="87" t="s">
        <v>133</v>
      </c>
      <c r="AI9" s="90">
        <v>0.31578947368421051</v>
      </c>
      <c r="AJ9" s="87" t="s">
        <v>185</v>
      </c>
      <c r="AK9" s="92">
        <v>4</v>
      </c>
      <c r="AL9" s="87" t="s">
        <v>185</v>
      </c>
      <c r="AM9" s="96">
        <v>46900</v>
      </c>
      <c r="AN9" s="87" t="s">
        <v>180</v>
      </c>
      <c r="AO9" s="93">
        <v>0</v>
      </c>
    </row>
    <row r="10" spans="1:41" x14ac:dyDescent="0.4">
      <c r="A10" s="84">
        <v>8</v>
      </c>
      <c r="B10" s="85" t="s">
        <v>181</v>
      </c>
      <c r="C10" s="86">
        <v>-318.39999999999998</v>
      </c>
      <c r="D10" s="87" t="s">
        <v>181</v>
      </c>
      <c r="E10" s="101">
        <v>-31.839999999999996</v>
      </c>
      <c r="F10" s="87" t="s">
        <v>181</v>
      </c>
      <c r="G10" s="88">
        <v>2.6</v>
      </c>
      <c r="H10" s="87" t="s">
        <v>181</v>
      </c>
      <c r="I10" s="89">
        <v>0</v>
      </c>
      <c r="J10" s="87" t="s">
        <v>181</v>
      </c>
      <c r="K10" s="89">
        <v>0.6</v>
      </c>
      <c r="L10" s="87" t="s">
        <v>179</v>
      </c>
      <c r="M10" s="90">
        <v>0.22033898305084745</v>
      </c>
      <c r="N10" s="87" t="s">
        <v>133</v>
      </c>
      <c r="O10" s="90">
        <v>0.24</v>
      </c>
      <c r="P10" s="87" t="s">
        <v>181</v>
      </c>
      <c r="Q10" s="91">
        <v>4756</v>
      </c>
      <c r="R10" s="87" t="s">
        <v>181</v>
      </c>
      <c r="S10" s="91">
        <v>-9313.04347826087</v>
      </c>
      <c r="T10" s="87" t="s">
        <v>181</v>
      </c>
      <c r="U10" s="89">
        <v>0.2</v>
      </c>
      <c r="V10" s="87" t="s">
        <v>185</v>
      </c>
      <c r="W10" s="89">
        <v>0</v>
      </c>
      <c r="X10" s="87" t="s">
        <v>180</v>
      </c>
      <c r="Y10" s="89">
        <v>0</v>
      </c>
      <c r="Z10" s="87" t="s">
        <v>185</v>
      </c>
      <c r="AA10" s="90">
        <v>0.11764705882352941</v>
      </c>
      <c r="AB10" s="87" t="s">
        <v>133</v>
      </c>
      <c r="AC10" s="90">
        <v>0.10666666666666667</v>
      </c>
      <c r="AD10" s="87" t="s">
        <v>181</v>
      </c>
      <c r="AE10" s="90">
        <v>0.42857142857142855</v>
      </c>
      <c r="AF10" s="87" t="s">
        <v>132</v>
      </c>
      <c r="AG10" s="90">
        <v>0.27586206896551724</v>
      </c>
      <c r="AH10" s="87" t="s">
        <v>131</v>
      </c>
      <c r="AI10" s="90">
        <v>0.3125</v>
      </c>
      <c r="AJ10" s="87" t="s">
        <v>180</v>
      </c>
      <c r="AK10" s="92">
        <v>3</v>
      </c>
      <c r="AL10" s="87" t="s">
        <v>181</v>
      </c>
      <c r="AM10" s="96">
        <v>33400</v>
      </c>
      <c r="AN10" s="87" t="s">
        <v>185</v>
      </c>
      <c r="AO10" s="93">
        <v>0</v>
      </c>
    </row>
  </sheetData>
  <sortState ref="AN3:AO3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3C647-23F2-4B44-8FD2-C16A96F46B91}">
  <sheetPr codeName="Sheet4"/>
  <dimension ref="A1:Q71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69</v>
      </c>
      <c r="C2" s="148"/>
      <c r="E2" s="62" t="s">
        <v>68</v>
      </c>
      <c r="F2" s="59" t="s">
        <v>23</v>
      </c>
      <c r="G2" s="46">
        <v>135</v>
      </c>
      <c r="H2" s="136">
        <f>IF(B$27=0,0,G2/B$27)</f>
        <v>0.76271186440677963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-72.463768115942031</v>
      </c>
      <c r="P2" s="122">
        <v>69</v>
      </c>
      <c r="Q2" s="106">
        <v>-5000</v>
      </c>
    </row>
    <row r="3" spans="1:17" x14ac:dyDescent="0.4">
      <c r="A3" s="55" t="s">
        <v>8</v>
      </c>
      <c r="B3" s="153">
        <v>606</v>
      </c>
      <c r="C3" s="154"/>
      <c r="E3" s="63" t="s">
        <v>74</v>
      </c>
      <c r="F3" s="60" t="s">
        <v>28</v>
      </c>
      <c r="G3" s="47">
        <v>96</v>
      </c>
      <c r="H3" s="137">
        <f>IF(B$27=0,0,G3/B$27)</f>
        <v>0.5423728813559322</v>
      </c>
      <c r="I3" s="98">
        <v>4</v>
      </c>
      <c r="K3" s="38">
        <v>1</v>
      </c>
      <c r="L3" s="103">
        <v>-5.0999999999999996</v>
      </c>
      <c r="N3" s="119" t="s">
        <v>137</v>
      </c>
      <c r="O3" s="126">
        <f t="shared" si="0"/>
        <v>0</v>
      </c>
      <c r="P3" s="123">
        <v>69</v>
      </c>
      <c r="Q3" s="107">
        <v>0</v>
      </c>
    </row>
    <row r="4" spans="1:17" x14ac:dyDescent="0.4">
      <c r="A4" s="55" t="s">
        <v>6</v>
      </c>
      <c r="B4" s="155">
        <v>0</v>
      </c>
      <c r="C4" s="156"/>
      <c r="E4" s="63" t="s">
        <v>66</v>
      </c>
      <c r="F4" s="60" t="s">
        <v>21</v>
      </c>
      <c r="G4" s="47">
        <v>84</v>
      </c>
      <c r="H4" s="137">
        <f>IF(B$27=0,0,G4/B$27)</f>
        <v>0.47457627118644069</v>
      </c>
      <c r="I4" s="98">
        <v>2</v>
      </c>
      <c r="K4" s="38">
        <v>2</v>
      </c>
      <c r="L4" s="103">
        <v>40.4</v>
      </c>
      <c r="N4" s="119" t="s">
        <v>138</v>
      </c>
      <c r="O4" s="126">
        <f t="shared" si="0"/>
        <v>79.365079365079367</v>
      </c>
      <c r="P4" s="123">
        <v>63</v>
      </c>
      <c r="Q4" s="107">
        <v>5000</v>
      </c>
    </row>
    <row r="5" spans="1:17" x14ac:dyDescent="0.4">
      <c r="A5" s="55" t="s">
        <v>7</v>
      </c>
      <c r="B5" s="157">
        <f>IF(B$2=0,0,B$4/B$2)</f>
        <v>0</v>
      </c>
      <c r="C5" s="158"/>
      <c r="E5" s="63" t="s">
        <v>189</v>
      </c>
      <c r="F5" s="60" t="s">
        <v>190</v>
      </c>
      <c r="G5" s="47">
        <v>70</v>
      </c>
      <c r="H5" s="137">
        <f>IF(B$27=0,0,G5/B$27)</f>
        <v>0.39548022598870058</v>
      </c>
      <c r="I5" s="98">
        <v>4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60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70</v>
      </c>
      <c r="F6" s="60" t="s">
        <v>12</v>
      </c>
      <c r="G6" s="47">
        <v>49</v>
      </c>
      <c r="H6" s="137">
        <f>IF(B$27=0,0,G6/B$27)</f>
        <v>0.2768361581920904</v>
      </c>
      <c r="I6" s="98">
        <v>4</v>
      </c>
      <c r="K6" s="38">
        <v>4</v>
      </c>
      <c r="L6" s="103">
        <v>2.2000000000000002</v>
      </c>
      <c r="N6" s="119" t="s">
        <v>140</v>
      </c>
      <c r="O6" s="126">
        <f t="shared" si="0"/>
        <v>-17.543859649122808</v>
      </c>
      <c r="P6" s="123">
        <v>57</v>
      </c>
      <c r="Q6" s="107">
        <v>-1000</v>
      </c>
    </row>
    <row r="7" spans="1:17" x14ac:dyDescent="0.4">
      <c r="A7" s="55" t="s">
        <v>2</v>
      </c>
      <c r="B7" s="47">
        <v>23</v>
      </c>
      <c r="C7" s="39">
        <f>IF(B$2=0,0,B7/B$2)</f>
        <v>0.33333333333333331</v>
      </c>
      <c r="E7" s="63" t="s">
        <v>69</v>
      </c>
      <c r="F7" s="60" t="s">
        <v>24</v>
      </c>
      <c r="G7" s="47">
        <v>43</v>
      </c>
      <c r="H7" s="137">
        <f>IF(B$27=0,0,G7/B$27)</f>
        <v>0.24293785310734464</v>
      </c>
      <c r="I7" s="98">
        <v>5</v>
      </c>
      <c r="K7" s="38">
        <v>5</v>
      </c>
      <c r="L7" s="103">
        <v>-37</v>
      </c>
      <c r="N7" s="120" t="s">
        <v>141</v>
      </c>
      <c r="O7" s="127">
        <f t="shared" si="0"/>
        <v>19.607843137254903</v>
      </c>
      <c r="P7" s="124">
        <v>51</v>
      </c>
      <c r="Q7" s="108">
        <v>1000</v>
      </c>
    </row>
    <row r="8" spans="1:17" x14ac:dyDescent="0.4">
      <c r="A8" s="55" t="s">
        <v>3</v>
      </c>
      <c r="B8" s="47">
        <v>23</v>
      </c>
      <c r="C8" s="39">
        <f>IF(B$2=0,0,B8/B$2)</f>
        <v>0.33333333333333331</v>
      </c>
      <c r="E8" s="63" t="s">
        <v>71</v>
      </c>
      <c r="F8" s="60" t="s">
        <v>25</v>
      </c>
      <c r="G8" s="47">
        <v>36</v>
      </c>
      <c r="H8" s="137">
        <f>IF(B$27=0,0,G8/B$27)</f>
        <v>0.20338983050847459</v>
      </c>
      <c r="I8" s="98">
        <v>4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23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26</v>
      </c>
      <c r="H9" s="137">
        <f>IF(B$27=0,0,G9/B$27)</f>
        <v>0.14689265536723164</v>
      </c>
      <c r="I9" s="98">
        <v>5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4</v>
      </c>
      <c r="C10" s="40">
        <f>IF(B$2=0,0,B10/B$2)</f>
        <v>5.7971014492753624E-2</v>
      </c>
      <c r="E10" s="63" t="s">
        <v>67</v>
      </c>
      <c r="F10" s="60" t="s">
        <v>22</v>
      </c>
      <c r="G10" s="47">
        <v>21</v>
      </c>
      <c r="H10" s="137">
        <f>IF(B$27=0,0,G10/B$27)</f>
        <v>0.11864406779661017</v>
      </c>
      <c r="I10" s="98">
        <v>3</v>
      </c>
      <c r="K10" s="38">
        <v>8</v>
      </c>
      <c r="L10" s="103">
        <v>19.699999999999996</v>
      </c>
      <c r="N10" s="118" t="s">
        <v>172</v>
      </c>
      <c r="O10" s="128">
        <f>IF(P10=0,0,Q10/P10)</f>
        <v>-2.9434782608695658</v>
      </c>
      <c r="P10" s="122">
        <v>23</v>
      </c>
      <c r="Q10" s="110">
        <v>-67.700000000000017</v>
      </c>
    </row>
    <row r="11" spans="1:17" x14ac:dyDescent="0.4">
      <c r="A11" s="56" t="s">
        <v>144</v>
      </c>
      <c r="B11" s="48">
        <v>4</v>
      </c>
      <c r="C11" s="40">
        <f>IF(B$2=0,0,B11/B$2)</f>
        <v>5.7971014492753624E-2</v>
      </c>
      <c r="E11" s="63" t="s">
        <v>72</v>
      </c>
      <c r="F11" s="60" t="s">
        <v>26</v>
      </c>
      <c r="G11" s="47">
        <v>15</v>
      </c>
      <c r="H11" s="137">
        <f>IF(B$27=0,0,G11/B$27)</f>
        <v>8.4745762711864403E-2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-4.3608695652173903</v>
      </c>
      <c r="P11" s="123">
        <v>23</v>
      </c>
      <c r="Q11" s="111">
        <v>-100.29999999999997</v>
      </c>
    </row>
    <row r="12" spans="1:17" x14ac:dyDescent="0.4">
      <c r="A12" s="57" t="s">
        <v>165</v>
      </c>
      <c r="B12" s="49">
        <v>8</v>
      </c>
      <c r="C12" s="42">
        <f>IF(B$2=0,0,B12/B$2)</f>
        <v>0.11594202898550725</v>
      </c>
      <c r="E12" s="63" t="s">
        <v>89</v>
      </c>
      <c r="F12" s="60" t="s">
        <v>43</v>
      </c>
      <c r="G12" s="47">
        <v>9</v>
      </c>
      <c r="H12" s="137">
        <f>IF(B$27=0,0,G12/B$27)</f>
        <v>5.0847457627118647E-2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7.3043478260869579</v>
      </c>
      <c r="P12" s="124">
        <v>23</v>
      </c>
      <c r="Q12" s="112">
        <v>168.00000000000003</v>
      </c>
    </row>
    <row r="13" spans="1:17" x14ac:dyDescent="0.4">
      <c r="A13" s="58" t="s">
        <v>126</v>
      </c>
      <c r="B13" s="50">
        <v>155</v>
      </c>
      <c r="C13" s="44">
        <f>IF(B$26=0,0,B13/B$26)</f>
        <v>0.26909722222222221</v>
      </c>
      <c r="E13" s="63" t="s">
        <v>86</v>
      </c>
      <c r="F13" s="60" t="s">
        <v>40</v>
      </c>
      <c r="G13" s="47">
        <v>8</v>
      </c>
      <c r="H13" s="137">
        <f>IF(B$27=0,0,G13/B$27)</f>
        <v>4.519774011299435E-2</v>
      </c>
      <c r="I13" s="98">
        <v>4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139</v>
      </c>
      <c r="C14" s="39">
        <f>IF(B$26=0,0,B14/B$26)</f>
        <v>0.24131944444444445</v>
      </c>
      <c r="E14" s="63" t="s">
        <v>73</v>
      </c>
      <c r="F14" s="60" t="s">
        <v>27</v>
      </c>
      <c r="G14" s="47">
        <v>6</v>
      </c>
      <c r="H14" s="137">
        <f>IF(B$27=0,0,G14/B$27)</f>
        <v>3.3898305084745763E-2</v>
      </c>
      <c r="I14" s="98">
        <v>3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86</v>
      </c>
      <c r="C15" s="37">
        <f>IF(B$13=0,0,B15/B$13)</f>
        <v>0.55483870967741933</v>
      </c>
      <c r="E15" s="63" t="s">
        <v>84</v>
      </c>
      <c r="F15" s="60" t="s">
        <v>38</v>
      </c>
      <c r="G15" s="47">
        <v>4</v>
      </c>
      <c r="H15" s="137">
        <f>IF(B$27=0,0,G15/B$27)</f>
        <v>2.2598870056497175E-2</v>
      </c>
      <c r="I15" s="98">
        <v>3</v>
      </c>
      <c r="K15" s="38">
        <v>13</v>
      </c>
      <c r="L15" s="103">
        <v>-42.100000000000009</v>
      </c>
      <c r="N15" s="118" t="s">
        <v>181</v>
      </c>
      <c r="O15" s="128">
        <f>IF(P15=0,0,Q15/P15)</f>
        <v>47.76</v>
      </c>
      <c r="P15" s="122">
        <v>20</v>
      </c>
      <c r="Q15" s="110">
        <v>955.19999999999993</v>
      </c>
    </row>
    <row r="16" spans="1:17" x14ac:dyDescent="0.4">
      <c r="A16" s="54" t="s">
        <v>129</v>
      </c>
      <c r="B16" s="46">
        <v>54</v>
      </c>
      <c r="C16" s="37">
        <f>IF(B$14=0,0,B16/B$14)</f>
        <v>0.38848920863309355</v>
      </c>
      <c r="E16" s="63" t="s">
        <v>77</v>
      </c>
      <c r="F16" s="60" t="s">
        <v>31</v>
      </c>
      <c r="G16" s="47">
        <v>3</v>
      </c>
      <c r="H16" s="137">
        <f>IF(B$27=0,0,G16/B$27)</f>
        <v>1.6949152542372881E-2</v>
      </c>
      <c r="I16" s="98">
        <v>4</v>
      </c>
      <c r="K16" s="38">
        <v>14</v>
      </c>
      <c r="L16" s="103">
        <v>18.79999999999999</v>
      </c>
      <c r="N16" s="119" t="s">
        <v>133</v>
      </c>
      <c r="O16" s="129">
        <f>IF(P16=0,0,Q16/P16)</f>
        <v>21.266666666666669</v>
      </c>
      <c r="P16" s="123">
        <v>18</v>
      </c>
      <c r="Q16" s="111">
        <v>382.80000000000007</v>
      </c>
    </row>
    <row r="17" spans="1:17" x14ac:dyDescent="0.4">
      <c r="A17" s="54" t="s">
        <v>10</v>
      </c>
      <c r="B17" s="46">
        <f>B19+B18</f>
        <v>185</v>
      </c>
      <c r="C17" s="37">
        <f>IF(B$3=0,0,B17/B$3)</f>
        <v>0.30528052805280526</v>
      </c>
      <c r="E17" s="63" t="s">
        <v>80</v>
      </c>
      <c r="F17" s="60" t="s">
        <v>34</v>
      </c>
      <c r="G17" s="47">
        <v>3</v>
      </c>
      <c r="H17" s="137">
        <f>IF(B$27=0,0,G17/B$27)</f>
        <v>1.6949152542372881E-2</v>
      </c>
      <c r="I17" s="98">
        <v>3</v>
      </c>
      <c r="K17" s="38">
        <v>15</v>
      </c>
      <c r="L17" s="103">
        <v>-1.0658141036401503E-14</v>
      </c>
      <c r="N17" s="119" t="s">
        <v>179</v>
      </c>
      <c r="O17" s="129">
        <f>IF(P17=0,0,Q17/P17)</f>
        <v>6.7730769230769239</v>
      </c>
      <c r="P17" s="123">
        <v>26</v>
      </c>
      <c r="Q17" s="111">
        <v>176.10000000000002</v>
      </c>
    </row>
    <row r="18" spans="1:17" x14ac:dyDescent="0.4">
      <c r="A18" s="55" t="s">
        <v>12</v>
      </c>
      <c r="B18" s="47">
        <v>69</v>
      </c>
      <c r="C18" s="39">
        <f>IF(B$17=0,0,B18/B$17)</f>
        <v>0.37297297297297299</v>
      </c>
      <c r="E18" s="63" t="s">
        <v>94</v>
      </c>
      <c r="F18" s="60" t="s">
        <v>48</v>
      </c>
      <c r="G18" s="47">
        <v>2</v>
      </c>
      <c r="H18" s="137">
        <f>IF(B$27=0,0,G18/B$27)</f>
        <v>1.1299435028248588E-2</v>
      </c>
      <c r="I18" s="98">
        <v>3</v>
      </c>
      <c r="K18" s="38">
        <v>16</v>
      </c>
      <c r="L18" s="103">
        <v>90.899999999999991</v>
      </c>
      <c r="N18" s="119" t="s">
        <v>180</v>
      </c>
      <c r="O18" s="129">
        <f>IF(P18=0,0,Q18/P18)</f>
        <v>-1.6714285714285739</v>
      </c>
      <c r="P18" s="123">
        <v>14</v>
      </c>
      <c r="Q18" s="111">
        <v>-23.400000000000034</v>
      </c>
    </row>
    <row r="19" spans="1:17" x14ac:dyDescent="0.4">
      <c r="A19" s="55" t="s">
        <v>11</v>
      </c>
      <c r="B19" s="47">
        <v>116</v>
      </c>
      <c r="C19" s="39">
        <f>IF(B$17=0,0,B19/B$17)</f>
        <v>0.62702702702702706</v>
      </c>
      <c r="E19" s="63" t="s">
        <v>75</v>
      </c>
      <c r="F19" s="60" t="s">
        <v>29</v>
      </c>
      <c r="G19" s="47">
        <v>1</v>
      </c>
      <c r="H19" s="137">
        <f>IF(B$27=0,0,G19/B$27)</f>
        <v>5.6497175141242938E-3</v>
      </c>
      <c r="I19" s="98">
        <v>2</v>
      </c>
      <c r="K19" s="38">
        <v>17</v>
      </c>
      <c r="L19" s="103">
        <v>8.2999999999999972</v>
      </c>
      <c r="N19" s="119" t="s">
        <v>132</v>
      </c>
      <c r="O19" s="129">
        <f>IF(P19=0,0,Q19/P19)</f>
        <v>-4.7999999999999963</v>
      </c>
      <c r="P19" s="123">
        <v>30</v>
      </c>
      <c r="Q19" s="111">
        <v>-143.99999999999989</v>
      </c>
    </row>
    <row r="20" spans="1:17" x14ac:dyDescent="0.4">
      <c r="A20" s="55" t="s">
        <v>13</v>
      </c>
      <c r="B20" s="47">
        <v>115</v>
      </c>
      <c r="C20" s="39">
        <f>IF(B$3=0,0,B20/B$3)</f>
        <v>0.18976897689768976</v>
      </c>
      <c r="E20" s="63" t="s">
        <v>95</v>
      </c>
      <c r="F20" s="60" t="s">
        <v>49</v>
      </c>
      <c r="G20" s="47">
        <v>1</v>
      </c>
      <c r="H20" s="137">
        <f>IF(B$27=0,0,G20/B$27)</f>
        <v>5.6497175141242938E-3</v>
      </c>
      <c r="I20" s="98">
        <v>2</v>
      </c>
      <c r="K20" s="38">
        <v>18</v>
      </c>
      <c r="L20" s="103">
        <v>-3.5527136788005009E-15</v>
      </c>
      <c r="N20" s="119" t="s">
        <v>185</v>
      </c>
      <c r="O20" s="129">
        <f>IF(P20=0,0,Q20/P20)</f>
        <v>-22.5</v>
      </c>
      <c r="P20" s="123">
        <v>4</v>
      </c>
      <c r="Q20" s="111">
        <v>-90</v>
      </c>
    </row>
    <row r="21" spans="1:17" x14ac:dyDescent="0.4">
      <c r="A21" s="55" t="s">
        <v>5</v>
      </c>
      <c r="B21" s="51">
        <f>IF(B$17=0,0,C21/B$17)</f>
        <v>7338.9189189189192</v>
      </c>
      <c r="C21" s="41">
        <v>1357700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30.999999999999996</v>
      </c>
      <c r="N21" s="119" t="s">
        <v>131</v>
      </c>
      <c r="O21" s="129">
        <f>IF(P21=0,0,Q21/P21)</f>
        <v>-48.33461538461539</v>
      </c>
      <c r="P21" s="123">
        <v>26</v>
      </c>
      <c r="Q21" s="111">
        <v>-1256.7</v>
      </c>
    </row>
    <row r="22" spans="1:17" x14ac:dyDescent="0.4">
      <c r="A22" s="57" t="s">
        <v>14</v>
      </c>
      <c r="B22" s="52">
        <f>IF(B$20=0,0,C22/B$20)</f>
        <v>-7970.434782608696</v>
      </c>
      <c r="C22" s="45">
        <v>-916600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0.79999999999999716</v>
      </c>
    </row>
    <row r="23" spans="1:17" x14ac:dyDescent="0.4">
      <c r="A23" s="94" t="s">
        <v>146</v>
      </c>
      <c r="B23" s="143">
        <v>7</v>
      </c>
      <c r="C23" s="144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-2.886579864025407E-15</v>
      </c>
    </row>
    <row r="24" spans="1:17" x14ac:dyDescent="0.4">
      <c r="A24" s="58" t="s">
        <v>157</v>
      </c>
      <c r="B24" s="141">
        <v>105900</v>
      </c>
      <c r="C24" s="142"/>
      <c r="E24" s="63" t="s">
        <v>81</v>
      </c>
      <c r="F24" s="60" t="s">
        <v>35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3</v>
      </c>
      <c r="C25" s="42">
        <f>IF(B$3=0,0,B25/B$3)</f>
        <v>4.9504950495049506E-3</v>
      </c>
      <c r="E25" s="63" t="s">
        <v>82</v>
      </c>
      <c r="F25" s="60" t="s">
        <v>36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576</v>
      </c>
      <c r="C26" s="148"/>
      <c r="E26" s="63" t="s">
        <v>83</v>
      </c>
      <c r="F26" s="60" t="s">
        <v>37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177</v>
      </c>
      <c r="C27" s="150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FD6C4-C593-4828-A34E-503E7299F091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13</v>
      </c>
      <c r="C2" s="148"/>
      <c r="E2" s="62" t="s">
        <v>74</v>
      </c>
      <c r="F2" s="59" t="s">
        <v>28</v>
      </c>
      <c r="G2" s="46">
        <v>34</v>
      </c>
      <c r="H2" s="136">
        <f>IF(B$27=0,0,G2/B$27)</f>
        <v>0.70833333333333337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2553.8461538461538</v>
      </c>
      <c r="P2" s="122">
        <v>13</v>
      </c>
      <c r="Q2" s="106">
        <v>33200</v>
      </c>
    </row>
    <row r="3" spans="1:17" x14ac:dyDescent="0.4">
      <c r="A3" s="55" t="s">
        <v>8</v>
      </c>
      <c r="B3" s="153">
        <v>108</v>
      </c>
      <c r="C3" s="154"/>
      <c r="E3" s="63" t="s">
        <v>68</v>
      </c>
      <c r="F3" s="60" t="s">
        <v>23</v>
      </c>
      <c r="G3" s="47">
        <v>27</v>
      </c>
      <c r="H3" s="137">
        <f>IF(B$27=0,0,G3/B$27)</f>
        <v>0.5625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4823.0769230769229</v>
      </c>
      <c r="P3" s="123">
        <v>13</v>
      </c>
      <c r="Q3" s="107">
        <v>62700</v>
      </c>
    </row>
    <row r="4" spans="1:17" x14ac:dyDescent="0.4">
      <c r="A4" s="55" t="s">
        <v>6</v>
      </c>
      <c r="B4" s="155">
        <v>418.90000000000003</v>
      </c>
      <c r="C4" s="156"/>
      <c r="E4" s="63" t="s">
        <v>189</v>
      </c>
      <c r="F4" s="60" t="s">
        <v>190</v>
      </c>
      <c r="G4" s="47">
        <v>23</v>
      </c>
      <c r="H4" s="137">
        <f>IF(B$27=0,0,G4/B$27)</f>
        <v>0.47916666666666669</v>
      </c>
      <c r="I4" s="98">
        <v>2</v>
      </c>
      <c r="K4" s="38">
        <v>2</v>
      </c>
      <c r="L4" s="103">
        <v>-2.8999999999999995</v>
      </c>
      <c r="N4" s="119" t="s">
        <v>138</v>
      </c>
      <c r="O4" s="126">
        <f t="shared" si="0"/>
        <v>4391.666666666667</v>
      </c>
      <c r="P4" s="123">
        <v>12</v>
      </c>
      <c r="Q4" s="107">
        <v>52700</v>
      </c>
    </row>
    <row r="5" spans="1:17" x14ac:dyDescent="0.4">
      <c r="A5" s="55" t="s">
        <v>7</v>
      </c>
      <c r="B5" s="157">
        <f>IF(B$2=0,0,B$4/B$2)</f>
        <v>32.223076923076924</v>
      </c>
      <c r="C5" s="158"/>
      <c r="E5" s="63" t="s">
        <v>66</v>
      </c>
      <c r="F5" s="60" t="s">
        <v>21</v>
      </c>
      <c r="G5" s="47">
        <v>19</v>
      </c>
      <c r="H5" s="137">
        <f>IF(B$27=0,0,G5/B$27)</f>
        <v>0.39583333333333331</v>
      </c>
      <c r="I5" s="98">
        <v>7</v>
      </c>
      <c r="K5" s="38">
        <v>3</v>
      </c>
      <c r="L5" s="103">
        <v>70.399999999999991</v>
      </c>
      <c r="N5" s="119" t="s">
        <v>139</v>
      </c>
      <c r="O5" s="126">
        <f t="shared" si="0"/>
        <v>7872.727272727273</v>
      </c>
      <c r="P5" s="123">
        <v>11</v>
      </c>
      <c r="Q5" s="107">
        <v>86600</v>
      </c>
    </row>
    <row r="6" spans="1:17" x14ac:dyDescent="0.4">
      <c r="A6" s="55" t="s">
        <v>1</v>
      </c>
      <c r="B6" s="145">
        <f>IF(B$2=0,0,(B$7*1+B$8*2+B$9*3)/B$2)</f>
        <v>1.3846153846153846</v>
      </c>
      <c r="C6" s="146"/>
      <c r="E6" s="63" t="s">
        <v>71</v>
      </c>
      <c r="F6" s="60" t="s">
        <v>25</v>
      </c>
      <c r="G6" s="47">
        <v>10</v>
      </c>
      <c r="H6" s="137">
        <f>IF(B$27=0,0,G6/B$27)</f>
        <v>0.20833333333333334</v>
      </c>
      <c r="I6" s="98">
        <v>3</v>
      </c>
      <c r="K6" s="38">
        <v>4</v>
      </c>
      <c r="L6" s="103">
        <v>110.5</v>
      </c>
      <c r="N6" s="119" t="s">
        <v>140</v>
      </c>
      <c r="O6" s="126">
        <f t="shared" si="0"/>
        <v>1180</v>
      </c>
      <c r="P6" s="123">
        <v>10</v>
      </c>
      <c r="Q6" s="107">
        <v>11800</v>
      </c>
    </row>
    <row r="7" spans="1:17" x14ac:dyDescent="0.4">
      <c r="A7" s="55" t="s">
        <v>2</v>
      </c>
      <c r="B7" s="47">
        <v>9</v>
      </c>
      <c r="C7" s="39">
        <f>IF(B$2=0,0,B7/B$2)</f>
        <v>0.69230769230769229</v>
      </c>
      <c r="E7" s="63" t="s">
        <v>92</v>
      </c>
      <c r="F7" s="60" t="s">
        <v>46</v>
      </c>
      <c r="G7" s="47">
        <v>10</v>
      </c>
      <c r="H7" s="137">
        <f>IF(B$27=0,0,G7/B$27)</f>
        <v>0.20833333333333334</v>
      </c>
      <c r="I7" s="98">
        <v>1</v>
      </c>
      <c r="K7" s="38">
        <v>5</v>
      </c>
      <c r="L7" s="103">
        <v>201.4</v>
      </c>
      <c r="N7" s="120" t="s">
        <v>141</v>
      </c>
      <c r="O7" s="127">
        <f t="shared" si="0"/>
        <v>766.66666666666663</v>
      </c>
      <c r="P7" s="124">
        <v>9</v>
      </c>
      <c r="Q7" s="108">
        <v>6900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70</v>
      </c>
      <c r="F8" s="60" t="s">
        <v>12</v>
      </c>
      <c r="G8" s="47">
        <v>9</v>
      </c>
      <c r="H8" s="137">
        <f>IF(B$27=0,0,G8/B$27)</f>
        <v>0.1875</v>
      </c>
      <c r="I8" s="98">
        <v>7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7.6923076923076927E-2</v>
      </c>
      <c r="E9" s="63" t="s">
        <v>69</v>
      </c>
      <c r="F9" s="60" t="s">
        <v>24</v>
      </c>
      <c r="G9" s="47">
        <v>7</v>
      </c>
      <c r="H9" s="137">
        <f>IF(B$27=0,0,G9/B$27)</f>
        <v>0.14583333333333334</v>
      </c>
      <c r="I9" s="98">
        <v>6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5</v>
      </c>
      <c r="H10" s="137">
        <f>IF(B$27=0,0,G10/B$27)</f>
        <v>0.10416666666666667</v>
      </c>
      <c r="I10" s="98">
        <v>6</v>
      </c>
      <c r="K10" s="38">
        <v>8</v>
      </c>
      <c r="L10" s="103">
        <v>285.20000000000005</v>
      </c>
      <c r="N10" s="118" t="s">
        <v>172</v>
      </c>
      <c r="O10" s="128">
        <f>IF(P10=0,0,Q10/P10)</f>
        <v>19.633333333333329</v>
      </c>
      <c r="P10" s="122">
        <v>6</v>
      </c>
      <c r="Q10" s="110">
        <v>117.79999999999998</v>
      </c>
    </row>
    <row r="11" spans="1:17" x14ac:dyDescent="0.4">
      <c r="A11" s="56" t="s">
        <v>144</v>
      </c>
      <c r="B11" s="48">
        <v>2</v>
      </c>
      <c r="C11" s="40">
        <f>IF(B$2=0,0,B11/B$2)</f>
        <v>0.15384615384615385</v>
      </c>
      <c r="E11" s="63" t="s">
        <v>89</v>
      </c>
      <c r="F11" s="60" t="s">
        <v>43</v>
      </c>
      <c r="G11" s="47">
        <v>4</v>
      </c>
      <c r="H11" s="137">
        <f>IF(B$27=0,0,G11/B$27)</f>
        <v>8.3333333333333329E-2</v>
      </c>
      <c r="I11" s="98">
        <v>2</v>
      </c>
      <c r="K11" s="38">
        <v>9</v>
      </c>
      <c r="L11" s="103">
        <v>277.90000000000003</v>
      </c>
      <c r="N11" s="119" t="s">
        <v>173</v>
      </c>
      <c r="O11" s="129">
        <f>IF(P11=0,0,Q11/P11)</f>
        <v>36.500000000000007</v>
      </c>
      <c r="P11" s="123">
        <v>3</v>
      </c>
      <c r="Q11" s="111">
        <v>109.50000000000001</v>
      </c>
    </row>
    <row r="12" spans="1:17" x14ac:dyDescent="0.4">
      <c r="A12" s="57" t="s">
        <v>165</v>
      </c>
      <c r="B12" s="49">
        <v>4</v>
      </c>
      <c r="C12" s="42">
        <f>IF(B$2=0,0,B12/B$2)</f>
        <v>0.30769230769230771</v>
      </c>
      <c r="E12" s="63" t="s">
        <v>72</v>
      </c>
      <c r="F12" s="60" t="s">
        <v>26</v>
      </c>
      <c r="G12" s="47">
        <v>2</v>
      </c>
      <c r="H12" s="137">
        <f>IF(B$27=0,0,G12/B$27)</f>
        <v>4.1666666666666664E-2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47.900000000000006</v>
      </c>
      <c r="P12" s="124">
        <v>4</v>
      </c>
      <c r="Q12" s="112">
        <v>191.60000000000002</v>
      </c>
    </row>
    <row r="13" spans="1:17" x14ac:dyDescent="0.4">
      <c r="A13" s="58" t="s">
        <v>126</v>
      </c>
      <c r="B13" s="50">
        <v>39</v>
      </c>
      <c r="C13" s="44">
        <f>IF(B$26=0,0,B13/B$26)</f>
        <v>0.3611111111111111</v>
      </c>
      <c r="E13" s="63" t="s">
        <v>80</v>
      </c>
      <c r="F13" s="60" t="s">
        <v>34</v>
      </c>
      <c r="G13" s="47">
        <v>2</v>
      </c>
      <c r="H13" s="137">
        <f>IF(B$27=0,0,G13/B$27)</f>
        <v>4.1666666666666664E-2</v>
      </c>
      <c r="I13" s="98">
        <v>2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28</v>
      </c>
      <c r="C14" s="39">
        <f>IF(B$26=0,0,B14/B$26)</f>
        <v>0.25925925925925924</v>
      </c>
      <c r="E14" s="63" t="s">
        <v>86</v>
      </c>
      <c r="F14" s="60" t="s">
        <v>40</v>
      </c>
      <c r="G14" s="47">
        <v>2</v>
      </c>
      <c r="H14" s="137">
        <f>IF(B$27=0,0,G14/B$27)</f>
        <v>4.1666666666666664E-2</v>
      </c>
      <c r="I14" s="98">
        <v>5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20</v>
      </c>
      <c r="C15" s="37">
        <f>IF(B$13=0,0,B15/B$13)</f>
        <v>0.51282051282051277</v>
      </c>
      <c r="E15" s="63" t="s">
        <v>73</v>
      </c>
      <c r="F15" s="60" t="s">
        <v>27</v>
      </c>
      <c r="G15" s="47">
        <v>1</v>
      </c>
      <c r="H15" s="137">
        <f>IF(B$27=0,0,G15/B$27)</f>
        <v>2.0833333333333332E-2</v>
      </c>
      <c r="I15" s="98">
        <v>5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18</v>
      </c>
      <c r="C16" s="37">
        <f>IF(B$14=0,0,B16/B$14)</f>
        <v>0.6428571428571429</v>
      </c>
      <c r="E16" s="63" t="s">
        <v>84</v>
      </c>
      <c r="F16" s="60" t="s">
        <v>38</v>
      </c>
      <c r="G16" s="47">
        <v>1</v>
      </c>
      <c r="H16" s="137">
        <f>IF(B$27=0,0,G16/B$27)</f>
        <v>2.0833333333333332E-2</v>
      </c>
      <c r="I16" s="98">
        <v>4</v>
      </c>
      <c r="N16" s="119" t="s">
        <v>179</v>
      </c>
      <c r="O16" s="129">
        <f>IF(P16=0,0,Q16/P16)</f>
        <v>86.61999999999999</v>
      </c>
      <c r="P16" s="123">
        <v>5</v>
      </c>
      <c r="Q16" s="111">
        <v>433.09999999999997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0.44444444444444442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133</v>
      </c>
      <c r="O17" s="129">
        <f>IF(P17=0,0,Q17/P17)</f>
        <v>32.857142857142854</v>
      </c>
      <c r="P17" s="123">
        <v>7</v>
      </c>
      <c r="Q17" s="111">
        <v>230</v>
      </c>
    </row>
    <row r="18" spans="1:17" x14ac:dyDescent="0.4">
      <c r="A18" s="55" t="s">
        <v>12</v>
      </c>
      <c r="B18" s="47">
        <v>15</v>
      </c>
      <c r="C18" s="39">
        <f>IF(B$17=0,0,B18/B$17)</f>
        <v>0.3125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132</v>
      </c>
      <c r="O18" s="129">
        <f>IF(P18=0,0,Q18/P18)</f>
        <v>28.212499999999999</v>
      </c>
      <c r="P18" s="123">
        <v>8</v>
      </c>
      <c r="Q18" s="111">
        <v>225.7</v>
      </c>
    </row>
    <row r="19" spans="1:17" x14ac:dyDescent="0.4">
      <c r="A19" s="55" t="s">
        <v>11</v>
      </c>
      <c r="B19" s="47">
        <v>33</v>
      </c>
      <c r="C19" s="39">
        <f>IF(B$17=0,0,B19/B$17)</f>
        <v>0.6875</v>
      </c>
      <c r="E19" s="63" t="s">
        <v>77</v>
      </c>
      <c r="F19" s="60" t="s">
        <v>31</v>
      </c>
      <c r="G19" s="47">
        <v>0</v>
      </c>
      <c r="H19" s="137">
        <f>IF(B$27=0,0,G19/B$27)</f>
        <v>0</v>
      </c>
      <c r="I19" s="98">
        <v>5</v>
      </c>
      <c r="N19" s="119" t="s">
        <v>180</v>
      </c>
      <c r="O19" s="129">
        <f>IF(P19=0,0,Q19/P19)</f>
        <v>2.6333333333333351</v>
      </c>
      <c r="P19" s="123">
        <v>3</v>
      </c>
      <c r="Q19" s="111">
        <v>7.9000000000000057</v>
      </c>
    </row>
    <row r="20" spans="1:17" x14ac:dyDescent="0.4">
      <c r="A20" s="55" t="s">
        <v>13</v>
      </c>
      <c r="B20" s="47">
        <v>15</v>
      </c>
      <c r="C20" s="39">
        <f>IF(B$3=0,0,B20/B$3)</f>
        <v>0.1388888888888889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7870.833333333333</v>
      </c>
      <c r="C21" s="41">
        <v>377800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-7546.666666666667</v>
      </c>
      <c r="C22" s="45">
        <v>-113200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105900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108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48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406C1-0452-4174-8A25-892736E2CA08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15</v>
      </c>
      <c r="C2" s="148"/>
      <c r="E2" s="62" t="s">
        <v>68</v>
      </c>
      <c r="F2" s="59" t="s">
        <v>23</v>
      </c>
      <c r="G2" s="46">
        <v>33</v>
      </c>
      <c r="H2" s="136">
        <f>IF(B$27=0,0,G2/B$27)</f>
        <v>0.84615384615384615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686.66666666666663</v>
      </c>
      <c r="P2" s="122">
        <v>15</v>
      </c>
      <c r="Q2" s="106">
        <v>10300</v>
      </c>
    </row>
    <row r="3" spans="1:17" x14ac:dyDescent="0.4">
      <c r="A3" s="55" t="s">
        <v>8</v>
      </c>
      <c r="B3" s="153">
        <v>136</v>
      </c>
      <c r="C3" s="154"/>
      <c r="E3" s="63" t="s">
        <v>66</v>
      </c>
      <c r="F3" s="60" t="s">
        <v>21</v>
      </c>
      <c r="G3" s="47">
        <v>29</v>
      </c>
      <c r="H3" s="137">
        <f>IF(B$27=0,0,G3/B$27)</f>
        <v>0.74358974358974361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-846.66666666666663</v>
      </c>
      <c r="P3" s="123">
        <v>15</v>
      </c>
      <c r="Q3" s="107">
        <v>-12700</v>
      </c>
    </row>
    <row r="4" spans="1:17" x14ac:dyDescent="0.4">
      <c r="A4" s="55" t="s">
        <v>6</v>
      </c>
      <c r="B4" s="155">
        <v>47.999999999999986</v>
      </c>
      <c r="C4" s="156"/>
      <c r="E4" s="63" t="s">
        <v>189</v>
      </c>
      <c r="F4" s="60" t="s">
        <v>190</v>
      </c>
      <c r="G4" s="47">
        <v>19</v>
      </c>
      <c r="H4" s="137">
        <f>IF(B$27=0,0,G4/B$27)</f>
        <v>0.48717948717948717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-780</v>
      </c>
      <c r="P4" s="123">
        <v>15</v>
      </c>
      <c r="Q4" s="107">
        <v>-11700</v>
      </c>
    </row>
    <row r="5" spans="1:17" x14ac:dyDescent="0.4">
      <c r="A5" s="55" t="s">
        <v>7</v>
      </c>
      <c r="B5" s="157">
        <f>IF(B$2=0,0,B$4/B$2)</f>
        <v>3.1999999999999988</v>
      </c>
      <c r="C5" s="158"/>
      <c r="E5" s="63" t="s">
        <v>69</v>
      </c>
      <c r="F5" s="60" t="s">
        <v>24</v>
      </c>
      <c r="G5" s="47">
        <v>17</v>
      </c>
      <c r="H5" s="137">
        <f>IF(B$27=0,0,G5/B$27)</f>
        <v>0.4358974358974359</v>
      </c>
      <c r="I5" s="98">
        <v>1</v>
      </c>
      <c r="K5" s="38">
        <v>3</v>
      </c>
      <c r="L5" s="103">
        <v>-47.300000000000004</v>
      </c>
      <c r="N5" s="119" t="s">
        <v>139</v>
      </c>
      <c r="O5" s="126">
        <f t="shared" si="0"/>
        <v>2953.3333333333335</v>
      </c>
      <c r="P5" s="123">
        <v>15</v>
      </c>
      <c r="Q5" s="107">
        <v>44300</v>
      </c>
    </row>
    <row r="6" spans="1:17" x14ac:dyDescent="0.4">
      <c r="A6" s="55" t="s">
        <v>1</v>
      </c>
      <c r="B6" s="145">
        <f>IF(B$2=0,0,(B$7*1+B$8*2+B$9*3)/B$2)</f>
        <v>2.0666666666666669</v>
      </c>
      <c r="C6" s="146"/>
      <c r="E6" s="63" t="s">
        <v>70</v>
      </c>
      <c r="F6" s="60" t="s">
        <v>12</v>
      </c>
      <c r="G6" s="47">
        <v>16</v>
      </c>
      <c r="H6" s="137">
        <f>IF(B$27=0,0,G6/B$27)</f>
        <v>0.41025641025641024</v>
      </c>
      <c r="I6" s="98">
        <v>1</v>
      </c>
      <c r="K6" s="38">
        <v>4</v>
      </c>
      <c r="L6" s="103">
        <v>13.599999999999994</v>
      </c>
      <c r="N6" s="119" t="s">
        <v>140</v>
      </c>
      <c r="O6" s="126">
        <f t="shared" si="0"/>
        <v>3040</v>
      </c>
      <c r="P6" s="123">
        <v>15</v>
      </c>
      <c r="Q6" s="107">
        <v>45600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74</v>
      </c>
      <c r="F7" s="60" t="s">
        <v>28</v>
      </c>
      <c r="G7" s="47">
        <v>16</v>
      </c>
      <c r="H7" s="137">
        <f>IF(B$27=0,0,G7/B$27)</f>
        <v>0.41025641025641024</v>
      </c>
      <c r="I7" s="98">
        <v>6</v>
      </c>
      <c r="K7" s="38">
        <v>5</v>
      </c>
      <c r="L7" s="103">
        <v>-16.600000000000005</v>
      </c>
      <c r="N7" s="120" t="s">
        <v>141</v>
      </c>
      <c r="O7" s="127">
        <f t="shared" si="0"/>
        <v>-557.14285714285711</v>
      </c>
      <c r="P7" s="124">
        <v>14</v>
      </c>
      <c r="Q7" s="108">
        <v>-7800</v>
      </c>
    </row>
    <row r="8" spans="1:17" x14ac:dyDescent="0.4">
      <c r="A8" s="55" t="s">
        <v>3</v>
      </c>
      <c r="B8" s="47">
        <v>4</v>
      </c>
      <c r="C8" s="39">
        <f>IF(B$2=0,0,B8/B$2)</f>
        <v>0.26666666666666666</v>
      </c>
      <c r="E8" s="63" t="s">
        <v>71</v>
      </c>
      <c r="F8" s="60" t="s">
        <v>25</v>
      </c>
      <c r="G8" s="47">
        <v>12</v>
      </c>
      <c r="H8" s="137">
        <f>IF(B$27=0,0,G8/B$27)</f>
        <v>0.30769230769230771</v>
      </c>
      <c r="I8" s="98">
        <v>1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0.4</v>
      </c>
      <c r="E9" s="63" t="s">
        <v>67</v>
      </c>
      <c r="F9" s="60" t="s">
        <v>22</v>
      </c>
      <c r="G9" s="47">
        <v>9</v>
      </c>
      <c r="H9" s="137">
        <f>IF(B$27=0,0,G9/B$27)</f>
        <v>0.23076923076923078</v>
      </c>
      <c r="I9" s="98">
        <v>1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5</v>
      </c>
      <c r="H10" s="137">
        <f>IF(B$27=0,0,G10/B$27)</f>
        <v>0.12820512820512819</v>
      </c>
      <c r="I10" s="98">
        <v>2</v>
      </c>
      <c r="K10" s="38">
        <v>8</v>
      </c>
      <c r="L10" s="103">
        <v>-49.6</v>
      </c>
      <c r="N10" s="118" t="s">
        <v>172</v>
      </c>
      <c r="O10" s="128">
        <f>IF(P10=0,0,Q10/P10)</f>
        <v>14.779999999999998</v>
      </c>
      <c r="P10" s="122">
        <v>5</v>
      </c>
      <c r="Q10" s="110">
        <v>73.899999999999991</v>
      </c>
    </row>
    <row r="11" spans="1:17" x14ac:dyDescent="0.4">
      <c r="A11" s="56" t="s">
        <v>144</v>
      </c>
      <c r="B11" s="48">
        <v>1</v>
      </c>
      <c r="C11" s="40">
        <f>IF(B$2=0,0,B11/B$2)</f>
        <v>6.6666666666666666E-2</v>
      </c>
      <c r="E11" s="63" t="s">
        <v>92</v>
      </c>
      <c r="F11" s="60" t="s">
        <v>46</v>
      </c>
      <c r="G11" s="47">
        <v>3</v>
      </c>
      <c r="H11" s="137">
        <f>IF(B$27=0,0,G11/B$27)</f>
        <v>7.6923076923076927E-2</v>
      </c>
      <c r="I11" s="98">
        <v>8</v>
      </c>
      <c r="K11" s="38">
        <v>9</v>
      </c>
      <c r="L11" s="103">
        <v>-79.5</v>
      </c>
      <c r="N11" s="119" t="s">
        <v>173</v>
      </c>
      <c r="O11" s="129">
        <f>IF(P11=0,0,Q11/P11)</f>
        <v>-9.9571428571428555</v>
      </c>
      <c r="P11" s="123">
        <v>7</v>
      </c>
      <c r="Q11" s="111">
        <v>-69.699999999999989</v>
      </c>
    </row>
    <row r="12" spans="1:17" x14ac:dyDescent="0.4">
      <c r="A12" s="57" t="s">
        <v>165</v>
      </c>
      <c r="B12" s="49">
        <v>1</v>
      </c>
      <c r="C12" s="42">
        <f>IF(B$2=0,0,B12/B$2)</f>
        <v>6.6666666666666666E-2</v>
      </c>
      <c r="E12" s="63" t="s">
        <v>84</v>
      </c>
      <c r="F12" s="60" t="s">
        <v>38</v>
      </c>
      <c r="G12" s="47">
        <v>2</v>
      </c>
      <c r="H12" s="137">
        <f>IF(B$27=0,0,G12/B$27)</f>
        <v>5.128205128205128E-2</v>
      </c>
      <c r="I12" s="98">
        <v>2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46</v>
      </c>
      <c r="C13" s="44">
        <f>IF(B$26=0,0,B13/B$26)</f>
        <v>0.36507936507936506</v>
      </c>
      <c r="E13" s="63" t="s">
        <v>89</v>
      </c>
      <c r="F13" s="60" t="s">
        <v>43</v>
      </c>
      <c r="G13" s="47">
        <v>2</v>
      </c>
      <c r="H13" s="137">
        <f>IF(B$27=0,0,G13/B$27)</f>
        <v>5.128205128205128E-2</v>
      </c>
      <c r="I13" s="98">
        <v>4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29</v>
      </c>
      <c r="C14" s="39">
        <f>IF(B$26=0,0,B14/B$26)</f>
        <v>0.23015873015873015</v>
      </c>
      <c r="E14" s="63" t="s">
        <v>73</v>
      </c>
      <c r="F14" s="60" t="s">
        <v>27</v>
      </c>
      <c r="G14" s="47">
        <v>1</v>
      </c>
      <c r="H14" s="137">
        <f>IF(B$27=0,0,G14/B$27)</f>
        <v>2.564102564102564E-2</v>
      </c>
      <c r="I14" s="98">
        <v>4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29</v>
      </c>
      <c r="C15" s="37">
        <f>IF(B$13=0,0,B15/B$13)</f>
        <v>0.63043478260869568</v>
      </c>
      <c r="E15" s="63" t="s">
        <v>75</v>
      </c>
      <c r="F15" s="60" t="s">
        <v>29</v>
      </c>
      <c r="G15" s="47">
        <v>1</v>
      </c>
      <c r="H15" s="137">
        <f>IF(B$27=0,0,G15/B$27)</f>
        <v>2.564102564102564E-2</v>
      </c>
      <c r="I15" s="98">
        <v>1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8</v>
      </c>
      <c r="C16" s="37">
        <f>IF(B$14=0,0,B16/B$14)</f>
        <v>0.27586206896551724</v>
      </c>
      <c r="E16" s="63" t="s">
        <v>77</v>
      </c>
      <c r="F16" s="60" t="s">
        <v>31</v>
      </c>
      <c r="G16" s="47">
        <v>1</v>
      </c>
      <c r="H16" s="137">
        <f>IF(B$27=0,0,G16/B$27)</f>
        <v>2.564102564102564E-2</v>
      </c>
      <c r="I16" s="98">
        <v>3</v>
      </c>
      <c r="K16" s="38">
        <v>14</v>
      </c>
      <c r="L16" s="103">
        <v>-25.600000000000009</v>
      </c>
      <c r="N16" s="119" t="s">
        <v>180</v>
      </c>
      <c r="O16" s="129">
        <f>IF(P16=0,0,Q16/P16)</f>
        <v>32.699999999999996</v>
      </c>
      <c r="P16" s="123">
        <v>3</v>
      </c>
      <c r="Q16" s="111">
        <v>98.1</v>
      </c>
    </row>
    <row r="17" spans="1:17" x14ac:dyDescent="0.4">
      <c r="A17" s="54" t="s">
        <v>10</v>
      </c>
      <c r="B17" s="46">
        <f>B19+B18</f>
        <v>45</v>
      </c>
      <c r="C17" s="37">
        <f>IF(B$3=0,0,B17/B$3)</f>
        <v>0.33088235294117646</v>
      </c>
      <c r="E17" s="63" t="s">
        <v>86</v>
      </c>
      <c r="F17" s="60" t="s">
        <v>40</v>
      </c>
      <c r="G17" s="47">
        <v>1</v>
      </c>
      <c r="H17" s="137">
        <f>IF(B$27=0,0,G17/B$27)</f>
        <v>2.564102564102564E-2</v>
      </c>
      <c r="I17" s="98">
        <v>7</v>
      </c>
      <c r="K17" s="38">
        <v>15</v>
      </c>
      <c r="L17" s="103">
        <v>47.999999999999986</v>
      </c>
      <c r="N17" s="119" t="s">
        <v>179</v>
      </c>
      <c r="O17" s="129">
        <f>IF(P17=0,0,Q17/P17)</f>
        <v>27.616666666666664</v>
      </c>
      <c r="P17" s="123">
        <v>6</v>
      </c>
      <c r="Q17" s="111">
        <v>165.7</v>
      </c>
    </row>
    <row r="18" spans="1:17" x14ac:dyDescent="0.4">
      <c r="A18" s="55" t="s">
        <v>12</v>
      </c>
      <c r="B18" s="47">
        <v>18</v>
      </c>
      <c r="C18" s="39">
        <f>IF(B$17=0,0,B18/B$17)</f>
        <v>0.4</v>
      </c>
      <c r="E18" s="63" t="s">
        <v>94</v>
      </c>
      <c r="F18" s="60" t="s">
        <v>48</v>
      </c>
      <c r="G18" s="47">
        <v>1</v>
      </c>
      <c r="H18" s="137">
        <f>IF(B$27=0,0,G18/B$27)</f>
        <v>2.564102564102564E-2</v>
      </c>
      <c r="I18" s="98">
        <v>2</v>
      </c>
      <c r="N18" s="119" t="s">
        <v>133</v>
      </c>
      <c r="O18" s="129">
        <f>IF(P18=0,0,Q18/P18)</f>
        <v>-15.299999999999999</v>
      </c>
      <c r="P18" s="123">
        <v>6</v>
      </c>
      <c r="Q18" s="111">
        <v>-91.8</v>
      </c>
    </row>
    <row r="19" spans="1:17" x14ac:dyDescent="0.4">
      <c r="A19" s="55" t="s">
        <v>11</v>
      </c>
      <c r="B19" s="47">
        <v>27</v>
      </c>
      <c r="C19" s="39">
        <f>IF(B$17=0,0,B19/B$17)</f>
        <v>0.6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1</v>
      </c>
      <c r="N19" s="119" t="s">
        <v>131</v>
      </c>
      <c r="O19" s="129">
        <f>IF(P19=0,0,Q19/P19)</f>
        <v>-28.212499999999999</v>
      </c>
      <c r="P19" s="123">
        <v>8</v>
      </c>
      <c r="Q19" s="111">
        <v>-225.7</v>
      </c>
    </row>
    <row r="20" spans="1:17" x14ac:dyDescent="0.4">
      <c r="A20" s="55" t="s">
        <v>13</v>
      </c>
      <c r="B20" s="47">
        <v>23</v>
      </c>
      <c r="C20" s="39">
        <f>IF(B$3=0,0,B20/B$3)</f>
        <v>0.16911764705882354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N20" s="119" t="s">
        <v>185</v>
      </c>
      <c r="O20" s="129">
        <f>IF(P20=0,0,Q20/P20)</f>
        <v>-32.35</v>
      </c>
      <c r="P20" s="123">
        <v>2</v>
      </c>
      <c r="Q20" s="111">
        <v>-64.7</v>
      </c>
    </row>
    <row r="21" spans="1:17" x14ac:dyDescent="0.4">
      <c r="A21" s="55" t="s">
        <v>5</v>
      </c>
      <c r="B21" s="51">
        <f>IF(B$17=0,0,C21/B$17)</f>
        <v>8133.333333333333</v>
      </c>
      <c r="C21" s="41">
        <v>366000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-8026.086956521739</v>
      </c>
      <c r="C22" s="45">
        <v>-184600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4</v>
      </c>
    </row>
    <row r="23" spans="1:17" x14ac:dyDescent="0.4">
      <c r="A23" s="94" t="s">
        <v>146</v>
      </c>
      <c r="B23" s="143">
        <v>4</v>
      </c>
      <c r="C23" s="14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88600</v>
      </c>
      <c r="C24" s="14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2</v>
      </c>
      <c r="C25" s="42">
        <f>IF(B$3=0,0,B25/B$3)</f>
        <v>1.4705882352941176E-2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126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39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5FD24-75E4-4861-B78F-F14C4819F3BA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9</v>
      </c>
      <c r="C2" s="148"/>
      <c r="E2" s="62" t="s">
        <v>68</v>
      </c>
      <c r="F2" s="59" t="s">
        <v>23</v>
      </c>
      <c r="G2" s="46">
        <v>24</v>
      </c>
      <c r="H2" s="136">
        <f>IF(B$27=0,0,G2/B$27)</f>
        <v>1.263157894736842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1255.5555555555557</v>
      </c>
      <c r="P2" s="122">
        <v>9</v>
      </c>
      <c r="Q2" s="106">
        <v>11300</v>
      </c>
    </row>
    <row r="3" spans="1:17" x14ac:dyDescent="0.4">
      <c r="A3" s="55" t="s">
        <v>8</v>
      </c>
      <c r="B3" s="153">
        <v>75</v>
      </c>
      <c r="C3" s="154"/>
      <c r="E3" s="63" t="s">
        <v>66</v>
      </c>
      <c r="F3" s="60" t="s">
        <v>21</v>
      </c>
      <c r="G3" s="47">
        <v>9</v>
      </c>
      <c r="H3" s="137">
        <f>IF(B$27=0,0,G3/B$27)</f>
        <v>0.47368421052631576</v>
      </c>
      <c r="I3" s="98">
        <v>3</v>
      </c>
      <c r="K3" s="38">
        <v>1</v>
      </c>
      <c r="L3" s="103">
        <v>-40.4</v>
      </c>
      <c r="N3" s="119" t="s">
        <v>137</v>
      </c>
      <c r="O3" s="126">
        <f t="shared" si="0"/>
        <v>-3022.2222222222222</v>
      </c>
      <c r="P3" s="123">
        <v>9</v>
      </c>
      <c r="Q3" s="107">
        <v>-27200</v>
      </c>
    </row>
    <row r="4" spans="1:17" x14ac:dyDescent="0.4">
      <c r="A4" s="55" t="s">
        <v>6</v>
      </c>
      <c r="B4" s="155">
        <v>-127.6</v>
      </c>
      <c r="C4" s="156"/>
      <c r="E4" s="63" t="s">
        <v>69</v>
      </c>
      <c r="F4" s="60" t="s">
        <v>24</v>
      </c>
      <c r="G4" s="47">
        <v>7</v>
      </c>
      <c r="H4" s="137">
        <f>IF(B$27=0,0,G4/B$27)</f>
        <v>0.36842105263157893</v>
      </c>
      <c r="I4" s="98">
        <v>3</v>
      </c>
      <c r="K4" s="38">
        <v>2</v>
      </c>
      <c r="L4" s="103">
        <v>-3.3999999999999986</v>
      </c>
      <c r="N4" s="119" t="s">
        <v>138</v>
      </c>
      <c r="O4" s="126">
        <f t="shared" si="0"/>
        <v>-2914.2857142857142</v>
      </c>
      <c r="P4" s="123">
        <v>7</v>
      </c>
      <c r="Q4" s="107">
        <v>-20400</v>
      </c>
    </row>
    <row r="5" spans="1:17" x14ac:dyDescent="0.4">
      <c r="A5" s="55" t="s">
        <v>7</v>
      </c>
      <c r="B5" s="157">
        <f>IF(B$2=0,0,B$4/B$2)</f>
        <v>-14.177777777777777</v>
      </c>
      <c r="C5" s="158"/>
      <c r="E5" s="63" t="s">
        <v>74</v>
      </c>
      <c r="F5" s="60" t="s">
        <v>28</v>
      </c>
      <c r="G5" s="47">
        <v>6</v>
      </c>
      <c r="H5" s="137">
        <f>IF(B$27=0,0,G5/B$27)</f>
        <v>0.31578947368421051</v>
      </c>
      <c r="I5" s="98">
        <v>7</v>
      </c>
      <c r="K5" s="38">
        <v>3</v>
      </c>
      <c r="L5" s="103">
        <v>-23.099999999999998</v>
      </c>
      <c r="N5" s="119" t="s">
        <v>139</v>
      </c>
      <c r="O5" s="126">
        <f t="shared" si="0"/>
        <v>-5114.2857142857147</v>
      </c>
      <c r="P5" s="123">
        <v>7</v>
      </c>
      <c r="Q5" s="107">
        <v>-35800</v>
      </c>
    </row>
    <row r="6" spans="1:17" x14ac:dyDescent="0.4">
      <c r="A6" s="55" t="s">
        <v>1</v>
      </c>
      <c r="B6" s="145">
        <f>IF(B$2=0,0,(B$7*1+B$8*2+B$9*3)/B$2)</f>
        <v>2.2222222222222223</v>
      </c>
      <c r="C6" s="146"/>
      <c r="E6" s="63" t="s">
        <v>70</v>
      </c>
      <c r="F6" s="60" t="s">
        <v>12</v>
      </c>
      <c r="G6" s="47">
        <v>5</v>
      </c>
      <c r="H6" s="137">
        <f>IF(B$27=0,0,G6/B$27)</f>
        <v>0.26315789473684209</v>
      </c>
      <c r="I6" s="98">
        <v>5</v>
      </c>
      <c r="K6" s="38">
        <v>4</v>
      </c>
      <c r="L6" s="103">
        <v>-31.4</v>
      </c>
      <c r="N6" s="119" t="s">
        <v>140</v>
      </c>
      <c r="O6" s="126">
        <f t="shared" si="0"/>
        <v>-1571.4285714285713</v>
      </c>
      <c r="P6" s="123">
        <v>7</v>
      </c>
      <c r="Q6" s="107">
        <v>-11000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189</v>
      </c>
      <c r="F7" s="60" t="s">
        <v>190</v>
      </c>
      <c r="G7" s="47">
        <v>5</v>
      </c>
      <c r="H7" s="137">
        <f>IF(B$27=0,0,G7/B$27)</f>
        <v>0.26315789473684209</v>
      </c>
      <c r="I7" s="98">
        <v>6</v>
      </c>
      <c r="K7" s="38">
        <v>5</v>
      </c>
      <c r="L7" s="103">
        <v>-32.199999999999996</v>
      </c>
      <c r="N7" s="120" t="s">
        <v>141</v>
      </c>
      <c r="O7" s="127">
        <f t="shared" si="0"/>
        <v>-642.85714285714289</v>
      </c>
      <c r="P7" s="124">
        <v>7</v>
      </c>
      <c r="Q7" s="108">
        <v>-4500</v>
      </c>
    </row>
    <row r="8" spans="1:17" x14ac:dyDescent="0.4">
      <c r="A8" s="55" t="s">
        <v>3</v>
      </c>
      <c r="B8" s="47">
        <v>3</v>
      </c>
      <c r="C8" s="39">
        <f>IF(B$2=0,0,B8/B$2)</f>
        <v>0.33333333333333331</v>
      </c>
      <c r="E8" s="63" t="s">
        <v>73</v>
      </c>
      <c r="F8" s="60" t="s">
        <v>27</v>
      </c>
      <c r="G8" s="47">
        <v>3</v>
      </c>
      <c r="H8" s="137">
        <f>IF(B$27=0,0,G8/B$27)</f>
        <v>0.15789473684210525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0.44444444444444442</v>
      </c>
      <c r="E9" s="63" t="s">
        <v>92</v>
      </c>
      <c r="F9" s="60" t="s">
        <v>46</v>
      </c>
      <c r="G9" s="47">
        <v>3</v>
      </c>
      <c r="H9" s="137">
        <f>IF(B$27=0,0,G9/B$27)</f>
        <v>0.15789473684210525</v>
      </c>
      <c r="I9" s="98">
        <v>3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0.1111111111111111</v>
      </c>
      <c r="E10" s="63" t="s">
        <v>71</v>
      </c>
      <c r="F10" s="60" t="s">
        <v>25</v>
      </c>
      <c r="G10" s="47">
        <v>2</v>
      </c>
      <c r="H10" s="137">
        <f>IF(B$27=0,0,G10/B$27)</f>
        <v>0.10526315789473684</v>
      </c>
      <c r="I10" s="98">
        <v>7</v>
      </c>
      <c r="K10" s="38">
        <v>8</v>
      </c>
      <c r="L10" s="103">
        <v>-79.599999999999994</v>
      </c>
      <c r="N10" s="118" t="s">
        <v>172</v>
      </c>
      <c r="O10" s="128">
        <f>IF(P10=0,0,Q10/P10)</f>
        <v>-30.75</v>
      </c>
      <c r="P10" s="122">
        <v>4</v>
      </c>
      <c r="Q10" s="110">
        <v>-123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2</v>
      </c>
      <c r="H11" s="137">
        <f>IF(B$27=0,0,G11/B$27)</f>
        <v>0.10526315789473684</v>
      </c>
      <c r="I11" s="98">
        <v>3</v>
      </c>
      <c r="K11" s="38">
        <v>9</v>
      </c>
      <c r="L11" s="103">
        <v>-127.6</v>
      </c>
      <c r="N11" s="119" t="s">
        <v>173</v>
      </c>
      <c r="O11" s="129">
        <f>IF(P11=0,0,Q11/P11)</f>
        <v>-10.25</v>
      </c>
      <c r="P11" s="123">
        <v>2</v>
      </c>
      <c r="Q11" s="111">
        <v>-20.5</v>
      </c>
    </row>
    <row r="12" spans="1:17" x14ac:dyDescent="0.4">
      <c r="A12" s="57" t="s">
        <v>165</v>
      </c>
      <c r="B12" s="49">
        <v>1</v>
      </c>
      <c r="C12" s="42">
        <f>IF(B$2=0,0,B12/B$2)</f>
        <v>0.1111111111111111</v>
      </c>
      <c r="E12" s="63" t="s">
        <v>89</v>
      </c>
      <c r="F12" s="60" t="s">
        <v>43</v>
      </c>
      <c r="G12" s="47">
        <v>2</v>
      </c>
      <c r="H12" s="137">
        <f>IF(B$27=0,0,G12/B$27)</f>
        <v>0.10526315789473684</v>
      </c>
      <c r="I12" s="98">
        <v>1</v>
      </c>
      <c r="N12" s="120" t="s">
        <v>174</v>
      </c>
      <c r="O12" s="130">
        <f>IF(P12=0,0,Q12/P12)</f>
        <v>5.3000000000000016</v>
      </c>
      <c r="P12" s="124">
        <v>3</v>
      </c>
      <c r="Q12" s="112">
        <v>15.900000000000006</v>
      </c>
    </row>
    <row r="13" spans="1:17" x14ac:dyDescent="0.4">
      <c r="A13" s="58" t="s">
        <v>126</v>
      </c>
      <c r="B13" s="50">
        <v>18</v>
      </c>
      <c r="C13" s="44">
        <f>IF(B$26=0,0,B13/B$26)</f>
        <v>0.24</v>
      </c>
      <c r="E13" s="63" t="s">
        <v>67</v>
      </c>
      <c r="F13" s="60" t="s">
        <v>22</v>
      </c>
      <c r="G13" s="47">
        <v>1</v>
      </c>
      <c r="H13" s="137">
        <f>IF(B$27=0,0,G13/B$27)</f>
        <v>5.2631578947368418E-2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8</v>
      </c>
      <c r="C14" s="39">
        <f>IF(B$26=0,0,B14/B$26)</f>
        <v>0.10666666666666667</v>
      </c>
      <c r="E14" s="63" t="s">
        <v>80</v>
      </c>
      <c r="F14" s="60" t="s">
        <v>34</v>
      </c>
      <c r="G14" s="47">
        <v>1</v>
      </c>
      <c r="H14" s="137">
        <f>IF(B$27=0,0,G14/B$27)</f>
        <v>5.2631578947368418E-2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</v>
      </c>
      <c r="C15" s="37">
        <f>IF(B$13=0,0,B15/B$13)</f>
        <v>0.55555555555555558</v>
      </c>
      <c r="E15" s="63" t="s">
        <v>86</v>
      </c>
      <c r="F15" s="60" t="s">
        <v>40</v>
      </c>
      <c r="G15" s="47">
        <v>1</v>
      </c>
      <c r="H15" s="137">
        <f>IF(B$27=0,0,G15/B$27)</f>
        <v>5.2631578947368418E-2</v>
      </c>
      <c r="I15" s="98">
        <v>3</v>
      </c>
      <c r="N15" s="118" t="s">
        <v>132</v>
      </c>
      <c r="O15" s="128">
        <f>IF(P15=0,0,Q15/P15)</f>
        <v>15.299999999999997</v>
      </c>
      <c r="P15" s="122">
        <v>6</v>
      </c>
      <c r="Q15" s="110">
        <v>91.799999999999983</v>
      </c>
    </row>
    <row r="16" spans="1:17" x14ac:dyDescent="0.4">
      <c r="A16" s="54" t="s">
        <v>129</v>
      </c>
      <c r="B16" s="46">
        <v>3</v>
      </c>
      <c r="C16" s="37">
        <f>IF(B$14=0,0,B16/B$14)</f>
        <v>0.375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13.95</v>
      </c>
      <c r="P16" s="123">
        <v>2</v>
      </c>
      <c r="Q16" s="111">
        <v>27.9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0.25333333333333335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131</v>
      </c>
      <c r="O17" s="129">
        <f>IF(P17=0,0,Q17/P17)</f>
        <v>-32.857142857142854</v>
      </c>
      <c r="P17" s="123">
        <v>7</v>
      </c>
      <c r="Q17" s="111">
        <v>-230</v>
      </c>
    </row>
    <row r="18" spans="1:17" x14ac:dyDescent="0.4">
      <c r="A18" s="55" t="s">
        <v>12</v>
      </c>
      <c r="B18" s="47">
        <v>6</v>
      </c>
      <c r="C18" s="39">
        <f>IF(B$17=0,0,B18/B$17)</f>
        <v>0.31578947368421051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13</v>
      </c>
      <c r="C19" s="39">
        <f>IF(B$17=0,0,B19/B$17)</f>
        <v>0.68421052631578949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179</v>
      </c>
      <c r="O19" s="129">
        <f>IF(P19=0,0,Q19/P19)</f>
        <v>-102.35</v>
      </c>
      <c r="P19" s="123">
        <v>2</v>
      </c>
      <c r="Q19" s="111">
        <v>-204.7</v>
      </c>
    </row>
    <row r="20" spans="1:17" x14ac:dyDescent="0.4">
      <c r="A20" s="55" t="s">
        <v>13</v>
      </c>
      <c r="B20" s="47">
        <v>18</v>
      </c>
      <c r="C20" s="39">
        <f>IF(B$3=0,0,B20/B$3)</f>
        <v>0.24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7710.5263157894733</v>
      </c>
      <c r="C21" s="41">
        <v>146500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-9244.4444444444453</v>
      </c>
      <c r="C22" s="45">
        <v>-166400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75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19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B88EE-3983-4B0D-B20D-F83E4FAE8543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13</v>
      </c>
      <c r="C2" s="148"/>
      <c r="E2" s="62" t="s">
        <v>68</v>
      </c>
      <c r="F2" s="59" t="s">
        <v>23</v>
      </c>
      <c r="G2" s="46">
        <v>22</v>
      </c>
      <c r="H2" s="136">
        <f>IF(B$27=0,0,G2/B$27)</f>
        <v>0.84615384615384615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-3153.8461538461538</v>
      </c>
      <c r="P2" s="122">
        <v>13</v>
      </c>
      <c r="Q2" s="106">
        <v>-41000</v>
      </c>
    </row>
    <row r="3" spans="1:17" x14ac:dyDescent="0.4">
      <c r="A3" s="55" t="s">
        <v>8</v>
      </c>
      <c r="B3" s="153">
        <v>118</v>
      </c>
      <c r="C3" s="154"/>
      <c r="E3" s="63" t="s">
        <v>74</v>
      </c>
      <c r="F3" s="60" t="s">
        <v>28</v>
      </c>
      <c r="G3" s="47">
        <v>15</v>
      </c>
      <c r="H3" s="137">
        <f>IF(B$27=0,0,G3/B$27)</f>
        <v>0.57692307692307687</v>
      </c>
      <c r="I3" s="98">
        <v>3</v>
      </c>
      <c r="K3" s="38">
        <v>1</v>
      </c>
      <c r="L3" s="103">
        <v>-51.2</v>
      </c>
      <c r="N3" s="119" t="s">
        <v>137</v>
      </c>
      <c r="O3" s="126">
        <f t="shared" si="0"/>
        <v>2123.0769230769229</v>
      </c>
      <c r="P3" s="123">
        <v>13</v>
      </c>
      <c r="Q3" s="107">
        <v>27600</v>
      </c>
    </row>
    <row r="4" spans="1:17" x14ac:dyDescent="0.4">
      <c r="A4" s="55" t="s">
        <v>6</v>
      </c>
      <c r="B4" s="155">
        <v>-58.7</v>
      </c>
      <c r="C4" s="156"/>
      <c r="E4" s="63" t="s">
        <v>66</v>
      </c>
      <c r="F4" s="60" t="s">
        <v>21</v>
      </c>
      <c r="G4" s="47">
        <v>12</v>
      </c>
      <c r="H4" s="137">
        <f>IF(B$27=0,0,G4/B$27)</f>
        <v>0.46153846153846156</v>
      </c>
      <c r="I4" s="98">
        <v>4</v>
      </c>
      <c r="K4" s="38">
        <v>2</v>
      </c>
      <c r="L4" s="103">
        <v>-93.300000000000011</v>
      </c>
      <c r="N4" s="119" t="s">
        <v>138</v>
      </c>
      <c r="O4" s="126">
        <f t="shared" si="0"/>
        <v>-316.66666666666669</v>
      </c>
      <c r="P4" s="123">
        <v>12</v>
      </c>
      <c r="Q4" s="107">
        <v>-3800</v>
      </c>
    </row>
    <row r="5" spans="1:17" x14ac:dyDescent="0.4">
      <c r="A5" s="55" t="s">
        <v>7</v>
      </c>
      <c r="B5" s="157">
        <f>IF(B$2=0,0,B$4/B$2)</f>
        <v>-4.5153846153846153</v>
      </c>
      <c r="C5" s="158"/>
      <c r="E5" s="63" t="s">
        <v>189</v>
      </c>
      <c r="F5" s="60" t="s">
        <v>190</v>
      </c>
      <c r="G5" s="47">
        <v>8</v>
      </c>
      <c r="H5" s="137">
        <f>IF(B$27=0,0,G5/B$27)</f>
        <v>0.30769230769230771</v>
      </c>
      <c r="I5" s="98">
        <v>5</v>
      </c>
      <c r="K5" s="38">
        <v>3</v>
      </c>
      <c r="L5" s="103">
        <v>-60.100000000000009</v>
      </c>
      <c r="N5" s="119" t="s">
        <v>139</v>
      </c>
      <c r="O5" s="126">
        <f t="shared" si="0"/>
        <v>-5209.090909090909</v>
      </c>
      <c r="P5" s="123">
        <v>11</v>
      </c>
      <c r="Q5" s="107">
        <v>-57300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71</v>
      </c>
      <c r="F6" s="60" t="s">
        <v>25</v>
      </c>
      <c r="G6" s="47">
        <v>7</v>
      </c>
      <c r="H6" s="137">
        <f>IF(B$27=0,0,G6/B$27)</f>
        <v>0.26923076923076922</v>
      </c>
      <c r="I6" s="98">
        <v>2</v>
      </c>
      <c r="K6" s="38">
        <v>4</v>
      </c>
      <c r="L6" s="103">
        <v>-11.300000000000011</v>
      </c>
      <c r="N6" s="119" t="s">
        <v>140</v>
      </c>
      <c r="O6" s="126">
        <f t="shared" si="0"/>
        <v>2200</v>
      </c>
      <c r="P6" s="123">
        <v>10</v>
      </c>
      <c r="Q6" s="107">
        <v>22000</v>
      </c>
    </row>
    <row r="7" spans="1:17" x14ac:dyDescent="0.4">
      <c r="A7" s="55" t="s">
        <v>2</v>
      </c>
      <c r="B7" s="47">
        <v>5</v>
      </c>
      <c r="C7" s="39">
        <f>IF(B$2=0,0,B7/B$2)</f>
        <v>0.38461538461538464</v>
      </c>
      <c r="E7" s="63" t="s">
        <v>70</v>
      </c>
      <c r="F7" s="60" t="s">
        <v>12</v>
      </c>
      <c r="G7" s="47">
        <v>5</v>
      </c>
      <c r="H7" s="137">
        <f>IF(B$27=0,0,G7/B$27)</f>
        <v>0.19230769230769232</v>
      </c>
      <c r="I7" s="98">
        <v>6</v>
      </c>
      <c r="K7" s="38">
        <v>5</v>
      </c>
      <c r="L7" s="103">
        <v>-36.100000000000009</v>
      </c>
      <c r="N7" s="120" t="s">
        <v>141</v>
      </c>
      <c r="O7" s="127">
        <f t="shared" si="0"/>
        <v>225</v>
      </c>
      <c r="P7" s="124">
        <v>8</v>
      </c>
      <c r="Q7" s="108">
        <v>1800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7">
        <f>IF(B$27=0,0,G8/B$27)</f>
        <v>0.15384615384615385</v>
      </c>
      <c r="I8" s="98">
        <v>1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0.38461538461538464</v>
      </c>
      <c r="E9" s="63" t="s">
        <v>92</v>
      </c>
      <c r="F9" s="60" t="s">
        <v>46</v>
      </c>
      <c r="G9" s="47">
        <v>4</v>
      </c>
      <c r="H9" s="137">
        <f>IF(B$27=0,0,G9/B$27)</f>
        <v>0.15384615384615385</v>
      </c>
      <c r="I9" s="98">
        <v>4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7.6923076923076927E-2</v>
      </c>
      <c r="E10" s="63" t="s">
        <v>67</v>
      </c>
      <c r="F10" s="60" t="s">
        <v>22</v>
      </c>
      <c r="G10" s="47">
        <v>3</v>
      </c>
      <c r="H10" s="137">
        <f>IF(B$27=0,0,G10/B$27)</f>
        <v>0.11538461538461539</v>
      </c>
      <c r="I10" s="98">
        <v>5</v>
      </c>
      <c r="K10" s="38">
        <v>8</v>
      </c>
      <c r="L10" s="103">
        <v>-1.7000000000000028</v>
      </c>
      <c r="N10" s="118" t="s">
        <v>172</v>
      </c>
      <c r="O10" s="128">
        <f>IF(P10=0,0,Q10/P10)</f>
        <v>-13.260000000000002</v>
      </c>
      <c r="P10" s="122">
        <v>5</v>
      </c>
      <c r="Q10" s="110">
        <v>-66.300000000000011</v>
      </c>
    </row>
    <row r="11" spans="1:17" x14ac:dyDescent="0.4">
      <c r="A11" s="56" t="s">
        <v>144</v>
      </c>
      <c r="B11" s="48">
        <v>1</v>
      </c>
      <c r="C11" s="40">
        <f>IF(B$2=0,0,B11/B$2)</f>
        <v>7.6923076923076927E-2</v>
      </c>
      <c r="E11" s="63" t="s">
        <v>69</v>
      </c>
      <c r="F11" s="60" t="s">
        <v>24</v>
      </c>
      <c r="G11" s="47">
        <v>3</v>
      </c>
      <c r="H11" s="137">
        <f>IF(B$27=0,0,G11/B$27)</f>
        <v>0.11538461538461539</v>
      </c>
      <c r="I11" s="98">
        <v>7</v>
      </c>
      <c r="K11" s="38">
        <v>9</v>
      </c>
      <c r="L11" s="103">
        <v>-5.8000000000000025</v>
      </c>
      <c r="N11" s="119" t="s">
        <v>173</v>
      </c>
      <c r="O11" s="129">
        <f>IF(P11=0,0,Q11/P11)</f>
        <v>10.200000000000001</v>
      </c>
      <c r="P11" s="123">
        <v>2</v>
      </c>
      <c r="Q11" s="111">
        <v>20.400000000000002</v>
      </c>
    </row>
    <row r="12" spans="1:17" x14ac:dyDescent="0.4">
      <c r="A12" s="57" t="s">
        <v>165</v>
      </c>
      <c r="B12" s="49">
        <v>1</v>
      </c>
      <c r="C12" s="42">
        <f>IF(B$2=0,0,B12/B$2)</f>
        <v>7.6923076923076927E-2</v>
      </c>
      <c r="E12" s="63" t="s">
        <v>77</v>
      </c>
      <c r="F12" s="60" t="s">
        <v>31</v>
      </c>
      <c r="G12" s="47">
        <v>1</v>
      </c>
      <c r="H12" s="137">
        <f>IF(B$27=0,0,G12/B$27)</f>
        <v>3.8461538461538464E-2</v>
      </c>
      <c r="I12" s="98">
        <v>2</v>
      </c>
      <c r="K12" s="38">
        <v>10</v>
      </c>
      <c r="L12" s="103">
        <v>-56.500000000000007</v>
      </c>
      <c r="N12" s="120" t="s">
        <v>174</v>
      </c>
      <c r="O12" s="130">
        <f>IF(P12=0,0,Q12/P12)</f>
        <v>-2.1333333333333329</v>
      </c>
      <c r="P12" s="124">
        <v>6</v>
      </c>
      <c r="Q12" s="112">
        <v>-12.799999999999997</v>
      </c>
    </row>
    <row r="13" spans="1:17" x14ac:dyDescent="0.4">
      <c r="A13" s="58" t="s">
        <v>126</v>
      </c>
      <c r="B13" s="50">
        <v>26</v>
      </c>
      <c r="C13" s="44">
        <f>IF(B$26=0,0,B13/B$26)</f>
        <v>0.24074074074074073</v>
      </c>
      <c r="E13" s="63" t="s">
        <v>86</v>
      </c>
      <c r="F13" s="60" t="s">
        <v>40</v>
      </c>
      <c r="G13" s="47">
        <v>1</v>
      </c>
      <c r="H13" s="137">
        <f>IF(B$27=0,0,G13/B$27)</f>
        <v>3.8461538461538464E-2</v>
      </c>
      <c r="I13" s="98">
        <v>6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27</v>
      </c>
      <c r="C14" s="39">
        <f>IF(B$26=0,0,B14/B$26)</f>
        <v>0.25</v>
      </c>
      <c r="E14" s="63" t="s">
        <v>95</v>
      </c>
      <c r="F14" s="60" t="s">
        <v>49</v>
      </c>
      <c r="G14" s="47">
        <v>1</v>
      </c>
      <c r="H14" s="137">
        <f>IF(B$27=0,0,G14/B$27)</f>
        <v>3.8461538461538464E-2</v>
      </c>
      <c r="I14" s="98">
        <v>1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12</v>
      </c>
      <c r="C15" s="37">
        <f>IF(B$13=0,0,B15/B$13)</f>
        <v>0.46153846153846156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6</v>
      </c>
      <c r="K15" s="38">
        <v>13</v>
      </c>
      <c r="L15" s="103">
        <v>-58.7</v>
      </c>
      <c r="N15" s="118" t="s">
        <v>133</v>
      </c>
      <c r="O15" s="128">
        <f>IF(P15=0,0,Q15/P15)</f>
        <v>102.35</v>
      </c>
      <c r="P15" s="122">
        <v>2</v>
      </c>
      <c r="Q15" s="110">
        <v>204.7</v>
      </c>
    </row>
    <row r="16" spans="1:17" x14ac:dyDescent="0.4">
      <c r="A16" s="54" t="s">
        <v>129</v>
      </c>
      <c r="B16" s="46">
        <v>8</v>
      </c>
      <c r="C16" s="37">
        <f>IF(B$14=0,0,B16/B$14)</f>
        <v>0.29629629629629628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185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26</v>
      </c>
      <c r="C17" s="37">
        <f>IF(B$3=0,0,B17/B$3)</f>
        <v>0.22033898305084745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33.24285714285714</v>
      </c>
      <c r="P17" s="123">
        <v>7</v>
      </c>
      <c r="Q17" s="111">
        <v>232.7</v>
      </c>
    </row>
    <row r="18" spans="1:17" x14ac:dyDescent="0.4">
      <c r="A18" s="55" t="s">
        <v>12</v>
      </c>
      <c r="B18" s="47">
        <v>9</v>
      </c>
      <c r="C18" s="39">
        <f>IF(B$17=0,0,B18/B$17)</f>
        <v>0.34615384615384615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180</v>
      </c>
      <c r="O18" s="129">
        <f>IF(P18=0,0,Q18/P18)</f>
        <v>-9.9600000000000026</v>
      </c>
      <c r="P18" s="123">
        <v>5</v>
      </c>
      <c r="Q18" s="111">
        <v>-49.800000000000011</v>
      </c>
    </row>
    <row r="19" spans="1:17" x14ac:dyDescent="0.4">
      <c r="A19" s="55" t="s">
        <v>11</v>
      </c>
      <c r="B19" s="47">
        <v>17</v>
      </c>
      <c r="C19" s="39">
        <f>IF(B$17=0,0,B19/B$17)</f>
        <v>0.65384615384615385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-27.616666666666664</v>
      </c>
      <c r="P19" s="123">
        <v>6</v>
      </c>
      <c r="Q19" s="111">
        <v>-165.7</v>
      </c>
    </row>
    <row r="20" spans="1:17" x14ac:dyDescent="0.4">
      <c r="A20" s="55" t="s">
        <v>13</v>
      </c>
      <c r="B20" s="47">
        <v>24</v>
      </c>
      <c r="C20" s="39">
        <f>IF(B$3=0,0,B20/B$3)</f>
        <v>0.20338983050847459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  <c r="N20" s="119" t="s">
        <v>131</v>
      </c>
      <c r="O20" s="129">
        <f>IF(P20=0,0,Q20/P20)</f>
        <v>-86.62</v>
      </c>
      <c r="P20" s="123">
        <v>5</v>
      </c>
      <c r="Q20" s="111">
        <v>-433.1</v>
      </c>
    </row>
    <row r="21" spans="1:17" x14ac:dyDescent="0.4">
      <c r="A21" s="55" t="s">
        <v>5</v>
      </c>
      <c r="B21" s="51">
        <f>IF(B$17=0,0,C21/B$17)</f>
        <v>7880.7692307692305</v>
      </c>
      <c r="C21" s="41">
        <v>204900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-6895.833333333333</v>
      </c>
      <c r="C22" s="45">
        <v>-165500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64600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5</v>
      </c>
    </row>
    <row r="25" spans="1:17" x14ac:dyDescent="0.4">
      <c r="A25" s="57" t="s">
        <v>147</v>
      </c>
      <c r="B25" s="65">
        <v>1</v>
      </c>
      <c r="C25" s="42">
        <f>IF(B$3=0,0,B25/B$3)</f>
        <v>8.4745762711864406E-3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108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26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4D79-C32D-425C-8F9C-09238C1F74EB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7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2700</v>
      </c>
      <c r="P2" s="122">
        <v>7</v>
      </c>
      <c r="Q2" s="106">
        <v>18900</v>
      </c>
    </row>
    <row r="3" spans="1:17" x14ac:dyDescent="0.4">
      <c r="A3" s="55" t="s">
        <v>8</v>
      </c>
      <c r="B3" s="153">
        <v>55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3</v>
      </c>
      <c r="K3" s="38">
        <v>1</v>
      </c>
      <c r="L3" s="103">
        <v>11.1</v>
      </c>
      <c r="N3" s="119" t="s">
        <v>137</v>
      </c>
      <c r="O3" s="126">
        <f t="shared" si="0"/>
        <v>1842.8571428571429</v>
      </c>
      <c r="P3" s="123">
        <v>7</v>
      </c>
      <c r="Q3" s="107">
        <v>12900</v>
      </c>
    </row>
    <row r="4" spans="1:17" x14ac:dyDescent="0.4">
      <c r="A4" s="55" t="s">
        <v>6</v>
      </c>
      <c r="B4" s="155">
        <v>7.7999999999999972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5</v>
      </c>
      <c r="K4" s="38">
        <v>2</v>
      </c>
      <c r="L4" s="103">
        <v>-7.7000000000000011</v>
      </c>
      <c r="N4" s="119" t="s">
        <v>138</v>
      </c>
      <c r="O4" s="126">
        <f t="shared" si="0"/>
        <v>-1466.6666666666667</v>
      </c>
      <c r="P4" s="123">
        <v>6</v>
      </c>
      <c r="Q4" s="107">
        <v>-8800</v>
      </c>
    </row>
    <row r="5" spans="1:17" x14ac:dyDescent="0.4">
      <c r="A5" s="55" t="s">
        <v>7</v>
      </c>
      <c r="B5" s="157">
        <f>IF(B$2=0,0,B$4/B$2)</f>
        <v>1.1142857142857139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7</v>
      </c>
      <c r="K5" s="38">
        <v>3</v>
      </c>
      <c r="L5" s="103">
        <v>1.7999999999999989</v>
      </c>
      <c r="N5" s="119" t="s">
        <v>139</v>
      </c>
      <c r="O5" s="126">
        <f t="shared" si="0"/>
        <v>4200</v>
      </c>
      <c r="P5" s="123">
        <v>6</v>
      </c>
      <c r="Q5" s="107">
        <v>25200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-4716.666666666667</v>
      </c>
      <c r="P6" s="123">
        <v>6</v>
      </c>
      <c r="Q6" s="107">
        <v>-28300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-3020</v>
      </c>
      <c r="P7" s="124">
        <v>5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4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7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8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2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10</v>
      </c>
      <c r="C13" s="44">
        <f>IF(B$26=0,0,B13/B$26)</f>
        <v>0.18181818181818182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19</v>
      </c>
      <c r="C14" s="39">
        <f>IF(B$26=0,0,B14/B$26)</f>
        <v>0.34545454545454546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0.7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6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0.36842105263157893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179</v>
      </c>
      <c r="O16" s="129">
        <f>IF(P16=0,0,Q16/P16)</f>
        <v>9.9599999999999991</v>
      </c>
      <c r="P16" s="123">
        <v>5</v>
      </c>
      <c r="Q16" s="111">
        <v>49.8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0.30909090909090908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5.9</v>
      </c>
      <c r="P17" s="123">
        <v>2</v>
      </c>
      <c r="Q17" s="111">
        <v>11.8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-2.6333333333333351</v>
      </c>
      <c r="P18" s="123">
        <v>3</v>
      </c>
      <c r="Q18" s="111">
        <v>-7.9000000000000057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9</v>
      </c>
      <c r="C20" s="39">
        <f>IF(B$3=0,0,B20/B$3)</f>
        <v>0.16363636363636364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-7100</v>
      </c>
      <c r="C22" s="45">
        <v>-63900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55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7F671-3A37-48C3-BBE6-6775757C83EB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10</v>
      </c>
      <c r="C2" s="148"/>
      <c r="E2" s="62" t="s">
        <v>68</v>
      </c>
      <c r="F2" s="59" t="s">
        <v>23</v>
      </c>
      <c r="G2" s="46">
        <v>20</v>
      </c>
      <c r="H2" s="136">
        <f>IF(B$27=0,0,G2/B$27)</f>
        <v>0.86956521739130432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-3600</v>
      </c>
      <c r="P2" s="122">
        <v>10</v>
      </c>
      <c r="Q2" s="106">
        <v>-36000</v>
      </c>
    </row>
    <row r="3" spans="1:17" x14ac:dyDescent="0.4">
      <c r="A3" s="55" t="s">
        <v>8</v>
      </c>
      <c r="B3" s="153">
        <v>97</v>
      </c>
      <c r="C3" s="154"/>
      <c r="E3" s="63" t="s">
        <v>74</v>
      </c>
      <c r="F3" s="60" t="s">
        <v>28</v>
      </c>
      <c r="G3" s="47">
        <v>12</v>
      </c>
      <c r="H3" s="137">
        <f>IF(B$27=0,0,G3/B$27)</f>
        <v>0.52173913043478259</v>
      </c>
      <c r="I3" s="98">
        <v>5</v>
      </c>
      <c r="K3" s="38">
        <v>1</v>
      </c>
      <c r="L3" s="103">
        <v>-82.6</v>
      </c>
      <c r="N3" s="119" t="s">
        <v>137</v>
      </c>
      <c r="O3" s="126">
        <f t="shared" si="0"/>
        <v>-5730</v>
      </c>
      <c r="P3" s="123">
        <v>10</v>
      </c>
      <c r="Q3" s="107">
        <v>-57300</v>
      </c>
    </row>
    <row r="4" spans="1:17" x14ac:dyDescent="0.4">
      <c r="A4" s="55" t="s">
        <v>6</v>
      </c>
      <c r="B4" s="155">
        <v>-318.39999999999998</v>
      </c>
      <c r="C4" s="156"/>
      <c r="E4" s="63" t="s">
        <v>70</v>
      </c>
      <c r="F4" s="60" t="s">
        <v>12</v>
      </c>
      <c r="G4" s="47">
        <v>9</v>
      </c>
      <c r="H4" s="137">
        <f>IF(B$27=0,0,G4/B$27)</f>
        <v>0.39130434782608697</v>
      </c>
      <c r="I4" s="98">
        <v>3</v>
      </c>
      <c r="K4" s="38">
        <v>2</v>
      </c>
      <c r="L4" s="103">
        <v>-122.3</v>
      </c>
      <c r="N4" s="119" t="s">
        <v>138</v>
      </c>
      <c r="O4" s="126">
        <f t="shared" si="0"/>
        <v>-122.22222222222223</v>
      </c>
      <c r="P4" s="123">
        <v>9</v>
      </c>
      <c r="Q4" s="107">
        <v>-1100</v>
      </c>
    </row>
    <row r="5" spans="1:17" x14ac:dyDescent="0.4">
      <c r="A5" s="55" t="s">
        <v>7</v>
      </c>
      <c r="B5" s="157">
        <f>IF(B$2=0,0,B$4/B$2)</f>
        <v>-31.839999999999996</v>
      </c>
      <c r="C5" s="158"/>
      <c r="E5" s="63" t="s">
        <v>66</v>
      </c>
      <c r="F5" s="60" t="s">
        <v>21</v>
      </c>
      <c r="G5" s="47">
        <v>6</v>
      </c>
      <c r="H5" s="137">
        <f>IF(B$27=0,0,G5/B$27)</f>
        <v>0.2608695652173913</v>
      </c>
      <c r="I5" s="98">
        <v>8</v>
      </c>
      <c r="K5" s="38">
        <v>3</v>
      </c>
      <c r="L5" s="103">
        <v>-149</v>
      </c>
      <c r="N5" s="119" t="s">
        <v>139</v>
      </c>
      <c r="O5" s="126">
        <f t="shared" si="0"/>
        <v>-7700</v>
      </c>
      <c r="P5" s="123">
        <v>8</v>
      </c>
      <c r="Q5" s="107">
        <v>-61600</v>
      </c>
    </row>
    <row r="6" spans="1:17" x14ac:dyDescent="0.4">
      <c r="A6" s="55" t="s">
        <v>1</v>
      </c>
      <c r="B6" s="145">
        <f>IF(B$2=0,0,(B$7*1+B$8*2+B$9*3)/B$2)</f>
        <v>2.6</v>
      </c>
      <c r="C6" s="146"/>
      <c r="E6" s="63" t="s">
        <v>189</v>
      </c>
      <c r="F6" s="60" t="s">
        <v>190</v>
      </c>
      <c r="G6" s="47">
        <v>6</v>
      </c>
      <c r="H6" s="137">
        <f>IF(B$27=0,0,G6/B$27)</f>
        <v>0.2608695652173913</v>
      </c>
      <c r="I6" s="98">
        <v>7</v>
      </c>
      <c r="K6" s="38">
        <v>4</v>
      </c>
      <c r="L6" s="103">
        <v>-150.6</v>
      </c>
      <c r="N6" s="119" t="s">
        <v>140</v>
      </c>
      <c r="O6" s="126">
        <f t="shared" si="0"/>
        <v>-4585.7142857142853</v>
      </c>
      <c r="P6" s="123">
        <v>7</v>
      </c>
      <c r="Q6" s="107">
        <v>-32100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3</v>
      </c>
      <c r="H7" s="137">
        <f>IF(B$27=0,0,G7/B$27)</f>
        <v>0.13043478260869565</v>
      </c>
      <c r="I7" s="98">
        <v>6</v>
      </c>
      <c r="K7" s="38">
        <v>5</v>
      </c>
      <c r="L7" s="103">
        <v>-184.89999999999998</v>
      </c>
      <c r="N7" s="120" t="s">
        <v>141</v>
      </c>
      <c r="O7" s="127">
        <f t="shared" si="0"/>
        <v>-1716.6666666666667</v>
      </c>
      <c r="P7" s="124">
        <v>6</v>
      </c>
      <c r="Q7" s="108">
        <v>-10300</v>
      </c>
    </row>
    <row r="8" spans="1:17" x14ac:dyDescent="0.4">
      <c r="A8" s="55" t="s">
        <v>3</v>
      </c>
      <c r="B8" s="47">
        <v>4</v>
      </c>
      <c r="C8" s="39">
        <f>IF(B$2=0,0,B8/B$2)</f>
        <v>0.4</v>
      </c>
      <c r="E8" s="63" t="s">
        <v>92</v>
      </c>
      <c r="F8" s="60" t="s">
        <v>46</v>
      </c>
      <c r="G8" s="47">
        <v>3</v>
      </c>
      <c r="H8" s="137">
        <f>IF(B$27=0,0,G8/B$27)</f>
        <v>0.13043478260869565</v>
      </c>
      <c r="I8" s="98">
        <v>6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69</v>
      </c>
      <c r="F9" s="60" t="s">
        <v>24</v>
      </c>
      <c r="G9" s="47">
        <v>2</v>
      </c>
      <c r="H9" s="137">
        <f>IF(B$27=0,0,G9/B$27)</f>
        <v>8.6956521739130432E-2</v>
      </c>
      <c r="I9" s="98">
        <v>8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72</v>
      </c>
      <c r="F10" s="60" t="s">
        <v>26</v>
      </c>
      <c r="G10" s="47">
        <v>2</v>
      </c>
      <c r="H10" s="137">
        <f>IF(B$27=0,0,G10/B$27)</f>
        <v>8.6956521739130432E-2</v>
      </c>
      <c r="I10" s="98">
        <v>4</v>
      </c>
      <c r="K10" s="38">
        <v>8</v>
      </c>
      <c r="L10" s="103">
        <v>-219.59999999999997</v>
      </c>
      <c r="N10" s="118" t="s">
        <v>172</v>
      </c>
      <c r="O10" s="128">
        <f>IF(P10=0,0,Q10/P10)</f>
        <v>-34.1</v>
      </c>
      <c r="P10" s="122">
        <v>2</v>
      </c>
      <c r="Q10" s="110">
        <v>-68.2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2</v>
      </c>
      <c r="H11" s="137">
        <f>IF(B$27=0,0,G11/B$27)</f>
        <v>8.6956521739130432E-2</v>
      </c>
      <c r="I11" s="98">
        <v>1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1</v>
      </c>
      <c r="H12" s="137">
        <f>IF(B$27=0,0,G12/B$27)</f>
        <v>4.3478260869565216E-2</v>
      </c>
      <c r="I12" s="98">
        <v>2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14</v>
      </c>
      <c r="C13" s="44">
        <f>IF(B$26=0,0,B13/B$26)</f>
        <v>0.16091954022988506</v>
      </c>
      <c r="E13" s="63" t="s">
        <v>67</v>
      </c>
      <c r="F13" s="60" t="s">
        <v>22</v>
      </c>
      <c r="G13" s="47">
        <v>0</v>
      </c>
      <c r="H13" s="137">
        <f>IF(B$27=0,0,G13/B$27)</f>
        <v>0</v>
      </c>
      <c r="I13" s="98">
        <v>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25</v>
      </c>
      <c r="C14" s="39">
        <f>IF(B$26=0,0,B14/B$26)</f>
        <v>0.28735632183908044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6</v>
      </c>
      <c r="C15" s="37">
        <f>IF(B$13=0,0,B15/B$13)</f>
        <v>0.42857142857142855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1</v>
      </c>
      <c r="N15" s="118" t="s">
        <v>180</v>
      </c>
      <c r="O15" s="128">
        <f>IF(P15=0,0,Q15/P15)</f>
        <v>-5.9000000000000021</v>
      </c>
      <c r="P15" s="122">
        <v>2</v>
      </c>
      <c r="Q15" s="110">
        <v>-11.800000000000004</v>
      </c>
    </row>
    <row r="16" spans="1:17" x14ac:dyDescent="0.4">
      <c r="A16" s="54" t="s">
        <v>129</v>
      </c>
      <c r="B16" s="46">
        <v>9</v>
      </c>
      <c r="C16" s="37">
        <f>IF(B$14=0,0,B16/B$14)</f>
        <v>0.36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133</v>
      </c>
      <c r="O16" s="129">
        <f>IF(P16=0,0,Q16/P16)</f>
        <v>-13.949999999999996</v>
      </c>
      <c r="P16" s="123">
        <v>2</v>
      </c>
      <c r="Q16" s="111">
        <v>-27.899999999999991</v>
      </c>
    </row>
    <row r="17" spans="1:17" x14ac:dyDescent="0.4">
      <c r="A17" s="54" t="s">
        <v>10</v>
      </c>
      <c r="B17" s="46">
        <f>B19+B18</f>
        <v>25</v>
      </c>
      <c r="C17" s="37">
        <f>IF(B$3=0,0,B17/B$3)</f>
        <v>0.25773195876288657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179</v>
      </c>
      <c r="O17" s="129">
        <f>IF(P17=0,0,Q17/P17)</f>
        <v>-33.24285714285714</v>
      </c>
      <c r="P17" s="123">
        <v>7</v>
      </c>
      <c r="Q17" s="111">
        <v>-232.7</v>
      </c>
    </row>
    <row r="18" spans="1:17" x14ac:dyDescent="0.4">
      <c r="A18" s="55" t="s">
        <v>12</v>
      </c>
      <c r="B18" s="47">
        <v>13</v>
      </c>
      <c r="C18" s="39">
        <f>IF(B$17=0,0,B18/B$17)</f>
        <v>0.52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132</v>
      </c>
      <c r="O18" s="129">
        <f>IF(P18=0,0,Q18/P18)</f>
        <v>-52.48</v>
      </c>
      <c r="P18" s="123">
        <v>5</v>
      </c>
      <c r="Q18" s="111">
        <v>-262.39999999999998</v>
      </c>
    </row>
    <row r="19" spans="1:17" x14ac:dyDescent="0.4">
      <c r="A19" s="55" t="s">
        <v>11</v>
      </c>
      <c r="B19" s="47">
        <v>12</v>
      </c>
      <c r="C19" s="39">
        <f>IF(B$17=0,0,B19/B$17)</f>
        <v>0.48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  <c r="N19" s="119" t="s">
        <v>185</v>
      </c>
      <c r="O19" s="129">
        <f>IF(P19=0,0,Q19/P19)</f>
        <v>-60.4</v>
      </c>
      <c r="P19" s="123">
        <v>1</v>
      </c>
      <c r="Q19" s="111">
        <v>-60.4</v>
      </c>
    </row>
    <row r="20" spans="1:17" x14ac:dyDescent="0.4">
      <c r="A20" s="55" t="s">
        <v>13</v>
      </c>
      <c r="B20" s="47">
        <v>23</v>
      </c>
      <c r="C20" s="39">
        <f>IF(B$3=0,0,B20/B$3)</f>
        <v>0.23711340206185566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-119.99999999999999</v>
      </c>
      <c r="P20" s="123">
        <v>3</v>
      </c>
      <c r="Q20" s="111">
        <v>-359.99999999999994</v>
      </c>
    </row>
    <row r="21" spans="1:17" x14ac:dyDescent="0.4">
      <c r="A21" s="55" t="s">
        <v>5</v>
      </c>
      <c r="B21" s="51">
        <f>IF(B$17=0,0,C21/B$17)</f>
        <v>4756</v>
      </c>
      <c r="C21" s="41">
        <v>118900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-9313.04347826087</v>
      </c>
      <c r="C22" s="45">
        <v>-214200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6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5</v>
      </c>
    </row>
    <row r="24" spans="1:17" x14ac:dyDescent="0.4">
      <c r="A24" s="58" t="s">
        <v>157</v>
      </c>
      <c r="B24" s="141">
        <v>33400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87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23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6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56DCD-FC07-45E4-8B41-EDD797E0220D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</v>
      </c>
      <c r="C2" s="148"/>
      <c r="E2" s="62" t="s">
        <v>66</v>
      </c>
      <c r="F2" s="59" t="s">
        <v>21</v>
      </c>
      <c r="G2" s="46">
        <v>2</v>
      </c>
      <c r="H2" s="136">
        <f>IF(B$27=0,0,G2/B$27)</f>
        <v>0.4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-850</v>
      </c>
      <c r="P2" s="122">
        <v>2</v>
      </c>
      <c r="Q2" s="106">
        <v>-1700</v>
      </c>
    </row>
    <row r="3" spans="1:17" x14ac:dyDescent="0.4">
      <c r="A3" s="55" t="s">
        <v>8</v>
      </c>
      <c r="B3" s="153">
        <v>17</v>
      </c>
      <c r="C3" s="154"/>
      <c r="E3" s="63" t="s">
        <v>68</v>
      </c>
      <c r="F3" s="60" t="s">
        <v>23</v>
      </c>
      <c r="G3" s="47">
        <v>2</v>
      </c>
      <c r="H3" s="137">
        <f>IF(B$27=0,0,G3/B$27)</f>
        <v>0.4</v>
      </c>
      <c r="I3" s="98">
        <v>8</v>
      </c>
      <c r="K3" s="38">
        <v>1</v>
      </c>
      <c r="L3" s="103">
        <v>-1.9</v>
      </c>
      <c r="N3" s="119" t="s">
        <v>137</v>
      </c>
      <c r="O3" s="126">
        <f t="shared" si="0"/>
        <v>-3000</v>
      </c>
      <c r="P3" s="123">
        <v>2</v>
      </c>
      <c r="Q3" s="107">
        <v>-6000</v>
      </c>
    </row>
    <row r="4" spans="1:17" x14ac:dyDescent="0.4">
      <c r="A4" s="55" t="s">
        <v>6</v>
      </c>
      <c r="B4" s="155">
        <v>30</v>
      </c>
      <c r="C4" s="156"/>
      <c r="E4" s="63" t="s">
        <v>69</v>
      </c>
      <c r="F4" s="60" t="s">
        <v>24</v>
      </c>
      <c r="G4" s="47">
        <v>2</v>
      </c>
      <c r="H4" s="137">
        <f>IF(B$27=0,0,G4/B$27)</f>
        <v>0.4</v>
      </c>
      <c r="I4" s="98">
        <v>2</v>
      </c>
      <c r="K4" s="38">
        <v>2</v>
      </c>
      <c r="L4" s="103">
        <v>30</v>
      </c>
      <c r="N4" s="119" t="s">
        <v>138</v>
      </c>
      <c r="O4" s="126">
        <f t="shared" si="0"/>
        <v>-950</v>
      </c>
      <c r="P4" s="123">
        <v>2</v>
      </c>
      <c r="Q4" s="107">
        <v>-1900</v>
      </c>
    </row>
    <row r="5" spans="1:17" x14ac:dyDescent="0.4">
      <c r="A5" s="55" t="s">
        <v>7</v>
      </c>
      <c r="B5" s="157">
        <f>IF(B$2=0,0,B$4/B$2)</f>
        <v>15</v>
      </c>
      <c r="C5" s="158"/>
      <c r="E5" s="63" t="s">
        <v>70</v>
      </c>
      <c r="F5" s="60" t="s">
        <v>12</v>
      </c>
      <c r="G5" s="47">
        <v>2</v>
      </c>
      <c r="H5" s="137">
        <f>IF(B$27=0,0,G5/B$27)</f>
        <v>0.4</v>
      </c>
      <c r="I5" s="98">
        <v>2</v>
      </c>
      <c r="N5" s="119" t="s">
        <v>139</v>
      </c>
      <c r="O5" s="126">
        <f t="shared" si="0"/>
        <v>-700</v>
      </c>
      <c r="P5" s="123">
        <v>2</v>
      </c>
      <c r="Q5" s="107">
        <v>-1400</v>
      </c>
    </row>
    <row r="6" spans="1:17" x14ac:dyDescent="0.4">
      <c r="A6" s="55" t="s">
        <v>1</v>
      </c>
      <c r="B6" s="145">
        <f>IF(B$2=0,0,(B$7*1+B$8*2+B$9*3)/B$2)</f>
        <v>1.5</v>
      </c>
      <c r="C6" s="146"/>
      <c r="E6" s="63" t="s">
        <v>67</v>
      </c>
      <c r="F6" s="60" t="s">
        <v>22</v>
      </c>
      <c r="G6" s="47">
        <v>1</v>
      </c>
      <c r="H6" s="137">
        <f>IF(B$27=0,0,G6/B$27)</f>
        <v>0.2</v>
      </c>
      <c r="I6" s="98">
        <v>2</v>
      </c>
      <c r="N6" s="119" t="s">
        <v>140</v>
      </c>
      <c r="O6" s="126">
        <f t="shared" si="0"/>
        <v>-4500</v>
      </c>
      <c r="P6" s="123">
        <v>2</v>
      </c>
      <c r="Q6" s="107">
        <v>-9000</v>
      </c>
    </row>
    <row r="7" spans="1:17" x14ac:dyDescent="0.4">
      <c r="A7" s="55" t="s">
        <v>2</v>
      </c>
      <c r="B7" s="47">
        <v>1</v>
      </c>
      <c r="C7" s="39">
        <f>IF(B$2=0,0,B7/B$2)</f>
        <v>0.5</v>
      </c>
      <c r="E7" s="63" t="s">
        <v>71</v>
      </c>
      <c r="F7" s="60" t="s">
        <v>25</v>
      </c>
      <c r="G7" s="47">
        <v>1</v>
      </c>
      <c r="H7" s="137">
        <f>IF(B$27=0,0,G7/B$27)</f>
        <v>0.2</v>
      </c>
      <c r="I7" s="98">
        <v>5</v>
      </c>
      <c r="N7" s="120" t="s">
        <v>141</v>
      </c>
      <c r="O7" s="127">
        <f t="shared" si="0"/>
        <v>15000</v>
      </c>
      <c r="P7" s="124">
        <v>2</v>
      </c>
      <c r="Q7" s="108">
        <v>30000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74</v>
      </c>
      <c r="F8" s="60" t="s">
        <v>28</v>
      </c>
      <c r="G8" s="47">
        <v>1</v>
      </c>
      <c r="H8" s="137">
        <f>IF(B$27=0,0,G8/B$27)</f>
        <v>0.2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77</v>
      </c>
      <c r="F9" s="60" t="s">
        <v>31</v>
      </c>
      <c r="G9" s="47">
        <v>1</v>
      </c>
      <c r="H9" s="137">
        <f>IF(B$27=0,0,G9/B$27)</f>
        <v>0.2</v>
      </c>
      <c r="I9" s="98">
        <v>1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92</v>
      </c>
      <c r="F10" s="60" t="s">
        <v>46</v>
      </c>
      <c r="G10" s="47">
        <v>1</v>
      </c>
      <c r="H10" s="137">
        <f>IF(B$27=0,0,G10/B$27)</f>
        <v>0.2</v>
      </c>
      <c r="I10" s="98">
        <v>2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94</v>
      </c>
      <c r="F11" s="60" t="s">
        <v>48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1</v>
      </c>
      <c r="C12" s="42">
        <f>IF(B$2=0,0,B12/B$2)</f>
        <v>0.5</v>
      </c>
      <c r="E12" s="63" t="s">
        <v>189</v>
      </c>
      <c r="F12" s="60" t="s">
        <v>190</v>
      </c>
      <c r="G12" s="47">
        <v>1</v>
      </c>
      <c r="H12" s="137">
        <f>IF(B$27=0,0,G12/B$27)</f>
        <v>0.2</v>
      </c>
      <c r="I12" s="98">
        <v>8</v>
      </c>
      <c r="N12" s="120" t="s">
        <v>174</v>
      </c>
      <c r="O12" s="130">
        <f>IF(P12=0,0,Q12/P12)</f>
        <v>31.9</v>
      </c>
      <c r="P12" s="124">
        <v>1</v>
      </c>
      <c r="Q12" s="112">
        <v>31.9</v>
      </c>
    </row>
    <row r="13" spans="1:17" x14ac:dyDescent="0.4">
      <c r="A13" s="58" t="s">
        <v>126</v>
      </c>
      <c r="B13" s="50">
        <v>2</v>
      </c>
      <c r="C13" s="44">
        <f>IF(B$26=0,0,B13/B$26)</f>
        <v>0.11764705882352941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</v>
      </c>
      <c r="C14" s="39">
        <f>IF(B$26=0,0,B14/B$26)</f>
        <v>0.17647058823529413</v>
      </c>
      <c r="E14" s="63" t="s">
        <v>73</v>
      </c>
      <c r="F14" s="60" t="s">
        <v>27</v>
      </c>
      <c r="G14" s="47">
        <v>0</v>
      </c>
      <c r="H14" s="137">
        <f>IF(B$27=0,0,G14/B$27)</f>
        <v>0</v>
      </c>
      <c r="I14" s="98">
        <v>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</v>
      </c>
      <c r="C15" s="37">
        <f>IF(B$13=0,0,B15/B$13)</f>
        <v>1</v>
      </c>
      <c r="E15" s="63" t="s">
        <v>75</v>
      </c>
      <c r="F15" s="60" t="s">
        <v>29</v>
      </c>
      <c r="G15" s="47">
        <v>0</v>
      </c>
      <c r="H15" s="137">
        <f>IF(B$27=0,0,G15/B$27)</f>
        <v>0</v>
      </c>
      <c r="I15" s="98">
        <v>3</v>
      </c>
      <c r="N15" s="118" t="s">
        <v>181</v>
      </c>
      <c r="O15" s="128">
        <f>IF(P15=0,0,Q15/P15)</f>
        <v>60.4</v>
      </c>
      <c r="P15" s="122">
        <v>1</v>
      </c>
      <c r="Q15" s="110">
        <v>60.4</v>
      </c>
    </row>
    <row r="16" spans="1:17" x14ac:dyDescent="0.4">
      <c r="A16" s="54" t="s">
        <v>129</v>
      </c>
      <c r="B16" s="46">
        <v>1</v>
      </c>
      <c r="C16" s="37">
        <f>IF(B$14=0,0,B16/B$14)</f>
        <v>0.33333333333333331</v>
      </c>
      <c r="E16" s="63" t="s">
        <v>76</v>
      </c>
      <c r="F16" s="60" t="s">
        <v>30</v>
      </c>
      <c r="G16" s="47">
        <v>0</v>
      </c>
      <c r="H16" s="137">
        <f>IF(B$27=0,0,G16/B$27)</f>
        <v>0</v>
      </c>
      <c r="I16" s="98">
        <v>1</v>
      </c>
      <c r="N16" s="119" t="s">
        <v>132</v>
      </c>
      <c r="O16" s="129">
        <f>IF(P16=0,0,Q16/P16)</f>
        <v>32.35</v>
      </c>
      <c r="P16" s="123">
        <v>2</v>
      </c>
      <c r="Q16" s="111">
        <v>64.7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179</v>
      </c>
      <c r="O17" s="129">
        <f>IF(P17=0,0,Q17/P17)</f>
        <v>-35.1</v>
      </c>
      <c r="P17" s="123">
        <v>1</v>
      </c>
      <c r="Q17" s="111">
        <v>-35.1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3</v>
      </c>
      <c r="C20" s="39">
        <f>IF(B$3=0,0,B20/B$3)</f>
        <v>0.17647058823529413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8800</v>
      </c>
      <c r="C21" s="41">
        <v>44000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-2933.3333333333335</v>
      </c>
      <c r="C22" s="45">
        <v>-8800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4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5</v>
      </c>
    </row>
    <row r="24" spans="1:17" x14ac:dyDescent="0.4">
      <c r="A24" s="58" t="s">
        <v>157</v>
      </c>
      <c r="B24" s="141">
        <v>46900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8</v>
      </c>
    </row>
    <row r="26" spans="1:17" x14ac:dyDescent="0.4">
      <c r="A26" s="54" t="s">
        <v>124</v>
      </c>
      <c r="B26" s="147">
        <v>17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07A54-4132-44C1-9E16-50465983F4B0}">
  <sheetPr codeName="Sheet2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8A25D-8F52-4751-B50E-292FDB389950}">
  <sheetPr codeName="Sheet18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2A64-C790-4560-B81C-ED8772EC61E9}">
  <sheetPr codeName="Sheet1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A0F77-EE4A-4288-87E9-8588CC0FB709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FB65-A4CB-42CB-B326-526D28509CED}">
  <sheetPr codeName="Sheet12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BB0A-BDFB-4DF5-BA5F-B902740B48BD}">
  <sheetPr codeName="Sheet1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D352B-E713-47BD-BB40-096F85D85C5C}">
  <sheetPr codeName="Sheet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7EA27-FB28-45B8-AAD9-A6E6F1586B1C}">
  <sheetPr codeName="Sheet6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2019-04-06T08:58:10Z</dcterms:modified>
</cp:coreProperties>
</file>