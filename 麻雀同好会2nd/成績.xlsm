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5BE4B8EE-C201-47A9-89D1-47CD6B47D3F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39" r:id="rId6"/>
    <sheet name="だいち" sheetId="5241" r:id="rId7"/>
    <sheet name="りくと" sheetId="5243" r:id="rId8"/>
    <sheet name="ただ" sheetId="5245" r:id="rId9"/>
    <sheet name="れんたろう" sheetId="5247" r:id="rId10"/>
    <sheet name="たかの" sheetId="5249" r:id="rId11"/>
    <sheet name="ぱぱ" sheetId="5251" r:id="rId12"/>
    <sheet name="まっつん" sheetId="5253" r:id="rId13"/>
    <sheet name="あさひ" sheetId="5255" r:id="rId14"/>
    <sheet name="いっしー" sheetId="5257" r:id="rId15"/>
    <sheet name="ほたに" sheetId="5259" r:id="rId16"/>
    <sheet name="かわたつ" sheetId="5261" r:id="rId17"/>
    <sheet name="やがさき" sheetId="5263" r:id="rId18"/>
    <sheet name="やがさき2" sheetId="5264" state="hidden" r:id="rId19"/>
    <sheet name="かわたつ2" sheetId="5262" state="hidden" r:id="rId20"/>
    <sheet name="ほたに2" sheetId="5260" state="hidden" r:id="rId21"/>
    <sheet name="いっしー2" sheetId="5258" state="hidden" r:id="rId22"/>
    <sheet name="あさひ2" sheetId="5256" state="hidden" r:id="rId23"/>
    <sheet name="まっつん2" sheetId="5254" state="hidden" r:id="rId24"/>
    <sheet name="ぱぱ2" sheetId="5252" state="hidden" r:id="rId25"/>
    <sheet name="たかの2" sheetId="5250" state="hidden" r:id="rId26"/>
    <sheet name="れんたろう2" sheetId="5248" state="hidden" r:id="rId27"/>
    <sheet name="ただ2" sheetId="5246" state="hidden" r:id="rId28"/>
    <sheet name="りくと2" sheetId="5244" state="hidden" r:id="rId29"/>
    <sheet name="だいち2" sheetId="5242" state="hidden" r:id="rId30"/>
    <sheet name="全体2" sheetId="524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45" l="1"/>
  <c r="O16" i="5249"/>
  <c r="O15" i="5239"/>
  <c r="O16" i="5263"/>
  <c r="O15" i="5263"/>
  <c r="C27" i="5263"/>
  <c r="B24" i="5263"/>
  <c r="C20" i="5263"/>
  <c r="C18" i="5263"/>
  <c r="B17" i="5263"/>
  <c r="H49" i="5263" s="1"/>
  <c r="C16" i="5263"/>
  <c r="C15" i="5263"/>
  <c r="C14" i="5263"/>
  <c r="C13" i="5263"/>
  <c r="O12" i="5263"/>
  <c r="C12" i="5263"/>
  <c r="O11" i="5263"/>
  <c r="C11" i="5263"/>
  <c r="O10" i="5263"/>
  <c r="C10" i="5263"/>
  <c r="C9" i="5263"/>
  <c r="C8" i="5263"/>
  <c r="O7" i="5263"/>
  <c r="C7" i="5263"/>
  <c r="O6" i="5263"/>
  <c r="H6" i="5263"/>
  <c r="B6" i="5263"/>
  <c r="O5" i="5263"/>
  <c r="H5" i="5263"/>
  <c r="B5" i="5263"/>
  <c r="O4" i="5263"/>
  <c r="O3" i="5263"/>
  <c r="H3" i="5263"/>
  <c r="O2" i="5263"/>
  <c r="O15" i="5261"/>
  <c r="O16" i="5261"/>
  <c r="H48" i="5261"/>
  <c r="H47" i="5261"/>
  <c r="H44" i="5261"/>
  <c r="H42" i="5261"/>
  <c r="H39" i="5261"/>
  <c r="H38" i="5261"/>
  <c r="H34" i="5261"/>
  <c r="H32" i="5261"/>
  <c r="H31" i="5261"/>
  <c r="H27" i="5261"/>
  <c r="C27" i="5261"/>
  <c r="H24" i="5261"/>
  <c r="B24" i="5261"/>
  <c r="B23" i="5261"/>
  <c r="H21" i="5261"/>
  <c r="C20" i="5261"/>
  <c r="C18" i="5261"/>
  <c r="H17" i="5261"/>
  <c r="C17" i="5261"/>
  <c r="B17" i="5261"/>
  <c r="H49" i="5261" s="1"/>
  <c r="H16" i="5261"/>
  <c r="C16" i="5261"/>
  <c r="H15" i="5261"/>
  <c r="C15" i="5261"/>
  <c r="H14" i="5261"/>
  <c r="C14" i="5261"/>
  <c r="H13" i="5261"/>
  <c r="C13" i="5261"/>
  <c r="O12" i="5261"/>
  <c r="H12" i="5261"/>
  <c r="C12" i="5261"/>
  <c r="O11" i="5261"/>
  <c r="H11" i="5261"/>
  <c r="C11" i="5261"/>
  <c r="O10" i="5261"/>
  <c r="H10" i="5261"/>
  <c r="C10" i="5261"/>
  <c r="H9" i="5261"/>
  <c r="C9" i="5261"/>
  <c r="H8" i="5261"/>
  <c r="C8" i="5261"/>
  <c r="O7" i="5261"/>
  <c r="H7" i="5261"/>
  <c r="C7" i="5261"/>
  <c r="O6" i="5261"/>
  <c r="H6" i="5261"/>
  <c r="B6" i="5261"/>
  <c r="O5" i="5261"/>
  <c r="H5" i="5261"/>
  <c r="B5" i="5261"/>
  <c r="O4" i="5261"/>
  <c r="H4" i="5261"/>
  <c r="O3" i="5261"/>
  <c r="H3" i="5261"/>
  <c r="O2" i="5261"/>
  <c r="H2" i="5261"/>
  <c r="O23" i="5247"/>
  <c r="O17" i="5241"/>
  <c r="O25" i="5239"/>
  <c r="H16" i="5263" l="1"/>
  <c r="H12" i="5263"/>
  <c r="H14" i="5263"/>
  <c r="H21" i="5263"/>
  <c r="H32" i="5263"/>
  <c r="H2" i="5263"/>
  <c r="H4" i="5263"/>
  <c r="H9" i="5263"/>
  <c r="H11" i="5263"/>
  <c r="H17" i="5263"/>
  <c r="B23" i="5263"/>
  <c r="H39" i="5263"/>
  <c r="H27" i="5263"/>
  <c r="H34" i="5263"/>
  <c r="H42" i="5263"/>
  <c r="H8" i="5263"/>
  <c r="H10" i="5263"/>
  <c r="H19" i="5263"/>
  <c r="H28" i="5263"/>
  <c r="H36" i="5263"/>
  <c r="H43" i="5263"/>
  <c r="H7" i="5263"/>
  <c r="H13" i="5263"/>
  <c r="H15" i="5263"/>
  <c r="C17" i="5263"/>
  <c r="H24" i="5263"/>
  <c r="H31" i="5263"/>
  <c r="H38" i="5263"/>
  <c r="H47" i="5263"/>
  <c r="H48" i="5263"/>
  <c r="H44" i="5263"/>
  <c r="H50" i="5263"/>
  <c r="C19" i="5263"/>
  <c r="H22" i="5263"/>
  <c r="H25" i="5263"/>
  <c r="H30" i="5263"/>
  <c r="H35" i="5263"/>
  <c r="H40" i="5263"/>
  <c r="H46" i="5263"/>
  <c r="H51" i="5263"/>
  <c r="H18" i="5263"/>
  <c r="H20" i="5263"/>
  <c r="H23" i="5263"/>
  <c r="H26" i="5263"/>
  <c r="H29" i="5263"/>
  <c r="H33" i="5263"/>
  <c r="H37" i="5263"/>
  <c r="H41" i="5263"/>
  <c r="H45" i="5263"/>
  <c r="H19" i="5261"/>
  <c r="H28" i="5261"/>
  <c r="H36" i="5261"/>
  <c r="H43" i="5261"/>
  <c r="H50" i="5261"/>
  <c r="C19" i="5261"/>
  <c r="H22" i="5261"/>
  <c r="H25" i="5261"/>
  <c r="H30" i="5261"/>
  <c r="H35" i="5261"/>
  <c r="H40" i="5261"/>
  <c r="H46" i="5261"/>
  <c r="H51" i="5261"/>
  <c r="H18" i="5261"/>
  <c r="H20" i="5261"/>
  <c r="H23" i="5261"/>
  <c r="H26" i="5261"/>
  <c r="H29" i="5261"/>
  <c r="H33" i="5261"/>
  <c r="H37" i="5261"/>
  <c r="H41" i="5261"/>
  <c r="H45" i="5261"/>
  <c r="O18" i="5249" l="1"/>
  <c r="O18" i="5257"/>
  <c r="O20" i="5259" l="1"/>
  <c r="O18" i="5259"/>
  <c r="O15" i="5253"/>
  <c r="O20" i="5243"/>
  <c r="O24" i="5241" l="1"/>
  <c r="O16" i="5259"/>
  <c r="O21" i="5251"/>
  <c r="O15" i="5259"/>
  <c r="O17" i="5259" l="1"/>
  <c r="O19" i="5259"/>
  <c r="C27" i="5259"/>
  <c r="B24" i="5259"/>
  <c r="C20" i="5259"/>
  <c r="B17" i="5259"/>
  <c r="H49" i="5259" s="1"/>
  <c r="C16" i="5259"/>
  <c r="C15" i="5259"/>
  <c r="C14" i="5259"/>
  <c r="C13" i="5259"/>
  <c r="O12" i="5259"/>
  <c r="C12" i="5259"/>
  <c r="O11" i="5259"/>
  <c r="C11" i="5259"/>
  <c r="O10" i="5259"/>
  <c r="C10" i="5259"/>
  <c r="C9" i="5259"/>
  <c r="C8" i="5259"/>
  <c r="O7" i="5259"/>
  <c r="C7" i="5259"/>
  <c r="O6" i="5259"/>
  <c r="B6" i="5259"/>
  <c r="O5" i="5259"/>
  <c r="B5" i="5259"/>
  <c r="O4" i="5259"/>
  <c r="O3" i="5259"/>
  <c r="O2" i="5259"/>
  <c r="O21" i="5247"/>
  <c r="O19" i="5249"/>
  <c r="O19" i="5239"/>
  <c r="H4" i="5259" l="1"/>
  <c r="H2" i="5259"/>
  <c r="H19" i="5259"/>
  <c r="H28" i="5259"/>
  <c r="H36" i="5259"/>
  <c r="H43" i="5259"/>
  <c r="H13" i="5259"/>
  <c r="H38" i="5259"/>
  <c r="H44" i="5259"/>
  <c r="H8" i="5259"/>
  <c r="C17" i="5259"/>
  <c r="H31" i="5259"/>
  <c r="H17" i="5259"/>
  <c r="H32" i="5259"/>
  <c r="H39" i="5259"/>
  <c r="H47" i="5259"/>
  <c r="H10" i="5259"/>
  <c r="H7" i="5259"/>
  <c r="H15" i="5259"/>
  <c r="H24" i="5259"/>
  <c r="H3" i="5259"/>
  <c r="H6" i="5259"/>
  <c r="H9" i="5259"/>
  <c r="H12" i="5259"/>
  <c r="H21" i="5259"/>
  <c r="H5" i="5259"/>
  <c r="H11" i="5259"/>
  <c r="H14" i="5259"/>
  <c r="H16" i="5259"/>
  <c r="C18" i="5259"/>
  <c r="B23" i="5259"/>
  <c r="H27" i="5259"/>
  <c r="H34" i="5259"/>
  <c r="H42" i="5259"/>
  <c r="H48" i="5259"/>
  <c r="H50" i="5259"/>
  <c r="C19" i="5259"/>
  <c r="H22" i="5259"/>
  <c r="H25" i="5259"/>
  <c r="H30" i="5259"/>
  <c r="H35" i="5259"/>
  <c r="H40" i="5259"/>
  <c r="H46" i="5259"/>
  <c r="H51" i="5259"/>
  <c r="H18" i="5259"/>
  <c r="H20" i="5259"/>
  <c r="H23" i="5259"/>
  <c r="H26" i="5259"/>
  <c r="H29" i="5259"/>
  <c r="H33" i="5259"/>
  <c r="H37" i="5259"/>
  <c r="H41" i="5259"/>
  <c r="H45" i="5259"/>
  <c r="O17" i="5249" l="1"/>
  <c r="O16" i="5245"/>
  <c r="O21" i="5253"/>
  <c r="O20" i="5253"/>
  <c r="O22" i="5241" l="1"/>
  <c r="O16" i="5257"/>
  <c r="O20" i="5257" l="1"/>
  <c r="O15" i="5257"/>
  <c r="O15" i="5247"/>
  <c r="O22" i="5245"/>
  <c r="O17" i="5255" l="1"/>
  <c r="O22" i="5251"/>
  <c r="O15" i="5255"/>
  <c r="O21" i="5257"/>
  <c r="O15" i="5243"/>
  <c r="O18" i="5253"/>
  <c r="O17" i="5239"/>
  <c r="O19" i="5257"/>
  <c r="O17" i="5257"/>
  <c r="C27" i="5257"/>
  <c r="B24" i="5257"/>
  <c r="C20" i="5257"/>
  <c r="B17" i="5257"/>
  <c r="H51" i="5257" s="1"/>
  <c r="C16" i="5257"/>
  <c r="C15" i="5257"/>
  <c r="C14" i="5257"/>
  <c r="C13" i="5257"/>
  <c r="O12" i="5257"/>
  <c r="H12" i="5257"/>
  <c r="C12" i="5257"/>
  <c r="O11" i="5257"/>
  <c r="C11" i="5257"/>
  <c r="O10" i="5257"/>
  <c r="C10" i="5257"/>
  <c r="C9" i="5257"/>
  <c r="C8" i="5257"/>
  <c r="O7" i="5257"/>
  <c r="C7" i="5257"/>
  <c r="O6" i="5257"/>
  <c r="B6" i="5257"/>
  <c r="O5" i="5257"/>
  <c r="B5" i="5257"/>
  <c r="O4" i="5257"/>
  <c r="H4" i="5257"/>
  <c r="O3" i="5257"/>
  <c r="O2" i="5257"/>
  <c r="H2" i="5257"/>
  <c r="O16" i="5255"/>
  <c r="O18" i="5255"/>
  <c r="C27" i="5255"/>
  <c r="B24" i="5255"/>
  <c r="C20" i="5255"/>
  <c r="B17" i="5255"/>
  <c r="H49" i="5255" s="1"/>
  <c r="H16" i="5255"/>
  <c r="C16" i="5255"/>
  <c r="C15" i="5255"/>
  <c r="C14" i="5255"/>
  <c r="C13" i="5255"/>
  <c r="O12" i="5255"/>
  <c r="C12" i="5255"/>
  <c r="O11" i="5255"/>
  <c r="C11" i="5255"/>
  <c r="O10" i="5255"/>
  <c r="C10" i="5255"/>
  <c r="C9" i="5255"/>
  <c r="C8" i="5255"/>
  <c r="O7" i="5255"/>
  <c r="C7" i="5255"/>
  <c r="O6" i="5255"/>
  <c r="B6" i="5255"/>
  <c r="O5" i="5255"/>
  <c r="B5" i="5255"/>
  <c r="O4" i="5255"/>
  <c r="O3" i="5255"/>
  <c r="O2" i="5255"/>
  <c r="O22" i="5253"/>
  <c r="O23" i="5253"/>
  <c r="O15" i="5241"/>
  <c r="O18" i="5241"/>
  <c r="O26" i="5239"/>
  <c r="C19" i="5257" l="1"/>
  <c r="H38" i="5257"/>
  <c r="H14" i="5257"/>
  <c r="H9" i="5257"/>
  <c r="H36" i="5257"/>
  <c r="H3" i="5257"/>
  <c r="H6" i="5257"/>
  <c r="H5" i="5257"/>
  <c r="H8" i="5257"/>
  <c r="H10" i="5257"/>
  <c r="H16" i="5257"/>
  <c r="H11" i="5257"/>
  <c r="C18" i="5257"/>
  <c r="H9" i="5255"/>
  <c r="H4" i="5255"/>
  <c r="H34" i="5255"/>
  <c r="H43" i="5255"/>
  <c r="H44" i="5255"/>
  <c r="H2" i="5255"/>
  <c r="H24" i="5255"/>
  <c r="H8" i="5255"/>
  <c r="H10" i="5255"/>
  <c r="C18" i="5255"/>
  <c r="H5" i="5255"/>
  <c r="H32" i="5255"/>
  <c r="H12" i="5255"/>
  <c r="H14" i="5255"/>
  <c r="H27" i="5255"/>
  <c r="H48" i="5255"/>
  <c r="H21" i="5255"/>
  <c r="H38" i="5255"/>
  <c r="H3" i="5255"/>
  <c r="H6" i="5255"/>
  <c r="H11" i="5255"/>
  <c r="H17" i="5255"/>
  <c r="H28" i="5255"/>
  <c r="H39" i="5255"/>
  <c r="H50" i="5255"/>
  <c r="C19" i="5255"/>
  <c r="H22" i="5255"/>
  <c r="H25" i="5255"/>
  <c r="H30" i="5255"/>
  <c r="H35" i="5255"/>
  <c r="H40" i="5255"/>
  <c r="H46" i="5255"/>
  <c r="H51" i="5255"/>
  <c r="H7" i="5255"/>
  <c r="H13" i="5255"/>
  <c r="H15" i="5255"/>
  <c r="C17" i="5255"/>
  <c r="H19" i="5255"/>
  <c r="B23" i="5255"/>
  <c r="H31" i="5255"/>
  <c r="H36" i="5255"/>
  <c r="H42" i="5255"/>
  <c r="H47" i="5255"/>
  <c r="H28" i="5257"/>
  <c r="H44" i="5257"/>
  <c r="H7" i="5257"/>
  <c r="H13" i="5257"/>
  <c r="H15" i="5257"/>
  <c r="C17" i="5257"/>
  <c r="B23" i="5257"/>
  <c r="H30" i="5257"/>
  <c r="H46" i="5257"/>
  <c r="H25" i="5257"/>
  <c r="H32" i="5257"/>
  <c r="H40" i="5257"/>
  <c r="H48" i="5257"/>
  <c r="H21" i="5257"/>
  <c r="H34" i="5257"/>
  <c r="H42" i="5257"/>
  <c r="H50" i="5257"/>
  <c r="H18" i="5257"/>
  <c r="H20" i="5257"/>
  <c r="H23" i="5257"/>
  <c r="H26" i="5257"/>
  <c r="H29" i="5257"/>
  <c r="H33" i="5257"/>
  <c r="H37" i="5257"/>
  <c r="H41" i="5257"/>
  <c r="H45" i="5257"/>
  <c r="H49" i="5257"/>
  <c r="H17" i="5257"/>
  <c r="H19" i="5257"/>
  <c r="H22" i="5257"/>
  <c r="H24" i="5257"/>
  <c r="H27" i="5257"/>
  <c r="H31" i="5257"/>
  <c r="H35" i="5257"/>
  <c r="H39" i="5257"/>
  <c r="H43" i="5257"/>
  <c r="H47" i="5257"/>
  <c r="H18" i="5255"/>
  <c r="H20" i="5255"/>
  <c r="H23" i="5255"/>
  <c r="H26" i="5255"/>
  <c r="H29" i="5255"/>
  <c r="H33" i="5255"/>
  <c r="H37" i="5255"/>
  <c r="H41" i="5255"/>
  <c r="H45" i="5255"/>
  <c r="O16" i="5253" l="1"/>
  <c r="O20" i="5251"/>
  <c r="O16" i="5251"/>
  <c r="O17" i="5243"/>
  <c r="O20" i="5249" l="1"/>
  <c r="O17" i="5247"/>
  <c r="O17" i="5251"/>
  <c r="O18" i="5251"/>
  <c r="O15" i="5249" l="1"/>
  <c r="O16" i="5247"/>
  <c r="O21" i="5245"/>
  <c r="O18" i="5245"/>
  <c r="O17" i="5253"/>
  <c r="O19" i="5253"/>
  <c r="C27" i="5253"/>
  <c r="B24" i="5253"/>
  <c r="C20" i="5253"/>
  <c r="B17" i="5253"/>
  <c r="H49" i="5253" s="1"/>
  <c r="C16" i="5253"/>
  <c r="C15" i="5253"/>
  <c r="C14" i="5253"/>
  <c r="C13" i="5253"/>
  <c r="O12" i="5253"/>
  <c r="C12" i="5253"/>
  <c r="O11" i="5253"/>
  <c r="C11" i="5253"/>
  <c r="O10" i="5253"/>
  <c r="C10" i="5253"/>
  <c r="C9" i="5253"/>
  <c r="C8" i="5253"/>
  <c r="O7" i="5253"/>
  <c r="C7" i="5253"/>
  <c r="O6" i="5253"/>
  <c r="B6" i="5253"/>
  <c r="O5" i="5253"/>
  <c r="B5" i="5253"/>
  <c r="O4" i="5253"/>
  <c r="O3" i="5253"/>
  <c r="O2" i="5253"/>
  <c r="H2" i="5253"/>
  <c r="O22" i="5247"/>
  <c r="O21" i="5243"/>
  <c r="O22" i="5239"/>
  <c r="H28" i="5253" l="1"/>
  <c r="H36" i="5253"/>
  <c r="H43" i="5253"/>
  <c r="H4" i="5253"/>
  <c r="H10" i="5253"/>
  <c r="H7" i="5253"/>
  <c r="H15" i="5253"/>
  <c r="H24" i="5253"/>
  <c r="H44" i="5253"/>
  <c r="H19" i="5253"/>
  <c r="H13" i="5253"/>
  <c r="H38" i="5253"/>
  <c r="H17" i="5253"/>
  <c r="H32" i="5253"/>
  <c r="H39" i="5253"/>
  <c r="H47" i="5253"/>
  <c r="H8" i="5253"/>
  <c r="C17" i="5253"/>
  <c r="H31" i="5253"/>
  <c r="H3" i="5253"/>
  <c r="H6" i="5253"/>
  <c r="H9" i="5253"/>
  <c r="H12" i="5253"/>
  <c r="H21" i="5253"/>
  <c r="H5" i="5253"/>
  <c r="H11" i="5253"/>
  <c r="H14" i="5253"/>
  <c r="H16" i="5253"/>
  <c r="C18" i="5253"/>
  <c r="B23" i="5253"/>
  <c r="H27" i="5253"/>
  <c r="H34" i="5253"/>
  <c r="H42" i="5253"/>
  <c r="H48" i="5253"/>
  <c r="H50" i="5253"/>
  <c r="C19" i="5253"/>
  <c r="H22" i="5253"/>
  <c r="H25" i="5253"/>
  <c r="H30" i="5253"/>
  <c r="H35" i="5253"/>
  <c r="H40" i="5253"/>
  <c r="H46" i="5253"/>
  <c r="H51" i="5253"/>
  <c r="H18" i="5253"/>
  <c r="H20" i="5253"/>
  <c r="H23" i="5253"/>
  <c r="H26" i="5253"/>
  <c r="H29" i="5253"/>
  <c r="H33" i="5253"/>
  <c r="H37" i="5253"/>
  <c r="H41" i="5253"/>
  <c r="H45" i="5253"/>
  <c r="O19" i="5245" l="1"/>
  <c r="O19" i="5251"/>
  <c r="O15" i="5251"/>
  <c r="C27" i="5251"/>
  <c r="B24" i="5251"/>
  <c r="C20" i="5251"/>
  <c r="B17" i="5251"/>
  <c r="H6" i="5251" s="1"/>
  <c r="C16" i="5251"/>
  <c r="C15" i="5251"/>
  <c r="C14" i="5251"/>
  <c r="C13" i="5251"/>
  <c r="O12" i="5251"/>
  <c r="C12" i="5251"/>
  <c r="O11" i="5251"/>
  <c r="C11" i="5251"/>
  <c r="O10" i="5251"/>
  <c r="C10" i="5251"/>
  <c r="C9" i="5251"/>
  <c r="C8" i="5251"/>
  <c r="O7" i="5251"/>
  <c r="C7" i="5251"/>
  <c r="O6" i="5251"/>
  <c r="B6" i="5251"/>
  <c r="O5" i="5251"/>
  <c r="B5" i="5251"/>
  <c r="O4" i="5251"/>
  <c r="O3" i="5251"/>
  <c r="O2" i="5251"/>
  <c r="O19" i="5241"/>
  <c r="O18" i="5239"/>
  <c r="O21" i="5249"/>
  <c r="O18" i="5243"/>
  <c r="O19" i="5243"/>
  <c r="O20" i="5247"/>
  <c r="O22" i="5249"/>
  <c r="O23" i="5249"/>
  <c r="C27" i="5249"/>
  <c r="B24" i="5249"/>
  <c r="C20" i="5249"/>
  <c r="B17" i="5249"/>
  <c r="H51" i="5249" s="1"/>
  <c r="C16" i="5249"/>
  <c r="C15" i="5249"/>
  <c r="C14" i="5249"/>
  <c r="C13" i="5249"/>
  <c r="O12" i="5249"/>
  <c r="C12" i="5249"/>
  <c r="O11" i="5249"/>
  <c r="C11" i="5249"/>
  <c r="O10" i="5249"/>
  <c r="C10" i="5249"/>
  <c r="C9" i="5249"/>
  <c r="C8" i="5249"/>
  <c r="O7" i="5249"/>
  <c r="C7" i="5249"/>
  <c r="O6" i="5249"/>
  <c r="B6" i="5249"/>
  <c r="O5" i="5249"/>
  <c r="B5" i="5249"/>
  <c r="O4" i="5249"/>
  <c r="O3" i="5249"/>
  <c r="O2" i="5249"/>
  <c r="O19" i="5247"/>
  <c r="O18" i="5247"/>
  <c r="C27" i="5247"/>
  <c r="B24" i="5247"/>
  <c r="C20" i="5247"/>
  <c r="B17" i="5247"/>
  <c r="H51" i="5247" s="1"/>
  <c r="C16" i="5247"/>
  <c r="C15" i="5247"/>
  <c r="C14" i="5247"/>
  <c r="C13" i="5247"/>
  <c r="O12" i="5247"/>
  <c r="C12" i="5247"/>
  <c r="O11" i="5247"/>
  <c r="C11" i="5247"/>
  <c r="O10" i="5247"/>
  <c r="C10" i="5247"/>
  <c r="C9" i="5247"/>
  <c r="C8" i="5247"/>
  <c r="O7" i="5247"/>
  <c r="C7" i="5247"/>
  <c r="O6" i="5247"/>
  <c r="B6" i="5247"/>
  <c r="O5" i="5247"/>
  <c r="B5" i="5247"/>
  <c r="O4" i="5247"/>
  <c r="O3" i="5247"/>
  <c r="O2" i="5247"/>
  <c r="O20" i="5241"/>
  <c r="O23" i="5241"/>
  <c r="O21" i="5239"/>
  <c r="O23" i="5239"/>
  <c r="H10" i="5251" l="1"/>
  <c r="H22" i="5251"/>
  <c r="H50" i="5251"/>
  <c r="H11" i="5251"/>
  <c r="H14" i="5251"/>
  <c r="H29" i="5251"/>
  <c r="H5" i="5251"/>
  <c r="H7" i="5251"/>
  <c r="C18" i="5251"/>
  <c r="C17" i="5251"/>
  <c r="H3" i="5251"/>
  <c r="H21" i="5251"/>
  <c r="H4" i="5251"/>
  <c r="H2" i="5251"/>
  <c r="H8" i="5251"/>
  <c r="H15" i="5251"/>
  <c r="H34" i="5251"/>
  <c r="H38" i="5251"/>
  <c r="H2" i="5249"/>
  <c r="H40" i="5249"/>
  <c r="H11" i="5249"/>
  <c r="H16" i="5249"/>
  <c r="H10" i="5249"/>
  <c r="H4" i="5249"/>
  <c r="C18" i="5249"/>
  <c r="H36" i="5249"/>
  <c r="H42" i="5251"/>
  <c r="B23" i="5251"/>
  <c r="H31" i="5251"/>
  <c r="H46" i="5251"/>
  <c r="H24" i="5251"/>
  <c r="H26" i="5251"/>
  <c r="H28" i="5251"/>
  <c r="H30" i="5251"/>
  <c r="H18" i="5251"/>
  <c r="H35" i="5251"/>
  <c r="H39" i="5251"/>
  <c r="H43" i="5251"/>
  <c r="H47" i="5251"/>
  <c r="H51" i="5251"/>
  <c r="H23" i="5251"/>
  <c r="C19" i="5251"/>
  <c r="H17" i="5251"/>
  <c r="H32" i="5251"/>
  <c r="H36" i="5251"/>
  <c r="H40" i="5251"/>
  <c r="H44" i="5251"/>
  <c r="H48" i="5251"/>
  <c r="H19" i="5251"/>
  <c r="H12" i="5251"/>
  <c r="H20" i="5251"/>
  <c r="H16" i="5251"/>
  <c r="H25" i="5251"/>
  <c r="H27" i="5251"/>
  <c r="H13" i="5251"/>
  <c r="H9" i="5251"/>
  <c r="H33" i="5251"/>
  <c r="H37" i="5251"/>
  <c r="H41" i="5251"/>
  <c r="H45" i="5251"/>
  <c r="H49" i="5251"/>
  <c r="H25" i="5249"/>
  <c r="H16" i="5247"/>
  <c r="H2" i="5247"/>
  <c r="H36" i="5247"/>
  <c r="H10" i="5247"/>
  <c r="H28" i="5249"/>
  <c r="H44" i="5249"/>
  <c r="H8" i="5249"/>
  <c r="H14" i="5249"/>
  <c r="B23" i="5249"/>
  <c r="H5" i="5249"/>
  <c r="C17" i="5249"/>
  <c r="H32" i="5249"/>
  <c r="H48" i="5249"/>
  <c r="H18" i="5249"/>
  <c r="H26" i="5249"/>
  <c r="H45" i="5249"/>
  <c r="H7" i="5249"/>
  <c r="H13" i="5249"/>
  <c r="H15" i="5249"/>
  <c r="C19" i="5249"/>
  <c r="H21" i="5249"/>
  <c r="H30" i="5249"/>
  <c r="H34" i="5249"/>
  <c r="H38" i="5249"/>
  <c r="H42" i="5249"/>
  <c r="H46" i="5249"/>
  <c r="H50" i="5249"/>
  <c r="H20" i="5249"/>
  <c r="H23" i="5249"/>
  <c r="H29" i="5249"/>
  <c r="H33" i="5249"/>
  <c r="H37" i="5249"/>
  <c r="H41" i="5249"/>
  <c r="H49" i="5249"/>
  <c r="H3" i="5249"/>
  <c r="H6" i="5249"/>
  <c r="H9" i="5249"/>
  <c r="H12" i="5249"/>
  <c r="H17" i="5249"/>
  <c r="H19" i="5249"/>
  <c r="H22" i="5249"/>
  <c r="H24" i="5249"/>
  <c r="H27" i="5249"/>
  <c r="H31" i="5249"/>
  <c r="H35" i="5249"/>
  <c r="H39" i="5249"/>
  <c r="H43" i="5249"/>
  <c r="H47" i="5249"/>
  <c r="H8" i="5247"/>
  <c r="H14" i="5247"/>
  <c r="B23" i="5247"/>
  <c r="H40" i="5247"/>
  <c r="H5" i="5247"/>
  <c r="H29" i="5247"/>
  <c r="H44" i="5247"/>
  <c r="H28" i="5247"/>
  <c r="C17" i="5247"/>
  <c r="H4" i="5247"/>
  <c r="H11" i="5247"/>
  <c r="C18" i="5247"/>
  <c r="H25" i="5247"/>
  <c r="H32" i="5247"/>
  <c r="H48" i="5247"/>
  <c r="H18" i="5247"/>
  <c r="H20" i="5247"/>
  <c r="H23" i="5247"/>
  <c r="H26" i="5247"/>
  <c r="H33" i="5247"/>
  <c r="H37" i="5247"/>
  <c r="H41" i="5247"/>
  <c r="H45" i="5247"/>
  <c r="H49" i="5247"/>
  <c r="H7" i="5247"/>
  <c r="H13" i="5247"/>
  <c r="H15" i="5247"/>
  <c r="C19" i="5247"/>
  <c r="H21" i="5247"/>
  <c r="H30" i="5247"/>
  <c r="H34" i="5247"/>
  <c r="H38" i="5247"/>
  <c r="H42" i="5247"/>
  <c r="H46" i="5247"/>
  <c r="H50" i="5247"/>
  <c r="H3" i="5247"/>
  <c r="H6" i="5247"/>
  <c r="H9" i="5247"/>
  <c r="H12" i="5247"/>
  <c r="H17" i="5247"/>
  <c r="H19" i="5247"/>
  <c r="H22" i="5247"/>
  <c r="H24" i="5247"/>
  <c r="H27" i="5247"/>
  <c r="H31" i="5247"/>
  <c r="H35" i="5247"/>
  <c r="H39" i="5247"/>
  <c r="H43" i="5247"/>
  <c r="H47" i="5247"/>
  <c r="O17" i="5245" l="1"/>
  <c r="O20" i="5245"/>
  <c r="C27" i="5245"/>
  <c r="B24" i="5245"/>
  <c r="C20" i="5245"/>
  <c r="B17" i="5245"/>
  <c r="H5" i="5245" s="1"/>
  <c r="C16" i="5245"/>
  <c r="C15" i="5245"/>
  <c r="C14" i="5245"/>
  <c r="C13" i="5245"/>
  <c r="O12" i="5245"/>
  <c r="C12" i="5245"/>
  <c r="O11" i="5245"/>
  <c r="C11" i="5245"/>
  <c r="O10" i="5245"/>
  <c r="C10" i="5245"/>
  <c r="C9" i="5245"/>
  <c r="C8" i="5245"/>
  <c r="O7" i="5245"/>
  <c r="C7" i="5245"/>
  <c r="O6" i="5245"/>
  <c r="B6" i="5245"/>
  <c r="O5" i="5245"/>
  <c r="B5" i="5245"/>
  <c r="O4" i="5245"/>
  <c r="O3" i="5245"/>
  <c r="O2" i="5245"/>
  <c r="O22" i="5243"/>
  <c r="O16" i="5243"/>
  <c r="C27" i="5243"/>
  <c r="B24" i="5243"/>
  <c r="C20" i="5243"/>
  <c r="B17" i="5243"/>
  <c r="H5" i="5243" s="1"/>
  <c r="C16" i="5243"/>
  <c r="C15" i="5243"/>
  <c r="C14" i="5243"/>
  <c r="C13" i="5243"/>
  <c r="O12" i="5243"/>
  <c r="C12" i="5243"/>
  <c r="O11" i="5243"/>
  <c r="C11" i="5243"/>
  <c r="O10" i="5243"/>
  <c r="C10" i="5243"/>
  <c r="C9" i="5243"/>
  <c r="C8" i="5243"/>
  <c r="O7" i="5243"/>
  <c r="C7" i="5243"/>
  <c r="O6" i="5243"/>
  <c r="B6" i="5243"/>
  <c r="O5" i="5243"/>
  <c r="B5" i="5243"/>
  <c r="O4" i="5243"/>
  <c r="O3" i="5243"/>
  <c r="O2" i="5243"/>
  <c r="O24" i="5239"/>
  <c r="O16" i="5241"/>
  <c r="O21" i="5241"/>
  <c r="C27" i="5241"/>
  <c r="B24" i="5241"/>
  <c r="C20" i="5241"/>
  <c r="B17" i="5241"/>
  <c r="H51" i="5241" s="1"/>
  <c r="C16" i="5241"/>
  <c r="C15" i="5241"/>
  <c r="C14" i="5241"/>
  <c r="C13" i="5241"/>
  <c r="O12" i="5241"/>
  <c r="C12" i="5241"/>
  <c r="O11" i="5241"/>
  <c r="C11" i="5241"/>
  <c r="O10" i="5241"/>
  <c r="C10" i="5241"/>
  <c r="C9" i="5241"/>
  <c r="C8" i="5241"/>
  <c r="O7" i="5241"/>
  <c r="C7" i="5241"/>
  <c r="O6" i="5241"/>
  <c r="B6" i="5241"/>
  <c r="O5" i="5241"/>
  <c r="B5" i="5241"/>
  <c r="O4" i="5241"/>
  <c r="O3" i="5241"/>
  <c r="O2" i="5241"/>
  <c r="O16" i="5239"/>
  <c r="O20" i="5239"/>
  <c r="C27" i="5239"/>
  <c r="B24" i="5239"/>
  <c r="C20" i="5239"/>
  <c r="B17" i="5239"/>
  <c r="H50" i="5239" s="1"/>
  <c r="C16" i="5239"/>
  <c r="C15" i="5239"/>
  <c r="C14" i="5239"/>
  <c r="C13" i="5239"/>
  <c r="O12" i="5239"/>
  <c r="C12" i="5239"/>
  <c r="O11" i="5239"/>
  <c r="C11" i="5239"/>
  <c r="O10" i="5239"/>
  <c r="C10" i="5239"/>
  <c r="C9" i="5239"/>
  <c r="C8" i="5239"/>
  <c r="O7" i="5239"/>
  <c r="C7" i="5239"/>
  <c r="O6" i="5239"/>
  <c r="B6" i="5239"/>
  <c r="O5" i="5239"/>
  <c r="B5" i="5239"/>
  <c r="O4" i="5239"/>
  <c r="O3" i="5239"/>
  <c r="O2" i="5239"/>
  <c r="H9" i="5245" l="1"/>
  <c r="H3" i="5245"/>
  <c r="H2" i="5245"/>
  <c r="H7" i="5245"/>
  <c r="H25" i="5241"/>
  <c r="H37" i="5245"/>
  <c r="H47" i="5245"/>
  <c r="H8" i="5245"/>
  <c r="H25" i="5245"/>
  <c r="C17" i="5245"/>
  <c r="H14" i="5245"/>
  <c r="H31" i="5245"/>
  <c r="H39" i="5245"/>
  <c r="H51" i="5245"/>
  <c r="H16" i="5245"/>
  <c r="C18" i="5245"/>
  <c r="B23" i="5245"/>
  <c r="H32" i="5245"/>
  <c r="H43" i="5245"/>
  <c r="H19" i="5245"/>
  <c r="H13" i="5245"/>
  <c r="H4" i="5245"/>
  <c r="H10" i="5245"/>
  <c r="H6" i="5245"/>
  <c r="H24" i="5245"/>
  <c r="H26" i="5245"/>
  <c r="H15" i="5245"/>
  <c r="C19" i="5245"/>
  <c r="H35" i="5245"/>
  <c r="H45" i="5245"/>
  <c r="H21" i="5245"/>
  <c r="H33" i="5245"/>
  <c r="H41" i="5245"/>
  <c r="H49" i="5245"/>
  <c r="H27" i="5245"/>
  <c r="H28" i="5245"/>
  <c r="H30" i="5245"/>
  <c r="H22" i="5245"/>
  <c r="H23" i="5245"/>
  <c r="H34" i="5245"/>
  <c r="H38" i="5245"/>
  <c r="H42" i="5245"/>
  <c r="H46" i="5245"/>
  <c r="H50" i="5245"/>
  <c r="H20" i="5245"/>
  <c r="H17" i="5245"/>
  <c r="H29" i="5245"/>
  <c r="H12" i="5245"/>
  <c r="H11" i="5245"/>
  <c r="H18" i="5245"/>
  <c r="H36" i="5245"/>
  <c r="H40" i="5245"/>
  <c r="H44" i="5245"/>
  <c r="H48" i="5245"/>
  <c r="H29" i="5243"/>
  <c r="C18" i="5243"/>
  <c r="H6" i="5243"/>
  <c r="H21" i="5243"/>
  <c r="H33" i="5243"/>
  <c r="H3" i="5243"/>
  <c r="H38" i="5243"/>
  <c r="H2" i="5243"/>
  <c r="H12" i="5243"/>
  <c r="H10" i="5243"/>
  <c r="H4" i="5243"/>
  <c r="H19" i="5243"/>
  <c r="H42" i="5243"/>
  <c r="B23" i="5243"/>
  <c r="H34" i="5243"/>
  <c r="H46" i="5243"/>
  <c r="H9" i="5243"/>
  <c r="H7" i="5243"/>
  <c r="H20" i="5243"/>
  <c r="C17" i="5243"/>
  <c r="H35" i="5243"/>
  <c r="H50" i="5243"/>
  <c r="H30" i="5243"/>
  <c r="H31" i="5243"/>
  <c r="H32" i="5243"/>
  <c r="H25" i="5243"/>
  <c r="H16" i="5243"/>
  <c r="H28" i="5243"/>
  <c r="H39" i="5243"/>
  <c r="H43" i="5243"/>
  <c r="H47" i="5243"/>
  <c r="H51" i="5243"/>
  <c r="H8" i="5243"/>
  <c r="H22" i="5243"/>
  <c r="H23" i="5243"/>
  <c r="C19" i="5243"/>
  <c r="H14" i="5243"/>
  <c r="H26" i="5243"/>
  <c r="H36" i="5243"/>
  <c r="H40" i="5243"/>
  <c r="H44" i="5243"/>
  <c r="H48" i="5243"/>
  <c r="H18" i="5243"/>
  <c r="H17" i="5243"/>
  <c r="H15" i="5243"/>
  <c r="H24" i="5243"/>
  <c r="H13" i="5243"/>
  <c r="H11" i="5243"/>
  <c r="H27" i="5243"/>
  <c r="H37" i="5243"/>
  <c r="H41" i="5243"/>
  <c r="H45" i="5243"/>
  <c r="H49" i="5243"/>
  <c r="C17" i="5239"/>
  <c r="H3" i="5239"/>
  <c r="H11" i="5239"/>
  <c r="H2" i="5239"/>
  <c r="H4" i="5239"/>
  <c r="C18" i="5241"/>
  <c r="H10" i="5241"/>
  <c r="H36" i="5241"/>
  <c r="H4" i="5241"/>
  <c r="H2" i="5241"/>
  <c r="H11" i="5241"/>
  <c r="H16" i="5241"/>
  <c r="H40" i="5241"/>
  <c r="H8" i="5241"/>
  <c r="H14" i="5241"/>
  <c r="B23" i="5241"/>
  <c r="H28" i="5241"/>
  <c r="H44" i="5241"/>
  <c r="H5" i="5241"/>
  <c r="C17" i="5241"/>
  <c r="H32" i="5241"/>
  <c r="H48" i="5241"/>
  <c r="H45" i="5241"/>
  <c r="H7" i="5241"/>
  <c r="H13" i="5241"/>
  <c r="H15" i="5241"/>
  <c r="C19" i="5241"/>
  <c r="H21" i="5241"/>
  <c r="H30" i="5241"/>
  <c r="H34" i="5241"/>
  <c r="H38" i="5241"/>
  <c r="H42" i="5241"/>
  <c r="H46" i="5241"/>
  <c r="H50" i="5241"/>
  <c r="H18" i="5241"/>
  <c r="H20" i="5241"/>
  <c r="H23" i="5241"/>
  <c r="H26" i="5241"/>
  <c r="H29" i="5241"/>
  <c r="H33" i="5241"/>
  <c r="H37" i="5241"/>
  <c r="H41" i="5241"/>
  <c r="H49" i="5241"/>
  <c r="H3" i="5241"/>
  <c r="H6" i="5241"/>
  <c r="H9" i="5241"/>
  <c r="H12" i="5241"/>
  <c r="H17" i="5241"/>
  <c r="H19" i="5241"/>
  <c r="H22" i="5241"/>
  <c r="H24" i="5241"/>
  <c r="H27" i="5241"/>
  <c r="H31" i="5241"/>
  <c r="H35" i="5241"/>
  <c r="H39" i="5241"/>
  <c r="H43" i="5241"/>
  <c r="H47" i="5241"/>
  <c r="H34" i="5239"/>
  <c r="H35" i="5239"/>
  <c r="H28" i="5239"/>
  <c r="H29" i="5239"/>
  <c r="H17" i="5239"/>
  <c r="H30" i="5239"/>
  <c r="H40" i="5239"/>
  <c r="H43" i="5239"/>
  <c r="H47" i="5239"/>
  <c r="H51" i="5239"/>
  <c r="H8" i="5239"/>
  <c r="H20" i="5239"/>
  <c r="H26" i="5239"/>
  <c r="C19" i="5239"/>
  <c r="H14" i="5239"/>
  <c r="H23" i="5239"/>
  <c r="H37" i="5239"/>
  <c r="H41" i="5239"/>
  <c r="H44" i="5239"/>
  <c r="H48" i="5239"/>
  <c r="H19" i="5239"/>
  <c r="H10" i="5239"/>
  <c r="H6" i="5239"/>
  <c r="H12" i="5239"/>
  <c r="H22" i="5239"/>
  <c r="H18" i="5239"/>
  <c r="H15" i="5239"/>
  <c r="H27" i="5239"/>
  <c r="H13" i="5239"/>
  <c r="H9" i="5239"/>
  <c r="H24" i="5239"/>
  <c r="H38" i="5239"/>
  <c r="H33" i="5239"/>
  <c r="H45" i="5239"/>
  <c r="H49" i="5239"/>
  <c r="H5" i="5239"/>
  <c r="H7" i="5239"/>
  <c r="H21" i="5239"/>
  <c r="H31" i="5239"/>
  <c r="H16" i="5239"/>
  <c r="C18" i="5239"/>
  <c r="B23" i="5239"/>
  <c r="H25" i="5239"/>
  <c r="H32" i="5239"/>
  <c r="H36" i="5239"/>
  <c r="H39" i="5239"/>
  <c r="H42" i="5239"/>
  <c r="H46" i="523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<sst xmlns="http://schemas.openxmlformats.org/spreadsheetml/2006/main" count="3204" uniqueCount="235">
  <si>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</si>
  <si>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</si>
  <si>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</si>
  <si>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</si>
  <si>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</si>
  <si>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</si>
  <si>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</si>
  <si>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</si>
  <si>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</si>
  <si>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</si>
  <si>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</si>
  <si>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</si>
  <si>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</si>
  <si>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</si>
  <si>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</si>
  <si>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</si>
  <si>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</si>
  <si>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</si>
  <si>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</si>
  <si>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</si>
  <si>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</si>
  <si>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</si>
  <si>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</si>
  <si>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</si>
  <si>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</si>
  <si>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</si>
  <si>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</si>
  <si>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</si>
  <si>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</si>
  <si>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</si>
  <si>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</si>
  <si>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</si>
  <si>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</si>
  <si>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</si>
  <si>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</si>
  <si>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</si>
  <si>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</si>
  <si>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</si>
  <si>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</si>
  <si>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</si>
  <si>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</si>
  <si>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</si>
  <si>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</si>
  <si>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</si>
  <si>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</si>
  <si>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</si>
  <si>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</si>
  <si>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</si>
  <si>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</si>
  <si>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</si>
  <si>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</si>
  <si>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</si>
  <si>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</si>
  <si>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</si>
  <si>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</si>
  <si>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</si>
  <si>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</si>
  <si>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</si>
  <si>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</si>
  <si>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</si>
  <si>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</si>
  <si>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</si>
  <si>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</si>
  <si>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</si>
  <si>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</si>
  <si>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</si>
  <si>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</si>
  <si>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</si>
  <si>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</si>
  <si>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</si>
  <si>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</si>
  <si>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</si>
  <si>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</si>
  <si>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</si>
  <si>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</si>
  <si>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</si>
  <si>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</si>
  <si>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</si>
  <si>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</si>
  <si>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</si>
  <si>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</si>
  <si>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</si>
  <si>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</si>
  <si>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</si>
  <si>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</si>
  <si>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</si>
  <si>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</si>
  <si>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</si>
  <si>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</si>
  <si>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</si>
  <si>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</si>
  <si>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</si>
  <si>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</si>
  <si>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</si>
  <si>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</si>
  <si>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</si>
  <si>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</si>
  <si>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</si>
  <si>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</si>
  <si>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</si>
  <si>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</si>
  <si>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</si>
  <si>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</si>
  <si>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</si>
  <si>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</si>
  <si>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</si>
  <si>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</si>
  <si>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</si>
  <si>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</si>
  <si>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</si>
  <si>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</si>
  <si>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</si>
  <si>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</si>
  <si>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</si>
  <si>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</si>
  <si>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</si>
  <si>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</si>
  <si>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</si>
  <si>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</si>
  <si>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</si>
  <si>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</si>
  <si>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</si>
  <si>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</si>
  <si>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</si>
  <si>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</si>
  <si>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</si>
  <si>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</si>
  <si>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</si>
  <si>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</si>
  <si>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</si>
  <si>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</si>
  <si>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</si>
  <si>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</si>
  <si>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</si>
  <si>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</si>
  <si>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</si>
  <si>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</si>
  <si>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</si>
  <si>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</si>
  <si>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</si>
  <si>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</si>
  <si>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</si>
  <si>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</si>
  <si>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</si>
  <si>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</si>
  <si>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</si>
  <si>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</si>
  <si>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</si>
  <si>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</si>
  <si>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</si>
  <si>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</si>
  <si>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</si>
  <si>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</si>
  <si>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</si>
  <si>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</si>
  <si>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</si>
  <si>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</si>
  <si>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</si>
  <si>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</si>
  <si>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</si>
  <si>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</si>
  <si>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</si>
  <si>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</si>
  <si>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</si>
  <si>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</si>
  <si>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</si>
  <si>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</si>
  <si>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</si>
  <si>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</si>
  <si>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</si>
  <si>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</si>
  <si>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</si>
  <si>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</si>
  <si>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</si>
  <si>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</si>
  <si>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</si>
  <si>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</si>
  <si>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</si>
  <si>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</si>
  <si>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</si>
  <si>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</si>
  <si>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</si>
  <si>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</si>
  <si>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</si>
  <si>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</si>
  <si>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</si>
  <si>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</si>
  <si>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</si>
  <si>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</si>
  <si>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</si>
  <si>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</si>
  <si>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</si>
  <si>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</si>
  <si>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</si>
  <si>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</si>
  <si>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</si>
  <si>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</si>
  <si>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</si>
  <si>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</si>
  <si>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</si>
  <si>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</si>
  <si>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</si>
  <si>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</si>
  <si>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</si>
  <si>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</si>
  <si>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</si>
  <si>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</si>
  <si>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</si>
  <si>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</si>
  <si>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</si>
  <si>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</si>
  <si>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</si>
  <si>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</si>
  <si>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</si>
  <si>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</si>
  <si>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</si>
  <si>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</si>
  <si>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</si>
  <si>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</si>
  <si>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</si>
  <si>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</si>
  <si>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</si>
  <si>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</si>
  <si>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</si>
  <si>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</si>
  <si>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</si>
  <si>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</si>
  <si>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</si>
  <si>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</si>
  <si>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</si>
  <si>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</si>
  <si>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</si>
  <si>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</si>
  <si>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役一覧</t>
  </si>
  <si>
    <t>2019-05-21@1.xlsm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</si>
</sst>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全体!$K$2:$K$516</c:f>
              <c:numCache>
                <c:formatCode>General</c:formatCode>
                <c:ptCount val="5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</c:numCache>
            </c:numRef>
          </c:xVal>
          <c:yVal>
            <c:numRef>
              <c:f>全体!$L$2:$L$516</c:f>
              <c:numCache>
                <c:formatCode>\+0.0;\-0.0;\±0</c:formatCode>
                <c:ptCount val="51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-63.399999999999991</c:v>
                </c:pt>
                <c:pt idx="503">
                  <c:v>-65.199999999999989</c:v>
                </c:pt>
                <c:pt idx="504">
                  <c:v>1.4210854715202004E-14</c:v>
                </c:pt>
                <c:pt idx="506">
                  <c:v>-20.299999999999986</c:v>
                </c:pt>
                <c:pt idx="507">
                  <c:v>-66.399999999999991</c:v>
                </c:pt>
                <c:pt idx="508">
                  <c:v>1.4210854715202004E-14</c:v>
                </c:pt>
                <c:pt idx="509">
                  <c:v>4.300000000000014</c:v>
                </c:pt>
                <c:pt idx="510">
                  <c:v>41.100000000000009</c:v>
                </c:pt>
                <c:pt idx="511">
                  <c:v>7.1054273576010019E-15</c:v>
                </c:pt>
                <c:pt idx="512">
                  <c:v>74.800000000000011</c:v>
                </c:pt>
                <c:pt idx="513">
                  <c:v>56.000000000000014</c:v>
                </c:pt>
                <c:pt idx="514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98-4D21-847A-D71312EA5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-15.594541910331383</c:v>
                </c:pt>
                <c:pt idx="1">
                  <c:v>-7.9840319361277441</c:v>
                </c:pt>
                <c:pt idx="2">
                  <c:v>12.578616352201259</c:v>
                </c:pt>
                <c:pt idx="3">
                  <c:v>6.9930069930069934</c:v>
                </c:pt>
                <c:pt idx="4">
                  <c:v>-13.020833333333334</c:v>
                </c:pt>
                <c:pt idx="5">
                  <c:v>22.792022792022792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12-41B5-B9C9-1B5C9145E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だいち!$L$2:$L$116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6-4AA6-A9E4-D134463F6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1921.9298245614036</c:v>
                </c:pt>
                <c:pt idx="1">
                  <c:v>1445.0450450450451</c:v>
                </c:pt>
                <c:pt idx="2">
                  <c:v>1577.3584905660377</c:v>
                </c:pt>
                <c:pt idx="3">
                  <c:v>2056.25</c:v>
                </c:pt>
                <c:pt idx="4">
                  <c:v>-21.428571428571427</c:v>
                </c:pt>
                <c:pt idx="5">
                  <c:v>317.33333333333331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69-4398-A9BB-FF2E60A3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りくと!$L$2:$L$116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25-4553-B46F-D80234A26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518.42105263157896</c:v>
                </c:pt>
                <c:pt idx="1">
                  <c:v>-2330</c:v>
                </c:pt>
                <c:pt idx="2">
                  <c:v>118.69158878504673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7-4541-BBE0-523AABE7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ただ!$L$2:$L$63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-921.89999999999975</c:v>
                </c:pt>
                <c:pt idx="59">
                  <c:v>-942.1999999999997</c:v>
                </c:pt>
                <c:pt idx="60">
                  <c:v>-905.39999999999975</c:v>
                </c:pt>
                <c:pt idx="61">
                  <c:v>-924.1999999999997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9-42C9-9D36-D491E8C53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-2593.4426229508199</c:v>
                </c:pt>
                <c:pt idx="1">
                  <c:v>-1111.8644067796611</c:v>
                </c:pt>
                <c:pt idx="2">
                  <c:v>-1116.3636363636363</c:v>
                </c:pt>
                <c:pt idx="3">
                  <c:v>-5212.7659574468089</c:v>
                </c:pt>
                <c:pt idx="4">
                  <c:v>-956.09756097560978</c:v>
                </c:pt>
                <c:pt idx="5">
                  <c:v>-1786.8421052631579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AE-41C6-91C3-B34D6235F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0B-4605-BA70-4172911E2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-795.6521739130435</c:v>
                </c:pt>
                <c:pt idx="1">
                  <c:v>854.41176470588232</c:v>
                </c:pt>
                <c:pt idx="2">
                  <c:v>1390.7692307692307</c:v>
                </c:pt>
                <c:pt idx="3">
                  <c:v>2243.6363636363635</c:v>
                </c:pt>
                <c:pt idx="4">
                  <c:v>-1202.0408163265306</c:v>
                </c:pt>
                <c:pt idx="5">
                  <c:v>802.22222222222217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F-450C-AA45-2BFEB4CE5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71-45AD-B18E-983804B72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540.74074074074076</c:v>
                </c:pt>
                <c:pt idx="1">
                  <c:v>370.37037037037038</c:v>
                </c:pt>
                <c:pt idx="2">
                  <c:v>-877.55102040816325</c:v>
                </c:pt>
                <c:pt idx="3">
                  <c:v>184.78260869565219</c:v>
                </c:pt>
                <c:pt idx="4">
                  <c:v>1197.7777777777778</c:v>
                </c:pt>
                <c:pt idx="5">
                  <c:v>-677.5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3A-4B93-81BD-4766B71A9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47-4C27-B895-C61E9C272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-2987.5</c:v>
                </c:pt>
                <c:pt idx="1">
                  <c:v>1407.5</c:v>
                </c:pt>
                <c:pt idx="2">
                  <c:v>-894.73684210526312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9-42A3-A235-C1A26D94A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9-473A-B2C5-40C996CE3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683.78378378378375</c:v>
                </c:pt>
                <c:pt idx="1">
                  <c:v>142.85714285714286</c:v>
                </c:pt>
                <c:pt idx="2">
                  <c:v>-1475.7575757575758</c:v>
                </c:pt>
                <c:pt idx="3">
                  <c:v>2278.125</c:v>
                </c:pt>
                <c:pt idx="4">
                  <c:v>-596.42857142857144</c:v>
                </c:pt>
                <c:pt idx="5">
                  <c:v>212.5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2-4F4F-A710-CA3D8547B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D-44B3-96D7-2E6B1599F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5B-4240-A270-47BE123CC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A-4B65-BF17-3A7AE94E4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F0-42CB-8B83-CC1F05300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EB-4660-905C-55D2B8FC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8F-4652-AEC5-C07979705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9-4CE3-ABD9-482E7954A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0-4844-B899-0F10622F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B-4F17-B2F6-44E42827D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CC-47AF-BD37-37881BACD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ぱぱ2!$B$3:$B$43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ぱぱ2!$C$3:$C$43</c:f>
              <c:numCache>
                <c:formatCode>\+0.0;\-0.0;\±0</c:formatCode>
                <c:ptCount val="41"/>
                <c:pt idx="1">
                  <c:v>-82.6</c:v>
                </c:pt>
                <c:pt idx="2">
                  <c:v>-61.15</c:v>
                </c:pt>
                <c:pt idx="3">
                  <c:v>-49.666666666666664</c:v>
                </c:pt>
                <c:pt idx="4">
                  <c:v>-37.65</c:v>
                </c:pt>
                <c:pt idx="5">
                  <c:v>-36.979999999999997</c:v>
                </c:pt>
                <c:pt idx="6">
                  <c:v>-31.266666666666662</c:v>
                </c:pt>
                <c:pt idx="7">
                  <c:v>-30.871428571428567</c:v>
                </c:pt>
                <c:pt idx="8">
                  <c:v>-27.449999999999996</c:v>
                </c:pt>
                <c:pt idx="9">
                  <c:v>-28.955555555555552</c:v>
                </c:pt>
                <c:pt idx="10">
                  <c:v>-31.839999999999996</c:v>
                </c:pt>
                <c:pt idx="11">
                  <c:v>-29.581818181818178</c:v>
                </c:pt>
                <c:pt idx="12">
                  <c:v>-24.133333333333329</c:v>
                </c:pt>
                <c:pt idx="13">
                  <c:v>-23.276923076923076</c:v>
                </c:pt>
                <c:pt idx="14">
                  <c:v>-19.285714285714281</c:v>
                </c:pt>
                <c:pt idx="15">
                  <c:v>-17.639999999999997</c:v>
                </c:pt>
                <c:pt idx="16">
                  <c:v>-18.299999999999997</c:v>
                </c:pt>
                <c:pt idx="17">
                  <c:v>-14.641176470588233</c:v>
                </c:pt>
                <c:pt idx="18">
                  <c:v>-12.166666666666664</c:v>
                </c:pt>
                <c:pt idx="19">
                  <c:v>-9.9263157894736818</c:v>
                </c:pt>
                <c:pt idx="20">
                  <c:v>-9.139999999999997</c:v>
                </c:pt>
                <c:pt idx="21">
                  <c:v>-9.7047619047619005</c:v>
                </c:pt>
                <c:pt idx="22">
                  <c:v>-11.93181818181818</c:v>
                </c:pt>
                <c:pt idx="23">
                  <c:v>-11.265217391304347</c:v>
                </c:pt>
                <c:pt idx="24">
                  <c:v>-11.995833333333332</c:v>
                </c:pt>
                <c:pt idx="25">
                  <c:v>-13.771999999999998</c:v>
                </c:pt>
                <c:pt idx="26">
                  <c:v>-10.965384615384615</c:v>
                </c:pt>
                <c:pt idx="27">
                  <c:v>-9.5333333333333332</c:v>
                </c:pt>
                <c:pt idx="28">
                  <c:v>-8.8642857142857139</c:v>
                </c:pt>
                <c:pt idx="29">
                  <c:v>-6.1137931034482751</c:v>
                </c:pt>
                <c:pt idx="30">
                  <c:v>-6.76</c:v>
                </c:pt>
                <c:pt idx="31">
                  <c:v>-7.3</c:v>
                </c:pt>
                <c:pt idx="32">
                  <c:v>-6.0562499999999995</c:v>
                </c:pt>
                <c:pt idx="33">
                  <c:v>-5.8818181818181818</c:v>
                </c:pt>
                <c:pt idx="34">
                  <c:v>-6.6058823529411761</c:v>
                </c:pt>
                <c:pt idx="35">
                  <c:v>-6.4257142857142862</c:v>
                </c:pt>
                <c:pt idx="36">
                  <c:v>-5.291666666666667</c:v>
                </c:pt>
                <c:pt idx="37">
                  <c:v>-6.3351351351351353</c:v>
                </c:pt>
                <c:pt idx="38">
                  <c:v>-5.5657894736842106</c:v>
                </c:pt>
                <c:pt idx="39">
                  <c:v>-5.7410256410256411</c:v>
                </c:pt>
                <c:pt idx="40">
                  <c:v>-6.9974999999999996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764757726692996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ぱぱ2!$D$3:$D$43</c:f>
              <c:numCache>
                <c:formatCode>0.00\ "位"</c:formatCode>
                <c:ptCount val="41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2.5</c:v>
                </c:pt>
                <c:pt idx="5">
                  <c:v>2.6</c:v>
                </c:pt>
                <c:pt idx="6">
                  <c:v>2.5</c:v>
                </c:pt>
                <c:pt idx="7">
                  <c:v>2.5714285714285716</c:v>
                </c:pt>
                <c:pt idx="8">
                  <c:v>2.5</c:v>
                </c:pt>
                <c:pt idx="9">
                  <c:v>2.5555555555555554</c:v>
                </c:pt>
                <c:pt idx="10">
                  <c:v>2.6</c:v>
                </c:pt>
                <c:pt idx="11">
                  <c:v>2.5454545454545454</c:v>
                </c:pt>
                <c:pt idx="12">
                  <c:v>2.4166666666666665</c:v>
                </c:pt>
                <c:pt idx="13">
                  <c:v>2.3846153846153846</c:v>
                </c:pt>
                <c:pt idx="14">
                  <c:v>2.2857142857142856</c:v>
                </c:pt>
                <c:pt idx="15">
                  <c:v>2.2666666666666666</c:v>
                </c:pt>
                <c:pt idx="16">
                  <c:v>2.3125</c:v>
                </c:pt>
                <c:pt idx="17">
                  <c:v>2.2352941176470589</c:v>
                </c:pt>
                <c:pt idx="18">
                  <c:v>2.1666666666666665</c:v>
                </c:pt>
                <c:pt idx="19">
                  <c:v>2.1052631578947367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2.2000000000000002</c:v>
                </c:pt>
                <c:pt idx="26">
                  <c:v>2.1538461538461537</c:v>
                </c:pt>
                <c:pt idx="27">
                  <c:v>2.1111111111111112</c:v>
                </c:pt>
                <c:pt idx="28">
                  <c:v>2.1071428571428572</c:v>
                </c:pt>
                <c:pt idx="29">
                  <c:v>2.0689655172413794</c:v>
                </c:pt>
                <c:pt idx="30">
                  <c:v>2.0666666666666669</c:v>
                </c:pt>
                <c:pt idx="31">
                  <c:v>2.096774193548387</c:v>
                </c:pt>
                <c:pt idx="32">
                  <c:v>2.0625</c:v>
                </c:pt>
                <c:pt idx="33">
                  <c:v>2.0606060606060606</c:v>
                </c:pt>
                <c:pt idx="34">
                  <c:v>2.0882352941176472</c:v>
                </c:pt>
                <c:pt idx="35">
                  <c:v>2.0857142857142859</c:v>
                </c:pt>
                <c:pt idx="36">
                  <c:v>2.0555555555555554</c:v>
                </c:pt>
                <c:pt idx="37">
                  <c:v>2.0810810810810811</c:v>
                </c:pt>
                <c:pt idx="38">
                  <c:v>2.0526315789473686</c:v>
                </c:pt>
                <c:pt idx="39">
                  <c:v>2.0512820512820511</c:v>
                </c:pt>
                <c:pt idx="40">
                  <c:v>2.0750000000000002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1089494163424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ぱぱ2!$E$3:$E$43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0.17647058823529413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2684824902723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ぱぱ2!$F$3:$F$43</c:f>
              <c:numCache>
                <c:formatCode>0.0%</c:formatCode>
                <c:ptCount val="41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2684824902723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ぱぱ2!$G$3:$G$43</c:f>
              <c:numCache>
                <c:formatCode>0.0%</c:formatCode>
                <c:ptCount val="41"/>
                <c:pt idx="1">
                  <c:v>0.14285714285714285</c:v>
                </c:pt>
                <c:pt idx="2">
                  <c:v>0.26315789473684209</c:v>
                </c:pt>
                <c:pt idx="3">
                  <c:v>0.18518518518518517</c:v>
                </c:pt>
                <c:pt idx="4">
                  <c:v>0.23076923076923078</c:v>
                </c:pt>
                <c:pt idx="5">
                  <c:v>0.19148936170212766</c:v>
                </c:pt>
                <c:pt idx="6">
                  <c:v>0.18518518518518517</c:v>
                </c:pt>
                <c:pt idx="7">
                  <c:v>0.203125</c:v>
                </c:pt>
                <c:pt idx="8">
                  <c:v>0.24324324324324326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0.27184466019417475</c:v>
                </c:pt>
                <c:pt idx="12">
                  <c:v>0.2831858407079646</c:v>
                </c:pt>
                <c:pt idx="13">
                  <c:v>0.27350427350427353</c:v>
                </c:pt>
                <c:pt idx="14">
                  <c:v>0.27777777777777779</c:v>
                </c:pt>
                <c:pt idx="15">
                  <c:v>0.28358208955223879</c:v>
                </c:pt>
                <c:pt idx="16">
                  <c:v>0.2857142857142857</c:v>
                </c:pt>
                <c:pt idx="17">
                  <c:v>0.28387096774193549</c:v>
                </c:pt>
                <c:pt idx="18">
                  <c:v>0.29518072289156627</c:v>
                </c:pt>
                <c:pt idx="19">
                  <c:v>0.29142857142857143</c:v>
                </c:pt>
                <c:pt idx="20">
                  <c:v>0.29411764705882354</c:v>
                </c:pt>
                <c:pt idx="21">
                  <c:v>0.28865979381443296</c:v>
                </c:pt>
                <c:pt idx="22">
                  <c:v>0.28499999999999998</c:v>
                </c:pt>
                <c:pt idx="23">
                  <c:v>0.28640776699029125</c:v>
                </c:pt>
                <c:pt idx="24">
                  <c:v>0.28837209302325584</c:v>
                </c:pt>
                <c:pt idx="25">
                  <c:v>0.28378378378378377</c:v>
                </c:pt>
                <c:pt idx="26">
                  <c:v>0.29310344827586204</c:v>
                </c:pt>
                <c:pt idx="27">
                  <c:v>0.29875518672199169</c:v>
                </c:pt>
                <c:pt idx="28">
                  <c:v>0.30399999999999999</c:v>
                </c:pt>
                <c:pt idx="29">
                  <c:v>0.31395348837209303</c:v>
                </c:pt>
                <c:pt idx="30">
                  <c:v>0.30566037735849055</c:v>
                </c:pt>
                <c:pt idx="31">
                  <c:v>0.30656934306569344</c:v>
                </c:pt>
                <c:pt idx="32">
                  <c:v>0.30960854092526691</c:v>
                </c:pt>
                <c:pt idx="33">
                  <c:v>0.31506849315068491</c:v>
                </c:pt>
                <c:pt idx="34">
                  <c:v>0.30592105263157893</c:v>
                </c:pt>
                <c:pt idx="35">
                  <c:v>0.30769230769230771</c:v>
                </c:pt>
                <c:pt idx="36">
                  <c:v>0.30721003134796238</c:v>
                </c:pt>
                <c:pt idx="37">
                  <c:v>0.30182926829268292</c:v>
                </c:pt>
                <c:pt idx="38">
                  <c:v>0.30357142857142855</c:v>
                </c:pt>
                <c:pt idx="39">
                  <c:v>0.30116959064327486</c:v>
                </c:pt>
                <c:pt idx="40">
                  <c:v>0.29682997118155618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023293733985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ぱぱ2!$H$3:$H$43</c:f>
              <c:numCache>
                <c:formatCode>0.0%</c:formatCode>
                <c:ptCount val="41"/>
                <c:pt idx="1">
                  <c:v>0.2857142857142857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0.23076923076923078</c:v>
                </c:pt>
                <c:pt idx="5">
                  <c:v>0.23404255319148937</c:v>
                </c:pt>
                <c:pt idx="6">
                  <c:v>0.22222222222222221</c:v>
                </c:pt>
                <c:pt idx="7">
                  <c:v>0.203125</c:v>
                </c:pt>
                <c:pt idx="8">
                  <c:v>0.1891891891891892</c:v>
                </c:pt>
                <c:pt idx="9">
                  <c:v>0.21428571428571427</c:v>
                </c:pt>
                <c:pt idx="10">
                  <c:v>0.23711340206185566</c:v>
                </c:pt>
                <c:pt idx="11">
                  <c:v>0.24271844660194175</c:v>
                </c:pt>
                <c:pt idx="12">
                  <c:v>0.24778761061946902</c:v>
                </c:pt>
                <c:pt idx="13">
                  <c:v>0.23931623931623933</c:v>
                </c:pt>
                <c:pt idx="14">
                  <c:v>0.23809523809523808</c:v>
                </c:pt>
                <c:pt idx="15">
                  <c:v>0.2462686567164179</c:v>
                </c:pt>
                <c:pt idx="16">
                  <c:v>0.24285714285714285</c:v>
                </c:pt>
                <c:pt idx="17">
                  <c:v>0.23870967741935484</c:v>
                </c:pt>
                <c:pt idx="18">
                  <c:v>0.2289156626506024</c:v>
                </c:pt>
                <c:pt idx="19">
                  <c:v>0.21714285714285714</c:v>
                </c:pt>
                <c:pt idx="20">
                  <c:v>0.21390374331550802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0.21359223300970873</c:v>
                </c:pt>
                <c:pt idx="24">
                  <c:v>0.21860465116279071</c:v>
                </c:pt>
                <c:pt idx="25">
                  <c:v>0.22072072072072071</c:v>
                </c:pt>
                <c:pt idx="26">
                  <c:v>0.21120689655172414</c:v>
                </c:pt>
                <c:pt idx="27">
                  <c:v>0.2074688796680498</c:v>
                </c:pt>
                <c:pt idx="28">
                  <c:v>0.2</c:v>
                </c:pt>
                <c:pt idx="29">
                  <c:v>0.19379844961240311</c:v>
                </c:pt>
                <c:pt idx="30">
                  <c:v>0.18867924528301888</c:v>
                </c:pt>
                <c:pt idx="31">
                  <c:v>0.18978102189781021</c:v>
                </c:pt>
                <c:pt idx="32">
                  <c:v>0.19217081850533807</c:v>
                </c:pt>
                <c:pt idx="33">
                  <c:v>0.18493150684931506</c:v>
                </c:pt>
                <c:pt idx="34">
                  <c:v>0.18421052631578946</c:v>
                </c:pt>
                <c:pt idx="35">
                  <c:v>0.1858974358974359</c:v>
                </c:pt>
                <c:pt idx="36">
                  <c:v>0.18495297805642633</c:v>
                </c:pt>
                <c:pt idx="37">
                  <c:v>0.18902439024390244</c:v>
                </c:pt>
                <c:pt idx="38">
                  <c:v>0.19047619047619047</c:v>
                </c:pt>
                <c:pt idx="39">
                  <c:v>0.19005847953216373</c:v>
                </c:pt>
                <c:pt idx="40">
                  <c:v>0.1930835734870317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55019799673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ぱぱ2!$I$3:$I$43</c:f>
              <c:numCache>
                <c:formatCode>0</c:formatCode>
                <c:ptCount val="41"/>
                <c:pt idx="1">
                  <c:v>4000</c:v>
                </c:pt>
                <c:pt idx="2">
                  <c:v>4220</c:v>
                </c:pt>
                <c:pt idx="3">
                  <c:v>4220</c:v>
                </c:pt>
                <c:pt idx="4">
                  <c:v>3633.3333333333335</c:v>
                </c:pt>
                <c:pt idx="5">
                  <c:v>3633.3333333333335</c:v>
                </c:pt>
                <c:pt idx="6">
                  <c:v>3850</c:v>
                </c:pt>
                <c:pt idx="7">
                  <c:v>4323.0769230769229</c:v>
                </c:pt>
                <c:pt idx="8">
                  <c:v>4200</c:v>
                </c:pt>
                <c:pt idx="9">
                  <c:v>4085</c:v>
                </c:pt>
                <c:pt idx="10">
                  <c:v>4756</c:v>
                </c:pt>
                <c:pt idx="11">
                  <c:v>4528.5714285714284</c:v>
                </c:pt>
                <c:pt idx="12">
                  <c:v>5150</c:v>
                </c:pt>
                <c:pt idx="13">
                  <c:v>5150</c:v>
                </c:pt>
                <c:pt idx="14">
                  <c:v>5451.4285714285716</c:v>
                </c:pt>
                <c:pt idx="15">
                  <c:v>5676.3157894736842</c:v>
                </c:pt>
                <c:pt idx="16">
                  <c:v>5682.5</c:v>
                </c:pt>
                <c:pt idx="17">
                  <c:v>6311.363636363636</c:v>
                </c:pt>
                <c:pt idx="18">
                  <c:v>6236.7346938775509</c:v>
                </c:pt>
                <c:pt idx="19">
                  <c:v>6084.3137254901958</c:v>
                </c:pt>
                <c:pt idx="20">
                  <c:v>6392.727272727273</c:v>
                </c:pt>
                <c:pt idx="21">
                  <c:v>6416.0714285714284</c:v>
                </c:pt>
                <c:pt idx="22">
                  <c:v>6438.5964912280706</c:v>
                </c:pt>
                <c:pt idx="23">
                  <c:v>6422.0338983050851</c:v>
                </c:pt>
                <c:pt idx="24">
                  <c:v>6398.3870967741932</c:v>
                </c:pt>
                <c:pt idx="25">
                  <c:v>6344.4444444444443</c:v>
                </c:pt>
                <c:pt idx="26">
                  <c:v>6410.2941176470586</c:v>
                </c:pt>
                <c:pt idx="27">
                  <c:v>6411.1111111111113</c:v>
                </c:pt>
                <c:pt idx="28">
                  <c:v>6494.7368421052633</c:v>
                </c:pt>
                <c:pt idx="29">
                  <c:v>6746.9135802469136</c:v>
                </c:pt>
                <c:pt idx="30">
                  <c:v>6746.9135802469136</c:v>
                </c:pt>
                <c:pt idx="31">
                  <c:v>6801.1904761904761</c:v>
                </c:pt>
                <c:pt idx="32">
                  <c:v>6758.6206896551721</c:v>
                </c:pt>
                <c:pt idx="33">
                  <c:v>6772.826086956522</c:v>
                </c:pt>
                <c:pt idx="34">
                  <c:v>6829.0322580645161</c:v>
                </c:pt>
                <c:pt idx="35">
                  <c:v>6813.541666666667</c:v>
                </c:pt>
                <c:pt idx="36">
                  <c:v>6919.3877551020405</c:v>
                </c:pt>
                <c:pt idx="37">
                  <c:v>6966.666666666667</c:v>
                </c:pt>
                <c:pt idx="38">
                  <c:v>6886.2745098039213</c:v>
                </c:pt>
                <c:pt idx="39">
                  <c:v>6838.8349514563106</c:v>
                </c:pt>
                <c:pt idx="40">
                  <c:v>6838.8349514563106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6.27329192546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ぱぱ2!$J$3:$J$43</c:f>
              <c:numCache>
                <c:formatCode>0</c:formatCode>
                <c:ptCount val="41"/>
                <c:pt idx="1">
                  <c:v>-20800</c:v>
                </c:pt>
                <c:pt idx="2">
                  <c:v>-14080</c:v>
                </c:pt>
                <c:pt idx="3">
                  <c:v>-12600</c:v>
                </c:pt>
                <c:pt idx="4">
                  <c:v>-11011.111111111111</c:v>
                </c:pt>
                <c:pt idx="5">
                  <c:v>-9836.363636363636</c:v>
                </c:pt>
                <c:pt idx="6">
                  <c:v>-9183.3333333333339</c:v>
                </c:pt>
                <c:pt idx="7">
                  <c:v>-9069.2307692307695</c:v>
                </c:pt>
                <c:pt idx="8">
                  <c:v>-9250</c:v>
                </c:pt>
                <c:pt idx="9">
                  <c:v>-8144.4444444444443</c:v>
                </c:pt>
                <c:pt idx="10">
                  <c:v>-9313.04347826087</c:v>
                </c:pt>
                <c:pt idx="11">
                  <c:v>-9204</c:v>
                </c:pt>
                <c:pt idx="12">
                  <c:v>-8521.4285714285706</c:v>
                </c:pt>
                <c:pt idx="13">
                  <c:v>-8521.4285714285706</c:v>
                </c:pt>
                <c:pt idx="14">
                  <c:v>-8170</c:v>
                </c:pt>
                <c:pt idx="15">
                  <c:v>-7996.969696969697</c:v>
                </c:pt>
                <c:pt idx="16">
                  <c:v>-8114.7058823529414</c:v>
                </c:pt>
                <c:pt idx="17">
                  <c:v>-8067.5675675675675</c:v>
                </c:pt>
                <c:pt idx="18">
                  <c:v>-7992.105263157895</c:v>
                </c:pt>
                <c:pt idx="19">
                  <c:v>-7992.105263157895</c:v>
                </c:pt>
                <c:pt idx="20">
                  <c:v>-7957.5</c:v>
                </c:pt>
                <c:pt idx="21">
                  <c:v>-7951.2195121951218</c:v>
                </c:pt>
                <c:pt idx="22">
                  <c:v>-8441.8604651162786</c:v>
                </c:pt>
                <c:pt idx="23">
                  <c:v>-8295.454545454546</c:v>
                </c:pt>
                <c:pt idx="24">
                  <c:v>-8182.9787234042551</c:v>
                </c:pt>
                <c:pt idx="25">
                  <c:v>-8295.9183673469379</c:v>
                </c:pt>
                <c:pt idx="26">
                  <c:v>-8295.9183673469379</c:v>
                </c:pt>
                <c:pt idx="27">
                  <c:v>-8208</c:v>
                </c:pt>
                <c:pt idx="28">
                  <c:v>-8208</c:v>
                </c:pt>
                <c:pt idx="29">
                  <c:v>-8208</c:v>
                </c:pt>
                <c:pt idx="30">
                  <c:v>-8208</c:v>
                </c:pt>
                <c:pt idx="31">
                  <c:v>-8353.8461538461543</c:v>
                </c:pt>
                <c:pt idx="32">
                  <c:v>-8177.7777777777774</c:v>
                </c:pt>
                <c:pt idx="33">
                  <c:v>-8177.7777777777774</c:v>
                </c:pt>
                <c:pt idx="34">
                  <c:v>-7957.1428571428569</c:v>
                </c:pt>
                <c:pt idx="35">
                  <c:v>-7934.4827586206893</c:v>
                </c:pt>
                <c:pt idx="36">
                  <c:v>-7866.1016949152545</c:v>
                </c:pt>
                <c:pt idx="37">
                  <c:v>-7904.8387096774195</c:v>
                </c:pt>
                <c:pt idx="38">
                  <c:v>-7779.6875</c:v>
                </c:pt>
                <c:pt idx="39">
                  <c:v>-7690.7692307692305</c:v>
                </c:pt>
                <c:pt idx="40">
                  <c:v>-7625.373134328358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22.2377622377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ぱぱ2!$K$3:$K$43</c:f>
              <c:numCache>
                <c:formatCode>0.0%</c:formatCode>
                <c:ptCount val="4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840466926070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ぱぱ2!$L$3:$L$43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840466926070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ぱぱ2!$M$3:$M$43</c:f>
              <c:numCache>
                <c:formatCode>0.0%</c:formatCode>
                <c:ptCount val="41"/>
                <c:pt idx="1">
                  <c:v>0.14285714285714285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0.17948717948717949</c:v>
                </c:pt>
                <c:pt idx="5">
                  <c:v>0.19148936170212766</c:v>
                </c:pt>
                <c:pt idx="6">
                  <c:v>0.16666666666666666</c:v>
                </c:pt>
                <c:pt idx="7">
                  <c:v>0.140625</c:v>
                </c:pt>
                <c:pt idx="8">
                  <c:v>0.14864864864864866</c:v>
                </c:pt>
                <c:pt idx="9">
                  <c:v>0.14285714285714285</c:v>
                </c:pt>
                <c:pt idx="10">
                  <c:v>0.14432989690721648</c:v>
                </c:pt>
                <c:pt idx="11">
                  <c:v>0.13592233009708737</c:v>
                </c:pt>
                <c:pt idx="12">
                  <c:v>0.15929203539823009</c:v>
                </c:pt>
                <c:pt idx="13">
                  <c:v>0.17094017094017094</c:v>
                </c:pt>
                <c:pt idx="14">
                  <c:v>0.18253968253968253</c:v>
                </c:pt>
                <c:pt idx="15">
                  <c:v>0.19402985074626866</c:v>
                </c:pt>
                <c:pt idx="16">
                  <c:v>0.18571428571428572</c:v>
                </c:pt>
                <c:pt idx="17">
                  <c:v>0.18709677419354839</c:v>
                </c:pt>
                <c:pt idx="18">
                  <c:v>0.19277108433734941</c:v>
                </c:pt>
                <c:pt idx="19">
                  <c:v>0.2</c:v>
                </c:pt>
                <c:pt idx="20">
                  <c:v>0.20855614973262032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0.20873786407766989</c:v>
                </c:pt>
                <c:pt idx="24">
                  <c:v>0.21860465116279071</c:v>
                </c:pt>
                <c:pt idx="25">
                  <c:v>0.21621621621621623</c:v>
                </c:pt>
                <c:pt idx="26">
                  <c:v>0.22413793103448276</c:v>
                </c:pt>
                <c:pt idx="27">
                  <c:v>0.23236514522821577</c:v>
                </c:pt>
                <c:pt idx="28">
                  <c:v>0.24</c:v>
                </c:pt>
                <c:pt idx="29">
                  <c:v>0.24031007751937986</c:v>
                </c:pt>
                <c:pt idx="30">
                  <c:v>0.2339622641509434</c:v>
                </c:pt>
                <c:pt idx="31">
                  <c:v>0.24087591240875914</c:v>
                </c:pt>
                <c:pt idx="32">
                  <c:v>0.23843416370106763</c:v>
                </c:pt>
                <c:pt idx="33">
                  <c:v>0.23287671232876711</c:v>
                </c:pt>
                <c:pt idx="34">
                  <c:v>0.22697368421052633</c:v>
                </c:pt>
                <c:pt idx="35">
                  <c:v>0.22756410256410256</c:v>
                </c:pt>
                <c:pt idx="36">
                  <c:v>0.23197492163009403</c:v>
                </c:pt>
                <c:pt idx="37">
                  <c:v>0.22865853658536586</c:v>
                </c:pt>
                <c:pt idx="38">
                  <c:v>0.23511904761904762</c:v>
                </c:pt>
                <c:pt idx="39">
                  <c:v>0.23391812865497075</c:v>
                </c:pt>
                <c:pt idx="40">
                  <c:v>0.23054755043227665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5331935709294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ぱぱ2!$N$3:$N$43</c:f>
              <c:numCache>
                <c:formatCode>0.0%</c:formatCode>
                <c:ptCount val="41"/>
                <c:pt idx="1">
                  <c:v>0.14285714285714285</c:v>
                </c:pt>
                <c:pt idx="2">
                  <c:v>0.10526315789473684</c:v>
                </c:pt>
                <c:pt idx="3">
                  <c:v>0.1111111111111111</c:v>
                </c:pt>
                <c:pt idx="4">
                  <c:v>0.10256410256410256</c:v>
                </c:pt>
                <c:pt idx="5">
                  <c:v>0.1276595744680851</c:v>
                </c:pt>
                <c:pt idx="6">
                  <c:v>0.14814814814814814</c:v>
                </c:pt>
                <c:pt idx="7">
                  <c:v>0.1875</c:v>
                </c:pt>
                <c:pt idx="8">
                  <c:v>0.21621621621621623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0.25242718446601942</c:v>
                </c:pt>
                <c:pt idx="12">
                  <c:v>0.23008849557522124</c:v>
                </c:pt>
                <c:pt idx="13">
                  <c:v>0.23076923076923078</c:v>
                </c:pt>
                <c:pt idx="14">
                  <c:v>0.23809523809523808</c:v>
                </c:pt>
                <c:pt idx="15">
                  <c:v>0.23134328358208955</c:v>
                </c:pt>
                <c:pt idx="16">
                  <c:v>0.22857142857142856</c:v>
                </c:pt>
                <c:pt idx="17">
                  <c:v>0.22580645161290322</c:v>
                </c:pt>
                <c:pt idx="18">
                  <c:v>0.2289156626506024</c:v>
                </c:pt>
                <c:pt idx="19">
                  <c:v>0.22857142857142856</c:v>
                </c:pt>
                <c:pt idx="20">
                  <c:v>0.22994652406417113</c:v>
                </c:pt>
                <c:pt idx="21">
                  <c:v>0.22164948453608246</c:v>
                </c:pt>
                <c:pt idx="22">
                  <c:v>0.22500000000000001</c:v>
                </c:pt>
                <c:pt idx="23">
                  <c:v>0.23786407766990292</c:v>
                </c:pt>
                <c:pt idx="24">
                  <c:v>0.22790697674418606</c:v>
                </c:pt>
                <c:pt idx="25">
                  <c:v>0.22972972972972974</c:v>
                </c:pt>
                <c:pt idx="26">
                  <c:v>0.22413793103448276</c:v>
                </c:pt>
                <c:pt idx="27">
                  <c:v>0.21991701244813278</c:v>
                </c:pt>
                <c:pt idx="28">
                  <c:v>0.224</c:v>
                </c:pt>
                <c:pt idx="29">
                  <c:v>0.22480620155038761</c:v>
                </c:pt>
                <c:pt idx="30">
                  <c:v>0.23018867924528302</c:v>
                </c:pt>
                <c:pt idx="31">
                  <c:v>0.22992700729927007</c:v>
                </c:pt>
                <c:pt idx="32">
                  <c:v>0.23487544483985764</c:v>
                </c:pt>
                <c:pt idx="33">
                  <c:v>0.25</c:v>
                </c:pt>
                <c:pt idx="34">
                  <c:v>0.25</c:v>
                </c:pt>
                <c:pt idx="35">
                  <c:v>0.25320512820512819</c:v>
                </c:pt>
                <c:pt idx="36">
                  <c:v>0.25391849529780564</c:v>
                </c:pt>
                <c:pt idx="37">
                  <c:v>0.25</c:v>
                </c:pt>
                <c:pt idx="38">
                  <c:v>0.25</c:v>
                </c:pt>
                <c:pt idx="39">
                  <c:v>0.24853801169590642</c:v>
                </c:pt>
                <c:pt idx="40">
                  <c:v>0.25360230547550433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575355229443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ぱぱ2!$O$3:$O$43</c:f>
              <c:numCache>
                <c:formatCode>0.0%</c:formatCode>
                <c:ptCount val="41"/>
                <c:pt idx="1">
                  <c:v>0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0.5714285714285714</c:v>
                </c:pt>
                <c:pt idx="5">
                  <c:v>0.44444444444444442</c:v>
                </c:pt>
                <c:pt idx="6">
                  <c:v>0.44444444444444442</c:v>
                </c:pt>
                <c:pt idx="7">
                  <c:v>0.44444444444444442</c:v>
                </c:pt>
                <c:pt idx="8">
                  <c:v>0.45454545454545453</c:v>
                </c:pt>
                <c:pt idx="9">
                  <c:v>0.41666666666666669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0.45</c:v>
                </c:pt>
                <c:pt idx="14">
                  <c:v>0.47826086956521741</c:v>
                </c:pt>
                <c:pt idx="15">
                  <c:v>0.53846153846153844</c:v>
                </c:pt>
                <c:pt idx="16">
                  <c:v>0.53846153846153844</c:v>
                </c:pt>
                <c:pt idx="17">
                  <c:v>0.55172413793103448</c:v>
                </c:pt>
                <c:pt idx="18">
                  <c:v>0.5625</c:v>
                </c:pt>
                <c:pt idx="19">
                  <c:v>0.54285714285714282</c:v>
                </c:pt>
                <c:pt idx="20">
                  <c:v>0.53846153846153844</c:v>
                </c:pt>
                <c:pt idx="21">
                  <c:v>0.53658536585365857</c:v>
                </c:pt>
                <c:pt idx="22">
                  <c:v>0.53488372093023251</c:v>
                </c:pt>
                <c:pt idx="23">
                  <c:v>0.53488372093023251</c:v>
                </c:pt>
                <c:pt idx="24">
                  <c:v>0.55319148936170215</c:v>
                </c:pt>
                <c:pt idx="25">
                  <c:v>0.54166666666666663</c:v>
                </c:pt>
                <c:pt idx="26">
                  <c:v>0.57692307692307687</c:v>
                </c:pt>
                <c:pt idx="27">
                  <c:v>0.5892857142857143</c:v>
                </c:pt>
                <c:pt idx="28">
                  <c:v>0.58333333333333337</c:v>
                </c:pt>
                <c:pt idx="29">
                  <c:v>0.59677419354838712</c:v>
                </c:pt>
                <c:pt idx="30">
                  <c:v>0.59677419354838712</c:v>
                </c:pt>
                <c:pt idx="31">
                  <c:v>0.60606060606060608</c:v>
                </c:pt>
                <c:pt idx="32">
                  <c:v>0.59701492537313428</c:v>
                </c:pt>
                <c:pt idx="33">
                  <c:v>0.6029411764705882</c:v>
                </c:pt>
                <c:pt idx="34">
                  <c:v>0.59420289855072461</c:v>
                </c:pt>
                <c:pt idx="35">
                  <c:v>0.60563380281690138</c:v>
                </c:pt>
                <c:pt idx="36">
                  <c:v>0.60810810810810811</c:v>
                </c:pt>
                <c:pt idx="37">
                  <c:v>0.61333333333333329</c:v>
                </c:pt>
                <c:pt idx="38">
                  <c:v>0.60759493670886078</c:v>
                </c:pt>
                <c:pt idx="39">
                  <c:v>0.6</c:v>
                </c:pt>
                <c:pt idx="4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7986463620981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ぱぱ2!$P$3:$P$43</c:f>
              <c:numCache>
                <c:formatCode>0.0%</c:formatCode>
                <c:ptCount val="4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0.3</c:v>
                </c:pt>
                <c:pt idx="10">
                  <c:v>0.36</c:v>
                </c:pt>
                <c:pt idx="11">
                  <c:v>0.38461538461538464</c:v>
                </c:pt>
                <c:pt idx="12">
                  <c:v>0.38461538461538464</c:v>
                </c:pt>
                <c:pt idx="13">
                  <c:v>0.37037037037037035</c:v>
                </c:pt>
                <c:pt idx="14">
                  <c:v>0.33333333333333331</c:v>
                </c:pt>
                <c:pt idx="15">
                  <c:v>0.32258064516129031</c:v>
                </c:pt>
                <c:pt idx="16">
                  <c:v>0.3125</c:v>
                </c:pt>
                <c:pt idx="17">
                  <c:v>0.31428571428571428</c:v>
                </c:pt>
                <c:pt idx="18">
                  <c:v>0.34210526315789475</c:v>
                </c:pt>
                <c:pt idx="19">
                  <c:v>0.32500000000000001</c:v>
                </c:pt>
                <c:pt idx="20">
                  <c:v>0.34883720930232559</c:v>
                </c:pt>
                <c:pt idx="21">
                  <c:v>0.34883720930232559</c:v>
                </c:pt>
                <c:pt idx="22">
                  <c:v>0.33333333333333331</c:v>
                </c:pt>
                <c:pt idx="23">
                  <c:v>0.32653061224489793</c:v>
                </c:pt>
                <c:pt idx="24">
                  <c:v>0.32653061224489793</c:v>
                </c:pt>
                <c:pt idx="25">
                  <c:v>0.33333333333333331</c:v>
                </c:pt>
                <c:pt idx="26">
                  <c:v>0.34615384615384615</c:v>
                </c:pt>
                <c:pt idx="27">
                  <c:v>0.33962264150943394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0.32786885245901637</c:v>
                </c:pt>
                <c:pt idx="31">
                  <c:v>0.31746031746031744</c:v>
                </c:pt>
                <c:pt idx="32">
                  <c:v>0.33333333333333331</c:v>
                </c:pt>
                <c:pt idx="33">
                  <c:v>0.34246575342465752</c:v>
                </c:pt>
                <c:pt idx="34">
                  <c:v>0.34210526315789475</c:v>
                </c:pt>
                <c:pt idx="35">
                  <c:v>0.34177215189873417</c:v>
                </c:pt>
                <c:pt idx="36">
                  <c:v>0.33333333333333331</c:v>
                </c:pt>
                <c:pt idx="37">
                  <c:v>0.32926829268292684</c:v>
                </c:pt>
                <c:pt idx="38">
                  <c:v>0.33333333333333331</c:v>
                </c:pt>
                <c:pt idx="39">
                  <c:v>0.3411764705882353</c:v>
                </c:pt>
                <c:pt idx="40">
                  <c:v>0.32954545454545453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274336283185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ぱぱ2!$Q$3:$Q$43</c:f>
              <c:numCache>
                <c:formatCode>0.0%</c:formatCode>
                <c:ptCount val="41"/>
                <c:pt idx="1">
                  <c:v>1</c:v>
                </c:pt>
                <c:pt idx="2">
                  <c:v>0.8</c:v>
                </c:pt>
                <c:pt idx="3">
                  <c:v>0.8</c:v>
                </c:pt>
                <c:pt idx="4">
                  <c:v>0.77777777777777779</c:v>
                </c:pt>
                <c:pt idx="5">
                  <c:v>0.77777777777777779</c:v>
                </c:pt>
                <c:pt idx="6">
                  <c:v>0.7</c:v>
                </c:pt>
                <c:pt idx="7">
                  <c:v>0.61538461538461542</c:v>
                </c:pt>
                <c:pt idx="8">
                  <c:v>0.55555555555555558</c:v>
                </c:pt>
                <c:pt idx="9">
                  <c:v>0.6</c:v>
                </c:pt>
                <c:pt idx="10">
                  <c:v>0.52</c:v>
                </c:pt>
                <c:pt idx="11">
                  <c:v>0.5</c:v>
                </c:pt>
                <c:pt idx="12">
                  <c:v>0.53125</c:v>
                </c:pt>
                <c:pt idx="13">
                  <c:v>0.53125</c:v>
                </c:pt>
                <c:pt idx="14">
                  <c:v>0.51428571428571423</c:v>
                </c:pt>
                <c:pt idx="15">
                  <c:v>0.52631578947368418</c:v>
                </c:pt>
                <c:pt idx="16">
                  <c:v>0.5</c:v>
                </c:pt>
                <c:pt idx="17">
                  <c:v>0.5</c:v>
                </c:pt>
                <c:pt idx="18">
                  <c:v>0.48979591836734693</c:v>
                </c:pt>
                <c:pt idx="19">
                  <c:v>0.49019607843137253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0.50877192982456143</c:v>
                </c:pt>
                <c:pt idx="23">
                  <c:v>0.50847457627118642</c:v>
                </c:pt>
                <c:pt idx="24">
                  <c:v>0.5</c:v>
                </c:pt>
                <c:pt idx="25">
                  <c:v>0.50793650793650791</c:v>
                </c:pt>
                <c:pt idx="26">
                  <c:v>0.51470588235294112</c:v>
                </c:pt>
                <c:pt idx="27">
                  <c:v>0.51388888888888884</c:v>
                </c:pt>
                <c:pt idx="28">
                  <c:v>0.51315789473684215</c:v>
                </c:pt>
                <c:pt idx="29">
                  <c:v>0.51851851851851849</c:v>
                </c:pt>
                <c:pt idx="30">
                  <c:v>0.51851851851851849</c:v>
                </c:pt>
                <c:pt idx="31">
                  <c:v>0.51190476190476186</c:v>
                </c:pt>
                <c:pt idx="32">
                  <c:v>0.51724137931034486</c:v>
                </c:pt>
                <c:pt idx="33">
                  <c:v>0.53260869565217395</c:v>
                </c:pt>
                <c:pt idx="34">
                  <c:v>0.5268817204301075</c:v>
                </c:pt>
                <c:pt idx="35">
                  <c:v>0.52083333333333337</c:v>
                </c:pt>
                <c:pt idx="36">
                  <c:v>0.52040816326530615</c:v>
                </c:pt>
                <c:pt idx="37">
                  <c:v>0.51515151515151514</c:v>
                </c:pt>
                <c:pt idx="38">
                  <c:v>0.51960784313725494</c:v>
                </c:pt>
                <c:pt idx="39">
                  <c:v>0.5145631067961165</c:v>
                </c:pt>
                <c:pt idx="40">
                  <c:v>0.5145631067961165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664596273291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5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43561.52239583333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43561.52239583333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43561.52239583333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43561.52239583333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43561.52239583333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43584.414884259262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43584.414884259262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43584.414884259262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43584.414884259262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43584.414884259262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43584.414884259262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43584.414884259262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43584.414884259262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43584.414884259262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43584.414884259262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43584.414884259262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43584.414884259262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43584.414884259262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43584.414884259262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43584.414895833332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43584.414895833332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43584.414895833332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43584.414895833332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43584.414895833332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43584.414895833332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43596.837326388886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43596.837326388886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43596.837326388886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43596.837326388886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43596.837326388886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43596.837326388886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43596.837326388886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43600.996724537035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43600.996724537035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43600.996724537035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43600.996724537035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43602.951064814813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43602.951064814813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43606.954548611109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43606.954548611109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43606.954548611109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43606.954548611109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232</v>
      </c>
      <c r="B44" s="31">
        <v>43606.954548611109</v>
      </c>
      <c r="C44" s="30" t="s">
        <v>130</v>
      </c>
      <c r="D44" s="30" t="s">
        <v>233</v>
      </c>
      <c r="E44" s="30" t="s">
        <v>131</v>
      </c>
      <c r="F44" s="30" t="s">
        <v>169</v>
      </c>
    </row>
    <row r="45" spans="1:11" x14ac:dyDescent="0.4">
      <c r="A45" s="30" t="s">
        <v>234</v>
      </c>
      <c r="B45" s="31">
        <v>43606.985821759263</v>
      </c>
      <c r="C45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514</v>
      </c>
    </row>
    <row r="2" spans="1:2" x14ac:dyDescent="0.4">
      <c r="A2" t="s">
        <v>127</v>
      </c>
      <c r="B2">
        <v>114</v>
      </c>
    </row>
    <row r="3" spans="1:2" x14ac:dyDescent="0.4">
      <c r="A3" t="s">
        <v>128</v>
      </c>
      <c r="B3">
        <v>114</v>
      </c>
    </row>
    <row r="4" spans="1:2" x14ac:dyDescent="0.4">
      <c r="A4" t="s">
        <v>129</v>
      </c>
      <c r="B4">
        <v>61</v>
      </c>
    </row>
    <row r="5" spans="1:2" x14ac:dyDescent="0.4">
      <c r="A5" t="s">
        <v>171</v>
      </c>
      <c r="B5">
        <v>69</v>
      </c>
    </row>
    <row r="6" spans="1:2" x14ac:dyDescent="0.4">
      <c r="A6" t="s">
        <v>172</v>
      </c>
      <c r="B6">
        <v>54</v>
      </c>
    </row>
    <row r="7" spans="1:2" x14ac:dyDescent="0.4">
      <c r="A7" t="s">
        <v>173</v>
      </c>
      <c r="B7">
        <v>40</v>
      </c>
    </row>
    <row r="8" spans="1:2" x14ac:dyDescent="0.4">
      <c r="A8" t="s">
        <v>177</v>
      </c>
      <c r="B8">
        <v>37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0.4752006466099622</v>
      </c>
      <c r="G2" s="155"/>
      <c r="H2" s="154">
        <v>8.577024302668794E-2</v>
      </c>
      <c r="I2" s="155"/>
      <c r="J2" s="154">
        <v>0.68551375480276366</v>
      </c>
      <c r="K2" s="155"/>
      <c r="L2" s="154">
        <v>0.27297765495662446</v>
      </c>
      <c r="M2" s="155"/>
      <c r="N2" s="154">
        <v>0.52980806013198989</v>
      </c>
      <c r="O2" s="155"/>
      <c r="P2" s="154">
        <v>0.43293194587283818</v>
      </c>
      <c r="Q2" s="155"/>
      <c r="R2" s="154">
        <v>-5.435826508510052E-2</v>
      </c>
      <c r="S2" s="155"/>
      <c r="T2" s="154">
        <v>0.22399757720960567</v>
      </c>
      <c r="U2" s="155"/>
      <c r="V2" s="154">
        <v>0.73962894742964014</v>
      </c>
      <c r="W2" s="155"/>
      <c r="X2" s="154">
        <v>0.86492315777087991</v>
      </c>
      <c r="Y2" s="155"/>
      <c r="Z2" s="154">
        <v>-8.9422956586766814E-2</v>
      </c>
      <c r="AA2" s="155"/>
      <c r="AB2" s="154">
        <v>-0.3683857092952213</v>
      </c>
      <c r="AC2" s="155"/>
      <c r="AD2" s="154">
        <v>3.8310707900868081E-2</v>
      </c>
      <c r="AE2" s="155"/>
      <c r="AF2" s="154">
        <v>-0.51643581936839533</v>
      </c>
      <c r="AG2" s="155"/>
      <c r="AH2" s="154">
        <v>0.73398239185090719</v>
      </c>
      <c r="AI2" s="155"/>
    </row>
    <row r="3" spans="1:35" x14ac:dyDescent="0.4">
      <c r="A3" s="74">
        <v>1</v>
      </c>
      <c r="B3" s="75" t="s">
        <v>127</v>
      </c>
      <c r="C3" s="76">
        <v>1351.1000000000008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0.17543859649122806</v>
      </c>
      <c r="X3" s="77" t="s">
        <v>225</v>
      </c>
      <c r="Y3" s="80">
        <v>0.375</v>
      </c>
      <c r="Z3" s="77" t="s">
        <v>172</v>
      </c>
      <c r="AA3" s="80">
        <v>0.29535864978902954</v>
      </c>
      <c r="AB3" s="77" t="s">
        <v>225</v>
      </c>
      <c r="AC3" s="80">
        <v>1</v>
      </c>
      <c r="AD3" s="77" t="s">
        <v>127</v>
      </c>
      <c r="AE3" s="80">
        <v>0.50990099009900991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106.19999999999999</v>
      </c>
      <c r="D4" s="85" t="s">
        <v>224</v>
      </c>
      <c r="E4" s="97">
        <v>13.3</v>
      </c>
      <c r="F4" s="85" t="s">
        <v>127</v>
      </c>
      <c r="G4" s="86">
        <v>1.7456140350877194</v>
      </c>
      <c r="H4" s="85" t="s">
        <v>127</v>
      </c>
      <c r="I4" s="87">
        <v>0.49122807017543857</v>
      </c>
      <c r="J4" s="85" t="s">
        <v>224</v>
      </c>
      <c r="K4" s="87">
        <v>0</v>
      </c>
      <c r="L4" s="85" t="s">
        <v>172</v>
      </c>
      <c r="M4" s="88">
        <v>0.37130801687763715</v>
      </c>
      <c r="N4" s="85" t="s">
        <v>185</v>
      </c>
      <c r="O4" s="88">
        <v>0.10526315789473684</v>
      </c>
      <c r="P4" s="85" t="s">
        <v>171</v>
      </c>
      <c r="Q4" s="89">
        <v>9756.707317073171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0.13043478260869565</v>
      </c>
      <c r="X4" s="85" t="s">
        <v>127</v>
      </c>
      <c r="Y4" s="88">
        <v>0.32573289902280128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11.85175438596492</v>
      </c>
      <c r="F5" s="85" t="s">
        <v>177</v>
      </c>
      <c r="G5" s="86">
        <v>1.9459459459459461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0.34961997828447339</v>
      </c>
      <c r="N5" s="85" t="s">
        <v>172</v>
      </c>
      <c r="O5" s="88">
        <v>0.13291139240506328</v>
      </c>
      <c r="P5" s="85" t="s">
        <v>128</v>
      </c>
      <c r="Q5" s="89">
        <v>9304.2635658914733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129</v>
      </c>
      <c r="W5" s="87">
        <v>0.11475409836065574</v>
      </c>
      <c r="X5" s="85" t="s">
        <v>128</v>
      </c>
      <c r="Y5" s="88">
        <v>0.29755579171094582</v>
      </c>
      <c r="Z5" s="85" t="s">
        <v>173</v>
      </c>
      <c r="AA5" s="88">
        <v>0.25360230547550433</v>
      </c>
      <c r="AB5" s="85" t="s">
        <v>177</v>
      </c>
      <c r="AC5" s="88">
        <v>0.69565217391304346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55.599999999999987</v>
      </c>
      <c r="D6" s="85" t="s">
        <v>171</v>
      </c>
      <c r="E6" s="97">
        <v>1.5391304347826085</v>
      </c>
      <c r="F6" s="85" t="s">
        <v>145</v>
      </c>
      <c r="G6" s="86">
        <v>1.9961089494163424</v>
      </c>
      <c r="H6" s="85" t="s">
        <v>177</v>
      </c>
      <c r="I6" s="87">
        <v>0.40540540540540543</v>
      </c>
      <c r="J6" s="85" t="s">
        <v>127</v>
      </c>
      <c r="K6" s="87">
        <v>0.23684210526315788</v>
      </c>
      <c r="L6" s="85" t="s">
        <v>202</v>
      </c>
      <c r="M6" s="88">
        <v>0.30434782608695654</v>
      </c>
      <c r="N6" s="85" t="s">
        <v>127</v>
      </c>
      <c r="O6" s="88">
        <v>0.15200868621064062</v>
      </c>
      <c r="P6" s="85" t="s">
        <v>129</v>
      </c>
      <c r="Q6" s="89">
        <v>9149.1228070175439</v>
      </c>
      <c r="R6" s="85" t="s">
        <v>173</v>
      </c>
      <c r="S6" s="89">
        <v>-7625.373134328358</v>
      </c>
      <c r="T6" s="85" t="s">
        <v>225</v>
      </c>
      <c r="U6" s="87">
        <v>0</v>
      </c>
      <c r="V6" s="85" t="s">
        <v>145</v>
      </c>
      <c r="W6" s="87">
        <v>0.11284046692607004</v>
      </c>
      <c r="X6" s="85" t="s">
        <v>171</v>
      </c>
      <c r="Y6" s="88">
        <v>0.27796610169491526</v>
      </c>
      <c r="Z6" s="85" t="s">
        <v>127</v>
      </c>
      <c r="AA6" s="88">
        <v>0.21932681867535286</v>
      </c>
      <c r="AB6" s="85" t="s">
        <v>186</v>
      </c>
      <c r="AC6" s="88">
        <v>0.625</v>
      </c>
      <c r="AD6" s="85" t="s">
        <v>172</v>
      </c>
      <c r="AE6" s="88">
        <v>0.43571428571428572</v>
      </c>
      <c r="AF6" s="85" t="s">
        <v>186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177</v>
      </c>
      <c r="C7" s="84">
        <v>44.70000000000001</v>
      </c>
      <c r="D7" s="85" t="s">
        <v>177</v>
      </c>
      <c r="E7" s="97">
        <v>1.2081081081081084</v>
      </c>
      <c r="F7" s="85" t="s">
        <v>202</v>
      </c>
      <c r="G7" s="86">
        <v>2</v>
      </c>
      <c r="H7" s="85" t="s">
        <v>145</v>
      </c>
      <c r="I7" s="87">
        <v>0.33268482490272372</v>
      </c>
      <c r="J7" s="85" t="s">
        <v>172</v>
      </c>
      <c r="K7" s="87">
        <v>0.31481481481481483</v>
      </c>
      <c r="L7" s="85" t="s">
        <v>145</v>
      </c>
      <c r="M7" s="88">
        <v>0.30002329373398556</v>
      </c>
      <c r="N7" s="85" t="s">
        <v>171</v>
      </c>
      <c r="O7" s="88">
        <v>0.16271186440677965</v>
      </c>
      <c r="P7" s="85" t="s">
        <v>127</v>
      </c>
      <c r="Q7" s="89">
        <v>9056.8322981366455</v>
      </c>
      <c r="R7" s="85" t="s">
        <v>177</v>
      </c>
      <c r="S7" s="89">
        <v>-7680.3921568627447</v>
      </c>
      <c r="T7" s="85" t="s">
        <v>171</v>
      </c>
      <c r="U7" s="87">
        <v>4.3478260869565216E-2</v>
      </c>
      <c r="V7" s="85" t="s">
        <v>172</v>
      </c>
      <c r="W7" s="87">
        <v>0.1111111111111111</v>
      </c>
      <c r="X7" s="85" t="s">
        <v>145</v>
      </c>
      <c r="Y7" s="88">
        <v>0.27533193570929421</v>
      </c>
      <c r="Z7" s="85" t="s">
        <v>177</v>
      </c>
      <c r="AA7" s="88">
        <v>0.2168284789644013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1.0296296296296295</v>
      </c>
      <c r="F8" s="85" t="s">
        <v>224</v>
      </c>
      <c r="G8" s="86">
        <v>2</v>
      </c>
      <c r="H8" s="85" t="s">
        <v>171</v>
      </c>
      <c r="I8" s="87">
        <v>0.28985507246376813</v>
      </c>
      <c r="J8" s="85" t="s">
        <v>145</v>
      </c>
      <c r="K8" s="87">
        <v>0.33268482490272372</v>
      </c>
      <c r="L8" s="85" t="s">
        <v>177</v>
      </c>
      <c r="M8" s="88">
        <v>0.29773462783171523</v>
      </c>
      <c r="N8" s="85" t="s">
        <v>177</v>
      </c>
      <c r="O8" s="88">
        <v>0.1650485436893204</v>
      </c>
      <c r="P8" s="85" t="s">
        <v>177</v>
      </c>
      <c r="Q8" s="89">
        <v>8683.6956521739139</v>
      </c>
      <c r="R8" s="85" t="s">
        <v>186</v>
      </c>
      <c r="S8" s="89">
        <v>-7700</v>
      </c>
      <c r="T8" s="85" t="s">
        <v>172</v>
      </c>
      <c r="U8" s="87">
        <v>5.5555555555555552E-2</v>
      </c>
      <c r="V8" s="85" t="s">
        <v>128</v>
      </c>
      <c r="W8" s="87">
        <v>9.6491228070175433E-2</v>
      </c>
      <c r="X8" s="85" t="s">
        <v>129</v>
      </c>
      <c r="Y8" s="88">
        <v>0.26506024096385544</v>
      </c>
      <c r="Z8" s="85" t="s">
        <v>145</v>
      </c>
      <c r="AA8" s="88">
        <v>0.21057535522944329</v>
      </c>
      <c r="AB8" s="85" t="s">
        <v>185</v>
      </c>
      <c r="AC8" s="88">
        <v>0.6</v>
      </c>
      <c r="AD8" s="85" t="s">
        <v>171</v>
      </c>
      <c r="AE8" s="88">
        <v>0.4</v>
      </c>
      <c r="AF8" s="85" t="s">
        <v>129</v>
      </c>
      <c r="AG8" s="88">
        <v>0.49122807017543857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1.4210854715202004E-14</v>
      </c>
      <c r="D9" s="85" t="s">
        <v>145</v>
      </c>
      <c r="E9" s="97">
        <v>2.7647577266929969E-17</v>
      </c>
      <c r="F9" s="85" t="s">
        <v>172</v>
      </c>
      <c r="G9" s="86">
        <v>2.0370370370370372</v>
      </c>
      <c r="H9" s="85" t="s">
        <v>172</v>
      </c>
      <c r="I9" s="87">
        <v>0.27777777777777779</v>
      </c>
      <c r="J9" s="85" t="s">
        <v>128</v>
      </c>
      <c r="K9" s="87">
        <v>0.34210526315789475</v>
      </c>
      <c r="L9" s="85" t="s">
        <v>173</v>
      </c>
      <c r="M9" s="88">
        <v>0.29682997118155618</v>
      </c>
      <c r="N9" s="85" t="s">
        <v>145</v>
      </c>
      <c r="O9" s="88">
        <v>0.16655019799673887</v>
      </c>
      <c r="P9" s="85" t="s">
        <v>225</v>
      </c>
      <c r="Q9" s="89">
        <v>8666.6666666666661</v>
      </c>
      <c r="R9" s="85" t="s">
        <v>171</v>
      </c>
      <c r="S9" s="89">
        <v>-7819.791666666667</v>
      </c>
      <c r="T9" s="85" t="s">
        <v>145</v>
      </c>
      <c r="U9" s="87">
        <v>0.11284046692607004</v>
      </c>
      <c r="V9" s="85" t="s">
        <v>177</v>
      </c>
      <c r="W9" s="87">
        <v>8.1081081081081086E-2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172</v>
      </c>
      <c r="AC9" s="88">
        <v>0.59047619047619049</v>
      </c>
      <c r="AD9" s="85" t="s">
        <v>145</v>
      </c>
      <c r="AE9" s="88">
        <v>0.38827433628318586</v>
      </c>
      <c r="AF9" s="85" t="s">
        <v>145</v>
      </c>
      <c r="AG9" s="88">
        <v>0.43866459627329191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-2.183333333333334</v>
      </c>
      <c r="F10" s="85" t="s">
        <v>171</v>
      </c>
      <c r="G10" s="86">
        <v>2.0579710144927534</v>
      </c>
      <c r="H10" s="85" t="s">
        <v>173</v>
      </c>
      <c r="I10" s="87">
        <v>0.27500000000000002</v>
      </c>
      <c r="J10" s="85" t="s">
        <v>171</v>
      </c>
      <c r="K10" s="87">
        <v>0.34782608695652173</v>
      </c>
      <c r="L10" s="85" t="s">
        <v>171</v>
      </c>
      <c r="M10" s="88">
        <v>0.27796610169491526</v>
      </c>
      <c r="N10" s="85" t="s">
        <v>128</v>
      </c>
      <c r="O10" s="88">
        <v>0.17003188097768332</v>
      </c>
      <c r="P10" s="85" t="s">
        <v>145</v>
      </c>
      <c r="Q10" s="89">
        <v>8596.2732919254649</v>
      </c>
      <c r="R10" s="85" t="s">
        <v>145</v>
      </c>
      <c r="S10" s="89">
        <v>-8222.2377622377626</v>
      </c>
      <c r="T10" s="85" t="s">
        <v>127</v>
      </c>
      <c r="U10" s="87">
        <v>0.11403508771929824</v>
      </c>
      <c r="V10" s="85" t="s">
        <v>173</v>
      </c>
      <c r="W10" s="87">
        <v>0.05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128</v>
      </c>
      <c r="AC10" s="88">
        <v>0.5892857142857143</v>
      </c>
      <c r="AD10" s="85" t="s">
        <v>177</v>
      </c>
      <c r="AE10" s="88">
        <v>0.37313432835820898</v>
      </c>
      <c r="AF10" s="85" t="s">
        <v>171</v>
      </c>
      <c r="AG10" s="88">
        <v>0.43292682926829268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2.0701754385964914</v>
      </c>
      <c r="H11" s="85" t="s">
        <v>128</v>
      </c>
      <c r="I11" s="87">
        <v>0.27192982456140352</v>
      </c>
      <c r="J11" s="85" t="s">
        <v>173</v>
      </c>
      <c r="K11" s="87">
        <v>0.35</v>
      </c>
      <c r="L11" s="85" t="s">
        <v>128</v>
      </c>
      <c r="M11" s="88">
        <v>0.27417640807651433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-8390</v>
      </c>
      <c r="T11" s="85" t="s">
        <v>128</v>
      </c>
      <c r="U11" s="87">
        <v>0.12280701754385964</v>
      </c>
      <c r="V11" s="85" t="s">
        <v>186</v>
      </c>
      <c r="W11" s="87">
        <v>0</v>
      </c>
      <c r="X11" s="85" t="s">
        <v>186</v>
      </c>
      <c r="Y11" s="88">
        <v>0.23076923076923078</v>
      </c>
      <c r="Z11" s="85" t="s">
        <v>171</v>
      </c>
      <c r="AA11" s="88">
        <v>0.1864406779661017</v>
      </c>
      <c r="AB11" s="85" t="s">
        <v>145</v>
      </c>
      <c r="AC11" s="88">
        <v>0.58798646362098139</v>
      </c>
      <c r="AD11" s="85" t="s">
        <v>173</v>
      </c>
      <c r="AE11" s="88">
        <v>0.32954545454545453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-6.9974999999999996</v>
      </c>
      <c r="F12" s="85" t="s">
        <v>173</v>
      </c>
      <c r="G12" s="86">
        <v>2.0750000000000002</v>
      </c>
      <c r="H12" s="85" t="s">
        <v>129</v>
      </c>
      <c r="I12" s="87">
        <v>0.24590163934426229</v>
      </c>
      <c r="J12" s="85" t="s">
        <v>177</v>
      </c>
      <c r="K12" s="87">
        <v>0.35135135135135137</v>
      </c>
      <c r="L12" s="85" t="s">
        <v>186</v>
      </c>
      <c r="M12" s="88">
        <v>0.26923076923076922</v>
      </c>
      <c r="N12" s="85" t="s">
        <v>129</v>
      </c>
      <c r="O12" s="88">
        <v>0.19277108433734941</v>
      </c>
      <c r="P12" s="85" t="s">
        <v>186</v>
      </c>
      <c r="Q12" s="89">
        <v>7700</v>
      </c>
      <c r="R12" s="85" t="s">
        <v>172</v>
      </c>
      <c r="S12" s="89">
        <v>-9374.6031746031749</v>
      </c>
      <c r="T12" s="85" t="s">
        <v>173</v>
      </c>
      <c r="U12" s="87">
        <v>0.125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128</v>
      </c>
      <c r="AA12" s="88">
        <v>0.18172157279489903</v>
      </c>
      <c r="AB12" s="85" t="s">
        <v>171</v>
      </c>
      <c r="AC12" s="88">
        <v>0.58536585365853655</v>
      </c>
      <c r="AD12" s="85" t="s">
        <v>128</v>
      </c>
      <c r="AE12" s="88">
        <v>0.2982456140350877</v>
      </c>
      <c r="AF12" s="85" t="s">
        <v>172</v>
      </c>
      <c r="AG12" s="88">
        <v>0.42045454545454547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-248.90000000000009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0.47540983606557374</v>
      </c>
      <c r="L13" s="85" t="s">
        <v>185</v>
      </c>
      <c r="M13" s="88">
        <v>0.26315789473684209</v>
      </c>
      <c r="N13" s="85" t="s">
        <v>173</v>
      </c>
      <c r="O13" s="88">
        <v>0.1930835734870317</v>
      </c>
      <c r="P13" s="85" t="s">
        <v>202</v>
      </c>
      <c r="Q13" s="89">
        <v>7438.0952380952385</v>
      </c>
      <c r="R13" s="85" t="s">
        <v>129</v>
      </c>
      <c r="S13" s="89">
        <v>-9593.75</v>
      </c>
      <c r="T13" s="85" t="s">
        <v>177</v>
      </c>
      <c r="U13" s="87">
        <v>0.16216216216216217</v>
      </c>
      <c r="V13" s="85" t="s">
        <v>202</v>
      </c>
      <c r="W13" s="87">
        <v>0</v>
      </c>
      <c r="X13" s="85" t="s">
        <v>173</v>
      </c>
      <c r="Y13" s="88">
        <v>0.23054755043227665</v>
      </c>
      <c r="Z13" s="85" t="s">
        <v>129</v>
      </c>
      <c r="AA13" s="88">
        <v>0.16265060240963855</v>
      </c>
      <c r="AB13" s="85" t="s">
        <v>127</v>
      </c>
      <c r="AC13" s="88">
        <v>0.57999999999999996</v>
      </c>
      <c r="AD13" s="85" t="s">
        <v>129</v>
      </c>
      <c r="AE13" s="88">
        <v>0.23456790123456789</v>
      </c>
      <c r="AF13" s="85" t="s">
        <v>127</v>
      </c>
      <c r="AG13" s="88">
        <v>0.41304347826086957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-279.89999999999998</v>
      </c>
      <c r="D14" s="85" t="s">
        <v>129</v>
      </c>
      <c r="E14" s="97">
        <v>-15.150819672131142</v>
      </c>
      <c r="F14" s="85" t="s">
        <v>129</v>
      </c>
      <c r="G14" s="86">
        <v>2.2295081967213113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0.2289156626506024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186</v>
      </c>
      <c r="U14" s="87">
        <v>0.16666666666666666</v>
      </c>
      <c r="V14" s="85" t="s">
        <v>224</v>
      </c>
      <c r="W14" s="87">
        <v>0</v>
      </c>
      <c r="X14" s="85" t="s">
        <v>177</v>
      </c>
      <c r="Y14" s="88">
        <v>0.22330097087378642</v>
      </c>
      <c r="Z14" s="85" t="s">
        <v>225</v>
      </c>
      <c r="AA14" s="88">
        <v>0.125</v>
      </c>
      <c r="AB14" s="85" t="s">
        <v>129</v>
      </c>
      <c r="AC14" s="88">
        <v>0.51515151515151514</v>
      </c>
      <c r="AD14" s="85" t="s">
        <v>224</v>
      </c>
      <c r="AE14" s="88">
        <v>0</v>
      </c>
      <c r="AF14" s="85" t="s">
        <v>177</v>
      </c>
      <c r="AG14" s="88">
        <v>0.41304347826086957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-924.1999999999997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6500.568181818182</v>
      </c>
      <c r="R15" s="85" t="s">
        <v>225</v>
      </c>
      <c r="S15" s="89">
        <v>-14000</v>
      </c>
      <c r="T15" s="85" t="s">
        <v>129</v>
      </c>
      <c r="U15" s="87">
        <v>0.19672131147540983</v>
      </c>
      <c r="V15" s="85" t="s">
        <v>225</v>
      </c>
      <c r="W15" s="87">
        <v>0</v>
      </c>
      <c r="X15" s="85" t="s">
        <v>172</v>
      </c>
      <c r="Y15" s="88">
        <v>0.22151898734177214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1DE2-DBF1-4511-A66F-3BC2C483E97C}">
  <sheetPr codeName="Sheet4"/>
  <dimension ref="A1:Q5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514</v>
      </c>
      <c r="C2" s="147"/>
      <c r="E2" s="62" t="s">
        <v>67</v>
      </c>
      <c r="F2" s="59" t="s">
        <v>23</v>
      </c>
      <c r="G2" s="46">
        <v>950</v>
      </c>
      <c r="H2" s="132">
        <f>IF(B$17=0,0,G2/B$17)</f>
        <v>0.73757763975155277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-15.594541910331383</v>
      </c>
      <c r="P2" s="118">
        <v>513</v>
      </c>
      <c r="Q2" s="102">
        <v>-8000</v>
      </c>
    </row>
    <row r="3" spans="1:17" x14ac:dyDescent="0.4">
      <c r="A3" s="55" t="s">
        <v>8</v>
      </c>
      <c r="B3" s="148">
        <v>4293</v>
      </c>
      <c r="C3" s="149"/>
      <c r="E3" s="63" t="s">
        <v>65</v>
      </c>
      <c r="F3" s="60" t="s">
        <v>21</v>
      </c>
      <c r="G3" s="47">
        <v>666</v>
      </c>
      <c r="H3" s="133">
        <f>IF(B$17=0,0,G3/B$17)</f>
        <v>0.51708074534161486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-7.9840319361277441</v>
      </c>
      <c r="P3" s="119">
        <v>501</v>
      </c>
      <c r="Q3" s="103">
        <v>-4000</v>
      </c>
    </row>
    <row r="4" spans="1:17" x14ac:dyDescent="0.4">
      <c r="A4" s="55" t="s">
        <v>6</v>
      </c>
      <c r="B4" s="150">
        <v>1.4210854715202004E-14</v>
      </c>
      <c r="C4" s="151"/>
      <c r="E4" s="63" t="s">
        <v>73</v>
      </c>
      <c r="F4" s="60" t="s">
        <v>28</v>
      </c>
      <c r="G4" s="47">
        <v>661</v>
      </c>
      <c r="H4" s="133">
        <f>IF(B$17=0,0,G4/B$17)</f>
        <v>0.51319875776397517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12.578616352201259</v>
      </c>
      <c r="P4" s="119">
        <v>477</v>
      </c>
      <c r="Q4" s="103">
        <v>6000</v>
      </c>
    </row>
    <row r="5" spans="1:17" x14ac:dyDescent="0.4">
      <c r="A5" s="55" t="s">
        <v>7</v>
      </c>
      <c r="B5" s="152">
        <f>IF(B$2=0,0,B$4/B$2)</f>
        <v>2.7647577266929969E-17</v>
      </c>
      <c r="C5" s="153"/>
      <c r="E5" s="63" t="s">
        <v>181</v>
      </c>
      <c r="F5" s="60" t="s">
        <v>182</v>
      </c>
      <c r="G5" s="47">
        <v>516</v>
      </c>
      <c r="H5" s="133">
        <f>IF(B$17=0,0,G5/B$17)</f>
        <v>0.40062111801242234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6.9930069930069934</v>
      </c>
      <c r="P5" s="119">
        <v>429</v>
      </c>
      <c r="Q5" s="103">
        <v>3000</v>
      </c>
    </row>
    <row r="6" spans="1:17" x14ac:dyDescent="0.4">
      <c r="A6" s="55" t="s">
        <v>1</v>
      </c>
      <c r="B6" s="142">
        <f>IF(B$2=0,0,(B$7*1+B$8*2+B$9*3)/B$2)</f>
        <v>1.9961089494163424</v>
      </c>
      <c r="C6" s="143"/>
      <c r="E6" s="63" t="s">
        <v>69</v>
      </c>
      <c r="F6" s="60" t="s">
        <v>12</v>
      </c>
      <c r="G6" s="47">
        <v>405</v>
      </c>
      <c r="H6" s="133">
        <f>IF(B$17=0,0,G6/B$17)</f>
        <v>0.3144409937888199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-13.020833333333334</v>
      </c>
      <c r="P6" s="119">
        <v>384</v>
      </c>
      <c r="Q6" s="103">
        <v>-5000</v>
      </c>
    </row>
    <row r="7" spans="1:17" x14ac:dyDescent="0.4">
      <c r="A7" s="55" t="s">
        <v>2</v>
      </c>
      <c r="B7" s="47">
        <v>171</v>
      </c>
      <c r="C7" s="39">
        <f>IF(B$2=0,0,B7/B$2)</f>
        <v>0.33268482490272372</v>
      </c>
      <c r="E7" s="63" t="s">
        <v>68</v>
      </c>
      <c r="F7" s="60" t="s">
        <v>24</v>
      </c>
      <c r="G7" s="47">
        <v>393</v>
      </c>
      <c r="H7" s="133">
        <f>IF(B$17=0,0,G7/B$17)</f>
        <v>0.30512422360248448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22.792022792022792</v>
      </c>
      <c r="P7" s="120">
        <v>351</v>
      </c>
      <c r="Q7" s="104">
        <v>8000</v>
      </c>
    </row>
    <row r="8" spans="1:17" x14ac:dyDescent="0.4">
      <c r="A8" s="55" t="s">
        <v>3</v>
      </c>
      <c r="B8" s="47">
        <v>171</v>
      </c>
      <c r="C8" s="39">
        <f>IF(B$2=0,0,B8/B$2)</f>
        <v>0.33268482490272372</v>
      </c>
      <c r="E8" s="63" t="s">
        <v>70</v>
      </c>
      <c r="F8" s="60" t="s">
        <v>25</v>
      </c>
      <c r="G8" s="47">
        <v>234</v>
      </c>
      <c r="H8" s="133">
        <f>IF(B$17=0,0,G8/B$17)</f>
        <v>0.18167701863354038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171</v>
      </c>
      <c r="C9" s="40">
        <f t="shared" ref="C9" si="1">IF(B$2=0,0,B9/B$2)</f>
        <v>0.33268482490272372</v>
      </c>
      <c r="E9" s="63" t="s">
        <v>90</v>
      </c>
      <c r="F9" s="60" t="s">
        <v>45</v>
      </c>
      <c r="G9" s="47">
        <v>157</v>
      </c>
      <c r="H9" s="133">
        <f>IF(B$17=0,0,G9/B$17)</f>
        <v>0.12189440993788819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58</v>
      </c>
      <c r="C10" s="40">
        <f>IF(B$2=0,0,B10/B$2)</f>
        <v>0.11284046692607004</v>
      </c>
      <c r="E10" s="63" t="s">
        <v>66</v>
      </c>
      <c r="F10" s="60" t="s">
        <v>22</v>
      </c>
      <c r="G10" s="47">
        <v>155</v>
      </c>
      <c r="H10" s="133">
        <f>IF(B$17=0,0,G10/B$17)</f>
        <v>0.1203416149068323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-1.1766081871345029</v>
      </c>
      <c r="P10" s="118">
        <v>171</v>
      </c>
      <c r="Q10" s="106">
        <v>-201.2</v>
      </c>
    </row>
    <row r="11" spans="1:17" x14ac:dyDescent="0.4">
      <c r="A11" s="56" t="s">
        <v>140</v>
      </c>
      <c r="B11" s="48">
        <v>58</v>
      </c>
      <c r="C11" s="40">
        <f>IF(B$2=0,0,B11/B$2)</f>
        <v>0.11284046692607004</v>
      </c>
      <c r="E11" s="63" t="s">
        <v>71</v>
      </c>
      <c r="F11" s="60" t="s">
        <v>26</v>
      </c>
      <c r="G11" s="47">
        <v>136</v>
      </c>
      <c r="H11" s="133">
        <f>IF(B$17=0,0,G11/B$17)</f>
        <v>0.10559006211180125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-2.0766081871345037</v>
      </c>
      <c r="P11" s="119">
        <v>171</v>
      </c>
      <c r="Q11" s="107">
        <v>-355.10000000000014</v>
      </c>
    </row>
    <row r="12" spans="1:17" x14ac:dyDescent="0.4">
      <c r="A12" s="57" t="s">
        <v>160</v>
      </c>
      <c r="B12" s="49">
        <v>43</v>
      </c>
      <c r="C12" s="42">
        <f>IF(B$2=0,0,B12/B$2)</f>
        <v>8.3657587548638127E-2</v>
      </c>
      <c r="E12" s="63" t="s">
        <v>72</v>
      </c>
      <c r="F12" s="60" t="s">
        <v>27</v>
      </c>
      <c r="G12" s="47">
        <v>84</v>
      </c>
      <c r="H12" s="133">
        <f>IF(B$17=0,0,G12/B$17)</f>
        <v>6.5217391304347824E-2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3.2532163742690061</v>
      </c>
      <c r="P12" s="120">
        <v>171</v>
      </c>
      <c r="Q12" s="108">
        <v>556.30000000000007</v>
      </c>
    </row>
    <row r="13" spans="1:17" x14ac:dyDescent="0.4">
      <c r="A13" s="58" t="s">
        <v>122</v>
      </c>
      <c r="B13" s="50">
        <v>1182</v>
      </c>
      <c r="C13" s="44">
        <f>IF(B$3=0,0,B13/B$3)</f>
        <v>0.27533193570929421</v>
      </c>
      <c r="E13" s="63" t="s">
        <v>87</v>
      </c>
      <c r="F13" s="60" t="s">
        <v>42</v>
      </c>
      <c r="G13" s="47">
        <v>76</v>
      </c>
      <c r="H13" s="133">
        <f>IF(B$17=0,0,G13/B$17)</f>
        <v>5.9006211180124224E-2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904</v>
      </c>
      <c r="C14" s="39">
        <f>IF(B$3=0,0,B14/B$3)</f>
        <v>0.21057535522944329</v>
      </c>
      <c r="E14" s="63" t="s">
        <v>84</v>
      </c>
      <c r="F14" s="60" t="s">
        <v>39</v>
      </c>
      <c r="G14" s="47">
        <v>59</v>
      </c>
      <c r="H14" s="133">
        <f>IF(B$17=0,0,G14/B$17)</f>
        <v>4.5807453416149072E-2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695</v>
      </c>
      <c r="C15" s="37">
        <f>IF(B$13=0,0,B15/B$13)</f>
        <v>0.58798646362098139</v>
      </c>
      <c r="E15" s="63" t="s">
        <v>82</v>
      </c>
      <c r="F15" s="60" t="s">
        <v>37</v>
      </c>
      <c r="G15" s="47">
        <v>37</v>
      </c>
      <c r="H15" s="133">
        <f>IF(B$17=0,0,G15/B$17)</f>
        <v>2.872670807453416E-2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351</v>
      </c>
      <c r="C16" s="37">
        <f>IF(B$14=0,0,B16/B$14)</f>
        <v>0.38827433628318586</v>
      </c>
      <c r="E16" s="63" t="s">
        <v>79</v>
      </c>
      <c r="F16" s="60" t="s">
        <v>34</v>
      </c>
      <c r="G16" s="47">
        <v>30</v>
      </c>
      <c r="H16" s="133">
        <f>IF(B$17=0,0,G16/B$17)</f>
        <v>2.3291925465838508E-2</v>
      </c>
      <c r="I16" s="94">
        <v>5</v>
      </c>
      <c r="K16" s="38">
        <v>14</v>
      </c>
      <c r="L16" s="99">
        <v>18.79999999999999</v>
      </c>
      <c r="N16" s="115" t="s">
        <v>129</v>
      </c>
      <c r="O16" s="125">
        <f>IF(P16=0,0,Q16/P16)</f>
        <v>22.726229508196738</v>
      </c>
      <c r="P16" s="119">
        <v>122</v>
      </c>
      <c r="Q16" s="107">
        <v>2772.6000000000022</v>
      </c>
    </row>
    <row r="17" spans="1:17" x14ac:dyDescent="0.4">
      <c r="A17" s="54" t="s">
        <v>10</v>
      </c>
      <c r="B17" s="46">
        <f>B19+B18</f>
        <v>1288</v>
      </c>
      <c r="C17" s="37">
        <f>IF(B$3=0,0,B17/B$3)</f>
        <v>0.30002329373398556</v>
      </c>
      <c r="E17" s="63" t="s">
        <v>92</v>
      </c>
      <c r="F17" s="60" t="s">
        <v>47</v>
      </c>
      <c r="G17" s="47">
        <v>22</v>
      </c>
      <c r="H17" s="133">
        <f>IF(B$17=0,0,G17/B$17)</f>
        <v>1.7080745341614908E-2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565</v>
      </c>
      <c r="C18" s="39">
        <f>IF(B$17=0,0,B18/B$17)</f>
        <v>0.43866459627329191</v>
      </c>
      <c r="E18" s="63" t="s">
        <v>80</v>
      </c>
      <c r="F18" s="60" t="s">
        <v>35</v>
      </c>
      <c r="G18" s="47">
        <v>21</v>
      </c>
      <c r="H18" s="133">
        <f>IF(B$17=0,0,G18/B$17)</f>
        <v>1.6304347826086956E-2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10.496249999999998</v>
      </c>
      <c r="P18" s="119">
        <v>80</v>
      </c>
      <c r="Q18" s="107">
        <v>839.69999999999982</v>
      </c>
    </row>
    <row r="19" spans="1:17" x14ac:dyDescent="0.4">
      <c r="A19" s="55" t="s">
        <v>11</v>
      </c>
      <c r="B19" s="47">
        <v>723</v>
      </c>
      <c r="C19" s="39">
        <f>IF(B$17=0,0,B19/B$17)</f>
        <v>0.56133540372670809</v>
      </c>
      <c r="E19" s="63" t="s">
        <v>180</v>
      </c>
      <c r="F19" s="60" t="s">
        <v>183</v>
      </c>
      <c r="G19" s="47">
        <v>18</v>
      </c>
      <c r="H19" s="133">
        <f>IF(B$17=0,0,G19/B$17)</f>
        <v>1.3975155279503106E-2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715</v>
      </c>
      <c r="C20" s="39">
        <f>IF(B$3=0,0,B20/B$3)</f>
        <v>0.16655019799673887</v>
      </c>
      <c r="E20" s="63" t="s">
        <v>76</v>
      </c>
      <c r="F20" s="60" t="s">
        <v>31</v>
      </c>
      <c r="G20" s="47">
        <v>9</v>
      </c>
      <c r="H20" s="133">
        <f>IF(B$17=0,0,G20/B$17)</f>
        <v>6.987577639751553E-3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3.2750000000000012</v>
      </c>
      <c r="P20" s="119">
        <v>228</v>
      </c>
      <c r="Q20" s="107">
        <v>746.70000000000027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6.2111801242236021E-3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-1.5444444444444463</v>
      </c>
      <c r="P21" s="119">
        <v>108</v>
      </c>
      <c r="Q21" s="107">
        <v>-166.80000000000021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75</v>
      </c>
      <c r="F22" s="60" t="s">
        <v>30</v>
      </c>
      <c r="G22" s="47">
        <v>5</v>
      </c>
      <c r="H22" s="133">
        <f>IF(B$17=0,0,G22/B$17)</f>
        <v>3.8819875776397515E-3</v>
      </c>
      <c r="I22" s="94">
        <v>4</v>
      </c>
      <c r="K22" s="38">
        <v>20</v>
      </c>
      <c r="L22" s="99">
        <v>0.79999999999999716</v>
      </c>
      <c r="N22" s="115" t="s">
        <v>177</v>
      </c>
      <c r="O22" s="125">
        <f>IF(P22=0,0,Q22/P22)</f>
        <v>-1.8121621621621644</v>
      </c>
      <c r="P22" s="119">
        <v>74</v>
      </c>
      <c r="Q22" s="107">
        <v>-134.10000000000016</v>
      </c>
    </row>
    <row r="23" spans="1:17" x14ac:dyDescent="0.4">
      <c r="A23" s="55" t="s">
        <v>5</v>
      </c>
      <c r="B23" s="51">
        <f>IF(B$17=0,0,C23/B$17)</f>
        <v>8596.2732919254649</v>
      </c>
      <c r="C23" s="41">
        <v>11072000</v>
      </c>
      <c r="E23" s="63" t="s">
        <v>93</v>
      </c>
      <c r="F23" s="60" t="s">
        <v>48</v>
      </c>
      <c r="G23" s="47">
        <v>5</v>
      </c>
      <c r="H23" s="133">
        <f>IF(B$17=0,0,G23/B$17)</f>
        <v>3.8819875776397515E-3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-2.3086956521739106</v>
      </c>
      <c r="P23" s="119">
        <v>138</v>
      </c>
      <c r="Q23" s="107">
        <v>-318.59999999999968</v>
      </c>
    </row>
    <row r="24" spans="1:17" x14ac:dyDescent="0.4">
      <c r="A24" s="57" t="s">
        <v>14</v>
      </c>
      <c r="B24" s="52">
        <f>IF(B$20=0,0,C24/B$20)</f>
        <v>-8222.2377622377626</v>
      </c>
      <c r="C24" s="45">
        <v>-5878900</v>
      </c>
      <c r="E24" s="63" t="s">
        <v>94</v>
      </c>
      <c r="F24" s="60" t="s">
        <v>49</v>
      </c>
      <c r="G24" s="47">
        <v>5</v>
      </c>
      <c r="H24" s="133">
        <f>IF(B$17=0,0,G24/B$17)</f>
        <v>3.8819875776397515E-3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-17.77763157894735</v>
      </c>
      <c r="P24" s="119">
        <v>228</v>
      </c>
      <c r="Q24" s="107">
        <v>-4053.2999999999961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3.105590062111801E-3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2.329192546583851E-3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3.028185418122525E-3</v>
      </c>
      <c r="E27" s="63" t="s">
        <v>85</v>
      </c>
      <c r="F27" s="60" t="s">
        <v>40</v>
      </c>
      <c r="G27" s="47">
        <v>3</v>
      </c>
      <c r="H27" s="133">
        <f>IF(B$17=0,0,G27/B$17)</f>
        <v>2.329192546583851E-3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2.329192546583851E-3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1.5527950310559005E-3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96</v>
      </c>
      <c r="F30" s="60" t="s">
        <v>51</v>
      </c>
      <c r="G30" s="47">
        <v>2</v>
      </c>
      <c r="H30" s="133">
        <f>IF(B$17=0,0,G30/B$17)</f>
        <v>1.5527950310559005E-3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77</v>
      </c>
      <c r="F31" s="60" t="s">
        <v>32</v>
      </c>
      <c r="G31" s="47">
        <v>1</v>
      </c>
      <c r="H31" s="133">
        <f>IF(B$17=0,0,G31/B$17)</f>
        <v>7.7639751552795026E-4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7.7639751552795026E-4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7.7639751552795026E-4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-63.399999999999991</v>
      </c>
    </row>
    <row r="505" spans="11:12" x14ac:dyDescent="0.4">
      <c r="K505" s="38">
        <v>503</v>
      </c>
      <c r="L505" s="99">
        <v>-65.199999999999989</v>
      </c>
    </row>
    <row r="506" spans="11:12" x14ac:dyDescent="0.4">
      <c r="K506" s="38">
        <v>504</v>
      </c>
      <c r="L506" s="99">
        <v>1.4210854715202004E-14</v>
      </c>
    </row>
    <row r="508" spans="11:12" x14ac:dyDescent="0.4">
      <c r="K508" s="38">
        <v>506</v>
      </c>
      <c r="L508" s="99">
        <v>-20.299999999999986</v>
      </c>
    </row>
    <row r="509" spans="11:12" x14ac:dyDescent="0.4">
      <c r="K509" s="38">
        <v>507</v>
      </c>
      <c r="L509" s="99">
        <v>-66.399999999999991</v>
      </c>
    </row>
    <row r="510" spans="11:12" x14ac:dyDescent="0.4">
      <c r="K510" s="38">
        <v>508</v>
      </c>
      <c r="L510" s="99">
        <v>1.4210854715202004E-14</v>
      </c>
    </row>
    <row r="511" spans="11:12" x14ac:dyDescent="0.4">
      <c r="K511" s="38">
        <v>509</v>
      </c>
      <c r="L511" s="99">
        <v>4.300000000000014</v>
      </c>
    </row>
    <row r="512" spans="11:12" x14ac:dyDescent="0.4">
      <c r="K512" s="38">
        <v>510</v>
      </c>
      <c r="L512" s="99">
        <v>41.100000000000009</v>
      </c>
    </row>
    <row r="513" spans="11:12" x14ac:dyDescent="0.4">
      <c r="K513" s="38">
        <v>511</v>
      </c>
      <c r="L513" s="99">
        <v>7.1054273576010019E-15</v>
      </c>
    </row>
    <row r="514" spans="11:12" x14ac:dyDescent="0.4">
      <c r="K514" s="38">
        <v>512</v>
      </c>
      <c r="L514" s="99">
        <v>74.800000000000011</v>
      </c>
    </row>
    <row r="515" spans="11:12" x14ac:dyDescent="0.4">
      <c r="K515" s="38">
        <v>513</v>
      </c>
      <c r="L515" s="99">
        <v>56.000000000000014</v>
      </c>
    </row>
    <row r="516" spans="11:12" x14ac:dyDescent="0.4">
      <c r="K516" s="38">
        <v>514</v>
      </c>
      <c r="L516" s="99">
        <v>1.4210854715202004E-14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4D86-BF82-4C24-A5DA-C833577461A5}">
  <sheetPr codeName="Sheet7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65</v>
      </c>
      <c r="F2" s="59" t="s">
        <v>21</v>
      </c>
      <c r="G2" s="46">
        <v>162</v>
      </c>
      <c r="H2" s="132">
        <f>IF(B$17=0,0,G2/B$17)</f>
        <v>0.50310559006211175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1921.9298245614036</v>
      </c>
      <c r="P2" s="118">
        <v>114</v>
      </c>
      <c r="Q2" s="102">
        <v>219100</v>
      </c>
    </row>
    <row r="3" spans="1:17" x14ac:dyDescent="0.4">
      <c r="A3" s="55" t="s">
        <v>8</v>
      </c>
      <c r="B3" s="148">
        <v>921</v>
      </c>
      <c r="C3" s="149"/>
      <c r="E3" s="63" t="s">
        <v>66</v>
      </c>
      <c r="F3" s="60" t="s">
        <v>22</v>
      </c>
      <c r="G3" s="47">
        <v>49</v>
      </c>
      <c r="H3" s="133">
        <f>IF(B$17=0,0,G3/B$17)</f>
        <v>0.15217391304347827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1445.0450450450451</v>
      </c>
      <c r="P3" s="119">
        <v>111</v>
      </c>
      <c r="Q3" s="103">
        <v>160400</v>
      </c>
    </row>
    <row r="4" spans="1:17" x14ac:dyDescent="0.4">
      <c r="A4" s="55" t="s">
        <v>6</v>
      </c>
      <c r="B4" s="150">
        <v>1351.1000000000008</v>
      </c>
      <c r="C4" s="151"/>
      <c r="E4" s="63" t="s">
        <v>67</v>
      </c>
      <c r="F4" s="60" t="s">
        <v>23</v>
      </c>
      <c r="G4" s="47">
        <v>235</v>
      </c>
      <c r="H4" s="133">
        <f>IF(B$17=0,0,G4/B$17)</f>
        <v>0.72981366459627328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1577.3584905660377</v>
      </c>
      <c r="P4" s="119">
        <v>106</v>
      </c>
      <c r="Q4" s="103">
        <v>167200</v>
      </c>
    </row>
    <row r="5" spans="1:17" x14ac:dyDescent="0.4">
      <c r="A5" s="55" t="s">
        <v>7</v>
      </c>
      <c r="B5" s="152">
        <f>IF(B$2=0,0,B$4/B$2)</f>
        <v>11.85175438596492</v>
      </c>
      <c r="C5" s="153"/>
      <c r="E5" s="63" t="s">
        <v>68</v>
      </c>
      <c r="F5" s="60" t="s">
        <v>24</v>
      </c>
      <c r="G5" s="47">
        <v>97</v>
      </c>
      <c r="H5" s="133">
        <f>IF(B$17=0,0,G5/B$17)</f>
        <v>0.30124223602484473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2056.25</v>
      </c>
      <c r="P5" s="119">
        <v>96</v>
      </c>
      <c r="Q5" s="103">
        <v>197400</v>
      </c>
    </row>
    <row r="6" spans="1:17" x14ac:dyDescent="0.4">
      <c r="A6" s="55" t="s">
        <v>1</v>
      </c>
      <c r="B6" s="142">
        <f>IF(B$2=0,0,(B$7*1+B$8*2+B$9*3)/B$2)</f>
        <v>1.7456140350877194</v>
      </c>
      <c r="C6" s="143"/>
      <c r="E6" s="63" t="s">
        <v>69</v>
      </c>
      <c r="F6" s="60" t="s">
        <v>12</v>
      </c>
      <c r="G6" s="47">
        <v>84</v>
      </c>
      <c r="H6" s="133">
        <f>IF(B$17=0,0,G6/B$17)</f>
        <v>0.2608695652173913</v>
      </c>
      <c r="I6" s="94">
        <v>12</v>
      </c>
      <c r="K6" s="38">
        <v>4</v>
      </c>
      <c r="L6" s="99">
        <v>110.5</v>
      </c>
      <c r="N6" s="115" t="s">
        <v>136</v>
      </c>
      <c r="O6" s="122">
        <f t="shared" si="0"/>
        <v>-21.428571428571427</v>
      </c>
      <c r="P6" s="119">
        <v>84</v>
      </c>
      <c r="Q6" s="103">
        <v>-1800</v>
      </c>
    </row>
    <row r="7" spans="1:17" x14ac:dyDescent="0.4">
      <c r="A7" s="55" t="s">
        <v>2</v>
      </c>
      <c r="B7" s="47">
        <v>56</v>
      </c>
      <c r="C7" s="39">
        <f>IF(B$2=0,0,B7/B$2)</f>
        <v>0.49122807017543857</v>
      </c>
      <c r="E7" s="63" t="s">
        <v>70</v>
      </c>
      <c r="F7" s="60" t="s">
        <v>25</v>
      </c>
      <c r="G7" s="47">
        <v>59</v>
      </c>
      <c r="H7" s="133">
        <f>IF(B$17=0,0,G7/B$17)</f>
        <v>0.18322981366459629</v>
      </c>
      <c r="I7" s="94">
        <v>6</v>
      </c>
      <c r="K7" s="38">
        <v>5</v>
      </c>
      <c r="L7" s="99">
        <v>201.4</v>
      </c>
      <c r="N7" s="116" t="s">
        <v>137</v>
      </c>
      <c r="O7" s="123">
        <f t="shared" si="0"/>
        <v>317.33333333333331</v>
      </c>
      <c r="P7" s="120">
        <v>75</v>
      </c>
      <c r="Q7" s="104">
        <v>23800</v>
      </c>
    </row>
    <row r="8" spans="1:17" x14ac:dyDescent="0.4">
      <c r="A8" s="55" t="s">
        <v>3</v>
      </c>
      <c r="B8" s="47">
        <v>31</v>
      </c>
      <c r="C8" s="39">
        <f>IF(B$2=0,0,B8/B$2)</f>
        <v>0.27192982456140352</v>
      </c>
      <c r="E8" s="63" t="s">
        <v>71</v>
      </c>
      <c r="F8" s="60" t="s">
        <v>26</v>
      </c>
      <c r="G8" s="47">
        <v>33</v>
      </c>
      <c r="H8" s="133">
        <f>IF(B$17=0,0,G8/B$17)</f>
        <v>0.10248447204968944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0.23684210526315788</v>
      </c>
      <c r="E9" s="63" t="s">
        <v>72</v>
      </c>
      <c r="F9" s="60" t="s">
        <v>27</v>
      </c>
      <c r="G9" s="47">
        <v>23</v>
      </c>
      <c r="H9" s="133">
        <f>IF(B$17=0,0,G9/B$17)</f>
        <v>7.1428571428571425E-2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0.11403508771929824</v>
      </c>
      <c r="E10" s="63" t="s">
        <v>73</v>
      </c>
      <c r="F10" s="60" t="s">
        <v>28</v>
      </c>
      <c r="G10" s="47">
        <v>179</v>
      </c>
      <c r="H10" s="133">
        <f>IF(B$17=0,0,G10/B$17)</f>
        <v>0.55590062111801242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0.17543859649122806</v>
      </c>
      <c r="E11" s="63" t="s">
        <v>74</v>
      </c>
      <c r="F11" s="60" t="s">
        <v>29</v>
      </c>
      <c r="G11" s="47">
        <v>2</v>
      </c>
      <c r="H11" s="133">
        <f>IF(B$17=0,0,G11/B$17)</f>
        <v>6.2111801242236021E-3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5.6472222222222221</v>
      </c>
      <c r="P11" s="119">
        <v>36</v>
      </c>
      <c r="Q11" s="107">
        <v>203.3</v>
      </c>
    </row>
    <row r="12" spans="1:17" x14ac:dyDescent="0.4">
      <c r="A12" s="57" t="s">
        <v>160</v>
      </c>
      <c r="B12" s="49">
        <v>17</v>
      </c>
      <c r="C12" s="42">
        <f>IF(B$2=0,0,B12/B$2)</f>
        <v>0.14912280701754385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13.197727272727276</v>
      </c>
      <c r="P12" s="120">
        <v>44</v>
      </c>
      <c r="Q12" s="108">
        <v>580.70000000000016</v>
      </c>
    </row>
    <row r="13" spans="1:17" x14ac:dyDescent="0.4">
      <c r="A13" s="58" t="s">
        <v>122</v>
      </c>
      <c r="B13" s="50">
        <v>300</v>
      </c>
      <c r="C13" s="44">
        <f>IF(B$3=0,0,B13/B$3)</f>
        <v>0.32573289902280128</v>
      </c>
      <c r="E13" s="63" t="s">
        <v>76</v>
      </c>
      <c r="F13" s="60" t="s">
        <v>31</v>
      </c>
      <c r="G13" s="47">
        <v>1</v>
      </c>
      <c r="H13" s="133">
        <f>IF(B$17=0,0,G13/B$17)</f>
        <v>3.105590062111801E-3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202</v>
      </c>
      <c r="C14" s="39">
        <f>IF(B$3=0,0,B14/B$3)</f>
        <v>0.21932681867535286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174</v>
      </c>
      <c r="C15" s="37">
        <f>IF(B$13=0,0,B15/B$13)</f>
        <v>0.57999999999999996</v>
      </c>
      <c r="E15" s="63" t="s">
        <v>78</v>
      </c>
      <c r="F15" s="60" t="s">
        <v>33</v>
      </c>
      <c r="G15" s="47">
        <v>1</v>
      </c>
      <c r="H15" s="133">
        <f>IF(B$17=0,0,G15/B$17)</f>
        <v>3.105590062111801E-3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 t="shared" ref="O15:O24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103</v>
      </c>
      <c r="C16" s="37">
        <f>IF(B$14=0,0,B16/B$14)</f>
        <v>0.50990099009900991</v>
      </c>
      <c r="E16" s="63" t="s">
        <v>79</v>
      </c>
      <c r="F16" s="60" t="s">
        <v>34</v>
      </c>
      <c r="G16" s="47">
        <v>6</v>
      </c>
      <c r="H16" s="133">
        <f>IF(B$17=0,0,G16/B$17)</f>
        <v>1.8633540372670808E-2</v>
      </c>
      <c r="I16" s="94">
        <v>8</v>
      </c>
      <c r="K16" s="38">
        <v>14</v>
      </c>
      <c r="L16" s="99">
        <v>473.50000000000006</v>
      </c>
      <c r="N16" s="115" t="s">
        <v>129</v>
      </c>
      <c r="O16" s="125">
        <f t="shared" si="2"/>
        <v>33.517142857142858</v>
      </c>
      <c r="P16" s="119">
        <v>35</v>
      </c>
      <c r="Q16" s="107">
        <v>1173.1000000000001</v>
      </c>
    </row>
    <row r="17" spans="1:17" x14ac:dyDescent="0.4">
      <c r="A17" s="54" t="s">
        <v>10</v>
      </c>
      <c r="B17" s="46">
        <f>B19+B18</f>
        <v>322</v>
      </c>
      <c r="C17" s="37">
        <f>IF(B$3=0,0,B17/B$3)</f>
        <v>0.34961997828447339</v>
      </c>
      <c r="E17" s="63" t="s">
        <v>80</v>
      </c>
      <c r="F17" s="60" t="s">
        <v>35</v>
      </c>
      <c r="G17" s="47">
        <v>4</v>
      </c>
      <c r="H17" s="133">
        <f>IF(B$17=0,0,G17/B$17)</f>
        <v>1.2422360248447204E-2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 t="shared" si="2"/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133</v>
      </c>
      <c r="C18" s="39">
        <f>IF(B$17=0,0,B18/B$17)</f>
        <v>0.41304347826086957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177</v>
      </c>
      <c r="O18" s="125">
        <f t="shared" si="2"/>
        <v>24.585714285714289</v>
      </c>
      <c r="P18" s="119">
        <v>14</v>
      </c>
      <c r="Q18" s="107">
        <v>344.20000000000005</v>
      </c>
    </row>
    <row r="19" spans="1:17" x14ac:dyDescent="0.4">
      <c r="A19" s="55" t="s">
        <v>11</v>
      </c>
      <c r="B19" s="47">
        <v>189</v>
      </c>
      <c r="C19" s="39">
        <f>IF(B$17=0,0,B19/B$17)</f>
        <v>0.58695652173913049</v>
      </c>
      <c r="E19" s="63" t="s">
        <v>82</v>
      </c>
      <c r="F19" s="60" t="s">
        <v>37</v>
      </c>
      <c r="G19" s="47">
        <v>11</v>
      </c>
      <c r="H19" s="133">
        <f>IF(B$17=0,0,G19/B$17)</f>
        <v>3.4161490683229816E-2</v>
      </c>
      <c r="I19" s="94">
        <v>4</v>
      </c>
      <c r="K19" s="38">
        <v>17</v>
      </c>
      <c r="L19" s="99">
        <v>427.40000000000003</v>
      </c>
      <c r="N19" s="115" t="s">
        <v>173</v>
      </c>
      <c r="O19" s="125">
        <f t="shared" si="2"/>
        <v>22.754999999999999</v>
      </c>
      <c r="P19" s="119">
        <v>20</v>
      </c>
      <c r="Q19" s="107">
        <v>455.09999999999997</v>
      </c>
    </row>
    <row r="20" spans="1:17" x14ac:dyDescent="0.4">
      <c r="A20" s="55" t="s">
        <v>13</v>
      </c>
      <c r="B20" s="47">
        <v>140</v>
      </c>
      <c r="C20" s="39">
        <f>IF(B$3=0,0,B20/B$3)</f>
        <v>0.15200868621064062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172</v>
      </c>
      <c r="O20" s="125">
        <f t="shared" si="2"/>
        <v>21.879310344827591</v>
      </c>
      <c r="P20" s="119">
        <v>29</v>
      </c>
      <c r="Q20" s="107">
        <v>634.50000000000011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84</v>
      </c>
      <c r="F21" s="60" t="s">
        <v>39</v>
      </c>
      <c r="G21" s="47">
        <v>17</v>
      </c>
      <c r="H21" s="133">
        <f>IF(B$17=0,0,G21/B$17)</f>
        <v>5.2795031055900624E-2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 t="shared" si="2"/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469.6</v>
      </c>
      <c r="N22" s="115" t="s">
        <v>186</v>
      </c>
      <c r="O22" s="125">
        <f t="shared" si="2"/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9056.8322981366455</v>
      </c>
      <c r="C23" s="41">
        <v>2916300</v>
      </c>
      <c r="E23" s="63" t="s">
        <v>86</v>
      </c>
      <c r="F23" s="60" t="s">
        <v>41</v>
      </c>
      <c r="G23" s="47">
        <v>1</v>
      </c>
      <c r="H23" s="133">
        <f>IF(B$17=0,0,G23/B$17)</f>
        <v>3.105590062111801E-3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-1.1200000000000032</v>
      </c>
      <c r="P23" s="119">
        <v>40</v>
      </c>
      <c r="Q23" s="107">
        <v>-44.800000000000125</v>
      </c>
    </row>
    <row r="24" spans="1:17" x14ac:dyDescent="0.4">
      <c r="A24" s="57" t="s">
        <v>14</v>
      </c>
      <c r="B24" s="52">
        <f>IF(B$20=0,0,C24/B$20)</f>
        <v>-8390</v>
      </c>
      <c r="C24" s="45">
        <v>-1174600</v>
      </c>
      <c r="E24" s="63" t="s">
        <v>87</v>
      </c>
      <c r="F24" s="60" t="s">
        <v>42</v>
      </c>
      <c r="G24" s="47">
        <v>23</v>
      </c>
      <c r="H24" s="133">
        <f>IF(B$17=0,0,G24/B$17)</f>
        <v>7.1428571428571425E-2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3.105590062111801E-3</v>
      </c>
      <c r="I25" s="94">
        <v>5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1.0857763300760044E-3</v>
      </c>
      <c r="E27" s="63" t="s">
        <v>90</v>
      </c>
      <c r="F27" s="60" t="s">
        <v>45</v>
      </c>
      <c r="G27" s="47">
        <v>50</v>
      </c>
      <c r="H27" s="133">
        <f>IF(B$17=0,0,G27/B$17)</f>
        <v>0.15527950310559005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3.105590062111801E-3</v>
      </c>
      <c r="I28" s="94">
        <v>1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1.2422360248447204E-2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3.105590062111801E-3</v>
      </c>
      <c r="I30" s="94">
        <v>5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3.105590062111801E-3</v>
      </c>
      <c r="I31" s="94">
        <v>5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3.105590062111801E-3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183</v>
      </c>
      <c r="G50" s="47">
        <v>10</v>
      </c>
      <c r="H50" s="133">
        <f>IF(B$17=0,0,G50/B$17)</f>
        <v>3.1055900621118012E-2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181</v>
      </c>
      <c r="F51" s="61" t="s">
        <v>182</v>
      </c>
      <c r="G51" s="49">
        <v>135</v>
      </c>
      <c r="H51" s="134">
        <f>IF(B$17=0,0,G51/B$17)</f>
        <v>0.41925465838509318</v>
      </c>
      <c r="I51" s="95">
        <v>3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</sheetData>
  <sortState ref="E2:I11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5753F-6E01-489F-A137-F37CDB671430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67</v>
      </c>
      <c r="F2" s="59" t="s">
        <v>23</v>
      </c>
      <c r="G2" s="46">
        <v>197</v>
      </c>
      <c r="H2" s="132">
        <f>IF(B$17=0,0,G2/B$17)</f>
        <v>0.76356589147286824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518.42105263157896</v>
      </c>
      <c r="P2" s="118">
        <v>114</v>
      </c>
      <c r="Q2" s="102">
        <v>59100</v>
      </c>
    </row>
    <row r="3" spans="1:17" x14ac:dyDescent="0.4">
      <c r="A3" s="55" t="s">
        <v>8</v>
      </c>
      <c r="B3" s="148">
        <v>941</v>
      </c>
      <c r="C3" s="149"/>
      <c r="E3" s="63" t="s">
        <v>65</v>
      </c>
      <c r="F3" s="60" t="s">
        <v>21</v>
      </c>
      <c r="G3" s="47">
        <v>156</v>
      </c>
      <c r="H3" s="133">
        <f>IF(B$17=0,0,G3/B$17)</f>
        <v>0.60465116279069764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-2330</v>
      </c>
      <c r="P3" s="119">
        <v>110</v>
      </c>
      <c r="Q3" s="103">
        <v>-256300</v>
      </c>
    </row>
    <row r="4" spans="1:17" x14ac:dyDescent="0.4">
      <c r="A4" s="55" t="s">
        <v>6</v>
      </c>
      <c r="B4" s="150">
        <v>-248.90000000000009</v>
      </c>
      <c r="C4" s="151"/>
      <c r="E4" s="63" t="s">
        <v>73</v>
      </c>
      <c r="F4" s="60" t="s">
        <v>28</v>
      </c>
      <c r="G4" s="47">
        <v>120</v>
      </c>
      <c r="H4" s="133">
        <f>IF(B$17=0,0,G4/B$17)</f>
        <v>0.46511627906976744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118.69158878504673</v>
      </c>
      <c r="P4" s="119">
        <v>107</v>
      </c>
      <c r="Q4" s="103">
        <v>12700</v>
      </c>
    </row>
    <row r="5" spans="1:17" x14ac:dyDescent="0.4">
      <c r="A5" s="55" t="s">
        <v>7</v>
      </c>
      <c r="B5" s="152">
        <f>IF(B$2=0,0,B$4/B$2)</f>
        <v>-2.183333333333334</v>
      </c>
      <c r="C5" s="153"/>
      <c r="E5" s="63" t="s">
        <v>181</v>
      </c>
      <c r="F5" s="60" t="s">
        <v>182</v>
      </c>
      <c r="G5" s="47">
        <v>114</v>
      </c>
      <c r="H5" s="133">
        <f>IF(B$17=0,0,G5/B$17)</f>
        <v>0.44186046511627908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2.0701754385964914</v>
      </c>
      <c r="C6" s="143"/>
      <c r="E6" s="63" t="s">
        <v>68</v>
      </c>
      <c r="F6" s="60" t="s">
        <v>24</v>
      </c>
      <c r="G6" s="47">
        <v>94</v>
      </c>
      <c r="H6" s="133">
        <f>IF(B$17=0,0,G6/B$17)</f>
        <v>0.36434108527131781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0.27192982456140352</v>
      </c>
      <c r="E7" s="63" t="s">
        <v>69</v>
      </c>
      <c r="F7" s="60" t="s">
        <v>12</v>
      </c>
      <c r="G7" s="47">
        <v>88</v>
      </c>
      <c r="H7" s="133">
        <f>IF(B$17=0,0,G7/B$17)</f>
        <v>0.34108527131782945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0.38596491228070173</v>
      </c>
      <c r="E8" s="63" t="s">
        <v>70</v>
      </c>
      <c r="F8" s="60" t="s">
        <v>25</v>
      </c>
      <c r="G8" s="47">
        <v>58</v>
      </c>
      <c r="H8" s="133">
        <f>IF(B$17=0,0,G8/B$17)</f>
        <v>0.22480620155038761</v>
      </c>
      <c r="I8" s="94">
        <v>2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0.34210526315789475</v>
      </c>
      <c r="E9" s="63" t="s">
        <v>66</v>
      </c>
      <c r="F9" s="60" t="s">
        <v>22</v>
      </c>
      <c r="G9" s="47">
        <v>41</v>
      </c>
      <c r="H9" s="133">
        <f>IF(B$17=0,0,G9/B$17)</f>
        <v>0.15891472868217055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0.12280701754385964</v>
      </c>
      <c r="E10" s="63" t="s">
        <v>71</v>
      </c>
      <c r="F10" s="60" t="s">
        <v>26</v>
      </c>
      <c r="G10" s="47">
        <v>31</v>
      </c>
      <c r="H10" s="133">
        <f>IF(B$17=0,0,G10/B$17)</f>
        <v>0.12015503875968993</v>
      </c>
      <c r="I10" s="94">
        <v>5</v>
      </c>
      <c r="K10" s="38">
        <v>8</v>
      </c>
      <c r="L10" s="99">
        <v>-49.6</v>
      </c>
      <c r="N10" s="114" t="s">
        <v>164</v>
      </c>
      <c r="O10" s="124">
        <f>IF(P10=0,0,Q10/P10)</f>
        <v>-5.6850000000000014</v>
      </c>
      <c r="P10" s="118">
        <v>60</v>
      </c>
      <c r="Q10" s="106">
        <v>-341.10000000000008</v>
      </c>
    </row>
    <row r="11" spans="1:17" x14ac:dyDescent="0.4">
      <c r="A11" s="56" t="s">
        <v>140</v>
      </c>
      <c r="B11" s="48">
        <v>11</v>
      </c>
      <c r="C11" s="40">
        <f>IF(B$2=0,0,B11/B$2)</f>
        <v>9.6491228070175433E-2</v>
      </c>
      <c r="E11" s="63" t="s">
        <v>90</v>
      </c>
      <c r="F11" s="60" t="s">
        <v>45</v>
      </c>
      <c r="G11" s="47">
        <v>25</v>
      </c>
      <c r="H11" s="133">
        <f>IF(B$17=0,0,G11/B$17)</f>
        <v>9.6899224806201556E-2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7.0175438596491224E-2</v>
      </c>
      <c r="E12" s="63" t="s">
        <v>72</v>
      </c>
      <c r="F12" s="60" t="s">
        <v>27</v>
      </c>
      <c r="G12" s="47">
        <v>14</v>
      </c>
      <c r="H12" s="133">
        <f>IF(B$17=0,0,G12/B$17)</f>
        <v>5.4263565891472867E-2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280</v>
      </c>
      <c r="C13" s="44">
        <f>IF(B$3=0,0,B13/B$3)</f>
        <v>0.29755579171094582</v>
      </c>
      <c r="E13" s="63" t="s">
        <v>87</v>
      </c>
      <c r="F13" s="60" t="s">
        <v>42</v>
      </c>
      <c r="G13" s="47">
        <v>14</v>
      </c>
      <c r="H13" s="133">
        <f>IF(B$17=0,0,G13/B$17)</f>
        <v>5.4263565891472867E-2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0.18172157279489903</v>
      </c>
      <c r="E14" s="63" t="s">
        <v>84</v>
      </c>
      <c r="F14" s="60" t="s">
        <v>39</v>
      </c>
      <c r="G14" s="47">
        <v>10</v>
      </c>
      <c r="H14" s="133">
        <f>IF(B$17=0,0,G14/B$17)</f>
        <v>3.875968992248062E-2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0.5892857142857143</v>
      </c>
      <c r="E15" s="63" t="s">
        <v>82</v>
      </c>
      <c r="F15" s="60" t="s">
        <v>37</v>
      </c>
      <c r="G15" s="47">
        <v>8</v>
      </c>
      <c r="H15" s="133">
        <f>IF(B$17=0,0,G15/B$17)</f>
        <v>3.1007751937984496E-2</v>
      </c>
      <c r="I15" s="94">
        <v>6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92</v>
      </c>
      <c r="F16" s="60" t="s">
        <v>47</v>
      </c>
      <c r="G16" s="47">
        <v>6</v>
      </c>
      <c r="H16" s="133">
        <f>IF(B$17=0,0,G16/B$17)</f>
        <v>2.3255813953488372E-2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0.27417640807651433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180</v>
      </c>
      <c r="F18" s="60" t="s">
        <v>183</v>
      </c>
      <c r="G18" s="47">
        <v>5</v>
      </c>
      <c r="H18" s="133">
        <f>IF(B$17=0,0,G18/B$17)</f>
        <v>1.937984496124031E-2</v>
      </c>
      <c r="I18" s="94">
        <v>2</v>
      </c>
      <c r="K18" s="38">
        <v>16</v>
      </c>
      <c r="L18" s="99">
        <v>41.699999999999989</v>
      </c>
      <c r="N18" s="115" t="s">
        <v>171</v>
      </c>
      <c r="O18" s="125">
        <f>IF(P18=0,0,Q18/P18)</f>
        <v>1.6352941176470646</v>
      </c>
      <c r="P18" s="119">
        <v>34</v>
      </c>
      <c r="Q18" s="107">
        <v>55.600000000000193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79</v>
      </c>
      <c r="F19" s="60" t="s">
        <v>34</v>
      </c>
      <c r="G19" s="47">
        <v>4</v>
      </c>
      <c r="H19" s="133">
        <f>IF(B$17=0,0,G19/B$17)</f>
        <v>1.5503875968992248E-2</v>
      </c>
      <c r="I19" s="94">
        <v>9</v>
      </c>
      <c r="K19" s="38">
        <v>17</v>
      </c>
      <c r="L19" s="99">
        <v>94.6</v>
      </c>
      <c r="N19" s="115" t="s">
        <v>172</v>
      </c>
      <c r="O19" s="125">
        <f>IF(P19=0,0,Q19/P19)</f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160</v>
      </c>
      <c r="C20" s="39">
        <f>IF(B$3=0,0,B20/B$3)</f>
        <v>0.17003188097768332</v>
      </c>
      <c r="E20" s="63" t="s">
        <v>74</v>
      </c>
      <c r="F20" s="60" t="s">
        <v>29</v>
      </c>
      <c r="G20" s="47">
        <v>2</v>
      </c>
      <c r="H20" s="133">
        <f>IF(B$17=0,0,G20/B$17)</f>
        <v>7.7519379844961239E-3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75</v>
      </c>
      <c r="F21" s="60" t="s">
        <v>30</v>
      </c>
      <c r="G21" s="47">
        <v>2</v>
      </c>
      <c r="H21" s="133">
        <f>IF(B$17=0,0,G21/B$17)</f>
        <v>7.7519379844961239E-3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11</v>
      </c>
      <c r="E22" s="63" t="s">
        <v>76</v>
      </c>
      <c r="F22" s="60" t="s">
        <v>31</v>
      </c>
      <c r="G22" s="47">
        <v>2</v>
      </c>
      <c r="H22" s="133">
        <f>IF(B$17=0,0,G22/B$17)</f>
        <v>7.7519379844961239E-3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78</v>
      </c>
      <c r="F23" s="60" t="s">
        <v>33</v>
      </c>
      <c r="G23" s="47">
        <v>1</v>
      </c>
      <c r="H23" s="133">
        <f>IF(B$17=0,0,G23/B$17)</f>
        <v>3.875968992248062E-3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85</v>
      </c>
      <c r="F24" s="60" t="s">
        <v>40</v>
      </c>
      <c r="G24" s="47">
        <v>1</v>
      </c>
      <c r="H24" s="133">
        <f>IF(B$17=0,0,G24/B$17)</f>
        <v>3.875968992248062E-3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3.875968992248062E-3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3.875968992248062E-3</v>
      </c>
      <c r="I26" s="94">
        <v>4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5.3134962805526037E-3</v>
      </c>
      <c r="E27" s="63" t="s">
        <v>94</v>
      </c>
      <c r="F27" s="60" t="s">
        <v>49</v>
      </c>
      <c r="G27" s="47">
        <v>1</v>
      </c>
      <c r="H27" s="133">
        <f>IF(B$17=0,0,G27/B$17)</f>
        <v>3.875968992248062E-3</v>
      </c>
      <c r="I27" s="94">
        <v>4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3.875968992248062E-3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3B1E-B814-44AA-982B-222275CA28E2}">
  <sheetPr codeName="Sheet11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61</v>
      </c>
      <c r="C2" s="147"/>
      <c r="E2" s="62" t="s">
        <v>67</v>
      </c>
      <c r="F2" s="59" t="s">
        <v>23</v>
      </c>
      <c r="G2" s="46">
        <v>103</v>
      </c>
      <c r="H2" s="132">
        <f>IF(B$17=0,0,G2/B$17)</f>
        <v>0.90350877192982459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-2593.4426229508199</v>
      </c>
      <c r="P2" s="118">
        <v>61</v>
      </c>
      <c r="Q2" s="102">
        <v>-158200</v>
      </c>
    </row>
    <row r="3" spans="1:17" x14ac:dyDescent="0.4">
      <c r="A3" s="55" t="s">
        <v>8</v>
      </c>
      <c r="B3" s="148">
        <v>498</v>
      </c>
      <c r="C3" s="149"/>
      <c r="E3" s="63" t="s">
        <v>65</v>
      </c>
      <c r="F3" s="60" t="s">
        <v>21</v>
      </c>
      <c r="G3" s="47">
        <v>65</v>
      </c>
      <c r="H3" s="133">
        <f>IF(B$17=0,0,G3/B$17)</f>
        <v>0.57017543859649122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-1111.8644067796611</v>
      </c>
      <c r="P3" s="119">
        <v>59</v>
      </c>
      <c r="Q3" s="103">
        <v>-65600</v>
      </c>
    </row>
    <row r="4" spans="1:17" x14ac:dyDescent="0.4">
      <c r="A4" s="55" t="s">
        <v>6</v>
      </c>
      <c r="B4" s="150">
        <v>-924.1999999999997</v>
      </c>
      <c r="C4" s="151"/>
      <c r="E4" s="63" t="s">
        <v>69</v>
      </c>
      <c r="F4" s="60" t="s">
        <v>12</v>
      </c>
      <c r="G4" s="47">
        <v>48</v>
      </c>
      <c r="H4" s="133">
        <f>IF(B$17=0,0,G4/B$17)</f>
        <v>0.42105263157894735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-1116.3636363636363</v>
      </c>
      <c r="P4" s="119">
        <v>55</v>
      </c>
      <c r="Q4" s="103">
        <v>-61400</v>
      </c>
    </row>
    <row r="5" spans="1:17" x14ac:dyDescent="0.4">
      <c r="A5" s="55" t="s">
        <v>7</v>
      </c>
      <c r="B5" s="152">
        <f>IF(B$2=0,0,B$4/B$2)</f>
        <v>-15.150819672131142</v>
      </c>
      <c r="C5" s="153"/>
      <c r="E5" s="63" t="s">
        <v>181</v>
      </c>
      <c r="F5" s="60" t="s">
        <v>182</v>
      </c>
      <c r="G5" s="47">
        <v>43</v>
      </c>
      <c r="H5" s="133">
        <f>IF(B$17=0,0,G5/B$17)</f>
        <v>0.37719298245614036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-5212.7659574468089</v>
      </c>
      <c r="P5" s="119">
        <v>47</v>
      </c>
      <c r="Q5" s="103">
        <v>-245000</v>
      </c>
    </row>
    <row r="6" spans="1:17" x14ac:dyDescent="0.4">
      <c r="A6" s="55" t="s">
        <v>1</v>
      </c>
      <c r="B6" s="142">
        <f>IF(B$2=0,0,(B$7*1+B$8*2+B$9*3)/B$2)</f>
        <v>2.2295081967213113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0.35964912280701755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-956.09756097560978</v>
      </c>
      <c r="P6" s="119">
        <v>41</v>
      </c>
      <c r="Q6" s="103">
        <v>-39200</v>
      </c>
    </row>
    <row r="7" spans="1:17" x14ac:dyDescent="0.4">
      <c r="A7" s="55" t="s">
        <v>2</v>
      </c>
      <c r="B7" s="47">
        <v>15</v>
      </c>
      <c r="C7" s="39">
        <f>IF(B$2=0,0,B7/B$2)</f>
        <v>0.24590163934426229</v>
      </c>
      <c r="E7" s="63" t="s">
        <v>73</v>
      </c>
      <c r="F7" s="60" t="s">
        <v>28</v>
      </c>
      <c r="G7" s="47">
        <v>40</v>
      </c>
      <c r="H7" s="133">
        <f>IF(B$17=0,0,G7/B$17)</f>
        <v>0.35087719298245612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-1786.8421052631579</v>
      </c>
      <c r="P7" s="120">
        <v>38</v>
      </c>
      <c r="Q7" s="104">
        <v>-67900</v>
      </c>
    </row>
    <row r="8" spans="1:17" x14ac:dyDescent="0.4">
      <c r="A8" s="55" t="s">
        <v>3</v>
      </c>
      <c r="B8" s="47">
        <v>17</v>
      </c>
      <c r="C8" s="39">
        <f>IF(B$2=0,0,B8/B$2)</f>
        <v>0.27868852459016391</v>
      </c>
      <c r="E8" s="63" t="s">
        <v>70</v>
      </c>
      <c r="F8" s="60" t="s">
        <v>25</v>
      </c>
      <c r="G8" s="47">
        <v>25</v>
      </c>
      <c r="H8" s="133">
        <f>IF(B$17=0,0,G8/B$17)</f>
        <v>0.21929824561403508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0.47540983606557374</v>
      </c>
      <c r="E9" s="63" t="s">
        <v>71</v>
      </c>
      <c r="F9" s="60" t="s">
        <v>26</v>
      </c>
      <c r="G9" s="47">
        <v>18</v>
      </c>
      <c r="H9" s="133">
        <f>IF(B$17=0,0,G9/B$17)</f>
        <v>0.15789473684210525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0.19672131147540983</v>
      </c>
      <c r="E10" s="63" t="s">
        <v>72</v>
      </c>
      <c r="F10" s="60" t="s">
        <v>27</v>
      </c>
      <c r="G10" s="47">
        <v>12</v>
      </c>
      <c r="H10" s="133">
        <f>IF(B$17=0,0,G10/B$17)</f>
        <v>0.10526315789473684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0.11475409836065574</v>
      </c>
      <c r="E11" s="63" t="s">
        <v>90</v>
      </c>
      <c r="F11" s="60" t="s">
        <v>45</v>
      </c>
      <c r="G11" s="47">
        <v>10</v>
      </c>
      <c r="H11" s="133">
        <f>IF(B$17=0,0,G11/B$17)</f>
        <v>8.771929824561403E-2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-12.088000000000005</v>
      </c>
      <c r="P11" s="119">
        <v>25</v>
      </c>
      <c r="Q11" s="107">
        <v>-302.2000000000001</v>
      </c>
    </row>
    <row r="12" spans="1:17" x14ac:dyDescent="0.4">
      <c r="A12" s="57" t="s">
        <v>160</v>
      </c>
      <c r="B12" s="49">
        <v>5</v>
      </c>
      <c r="C12" s="42">
        <f>IF(B$2=0,0,B12/B$2)</f>
        <v>8.1967213114754092E-2</v>
      </c>
      <c r="E12" s="63" t="s">
        <v>87</v>
      </c>
      <c r="F12" s="60" t="s">
        <v>42</v>
      </c>
      <c r="G12" s="47">
        <v>9</v>
      </c>
      <c r="H12" s="133">
        <f>IF(B$17=0,0,G12/B$17)</f>
        <v>7.8947368421052627E-2</v>
      </c>
      <c r="I12" s="94">
        <v>4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132</v>
      </c>
      <c r="C13" s="44">
        <f>IF(B$3=0,0,B13/B$3)</f>
        <v>0.26506024096385544</v>
      </c>
      <c r="E13" s="63" t="s">
        <v>66</v>
      </c>
      <c r="F13" s="60" t="s">
        <v>22</v>
      </c>
      <c r="G13" s="47">
        <v>8</v>
      </c>
      <c r="H13" s="133">
        <f>IF(B$17=0,0,G13/B$17)</f>
        <v>7.0175438596491224E-2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</v>
      </c>
      <c r="C14" s="39">
        <f>IF(B$3=0,0,B14/B$3)</f>
        <v>0.16265060240963855</v>
      </c>
      <c r="E14" s="63" t="s">
        <v>84</v>
      </c>
      <c r="F14" s="60" t="s">
        <v>39</v>
      </c>
      <c r="G14" s="47">
        <v>5</v>
      </c>
      <c r="H14" s="133">
        <f>IF(B$17=0,0,G14/B$17)</f>
        <v>4.3859649122807015E-2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0.51515151515151514</v>
      </c>
      <c r="E15" s="63" t="s">
        <v>79</v>
      </c>
      <c r="F15" s="60" t="s">
        <v>34</v>
      </c>
      <c r="G15" s="47">
        <v>4</v>
      </c>
      <c r="H15" s="133">
        <f>IF(B$17=0,0,G15/B$17)</f>
        <v>3.5087719298245612E-2</v>
      </c>
      <c r="I15" s="94">
        <v>4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19</v>
      </c>
      <c r="C16" s="37">
        <f>IF(B$14=0,0,B16/B$14)</f>
        <v>0.23456790123456789</v>
      </c>
      <c r="E16" s="63" t="s">
        <v>75</v>
      </c>
      <c r="F16" s="60" t="s">
        <v>30</v>
      </c>
      <c r="G16" s="47">
        <v>2</v>
      </c>
      <c r="H16" s="133">
        <f>IF(B$17=0,0,G16/B$17)</f>
        <v>1.7543859649122806E-2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0.2289156626506024</v>
      </c>
      <c r="E17" s="63" t="s">
        <v>82</v>
      </c>
      <c r="F17" s="60" t="s">
        <v>37</v>
      </c>
      <c r="G17" s="47">
        <v>2</v>
      </c>
      <c r="H17" s="133">
        <f>IF(B$17=0,0,G17/B$17)</f>
        <v>1.7543859649122806E-2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56</v>
      </c>
      <c r="C18" s="39">
        <f>IF(B$17=0,0,B18/B$17)</f>
        <v>0.49122807017543857</v>
      </c>
      <c r="E18" s="63" t="s">
        <v>94</v>
      </c>
      <c r="F18" s="60" t="s">
        <v>49</v>
      </c>
      <c r="G18" s="47">
        <v>2</v>
      </c>
      <c r="H18" s="133">
        <f>IF(B$17=0,0,G18/B$17)</f>
        <v>1.7543859649122806E-2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-21.305555555555557</v>
      </c>
      <c r="P18" s="119">
        <v>18</v>
      </c>
      <c r="Q18" s="107">
        <v>-383.5</v>
      </c>
    </row>
    <row r="19" spans="1:17" x14ac:dyDescent="0.4">
      <c r="A19" s="55" t="s">
        <v>11</v>
      </c>
      <c r="B19" s="47">
        <v>58</v>
      </c>
      <c r="C19" s="39">
        <f>IF(B$17=0,0,B19/B$17)</f>
        <v>0.50877192982456143</v>
      </c>
      <c r="E19" s="63" t="s">
        <v>78</v>
      </c>
      <c r="F19" s="60" t="s">
        <v>33</v>
      </c>
      <c r="G19" s="47">
        <v>1</v>
      </c>
      <c r="H19" s="133">
        <f>IF(B$17=0,0,G19/B$17)</f>
        <v>8.771929824561403E-3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96</v>
      </c>
      <c r="C20" s="39">
        <f>IF(B$3=0,0,B20/B$3)</f>
        <v>0.19277108433734941</v>
      </c>
      <c r="E20" s="63" t="s">
        <v>80</v>
      </c>
      <c r="F20" s="60" t="s">
        <v>35</v>
      </c>
      <c r="G20" s="47">
        <v>1</v>
      </c>
      <c r="H20" s="133">
        <f>IF(B$17=0,0,G20/B$17)</f>
        <v>8.771929824561403E-3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-33.517142857142865</v>
      </c>
      <c r="P20" s="119">
        <v>35</v>
      </c>
      <c r="Q20" s="107">
        <v>-1173.1000000000004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8.771929824561403E-3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-44.441666666666656</v>
      </c>
      <c r="P21" s="119">
        <v>12</v>
      </c>
      <c r="Q21" s="107">
        <v>-533.29999999999984</v>
      </c>
    </row>
    <row r="22" spans="1:17" x14ac:dyDescent="0.4">
      <c r="A22" s="55" t="s">
        <v>194</v>
      </c>
      <c r="B22" s="47">
        <v>31</v>
      </c>
      <c r="C22" s="135">
        <v>8</v>
      </c>
      <c r="E22" s="63" t="s">
        <v>89</v>
      </c>
      <c r="F22" s="60" t="s">
        <v>44</v>
      </c>
      <c r="G22" s="47">
        <v>1</v>
      </c>
      <c r="H22" s="133">
        <f>IF(B$17=0,0,G22/B$17)</f>
        <v>8.771929824561403E-3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9149.1228070175439</v>
      </c>
      <c r="C23" s="41">
        <v>1043000</v>
      </c>
      <c r="E23" s="63" t="s">
        <v>92</v>
      </c>
      <c r="F23" s="60" t="s">
        <v>47</v>
      </c>
      <c r="G23" s="47">
        <v>1</v>
      </c>
      <c r="H23" s="133">
        <f>IF(B$17=0,0,G23/B$17)</f>
        <v>8.771929824561403E-3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-9593.75</v>
      </c>
      <c r="C24" s="45">
        <v>-921000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2.008032128514056E-3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-921.89999999999975</v>
      </c>
    </row>
    <row r="61" spans="5:12" x14ac:dyDescent="0.4">
      <c r="K61" s="38">
        <v>59</v>
      </c>
      <c r="L61" s="99">
        <v>-942.1999999999997</v>
      </c>
    </row>
    <row r="62" spans="5:12" x14ac:dyDescent="0.4">
      <c r="K62" s="38">
        <v>60</v>
      </c>
      <c r="L62" s="99">
        <v>-905.39999999999975</v>
      </c>
    </row>
    <row r="63" spans="5:12" x14ac:dyDescent="0.4">
      <c r="K63" s="38">
        <v>61</v>
      </c>
      <c r="L63" s="99">
        <v>-924.1999999999997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2764-043C-4E2C-9841-DBE0F35F5621}">
  <sheetPr codeName="Sheet13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65</v>
      </c>
      <c r="F2" s="59" t="s">
        <v>21</v>
      </c>
      <c r="G2" s="46">
        <v>91</v>
      </c>
      <c r="H2" s="132">
        <f>IF(B$17=0,0,G2/B$17)</f>
        <v>0.55487804878048785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-795.6521739130435</v>
      </c>
      <c r="P2" s="118">
        <v>69</v>
      </c>
      <c r="Q2" s="102">
        <v>-54900</v>
      </c>
    </row>
    <row r="3" spans="1:17" x14ac:dyDescent="0.4">
      <c r="A3" s="55" t="s">
        <v>8</v>
      </c>
      <c r="B3" s="148">
        <v>590</v>
      </c>
      <c r="C3" s="149"/>
      <c r="E3" s="63" t="s">
        <v>66</v>
      </c>
      <c r="F3" s="60" t="s">
        <v>22</v>
      </c>
      <c r="G3" s="47">
        <v>22</v>
      </c>
      <c r="H3" s="133">
        <f>IF(B$17=0,0,G3/B$17)</f>
        <v>0.13414634146341464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854.41176470588232</v>
      </c>
      <c r="P3" s="119">
        <v>68</v>
      </c>
      <c r="Q3" s="103">
        <v>58100</v>
      </c>
    </row>
    <row r="4" spans="1:17" x14ac:dyDescent="0.4">
      <c r="A4" s="55" t="s">
        <v>6</v>
      </c>
      <c r="B4" s="150">
        <v>106.19999999999999</v>
      </c>
      <c r="C4" s="151"/>
      <c r="E4" s="63" t="s">
        <v>67</v>
      </c>
      <c r="F4" s="60" t="s">
        <v>23</v>
      </c>
      <c r="G4" s="47">
        <v>135</v>
      </c>
      <c r="H4" s="133">
        <f>IF(B$17=0,0,G4/B$17)</f>
        <v>0.82317073170731703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1390.7692307692307</v>
      </c>
      <c r="P4" s="119">
        <v>65</v>
      </c>
      <c r="Q4" s="103">
        <v>90400</v>
      </c>
    </row>
    <row r="5" spans="1:17" x14ac:dyDescent="0.4">
      <c r="A5" s="55" t="s">
        <v>7</v>
      </c>
      <c r="B5" s="152">
        <f>IF(B$2=0,0,B$4/B$2)</f>
        <v>1.5391304347826085</v>
      </c>
      <c r="C5" s="153"/>
      <c r="E5" s="63" t="s">
        <v>68</v>
      </c>
      <c r="F5" s="60" t="s">
        <v>24</v>
      </c>
      <c r="G5" s="47">
        <v>52</v>
      </c>
      <c r="H5" s="133">
        <f>IF(B$17=0,0,G5/B$17)</f>
        <v>0.31707317073170732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2243.6363636363635</v>
      </c>
      <c r="P5" s="119">
        <v>55</v>
      </c>
      <c r="Q5" s="103">
        <v>123400</v>
      </c>
    </row>
    <row r="6" spans="1:17" x14ac:dyDescent="0.4">
      <c r="A6" s="55" t="s">
        <v>1</v>
      </c>
      <c r="B6" s="142">
        <f>IF(B$2=0,0,(B$7*1+B$8*2+B$9*3)/B$2)</f>
        <v>2.0579710144927534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0.31097560975609756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-1202.0408163265306</v>
      </c>
      <c r="P6" s="119">
        <v>49</v>
      </c>
      <c r="Q6" s="103">
        <v>-58900</v>
      </c>
    </row>
    <row r="7" spans="1:17" x14ac:dyDescent="0.4">
      <c r="A7" s="55" t="s">
        <v>2</v>
      </c>
      <c r="B7" s="47">
        <v>20</v>
      </c>
      <c r="C7" s="39">
        <f>IF(B$2=0,0,B7/B$2)</f>
        <v>0.28985507246376813</v>
      </c>
      <c r="E7" s="63" t="s">
        <v>70</v>
      </c>
      <c r="F7" s="60" t="s">
        <v>25</v>
      </c>
      <c r="G7" s="47">
        <v>34</v>
      </c>
      <c r="H7" s="133">
        <f>IF(B$17=0,0,G7/B$17)</f>
        <v>0.2073170731707317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802.22222222222217</v>
      </c>
      <c r="P7" s="120">
        <v>45</v>
      </c>
      <c r="Q7" s="104">
        <v>36100</v>
      </c>
    </row>
    <row r="8" spans="1:17" x14ac:dyDescent="0.4">
      <c r="A8" s="55" t="s">
        <v>3</v>
      </c>
      <c r="B8" s="47">
        <v>25</v>
      </c>
      <c r="C8" s="39">
        <f>IF(B$2=0,0,B8/B$2)</f>
        <v>0.36231884057971014</v>
      </c>
      <c r="E8" s="63" t="s">
        <v>71</v>
      </c>
      <c r="F8" s="60" t="s">
        <v>26</v>
      </c>
      <c r="G8" s="47">
        <v>20</v>
      </c>
      <c r="H8" s="133">
        <f>IF(B$17=0,0,G8/B$17)</f>
        <v>0.12195121951219512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11</v>
      </c>
      <c r="H9" s="133">
        <f>IF(B$17=0,0,G9/B$17)</f>
        <v>6.7073170731707321E-2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73</v>
      </c>
      <c r="F10" s="60" t="s">
        <v>28</v>
      </c>
      <c r="G10" s="47">
        <v>81</v>
      </c>
      <c r="H10" s="133">
        <f>IF(B$17=0,0,G10/B$17)</f>
        <v>0.49390243902439024</v>
      </c>
      <c r="I10" s="94">
        <v>9</v>
      </c>
      <c r="K10" s="38">
        <v>8</v>
      </c>
      <c r="L10" s="99">
        <v>-1.7000000000000028</v>
      </c>
      <c r="N10" s="114" t="s">
        <v>164</v>
      </c>
      <c r="O10" s="124">
        <f>IF(P10=0,0,Q10/P10)</f>
        <v>7.625</v>
      </c>
      <c r="P10" s="118">
        <v>16</v>
      </c>
      <c r="Q10" s="106">
        <v>122</v>
      </c>
    </row>
    <row r="11" spans="1:17" x14ac:dyDescent="0.4">
      <c r="A11" s="56" t="s">
        <v>140</v>
      </c>
      <c r="B11" s="48">
        <v>9</v>
      </c>
      <c r="C11" s="40">
        <f>IF(B$2=0,0,B11/B$2)</f>
        <v>0.13043478260869565</v>
      </c>
      <c r="E11" s="63" t="s">
        <v>74</v>
      </c>
      <c r="F11" s="60" t="s">
        <v>29</v>
      </c>
      <c r="G11" s="47">
        <v>1</v>
      </c>
      <c r="H11" s="133">
        <f>IF(B$17=0,0,G11/B$17)</f>
        <v>6.0975609756097563E-3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4.569230769230769</v>
      </c>
      <c r="P12" s="120">
        <v>26</v>
      </c>
      <c r="Q12" s="108">
        <v>118.8</v>
      </c>
    </row>
    <row r="13" spans="1:17" x14ac:dyDescent="0.4">
      <c r="A13" s="58" t="s">
        <v>122</v>
      </c>
      <c r="B13" s="50">
        <v>164</v>
      </c>
      <c r="C13" s="44">
        <f>IF(B$3=0,0,B13/B$3)</f>
        <v>0.27796610169491526</v>
      </c>
      <c r="E13" s="63" t="s">
        <v>76</v>
      </c>
      <c r="F13" s="60" t="s">
        <v>31</v>
      </c>
      <c r="G13" s="47">
        <v>3</v>
      </c>
      <c r="H13" s="133">
        <f>IF(B$17=0,0,G13/B$17)</f>
        <v>1.8292682926829267E-2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110</v>
      </c>
      <c r="C14" s="39">
        <f>IF(B$3=0,0,B14/B$3)</f>
        <v>0.1864406779661017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96</v>
      </c>
      <c r="C15" s="37">
        <f>IF(B$13=0,0,B15/B$13)</f>
        <v>0.58536585365853655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186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44</v>
      </c>
      <c r="C16" s="37">
        <f>IF(B$14=0,0,B16/B$14)</f>
        <v>0.4</v>
      </c>
      <c r="E16" s="63" t="s">
        <v>79</v>
      </c>
      <c r="F16" s="60" t="s">
        <v>34</v>
      </c>
      <c r="G16" s="47">
        <v>7</v>
      </c>
      <c r="H16" s="133">
        <f>IF(B$17=0,0,G16/B$17)</f>
        <v>4.2682926829268296E-2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21.305555555555554</v>
      </c>
      <c r="P16" s="119">
        <v>18</v>
      </c>
      <c r="Q16" s="107">
        <v>383.49999999999994</v>
      </c>
    </row>
    <row r="17" spans="1:17" x14ac:dyDescent="0.4">
      <c r="A17" s="54" t="s">
        <v>10</v>
      </c>
      <c r="B17" s="46">
        <f>B19+B18</f>
        <v>164</v>
      </c>
      <c r="C17" s="37">
        <f>IF(B$3=0,0,B17/B$3)</f>
        <v>0.27796610169491526</v>
      </c>
      <c r="E17" s="63" t="s">
        <v>80</v>
      </c>
      <c r="F17" s="60" t="s">
        <v>35</v>
      </c>
      <c r="G17" s="47">
        <v>3</v>
      </c>
      <c r="H17" s="133">
        <f>IF(B$17=0,0,G17/B$17)</f>
        <v>1.8292682926829267E-2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71</v>
      </c>
      <c r="C18" s="39">
        <f>IF(B$17=0,0,B18/B$17)</f>
        <v>0.43292682926829268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2.5357142857142851</v>
      </c>
      <c r="P18" s="119">
        <v>14</v>
      </c>
      <c r="Q18" s="107">
        <v>35.499999999999993</v>
      </c>
    </row>
    <row r="19" spans="1:17" x14ac:dyDescent="0.4">
      <c r="A19" s="55" t="s">
        <v>11</v>
      </c>
      <c r="B19" s="47">
        <v>93</v>
      </c>
      <c r="C19" s="39">
        <f>IF(B$17=0,0,B19/B$17)</f>
        <v>0.56707317073170727</v>
      </c>
      <c r="E19" s="63" t="s">
        <v>82</v>
      </c>
      <c r="F19" s="60" t="s">
        <v>37</v>
      </c>
      <c r="G19" s="47">
        <v>6</v>
      </c>
      <c r="H19" s="133">
        <f>IF(B$17=0,0,G19/B$17)</f>
        <v>3.6585365853658534E-2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 t="shared" si="2"/>
        <v>1.1200000000000052</v>
      </c>
      <c r="P19" s="119">
        <v>40</v>
      </c>
      <c r="Q19" s="107">
        <v>44.80000000000021</v>
      </c>
    </row>
    <row r="20" spans="1:17" x14ac:dyDescent="0.4">
      <c r="A20" s="55" t="s">
        <v>13</v>
      </c>
      <c r="B20" s="47">
        <v>96</v>
      </c>
      <c r="C20" s="39">
        <f>IF(B$3=0,0,B20/B$3)</f>
        <v>0.16271186440677965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 t="shared" si="2"/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4.2682926829268296E-2</v>
      </c>
      <c r="I21" s="94">
        <v>8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1.2195121951219513E-2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-26.43</v>
      </c>
      <c r="P22" s="119">
        <v>10</v>
      </c>
      <c r="Q22" s="107">
        <v>-264.3</v>
      </c>
    </row>
    <row r="23" spans="1:17" x14ac:dyDescent="0.4">
      <c r="A23" s="55" t="s">
        <v>5</v>
      </c>
      <c r="B23" s="51">
        <f>IF(B$17=0,0,C23/B$17)</f>
        <v>9756.707317073171</v>
      </c>
      <c r="C23" s="41">
        <v>1600100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-7819.791666666667</v>
      </c>
      <c r="C24" s="45">
        <v>-750700</v>
      </c>
      <c r="E24" s="63" t="s">
        <v>87</v>
      </c>
      <c r="F24" s="60" t="s">
        <v>42</v>
      </c>
      <c r="G24" s="47">
        <v>13</v>
      </c>
      <c r="H24" s="133">
        <f>IF(B$17=0,0,G24/B$17)</f>
        <v>7.926829268292683E-2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6.0975609756097563E-3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1.6949152542372881E-3</v>
      </c>
      <c r="E27" s="63" t="s">
        <v>90</v>
      </c>
      <c r="F27" s="60" t="s">
        <v>45</v>
      </c>
      <c r="G27" s="47">
        <v>24</v>
      </c>
      <c r="H27" s="133">
        <f>IF(B$17=0,0,G27/B$17)</f>
        <v>0.14634146341463414</v>
      </c>
      <c r="I27" s="94">
        <v>6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1.8292682926829267E-2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1.2195121951219513E-2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6.0975609756097563E-3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1.2195121951219513E-2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61</v>
      </c>
      <c r="H51" s="134">
        <f>IF(B$17=0,0,G51/B$17)</f>
        <v>0.37195121951219512</v>
      </c>
      <c r="I51" s="95">
        <v>8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</sheetData>
  <sortState ref="E2:I7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B6EA-12E7-4DC6-BCE5-56E71A91C50A}">
  <sheetPr codeName="Sheet15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</v>
      </c>
      <c r="C2" s="147"/>
      <c r="E2" s="62" t="s">
        <v>65</v>
      </c>
      <c r="F2" s="59" t="s">
        <v>21</v>
      </c>
      <c r="G2" s="46">
        <v>62</v>
      </c>
      <c r="H2" s="132">
        <f>IF(B$17=0,0,G2/B$17)</f>
        <v>0.35227272727272729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540.74074074074076</v>
      </c>
      <c r="P2" s="118">
        <v>54</v>
      </c>
      <c r="Q2" s="102">
        <v>29200</v>
      </c>
    </row>
    <row r="3" spans="1:17" x14ac:dyDescent="0.4">
      <c r="A3" s="55" t="s">
        <v>8</v>
      </c>
      <c r="B3" s="148">
        <v>474</v>
      </c>
      <c r="C3" s="149"/>
      <c r="E3" s="63" t="s">
        <v>66</v>
      </c>
      <c r="F3" s="60" t="s">
        <v>22</v>
      </c>
      <c r="G3" s="47">
        <v>19</v>
      </c>
      <c r="H3" s="133">
        <f>IF(B$17=0,0,G3/B$17)</f>
        <v>0.10795454545454546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370.37037037037038</v>
      </c>
      <c r="P3" s="119">
        <v>54</v>
      </c>
      <c r="Q3" s="103">
        <v>20000</v>
      </c>
    </row>
    <row r="4" spans="1:17" x14ac:dyDescent="0.4">
      <c r="A4" s="55" t="s">
        <v>6</v>
      </c>
      <c r="B4" s="150">
        <v>55.599999999999987</v>
      </c>
      <c r="C4" s="151"/>
      <c r="E4" s="63" t="s">
        <v>67</v>
      </c>
      <c r="F4" s="60" t="s">
        <v>23</v>
      </c>
      <c r="G4" s="47">
        <v>118</v>
      </c>
      <c r="H4" s="133">
        <f>IF(B$17=0,0,G4/B$17)</f>
        <v>0.67045454545454541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-877.55102040816325</v>
      </c>
      <c r="P4" s="119">
        <v>49</v>
      </c>
      <c r="Q4" s="103">
        <v>-43000</v>
      </c>
    </row>
    <row r="5" spans="1:17" x14ac:dyDescent="0.4">
      <c r="A5" s="55" t="s">
        <v>7</v>
      </c>
      <c r="B5" s="152">
        <f>IF(B$2=0,0,B$4/B$2)</f>
        <v>1.0296296296296295</v>
      </c>
      <c r="C5" s="153"/>
      <c r="E5" s="63" t="s">
        <v>68</v>
      </c>
      <c r="F5" s="60" t="s">
        <v>24</v>
      </c>
      <c r="G5" s="47">
        <v>31</v>
      </c>
      <c r="H5" s="133">
        <f>IF(B$17=0,0,G5/B$17)</f>
        <v>0.17613636363636365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184.78260869565219</v>
      </c>
      <c r="P5" s="119">
        <v>46</v>
      </c>
      <c r="Q5" s="103">
        <v>8500</v>
      </c>
    </row>
    <row r="6" spans="1:17" x14ac:dyDescent="0.4">
      <c r="A6" s="55" t="s">
        <v>1</v>
      </c>
      <c r="B6" s="142">
        <f>IF(B$2=0,0,(B$7*1+B$8*2+B$9*3)/B$2)</f>
        <v>2.0370370370370372</v>
      </c>
      <c r="C6" s="143"/>
      <c r="E6" s="63" t="s">
        <v>69</v>
      </c>
      <c r="F6" s="60" t="s">
        <v>12</v>
      </c>
      <c r="G6" s="47">
        <v>48</v>
      </c>
      <c r="H6" s="133">
        <f>IF(B$17=0,0,G6/B$17)</f>
        <v>0.27272727272727271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1197.7777777777778</v>
      </c>
      <c r="P6" s="119">
        <v>45</v>
      </c>
      <c r="Q6" s="103">
        <v>53900</v>
      </c>
    </row>
    <row r="7" spans="1:17" x14ac:dyDescent="0.4">
      <c r="A7" s="55" t="s">
        <v>2</v>
      </c>
      <c r="B7" s="47">
        <v>15</v>
      </c>
      <c r="C7" s="39">
        <f>IF(B$2=0,0,B7/B$2)</f>
        <v>0.27777777777777779</v>
      </c>
      <c r="E7" s="63" t="s">
        <v>70</v>
      </c>
      <c r="F7" s="60" t="s">
        <v>25</v>
      </c>
      <c r="G7" s="47">
        <v>25</v>
      </c>
      <c r="H7" s="133">
        <f>IF(B$17=0,0,G7/B$17)</f>
        <v>0.14204545454545456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-677.5</v>
      </c>
      <c r="P7" s="120">
        <v>40</v>
      </c>
      <c r="Q7" s="104">
        <v>-27100</v>
      </c>
    </row>
    <row r="8" spans="1:17" x14ac:dyDescent="0.4">
      <c r="A8" s="55" t="s">
        <v>3</v>
      </c>
      <c r="B8" s="47">
        <v>22</v>
      </c>
      <c r="C8" s="39">
        <f>IF(B$2=0,0,B8/B$2)</f>
        <v>0.40740740740740738</v>
      </c>
      <c r="E8" s="63" t="s">
        <v>71</v>
      </c>
      <c r="F8" s="60" t="s">
        <v>26</v>
      </c>
      <c r="G8" s="47">
        <v>10</v>
      </c>
      <c r="H8" s="133">
        <f>IF(B$17=0,0,G8/B$17)</f>
        <v>5.6818181818181816E-2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0.31481481481481483</v>
      </c>
      <c r="E9" s="63" t="s">
        <v>72</v>
      </c>
      <c r="F9" s="60" t="s">
        <v>27</v>
      </c>
      <c r="G9" s="47">
        <v>13</v>
      </c>
      <c r="H9" s="133">
        <f>IF(B$17=0,0,G9/B$17)</f>
        <v>7.3863636363636367E-2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5.5555555555555552E-2</v>
      </c>
      <c r="E10" s="63" t="s">
        <v>73</v>
      </c>
      <c r="F10" s="60" t="s">
        <v>28</v>
      </c>
      <c r="G10" s="47">
        <v>102</v>
      </c>
      <c r="H10" s="133">
        <f>IF(B$17=0,0,G10/B$17)</f>
        <v>0.57954545454545459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-9.6437500000000025</v>
      </c>
      <c r="P10" s="118">
        <v>16</v>
      </c>
      <c r="Q10" s="106">
        <v>-154.30000000000004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0.1111111111111111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3.7037037037037035E-2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105</v>
      </c>
      <c r="C13" s="44">
        <f>IF(B$3=0,0,B13/B$3)</f>
        <v>0.22151898734177214</v>
      </c>
      <c r="E13" s="63" t="s">
        <v>76</v>
      </c>
      <c r="F13" s="60" t="s">
        <v>31</v>
      </c>
      <c r="G13" s="47">
        <v>1</v>
      </c>
      <c r="H13" s="133">
        <f>IF(B$17=0,0,G13/B$17)</f>
        <v>5.681818181818182E-3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0.29535864978902954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</v>
      </c>
      <c r="C15" s="37">
        <f>IF(B$13=0,0,B15/B$13)</f>
        <v>0.59047619047619049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44.441666666666642</v>
      </c>
      <c r="P15" s="118">
        <v>12</v>
      </c>
      <c r="Q15" s="106">
        <v>533.29999999999973</v>
      </c>
    </row>
    <row r="16" spans="1:17" x14ac:dyDescent="0.4">
      <c r="A16" s="54" t="s">
        <v>125</v>
      </c>
      <c r="B16" s="46">
        <v>61</v>
      </c>
      <c r="C16" s="37">
        <f>IF(B$14=0,0,B16/B$14)</f>
        <v>0.43571428571428572</v>
      </c>
      <c r="E16" s="63" t="s">
        <v>79</v>
      </c>
      <c r="F16" s="60" t="s">
        <v>34</v>
      </c>
      <c r="G16" s="47">
        <v>2</v>
      </c>
      <c r="H16" s="133">
        <f>IF(B$17=0,0,G16/B$17)</f>
        <v>1.1363636363636364E-2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0.37130801687763715</v>
      </c>
      <c r="E17" s="63" t="s">
        <v>80</v>
      </c>
      <c r="F17" s="60" t="s">
        <v>35</v>
      </c>
      <c r="G17" s="47">
        <v>2</v>
      </c>
      <c r="H17" s="133">
        <f>IF(B$17=0,0,G17/B$17)</f>
        <v>1.1363636363636364E-2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 t="shared" si="2"/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74</v>
      </c>
      <c r="C18" s="39">
        <f>IF(B$17=0,0,B18/B$17)</f>
        <v>0.42045454545454547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186</v>
      </c>
      <c r="O18" s="125">
        <f t="shared" si="2"/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102</v>
      </c>
      <c r="C19" s="39">
        <f>IF(B$17=0,0,B19/B$17)</f>
        <v>0.57954545454545459</v>
      </c>
      <c r="E19" s="63" t="s">
        <v>82</v>
      </c>
      <c r="F19" s="60" t="s">
        <v>37</v>
      </c>
      <c r="G19" s="47">
        <v>5</v>
      </c>
      <c r="H19" s="133">
        <f>IF(B$17=0,0,G19/B$17)</f>
        <v>2.8409090909090908E-2</v>
      </c>
      <c r="I19" s="94">
        <v>8</v>
      </c>
      <c r="K19" s="38">
        <v>17</v>
      </c>
      <c r="L19" s="99">
        <v>-55.099999999999994</v>
      </c>
      <c r="N19" s="115" t="s">
        <v>202</v>
      </c>
      <c r="O19" s="125">
        <f t="shared" si="2"/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63</v>
      </c>
      <c r="C20" s="39">
        <f>IF(B$3=0,0,B20/B$3)</f>
        <v>0.13291139240506328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 t="shared" si="2"/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2</v>
      </c>
      <c r="E21" s="63" t="s">
        <v>84</v>
      </c>
      <c r="F21" s="60" t="s">
        <v>39</v>
      </c>
      <c r="G21" s="47">
        <v>9</v>
      </c>
      <c r="H21" s="133">
        <f>IF(B$17=0,0,G21/B$17)</f>
        <v>5.113636363636364E-2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-2.5357142857142869</v>
      </c>
      <c r="P22" s="119">
        <v>14</v>
      </c>
      <c r="Q22" s="107">
        <v>-35.500000000000014</v>
      </c>
    </row>
    <row r="23" spans="1:17" x14ac:dyDescent="0.4">
      <c r="A23" s="55" t="s">
        <v>5</v>
      </c>
      <c r="B23" s="51">
        <f>IF(B$17=0,0,C23/B$17)</f>
        <v>6500.568181818182</v>
      </c>
      <c r="C23" s="41">
        <v>1144100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-9374.6031746031749</v>
      </c>
      <c r="C24" s="45">
        <v>-590600</v>
      </c>
      <c r="E24" s="63" t="s">
        <v>87</v>
      </c>
      <c r="F24" s="60" t="s">
        <v>42</v>
      </c>
      <c r="G24" s="47">
        <v>8</v>
      </c>
      <c r="H24" s="133">
        <f>IF(B$17=0,0,G24/B$17)</f>
        <v>4.5454545454545456E-2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5.681818181818182E-3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2.1097046413502108E-3</v>
      </c>
      <c r="E27" s="63" t="s">
        <v>90</v>
      </c>
      <c r="F27" s="60" t="s">
        <v>45</v>
      </c>
      <c r="G27" s="47">
        <v>12</v>
      </c>
      <c r="H27" s="133">
        <f>IF(B$17=0,0,G27/B$17)</f>
        <v>6.8181818181818177E-2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1.1363636363636364E-2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73</v>
      </c>
      <c r="H51" s="134">
        <f>IF(B$17=0,0,G51/B$17)</f>
        <v>0.41477272727272729</v>
      </c>
      <c r="I51" s="95">
        <v>4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</sheetData>
  <sortState ref="E2:I5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B448-925B-4F10-8014-F15BC633296B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0.70873786407766992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-2987.5</v>
      </c>
      <c r="P2" s="118">
        <v>40</v>
      </c>
      <c r="Q2" s="102">
        <v>-119500</v>
      </c>
    </row>
    <row r="3" spans="1:17" x14ac:dyDescent="0.4">
      <c r="A3" s="55" t="s">
        <v>8</v>
      </c>
      <c r="B3" s="148">
        <v>347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0.5145631067961165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1407.5</v>
      </c>
      <c r="P3" s="119">
        <v>40</v>
      </c>
      <c r="Q3" s="103">
        <v>56300</v>
      </c>
    </row>
    <row r="4" spans="1:17" x14ac:dyDescent="0.4">
      <c r="A4" s="55" t="s">
        <v>6</v>
      </c>
      <c r="B4" s="150">
        <v>-279.89999999999998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0.4563106796116505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-894.73684210526312</v>
      </c>
      <c r="P4" s="119">
        <v>38</v>
      </c>
      <c r="Q4" s="103">
        <v>-34000</v>
      </c>
    </row>
    <row r="5" spans="1:17" x14ac:dyDescent="0.4">
      <c r="A5" s="55" t="s">
        <v>7</v>
      </c>
      <c r="B5" s="152">
        <f>IF(B$2=0,0,B$4/B$2)</f>
        <v>-6.9974999999999996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0.38834951456310679</v>
      </c>
      <c r="I5" s="94">
        <v>4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0.36893203883495146</v>
      </c>
      <c r="I6" s="94">
        <v>9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0.27500000000000002</v>
      </c>
      <c r="E7" s="63" t="s">
        <v>68</v>
      </c>
      <c r="F7" s="60" t="s">
        <v>24</v>
      </c>
      <c r="G7" s="47">
        <v>26</v>
      </c>
      <c r="H7" s="133">
        <f>IF(B$17=0,0,G7/B$17)</f>
        <v>0.25242718446601942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0.375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90</v>
      </c>
      <c r="F9" s="60" t="s">
        <v>45</v>
      </c>
      <c r="G9" s="47">
        <v>12</v>
      </c>
      <c r="H9" s="133">
        <f>IF(B$17=0,0,G9/B$17)</f>
        <v>0.11650485436893204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0.125</v>
      </c>
      <c r="E10" s="63" t="s">
        <v>70</v>
      </c>
      <c r="F10" s="60" t="s">
        <v>25</v>
      </c>
      <c r="G10" s="47">
        <v>11</v>
      </c>
      <c r="H10" s="133">
        <f>IF(B$17=0,0,G10/B$17)</f>
        <v>0.10679611650485436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0.05</v>
      </c>
      <c r="E11" s="63" t="s">
        <v>66</v>
      </c>
      <c r="F11" s="60" t="s">
        <v>22</v>
      </c>
      <c r="G11" s="47">
        <v>8</v>
      </c>
      <c r="H11" s="133">
        <f>IF(B$17=0,0,G11/B$17)</f>
        <v>7.7669902912621352E-2</v>
      </c>
      <c r="I11" s="94">
        <v>6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2.5000000000000001E-2</v>
      </c>
      <c r="E12" s="63" t="s">
        <v>72</v>
      </c>
      <c r="F12" s="60" t="s">
        <v>27</v>
      </c>
      <c r="G12" s="47">
        <v>6</v>
      </c>
      <c r="H12" s="133">
        <f>IF(B$17=0,0,G12/B$17)</f>
        <v>5.8252427184466021E-2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80</v>
      </c>
      <c r="C13" s="44">
        <f>IF(B$3=0,0,B13/B$3)</f>
        <v>0.23054755043227665</v>
      </c>
      <c r="E13" s="63" t="s">
        <v>87</v>
      </c>
      <c r="F13" s="60" t="s">
        <v>42</v>
      </c>
      <c r="G13" s="47">
        <v>4</v>
      </c>
      <c r="H13" s="133">
        <f>IF(B$17=0,0,G13/B$17)</f>
        <v>3.8834951456310676E-2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0.25360230547550433</v>
      </c>
      <c r="E14" s="63" t="s">
        <v>74</v>
      </c>
      <c r="F14" s="60" t="s">
        <v>29</v>
      </c>
      <c r="G14" s="47">
        <v>2</v>
      </c>
      <c r="H14" s="133">
        <f>IF(B$17=0,0,G14/B$17)</f>
        <v>1.9417475728155338E-2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79</v>
      </c>
      <c r="F15" s="60" t="s">
        <v>34</v>
      </c>
      <c r="G15" s="47">
        <v>2</v>
      </c>
      <c r="H15" s="133">
        <f>IF(B$17=0,0,G15/B$17)</f>
        <v>1.9417475728155338E-2</v>
      </c>
      <c r="I15" s="94">
        <v>7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0.32954545454545453</v>
      </c>
      <c r="E16" s="63" t="s">
        <v>80</v>
      </c>
      <c r="F16" s="60" t="s">
        <v>35</v>
      </c>
      <c r="G16" s="47">
        <v>2</v>
      </c>
      <c r="H16" s="133">
        <f>IF(B$17=0,0,G16/B$17)</f>
        <v>1.9417475728155338E-2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0.29682997118155618</v>
      </c>
      <c r="E17" s="63" t="s">
        <v>84</v>
      </c>
      <c r="F17" s="60" t="s">
        <v>39</v>
      </c>
      <c r="G17" s="47">
        <v>2</v>
      </c>
      <c r="H17" s="133">
        <f>IF(B$17=0,0,G17/B$17)</f>
        <v>1.9417475728155338E-2</v>
      </c>
      <c r="I17" s="94">
        <v>10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92</v>
      </c>
      <c r="F18" s="60" t="s">
        <v>47</v>
      </c>
      <c r="G18" s="47">
        <v>1</v>
      </c>
      <c r="H18" s="133">
        <f>IF(B$17=0,0,G18/B$17)</f>
        <v>9.7087378640776691E-3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180</v>
      </c>
      <c r="F19" s="60" t="s">
        <v>183</v>
      </c>
      <c r="G19" s="47">
        <v>1</v>
      </c>
      <c r="H19" s="133">
        <f>IF(B$17=0,0,G19/B$17)</f>
        <v>9.7087378640776691E-3</v>
      </c>
      <c r="I19" s="94">
        <v>5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67</v>
      </c>
      <c r="C20" s="39">
        <f>IF(B$3=0,0,B20/B$3)</f>
        <v>0.1930835734870317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-218.99999999999994</v>
      </c>
      <c r="N20" s="115" t="s">
        <v>177</v>
      </c>
      <c r="O20" s="125">
        <f>IF(P20=0,0,Q20/P20)</f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8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-7625.373134328358</v>
      </c>
      <c r="C24" s="45">
        <v>-510900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5.763688760806916E-3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A3E55-BC8B-4BEF-8BCF-380CCC09A9BE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65</v>
      </c>
      <c r="F2" s="59" t="s">
        <v>21</v>
      </c>
      <c r="G2" s="46">
        <v>49</v>
      </c>
      <c r="H2" s="132">
        <f>IF(B$17=0,0,G2/B$17)</f>
        <v>0.53260869565217395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683.78378378378375</v>
      </c>
      <c r="P2" s="118">
        <v>37</v>
      </c>
      <c r="Q2" s="102">
        <v>25300</v>
      </c>
    </row>
    <row r="3" spans="1:17" x14ac:dyDescent="0.4">
      <c r="A3" s="55" t="s">
        <v>8</v>
      </c>
      <c r="B3" s="148">
        <v>309</v>
      </c>
      <c r="C3" s="149"/>
      <c r="E3" s="63" t="s">
        <v>66</v>
      </c>
      <c r="F3" s="60" t="s">
        <v>22</v>
      </c>
      <c r="G3" s="47">
        <v>6</v>
      </c>
      <c r="H3" s="133">
        <f>IF(B$17=0,0,G3/B$17)</f>
        <v>6.5217391304347824E-2</v>
      </c>
      <c r="I3" s="94">
        <v>7</v>
      </c>
      <c r="K3" s="38">
        <v>1</v>
      </c>
      <c r="L3" s="99">
        <v>-1.9</v>
      </c>
      <c r="N3" s="115" t="s">
        <v>133</v>
      </c>
      <c r="O3" s="122">
        <f t="shared" si="0"/>
        <v>142.85714285714286</v>
      </c>
      <c r="P3" s="119">
        <v>35</v>
      </c>
      <c r="Q3" s="103">
        <v>5000</v>
      </c>
    </row>
    <row r="4" spans="1:17" x14ac:dyDescent="0.4">
      <c r="A4" s="55" t="s">
        <v>6</v>
      </c>
      <c r="B4" s="150">
        <v>44.70000000000001</v>
      </c>
      <c r="C4" s="151"/>
      <c r="E4" s="63" t="s">
        <v>67</v>
      </c>
      <c r="F4" s="60" t="s">
        <v>23</v>
      </c>
      <c r="G4" s="47">
        <v>50</v>
      </c>
      <c r="H4" s="133">
        <f>IF(B$17=0,0,G4/B$17)</f>
        <v>0.54347826086956519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-1475.7575757575758</v>
      </c>
      <c r="P4" s="119">
        <v>33</v>
      </c>
      <c r="Q4" s="103">
        <v>-48700</v>
      </c>
    </row>
    <row r="5" spans="1:17" x14ac:dyDescent="0.4">
      <c r="A5" s="55" t="s">
        <v>7</v>
      </c>
      <c r="B5" s="152">
        <f>IF(B$2=0,0,B$4/B$2)</f>
        <v>1.2081081081081084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0.34782608695652173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2278.125</v>
      </c>
      <c r="P5" s="119">
        <v>32</v>
      </c>
      <c r="Q5" s="103">
        <v>72900</v>
      </c>
    </row>
    <row r="6" spans="1:17" x14ac:dyDescent="0.4">
      <c r="A6" s="55" t="s">
        <v>1</v>
      </c>
      <c r="B6" s="142">
        <f>IF(B$2=0,0,(B$7*1+B$8*2+B$9*3)/B$2)</f>
        <v>1.9459459459459461</v>
      </c>
      <c r="C6" s="143"/>
      <c r="E6" s="63" t="s">
        <v>69</v>
      </c>
      <c r="F6" s="60" t="s">
        <v>12</v>
      </c>
      <c r="G6" s="47">
        <v>25</v>
      </c>
      <c r="H6" s="133">
        <f>IF(B$17=0,0,G6/B$17)</f>
        <v>0.27173913043478259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-596.42857142857144</v>
      </c>
      <c r="P6" s="119">
        <v>28</v>
      </c>
      <c r="Q6" s="103">
        <v>-16700</v>
      </c>
    </row>
    <row r="7" spans="1:17" x14ac:dyDescent="0.4">
      <c r="A7" s="55" t="s">
        <v>2</v>
      </c>
      <c r="B7" s="47">
        <v>15</v>
      </c>
      <c r="C7" s="39">
        <f>IF(B$2=0,0,B7/B$2)</f>
        <v>0.40540540540540543</v>
      </c>
      <c r="E7" s="63" t="s">
        <v>70</v>
      </c>
      <c r="F7" s="60" t="s">
        <v>25</v>
      </c>
      <c r="G7" s="47">
        <v>12</v>
      </c>
      <c r="H7" s="133">
        <f>IF(B$17=0,0,G7/B$17)</f>
        <v>0.13043478260869565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212.5</v>
      </c>
      <c r="P7" s="120">
        <v>24</v>
      </c>
      <c r="Q7" s="104">
        <v>5100</v>
      </c>
    </row>
    <row r="8" spans="1:17" x14ac:dyDescent="0.4">
      <c r="A8" s="55" t="s">
        <v>3</v>
      </c>
      <c r="B8" s="47">
        <v>9</v>
      </c>
      <c r="C8" s="39">
        <f>IF(B$2=0,0,B8/B$2)</f>
        <v>0.24324324324324326</v>
      </c>
      <c r="E8" s="63" t="s">
        <v>71</v>
      </c>
      <c r="F8" s="60" t="s">
        <v>26</v>
      </c>
      <c r="G8" s="47">
        <v>7</v>
      </c>
      <c r="H8" s="133">
        <f>IF(B$17=0,0,G8/B$17)</f>
        <v>7.6086956521739135E-2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0.35135135135135137</v>
      </c>
      <c r="E9" s="63" t="s">
        <v>72</v>
      </c>
      <c r="F9" s="60" t="s">
        <v>27</v>
      </c>
      <c r="G9" s="47">
        <v>3</v>
      </c>
      <c r="H9" s="133">
        <f>IF(B$17=0,0,G9/B$17)</f>
        <v>3.2608695652173912E-2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0.16216216216216217</v>
      </c>
      <c r="E10" s="63" t="s">
        <v>73</v>
      </c>
      <c r="F10" s="60" t="s">
        <v>28</v>
      </c>
      <c r="G10" s="47">
        <v>50</v>
      </c>
      <c r="H10" s="133">
        <f>IF(B$17=0,0,G10/B$17)</f>
        <v>0.54347826086956519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3</v>
      </c>
      <c r="C11" s="40">
        <f>IF(B$2=0,0,B11/B$2)</f>
        <v>8.1081081081081086E-2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-3.3214285714285716</v>
      </c>
      <c r="P11" s="119">
        <v>14</v>
      </c>
      <c r="Q11" s="107">
        <v>-46.5</v>
      </c>
    </row>
    <row r="12" spans="1:17" x14ac:dyDescent="0.4">
      <c r="A12" s="57" t="s">
        <v>160</v>
      </c>
      <c r="B12" s="49">
        <v>4</v>
      </c>
      <c r="C12" s="42">
        <f>IF(B$2=0,0,B12/B$2)</f>
        <v>0.10810810810810811</v>
      </c>
      <c r="E12" s="63" t="s">
        <v>75</v>
      </c>
      <c r="F12" s="60" t="s">
        <v>30</v>
      </c>
      <c r="G12" s="47">
        <v>1</v>
      </c>
      <c r="H12" s="133">
        <f>IF(B$17=0,0,G12/B$17)</f>
        <v>1.0869565217391304E-2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0.97142857142857209</v>
      </c>
      <c r="P12" s="120">
        <v>14</v>
      </c>
      <c r="Q12" s="108">
        <v>13.600000000000009</v>
      </c>
    </row>
    <row r="13" spans="1:17" x14ac:dyDescent="0.4">
      <c r="A13" s="58" t="s">
        <v>122</v>
      </c>
      <c r="B13" s="50">
        <v>69</v>
      </c>
      <c r="C13" s="44">
        <f>IF(B$3=0,0,B13/B$3)</f>
        <v>0.22330097087378642</v>
      </c>
      <c r="E13" s="63" t="s">
        <v>76</v>
      </c>
      <c r="F13" s="60" t="s">
        <v>31</v>
      </c>
      <c r="G13" s="47">
        <v>1</v>
      </c>
      <c r="H13" s="133">
        <f>IF(B$17=0,0,G13/B$17)</f>
        <v>1.0869565217391304E-2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67</v>
      </c>
      <c r="C14" s="39">
        <f>IF(B$3=0,0,B14/B$3)</f>
        <v>0.2168284789644013</v>
      </c>
      <c r="E14" s="63" t="s">
        <v>77</v>
      </c>
      <c r="F14" s="60" t="s">
        <v>32</v>
      </c>
      <c r="G14" s="47">
        <v>1</v>
      </c>
      <c r="H14" s="133">
        <f>IF(B$17=0,0,G14/B$17)</f>
        <v>1.0869565217391304E-2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0.69565217391304346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25</v>
      </c>
      <c r="C16" s="37">
        <f>IF(B$14=0,0,B16/B$14)</f>
        <v>0.37313432835820898</v>
      </c>
      <c r="E16" s="63" t="s">
        <v>79</v>
      </c>
      <c r="F16" s="60" t="s">
        <v>34</v>
      </c>
      <c r="G16" s="47">
        <v>2</v>
      </c>
      <c r="H16" s="133">
        <f>IF(B$17=0,0,G16/B$17)</f>
        <v>2.1739130434782608E-2</v>
      </c>
      <c r="I16" s="94">
        <v>6</v>
      </c>
      <c r="K16" s="38">
        <v>14</v>
      </c>
      <c r="L16" s="99">
        <v>-178.49999999999997</v>
      </c>
      <c r="N16" s="115" t="s">
        <v>173</v>
      </c>
      <c r="O16" s="125">
        <f t="shared" si="2"/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92</v>
      </c>
      <c r="C17" s="37">
        <f>IF(B$3=0,0,B17/B$3)</f>
        <v>0.29773462783171523</v>
      </c>
      <c r="E17" s="63" t="s">
        <v>80</v>
      </c>
      <c r="F17" s="60" t="s">
        <v>35</v>
      </c>
      <c r="G17" s="47">
        <v>2</v>
      </c>
      <c r="H17" s="133">
        <f>IF(B$17=0,0,G17/B$17)</f>
        <v>2.1739130434782608E-2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 t="shared" si="2"/>
        <v>26.430000000000007</v>
      </c>
      <c r="P17" s="119">
        <v>10</v>
      </c>
      <c r="Q17" s="107">
        <v>264.30000000000007</v>
      </c>
    </row>
    <row r="18" spans="1:17" x14ac:dyDescent="0.4">
      <c r="A18" s="55" t="s">
        <v>12</v>
      </c>
      <c r="B18" s="47">
        <v>38</v>
      </c>
      <c r="C18" s="39">
        <f>IF(B$17=0,0,B18/B$17)</f>
        <v>0.41304347826086957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 t="shared" si="2"/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54</v>
      </c>
      <c r="C19" s="39">
        <f>IF(B$17=0,0,B19/B$17)</f>
        <v>0.58695652173913049</v>
      </c>
      <c r="E19" s="63" t="s">
        <v>82</v>
      </c>
      <c r="F19" s="60" t="s">
        <v>37</v>
      </c>
      <c r="G19" s="47">
        <v>3</v>
      </c>
      <c r="H19" s="133">
        <f>IF(B$17=0,0,G19/B$17)</f>
        <v>3.2608695652173912E-2</v>
      </c>
      <c r="I19" s="94">
        <v>5</v>
      </c>
      <c r="K19" s="38">
        <v>17</v>
      </c>
      <c r="L19" s="99">
        <v>-161.19999999999999</v>
      </c>
      <c r="N19" s="115" t="s">
        <v>128</v>
      </c>
      <c r="O19" s="125">
        <f t="shared" si="2"/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51</v>
      </c>
      <c r="C20" s="39">
        <f>IF(B$3=0,0,B20/B$3)</f>
        <v>0.1650485436893204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5.434782608695652E-2</v>
      </c>
      <c r="I21" s="94">
        <v>2</v>
      </c>
      <c r="K21" s="38">
        <v>19</v>
      </c>
      <c r="L21" s="99">
        <v>-235.6</v>
      </c>
      <c r="N21" s="115" t="s">
        <v>172</v>
      </c>
      <c r="O21" s="125">
        <f t="shared" si="2"/>
        <v>-18.733333333333338</v>
      </c>
      <c r="P21" s="119">
        <v>6</v>
      </c>
      <c r="Q21" s="107">
        <v>-112.40000000000002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127</v>
      </c>
      <c r="O22" s="125">
        <f t="shared" si="2"/>
        <v>-24.585714285714289</v>
      </c>
      <c r="P22" s="119">
        <v>14</v>
      </c>
      <c r="Q22" s="107">
        <v>-344.20000000000005</v>
      </c>
    </row>
    <row r="23" spans="1:17" x14ac:dyDescent="0.4">
      <c r="A23" s="55" t="s">
        <v>5</v>
      </c>
      <c r="B23" s="51">
        <f>IF(B$17=0,0,C23/B$17)</f>
        <v>8683.6956521739139</v>
      </c>
      <c r="C23" s="41">
        <v>798900</v>
      </c>
      <c r="E23" s="63" t="s">
        <v>86</v>
      </c>
      <c r="F23" s="60" t="s">
        <v>41</v>
      </c>
      <c r="G23" s="47">
        <v>2</v>
      </c>
      <c r="H23" s="133">
        <f>IF(B$17=0,0,G23/B$17)</f>
        <v>2.1739130434782608E-2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-7680.3921568627447</v>
      </c>
      <c r="C24" s="45">
        <v>-391700</v>
      </c>
      <c r="E24" s="63" t="s">
        <v>87</v>
      </c>
      <c r="F24" s="60" t="s">
        <v>42</v>
      </c>
      <c r="G24" s="47">
        <v>2</v>
      </c>
      <c r="H24" s="133">
        <f>IF(B$17=0,0,G24/B$17)</f>
        <v>2.1739130434782608E-2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6.4724919093851136E-3</v>
      </c>
      <c r="E27" s="63" t="s">
        <v>90</v>
      </c>
      <c r="F27" s="60" t="s">
        <v>45</v>
      </c>
      <c r="G27" s="47">
        <v>12</v>
      </c>
      <c r="H27" s="133">
        <f>IF(B$17=0,0,G27/B$17)</f>
        <v>0.13043478260869565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5.434782608695652E-2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1.0869565217391304E-2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1.0869565217391304E-2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33</v>
      </c>
      <c r="H51" s="134">
        <f>IF(B$17=0,0,G51/B$17)</f>
        <v>0.35869565217391303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9EE9B-6964-4CB4-8A56-5DBDE85FF5C7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5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1692A-0CD6-491A-ABE8-46E8404B1DBA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8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4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C706-1C7C-413D-B9C6-B784A759C9D4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6F37D-D9F8-47CC-B8D0-BC650C4DDBCD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45BE1-C9A4-4E9F-A75F-134633C90F1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3F8AC-8262-44B3-9AE3-E0312A7D8AE3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E5ECA-FE31-42B7-A6AA-330BDF7B054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A5E53-A8D5-4229-BDE2-640C9F698640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1BF1-8E01-47FE-93DE-5584ACED148A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DAEF-E62A-438E-9080-B783F585F2A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B4A07-7BE2-4AAB-B577-E70D4B5E735F}">
  <sheetPr codeName="Sheet20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5878A-B25D-4425-9C05-11A491EB8AB5}">
  <sheetPr codeName="Sheet1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ECD82-DC20-41BD-B965-3AE1ABB2A775}">
  <sheetPr codeName="Sheet16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E3DBE-63D0-4F73-987C-8C20CE03C447}">
  <sheetPr codeName="Sheet14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D9CB0-DBE4-4C60-B787-0A5D5571FE14}">
  <sheetPr codeName="Sheet12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-921.89999999999975</v>
      </c>
      <c r="C61" s="66">
        <v>-15.894827586206892</v>
      </c>
      <c r="D61" s="71">
        <v>2.2586206896551726</v>
      </c>
      <c r="E61" s="67">
        <v>0.2413793103448276</v>
      </c>
      <c r="F61" s="67">
        <v>0.5</v>
      </c>
      <c r="G61" s="67">
        <v>0.22669491525423729</v>
      </c>
      <c r="H61" s="67">
        <v>0.19491525423728814</v>
      </c>
      <c r="I61" s="68">
        <v>9061.6822429906533</v>
      </c>
      <c r="J61" s="68">
        <v>-9518.4782608695659</v>
      </c>
      <c r="K61" s="67">
        <v>0.20689655172413793</v>
      </c>
      <c r="L61" s="67">
        <v>0.1206896551724138</v>
      </c>
      <c r="M61" s="67">
        <v>0.25635593220338981</v>
      </c>
      <c r="N61" s="67">
        <v>0.15677966101694915</v>
      </c>
      <c r="O61" s="67">
        <v>0.52066115702479343</v>
      </c>
      <c r="P61" s="67">
        <v>0.24324324324324326</v>
      </c>
      <c r="Q61" s="67">
        <v>0.47663551401869159</v>
      </c>
    </row>
    <row r="62" spans="1:17" x14ac:dyDescent="0.4">
      <c r="A62" s="69">
        <v>59</v>
      </c>
      <c r="B62" s="66">
        <v>-942.1999999999997</v>
      </c>
      <c r="C62" s="66">
        <v>-15.969491525423724</v>
      </c>
      <c r="D62" s="71">
        <v>2.2542372881355934</v>
      </c>
      <c r="E62" s="67">
        <v>0.23728813559322035</v>
      </c>
      <c r="F62" s="67">
        <v>0.49152542372881358</v>
      </c>
      <c r="G62" s="67">
        <v>0.22839506172839505</v>
      </c>
      <c r="H62" s="67">
        <v>0.19341563786008231</v>
      </c>
      <c r="I62" s="68">
        <v>9014.4144144144138</v>
      </c>
      <c r="J62" s="68">
        <v>-9602.1276595744675</v>
      </c>
      <c r="K62" s="67">
        <v>0.20338983050847459</v>
      </c>
      <c r="L62" s="67">
        <v>0.11864406779661017</v>
      </c>
      <c r="M62" s="67">
        <v>0.25720164609053497</v>
      </c>
      <c r="N62" s="67">
        <v>0.16049382716049382</v>
      </c>
      <c r="O62" s="67">
        <v>0.52</v>
      </c>
      <c r="P62" s="67">
        <v>0.24358974358974358</v>
      </c>
      <c r="Q62" s="67">
        <v>0.49549549549549549</v>
      </c>
    </row>
    <row r="63" spans="1:17" x14ac:dyDescent="0.4">
      <c r="A63" s="69">
        <v>60</v>
      </c>
      <c r="B63" s="66">
        <v>-905.39999999999975</v>
      </c>
      <c r="C63" s="66">
        <v>-15.089999999999996</v>
      </c>
      <c r="D63" s="71">
        <v>2.2333333333333334</v>
      </c>
      <c r="E63" s="67">
        <v>0.25</v>
      </c>
      <c r="F63" s="67">
        <v>0.48333333333333334</v>
      </c>
      <c r="G63" s="67">
        <v>0.22920892494929007</v>
      </c>
      <c r="H63" s="67">
        <v>0.1947261663286004</v>
      </c>
      <c r="I63" s="68">
        <v>9184.070796460177</v>
      </c>
      <c r="J63" s="68">
        <v>-9593.75</v>
      </c>
      <c r="K63" s="67">
        <v>0.2</v>
      </c>
      <c r="L63" s="67">
        <v>0.11666666666666667</v>
      </c>
      <c r="M63" s="67">
        <v>0.26166328600405681</v>
      </c>
      <c r="N63" s="67">
        <v>0.1643002028397566</v>
      </c>
      <c r="O63" s="67">
        <v>0.51937984496124034</v>
      </c>
      <c r="P63" s="67">
        <v>0.23456790123456789</v>
      </c>
      <c r="Q63" s="67">
        <v>0.49557522123893805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AB689-E833-43BF-B765-75DF2E5AA9D7}">
  <sheetPr codeName="Sheet10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5AB07-FE4A-46FA-B05E-48F930D2E10E}">
  <sheetPr codeName="Sheet8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34997-FC59-4F2E-84A9-F10D02B45FA1}">
  <sheetPr codeName="Sheet6"/>
  <dimension ref="A1:Q17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0.16725978647686832</v>
      </c>
      <c r="I171" s="68">
        <v>8560.790513833992</v>
      </c>
      <c r="J171" s="68">
        <v>-8222.6950354609926</v>
      </c>
      <c r="K171" s="67">
        <v>0.1130952380952381</v>
      </c>
      <c r="L171" s="67">
        <v>0.1130952380952381</v>
      </c>
      <c r="M171" s="67">
        <v>0.27402135231316727</v>
      </c>
      <c r="N171" s="67">
        <v>0.21020166073546856</v>
      </c>
      <c r="O171" s="67">
        <v>0.58787878787878789</v>
      </c>
      <c r="P171" s="67">
        <v>0.3905191873589165</v>
      </c>
      <c r="Q171" s="67">
        <v>0.43636363636363634</v>
      </c>
    </row>
    <row r="172" spans="1:17" x14ac:dyDescent="0.4">
      <c r="A172" s="69">
        <v>169</v>
      </c>
      <c r="B172" s="66">
        <v>1.4210854715202004E-14</v>
      </c>
      <c r="C172" s="66">
        <v>2.7974123455122054E-17</v>
      </c>
      <c r="D172" s="71">
        <v>1.9960629921259843</v>
      </c>
      <c r="E172" s="67">
        <v>0.33267716535433073</v>
      </c>
      <c r="F172" s="67">
        <v>0.33267716535433073</v>
      </c>
      <c r="G172" s="67">
        <v>0.29997650927883485</v>
      </c>
      <c r="H172" s="67">
        <v>0.16654921306084097</v>
      </c>
      <c r="I172" s="68">
        <v>8576.9772905246664</v>
      </c>
      <c r="J172" s="68">
        <v>-8239.3511988716509</v>
      </c>
      <c r="K172" s="67">
        <v>0.11220472440944881</v>
      </c>
      <c r="L172" s="67">
        <v>0.11220472440944881</v>
      </c>
      <c r="M172" s="67">
        <v>0.27484143763213531</v>
      </c>
      <c r="N172" s="67">
        <v>0.21024195442800095</v>
      </c>
      <c r="O172" s="67">
        <v>0.5871794871794872</v>
      </c>
      <c r="P172" s="67">
        <v>0.38994413407821227</v>
      </c>
      <c r="Q172" s="67">
        <v>0.43852779953014881</v>
      </c>
    </row>
    <row r="173" spans="1:17" x14ac:dyDescent="0.4">
      <c r="A173" s="69">
        <v>170</v>
      </c>
      <c r="B173" s="66">
        <v>7.1054273576010019E-15</v>
      </c>
      <c r="C173" s="66">
        <v>1.3904945905285717E-17</v>
      </c>
      <c r="D173" s="71">
        <v>1.9960861056751467</v>
      </c>
      <c r="E173" s="67">
        <v>0.33268101761252444</v>
      </c>
      <c r="F173" s="67">
        <v>0.33268101761252444</v>
      </c>
      <c r="G173" s="67">
        <v>0.29990649836372135</v>
      </c>
      <c r="H173" s="67">
        <v>0.16666666666666666</v>
      </c>
      <c r="I173" s="68">
        <v>8585.3468433359321</v>
      </c>
      <c r="J173" s="68">
        <v>-8229.8737727910247</v>
      </c>
      <c r="K173" s="67">
        <v>0.11154598825831702</v>
      </c>
      <c r="L173" s="67">
        <v>0.11154598825831702</v>
      </c>
      <c r="M173" s="67">
        <v>0.27489481065918653</v>
      </c>
      <c r="N173" s="67">
        <v>0.21037868162692847</v>
      </c>
      <c r="O173" s="67">
        <v>0.5875850340136054</v>
      </c>
      <c r="P173" s="67">
        <v>0.3888888888888889</v>
      </c>
      <c r="Q173" s="67">
        <v>0.43803585346843338</v>
      </c>
    </row>
    <row r="174" spans="1:17" x14ac:dyDescent="0.4">
      <c r="A174" s="69">
        <v>171</v>
      </c>
      <c r="B174" s="66">
        <v>1.4210854715202004E-14</v>
      </c>
      <c r="C174" s="66">
        <v>2.7647577266929969E-17</v>
      </c>
      <c r="D174" s="71">
        <v>1.9961089494163424</v>
      </c>
      <c r="E174" s="67">
        <v>0.33268482490272372</v>
      </c>
      <c r="F174" s="67">
        <v>0.33268482490272372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0.11284046692607004</v>
      </c>
      <c r="L174" s="67">
        <v>0.11284046692607004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2019-05-21T14:40:57Z</dcterms:modified>
</cp:coreProperties>
</file>