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67A01354-0275-4F35-94A0-E98FF109D970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05" r:id="rId6"/>
    <sheet name="だいち" sheetId="5507" r:id="rId7"/>
    <sheet name="りくと" sheetId="5509" r:id="rId8"/>
    <sheet name="ただ" sheetId="5511" r:id="rId9"/>
    <sheet name="れんたろう" sheetId="5513" r:id="rId10"/>
    <sheet name="たかの" sheetId="5515" r:id="rId11"/>
    <sheet name="ぱぱ" sheetId="5517" r:id="rId12"/>
    <sheet name="まっつん" sheetId="5519" r:id="rId13"/>
    <sheet name="あさひ" sheetId="5521" r:id="rId14"/>
    <sheet name="いっしー" sheetId="5523" r:id="rId15"/>
    <sheet name="ほたに" sheetId="5525" r:id="rId16"/>
    <sheet name="かわたつ" sheetId="5527" r:id="rId17"/>
    <sheet name="やがさき" sheetId="5529" r:id="rId18"/>
    <sheet name="のり" sheetId="5531" r:id="rId19"/>
    <sheet name="のり2" sheetId="5532" state="hidden" r:id="rId20"/>
    <sheet name="やがさき2" sheetId="5530" state="hidden" r:id="rId21"/>
    <sheet name="かわたつ2" sheetId="5528" state="hidden" r:id="rId22"/>
    <sheet name="ほたに2" sheetId="5526" state="hidden" r:id="rId23"/>
    <sheet name="いっしー2" sheetId="5524" state="hidden" r:id="rId24"/>
    <sheet name="あさひ2" sheetId="5522" state="hidden" r:id="rId25"/>
    <sheet name="まっつん2" sheetId="5520" state="hidden" r:id="rId26"/>
    <sheet name="ぱぱ2" sheetId="5518" state="hidden" r:id="rId27"/>
    <sheet name="たかの2" sheetId="5516" state="hidden" r:id="rId28"/>
    <sheet name="れんたろう2" sheetId="5514" state="hidden" r:id="rId29"/>
    <sheet name="ただ2" sheetId="5512" state="hidden" r:id="rId30"/>
    <sheet name="りくと2" sheetId="5510" state="hidden" r:id="rId31"/>
    <sheet name="だいち2" sheetId="5508" state="hidden" r:id="rId32"/>
    <sheet name="全体2" sheetId="550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517" l="1"/>
  <c r="O18" i="5531"/>
  <c r="O21" i="5525" l="1"/>
  <c r="O15" i="5531"/>
  <c r="O15" i="5511" l="1"/>
  <c r="O15" i="5519"/>
  <c r="O15" i="5505"/>
  <c r="O17" i="5531"/>
  <c r="O16" i="5531"/>
  <c r="H39" i="5531"/>
  <c r="H29" i="5531"/>
  <c r="C27" i="5531"/>
  <c r="B24" i="5531"/>
  <c r="C20" i="5531"/>
  <c r="B17" i="5531"/>
  <c r="H51" i="5531" s="1"/>
  <c r="C16" i="5531"/>
  <c r="C15" i="5531"/>
  <c r="C14" i="5531"/>
  <c r="C13" i="5531"/>
  <c r="O12" i="5531"/>
  <c r="C12" i="5531"/>
  <c r="O11" i="5531"/>
  <c r="C11" i="5531"/>
  <c r="O10" i="5531"/>
  <c r="C10" i="5531"/>
  <c r="C9" i="5531"/>
  <c r="C8" i="5531"/>
  <c r="O7" i="5531"/>
  <c r="C7" i="5531"/>
  <c r="O6" i="5531"/>
  <c r="B6" i="5531"/>
  <c r="O5" i="5531"/>
  <c r="B5" i="5531"/>
  <c r="O4" i="5531"/>
  <c r="H4" i="5531"/>
  <c r="O3" i="5531"/>
  <c r="O2" i="5531"/>
  <c r="H16" i="5531" l="1"/>
  <c r="H3" i="5531"/>
  <c r="H9" i="5531"/>
  <c r="H40" i="5531"/>
  <c r="H12" i="5531"/>
  <c r="H21" i="5531"/>
  <c r="H6" i="5531"/>
  <c r="H28" i="5531"/>
  <c r="B23" i="5531"/>
  <c r="H23" i="5531"/>
  <c r="H10" i="5531"/>
  <c r="C17" i="5531"/>
  <c r="H47" i="5531"/>
  <c r="H30" i="5531"/>
  <c r="H7" i="5531"/>
  <c r="H13" i="5531"/>
  <c r="H45" i="5531"/>
  <c r="C18" i="5531"/>
  <c r="H46" i="5531"/>
  <c r="H5" i="5531"/>
  <c r="H14" i="5531"/>
  <c r="H24" i="5531"/>
  <c r="C19" i="5531"/>
  <c r="H48" i="5531"/>
  <c r="H44" i="5531"/>
  <c r="H31" i="5531"/>
  <c r="H32" i="5531"/>
  <c r="H11" i="5531"/>
  <c r="H18" i="5531"/>
  <c r="H36" i="5531"/>
  <c r="H2" i="5531"/>
  <c r="H8" i="5531"/>
  <c r="H25" i="5531"/>
  <c r="H37" i="5531"/>
  <c r="H15" i="5531"/>
  <c r="H19" i="5531"/>
  <c r="H38" i="5531"/>
  <c r="H52" i="5531"/>
  <c r="H20" i="5531"/>
  <c r="H26" i="5531"/>
  <c r="H33" i="5531"/>
  <c r="H41" i="5531"/>
  <c r="H49" i="5531"/>
  <c r="H34" i="5531"/>
  <c r="H42" i="5531"/>
  <c r="H50" i="5531"/>
  <c r="H17" i="5531"/>
  <c r="H22" i="5531"/>
  <c r="H27" i="5531"/>
  <c r="H35" i="5531"/>
  <c r="H43" i="5531"/>
  <c r="O22" i="5525" l="1"/>
  <c r="O17" i="5511"/>
  <c r="O23" i="5523" l="1"/>
  <c r="O15" i="5529"/>
  <c r="O24" i="5517" l="1"/>
  <c r="O15" i="5523"/>
  <c r="O25" i="5507" l="1"/>
  <c r="O17" i="5529"/>
  <c r="O16" i="5511" l="1"/>
  <c r="O23" i="5515"/>
  <c r="O26" i="5505"/>
  <c r="O18" i="5529"/>
  <c r="O16" i="5529"/>
  <c r="C27" i="5529"/>
  <c r="B24" i="5529"/>
  <c r="C20" i="5529"/>
  <c r="B17" i="5529"/>
  <c r="H52" i="5529" s="1"/>
  <c r="C16" i="5529"/>
  <c r="C15" i="5529"/>
  <c r="C14" i="5529"/>
  <c r="C13" i="5529"/>
  <c r="O12" i="5529"/>
  <c r="C12" i="5529"/>
  <c r="O11" i="5529"/>
  <c r="C11" i="5529"/>
  <c r="O10" i="5529"/>
  <c r="H10" i="5529"/>
  <c r="C10" i="5529"/>
  <c r="C9" i="5529"/>
  <c r="H8" i="5529"/>
  <c r="C8" i="5529"/>
  <c r="O7" i="5529"/>
  <c r="C7" i="5529"/>
  <c r="O6" i="5529"/>
  <c r="B6" i="5529"/>
  <c r="O5" i="5529"/>
  <c r="B5" i="5529"/>
  <c r="O4" i="5529"/>
  <c r="H4" i="5529"/>
  <c r="O3" i="5529"/>
  <c r="O2" i="5529"/>
  <c r="H2" i="5529"/>
  <c r="O15" i="5527"/>
  <c r="O16" i="5527"/>
  <c r="C27" i="5527"/>
  <c r="B24" i="5527"/>
  <c r="C20" i="5527"/>
  <c r="C17" i="5527"/>
  <c r="B17" i="5527"/>
  <c r="H52" i="5527" s="1"/>
  <c r="C16" i="5527"/>
  <c r="C15" i="5527"/>
  <c r="C14" i="5527"/>
  <c r="C13" i="5527"/>
  <c r="O12" i="5527"/>
  <c r="C12" i="5527"/>
  <c r="O11" i="5527"/>
  <c r="C11" i="5527"/>
  <c r="O10" i="5527"/>
  <c r="H10" i="5527"/>
  <c r="C10" i="5527"/>
  <c r="C9" i="5527"/>
  <c r="H8" i="5527"/>
  <c r="C8" i="5527"/>
  <c r="O7" i="5527"/>
  <c r="C7" i="5527"/>
  <c r="O6" i="5527"/>
  <c r="B6" i="5527"/>
  <c r="O5" i="5527"/>
  <c r="B5" i="5527"/>
  <c r="O4" i="5527"/>
  <c r="H4" i="5527"/>
  <c r="O3" i="5527"/>
  <c r="O2" i="5527"/>
  <c r="H2" i="5527"/>
  <c r="O23" i="5513"/>
  <c r="O16" i="5507"/>
  <c r="O25" i="5505"/>
  <c r="C17" i="5529" l="1"/>
  <c r="H20" i="5529"/>
  <c r="H26" i="5529"/>
  <c r="H33" i="5529"/>
  <c r="H49" i="5529"/>
  <c r="H13" i="5529"/>
  <c r="C19" i="5529"/>
  <c r="H21" i="5529"/>
  <c r="H34" i="5529"/>
  <c r="H38" i="5529"/>
  <c r="H42" i="5529"/>
  <c r="H50" i="5529"/>
  <c r="H3" i="5529"/>
  <c r="H6" i="5529"/>
  <c r="H9" i="5529"/>
  <c r="H12" i="5529"/>
  <c r="H17" i="5529"/>
  <c r="H19" i="5529"/>
  <c r="H22" i="5529"/>
  <c r="H24" i="5529"/>
  <c r="H27" i="5529"/>
  <c r="H31" i="5529"/>
  <c r="H35" i="5529"/>
  <c r="H39" i="5529"/>
  <c r="H43" i="5529"/>
  <c r="H47" i="5529"/>
  <c r="H51" i="5529"/>
  <c r="H18" i="5529"/>
  <c r="H23" i="5529"/>
  <c r="H29" i="5529"/>
  <c r="H37" i="5529"/>
  <c r="H41" i="5529"/>
  <c r="H45" i="5529"/>
  <c r="H7" i="5529"/>
  <c r="H15" i="5529"/>
  <c r="H30" i="5529"/>
  <c r="H46" i="5529"/>
  <c r="H5" i="5529"/>
  <c r="H11" i="5529"/>
  <c r="H14" i="5529"/>
  <c r="H16" i="5529"/>
  <c r="C18" i="5529"/>
  <c r="B23" i="5529"/>
  <c r="H25" i="5529"/>
  <c r="H28" i="5529"/>
  <c r="H32" i="5529"/>
  <c r="H36" i="5529"/>
  <c r="H40" i="5529"/>
  <c r="H44" i="5529"/>
  <c r="H48" i="5529"/>
  <c r="H18" i="5527"/>
  <c r="H23" i="5527"/>
  <c r="H29" i="5527"/>
  <c r="H37" i="5527"/>
  <c r="H45" i="5527"/>
  <c r="H30" i="5527"/>
  <c r="H34" i="5527"/>
  <c r="H38" i="5527"/>
  <c r="H42" i="5527"/>
  <c r="H50" i="5527"/>
  <c r="H3" i="5527"/>
  <c r="H6" i="5527"/>
  <c r="H9" i="5527"/>
  <c r="H12" i="5527"/>
  <c r="H17" i="5527"/>
  <c r="H19" i="5527"/>
  <c r="H22" i="5527"/>
  <c r="H24" i="5527"/>
  <c r="H27" i="5527"/>
  <c r="H31" i="5527"/>
  <c r="H35" i="5527"/>
  <c r="H39" i="5527"/>
  <c r="H43" i="5527"/>
  <c r="H47" i="5527"/>
  <c r="H51" i="5527"/>
  <c r="H20" i="5527"/>
  <c r="H26" i="5527"/>
  <c r="H33" i="5527"/>
  <c r="H41" i="5527"/>
  <c r="H49" i="5527"/>
  <c r="H7" i="5527"/>
  <c r="H13" i="5527"/>
  <c r="H15" i="5527"/>
  <c r="C19" i="5527"/>
  <c r="H21" i="5527"/>
  <c r="H46" i="5527"/>
  <c r="H5" i="5527"/>
  <c r="H11" i="5527"/>
  <c r="H14" i="5527"/>
  <c r="H16" i="5527"/>
  <c r="C18" i="5527"/>
  <c r="B23" i="5527"/>
  <c r="H25" i="5527"/>
  <c r="H28" i="5527"/>
  <c r="H32" i="5527"/>
  <c r="H36" i="5527"/>
  <c r="H40" i="5527"/>
  <c r="H44" i="5527"/>
  <c r="H48" i="5527"/>
  <c r="O15" i="5515" l="1"/>
  <c r="O21" i="5523"/>
  <c r="O20" i="5525" l="1"/>
  <c r="O19" i="5525"/>
  <c r="O20" i="5519"/>
  <c r="O21" i="5509"/>
  <c r="O24" i="5507" l="1"/>
  <c r="O17" i="5525"/>
  <c r="O23" i="5517"/>
  <c r="O15" i="5525"/>
  <c r="O18" i="5525" l="1"/>
  <c r="O16" i="5525"/>
  <c r="C27" i="5525"/>
  <c r="B24" i="5525"/>
  <c r="C20" i="5525"/>
  <c r="B17" i="5525"/>
  <c r="H52" i="5525" s="1"/>
  <c r="C16" i="5525"/>
  <c r="C15" i="5525"/>
  <c r="C14" i="5525"/>
  <c r="C13" i="5525"/>
  <c r="O12" i="5525"/>
  <c r="C12" i="5525"/>
  <c r="O11" i="5525"/>
  <c r="C11" i="5525"/>
  <c r="O10" i="5525"/>
  <c r="C10" i="5525"/>
  <c r="C9" i="5525"/>
  <c r="C8" i="5525"/>
  <c r="O7" i="5525"/>
  <c r="C7" i="5525"/>
  <c r="O6" i="5525"/>
  <c r="B6" i="5525"/>
  <c r="O5" i="5525"/>
  <c r="B5" i="5525"/>
  <c r="O4" i="5525"/>
  <c r="O3" i="5525"/>
  <c r="O2" i="5525"/>
  <c r="O21" i="5513"/>
  <c r="O21" i="5515"/>
  <c r="O23" i="5505"/>
  <c r="H13" i="5525" l="1"/>
  <c r="H8" i="5525"/>
  <c r="H3" i="5525"/>
  <c r="H10" i="5525"/>
  <c r="H5" i="5525"/>
  <c r="C17" i="5525"/>
  <c r="H2" i="5525"/>
  <c r="H4" i="5525"/>
  <c r="H7" i="5525"/>
  <c r="H15" i="5525"/>
  <c r="H18" i="5525"/>
  <c r="H20" i="5525"/>
  <c r="H23" i="5525"/>
  <c r="H26" i="5525"/>
  <c r="H29" i="5525"/>
  <c r="H33" i="5525"/>
  <c r="H37" i="5525"/>
  <c r="H41" i="5525"/>
  <c r="H45" i="5525"/>
  <c r="H49" i="5525"/>
  <c r="C19" i="5525"/>
  <c r="H21" i="5525"/>
  <c r="H30" i="5525"/>
  <c r="H34" i="5525"/>
  <c r="H38" i="5525"/>
  <c r="H42" i="5525"/>
  <c r="H46" i="5525"/>
  <c r="H50" i="5525"/>
  <c r="H6" i="5525"/>
  <c r="H9" i="5525"/>
  <c r="H12" i="5525"/>
  <c r="H17" i="5525"/>
  <c r="H19" i="5525"/>
  <c r="H22" i="5525"/>
  <c r="H24" i="5525"/>
  <c r="H27" i="5525"/>
  <c r="H31" i="5525"/>
  <c r="H35" i="5525"/>
  <c r="H39" i="5525"/>
  <c r="H43" i="5525"/>
  <c r="H47" i="5525"/>
  <c r="H51" i="5525"/>
  <c r="H11" i="5525"/>
  <c r="H14" i="5525"/>
  <c r="H16" i="5525"/>
  <c r="C18" i="5525"/>
  <c r="B23" i="5525"/>
  <c r="H25" i="5525"/>
  <c r="H28" i="5525"/>
  <c r="H32" i="5525"/>
  <c r="H36" i="5525"/>
  <c r="H40" i="5525"/>
  <c r="H44" i="5525"/>
  <c r="H48" i="5525"/>
  <c r="O18" i="5515" l="1"/>
  <c r="O18" i="5511"/>
  <c r="O21" i="5519"/>
  <c r="O22" i="5519"/>
  <c r="O20" i="5507" l="1"/>
  <c r="O20" i="5523"/>
  <c r="O18" i="5523" l="1"/>
  <c r="O16" i="5523"/>
  <c r="O16" i="5513"/>
  <c r="O24" i="5511"/>
  <c r="O17" i="5521" l="1"/>
  <c r="O22" i="5517"/>
  <c r="O15" i="5521"/>
  <c r="O22" i="5523"/>
  <c r="O15" i="5509"/>
  <c r="O18" i="5519"/>
  <c r="O16" i="5505"/>
  <c r="O19" i="5523"/>
  <c r="O17" i="5523"/>
  <c r="C27" i="5523"/>
  <c r="B24" i="5523"/>
  <c r="C20" i="5523"/>
  <c r="B17" i="5523"/>
  <c r="H52" i="5523" s="1"/>
  <c r="C16" i="5523"/>
  <c r="C15" i="5523"/>
  <c r="C14" i="5523"/>
  <c r="C13" i="5523"/>
  <c r="O12" i="5523"/>
  <c r="C12" i="5523"/>
  <c r="O11" i="5523"/>
  <c r="C11" i="5523"/>
  <c r="O10" i="5523"/>
  <c r="C10" i="5523"/>
  <c r="C9" i="5523"/>
  <c r="C8" i="5523"/>
  <c r="O7" i="5523"/>
  <c r="C7" i="5523"/>
  <c r="O6" i="5523"/>
  <c r="B6" i="5523"/>
  <c r="O5" i="5523"/>
  <c r="B5" i="5523"/>
  <c r="O4" i="5523"/>
  <c r="O3" i="5523"/>
  <c r="O2" i="5523"/>
  <c r="O16" i="5521"/>
  <c r="O18" i="5521"/>
  <c r="C27" i="5521"/>
  <c r="B24" i="5521"/>
  <c r="C20" i="5521"/>
  <c r="B17" i="5521"/>
  <c r="H52" i="5521" s="1"/>
  <c r="C16" i="5521"/>
  <c r="C15" i="5521"/>
  <c r="C14" i="5521"/>
  <c r="C13" i="5521"/>
  <c r="O12" i="5521"/>
  <c r="C12" i="5521"/>
  <c r="O11" i="5521"/>
  <c r="C11" i="5521"/>
  <c r="O10" i="5521"/>
  <c r="C10" i="5521"/>
  <c r="C9" i="5521"/>
  <c r="C8" i="5521"/>
  <c r="O7" i="5521"/>
  <c r="C7" i="5521"/>
  <c r="O6" i="5521"/>
  <c r="B6" i="5521"/>
  <c r="O5" i="5521"/>
  <c r="B5" i="5521"/>
  <c r="O4" i="5521"/>
  <c r="O3" i="5521"/>
  <c r="O2" i="5521"/>
  <c r="O23" i="5519"/>
  <c r="O24" i="5519"/>
  <c r="O15" i="5507"/>
  <c r="O19" i="5507"/>
  <c r="O27" i="5505"/>
  <c r="H10" i="5523" l="1"/>
  <c r="H4" i="5523"/>
  <c r="H2" i="5523"/>
  <c r="H8" i="5523"/>
  <c r="H8" i="5521"/>
  <c r="H14" i="5521"/>
  <c r="H11" i="5521"/>
  <c r="H5" i="5521"/>
  <c r="C19" i="5521"/>
  <c r="H4" i="5521"/>
  <c r="H2" i="5521"/>
  <c r="H10" i="5521"/>
  <c r="H16" i="5521"/>
  <c r="H7" i="5521"/>
  <c r="H13" i="5521"/>
  <c r="H15" i="5521"/>
  <c r="C17" i="5521"/>
  <c r="H21" i="5521"/>
  <c r="H3" i="5521"/>
  <c r="H6" i="5521"/>
  <c r="H9" i="5521"/>
  <c r="H12" i="5521"/>
  <c r="C18" i="5521"/>
  <c r="C17" i="5523"/>
  <c r="H20" i="5523"/>
  <c r="H29" i="5523"/>
  <c r="H33" i="5523"/>
  <c r="H37" i="5523"/>
  <c r="H45" i="5523"/>
  <c r="H7" i="5523"/>
  <c r="H13" i="5523"/>
  <c r="H15" i="5523"/>
  <c r="C19" i="5523"/>
  <c r="H21" i="5523"/>
  <c r="H30" i="5523"/>
  <c r="H34" i="5523"/>
  <c r="H38" i="5523"/>
  <c r="H42" i="5523"/>
  <c r="H46" i="5523"/>
  <c r="H50" i="5523"/>
  <c r="H18" i="5523"/>
  <c r="H26" i="5523"/>
  <c r="H41" i="5523"/>
  <c r="H3" i="5523"/>
  <c r="H6" i="5523"/>
  <c r="H9" i="5523"/>
  <c r="H12" i="5523"/>
  <c r="H17" i="5523"/>
  <c r="H19" i="5523"/>
  <c r="H22" i="5523"/>
  <c r="H24" i="5523"/>
  <c r="H27" i="5523"/>
  <c r="H31" i="5523"/>
  <c r="H35" i="5523"/>
  <c r="H39" i="5523"/>
  <c r="H43" i="5523"/>
  <c r="H47" i="5523"/>
  <c r="H51" i="5523"/>
  <c r="H23" i="5523"/>
  <c r="H49" i="5523"/>
  <c r="H5" i="5523"/>
  <c r="H11" i="5523"/>
  <c r="H14" i="5523"/>
  <c r="H16" i="5523"/>
  <c r="C18" i="5523"/>
  <c r="B23" i="5523"/>
  <c r="H25" i="5523"/>
  <c r="H28" i="5523"/>
  <c r="H32" i="5523"/>
  <c r="H36" i="5523"/>
  <c r="H40" i="5523"/>
  <c r="H44" i="5523"/>
  <c r="H48" i="5523"/>
  <c r="H18" i="5521"/>
  <c r="H20" i="5521"/>
  <c r="H23" i="5521"/>
  <c r="H26" i="5521"/>
  <c r="H29" i="5521"/>
  <c r="H33" i="5521"/>
  <c r="H37" i="5521"/>
  <c r="H41" i="5521"/>
  <c r="H45" i="5521"/>
  <c r="H49" i="5521"/>
  <c r="H30" i="5521"/>
  <c r="H34" i="5521"/>
  <c r="H38" i="5521"/>
  <c r="H42" i="5521"/>
  <c r="H46" i="5521"/>
  <c r="H50" i="5521"/>
  <c r="H17" i="5521"/>
  <c r="H19" i="5521"/>
  <c r="H22" i="5521"/>
  <c r="H24" i="5521"/>
  <c r="H27" i="5521"/>
  <c r="H31" i="5521"/>
  <c r="H35" i="5521"/>
  <c r="H39" i="5521"/>
  <c r="H43" i="5521"/>
  <c r="H47" i="5521"/>
  <c r="H51" i="5521"/>
  <c r="B23" i="5521"/>
  <c r="H25" i="5521"/>
  <c r="H28" i="5521"/>
  <c r="H32" i="5521"/>
  <c r="H36" i="5521"/>
  <c r="H40" i="5521"/>
  <c r="H44" i="5521"/>
  <c r="H48" i="5521"/>
  <c r="O17" i="5519" l="1"/>
  <c r="O21" i="5517"/>
  <c r="O18" i="5517"/>
  <c r="O16" i="5509"/>
  <c r="O17" i="5515" l="1"/>
  <c r="O17" i="5513"/>
  <c r="O17" i="5517"/>
  <c r="O19" i="5517"/>
  <c r="O16" i="5515" l="1"/>
  <c r="O15" i="5513"/>
  <c r="O23" i="5511"/>
  <c r="O21" i="5511"/>
  <c r="O16" i="5519"/>
  <c r="O19" i="5519"/>
  <c r="C27" i="5519"/>
  <c r="B24" i="5519"/>
  <c r="C20" i="5519"/>
  <c r="B17" i="5519"/>
  <c r="H51" i="5519" s="1"/>
  <c r="C16" i="5519"/>
  <c r="C15" i="5519"/>
  <c r="C14" i="5519"/>
  <c r="C13" i="5519"/>
  <c r="O12" i="5519"/>
  <c r="C12" i="5519"/>
  <c r="O11" i="5519"/>
  <c r="C11" i="5519"/>
  <c r="O10" i="5519"/>
  <c r="C10" i="5519"/>
  <c r="C9" i="5519"/>
  <c r="C8" i="5519"/>
  <c r="O7" i="5519"/>
  <c r="C7" i="5519"/>
  <c r="O6" i="5519"/>
  <c r="B6" i="5519"/>
  <c r="O5" i="5519"/>
  <c r="B5" i="5519"/>
  <c r="O4" i="5519"/>
  <c r="O3" i="5519"/>
  <c r="O2" i="5519"/>
  <c r="O22" i="5513"/>
  <c r="O19" i="5509"/>
  <c r="O21" i="5505"/>
  <c r="H15" i="5519" l="1"/>
  <c r="H5" i="5519"/>
  <c r="H28" i="5519"/>
  <c r="H11" i="5519"/>
  <c r="H34" i="5519"/>
  <c r="H23" i="5519"/>
  <c r="H2" i="5519"/>
  <c r="H26" i="5519"/>
  <c r="H32" i="5519"/>
  <c r="H6" i="5519"/>
  <c r="C18" i="5519"/>
  <c r="H31" i="5519"/>
  <c r="H41" i="5519"/>
  <c r="H3" i="5519"/>
  <c r="H12" i="5519"/>
  <c r="H18" i="5519"/>
  <c r="B23" i="5519"/>
  <c r="H25" i="5519"/>
  <c r="H48" i="5519"/>
  <c r="H49" i="5519"/>
  <c r="H16" i="5519"/>
  <c r="H9" i="5519"/>
  <c r="H37" i="5519"/>
  <c r="H44" i="5519"/>
  <c r="H4" i="5519"/>
  <c r="H10" i="5519"/>
  <c r="H7" i="5519"/>
  <c r="H27" i="5519"/>
  <c r="C17" i="5519"/>
  <c r="H13" i="5519"/>
  <c r="H22" i="5519"/>
  <c r="H38" i="5519"/>
  <c r="H45" i="5519"/>
  <c r="H52" i="5519"/>
  <c r="H29" i="5519"/>
  <c r="H30" i="5519"/>
  <c r="H19" i="5519"/>
  <c r="H33" i="5519"/>
  <c r="H17" i="5519"/>
  <c r="H35" i="5519"/>
  <c r="H39" i="5519"/>
  <c r="H42" i="5519"/>
  <c r="H46" i="5519"/>
  <c r="H50" i="5519"/>
  <c r="H8" i="5519"/>
  <c r="H20" i="5519"/>
  <c r="H21" i="5519"/>
  <c r="C19" i="5519"/>
  <c r="H14" i="5519"/>
  <c r="H24" i="5519"/>
  <c r="H36" i="5519"/>
  <c r="H40" i="5519"/>
  <c r="H43" i="5519"/>
  <c r="H47" i="5519"/>
  <c r="O20" i="5511" l="1"/>
  <c r="O20" i="5517"/>
  <c r="O16" i="5517"/>
  <c r="C27" i="5517"/>
  <c r="B24" i="5517"/>
  <c r="C20" i="5517"/>
  <c r="B17" i="5517"/>
  <c r="H52" i="5517" s="1"/>
  <c r="C16" i="5517"/>
  <c r="C15" i="5517"/>
  <c r="C14" i="5517"/>
  <c r="C13" i="5517"/>
  <c r="O12" i="5517"/>
  <c r="C12" i="5517"/>
  <c r="O11" i="5517"/>
  <c r="C11" i="5517"/>
  <c r="O10" i="5517"/>
  <c r="C10" i="5517"/>
  <c r="C9" i="5517"/>
  <c r="C8" i="5517"/>
  <c r="O7" i="5517"/>
  <c r="C7" i="5517"/>
  <c r="O6" i="5517"/>
  <c r="B6" i="5517"/>
  <c r="O5" i="5517"/>
  <c r="B5" i="5517"/>
  <c r="O4" i="5517"/>
  <c r="O3" i="5517"/>
  <c r="O2" i="5517"/>
  <c r="O21" i="5507"/>
  <c r="O17" i="5505"/>
  <c r="O19" i="5515"/>
  <c r="O18" i="5509"/>
  <c r="O20" i="5509"/>
  <c r="O19" i="5513"/>
  <c r="O20" i="5515"/>
  <c r="O22" i="5515"/>
  <c r="C27" i="5515"/>
  <c r="B24" i="5515"/>
  <c r="C20" i="5515"/>
  <c r="B17" i="5515"/>
  <c r="H52" i="5515" s="1"/>
  <c r="C16" i="5515"/>
  <c r="C15" i="5515"/>
  <c r="C14" i="5515"/>
  <c r="C13" i="5515"/>
  <c r="O12" i="5515"/>
  <c r="C12" i="5515"/>
  <c r="O11" i="5515"/>
  <c r="C11" i="5515"/>
  <c r="O10" i="5515"/>
  <c r="C10" i="5515"/>
  <c r="C9" i="5515"/>
  <c r="C8" i="5515"/>
  <c r="O7" i="5515"/>
  <c r="C7" i="5515"/>
  <c r="O6" i="5515"/>
  <c r="B6" i="5515"/>
  <c r="O5" i="5515"/>
  <c r="B5" i="5515"/>
  <c r="O4" i="5515"/>
  <c r="O3" i="5515"/>
  <c r="O2" i="5515"/>
  <c r="O20" i="5513"/>
  <c r="O18" i="5513"/>
  <c r="C27" i="5513"/>
  <c r="B24" i="5513"/>
  <c r="C20" i="5513"/>
  <c r="B17" i="5513"/>
  <c r="H52" i="5513" s="1"/>
  <c r="C16" i="5513"/>
  <c r="C15" i="5513"/>
  <c r="C14" i="5513"/>
  <c r="C13" i="5513"/>
  <c r="O12" i="5513"/>
  <c r="C12" i="5513"/>
  <c r="O11" i="5513"/>
  <c r="C11" i="5513"/>
  <c r="O10" i="5513"/>
  <c r="C10" i="5513"/>
  <c r="C9" i="5513"/>
  <c r="C8" i="5513"/>
  <c r="O7" i="5513"/>
  <c r="C7" i="5513"/>
  <c r="O6" i="5513"/>
  <c r="B6" i="5513"/>
  <c r="O5" i="5513"/>
  <c r="B5" i="5513"/>
  <c r="O4" i="5513"/>
  <c r="O3" i="5513"/>
  <c r="O2" i="5513"/>
  <c r="O17" i="5507"/>
  <c r="O23" i="5507"/>
  <c r="O20" i="5505"/>
  <c r="O22" i="5505"/>
  <c r="H8" i="5515" l="1"/>
  <c r="H2" i="5515"/>
  <c r="H4" i="5515"/>
  <c r="H10" i="5515"/>
  <c r="H5" i="5513"/>
  <c r="C17" i="5517"/>
  <c r="H4" i="5517"/>
  <c r="H10" i="5517"/>
  <c r="H2" i="5517"/>
  <c r="H8" i="5517"/>
  <c r="H18" i="5517"/>
  <c r="H26" i="5517"/>
  <c r="H29" i="5517"/>
  <c r="H33" i="5517"/>
  <c r="H37" i="5517"/>
  <c r="H49" i="5517"/>
  <c r="H7" i="5517"/>
  <c r="H13" i="5517"/>
  <c r="H15" i="5517"/>
  <c r="C19" i="5517"/>
  <c r="H21" i="5517"/>
  <c r="H30" i="5517"/>
  <c r="H34" i="5517"/>
  <c r="H38" i="5517"/>
  <c r="H42" i="5517"/>
  <c r="H46" i="5517"/>
  <c r="H50" i="5517"/>
  <c r="H20" i="5517"/>
  <c r="H45" i="5517"/>
  <c r="H3" i="5517"/>
  <c r="H6" i="5517"/>
  <c r="H9" i="5517"/>
  <c r="H12" i="5517"/>
  <c r="H17" i="5517"/>
  <c r="H19" i="5517"/>
  <c r="H22" i="5517"/>
  <c r="H24" i="5517"/>
  <c r="H27" i="5517"/>
  <c r="H31" i="5517"/>
  <c r="H35" i="5517"/>
  <c r="H39" i="5517"/>
  <c r="H43" i="5517"/>
  <c r="H47" i="5517"/>
  <c r="H51" i="5517"/>
  <c r="H23" i="5517"/>
  <c r="H41" i="5517"/>
  <c r="H5" i="5517"/>
  <c r="H11" i="5517"/>
  <c r="H14" i="5517"/>
  <c r="H16" i="5517"/>
  <c r="C18" i="5517"/>
  <c r="B23" i="5517"/>
  <c r="H25" i="5517"/>
  <c r="H28" i="5517"/>
  <c r="H32" i="5517"/>
  <c r="H36" i="5517"/>
  <c r="H40" i="5517"/>
  <c r="H44" i="5517"/>
  <c r="H48" i="5517"/>
  <c r="C17" i="5515"/>
  <c r="H18" i="5515"/>
  <c r="H26" i="5515"/>
  <c r="H29" i="5515"/>
  <c r="H33" i="5515"/>
  <c r="H37" i="5515"/>
  <c r="H49" i="5515"/>
  <c r="H7" i="5515"/>
  <c r="H13" i="5515"/>
  <c r="H15" i="5515"/>
  <c r="C19" i="5515"/>
  <c r="H21" i="5515"/>
  <c r="H30" i="5515"/>
  <c r="H34" i="5515"/>
  <c r="H38" i="5515"/>
  <c r="H42" i="5515"/>
  <c r="H46" i="5515"/>
  <c r="H50" i="5515"/>
  <c r="H23" i="5515"/>
  <c r="H41" i="5515"/>
  <c r="H3" i="5515"/>
  <c r="H6" i="5515"/>
  <c r="H9" i="5515"/>
  <c r="H12" i="5515"/>
  <c r="H17" i="5515"/>
  <c r="H19" i="5515"/>
  <c r="H22" i="5515"/>
  <c r="H24" i="5515"/>
  <c r="H27" i="5515"/>
  <c r="H31" i="5515"/>
  <c r="H35" i="5515"/>
  <c r="H39" i="5515"/>
  <c r="H43" i="5515"/>
  <c r="H47" i="5515"/>
  <c r="H51" i="5515"/>
  <c r="H20" i="5515"/>
  <c r="H45" i="5515"/>
  <c r="H5" i="5515"/>
  <c r="H11" i="5515"/>
  <c r="H14" i="5515"/>
  <c r="H16" i="5515"/>
  <c r="C18" i="5515"/>
  <c r="B23" i="5515"/>
  <c r="H25" i="5515"/>
  <c r="H28" i="5515"/>
  <c r="H32" i="5515"/>
  <c r="H36" i="5515"/>
  <c r="H40" i="5515"/>
  <c r="H44" i="5515"/>
  <c r="H48" i="5515"/>
  <c r="H14" i="5513"/>
  <c r="H21" i="5513"/>
  <c r="H39" i="5513"/>
  <c r="H43" i="5513"/>
  <c r="H11" i="5513"/>
  <c r="H16" i="5513"/>
  <c r="C18" i="5513"/>
  <c r="H2" i="5513"/>
  <c r="H4" i="5513"/>
  <c r="H8" i="5513"/>
  <c r="H10" i="5513"/>
  <c r="C19" i="5513"/>
  <c r="H22" i="5513"/>
  <c r="H27" i="5513"/>
  <c r="H7" i="5513"/>
  <c r="H13" i="5513"/>
  <c r="H15" i="5513"/>
  <c r="C17" i="5513"/>
  <c r="H19" i="5513"/>
  <c r="H31" i="5513"/>
  <c r="H47" i="5513"/>
  <c r="H3" i="5513"/>
  <c r="H6" i="5513"/>
  <c r="H9" i="5513"/>
  <c r="H12" i="5513"/>
  <c r="H17" i="5513"/>
  <c r="H24" i="5513"/>
  <c r="H35" i="5513"/>
  <c r="H51" i="5513"/>
  <c r="H18" i="5513"/>
  <c r="H20" i="5513"/>
  <c r="H23" i="5513"/>
  <c r="H26" i="5513"/>
  <c r="H29" i="5513"/>
  <c r="H33" i="5513"/>
  <c r="H37" i="5513"/>
  <c r="H41" i="5513"/>
  <c r="H45" i="5513"/>
  <c r="H49" i="5513"/>
  <c r="H30" i="5513"/>
  <c r="H34" i="5513"/>
  <c r="H38" i="5513"/>
  <c r="H42" i="5513"/>
  <c r="H46" i="5513"/>
  <c r="H50" i="5513"/>
  <c r="B23" i="5513"/>
  <c r="H25" i="5513"/>
  <c r="H28" i="5513"/>
  <c r="H32" i="5513"/>
  <c r="H36" i="5513"/>
  <c r="H40" i="5513"/>
  <c r="H44" i="5513"/>
  <c r="H48" i="5513"/>
  <c r="O19" i="5511" l="1"/>
  <c r="O22" i="5511"/>
  <c r="C27" i="5511"/>
  <c r="B24" i="5511"/>
  <c r="C20" i="5511"/>
  <c r="B17" i="5511"/>
  <c r="H28" i="5511" s="1"/>
  <c r="C16" i="5511"/>
  <c r="C15" i="5511"/>
  <c r="C14" i="5511"/>
  <c r="C13" i="5511"/>
  <c r="O12" i="5511"/>
  <c r="C12" i="5511"/>
  <c r="O11" i="5511"/>
  <c r="C11" i="5511"/>
  <c r="O10" i="5511"/>
  <c r="C10" i="5511"/>
  <c r="C9" i="5511"/>
  <c r="C8" i="5511"/>
  <c r="O7" i="5511"/>
  <c r="C7" i="5511"/>
  <c r="O6" i="5511"/>
  <c r="B6" i="5511"/>
  <c r="O5" i="5511"/>
  <c r="B5" i="5511"/>
  <c r="O4" i="5511"/>
  <c r="O3" i="5511"/>
  <c r="O2" i="5511"/>
  <c r="O22" i="5509"/>
  <c r="O17" i="5509"/>
  <c r="C27" i="5509"/>
  <c r="B24" i="5509"/>
  <c r="C20" i="5509"/>
  <c r="B17" i="5509"/>
  <c r="H51" i="5509" s="1"/>
  <c r="C16" i="5509"/>
  <c r="C15" i="5509"/>
  <c r="C14" i="5509"/>
  <c r="C13" i="5509"/>
  <c r="O12" i="5509"/>
  <c r="C12" i="5509"/>
  <c r="O11" i="5509"/>
  <c r="C11" i="5509"/>
  <c r="O10" i="5509"/>
  <c r="C10" i="5509"/>
  <c r="C9" i="5509"/>
  <c r="C8" i="5509"/>
  <c r="O7" i="5509"/>
  <c r="C7" i="5509"/>
  <c r="O6" i="5509"/>
  <c r="B6" i="5509"/>
  <c r="O5" i="5509"/>
  <c r="B5" i="5509"/>
  <c r="O4" i="5509"/>
  <c r="O3" i="5509"/>
  <c r="O2" i="5509"/>
  <c r="O24" i="5505"/>
  <c r="O18" i="5507"/>
  <c r="O22" i="5507"/>
  <c r="C27" i="5507"/>
  <c r="B24" i="5507"/>
  <c r="C20" i="5507"/>
  <c r="B17" i="5507"/>
  <c r="H15" i="5507" s="1"/>
  <c r="C16" i="5507"/>
  <c r="C15" i="5507"/>
  <c r="C14" i="5507"/>
  <c r="C13" i="5507"/>
  <c r="O12" i="5507"/>
  <c r="C12" i="5507"/>
  <c r="O11" i="5507"/>
  <c r="C11" i="5507"/>
  <c r="O10" i="5507"/>
  <c r="C10" i="5507"/>
  <c r="C9" i="5507"/>
  <c r="C8" i="5507"/>
  <c r="O7" i="5507"/>
  <c r="C7" i="5507"/>
  <c r="O6" i="5507"/>
  <c r="B6" i="5507"/>
  <c r="O5" i="5507"/>
  <c r="B5" i="5507"/>
  <c r="O4" i="5507"/>
  <c r="O3" i="5507"/>
  <c r="O2" i="5507"/>
  <c r="O18" i="5505"/>
  <c r="O19" i="5505"/>
  <c r="C27" i="5505"/>
  <c r="B24" i="5505"/>
  <c r="C20" i="5505"/>
  <c r="B17" i="5505"/>
  <c r="H51" i="5505" s="1"/>
  <c r="C16" i="5505"/>
  <c r="C15" i="5505"/>
  <c r="C14" i="5505"/>
  <c r="C13" i="5505"/>
  <c r="O12" i="5505"/>
  <c r="C12" i="5505"/>
  <c r="O11" i="5505"/>
  <c r="C11" i="5505"/>
  <c r="O10" i="5505"/>
  <c r="C10" i="5505"/>
  <c r="C9" i="5505"/>
  <c r="C8" i="5505"/>
  <c r="O7" i="5505"/>
  <c r="C7" i="5505"/>
  <c r="O6" i="5505"/>
  <c r="B6" i="5505"/>
  <c r="O5" i="5505"/>
  <c r="B5" i="5505"/>
  <c r="O4" i="5505"/>
  <c r="O3" i="5505"/>
  <c r="O2" i="5505"/>
  <c r="H4" i="5509" l="1"/>
  <c r="H16" i="5509"/>
  <c r="H2" i="5509"/>
  <c r="H3" i="5509"/>
  <c r="H12" i="5509"/>
  <c r="H14" i="5509"/>
  <c r="H6" i="5509"/>
  <c r="H9" i="5509"/>
  <c r="H11" i="5509"/>
  <c r="C18" i="5509"/>
  <c r="H5" i="5509"/>
  <c r="H8" i="5509"/>
  <c r="H10" i="5509"/>
  <c r="C19" i="5509"/>
  <c r="H11" i="5507"/>
  <c r="H16" i="5507"/>
  <c r="H29" i="5507"/>
  <c r="H2" i="5511"/>
  <c r="H3" i="5511"/>
  <c r="H20" i="5505"/>
  <c r="H6" i="5507"/>
  <c r="H3" i="5507"/>
  <c r="H4" i="5511"/>
  <c r="H22" i="5511"/>
  <c r="H23" i="5511"/>
  <c r="C17" i="5511"/>
  <c r="B23" i="5511"/>
  <c r="H34" i="5511"/>
  <c r="H42" i="5511"/>
  <c r="H50" i="5511"/>
  <c r="H24" i="5511"/>
  <c r="H21" i="5511"/>
  <c r="H41" i="5511"/>
  <c r="H17" i="5511"/>
  <c r="H12" i="5511"/>
  <c r="H6" i="5511"/>
  <c r="H10" i="5511"/>
  <c r="H19" i="5511"/>
  <c r="H20" i="5511"/>
  <c r="H11" i="5511"/>
  <c r="H37" i="5511"/>
  <c r="H45" i="5511"/>
  <c r="H5" i="5511"/>
  <c r="H9" i="5511"/>
  <c r="C19" i="5511"/>
  <c r="H49" i="5511"/>
  <c r="H8" i="5511"/>
  <c r="H16" i="5511"/>
  <c r="H7" i="5511"/>
  <c r="H29" i="5511"/>
  <c r="H30" i="5511"/>
  <c r="H14" i="5511"/>
  <c r="C18" i="5511"/>
  <c r="H15" i="5511"/>
  <c r="H13" i="5511"/>
  <c r="H33" i="5511"/>
  <c r="H38" i="5511"/>
  <c r="H46" i="5511"/>
  <c r="H52" i="5511"/>
  <c r="H31" i="5511"/>
  <c r="H32" i="5511"/>
  <c r="H25" i="5511"/>
  <c r="H26" i="5511"/>
  <c r="H18" i="5511"/>
  <c r="H35" i="5511"/>
  <c r="H39" i="5511"/>
  <c r="H43" i="5511"/>
  <c r="H47" i="5511"/>
  <c r="H51" i="5511"/>
  <c r="H27" i="5511"/>
  <c r="H36" i="5511"/>
  <c r="H40" i="5511"/>
  <c r="H44" i="5511"/>
  <c r="H48" i="5511"/>
  <c r="H32" i="5509"/>
  <c r="B23" i="5509"/>
  <c r="H40" i="5509"/>
  <c r="H44" i="5509"/>
  <c r="H7" i="5509"/>
  <c r="H13" i="5509"/>
  <c r="H15" i="5509"/>
  <c r="C17" i="5509"/>
  <c r="H21" i="5509"/>
  <c r="H28" i="5509"/>
  <c r="H48" i="5509"/>
  <c r="H25" i="5509"/>
  <c r="H36" i="5509"/>
  <c r="H52" i="5509"/>
  <c r="H18" i="5509"/>
  <c r="H20" i="5509"/>
  <c r="H23" i="5509"/>
  <c r="H26" i="5509"/>
  <c r="H29" i="5509"/>
  <c r="H33" i="5509"/>
  <c r="H37" i="5509"/>
  <c r="H41" i="5509"/>
  <c r="H45" i="5509"/>
  <c r="H49" i="5509"/>
  <c r="H30" i="5509"/>
  <c r="H34" i="5509"/>
  <c r="H38" i="5509"/>
  <c r="H42" i="5509"/>
  <c r="H46" i="5509"/>
  <c r="H50" i="5509"/>
  <c r="H17" i="5509"/>
  <c r="H19" i="5509"/>
  <c r="H22" i="5509"/>
  <c r="H24" i="5509"/>
  <c r="H27" i="5509"/>
  <c r="H31" i="5509"/>
  <c r="H35" i="5509"/>
  <c r="H39" i="5509"/>
  <c r="H43" i="5509"/>
  <c r="H47" i="5509"/>
  <c r="H38" i="5505"/>
  <c r="H42" i="5505"/>
  <c r="H10" i="5505"/>
  <c r="H11" i="5505"/>
  <c r="H6" i="5505"/>
  <c r="H3" i="5505"/>
  <c r="H7" i="5505"/>
  <c r="H4" i="5505"/>
  <c r="H2" i="5505"/>
  <c r="H41" i="5507"/>
  <c r="H42" i="5507"/>
  <c r="H32" i="5507"/>
  <c r="H13" i="5507"/>
  <c r="H49" i="5507"/>
  <c r="H31" i="5507"/>
  <c r="H28" i="5507"/>
  <c r="H2" i="5507"/>
  <c r="H19" i="5507"/>
  <c r="B23" i="5507"/>
  <c r="H26" i="5507"/>
  <c r="H4" i="5507"/>
  <c r="C18" i="5507"/>
  <c r="H35" i="5507"/>
  <c r="H50" i="5507"/>
  <c r="H17" i="5507"/>
  <c r="H9" i="5507"/>
  <c r="H37" i="5507"/>
  <c r="H45" i="5507"/>
  <c r="H5" i="5507"/>
  <c r="H10" i="5507"/>
  <c r="H7" i="5507"/>
  <c r="H21" i="5507"/>
  <c r="C17" i="5507"/>
  <c r="H12" i="5507"/>
  <c r="H25" i="5507"/>
  <c r="H38" i="5507"/>
  <c r="H46" i="5507"/>
  <c r="H52" i="5507"/>
  <c r="H33" i="5507"/>
  <c r="H34" i="5507"/>
  <c r="H20" i="5507"/>
  <c r="H24" i="5507"/>
  <c r="H18" i="5507"/>
  <c r="H30" i="5507"/>
  <c r="H39" i="5507"/>
  <c r="H43" i="5507"/>
  <c r="H47" i="5507"/>
  <c r="H51" i="5507"/>
  <c r="H8" i="5507"/>
  <c r="H27" i="5507"/>
  <c r="H23" i="5507"/>
  <c r="C19" i="5507"/>
  <c r="H14" i="5507"/>
  <c r="H22" i="5507"/>
  <c r="H36" i="5507"/>
  <c r="H40" i="5507"/>
  <c r="H44" i="5507"/>
  <c r="H48" i="5507"/>
  <c r="H46" i="5505"/>
  <c r="H12" i="5505"/>
  <c r="H22" i="5505"/>
  <c r="H35" i="5505"/>
  <c r="H18" i="5505"/>
  <c r="H9" i="5505"/>
  <c r="H50" i="5505"/>
  <c r="H16" i="5505"/>
  <c r="C18" i="5505"/>
  <c r="H14" i="5505"/>
  <c r="H13" i="5505"/>
  <c r="H29" i="5505"/>
  <c r="H39" i="5505"/>
  <c r="H33" i="5505"/>
  <c r="H34" i="5505"/>
  <c r="H19" i="5505"/>
  <c r="C19" i="5505"/>
  <c r="H26" i="5505"/>
  <c r="H43" i="5505"/>
  <c r="H5" i="5505"/>
  <c r="H28" i="5505"/>
  <c r="H24" i="5505"/>
  <c r="H32" i="5505"/>
  <c r="H48" i="5505"/>
  <c r="H8" i="5505"/>
  <c r="H21" i="5505"/>
  <c r="H27" i="5505"/>
  <c r="C17" i="5505"/>
  <c r="H15" i="5505"/>
  <c r="B23" i="5505"/>
  <c r="H25" i="5505"/>
  <c r="H40" i="5505"/>
  <c r="H45" i="5505"/>
  <c r="H49" i="5505"/>
  <c r="H52" i="5505"/>
  <c r="H36" i="5505"/>
  <c r="H37" i="5505"/>
  <c r="H23" i="5505"/>
  <c r="H30" i="5505"/>
  <c r="H17" i="5505"/>
  <c r="H31" i="5505"/>
  <c r="H41" i="5505"/>
  <c r="H44" i="5505"/>
  <c r="H47" i="5505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<sst xmlns="http://schemas.openxmlformats.org/spreadsheetml/2006/main" count="3600" uniqueCount="277">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</sst>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全体!$K$2:$K$821</c:f>
              <c:numCache>
                <c:formatCode>General</c:formatCode>
                <c:ptCount val="8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</c:numCache>
            </c:numRef>
          </c:xVal>
          <c:yVal>
            <c:numRef>
              <c:f>全体!$L$2:$L$821</c:f>
              <c:numCache>
                <c:formatCode>\+0.0;\-0.0;\±0</c:formatCode>
                <c:ptCount val="82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-11.999999999999986</c:v>
                </c:pt>
                <c:pt idx="740">
                  <c:v>65.100000000000009</c:v>
                </c:pt>
                <c:pt idx="741">
                  <c:v>1.4210854715202004E-14</c:v>
                </c:pt>
                <c:pt idx="742">
                  <c:v>14.700000000000014</c:v>
                </c:pt>
                <c:pt idx="743">
                  <c:v>75.200000000000017</c:v>
                </c:pt>
                <c:pt idx="744">
                  <c:v>1.4210854715202004E-14</c:v>
                </c:pt>
                <c:pt idx="745">
                  <c:v>12.200000000000014</c:v>
                </c:pt>
                <c:pt idx="746">
                  <c:v>55.100000000000009</c:v>
                </c:pt>
                <c:pt idx="747">
                  <c:v>7.1054273576010019E-15</c:v>
                </c:pt>
                <c:pt idx="748">
                  <c:v>9.0000000000000071</c:v>
                </c:pt>
                <c:pt idx="749">
                  <c:v>-37.699999999999996</c:v>
                </c:pt>
                <c:pt idx="750">
                  <c:v>7.1054273576010019E-15</c:v>
                </c:pt>
                <c:pt idx="751">
                  <c:v>-43.199999999999996</c:v>
                </c:pt>
                <c:pt idx="752">
                  <c:v>-39.799999999999997</c:v>
                </c:pt>
                <c:pt idx="753">
                  <c:v>0</c:v>
                </c:pt>
                <c:pt idx="754">
                  <c:v>-53.3</c:v>
                </c:pt>
                <c:pt idx="755">
                  <c:v>-61.599999999999994</c:v>
                </c:pt>
                <c:pt idx="756">
                  <c:v>7.1054273576010019E-15</c:v>
                </c:pt>
                <c:pt idx="757">
                  <c:v>31.700000000000006</c:v>
                </c:pt>
                <c:pt idx="758">
                  <c:v>-10.099999999999991</c:v>
                </c:pt>
                <c:pt idx="759">
                  <c:v>8.8817841970012523E-15</c:v>
                </c:pt>
                <c:pt idx="760">
                  <c:v>42.70000000000001</c:v>
                </c:pt>
                <c:pt idx="761">
                  <c:v>-2.5999999999999872</c:v>
                </c:pt>
                <c:pt idx="762">
                  <c:v>1.2878587085651816E-14</c:v>
                </c:pt>
                <c:pt idx="763">
                  <c:v>62.000000000000014</c:v>
                </c:pt>
                <c:pt idx="764">
                  <c:v>3.9000000000000128</c:v>
                </c:pt>
                <c:pt idx="765">
                  <c:v>1.2878587085651816E-14</c:v>
                </c:pt>
                <c:pt idx="766">
                  <c:v>35.000000000000014</c:v>
                </c:pt>
                <c:pt idx="767">
                  <c:v>-9.5999999999999872</c:v>
                </c:pt>
                <c:pt idx="768">
                  <c:v>1.2434497875801753E-14</c:v>
                </c:pt>
                <c:pt idx="769">
                  <c:v>39.300000000000011</c:v>
                </c:pt>
                <c:pt idx="770">
                  <c:v>-18.999999999999986</c:v>
                </c:pt>
                <c:pt idx="771">
                  <c:v>1.4210854715202004E-14</c:v>
                </c:pt>
                <c:pt idx="772">
                  <c:v>1.1000000000000143</c:v>
                </c:pt>
                <c:pt idx="773">
                  <c:v>-34.699999999999982</c:v>
                </c:pt>
                <c:pt idx="774">
                  <c:v>2.1316282072803006E-14</c:v>
                </c:pt>
                <c:pt idx="775">
                  <c:v>-32.09999999999998</c:v>
                </c:pt>
                <c:pt idx="776">
                  <c:v>-36.399999999999977</c:v>
                </c:pt>
                <c:pt idx="777">
                  <c:v>2.1316282072803006E-14</c:v>
                </c:pt>
                <c:pt idx="778">
                  <c:v>-7.399999999999979</c:v>
                </c:pt>
                <c:pt idx="779">
                  <c:v>-65.999999999999986</c:v>
                </c:pt>
                <c:pt idx="780">
                  <c:v>1.4210854715202004E-14</c:v>
                </c:pt>
                <c:pt idx="781">
                  <c:v>-55.399999999999984</c:v>
                </c:pt>
                <c:pt idx="782">
                  <c:v>-42.59999999999998</c:v>
                </c:pt>
                <c:pt idx="783">
                  <c:v>2.1316282072803006E-14</c:v>
                </c:pt>
                <c:pt idx="784">
                  <c:v>17.800000000000022</c:v>
                </c:pt>
                <c:pt idx="785">
                  <c:v>-49.199999999999974</c:v>
                </c:pt>
                <c:pt idx="786">
                  <c:v>2.8421709430404007E-14</c:v>
                </c:pt>
                <c:pt idx="787">
                  <c:v>-17.89999999999997</c:v>
                </c:pt>
                <c:pt idx="788">
                  <c:v>80.400000000000034</c:v>
                </c:pt>
                <c:pt idx="789">
                  <c:v>2.8421709430404007E-14</c:v>
                </c:pt>
                <c:pt idx="790">
                  <c:v>9.5000000000000284</c:v>
                </c:pt>
                <c:pt idx="791">
                  <c:v>-49.999999999999972</c:v>
                </c:pt>
                <c:pt idx="792">
                  <c:v>2.8421709430404007E-14</c:v>
                </c:pt>
                <c:pt idx="793">
                  <c:v>-55.299999999999969</c:v>
                </c:pt>
                <c:pt idx="794">
                  <c:v>3.5000000000000284</c:v>
                </c:pt>
                <c:pt idx="795">
                  <c:v>2.8421709430404007E-14</c:v>
                </c:pt>
                <c:pt idx="796">
                  <c:v>31.000000000000028</c:v>
                </c:pt>
                <c:pt idx="797">
                  <c:v>-4.9999999999999716</c:v>
                </c:pt>
                <c:pt idx="798">
                  <c:v>2.8421709430404007E-14</c:v>
                </c:pt>
                <c:pt idx="799">
                  <c:v>-35.299999999999969</c:v>
                </c:pt>
                <c:pt idx="800">
                  <c:v>-38.89999999999997</c:v>
                </c:pt>
                <c:pt idx="801">
                  <c:v>2.8421709430404007E-14</c:v>
                </c:pt>
                <c:pt idx="802">
                  <c:v>41.10000000000003</c:v>
                </c:pt>
                <c:pt idx="803">
                  <c:v>52.000000000000028</c:v>
                </c:pt>
                <c:pt idx="804">
                  <c:v>2.8421709430404007E-14</c:v>
                </c:pt>
                <c:pt idx="805">
                  <c:v>54.60000000000003</c:v>
                </c:pt>
                <c:pt idx="806">
                  <c:v>55.900000000000027</c:v>
                </c:pt>
                <c:pt idx="807">
                  <c:v>2.8421709430404007E-14</c:v>
                </c:pt>
                <c:pt idx="808">
                  <c:v>27.500000000000028</c:v>
                </c:pt>
                <c:pt idx="809">
                  <c:v>28.500000000000028</c:v>
                </c:pt>
                <c:pt idx="810">
                  <c:v>2.8421709430404007E-14</c:v>
                </c:pt>
                <c:pt idx="811">
                  <c:v>33.400000000000027</c:v>
                </c:pt>
                <c:pt idx="812">
                  <c:v>0.10000000000002984</c:v>
                </c:pt>
                <c:pt idx="813">
                  <c:v>2.9837243786801082E-14</c:v>
                </c:pt>
                <c:pt idx="814">
                  <c:v>38.300000000000026</c:v>
                </c:pt>
                <c:pt idx="815">
                  <c:v>-12.899999999999977</c:v>
                </c:pt>
                <c:pt idx="816">
                  <c:v>2.3092638912203256E-14</c:v>
                </c:pt>
                <c:pt idx="817">
                  <c:v>47.90000000000002</c:v>
                </c:pt>
                <c:pt idx="818">
                  <c:v>-22.59999999999998</c:v>
                </c:pt>
                <c:pt idx="819">
                  <c:v>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A-4C71-815D-2B16B548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-17.094017094017094</c:v>
                </c:pt>
                <c:pt idx="1">
                  <c:v>-6.2421972534332086</c:v>
                </c:pt>
                <c:pt idx="2">
                  <c:v>12.195121951219512</c:v>
                </c:pt>
                <c:pt idx="3">
                  <c:v>7.3421439060205582</c:v>
                </c:pt>
                <c:pt idx="4">
                  <c:v>-16.501650165016503</c:v>
                </c:pt>
                <c:pt idx="5">
                  <c:v>28.40909090909091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8-4551-99F6-6D1F0055A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だいち!$K$2:$K$175</c:f>
              <c:numCache>
                <c:formatCode>General</c:formatCode>
                <c:ptCount val="1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</c:numCache>
            </c:numRef>
          </c:xVal>
          <c:yVal>
            <c:numRef>
              <c:f>だいち!$L$2:$L$175</c:f>
              <c:numCache>
                <c:formatCode>\+0.0;\-0.0;\±0</c:formatCode>
                <c:ptCount val="17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3-42B0-9050-E17A1DE08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1684.3930635838151</c:v>
                </c:pt>
                <c:pt idx="1">
                  <c:v>2234.5238095238096</c:v>
                </c:pt>
                <c:pt idx="2">
                  <c:v>560.37735849056605</c:v>
                </c:pt>
                <c:pt idx="3">
                  <c:v>2206.8027210884352</c:v>
                </c:pt>
                <c:pt idx="4">
                  <c:v>519.23076923076928</c:v>
                </c:pt>
                <c:pt idx="5">
                  <c:v>1066.9642857142858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B-4F7D-9458-96BB8C1D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C7-4EE6-B8AA-6A008220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471.12676056338029</c:v>
                </c:pt>
                <c:pt idx="1">
                  <c:v>-1986.1313868613138</c:v>
                </c:pt>
                <c:pt idx="2">
                  <c:v>463.84615384615387</c:v>
                </c:pt>
                <c:pt idx="3">
                  <c:v>-96.581196581196579</c:v>
                </c:pt>
                <c:pt idx="4">
                  <c:v>796.11650485436894</c:v>
                </c:pt>
                <c:pt idx="5">
                  <c:v>-360.63829787234044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4-4999-855D-A92B6A90B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ただ!$L$2:$L$122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3-4B04-A59F-1AE3EB13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-1949.1666666666667</c:v>
                </c:pt>
                <c:pt idx="1">
                  <c:v>-1451.2820512820513</c:v>
                </c:pt>
                <c:pt idx="2">
                  <c:v>-32.407407407407405</c:v>
                </c:pt>
                <c:pt idx="3">
                  <c:v>-3400</c:v>
                </c:pt>
                <c:pt idx="4">
                  <c:v>-163.2183908045977</c:v>
                </c:pt>
                <c:pt idx="5">
                  <c:v>-109.21052631578948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E-4091-84E1-E241C0848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れんたろう!$L$2:$L$98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F-4B1A-9B65-B1ABF197A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-365.625</c:v>
                </c:pt>
                <c:pt idx="1">
                  <c:v>677.65957446808511</c:v>
                </c:pt>
                <c:pt idx="2">
                  <c:v>1677.6470588235295</c:v>
                </c:pt>
                <c:pt idx="3">
                  <c:v>58.666666666666664</c:v>
                </c:pt>
                <c:pt idx="4">
                  <c:v>-1990.909090909091</c:v>
                </c:pt>
                <c:pt idx="5">
                  <c:v>-369.49152542372883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9-45B2-BB12-3BDD26488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たかの!$L$2:$L$94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D-44A4-B773-E8F7E984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239.13043478260869</c:v>
                </c:pt>
                <c:pt idx="1">
                  <c:v>-1233.695652173913</c:v>
                </c:pt>
                <c:pt idx="2">
                  <c:v>-904.8780487804878</c:v>
                </c:pt>
                <c:pt idx="3">
                  <c:v>1247.4358974358975</c:v>
                </c:pt>
                <c:pt idx="4">
                  <c:v>-173.61111111111111</c:v>
                </c:pt>
                <c:pt idx="5">
                  <c:v>-175.40983606557376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3-45E6-99C5-FD6260EC1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ぱぱ!$L$2:$L$54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9-4A39-8E16-544D8F67B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-2951.9230769230771</c:v>
                </c:pt>
                <c:pt idx="1">
                  <c:v>1819.2307692307693</c:v>
                </c:pt>
                <c:pt idx="2">
                  <c:v>-220.83333333333334</c:v>
                </c:pt>
                <c:pt idx="3">
                  <c:v>-4015.5555555555557</c:v>
                </c:pt>
                <c:pt idx="4">
                  <c:v>-582.5</c:v>
                </c:pt>
                <c:pt idx="5">
                  <c:v>-55.263157894736842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F-4D1F-BA66-E320672F5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F-4431-A765-D862AB9F3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993.18181818181813</c:v>
                </c:pt>
                <c:pt idx="1">
                  <c:v>127.05882352941177</c:v>
                </c:pt>
                <c:pt idx="2">
                  <c:v>-477.9220779220779</c:v>
                </c:pt>
                <c:pt idx="3">
                  <c:v>1517.8082191780823</c:v>
                </c:pt>
                <c:pt idx="4">
                  <c:v>-1734.8484848484848</c:v>
                </c:pt>
                <c:pt idx="5">
                  <c:v>211.11111111111111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4D-408F-9559-D6A00F3F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B6-4174-BF98-EFF75DCB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F-4E21-B010-126EADE57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いっしー!$L$2:$L$25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F-4AC1-8E86-2F1E8926C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-339.13043478260869</c:v>
                </c:pt>
                <c:pt idx="1">
                  <c:v>-4734.782608695652</c:v>
                </c:pt>
                <c:pt idx="2">
                  <c:v>-73.684210526315795</c:v>
                </c:pt>
                <c:pt idx="3">
                  <c:v>-3078.9473684210525</c:v>
                </c:pt>
                <c:pt idx="4">
                  <c:v>-800</c:v>
                </c:pt>
                <c:pt idx="5">
                  <c:v>-3307.1428571428573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1-4F0F-B590-1E273FE8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ほたに!$L$2:$L$20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41A2-9BAD-60FC80502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-1616.6666666666667</c:v>
                </c:pt>
                <c:pt idx="1">
                  <c:v>2655.5555555555557</c:v>
                </c:pt>
                <c:pt idx="2">
                  <c:v>-7358.8235294117649</c:v>
                </c:pt>
                <c:pt idx="3">
                  <c:v>-1135.2941176470588</c:v>
                </c:pt>
                <c:pt idx="4">
                  <c:v>10135.714285714286</c:v>
                </c:pt>
                <c:pt idx="5">
                  <c:v>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5-4D72-A792-5329E588D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1-42DF-966C-DE75A6531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8-4715-8FA1-A1DDC6010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9-4B6E-AAEB-57F9B0018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6-4CA0-94EB-9DABE53CA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82-46D4-9A25-0099D123C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-5260</c:v>
                </c:pt>
                <c:pt idx="1">
                  <c:v>-3400</c:v>
                </c:pt>
                <c:pt idx="2">
                  <c:v>150</c:v>
                </c:pt>
                <c:pt idx="3">
                  <c:v>5000</c:v>
                </c:pt>
                <c:pt idx="4">
                  <c:v>-2700</c:v>
                </c:pt>
                <c:pt idx="5">
                  <c:v>-5350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0-4519-80C9-0FAF9FB62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まっつん2!$B$3:$B$91</c:f>
              <c:numCache>
                <c:formatCode>\+0.0;\-0.0;\±0</c:formatCode>
                <c:ptCount val="8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まっつん2!$C$3:$C$91</c:f>
              <c:numCache>
                <c:formatCode>\+0.0;\-0.0;\±0</c:formatCode>
                <c:ptCount val="89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  <c:pt idx="59">
                  <c:v>5</c:v>
                </c:pt>
                <c:pt idx="60">
                  <c:v>5.9899999999999993</c:v>
                </c:pt>
                <c:pt idx="61">
                  <c:v>5.6967213114754101</c:v>
                </c:pt>
                <c:pt idx="62">
                  <c:v>5.5741935483870968</c:v>
                </c:pt>
                <c:pt idx="63">
                  <c:v>4.5650793650793657</c:v>
                </c:pt>
                <c:pt idx="64">
                  <c:v>5.0562500000000004</c:v>
                </c:pt>
                <c:pt idx="65">
                  <c:v>5.0553846153846154</c:v>
                </c:pt>
                <c:pt idx="66">
                  <c:v>4.6515151515151514</c:v>
                </c:pt>
                <c:pt idx="67">
                  <c:v>4.0910447761194035</c:v>
                </c:pt>
                <c:pt idx="68">
                  <c:v>4.197058823529412</c:v>
                </c:pt>
                <c:pt idx="69">
                  <c:v>4.7884057971014498</c:v>
                </c:pt>
                <c:pt idx="70">
                  <c:v>5.4642857142857153</c:v>
                </c:pt>
                <c:pt idx="71">
                  <c:v>4.9352112676056343</c:v>
                </c:pt>
                <c:pt idx="72">
                  <c:v>4.2305555555555561</c:v>
                </c:pt>
                <c:pt idx="73">
                  <c:v>3.7671232876712328</c:v>
                </c:pt>
                <c:pt idx="74">
                  <c:v>3.2716216216216214</c:v>
                </c:pt>
                <c:pt idx="75">
                  <c:v>3.4106666666666663</c:v>
                </c:pt>
                <c:pt idx="76">
                  <c:v>2.6092105263157892</c:v>
                </c:pt>
                <c:pt idx="77">
                  <c:v>2.6194805194805193</c:v>
                </c:pt>
                <c:pt idx="78">
                  <c:v>2.4794871794871791</c:v>
                </c:pt>
                <c:pt idx="79">
                  <c:v>1.9189873417721515</c:v>
                </c:pt>
                <c:pt idx="80">
                  <c:v>1.9274999999999995</c:v>
                </c:pt>
                <c:pt idx="81">
                  <c:v>2.6691358024691354</c:v>
                </c:pt>
                <c:pt idx="82">
                  <c:v>2.7536585365853652</c:v>
                </c:pt>
                <c:pt idx="83">
                  <c:v>2.0180722891566258</c:v>
                </c:pt>
                <c:pt idx="84">
                  <c:v>1.5678571428571419</c:v>
                </c:pt>
                <c:pt idx="85">
                  <c:v>1.2141176470588226</c:v>
                </c:pt>
                <c:pt idx="86">
                  <c:v>0.81279069767441781</c:v>
                </c:pt>
                <c:pt idx="87">
                  <c:v>0.21494252873563141</c:v>
                </c:pt>
                <c:pt idx="88">
                  <c:v>-0.5886363636363644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602720643809890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まっつん2!$D$3:$D$91</c:f>
              <c:numCache>
                <c:formatCode>0.00\ "位"</c:formatCode>
                <c:ptCount val="89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  <c:pt idx="59">
                  <c:v>1.8813559322033899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1.875</c:v>
                </c:pt>
                <c:pt idx="65">
                  <c:v>1.8769230769230769</c:v>
                </c:pt>
                <c:pt idx="66">
                  <c:v>1.8787878787878789</c:v>
                </c:pt>
                <c:pt idx="67">
                  <c:v>1.8955223880597014</c:v>
                </c:pt>
                <c:pt idx="68">
                  <c:v>1.8970588235294117</c:v>
                </c:pt>
                <c:pt idx="69">
                  <c:v>1.8840579710144927</c:v>
                </c:pt>
                <c:pt idx="70">
                  <c:v>1.8714285714285714</c:v>
                </c:pt>
                <c:pt idx="71">
                  <c:v>1.8873239436619718</c:v>
                </c:pt>
                <c:pt idx="72">
                  <c:v>1.9027777777777777</c:v>
                </c:pt>
                <c:pt idx="73">
                  <c:v>1.904109589041096</c:v>
                </c:pt>
                <c:pt idx="74">
                  <c:v>1.9189189189189189</c:v>
                </c:pt>
                <c:pt idx="75">
                  <c:v>1.92</c:v>
                </c:pt>
                <c:pt idx="76">
                  <c:v>1.9342105263157894</c:v>
                </c:pt>
                <c:pt idx="77">
                  <c:v>1.9350649350649352</c:v>
                </c:pt>
                <c:pt idx="78">
                  <c:v>1.9358974358974359</c:v>
                </c:pt>
                <c:pt idx="79">
                  <c:v>1.9493670886075949</c:v>
                </c:pt>
                <c:pt idx="80">
                  <c:v>1.95</c:v>
                </c:pt>
                <c:pt idx="81">
                  <c:v>1.9382716049382716</c:v>
                </c:pt>
                <c:pt idx="82">
                  <c:v>1.9390243902439024</c:v>
                </c:pt>
                <c:pt idx="83">
                  <c:v>1.9518072289156627</c:v>
                </c:pt>
                <c:pt idx="84">
                  <c:v>1.9642857142857142</c:v>
                </c:pt>
                <c:pt idx="85">
                  <c:v>1.9764705882352942</c:v>
                </c:pt>
                <c:pt idx="86">
                  <c:v>1.9883720930232558</c:v>
                </c:pt>
                <c:pt idx="87">
                  <c:v>2</c:v>
                </c:pt>
                <c:pt idx="88">
                  <c:v>2.0113636363636362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まっつん2!$E$3:$E$91</c:f>
              <c:numCache>
                <c:formatCode>0.0%</c:formatCode>
                <c:ptCount val="8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  <c:pt idx="59">
                  <c:v>0.40677966101694918</c:v>
                </c:pt>
                <c:pt idx="60">
                  <c:v>0.41666666666666669</c:v>
                </c:pt>
                <c:pt idx="61">
                  <c:v>0.4098360655737705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0.40625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0.38805970149253732</c:v>
                </c:pt>
                <c:pt idx="68">
                  <c:v>0.38235294117647056</c:v>
                </c:pt>
                <c:pt idx="69">
                  <c:v>0.39130434782608697</c:v>
                </c:pt>
                <c:pt idx="70">
                  <c:v>0.4</c:v>
                </c:pt>
                <c:pt idx="71">
                  <c:v>0.39436619718309857</c:v>
                </c:pt>
                <c:pt idx="72">
                  <c:v>0.3888888888888889</c:v>
                </c:pt>
                <c:pt idx="73">
                  <c:v>0.38356164383561642</c:v>
                </c:pt>
                <c:pt idx="74">
                  <c:v>0.3783783783783784</c:v>
                </c:pt>
                <c:pt idx="75">
                  <c:v>0.37333333333333335</c:v>
                </c:pt>
                <c:pt idx="76">
                  <c:v>0.36842105263157893</c:v>
                </c:pt>
                <c:pt idx="77">
                  <c:v>0.36363636363636365</c:v>
                </c:pt>
                <c:pt idx="78">
                  <c:v>0.35897435897435898</c:v>
                </c:pt>
                <c:pt idx="79">
                  <c:v>0.35443037974683544</c:v>
                </c:pt>
                <c:pt idx="80">
                  <c:v>0.35</c:v>
                </c:pt>
                <c:pt idx="81">
                  <c:v>0.35802469135802467</c:v>
                </c:pt>
                <c:pt idx="82">
                  <c:v>0.35365853658536583</c:v>
                </c:pt>
                <c:pt idx="83">
                  <c:v>0.3493975903614458</c:v>
                </c:pt>
                <c:pt idx="84">
                  <c:v>0.34523809523809523</c:v>
                </c:pt>
                <c:pt idx="85">
                  <c:v>0.3411764705882353</c:v>
                </c:pt>
                <c:pt idx="86">
                  <c:v>0.33720930232558138</c:v>
                </c:pt>
                <c:pt idx="87">
                  <c:v>0.33333333333333331</c:v>
                </c:pt>
                <c:pt idx="88">
                  <c:v>0.32954545454545453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まっつん2!$F$3:$F$91</c:f>
              <c:numCache>
                <c:formatCode>0.0%</c:formatCode>
                <c:ptCount val="89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0.27272727272727271</c:v>
                </c:pt>
                <c:pt idx="67">
                  <c:v>0.28358208955223879</c:v>
                </c:pt>
                <c:pt idx="68">
                  <c:v>0.27941176470588236</c:v>
                </c:pt>
                <c:pt idx="69">
                  <c:v>0.27536231884057971</c:v>
                </c:pt>
                <c:pt idx="70">
                  <c:v>0.27142857142857141</c:v>
                </c:pt>
                <c:pt idx="71">
                  <c:v>0.28169014084507044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0.29729729729729731</c:v>
                </c:pt>
                <c:pt idx="75">
                  <c:v>0.29333333333333333</c:v>
                </c:pt>
                <c:pt idx="76">
                  <c:v>0.30263157894736842</c:v>
                </c:pt>
                <c:pt idx="77">
                  <c:v>0.29870129870129869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0.30120481927710846</c:v>
                </c:pt>
                <c:pt idx="84">
                  <c:v>0.30952380952380953</c:v>
                </c:pt>
                <c:pt idx="85">
                  <c:v>0.31764705882352939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まっつん2!$G$3:$G$91</c:f>
              <c:numCache>
                <c:formatCode>0.0%</c:formatCode>
                <c:ptCount val="89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  <c:pt idx="59">
                  <c:v>0.30721649484536084</c:v>
                </c:pt>
                <c:pt idx="60">
                  <c:v>0.30894308943089432</c:v>
                </c:pt>
                <c:pt idx="61">
                  <c:v>0.30645161290322581</c:v>
                </c:pt>
                <c:pt idx="62">
                  <c:v>0.3061630218687873</c:v>
                </c:pt>
                <c:pt idx="63">
                  <c:v>0.30078125</c:v>
                </c:pt>
                <c:pt idx="64">
                  <c:v>0.30250481695568399</c:v>
                </c:pt>
                <c:pt idx="65">
                  <c:v>0.30285714285714288</c:v>
                </c:pt>
                <c:pt idx="66">
                  <c:v>0.29906542056074764</c:v>
                </c:pt>
                <c:pt idx="67">
                  <c:v>0.29520295202952029</c:v>
                </c:pt>
                <c:pt idx="68">
                  <c:v>0.29454545454545455</c:v>
                </c:pt>
                <c:pt idx="69">
                  <c:v>0.29749103942652327</c:v>
                </c:pt>
                <c:pt idx="70">
                  <c:v>0.29720279720279719</c:v>
                </c:pt>
                <c:pt idx="71">
                  <c:v>0.29776247848537007</c:v>
                </c:pt>
                <c:pt idx="72">
                  <c:v>0.29471890971039183</c:v>
                </c:pt>
                <c:pt idx="73">
                  <c:v>0.29194630872483224</c:v>
                </c:pt>
                <c:pt idx="74">
                  <c:v>0.28855721393034828</c:v>
                </c:pt>
                <c:pt idx="75">
                  <c:v>0.28852459016393445</c:v>
                </c:pt>
                <c:pt idx="76">
                  <c:v>0.2861788617886179</c:v>
                </c:pt>
                <c:pt idx="77">
                  <c:v>0.2861736334405145</c:v>
                </c:pt>
                <c:pt idx="78">
                  <c:v>0.28459119496855345</c:v>
                </c:pt>
                <c:pt idx="79">
                  <c:v>0.28217054263565894</c:v>
                </c:pt>
                <c:pt idx="80">
                  <c:v>0.28374233128834359</c:v>
                </c:pt>
                <c:pt idx="81">
                  <c:v>0.28657616892911009</c:v>
                </c:pt>
                <c:pt idx="82">
                  <c:v>0.28528974739970281</c:v>
                </c:pt>
                <c:pt idx="83">
                  <c:v>0.28193832599118945</c:v>
                </c:pt>
                <c:pt idx="84">
                  <c:v>0.27971014492753621</c:v>
                </c:pt>
                <c:pt idx="85">
                  <c:v>0.27873563218390807</c:v>
                </c:pt>
                <c:pt idx="86">
                  <c:v>0.27620396600566571</c:v>
                </c:pt>
                <c:pt idx="87">
                  <c:v>0.27489481065918653</c:v>
                </c:pt>
                <c:pt idx="88">
                  <c:v>0.27323162274618584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353909465020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まっつん2!$H$3:$H$91</c:f>
              <c:numCache>
                <c:formatCode>0.0%</c:formatCode>
                <c:ptCount val="89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  <c:pt idx="59">
                  <c:v>0.15257731958762888</c:v>
                </c:pt>
                <c:pt idx="60">
                  <c:v>0.15040650406504066</c:v>
                </c:pt>
                <c:pt idx="61">
                  <c:v>0.14919354838709678</c:v>
                </c:pt>
                <c:pt idx="62">
                  <c:v>0.14910536779324055</c:v>
                </c:pt>
                <c:pt idx="63">
                  <c:v>0.1484375</c:v>
                </c:pt>
                <c:pt idx="64">
                  <c:v>0.14836223506743737</c:v>
                </c:pt>
                <c:pt idx="65">
                  <c:v>0.15047619047619049</c:v>
                </c:pt>
                <c:pt idx="66">
                  <c:v>0.15140186915887852</c:v>
                </c:pt>
                <c:pt idx="67">
                  <c:v>0.15313653136531366</c:v>
                </c:pt>
                <c:pt idx="68">
                  <c:v>0.15090909090909091</c:v>
                </c:pt>
                <c:pt idx="69">
                  <c:v>0.14874551971326164</c:v>
                </c:pt>
                <c:pt idx="70">
                  <c:v>0.14685314685314685</c:v>
                </c:pt>
                <c:pt idx="71">
                  <c:v>0.14802065404475043</c:v>
                </c:pt>
                <c:pt idx="72">
                  <c:v>0.14991482112436116</c:v>
                </c:pt>
                <c:pt idx="73">
                  <c:v>0.1476510067114094</c:v>
                </c:pt>
                <c:pt idx="74">
                  <c:v>0.14925373134328357</c:v>
                </c:pt>
                <c:pt idx="75">
                  <c:v>0.14754098360655737</c:v>
                </c:pt>
                <c:pt idx="76">
                  <c:v>0.14959349593495935</c:v>
                </c:pt>
                <c:pt idx="77">
                  <c:v>0.14790996784565916</c:v>
                </c:pt>
                <c:pt idx="78">
                  <c:v>0.14622641509433962</c:v>
                </c:pt>
                <c:pt idx="79">
                  <c:v>0.14728682170542637</c:v>
                </c:pt>
                <c:pt idx="80">
                  <c:v>0.14723926380368099</c:v>
                </c:pt>
                <c:pt idx="81">
                  <c:v>0.14630467571644043</c:v>
                </c:pt>
                <c:pt idx="82">
                  <c:v>0.14710252600297177</c:v>
                </c:pt>
                <c:pt idx="83">
                  <c:v>0.14831130690161526</c:v>
                </c:pt>
                <c:pt idx="84">
                  <c:v>0.14927536231884059</c:v>
                </c:pt>
                <c:pt idx="85">
                  <c:v>0.14942528735632185</c:v>
                </c:pt>
                <c:pt idx="86">
                  <c:v>0.14730878186968838</c:v>
                </c:pt>
                <c:pt idx="87">
                  <c:v>0.15007012622720897</c:v>
                </c:pt>
                <c:pt idx="88">
                  <c:v>0.15117891816920942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254556143445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まっつん2!$I$3:$I$91</c:f>
              <c:numCache>
                <c:formatCode>0</c:formatCode>
                <c:ptCount val="89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  <c:pt idx="59">
                  <c:v>8833.5570469798658</c:v>
                </c:pt>
                <c:pt idx="60">
                  <c:v>8948.0263157894733</c:v>
                </c:pt>
                <c:pt idx="61">
                  <c:v>8948.0263157894733</c:v>
                </c:pt>
                <c:pt idx="62">
                  <c:v>8912.9870129870123</c:v>
                </c:pt>
                <c:pt idx="63">
                  <c:v>8912.9870129870123</c:v>
                </c:pt>
                <c:pt idx="64">
                  <c:v>8923.5668789808915</c:v>
                </c:pt>
                <c:pt idx="65">
                  <c:v>8937.1069182389929</c:v>
                </c:pt>
                <c:pt idx="66">
                  <c:v>8905.625</c:v>
                </c:pt>
                <c:pt idx="67">
                  <c:v>8905.625</c:v>
                </c:pt>
                <c:pt idx="68">
                  <c:v>8905.5555555555547</c:v>
                </c:pt>
                <c:pt idx="69">
                  <c:v>8931.9277108433744</c:v>
                </c:pt>
                <c:pt idx="70">
                  <c:v>9014.1176470588234</c:v>
                </c:pt>
                <c:pt idx="71">
                  <c:v>8984.9710982658962</c:v>
                </c:pt>
                <c:pt idx="72">
                  <c:v>8984.9710982658962</c:v>
                </c:pt>
                <c:pt idx="73">
                  <c:v>8979.310344827587</c:v>
                </c:pt>
                <c:pt idx="74">
                  <c:v>8979.310344827587</c:v>
                </c:pt>
                <c:pt idx="75">
                  <c:v>8982.954545454546</c:v>
                </c:pt>
                <c:pt idx="76">
                  <c:v>8982.954545454546</c:v>
                </c:pt>
                <c:pt idx="77">
                  <c:v>8989.8876404494385</c:v>
                </c:pt>
                <c:pt idx="78">
                  <c:v>8916.5745856353587</c:v>
                </c:pt>
                <c:pt idx="79">
                  <c:v>8910.4395604395613</c:v>
                </c:pt>
                <c:pt idx="80">
                  <c:v>8837.8378378378384</c:v>
                </c:pt>
                <c:pt idx="81">
                  <c:v>8883.6842105263149</c:v>
                </c:pt>
                <c:pt idx="82">
                  <c:v>8895.3125</c:v>
                </c:pt>
                <c:pt idx="83">
                  <c:v>8895.3125</c:v>
                </c:pt>
                <c:pt idx="84">
                  <c:v>8861.6580310880836</c:v>
                </c:pt>
                <c:pt idx="85">
                  <c:v>8855.6701030927834</c:v>
                </c:pt>
                <c:pt idx="86">
                  <c:v>8892.3076923076915</c:v>
                </c:pt>
                <c:pt idx="87">
                  <c:v>8861.224489795919</c:v>
                </c:pt>
                <c:pt idx="88">
                  <c:v>8845.6852791878173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74.43349753694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まっつん2!$J$3:$J$91</c:f>
              <c:numCache>
                <c:formatCode>0</c:formatCode>
                <c:ptCount val="89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  <c:pt idx="59">
                  <c:v>-7635.135135135135</c:v>
                </c:pt>
                <c:pt idx="60">
                  <c:v>-7635.135135135135</c:v>
                </c:pt>
                <c:pt idx="61">
                  <c:v>-7635.135135135135</c:v>
                </c:pt>
                <c:pt idx="62">
                  <c:v>-7568</c:v>
                </c:pt>
                <c:pt idx="63">
                  <c:v>-7626.3157894736842</c:v>
                </c:pt>
                <c:pt idx="64">
                  <c:v>-7553.2467532467535</c:v>
                </c:pt>
                <c:pt idx="65">
                  <c:v>-7539.2405063291135</c:v>
                </c:pt>
                <c:pt idx="66">
                  <c:v>-7460.4938271604942</c:v>
                </c:pt>
                <c:pt idx="67">
                  <c:v>-7336.1445783132531</c:v>
                </c:pt>
                <c:pt idx="68">
                  <c:v>-7336.1445783132531</c:v>
                </c:pt>
                <c:pt idx="69">
                  <c:v>-7336.1445783132531</c:v>
                </c:pt>
                <c:pt idx="70">
                  <c:v>-7266.666666666667</c:v>
                </c:pt>
                <c:pt idx="71">
                  <c:v>-7139.5348837209303</c:v>
                </c:pt>
                <c:pt idx="72">
                  <c:v>-7112.5</c:v>
                </c:pt>
                <c:pt idx="73">
                  <c:v>-7112.5</c:v>
                </c:pt>
                <c:pt idx="74">
                  <c:v>-7047.7777777777774</c:v>
                </c:pt>
                <c:pt idx="75">
                  <c:v>-7047.7777777777774</c:v>
                </c:pt>
                <c:pt idx="76">
                  <c:v>-7155.434782608696</c:v>
                </c:pt>
                <c:pt idx="77">
                  <c:v>-7155.434782608696</c:v>
                </c:pt>
                <c:pt idx="78">
                  <c:v>-7161.2903225806449</c:v>
                </c:pt>
                <c:pt idx="79">
                  <c:v>-7164.2105263157891</c:v>
                </c:pt>
                <c:pt idx="80">
                  <c:v>-7110.416666666667</c:v>
                </c:pt>
                <c:pt idx="81">
                  <c:v>-7119.5876288659792</c:v>
                </c:pt>
                <c:pt idx="82">
                  <c:v>-7015.151515151515</c:v>
                </c:pt>
                <c:pt idx="83">
                  <c:v>-7092.0792079207922</c:v>
                </c:pt>
                <c:pt idx="84">
                  <c:v>-7048.5436893203887</c:v>
                </c:pt>
                <c:pt idx="85">
                  <c:v>-7030.7692307692305</c:v>
                </c:pt>
                <c:pt idx="86">
                  <c:v>-7030.7692307692305</c:v>
                </c:pt>
                <c:pt idx="87">
                  <c:v>-7076.6355140186915</c:v>
                </c:pt>
                <c:pt idx="88">
                  <c:v>-7214.6788990825689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60.8084358523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まっつん2!$K$3:$K$91</c:f>
              <c:numCache>
                <c:formatCode>0.0%</c:formatCode>
                <c:ptCount val="8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  <c:pt idx="59">
                  <c:v>0.15254237288135594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0.15384615384615385</c:v>
                </c:pt>
                <c:pt idx="66">
                  <c:v>0.15151515151515152</c:v>
                </c:pt>
                <c:pt idx="67">
                  <c:v>0.14925373134328357</c:v>
                </c:pt>
                <c:pt idx="68">
                  <c:v>0.14705882352941177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0.14473684210526316</c:v>
                </c:pt>
                <c:pt idx="77">
                  <c:v>0.14285714285714285</c:v>
                </c:pt>
                <c:pt idx="78">
                  <c:v>0.14102564102564102</c:v>
                </c:pt>
                <c:pt idx="79">
                  <c:v>0.13924050632911392</c:v>
                </c:pt>
                <c:pt idx="80">
                  <c:v>0.13750000000000001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0.14457831325301204</c:v>
                </c:pt>
                <c:pt idx="84">
                  <c:v>0.14285714285714285</c:v>
                </c:pt>
                <c:pt idx="85">
                  <c:v>0.14117647058823529</c:v>
                </c:pt>
                <c:pt idx="86">
                  <c:v>0.13953488372093023</c:v>
                </c:pt>
                <c:pt idx="87">
                  <c:v>0.13793103448275862</c:v>
                </c:pt>
                <c:pt idx="88">
                  <c:v>0.14772727272727273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6984126984126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まっつん2!$L$3:$L$91</c:f>
              <c:numCache>
                <c:formatCode>0.0%</c:formatCode>
                <c:ptCount val="8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  <c:pt idx="64">
                  <c:v>0.140625</c:v>
                </c:pt>
                <c:pt idx="65">
                  <c:v>0.13846153846153847</c:v>
                </c:pt>
                <c:pt idx="66">
                  <c:v>0.13636363636363635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0.13157894736842105</c:v>
                </c:pt>
                <c:pt idx="77">
                  <c:v>0.12987012987012986</c:v>
                </c:pt>
                <c:pt idx="78">
                  <c:v>0.12820512820512819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6984126984126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まっつん2!$M$3:$M$91</c:f>
              <c:numCache>
                <c:formatCode>0.0%</c:formatCode>
                <c:ptCount val="89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  <c:pt idx="59">
                  <c:v>0.2907216494845361</c:v>
                </c:pt>
                <c:pt idx="60">
                  <c:v>0.29065040650406504</c:v>
                </c:pt>
                <c:pt idx="61">
                  <c:v>0.29032258064516131</c:v>
                </c:pt>
                <c:pt idx="62">
                  <c:v>0.2922465208747515</c:v>
                </c:pt>
                <c:pt idx="63">
                  <c:v>0.29296875</c:v>
                </c:pt>
                <c:pt idx="64">
                  <c:v>0.2947976878612717</c:v>
                </c:pt>
                <c:pt idx="65">
                  <c:v>0.29523809523809524</c:v>
                </c:pt>
                <c:pt idx="66">
                  <c:v>0.29158878504672897</c:v>
                </c:pt>
                <c:pt idx="67">
                  <c:v>0.28966789667896681</c:v>
                </c:pt>
                <c:pt idx="68">
                  <c:v>0.29090909090909089</c:v>
                </c:pt>
                <c:pt idx="69">
                  <c:v>0.29569892473118281</c:v>
                </c:pt>
                <c:pt idx="70">
                  <c:v>0.2937062937062937</c:v>
                </c:pt>
                <c:pt idx="71">
                  <c:v>0.29432013769363169</c:v>
                </c:pt>
                <c:pt idx="72">
                  <c:v>0.29131175468483816</c:v>
                </c:pt>
                <c:pt idx="73">
                  <c:v>0.29026845637583892</c:v>
                </c:pt>
                <c:pt idx="74">
                  <c:v>0.29021558872305142</c:v>
                </c:pt>
                <c:pt idx="75">
                  <c:v>0.29180327868852457</c:v>
                </c:pt>
                <c:pt idx="76">
                  <c:v>0.2943089430894309</c:v>
                </c:pt>
                <c:pt idx="77">
                  <c:v>0.297427652733119</c:v>
                </c:pt>
                <c:pt idx="78">
                  <c:v>0.29402515723270439</c:v>
                </c:pt>
                <c:pt idx="79">
                  <c:v>0.29457364341085274</c:v>
                </c:pt>
                <c:pt idx="80">
                  <c:v>0.29754601226993865</c:v>
                </c:pt>
                <c:pt idx="81">
                  <c:v>0.29864253393665158</c:v>
                </c:pt>
                <c:pt idx="82">
                  <c:v>0.29569093610698366</c:v>
                </c:pt>
                <c:pt idx="83">
                  <c:v>0.29368575624082233</c:v>
                </c:pt>
                <c:pt idx="84">
                  <c:v>0.28985507246376813</c:v>
                </c:pt>
                <c:pt idx="85">
                  <c:v>0.28879310344827586</c:v>
                </c:pt>
                <c:pt idx="86">
                  <c:v>0.28611898016997167</c:v>
                </c:pt>
                <c:pt idx="87">
                  <c:v>0.28611500701262271</c:v>
                </c:pt>
                <c:pt idx="88">
                  <c:v>0.28294036061026351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3515579071134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まっつん2!$N$3:$N$91</c:f>
              <c:numCache>
                <c:formatCode>0.0%</c:formatCode>
                <c:ptCount val="89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  <c:pt idx="59">
                  <c:v>0.18144329896907216</c:v>
                </c:pt>
                <c:pt idx="60">
                  <c:v>0.17886178861788618</c:v>
                </c:pt>
                <c:pt idx="61">
                  <c:v>0.18145161290322581</c:v>
                </c:pt>
                <c:pt idx="62">
                  <c:v>0.17892644135188868</c:v>
                </c:pt>
                <c:pt idx="63">
                  <c:v>0.177734375</c:v>
                </c:pt>
                <c:pt idx="64">
                  <c:v>0.17533718689788053</c:v>
                </c:pt>
                <c:pt idx="65">
                  <c:v>0.17714285714285713</c:v>
                </c:pt>
                <c:pt idx="66">
                  <c:v>0.18130841121495328</c:v>
                </c:pt>
                <c:pt idx="67">
                  <c:v>0.18265682656826568</c:v>
                </c:pt>
                <c:pt idx="68">
                  <c:v>0.18181818181818182</c:v>
                </c:pt>
                <c:pt idx="69">
                  <c:v>0.17921146953405018</c:v>
                </c:pt>
                <c:pt idx="70">
                  <c:v>0.18356643356643357</c:v>
                </c:pt>
                <c:pt idx="71">
                  <c:v>0.18588640275387264</c:v>
                </c:pt>
                <c:pt idx="72">
                  <c:v>0.18568994889267462</c:v>
                </c:pt>
                <c:pt idx="73">
                  <c:v>0.18456375838926176</c:v>
                </c:pt>
                <c:pt idx="74">
                  <c:v>0.18573797678275289</c:v>
                </c:pt>
                <c:pt idx="75">
                  <c:v>0.18360655737704917</c:v>
                </c:pt>
                <c:pt idx="76">
                  <c:v>0.1821138211382114</c:v>
                </c:pt>
                <c:pt idx="77">
                  <c:v>0.18006430868167203</c:v>
                </c:pt>
                <c:pt idx="78">
                  <c:v>0.17767295597484276</c:v>
                </c:pt>
                <c:pt idx="79">
                  <c:v>0.17674418604651163</c:v>
                </c:pt>
                <c:pt idx="80">
                  <c:v>0.17484662576687116</c:v>
                </c:pt>
                <c:pt idx="81">
                  <c:v>0.17496229260935142</c:v>
                </c:pt>
                <c:pt idx="82">
                  <c:v>0.17533432392273401</c:v>
                </c:pt>
                <c:pt idx="83">
                  <c:v>0.17474302496328928</c:v>
                </c:pt>
                <c:pt idx="84">
                  <c:v>0.17681159420289855</c:v>
                </c:pt>
                <c:pt idx="85">
                  <c:v>0.17816091954022989</c:v>
                </c:pt>
                <c:pt idx="86">
                  <c:v>0.17705382436260622</c:v>
                </c:pt>
                <c:pt idx="87">
                  <c:v>0.17671809256661991</c:v>
                </c:pt>
                <c:pt idx="88">
                  <c:v>0.17891816920943135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1346266901822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まっつん2!$O$3:$O$91</c:f>
              <c:numCache>
                <c:formatCode>0.0%</c:formatCode>
                <c:ptCount val="89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  <c:pt idx="59">
                  <c:v>0.65957446808510634</c:v>
                </c:pt>
                <c:pt idx="60">
                  <c:v>0.65734265734265729</c:v>
                </c:pt>
                <c:pt idx="61">
                  <c:v>0.65277777777777779</c:v>
                </c:pt>
                <c:pt idx="62">
                  <c:v>0.65306122448979587</c:v>
                </c:pt>
                <c:pt idx="63">
                  <c:v>0.64</c:v>
                </c:pt>
                <c:pt idx="64">
                  <c:v>0.64052287581699341</c:v>
                </c:pt>
                <c:pt idx="65">
                  <c:v>0.64516129032258063</c:v>
                </c:pt>
                <c:pt idx="66">
                  <c:v>0.64102564102564108</c:v>
                </c:pt>
                <c:pt idx="67">
                  <c:v>0.63694267515923564</c:v>
                </c:pt>
                <c:pt idx="68">
                  <c:v>0.63749999999999996</c:v>
                </c:pt>
                <c:pt idx="69">
                  <c:v>0.64242424242424245</c:v>
                </c:pt>
                <c:pt idx="70">
                  <c:v>0.6428571428571429</c:v>
                </c:pt>
                <c:pt idx="71">
                  <c:v>0.63742690058479534</c:v>
                </c:pt>
                <c:pt idx="72">
                  <c:v>0.63742690058479534</c:v>
                </c:pt>
                <c:pt idx="73">
                  <c:v>0.63583815028901736</c:v>
                </c:pt>
                <c:pt idx="74">
                  <c:v>0.62857142857142856</c:v>
                </c:pt>
                <c:pt idx="75">
                  <c:v>0.6292134831460674</c:v>
                </c:pt>
                <c:pt idx="76">
                  <c:v>0.61878453038674031</c:v>
                </c:pt>
                <c:pt idx="77">
                  <c:v>0.61621621621621625</c:v>
                </c:pt>
                <c:pt idx="78">
                  <c:v>0.60962566844919786</c:v>
                </c:pt>
                <c:pt idx="79">
                  <c:v>0.60526315789473684</c:v>
                </c:pt>
                <c:pt idx="80">
                  <c:v>0.60309278350515461</c:v>
                </c:pt>
                <c:pt idx="81">
                  <c:v>0.61111111111111116</c:v>
                </c:pt>
                <c:pt idx="82">
                  <c:v>0.60804020100502509</c:v>
                </c:pt>
                <c:pt idx="83">
                  <c:v>0.60499999999999998</c:v>
                </c:pt>
                <c:pt idx="84">
                  <c:v>0.60499999999999998</c:v>
                </c:pt>
                <c:pt idx="85">
                  <c:v>0.60199004975124382</c:v>
                </c:pt>
                <c:pt idx="86">
                  <c:v>0.60396039603960394</c:v>
                </c:pt>
                <c:pt idx="87">
                  <c:v>0.6029411764705882</c:v>
                </c:pt>
                <c:pt idx="88">
                  <c:v>0.6029411764705882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8721117678667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まっつん2!$P$3:$P$91</c:f>
              <c:numCache>
                <c:formatCode>0.0%</c:formatCode>
                <c:ptCount val="89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  <c:pt idx="59">
                  <c:v>0.375</c:v>
                </c:pt>
                <c:pt idx="60">
                  <c:v>0.375</c:v>
                </c:pt>
                <c:pt idx="61">
                  <c:v>0.36666666666666664</c:v>
                </c:pt>
                <c:pt idx="62">
                  <c:v>0.36666666666666664</c:v>
                </c:pt>
                <c:pt idx="63">
                  <c:v>0.36263736263736263</c:v>
                </c:pt>
                <c:pt idx="64">
                  <c:v>0.36263736263736263</c:v>
                </c:pt>
                <c:pt idx="65">
                  <c:v>0.35483870967741937</c:v>
                </c:pt>
                <c:pt idx="66">
                  <c:v>0.35051546391752575</c:v>
                </c:pt>
                <c:pt idx="67">
                  <c:v>0.34343434343434343</c:v>
                </c:pt>
                <c:pt idx="68">
                  <c:v>0.34</c:v>
                </c:pt>
                <c:pt idx="69">
                  <c:v>0.34</c:v>
                </c:pt>
                <c:pt idx="70">
                  <c:v>0.33333333333333331</c:v>
                </c:pt>
                <c:pt idx="71">
                  <c:v>0.34259259259259262</c:v>
                </c:pt>
                <c:pt idx="72">
                  <c:v>0.33944954128440369</c:v>
                </c:pt>
                <c:pt idx="73">
                  <c:v>0.33636363636363636</c:v>
                </c:pt>
                <c:pt idx="74">
                  <c:v>0.33035714285714285</c:v>
                </c:pt>
                <c:pt idx="75">
                  <c:v>0.33035714285714285</c:v>
                </c:pt>
                <c:pt idx="76">
                  <c:v>0.33035714285714285</c:v>
                </c:pt>
                <c:pt idx="77">
                  <c:v>0.33035714285714285</c:v>
                </c:pt>
                <c:pt idx="78">
                  <c:v>0.33628318584070799</c:v>
                </c:pt>
                <c:pt idx="79">
                  <c:v>0.33333333333333331</c:v>
                </c:pt>
                <c:pt idx="80">
                  <c:v>0.33333333333333331</c:v>
                </c:pt>
                <c:pt idx="81">
                  <c:v>0.33620689655172414</c:v>
                </c:pt>
                <c:pt idx="82">
                  <c:v>0.34745762711864409</c:v>
                </c:pt>
                <c:pt idx="83">
                  <c:v>0.34453781512605042</c:v>
                </c:pt>
                <c:pt idx="84">
                  <c:v>0.33606557377049179</c:v>
                </c:pt>
                <c:pt idx="85">
                  <c:v>0.33870967741935482</c:v>
                </c:pt>
                <c:pt idx="86">
                  <c:v>0.33600000000000002</c:v>
                </c:pt>
                <c:pt idx="87">
                  <c:v>0.33333333333333331</c:v>
                </c:pt>
                <c:pt idx="88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4297635605006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まっつん2!$A$3:$A$91</c:f>
              <c:numCache>
                <c:formatCode>0\ "回"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まっつん2!$Q$3:$Q$91</c:f>
              <c:numCache>
                <c:formatCode>0.0%</c:formatCode>
                <c:ptCount val="89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  <c:pt idx="59">
                  <c:v>0.44295302013422821</c:v>
                </c:pt>
                <c:pt idx="60">
                  <c:v>0.44736842105263158</c:v>
                </c:pt>
                <c:pt idx="61">
                  <c:v>0.44736842105263158</c:v>
                </c:pt>
                <c:pt idx="62">
                  <c:v>0.44805194805194803</c:v>
                </c:pt>
                <c:pt idx="63">
                  <c:v>0.44805194805194803</c:v>
                </c:pt>
                <c:pt idx="64">
                  <c:v>0.45222929936305734</c:v>
                </c:pt>
                <c:pt idx="65">
                  <c:v>0.44654088050314467</c:v>
                </c:pt>
                <c:pt idx="66">
                  <c:v>0.44374999999999998</c:v>
                </c:pt>
                <c:pt idx="67">
                  <c:v>0.44374999999999998</c:v>
                </c:pt>
                <c:pt idx="68">
                  <c:v>0.43827160493827161</c:v>
                </c:pt>
                <c:pt idx="69">
                  <c:v>0.43975903614457829</c:v>
                </c:pt>
                <c:pt idx="70">
                  <c:v>0.44705882352941179</c:v>
                </c:pt>
                <c:pt idx="71">
                  <c:v>0.44508670520231214</c:v>
                </c:pt>
                <c:pt idx="72">
                  <c:v>0.44508670520231214</c:v>
                </c:pt>
                <c:pt idx="73">
                  <c:v>0.44252873563218392</c:v>
                </c:pt>
                <c:pt idx="74">
                  <c:v>0.44252873563218392</c:v>
                </c:pt>
                <c:pt idx="75">
                  <c:v>0.4375</c:v>
                </c:pt>
                <c:pt idx="76">
                  <c:v>0.4375</c:v>
                </c:pt>
                <c:pt idx="77">
                  <c:v>0.43820224719101125</c:v>
                </c:pt>
                <c:pt idx="78">
                  <c:v>0.43646408839779005</c:v>
                </c:pt>
                <c:pt idx="79">
                  <c:v>0.43956043956043955</c:v>
                </c:pt>
                <c:pt idx="80">
                  <c:v>0.43783783783783786</c:v>
                </c:pt>
                <c:pt idx="81">
                  <c:v>0.43157894736842106</c:v>
                </c:pt>
                <c:pt idx="82">
                  <c:v>0.42708333333333331</c:v>
                </c:pt>
                <c:pt idx="83">
                  <c:v>0.42708333333333331</c:v>
                </c:pt>
                <c:pt idx="84">
                  <c:v>0.42487046632124353</c:v>
                </c:pt>
                <c:pt idx="85">
                  <c:v>0.42268041237113402</c:v>
                </c:pt>
                <c:pt idx="86">
                  <c:v>0.42051282051282052</c:v>
                </c:pt>
                <c:pt idx="87">
                  <c:v>0.42346938775510207</c:v>
                </c:pt>
                <c:pt idx="88">
                  <c:v>0.42131979695431471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1034482758620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4">
        <v>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85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43636.961435185185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43630.051932870374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43632.957395833335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43632.957395833335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43633.013645833336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43636.961435185185</v>
      </c>
      <c r="C69" s="30" t="s">
        <v>130</v>
      </c>
    </row>
    <row r="70" spans="1:6" x14ac:dyDescent="0.4">
      <c r="A70" s="30" t="s">
        <v>260</v>
      </c>
      <c r="B70" s="31">
        <v>43636.961435185185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43642.023356481484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43643.036689814813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43644.044224537036</v>
      </c>
      <c r="C73" s="30" t="s">
        <v>130</v>
      </c>
    </row>
    <row r="74" spans="1:6" x14ac:dyDescent="0.4">
      <c r="A74" s="30" t="s">
        <v>264</v>
      </c>
      <c r="B74" s="31">
        <v>43644.021412037036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43647.957407407404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43647.957407407404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43647.957407407404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268</v>
      </c>
      <c r="B78" s="31">
        <v>43647.957407407404</v>
      </c>
      <c r="C78" s="30" t="s">
        <v>130</v>
      </c>
      <c r="D78" s="30" t="s">
        <v>131</v>
      </c>
    </row>
    <row r="79" spans="1:6" x14ac:dyDescent="0.4">
      <c r="A79" s="30" t="s">
        <v>269</v>
      </c>
      <c r="B79" s="31">
        <v>43647.957407407404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43649.374351851853</v>
      </c>
      <c r="C80" s="30" t="s">
        <v>130</v>
      </c>
      <c r="D80" s="30" t="s">
        <v>131</v>
      </c>
    </row>
    <row r="81" spans="1:8" x14ac:dyDescent="0.4">
      <c r="A81" s="30" t="s">
        <v>272</v>
      </c>
      <c r="B81" s="31">
        <v>43650.940601851849</v>
      </c>
      <c r="C81" s="30" t="s">
        <v>130</v>
      </c>
      <c r="D81" s="30" t="s">
        <v>131</v>
      </c>
      <c r="E81" s="30" t="s">
        <v>169</v>
      </c>
    </row>
    <row r="82" spans="1:8" x14ac:dyDescent="0.4">
      <c r="A82" s="30" t="s">
        <v>273</v>
      </c>
      <c r="B82" s="31">
        <v>43651.059791666667</v>
      </c>
      <c r="C82" s="30" t="s">
        <v>130</v>
      </c>
      <c r="D82" s="30" t="s">
        <v>131</v>
      </c>
      <c r="E82" s="30" t="s">
        <v>169</v>
      </c>
    </row>
    <row r="83" spans="1:8" x14ac:dyDescent="0.4">
      <c r="A83" s="30" t="s">
        <v>274</v>
      </c>
      <c r="B83" s="31">
        <v>43652.105497685188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8" x14ac:dyDescent="0.4">
      <c r="A84" s="30" t="s">
        <v>275</v>
      </c>
      <c r="B84" s="31">
        <v>43654.012615740743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8" x14ac:dyDescent="0.4">
      <c r="A85" s="30" t="s">
        <v>276</v>
      </c>
      <c r="B85" s="31">
        <v>43656.085451388892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819</v>
      </c>
    </row>
    <row r="2" spans="1:2" x14ac:dyDescent="0.4">
      <c r="A2" t="s">
        <v>127</v>
      </c>
      <c r="B2">
        <v>173</v>
      </c>
    </row>
    <row r="3" spans="1:2" x14ac:dyDescent="0.4">
      <c r="A3" t="s">
        <v>128</v>
      </c>
      <c r="B3">
        <v>142</v>
      </c>
    </row>
    <row r="4" spans="1:2" x14ac:dyDescent="0.4">
      <c r="A4" t="s">
        <v>129</v>
      </c>
      <c r="B4">
        <v>120</v>
      </c>
    </row>
    <row r="5" spans="1:2" x14ac:dyDescent="0.4">
      <c r="A5" t="s">
        <v>171</v>
      </c>
      <c r="B5">
        <v>96</v>
      </c>
    </row>
    <row r="6" spans="1:2" x14ac:dyDescent="0.4">
      <c r="A6" t="s">
        <v>172</v>
      </c>
      <c r="B6">
        <v>92</v>
      </c>
    </row>
    <row r="7" spans="1:2" x14ac:dyDescent="0.4">
      <c r="A7" t="s">
        <v>173</v>
      </c>
      <c r="B7">
        <v>52</v>
      </c>
    </row>
    <row r="8" spans="1:2" x14ac:dyDescent="0.4">
      <c r="A8" t="s">
        <v>177</v>
      </c>
      <c r="B8">
        <v>88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23</v>
      </c>
    </row>
    <row r="11" spans="1:2" x14ac:dyDescent="0.4">
      <c r="A11" t="s">
        <v>200</v>
      </c>
      <c r="B11">
        <v>18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2" t="s">
        <v>6</v>
      </c>
      <c r="C1" s="163"/>
      <c r="D1" s="162" t="s">
        <v>7</v>
      </c>
      <c r="E1" s="163"/>
      <c r="F1" s="162" t="s">
        <v>16</v>
      </c>
      <c r="G1" s="163"/>
      <c r="H1" s="162" t="s">
        <v>15</v>
      </c>
      <c r="I1" s="163"/>
      <c r="J1" s="162" t="s">
        <v>162</v>
      </c>
      <c r="K1" s="163"/>
      <c r="L1" s="162" t="s">
        <v>149</v>
      </c>
      <c r="M1" s="163"/>
      <c r="N1" s="162" t="s">
        <v>150</v>
      </c>
      <c r="O1" s="163"/>
      <c r="P1" s="162" t="s">
        <v>5</v>
      </c>
      <c r="Q1" s="163"/>
      <c r="R1" s="162" t="s">
        <v>17</v>
      </c>
      <c r="S1" s="163"/>
      <c r="T1" s="162" t="s">
        <v>18</v>
      </c>
      <c r="U1" s="163"/>
      <c r="V1" s="162" t="s">
        <v>141</v>
      </c>
      <c r="W1" s="163"/>
      <c r="X1" s="162" t="s">
        <v>123</v>
      </c>
      <c r="Y1" s="163"/>
      <c r="Z1" s="162" t="s">
        <v>120</v>
      </c>
      <c r="AA1" s="163"/>
      <c r="AB1" s="162" t="s">
        <v>126</v>
      </c>
      <c r="AC1" s="163"/>
      <c r="AD1" s="162" t="s">
        <v>151</v>
      </c>
      <c r="AE1" s="163"/>
      <c r="AF1" s="162" t="s">
        <v>144</v>
      </c>
      <c r="AG1" s="163"/>
      <c r="AH1" s="162" t="s">
        <v>153</v>
      </c>
      <c r="AI1" s="163"/>
    </row>
    <row r="2" spans="1:35" x14ac:dyDescent="0.4">
      <c r="A2" s="72" t="s">
        <v>161</v>
      </c>
      <c r="B2" s="164"/>
      <c r="C2" s="165"/>
      <c r="D2" s="164"/>
      <c r="E2" s="165"/>
      <c r="F2" s="160">
        <v>0.962346106520927</v>
      </c>
      <c r="G2" s="161"/>
      <c r="H2" s="160">
        <v>0.6031389767828258</v>
      </c>
      <c r="I2" s="161"/>
      <c r="J2" s="160">
        <v>0.88034165486184257</v>
      </c>
      <c r="K2" s="161"/>
      <c r="L2" s="160">
        <v>0.6371424493558181</v>
      </c>
      <c r="M2" s="161"/>
      <c r="N2" s="160">
        <v>0.6800008412170726</v>
      </c>
      <c r="O2" s="161"/>
      <c r="P2" s="160">
        <v>0.25823347332671165</v>
      </c>
      <c r="Q2" s="161"/>
      <c r="R2" s="160">
        <v>0.50306278593593656</v>
      </c>
      <c r="S2" s="161"/>
      <c r="T2" s="160">
        <v>0.63748544652053274</v>
      </c>
      <c r="U2" s="161"/>
      <c r="V2" s="160">
        <v>0.52811085044502992</v>
      </c>
      <c r="W2" s="161"/>
      <c r="X2" s="160">
        <v>0.53463865367449082</v>
      </c>
      <c r="Y2" s="161"/>
      <c r="Z2" s="160">
        <v>1.3461596894043706E-2</v>
      </c>
      <c r="AA2" s="161"/>
      <c r="AB2" s="160">
        <v>-0.208631721650608</v>
      </c>
      <c r="AC2" s="161"/>
      <c r="AD2" s="160">
        <v>0.74565287219886289</v>
      </c>
      <c r="AE2" s="161"/>
      <c r="AF2" s="160">
        <v>-8.6720363110286913E-2</v>
      </c>
      <c r="AG2" s="161"/>
      <c r="AH2" s="160">
        <v>0.57109543486735659</v>
      </c>
      <c r="AI2" s="161"/>
    </row>
    <row r="3" spans="1:35" x14ac:dyDescent="0.4">
      <c r="A3" s="74">
        <v>1</v>
      </c>
      <c r="B3" s="75" t="s">
        <v>127</v>
      </c>
      <c r="C3" s="76">
        <v>2066.5000000000005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0.3138634764250528</v>
      </c>
      <c r="Z3" s="77" t="s">
        <v>223</v>
      </c>
      <c r="AA3" s="80">
        <v>0.36956521739130432</v>
      </c>
      <c r="AB3" s="77" t="s">
        <v>271</v>
      </c>
      <c r="AC3" s="80">
        <v>0.83333333333333337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223</v>
      </c>
      <c r="C4" s="84">
        <v>100.39999999999999</v>
      </c>
      <c r="D4" s="85" t="s">
        <v>223</v>
      </c>
      <c r="E4" s="97">
        <v>16.733333333333331</v>
      </c>
      <c r="F4" s="85" t="s">
        <v>127</v>
      </c>
      <c r="G4" s="86">
        <v>1.76878612716763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172</v>
      </c>
      <c r="M4" s="88">
        <v>0.34326424870466321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-6077.7777777777774</v>
      </c>
      <c r="T4" s="85" t="s">
        <v>222</v>
      </c>
      <c r="U4" s="87">
        <v>0</v>
      </c>
      <c r="V4" s="85" t="s">
        <v>127</v>
      </c>
      <c r="W4" s="87">
        <v>0.17341040462427745</v>
      </c>
      <c r="X4" s="85" t="s">
        <v>128</v>
      </c>
      <c r="Y4" s="88">
        <v>0.29871244635193134</v>
      </c>
      <c r="Z4" s="85" t="s">
        <v>271</v>
      </c>
      <c r="AA4" s="88">
        <v>0.35555555555555557</v>
      </c>
      <c r="AB4" s="85" t="s">
        <v>223</v>
      </c>
      <c r="AC4" s="88">
        <v>0.7142857142857143</v>
      </c>
      <c r="AD4" s="85" t="s">
        <v>127</v>
      </c>
      <c r="AE4" s="88">
        <v>0.52027027027027029</v>
      </c>
      <c r="AF4" s="85" t="s">
        <v>200</v>
      </c>
      <c r="AG4" s="88">
        <v>0.6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0.46820809248554912</v>
      </c>
      <c r="J5" s="85" t="s">
        <v>200</v>
      </c>
      <c r="K5" s="87">
        <v>0.22222222222222221</v>
      </c>
      <c r="L5" s="85" t="s">
        <v>127</v>
      </c>
      <c r="M5" s="88">
        <v>0.33919774806474312</v>
      </c>
      <c r="N5" s="85" t="s">
        <v>223</v>
      </c>
      <c r="O5" s="88">
        <v>0.13043478260869565</v>
      </c>
      <c r="P5" s="85" t="s">
        <v>171</v>
      </c>
      <c r="Q5" s="89">
        <v>9990.7488986784138</v>
      </c>
      <c r="R5" s="85" t="s">
        <v>177</v>
      </c>
      <c r="S5" s="89">
        <v>-7214.6788990825689</v>
      </c>
      <c r="T5" s="85" t="s">
        <v>223</v>
      </c>
      <c r="U5" s="87">
        <v>0</v>
      </c>
      <c r="V5" s="85" t="s">
        <v>171</v>
      </c>
      <c r="W5" s="87">
        <v>0.14583333333333334</v>
      </c>
      <c r="X5" s="85" t="s">
        <v>171</v>
      </c>
      <c r="Y5" s="88">
        <v>0.2908863920099875</v>
      </c>
      <c r="Z5" s="85" t="s">
        <v>200</v>
      </c>
      <c r="AA5" s="88">
        <v>0.31707317073170732</v>
      </c>
      <c r="AB5" s="85" t="s">
        <v>184</v>
      </c>
      <c r="AC5" s="88">
        <v>0.68292682926829273</v>
      </c>
      <c r="AD5" s="85" t="s">
        <v>183</v>
      </c>
      <c r="AE5" s="88">
        <v>0.5</v>
      </c>
      <c r="AF5" s="85" t="s">
        <v>173</v>
      </c>
      <c r="AG5" s="88">
        <v>0.50387596899224807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200</v>
      </c>
      <c r="C6" s="84">
        <v>45.399999999999991</v>
      </c>
      <c r="D6" s="85" t="s">
        <v>127</v>
      </c>
      <c r="E6" s="97">
        <v>11.945086705202314</v>
      </c>
      <c r="F6" s="85" t="s">
        <v>200</v>
      </c>
      <c r="G6" s="86">
        <v>1.8888888888888888</v>
      </c>
      <c r="H6" s="85" t="s">
        <v>184</v>
      </c>
      <c r="I6" s="87">
        <v>0.34782608695652173</v>
      </c>
      <c r="J6" s="85" t="s">
        <v>127</v>
      </c>
      <c r="K6" s="87">
        <v>0.23699421965317918</v>
      </c>
      <c r="L6" s="85" t="s">
        <v>200</v>
      </c>
      <c r="M6" s="88">
        <v>0.33536585365853661</v>
      </c>
      <c r="N6" s="85" t="s">
        <v>172</v>
      </c>
      <c r="O6" s="88">
        <v>0.14119170984455959</v>
      </c>
      <c r="P6" s="85" t="s">
        <v>127</v>
      </c>
      <c r="Q6" s="89">
        <v>9243.3609958506222</v>
      </c>
      <c r="R6" s="85" t="s">
        <v>128</v>
      </c>
      <c r="S6" s="89">
        <v>-7751.4705882352937</v>
      </c>
      <c r="T6" s="85" t="s">
        <v>172</v>
      </c>
      <c r="U6" s="87">
        <v>5.434782608695652E-2</v>
      </c>
      <c r="V6" s="85" t="s">
        <v>145</v>
      </c>
      <c r="W6" s="87">
        <v>0.12698412698412698</v>
      </c>
      <c r="X6" s="85" t="s">
        <v>177</v>
      </c>
      <c r="Y6" s="88">
        <v>0.28294036061026351</v>
      </c>
      <c r="Z6" s="85" t="s">
        <v>172</v>
      </c>
      <c r="AA6" s="88">
        <v>0.28756476683937826</v>
      </c>
      <c r="AB6" s="85" t="s">
        <v>200</v>
      </c>
      <c r="AC6" s="88">
        <v>0.63157894736842102</v>
      </c>
      <c r="AD6" s="85" t="s">
        <v>172</v>
      </c>
      <c r="AE6" s="88">
        <v>0.42792792792792794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222</v>
      </c>
      <c r="C7" s="84">
        <v>13.3</v>
      </c>
      <c r="D7" s="85" t="s">
        <v>200</v>
      </c>
      <c r="E7" s="97">
        <v>2.5222222222222217</v>
      </c>
      <c r="F7" s="85" t="s">
        <v>145</v>
      </c>
      <c r="G7" s="86">
        <v>2</v>
      </c>
      <c r="H7" s="85" t="s">
        <v>200</v>
      </c>
      <c r="I7" s="87">
        <v>0.33333333333333331</v>
      </c>
      <c r="J7" s="85" t="s">
        <v>172</v>
      </c>
      <c r="K7" s="87">
        <v>0.29347826086956524</v>
      </c>
      <c r="L7" s="85" t="s">
        <v>145</v>
      </c>
      <c r="M7" s="88">
        <v>0.29835390946502055</v>
      </c>
      <c r="N7" s="85" t="s">
        <v>177</v>
      </c>
      <c r="O7" s="88">
        <v>0.15117891816920942</v>
      </c>
      <c r="P7" s="85" t="s">
        <v>128</v>
      </c>
      <c r="Q7" s="89">
        <v>9171.4285714285706</v>
      </c>
      <c r="R7" s="85" t="s">
        <v>127</v>
      </c>
      <c r="S7" s="89">
        <v>-8151.1415525114153</v>
      </c>
      <c r="T7" s="85" t="s">
        <v>127</v>
      </c>
      <c r="U7" s="87">
        <v>9.2485549132947972E-2</v>
      </c>
      <c r="V7" s="85" t="s">
        <v>129</v>
      </c>
      <c r="W7" s="87">
        <v>0.125</v>
      </c>
      <c r="X7" s="85" t="s">
        <v>145</v>
      </c>
      <c r="Y7" s="88">
        <v>0.27351557907113461</v>
      </c>
      <c r="Z7" s="85" t="s">
        <v>184</v>
      </c>
      <c r="AA7" s="88">
        <v>0.25287356321839083</v>
      </c>
      <c r="AB7" s="85" t="s">
        <v>177</v>
      </c>
      <c r="AC7" s="88">
        <v>0.6029411764705882</v>
      </c>
      <c r="AD7" s="85" t="s">
        <v>200</v>
      </c>
      <c r="AE7" s="88">
        <v>0.42307692307692307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145</v>
      </c>
      <c r="C8" s="84">
        <v>2.1316282072803006E-14</v>
      </c>
      <c r="D8" s="85" t="s">
        <v>145</v>
      </c>
      <c r="E8" s="97">
        <v>2.6027206438098908E-17</v>
      </c>
      <c r="F8" s="85" t="s">
        <v>222</v>
      </c>
      <c r="G8" s="86">
        <v>2</v>
      </c>
      <c r="H8" s="85" t="s">
        <v>145</v>
      </c>
      <c r="I8" s="87">
        <v>0.33333333333333331</v>
      </c>
      <c r="J8" s="85" t="s">
        <v>145</v>
      </c>
      <c r="K8" s="87">
        <v>0.33333333333333331</v>
      </c>
      <c r="L8" s="85" t="s">
        <v>184</v>
      </c>
      <c r="M8" s="88">
        <v>0.28735632183908044</v>
      </c>
      <c r="N8" s="85" t="s">
        <v>127</v>
      </c>
      <c r="O8" s="88">
        <v>0.15411681914144967</v>
      </c>
      <c r="P8" s="85" t="s">
        <v>129</v>
      </c>
      <c r="Q8" s="89">
        <v>8920.4460966542756</v>
      </c>
      <c r="R8" s="85" t="s">
        <v>145</v>
      </c>
      <c r="S8" s="89">
        <v>-8260.808435852372</v>
      </c>
      <c r="T8" s="85" t="s">
        <v>171</v>
      </c>
      <c r="U8" s="87">
        <v>0.11458333333333333</v>
      </c>
      <c r="V8" s="85" t="s">
        <v>177</v>
      </c>
      <c r="W8" s="87">
        <v>0.125</v>
      </c>
      <c r="X8" s="85" t="s">
        <v>183</v>
      </c>
      <c r="Y8" s="88">
        <v>0.26315789473684209</v>
      </c>
      <c r="Z8" s="85" t="s">
        <v>173</v>
      </c>
      <c r="AA8" s="88">
        <v>0.24</v>
      </c>
      <c r="AB8" s="85" t="s">
        <v>183</v>
      </c>
      <c r="AC8" s="88">
        <v>0.6</v>
      </c>
      <c r="AD8" s="85" t="s">
        <v>171</v>
      </c>
      <c r="AE8" s="88">
        <v>0.41025641025641024</v>
      </c>
      <c r="AF8" s="85" t="s">
        <v>129</v>
      </c>
      <c r="AG8" s="88">
        <v>0.43122676579925651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171</v>
      </c>
      <c r="C9" s="84">
        <v>-48.599999999999987</v>
      </c>
      <c r="D9" s="85" t="s">
        <v>171</v>
      </c>
      <c r="E9" s="97">
        <v>-0.50624999999999987</v>
      </c>
      <c r="F9" s="85" t="s">
        <v>177</v>
      </c>
      <c r="G9" s="86">
        <v>2.0113636363636362</v>
      </c>
      <c r="H9" s="85" t="s">
        <v>177</v>
      </c>
      <c r="I9" s="87">
        <v>0.32954545454545453</v>
      </c>
      <c r="J9" s="85" t="s">
        <v>223</v>
      </c>
      <c r="K9" s="87">
        <v>0.33333333333333331</v>
      </c>
      <c r="L9" s="85" t="s">
        <v>173</v>
      </c>
      <c r="M9" s="88">
        <v>0.28666666666666668</v>
      </c>
      <c r="N9" s="85" t="s">
        <v>145</v>
      </c>
      <c r="O9" s="88">
        <v>0.16725455614344503</v>
      </c>
      <c r="P9" s="85" t="s">
        <v>177</v>
      </c>
      <c r="Q9" s="89">
        <v>8845.6852791878173</v>
      </c>
      <c r="R9" s="85" t="s">
        <v>173</v>
      </c>
      <c r="S9" s="89">
        <v>-8271.9512195121952</v>
      </c>
      <c r="T9" s="85" t="s">
        <v>145</v>
      </c>
      <c r="U9" s="87">
        <v>0.12698412698412698</v>
      </c>
      <c r="V9" s="85" t="s">
        <v>172</v>
      </c>
      <c r="W9" s="87">
        <v>0.10869565217391304</v>
      </c>
      <c r="X9" s="85" t="s">
        <v>129</v>
      </c>
      <c r="Y9" s="88">
        <v>0.26061204343534056</v>
      </c>
      <c r="Z9" s="85" t="s">
        <v>145</v>
      </c>
      <c r="AA9" s="88">
        <v>0.21134626690182245</v>
      </c>
      <c r="AB9" s="85" t="s">
        <v>128</v>
      </c>
      <c r="AC9" s="88">
        <v>0.59195402298850575</v>
      </c>
      <c r="AD9" s="85" t="s">
        <v>145</v>
      </c>
      <c r="AE9" s="88">
        <v>0.39429763560500697</v>
      </c>
      <c r="AF9" s="85" t="s">
        <v>145</v>
      </c>
      <c r="AG9" s="88">
        <v>0.43103448275862066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177</v>
      </c>
      <c r="C10" s="84">
        <v>-51.800000000000068</v>
      </c>
      <c r="D10" s="85" t="s">
        <v>177</v>
      </c>
      <c r="E10" s="97">
        <v>-0.5886363636363644</v>
      </c>
      <c r="F10" s="85" t="s">
        <v>172</v>
      </c>
      <c r="G10" s="86">
        <v>2.0434782608695654</v>
      </c>
      <c r="H10" s="85" t="s">
        <v>129</v>
      </c>
      <c r="I10" s="87">
        <v>0.31666666666666665</v>
      </c>
      <c r="J10" s="85" t="s">
        <v>177</v>
      </c>
      <c r="K10" s="87">
        <v>0.34090909090909088</v>
      </c>
      <c r="L10" s="85" t="s">
        <v>171</v>
      </c>
      <c r="M10" s="88">
        <v>0.28339575530586769</v>
      </c>
      <c r="N10" s="85" t="s">
        <v>200</v>
      </c>
      <c r="O10" s="88">
        <v>0.17073170731707318</v>
      </c>
      <c r="P10" s="85" t="s">
        <v>145</v>
      </c>
      <c r="Q10" s="89">
        <v>8774.4334975369457</v>
      </c>
      <c r="R10" s="85" t="s">
        <v>200</v>
      </c>
      <c r="S10" s="89">
        <v>-8367.8571428571431</v>
      </c>
      <c r="T10" s="85" t="s">
        <v>128</v>
      </c>
      <c r="U10" s="87">
        <v>0.13380281690140844</v>
      </c>
      <c r="V10" s="85" t="s">
        <v>128</v>
      </c>
      <c r="W10" s="87">
        <v>0.10563380281690141</v>
      </c>
      <c r="X10" s="85" t="s">
        <v>184</v>
      </c>
      <c r="Y10" s="88">
        <v>0.23563218390804597</v>
      </c>
      <c r="Z10" s="85" t="s">
        <v>183</v>
      </c>
      <c r="AA10" s="88">
        <v>0.21052631578947367</v>
      </c>
      <c r="AB10" s="85" t="s">
        <v>145</v>
      </c>
      <c r="AC10" s="88">
        <v>0.57872111767866741</v>
      </c>
      <c r="AD10" s="85" t="s">
        <v>184</v>
      </c>
      <c r="AE10" s="88">
        <v>0.38636363636363635</v>
      </c>
      <c r="AF10" s="85" t="s">
        <v>128</v>
      </c>
      <c r="AG10" s="88">
        <v>0.4254658385093168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-120.50000000000006</v>
      </c>
      <c r="D11" s="85" t="s">
        <v>172</v>
      </c>
      <c r="E11" s="97">
        <v>-1.3097826086956528</v>
      </c>
      <c r="F11" s="85" t="s">
        <v>171</v>
      </c>
      <c r="G11" s="86">
        <v>2.0520833333333335</v>
      </c>
      <c r="H11" s="85" t="s">
        <v>171</v>
      </c>
      <c r="I11" s="87">
        <v>0.30208333333333331</v>
      </c>
      <c r="J11" s="85" t="s">
        <v>128</v>
      </c>
      <c r="K11" s="87">
        <v>0.34507042253521125</v>
      </c>
      <c r="L11" s="85" t="s">
        <v>128</v>
      </c>
      <c r="M11" s="88">
        <v>0.27639484978540774</v>
      </c>
      <c r="N11" s="85" t="s">
        <v>128</v>
      </c>
      <c r="O11" s="88">
        <v>0.17510729613733905</v>
      </c>
      <c r="P11" s="85" t="s">
        <v>184</v>
      </c>
      <c r="Q11" s="89">
        <v>8434</v>
      </c>
      <c r="R11" s="85" t="s">
        <v>172</v>
      </c>
      <c r="S11" s="89">
        <v>-8425.6880733944963</v>
      </c>
      <c r="T11" s="85" t="s">
        <v>177</v>
      </c>
      <c r="U11" s="87">
        <v>0.14772727272727273</v>
      </c>
      <c r="V11" s="85" t="s">
        <v>184</v>
      </c>
      <c r="W11" s="87">
        <v>8.6956521739130432E-2</v>
      </c>
      <c r="X11" s="85" t="s">
        <v>200</v>
      </c>
      <c r="Y11" s="88">
        <v>0.23170731707317074</v>
      </c>
      <c r="Z11" s="85" t="s">
        <v>127</v>
      </c>
      <c r="AA11" s="88">
        <v>0.20830401125967629</v>
      </c>
      <c r="AB11" s="85" t="s">
        <v>127</v>
      </c>
      <c r="AC11" s="88">
        <v>0.57623318385650224</v>
      </c>
      <c r="AD11" s="85" t="s">
        <v>173</v>
      </c>
      <c r="AE11" s="88">
        <v>0.33333333333333331</v>
      </c>
      <c r="AF11" s="85" t="s">
        <v>127</v>
      </c>
      <c r="AG11" s="88">
        <v>0.42323651452282157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-152</v>
      </c>
      <c r="D12" s="85" t="s">
        <v>128</v>
      </c>
      <c r="E12" s="97">
        <v>-2.5359154929577468</v>
      </c>
      <c r="F12" s="85" t="s">
        <v>128</v>
      </c>
      <c r="G12" s="86">
        <v>2.0704225352112675</v>
      </c>
      <c r="H12" s="85" t="s">
        <v>173</v>
      </c>
      <c r="I12" s="87">
        <v>0.28846153846153844</v>
      </c>
      <c r="J12" s="85" t="s">
        <v>171</v>
      </c>
      <c r="K12" s="87">
        <v>0.35416666666666669</v>
      </c>
      <c r="L12" s="85" t="s">
        <v>177</v>
      </c>
      <c r="M12" s="88">
        <v>0.27323162274618584</v>
      </c>
      <c r="N12" s="85" t="s">
        <v>171</v>
      </c>
      <c r="O12" s="88">
        <v>0.17852684144818975</v>
      </c>
      <c r="P12" s="85" t="s">
        <v>200</v>
      </c>
      <c r="Q12" s="89">
        <v>8063.636363636364</v>
      </c>
      <c r="R12" s="85" t="s">
        <v>171</v>
      </c>
      <c r="S12" s="89">
        <v>-8548.9510489510485</v>
      </c>
      <c r="T12" s="85" t="s">
        <v>173</v>
      </c>
      <c r="U12" s="87">
        <v>0.15384615384615385</v>
      </c>
      <c r="V12" s="85" t="s">
        <v>173</v>
      </c>
      <c r="W12" s="87">
        <v>7.6923076923076927E-2</v>
      </c>
      <c r="X12" s="85" t="s">
        <v>222</v>
      </c>
      <c r="Y12" s="88">
        <v>0.23076923076923078</v>
      </c>
      <c r="Z12" s="85" t="s">
        <v>171</v>
      </c>
      <c r="AA12" s="88">
        <v>0.19475655430711611</v>
      </c>
      <c r="AB12" s="85" t="s">
        <v>171</v>
      </c>
      <c r="AC12" s="88">
        <v>0.5622317596566524</v>
      </c>
      <c r="AD12" s="85" t="s">
        <v>177</v>
      </c>
      <c r="AE12" s="88">
        <v>0.33333333333333331</v>
      </c>
      <c r="AF12" s="85" t="s">
        <v>177</v>
      </c>
      <c r="AG12" s="88">
        <v>0.42131979695431471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-253.49999999999997</v>
      </c>
      <c r="D13" s="85" t="s">
        <v>129</v>
      </c>
      <c r="E13" s="97">
        <v>-7.5208333333333339</v>
      </c>
      <c r="F13" s="85" t="s">
        <v>129</v>
      </c>
      <c r="G13" s="86">
        <v>2.1</v>
      </c>
      <c r="H13" s="85" t="s">
        <v>128</v>
      </c>
      <c r="I13" s="87">
        <v>0.27464788732394368</v>
      </c>
      <c r="J13" s="85" t="s">
        <v>173</v>
      </c>
      <c r="K13" s="87">
        <v>0.40384615384615385</v>
      </c>
      <c r="L13" s="85" t="s">
        <v>129</v>
      </c>
      <c r="M13" s="88">
        <v>0.26554787759131293</v>
      </c>
      <c r="N13" s="85" t="s">
        <v>173</v>
      </c>
      <c r="O13" s="88">
        <v>0.18222222222222223</v>
      </c>
      <c r="P13" s="85" t="s">
        <v>183</v>
      </c>
      <c r="Q13" s="89">
        <v>7860</v>
      </c>
      <c r="R13" s="85" t="s">
        <v>129</v>
      </c>
      <c r="S13" s="89">
        <v>-8930.1075268817203</v>
      </c>
      <c r="T13" s="85" t="s">
        <v>200</v>
      </c>
      <c r="U13" s="87">
        <v>0.16666666666666666</v>
      </c>
      <c r="V13" s="85" t="s">
        <v>200</v>
      </c>
      <c r="W13" s="87">
        <v>5.5555555555555552E-2</v>
      </c>
      <c r="X13" s="85" t="s">
        <v>173</v>
      </c>
      <c r="Y13" s="88">
        <v>0.22666666666666666</v>
      </c>
      <c r="Z13" s="85" t="s">
        <v>129</v>
      </c>
      <c r="AA13" s="88">
        <v>0.18262586377097728</v>
      </c>
      <c r="AB13" s="85" t="s">
        <v>172</v>
      </c>
      <c r="AC13" s="88">
        <v>0.56097560975609762</v>
      </c>
      <c r="AD13" s="85" t="s">
        <v>128</v>
      </c>
      <c r="AE13" s="88">
        <v>0.3125</v>
      </c>
      <c r="AF13" s="85" t="s">
        <v>171</v>
      </c>
      <c r="AG13" s="88">
        <v>0.40528634361233479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128</v>
      </c>
      <c r="C14" s="84">
        <v>-360.1</v>
      </c>
      <c r="D14" s="85" t="s">
        <v>173</v>
      </c>
      <c r="E14" s="97">
        <v>-7.6461538461538465</v>
      </c>
      <c r="F14" s="85" t="s">
        <v>173</v>
      </c>
      <c r="G14" s="86">
        <v>2.1153846153846154</v>
      </c>
      <c r="H14" s="85" t="s">
        <v>172</v>
      </c>
      <c r="I14" s="87">
        <v>0.25</v>
      </c>
      <c r="J14" s="85" t="s">
        <v>129</v>
      </c>
      <c r="K14" s="87">
        <v>0.41666666666666669</v>
      </c>
      <c r="L14" s="85" t="s">
        <v>183</v>
      </c>
      <c r="M14" s="88">
        <v>0.26315789473684209</v>
      </c>
      <c r="N14" s="85" t="s">
        <v>129</v>
      </c>
      <c r="O14" s="88">
        <v>0.18361303060217177</v>
      </c>
      <c r="P14" s="85" t="s">
        <v>173</v>
      </c>
      <c r="Q14" s="89">
        <v>7534.1085271317834</v>
      </c>
      <c r="R14" s="85" t="s">
        <v>184</v>
      </c>
      <c r="S14" s="89">
        <v>-9825</v>
      </c>
      <c r="T14" s="85" t="s">
        <v>129</v>
      </c>
      <c r="U14" s="87">
        <v>0.17499999999999999</v>
      </c>
      <c r="V14" s="85" t="s">
        <v>183</v>
      </c>
      <c r="W14" s="87">
        <v>0</v>
      </c>
      <c r="X14" s="85" t="s">
        <v>172</v>
      </c>
      <c r="Y14" s="88">
        <v>0.21243523316062177</v>
      </c>
      <c r="Z14" s="85" t="s">
        <v>177</v>
      </c>
      <c r="AA14" s="88">
        <v>0.17891816920943135</v>
      </c>
      <c r="AB14" s="85" t="s">
        <v>173</v>
      </c>
      <c r="AC14" s="88">
        <v>0.55882352941176472</v>
      </c>
      <c r="AD14" s="85" t="s">
        <v>129</v>
      </c>
      <c r="AE14" s="88">
        <v>0.30270270270270272</v>
      </c>
      <c r="AF14" s="85" t="s">
        <v>172</v>
      </c>
      <c r="AG14" s="88">
        <v>0.39622641509433965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173</v>
      </c>
      <c r="C15" s="84">
        <v>-397.6</v>
      </c>
      <c r="D15" s="85" t="s">
        <v>184</v>
      </c>
      <c r="E15" s="97">
        <v>-11.021739130434781</v>
      </c>
      <c r="F15" s="85" t="s">
        <v>184</v>
      </c>
      <c r="G15" s="86">
        <v>2.1739130434782608</v>
      </c>
      <c r="H15" s="85" t="s">
        <v>222</v>
      </c>
      <c r="I15" s="87">
        <v>0</v>
      </c>
      <c r="J15" s="85" t="s">
        <v>184</v>
      </c>
      <c r="K15" s="87">
        <v>0.52173913043478259</v>
      </c>
      <c r="L15" s="85" t="s">
        <v>271</v>
      </c>
      <c r="M15" s="88">
        <v>0.24444444444444444</v>
      </c>
      <c r="N15" s="85" t="s">
        <v>271</v>
      </c>
      <c r="O15" s="88">
        <v>0.2</v>
      </c>
      <c r="P15" s="85" t="s">
        <v>172</v>
      </c>
      <c r="Q15" s="89">
        <v>6872.4528301886794</v>
      </c>
      <c r="R15" s="85" t="s">
        <v>223</v>
      </c>
      <c r="S15" s="89">
        <v>-10583.333333333334</v>
      </c>
      <c r="T15" s="85" t="s">
        <v>271</v>
      </c>
      <c r="U15" s="87">
        <v>0.2</v>
      </c>
      <c r="V15" s="85" t="s">
        <v>222</v>
      </c>
      <c r="W15" s="87">
        <v>0</v>
      </c>
      <c r="X15" s="85" t="s">
        <v>223</v>
      </c>
      <c r="Y15" s="88">
        <v>0.15217391304347827</v>
      </c>
      <c r="Z15" s="85" t="s">
        <v>128</v>
      </c>
      <c r="AA15" s="88">
        <v>0.17854077253218884</v>
      </c>
      <c r="AB15" s="85" t="s">
        <v>129</v>
      </c>
      <c r="AC15" s="88">
        <v>0.5492424242424242</v>
      </c>
      <c r="AD15" s="85" t="s">
        <v>271</v>
      </c>
      <c r="AE15" s="88">
        <v>0.25</v>
      </c>
      <c r="AF15" s="85" t="s">
        <v>271</v>
      </c>
      <c r="AG15" s="88">
        <v>0.36363636363636365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-902.50000000000011</v>
      </c>
      <c r="D16" s="85" t="s">
        <v>271</v>
      </c>
      <c r="E16" s="97">
        <v>-30.4</v>
      </c>
      <c r="F16" s="85" t="s">
        <v>271</v>
      </c>
      <c r="G16" s="86">
        <v>2.6</v>
      </c>
      <c r="H16" s="85" t="s">
        <v>271</v>
      </c>
      <c r="I16" s="87">
        <v>0</v>
      </c>
      <c r="J16" s="85" t="s">
        <v>271</v>
      </c>
      <c r="K16" s="87">
        <v>0.6</v>
      </c>
      <c r="L16" s="85" t="s">
        <v>222</v>
      </c>
      <c r="M16" s="88">
        <v>0.15384615384615385</v>
      </c>
      <c r="N16" s="85" t="s">
        <v>184</v>
      </c>
      <c r="O16" s="88">
        <v>0.22988505747126436</v>
      </c>
      <c r="P16" s="85" t="s">
        <v>271</v>
      </c>
      <c r="Q16" s="89">
        <v>6727.272727272727</v>
      </c>
      <c r="R16" s="85" t="s">
        <v>222</v>
      </c>
      <c r="S16" s="89">
        <v>-12000</v>
      </c>
      <c r="T16" s="85" t="s">
        <v>184</v>
      </c>
      <c r="U16" s="87">
        <v>0.30434782608695654</v>
      </c>
      <c r="V16" s="85" t="s">
        <v>271</v>
      </c>
      <c r="W16" s="87">
        <v>0</v>
      </c>
      <c r="X16" s="85" t="s">
        <v>271</v>
      </c>
      <c r="Y16" s="88">
        <v>0.13333333333333333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ref="AH3:AI47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E0CA-51F0-457A-9F37-87D93EFF67A2}">
  <sheetPr codeName="Sheet4"/>
  <dimension ref="A1:Q82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145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819</v>
      </c>
      <c r="C2" s="153"/>
      <c r="E2" s="62" t="s">
        <v>67</v>
      </c>
      <c r="F2" s="59" t="s">
        <v>23</v>
      </c>
      <c r="G2" s="46">
        <v>1483</v>
      </c>
      <c r="H2" s="132">
        <f>IF(B$17=0,0,G2/B$17)</f>
        <v>0.73054187192118225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-17.094017094017094</v>
      </c>
      <c r="P2" s="118">
        <v>819</v>
      </c>
      <c r="Q2" s="102">
        <v>-14000</v>
      </c>
    </row>
    <row r="3" spans="1:17" x14ac:dyDescent="0.4">
      <c r="A3" s="55" t="s">
        <v>8</v>
      </c>
      <c r="B3" s="154">
        <v>6804</v>
      </c>
      <c r="C3" s="155"/>
      <c r="E3" s="63" t="s">
        <v>73</v>
      </c>
      <c r="F3" s="60" t="s">
        <v>28</v>
      </c>
      <c r="G3" s="47">
        <v>1046</v>
      </c>
      <c r="H3" s="133">
        <f>IF(B$17=0,0,G3/B$17)</f>
        <v>0.51527093596059115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-6.2421972534332086</v>
      </c>
      <c r="P3" s="119">
        <v>801</v>
      </c>
      <c r="Q3" s="103">
        <v>-5000</v>
      </c>
    </row>
    <row r="4" spans="1:17" x14ac:dyDescent="0.4">
      <c r="A4" s="55" t="s">
        <v>6</v>
      </c>
      <c r="B4" s="156">
        <v>2.1316282072803006E-14</v>
      </c>
      <c r="C4" s="157"/>
      <c r="E4" s="63" t="s">
        <v>65</v>
      </c>
      <c r="F4" s="60" t="s">
        <v>21</v>
      </c>
      <c r="G4" s="47">
        <v>1029</v>
      </c>
      <c r="H4" s="133">
        <f>IF(B$17=0,0,G4/B$17)</f>
        <v>0.50689655172413794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12.195121951219512</v>
      </c>
      <c r="P4" s="119">
        <v>738</v>
      </c>
      <c r="Q4" s="103">
        <v>9000</v>
      </c>
    </row>
    <row r="5" spans="1:17" x14ac:dyDescent="0.4">
      <c r="A5" s="55" t="s">
        <v>7</v>
      </c>
      <c r="B5" s="158">
        <f>IF(B$2=0,0,B$4/B$2)</f>
        <v>2.6027206438098908E-17</v>
      </c>
      <c r="C5" s="159"/>
      <c r="E5" s="63" t="s">
        <v>245</v>
      </c>
      <c r="F5" s="60" t="s">
        <v>246</v>
      </c>
      <c r="G5" s="47">
        <v>830</v>
      </c>
      <c r="H5" s="133">
        <f>IF(B$17=0,0,G5/B$17)</f>
        <v>0.40886699507389163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7.3421439060205582</v>
      </c>
      <c r="P5" s="119">
        <v>681</v>
      </c>
      <c r="Q5" s="103">
        <v>5000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629</v>
      </c>
      <c r="H6" s="133">
        <f>IF(B$17=0,0,G6/B$17)</f>
        <v>0.30985221674876845</v>
      </c>
      <c r="I6" s="94">
        <v>7</v>
      </c>
      <c r="K6" s="38">
        <v>4</v>
      </c>
      <c r="L6" s="99">
        <v>2.2000000000000002</v>
      </c>
      <c r="N6" s="115" t="s">
        <v>136</v>
      </c>
      <c r="O6" s="122">
        <f t="shared" si="0"/>
        <v>-16.501650165016503</v>
      </c>
      <c r="P6" s="119">
        <v>606</v>
      </c>
      <c r="Q6" s="103">
        <v>-10000</v>
      </c>
    </row>
    <row r="7" spans="1:17" x14ac:dyDescent="0.4">
      <c r="A7" s="55" t="s">
        <v>2</v>
      </c>
      <c r="B7" s="47">
        <v>273</v>
      </c>
      <c r="C7" s="39">
        <f>IF(B$2=0,0,B7/B$2)</f>
        <v>0.33333333333333331</v>
      </c>
      <c r="E7" s="63" t="s">
        <v>68</v>
      </c>
      <c r="F7" s="60" t="s">
        <v>24</v>
      </c>
      <c r="G7" s="47">
        <v>624</v>
      </c>
      <c r="H7" s="133">
        <f>IF(B$17=0,0,G7/B$17)</f>
        <v>0.30738916256157633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28.40909090909091</v>
      </c>
      <c r="P7" s="120">
        <v>528</v>
      </c>
      <c r="Q7" s="104">
        <v>15000</v>
      </c>
    </row>
    <row r="8" spans="1:17" x14ac:dyDescent="0.4">
      <c r="A8" s="55" t="s">
        <v>3</v>
      </c>
      <c r="B8" s="47">
        <v>273</v>
      </c>
      <c r="C8" s="39">
        <f>IF(B$2=0,0,B8/B$2)</f>
        <v>0.33333333333333331</v>
      </c>
      <c r="E8" s="63" t="s">
        <v>70</v>
      </c>
      <c r="F8" s="60" t="s">
        <v>25</v>
      </c>
      <c r="G8" s="47">
        <v>349</v>
      </c>
      <c r="H8" s="133">
        <f>IF(B$17=0,0,G8/B$17)</f>
        <v>0.17192118226600986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273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251</v>
      </c>
      <c r="H9" s="133">
        <f>IF(B$17=0,0,G9/B$17)</f>
        <v>0.12364532019704433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104</v>
      </c>
      <c r="C10" s="40">
        <f>IF(B$2=0,0,B10/B$2)</f>
        <v>0.12698412698412698</v>
      </c>
      <c r="E10" s="63" t="s">
        <v>66</v>
      </c>
      <c r="F10" s="60" t="s">
        <v>22</v>
      </c>
      <c r="G10" s="47">
        <v>227</v>
      </c>
      <c r="H10" s="133">
        <f>IF(B$17=0,0,G10/B$17)</f>
        <v>0.11182266009852217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-3.2058608058608038</v>
      </c>
      <c r="P10" s="118">
        <v>273</v>
      </c>
      <c r="Q10" s="106">
        <v>-875.19999999999948</v>
      </c>
    </row>
    <row r="11" spans="1:17" x14ac:dyDescent="0.4">
      <c r="A11" s="56" t="s">
        <v>140</v>
      </c>
      <c r="B11" s="48">
        <v>104</v>
      </c>
      <c r="C11" s="40">
        <f>IF(B$2=0,0,B11/B$2)</f>
        <v>0.12698412698412698</v>
      </c>
      <c r="E11" s="63" t="s">
        <v>71</v>
      </c>
      <c r="F11" s="60" t="s">
        <v>26</v>
      </c>
      <c r="G11" s="47">
        <v>208</v>
      </c>
      <c r="H11" s="133">
        <f>IF(B$17=0,0,G11/B$17)</f>
        <v>0.10246305418719212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1.8117216117216124</v>
      </c>
      <c r="P11" s="119">
        <v>273</v>
      </c>
      <c r="Q11" s="107">
        <v>494.60000000000019</v>
      </c>
    </row>
    <row r="12" spans="1:17" x14ac:dyDescent="0.4">
      <c r="A12" s="57" t="s">
        <v>160</v>
      </c>
      <c r="B12" s="49">
        <v>73</v>
      </c>
      <c r="C12" s="42">
        <f>IF(B$2=0,0,B12/B$2)</f>
        <v>8.9133089133089136E-2</v>
      </c>
      <c r="E12" s="63" t="s">
        <v>72</v>
      </c>
      <c r="F12" s="60" t="s">
        <v>27</v>
      </c>
      <c r="G12" s="47">
        <v>139</v>
      </c>
      <c r="H12" s="133">
        <f>IF(B$17=0,0,G12/B$17)</f>
        <v>6.8472906403940881E-2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1.3941391941391938</v>
      </c>
      <c r="P12" s="120">
        <v>273</v>
      </c>
      <c r="Q12" s="108">
        <v>380.59999999999991</v>
      </c>
    </row>
    <row r="13" spans="1:17" x14ac:dyDescent="0.4">
      <c r="A13" s="58" t="s">
        <v>122</v>
      </c>
      <c r="B13" s="50">
        <v>1861</v>
      </c>
      <c r="C13" s="44">
        <f>IF(B$3=0,0,B13/B$3)</f>
        <v>0.27351557907113461</v>
      </c>
      <c r="E13" s="63" t="s">
        <v>87</v>
      </c>
      <c r="F13" s="60" t="s">
        <v>42</v>
      </c>
      <c r="G13" s="47">
        <v>114</v>
      </c>
      <c r="H13" s="133">
        <f>IF(B$17=0,0,G13/B$17)</f>
        <v>5.6157635467980298E-2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1438</v>
      </c>
      <c r="C14" s="39">
        <f>IF(B$3=0,0,B14/B$3)</f>
        <v>0.21134626690182245</v>
      </c>
      <c r="E14" s="63" t="s">
        <v>84</v>
      </c>
      <c r="F14" s="60" t="s">
        <v>39</v>
      </c>
      <c r="G14" s="47">
        <v>101</v>
      </c>
      <c r="H14" s="133">
        <f>IF(B$17=0,0,G14/B$17)</f>
        <v>4.9753694581280788E-2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1077</v>
      </c>
      <c r="C15" s="37">
        <f>IF(B$13=0,0,B15/B$13)</f>
        <v>0.57872111767866741</v>
      </c>
      <c r="E15" s="63" t="s">
        <v>82</v>
      </c>
      <c r="F15" s="60" t="s">
        <v>37</v>
      </c>
      <c r="G15" s="47">
        <v>58</v>
      </c>
      <c r="H15" s="133">
        <f>IF(B$17=0,0,G15/B$17)</f>
        <v>2.8571428571428571E-2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45.6</v>
      </c>
      <c r="P15" s="118">
        <v>10</v>
      </c>
      <c r="Q15" s="106">
        <v>456</v>
      </c>
    </row>
    <row r="16" spans="1:17" x14ac:dyDescent="0.4">
      <c r="A16" s="54" t="s">
        <v>125</v>
      </c>
      <c r="B16" s="46">
        <v>567</v>
      </c>
      <c r="C16" s="37">
        <f>IF(B$14=0,0,B16/B$14)</f>
        <v>0.39429763560500697</v>
      </c>
      <c r="E16" s="63" t="s">
        <v>79</v>
      </c>
      <c r="F16" s="60" t="s">
        <v>34</v>
      </c>
      <c r="G16" s="47">
        <v>56</v>
      </c>
      <c r="H16" s="133">
        <f>IF(B$17=0,0,G16/B$17)</f>
        <v>2.7586206896551724E-2</v>
      </c>
      <c r="I16" s="94">
        <v>7</v>
      </c>
      <c r="K16" s="38">
        <v>14</v>
      </c>
      <c r="L16" s="99">
        <v>18.79999999999999</v>
      </c>
      <c r="N16" s="115" t="s">
        <v>184</v>
      </c>
      <c r="O16" s="125">
        <f>IF(P16=0,0,Q16/P16)</f>
        <v>16.532608695652179</v>
      </c>
      <c r="P16" s="119">
        <v>46</v>
      </c>
      <c r="Q16" s="107">
        <v>760.50000000000023</v>
      </c>
    </row>
    <row r="17" spans="1:17" x14ac:dyDescent="0.4">
      <c r="A17" s="54" t="s">
        <v>10</v>
      </c>
      <c r="B17" s="46">
        <f>B19+B18</f>
        <v>2030</v>
      </c>
      <c r="C17" s="37">
        <f>IF(B$3=0,0,B17/B$3)</f>
        <v>0.29835390946502055</v>
      </c>
      <c r="E17" s="63" t="s">
        <v>92</v>
      </c>
      <c r="F17" s="60" t="s">
        <v>47</v>
      </c>
      <c r="G17" s="47">
        <v>40</v>
      </c>
      <c r="H17" s="133">
        <f>IF(B$17=0,0,G17/B$17)</f>
        <v>1.9704433497536946E-2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11.469230769230762</v>
      </c>
      <c r="P17" s="119">
        <v>104</v>
      </c>
      <c r="Q17" s="107">
        <v>1192.7999999999993</v>
      </c>
    </row>
    <row r="18" spans="1:17" x14ac:dyDescent="0.4">
      <c r="A18" s="55" t="s">
        <v>12</v>
      </c>
      <c r="B18" s="47">
        <v>875</v>
      </c>
      <c r="C18" s="39">
        <f>IF(B$17=0,0,B18/B$17)</f>
        <v>0.43103448275862066</v>
      </c>
      <c r="E18" s="63" t="s">
        <v>80</v>
      </c>
      <c r="F18" s="60" t="s">
        <v>35</v>
      </c>
      <c r="G18" s="47">
        <v>33</v>
      </c>
      <c r="H18" s="133">
        <f>IF(B$17=0,0,G18/B$17)</f>
        <v>1.6256157635467981E-2</v>
      </c>
      <c r="I18" s="94">
        <v>6</v>
      </c>
      <c r="K18" s="38">
        <v>16</v>
      </c>
      <c r="L18" s="99">
        <v>90.899999999999991</v>
      </c>
      <c r="N18" s="115" t="s">
        <v>129</v>
      </c>
      <c r="O18" s="125">
        <f>IF(P18=0,0,Q18/P18)</f>
        <v>11.281250000000028</v>
      </c>
      <c r="P18" s="119">
        <v>240</v>
      </c>
      <c r="Q18" s="107">
        <v>2707.5000000000068</v>
      </c>
    </row>
    <row r="19" spans="1:17" x14ac:dyDescent="0.4">
      <c r="A19" s="55" t="s">
        <v>11</v>
      </c>
      <c r="B19" s="47">
        <v>1155</v>
      </c>
      <c r="C19" s="39">
        <f>IF(B$17=0,0,B19/B$17)</f>
        <v>0.56896551724137934</v>
      </c>
      <c r="E19" s="63" t="s">
        <v>180</v>
      </c>
      <c r="F19" s="60" t="s">
        <v>181</v>
      </c>
      <c r="G19" s="47">
        <v>33</v>
      </c>
      <c r="H19" s="133">
        <f>IF(B$17=0,0,G19/B$17)</f>
        <v>1.6256157635467981E-2</v>
      </c>
      <c r="I19" s="94">
        <v>4</v>
      </c>
      <c r="K19" s="38">
        <v>17</v>
      </c>
      <c r="L19" s="99">
        <v>8.2999999999999972</v>
      </c>
      <c r="N19" s="115" t="s">
        <v>128</v>
      </c>
      <c r="O19" s="125">
        <f>IF(P19=0,0,Q19/P19)</f>
        <v>3.803873239436621</v>
      </c>
      <c r="P19" s="119">
        <v>284</v>
      </c>
      <c r="Q19" s="107">
        <v>1080.3000000000004</v>
      </c>
    </row>
    <row r="20" spans="1:17" x14ac:dyDescent="0.4">
      <c r="A20" s="55" t="s">
        <v>13</v>
      </c>
      <c r="B20" s="47">
        <v>1138</v>
      </c>
      <c r="C20" s="39">
        <f>IF(B$3=0,0,B20/B$3)</f>
        <v>0.16725455614344503</v>
      </c>
      <c r="E20" s="63" t="s">
        <v>74</v>
      </c>
      <c r="F20" s="60" t="s">
        <v>29</v>
      </c>
      <c r="G20" s="47">
        <v>14</v>
      </c>
      <c r="H20" s="133">
        <f>IF(B$17=0,0,G20/B$17)</f>
        <v>6.8965517241379309E-3</v>
      </c>
      <c r="I20" s="94">
        <v>5</v>
      </c>
      <c r="K20" s="38">
        <v>18</v>
      </c>
      <c r="L20" s="99">
        <v>-3.5527136788005009E-15</v>
      </c>
      <c r="N20" s="115" t="s">
        <v>172</v>
      </c>
      <c r="O20" s="125">
        <f>IF(P20=0,0,Q20/P20)</f>
        <v>1.9646739130434776</v>
      </c>
      <c r="P20" s="119">
        <v>184</v>
      </c>
      <c r="Q20" s="107">
        <v>361.49999999999989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13</v>
      </c>
      <c r="H21" s="133">
        <f>IF(B$17=0,0,G21/B$17)</f>
        <v>6.4039408866995075E-3</v>
      </c>
      <c r="I21" s="94">
        <v>5</v>
      </c>
      <c r="K21" s="38">
        <v>19</v>
      </c>
      <c r="L21" s="99">
        <v>30.999999999999996</v>
      </c>
      <c r="N21" s="115" t="s">
        <v>177</v>
      </c>
      <c r="O21" s="125">
        <f>IF(P21=0,0,Q21/P21)</f>
        <v>0.88295454545454344</v>
      </c>
      <c r="P21" s="119">
        <v>176</v>
      </c>
      <c r="Q21" s="107">
        <v>155.39999999999964</v>
      </c>
    </row>
    <row r="22" spans="1:17" x14ac:dyDescent="0.4">
      <c r="A22" s="55" t="s">
        <v>192</v>
      </c>
      <c r="B22" s="47">
        <v>31</v>
      </c>
      <c r="C22" s="135">
        <v>7</v>
      </c>
      <c r="E22" s="63" t="s">
        <v>75</v>
      </c>
      <c r="F22" s="60" t="s">
        <v>30</v>
      </c>
      <c r="G22" s="47">
        <v>9</v>
      </c>
      <c r="H22" s="133">
        <f>IF(B$17=0,0,G22/B$17)</f>
        <v>4.4334975369458131E-3</v>
      </c>
      <c r="I22" s="94">
        <v>6</v>
      </c>
      <c r="K22" s="38">
        <v>20</v>
      </c>
      <c r="L22" s="99">
        <v>0.79999999999999716</v>
      </c>
      <c r="N22" s="115" t="s">
        <v>171</v>
      </c>
      <c r="O22" s="125">
        <f>IF(P22=0,0,Q22/P22)</f>
        <v>0.75937500000000246</v>
      </c>
      <c r="P22" s="119">
        <v>192</v>
      </c>
      <c r="Q22" s="107">
        <v>145.80000000000047</v>
      </c>
    </row>
    <row r="23" spans="1:17" x14ac:dyDescent="0.4">
      <c r="A23" s="55" t="s">
        <v>5</v>
      </c>
      <c r="B23" s="51">
        <f>IF(B$17=0,0,C23/B$17)</f>
        <v>8774.4334975369457</v>
      </c>
      <c r="C23" s="41">
        <v>17812100</v>
      </c>
      <c r="E23" s="63" t="s">
        <v>86</v>
      </c>
      <c r="F23" s="60" t="s">
        <v>41</v>
      </c>
      <c r="G23" s="47">
        <v>8</v>
      </c>
      <c r="H23" s="133">
        <f>IF(B$17=0,0,G23/B$17)</f>
        <v>3.9408866995073889E-3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>IF(P23=0,0,Q23/P23)</f>
        <v>-3.7833333333333283</v>
      </c>
      <c r="P23" s="119">
        <v>36</v>
      </c>
      <c r="Q23" s="107">
        <v>-136.19999999999982</v>
      </c>
    </row>
    <row r="24" spans="1:17" x14ac:dyDescent="0.4">
      <c r="A24" s="57" t="s">
        <v>14</v>
      </c>
      <c r="B24" s="52">
        <f>IF(B$20=0,0,C24/B$20)</f>
        <v>-8260.808435852372</v>
      </c>
      <c r="C24" s="45">
        <v>-9400800</v>
      </c>
      <c r="E24" s="63" t="s">
        <v>93</v>
      </c>
      <c r="F24" s="60" t="s">
        <v>48</v>
      </c>
      <c r="G24" s="47">
        <v>8</v>
      </c>
      <c r="H24" s="133">
        <f>IF(B$17=0,0,G24/B$17)</f>
        <v>3.9408866995073889E-3</v>
      </c>
      <c r="I24" s="94">
        <v>4</v>
      </c>
      <c r="K24" s="38">
        <v>22</v>
      </c>
      <c r="L24" s="99">
        <v>23.699999999999996</v>
      </c>
      <c r="N24" s="115" t="s">
        <v>127</v>
      </c>
      <c r="O24" s="125">
        <f>IF(P24=0,0,Q24/P24)</f>
        <v>-17.917630057803454</v>
      </c>
      <c r="P24" s="119">
        <v>346</v>
      </c>
      <c r="Q24" s="107">
        <v>-6199.4999999999945</v>
      </c>
    </row>
    <row r="25" spans="1:17" x14ac:dyDescent="0.4">
      <c r="A25" s="90" t="s">
        <v>142</v>
      </c>
      <c r="B25" s="146">
        <v>8</v>
      </c>
      <c r="C25" s="147"/>
      <c r="E25" s="63" t="s">
        <v>94</v>
      </c>
      <c r="F25" s="60" t="s">
        <v>49</v>
      </c>
      <c r="G25" s="47">
        <v>7</v>
      </c>
      <c r="H25" s="133">
        <f>IF(B$17=0,0,G25/B$17)</f>
        <v>3.4482758620689655E-3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4">
        <v>116000</v>
      </c>
      <c r="C26" s="145"/>
      <c r="E26" s="63" t="s">
        <v>88</v>
      </c>
      <c r="F26" s="60" t="s">
        <v>43</v>
      </c>
      <c r="G26" s="47">
        <v>6</v>
      </c>
      <c r="H26" s="133">
        <f>IF(B$17=0,0,G26/B$17)</f>
        <v>2.9556650246305421E-3</v>
      </c>
      <c r="I26" s="94">
        <v>5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19</v>
      </c>
      <c r="C27" s="42">
        <f>IF(B$3=0,0,B27/B$3)</f>
        <v>2.7924750146972369E-3</v>
      </c>
      <c r="E27" s="63" t="s">
        <v>78</v>
      </c>
      <c r="F27" s="60" t="s">
        <v>33</v>
      </c>
      <c r="G27" s="47">
        <v>5</v>
      </c>
      <c r="H27" s="133">
        <f>IF(B$17=0,0,G27/B$17)</f>
        <v>2.4630541871921183E-3</v>
      </c>
      <c r="I27" s="94">
        <v>7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85</v>
      </c>
      <c r="F28" s="60" t="s">
        <v>40</v>
      </c>
      <c r="G28" s="47">
        <v>5</v>
      </c>
      <c r="H28" s="133">
        <f>IF(B$17=0,0,G28/B$17)</f>
        <v>2.4630541871921183E-3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5</v>
      </c>
      <c r="H29" s="133">
        <f>IF(B$17=0,0,G29/B$17)</f>
        <v>2.4630541871921183E-3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1.9704433497536944E-3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9.8522167487684722E-4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4.9261083743842361E-4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4.9261083743842361E-4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4.9261083743842361E-4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-11.999999999999986</v>
      </c>
    </row>
    <row r="742" spans="11:12" x14ac:dyDescent="0.4">
      <c r="K742" s="38">
        <v>740</v>
      </c>
      <c r="L742" s="99">
        <v>65.100000000000009</v>
      </c>
    </row>
    <row r="743" spans="11:12" x14ac:dyDescent="0.4">
      <c r="K743" s="38">
        <v>741</v>
      </c>
      <c r="L743" s="99">
        <v>1.4210854715202004E-14</v>
      </c>
    </row>
    <row r="744" spans="11:12" x14ac:dyDescent="0.4">
      <c r="K744" s="38">
        <v>742</v>
      </c>
      <c r="L744" s="99">
        <v>14.700000000000014</v>
      </c>
    </row>
    <row r="745" spans="11:12" x14ac:dyDescent="0.4">
      <c r="K745" s="38">
        <v>743</v>
      </c>
      <c r="L745" s="99">
        <v>75.200000000000017</v>
      </c>
    </row>
    <row r="746" spans="11:12" x14ac:dyDescent="0.4">
      <c r="K746" s="38">
        <v>744</v>
      </c>
      <c r="L746" s="99">
        <v>1.4210854715202004E-14</v>
      </c>
    </row>
    <row r="747" spans="11:12" x14ac:dyDescent="0.4">
      <c r="K747" s="38">
        <v>745</v>
      </c>
      <c r="L747" s="99">
        <v>12.200000000000014</v>
      </c>
    </row>
    <row r="748" spans="11:12" x14ac:dyDescent="0.4">
      <c r="K748" s="38">
        <v>746</v>
      </c>
      <c r="L748" s="99">
        <v>55.100000000000009</v>
      </c>
    </row>
    <row r="749" spans="11:12" x14ac:dyDescent="0.4">
      <c r="K749" s="38">
        <v>747</v>
      </c>
      <c r="L749" s="99">
        <v>7.1054273576010019E-15</v>
      </c>
    </row>
    <row r="750" spans="11:12" x14ac:dyDescent="0.4">
      <c r="K750" s="38">
        <v>748</v>
      </c>
      <c r="L750" s="99">
        <v>9.0000000000000071</v>
      </c>
    </row>
    <row r="751" spans="11:12" x14ac:dyDescent="0.4">
      <c r="K751" s="38">
        <v>749</v>
      </c>
      <c r="L751" s="99">
        <v>-37.699999999999996</v>
      </c>
    </row>
    <row r="752" spans="11:12" x14ac:dyDescent="0.4">
      <c r="K752" s="38">
        <v>750</v>
      </c>
      <c r="L752" s="99">
        <v>7.1054273576010019E-15</v>
      </c>
    </row>
    <row r="753" spans="11:12" x14ac:dyDescent="0.4">
      <c r="K753" s="38">
        <v>751</v>
      </c>
      <c r="L753" s="99">
        <v>-43.199999999999996</v>
      </c>
    </row>
    <row r="754" spans="11:12" x14ac:dyDescent="0.4">
      <c r="K754" s="38">
        <v>752</v>
      </c>
      <c r="L754" s="99">
        <v>-39.799999999999997</v>
      </c>
    </row>
    <row r="755" spans="11:12" x14ac:dyDescent="0.4">
      <c r="K755" s="38">
        <v>753</v>
      </c>
      <c r="L755" s="99">
        <v>0</v>
      </c>
    </row>
    <row r="756" spans="11:12" x14ac:dyDescent="0.4">
      <c r="K756" s="38">
        <v>754</v>
      </c>
      <c r="L756" s="99">
        <v>-53.3</v>
      </c>
    </row>
    <row r="757" spans="11:12" x14ac:dyDescent="0.4">
      <c r="K757" s="38">
        <v>755</v>
      </c>
      <c r="L757" s="99">
        <v>-61.599999999999994</v>
      </c>
    </row>
    <row r="758" spans="11:12" x14ac:dyDescent="0.4">
      <c r="K758" s="38">
        <v>756</v>
      </c>
      <c r="L758" s="99">
        <v>7.1054273576010019E-15</v>
      </c>
    </row>
    <row r="759" spans="11:12" x14ac:dyDescent="0.4">
      <c r="K759" s="38">
        <v>757</v>
      </c>
      <c r="L759" s="99">
        <v>31.700000000000006</v>
      </c>
    </row>
    <row r="760" spans="11:12" x14ac:dyDescent="0.4">
      <c r="K760" s="38">
        <v>758</v>
      </c>
      <c r="L760" s="99">
        <v>-10.099999999999991</v>
      </c>
    </row>
    <row r="761" spans="11:12" x14ac:dyDescent="0.4">
      <c r="K761" s="38">
        <v>759</v>
      </c>
      <c r="L761" s="99">
        <v>8.8817841970012523E-15</v>
      </c>
    </row>
    <row r="762" spans="11:12" x14ac:dyDescent="0.4">
      <c r="K762" s="38">
        <v>760</v>
      </c>
      <c r="L762" s="99">
        <v>42.70000000000001</v>
      </c>
    </row>
    <row r="763" spans="11:12" x14ac:dyDescent="0.4">
      <c r="K763" s="38">
        <v>761</v>
      </c>
      <c r="L763" s="99">
        <v>-2.5999999999999872</v>
      </c>
    </row>
    <row r="764" spans="11:12" x14ac:dyDescent="0.4">
      <c r="K764" s="38">
        <v>762</v>
      </c>
      <c r="L764" s="99">
        <v>1.2878587085651816E-14</v>
      </c>
    </row>
    <row r="765" spans="11:12" x14ac:dyDescent="0.4">
      <c r="K765" s="38">
        <v>763</v>
      </c>
      <c r="L765" s="99">
        <v>62.000000000000014</v>
      </c>
    </row>
    <row r="766" spans="11:12" x14ac:dyDescent="0.4">
      <c r="K766" s="38">
        <v>764</v>
      </c>
      <c r="L766" s="99">
        <v>3.9000000000000128</v>
      </c>
    </row>
    <row r="767" spans="11:12" x14ac:dyDescent="0.4">
      <c r="K767" s="38">
        <v>765</v>
      </c>
      <c r="L767" s="99">
        <v>1.2878587085651816E-14</v>
      </c>
    </row>
    <row r="768" spans="11:12" x14ac:dyDescent="0.4">
      <c r="K768" s="38">
        <v>766</v>
      </c>
      <c r="L768" s="99">
        <v>35.000000000000014</v>
      </c>
    </row>
    <row r="769" spans="11:12" x14ac:dyDescent="0.4">
      <c r="K769" s="38">
        <v>767</v>
      </c>
      <c r="L769" s="99">
        <v>-9.5999999999999872</v>
      </c>
    </row>
    <row r="770" spans="11:12" x14ac:dyDescent="0.4">
      <c r="K770" s="38">
        <v>768</v>
      </c>
      <c r="L770" s="99">
        <v>1.2434497875801753E-14</v>
      </c>
    </row>
    <row r="771" spans="11:12" x14ac:dyDescent="0.4">
      <c r="K771" s="38">
        <v>769</v>
      </c>
      <c r="L771" s="99">
        <v>39.300000000000011</v>
      </c>
    </row>
    <row r="772" spans="11:12" x14ac:dyDescent="0.4">
      <c r="K772" s="38">
        <v>770</v>
      </c>
      <c r="L772" s="99">
        <v>-18.999999999999986</v>
      </c>
    </row>
    <row r="773" spans="11:12" x14ac:dyDescent="0.4">
      <c r="K773" s="38">
        <v>771</v>
      </c>
      <c r="L773" s="99">
        <v>1.4210854715202004E-14</v>
      </c>
    </row>
    <row r="774" spans="11:12" x14ac:dyDescent="0.4">
      <c r="K774" s="38">
        <v>772</v>
      </c>
      <c r="L774" s="99">
        <v>1.1000000000000143</v>
      </c>
    </row>
    <row r="775" spans="11:12" x14ac:dyDescent="0.4">
      <c r="K775" s="38">
        <v>773</v>
      </c>
      <c r="L775" s="99">
        <v>-34.699999999999982</v>
      </c>
    </row>
    <row r="776" spans="11:12" x14ac:dyDescent="0.4">
      <c r="K776" s="38">
        <v>774</v>
      </c>
      <c r="L776" s="99">
        <v>2.1316282072803006E-14</v>
      </c>
    </row>
    <row r="777" spans="11:12" x14ac:dyDescent="0.4">
      <c r="K777" s="38">
        <v>775</v>
      </c>
      <c r="L777" s="99">
        <v>-32.09999999999998</v>
      </c>
    </row>
    <row r="778" spans="11:12" x14ac:dyDescent="0.4">
      <c r="K778" s="38">
        <v>776</v>
      </c>
      <c r="L778" s="99">
        <v>-36.399999999999977</v>
      </c>
    </row>
    <row r="779" spans="11:12" x14ac:dyDescent="0.4">
      <c r="K779" s="38">
        <v>777</v>
      </c>
      <c r="L779" s="99">
        <v>2.1316282072803006E-14</v>
      </c>
    </row>
    <row r="780" spans="11:12" x14ac:dyDescent="0.4">
      <c r="K780" s="38">
        <v>778</v>
      </c>
      <c r="L780" s="99">
        <v>-7.399999999999979</v>
      </c>
    </row>
    <row r="781" spans="11:12" x14ac:dyDescent="0.4">
      <c r="K781" s="38">
        <v>779</v>
      </c>
      <c r="L781" s="99">
        <v>-65.999999999999986</v>
      </c>
    </row>
    <row r="782" spans="11:12" x14ac:dyDescent="0.4">
      <c r="K782" s="38">
        <v>780</v>
      </c>
      <c r="L782" s="99">
        <v>1.4210854715202004E-14</v>
      </c>
    </row>
    <row r="783" spans="11:12" x14ac:dyDescent="0.4">
      <c r="K783" s="38">
        <v>781</v>
      </c>
      <c r="L783" s="99">
        <v>-55.399999999999984</v>
      </c>
    </row>
    <row r="784" spans="11:12" x14ac:dyDescent="0.4">
      <c r="K784" s="38">
        <v>782</v>
      </c>
      <c r="L784" s="99">
        <v>-42.59999999999998</v>
      </c>
    </row>
    <row r="785" spans="11:12" x14ac:dyDescent="0.4">
      <c r="K785" s="38">
        <v>783</v>
      </c>
      <c r="L785" s="99">
        <v>2.1316282072803006E-14</v>
      </c>
    </row>
    <row r="786" spans="11:12" x14ac:dyDescent="0.4">
      <c r="K786" s="38">
        <v>784</v>
      </c>
      <c r="L786" s="99">
        <v>17.800000000000022</v>
      </c>
    </row>
    <row r="787" spans="11:12" x14ac:dyDescent="0.4">
      <c r="K787" s="38">
        <v>785</v>
      </c>
      <c r="L787" s="99">
        <v>-49.199999999999974</v>
      </c>
    </row>
    <row r="788" spans="11:12" x14ac:dyDescent="0.4">
      <c r="K788" s="38">
        <v>786</v>
      </c>
      <c r="L788" s="99">
        <v>2.8421709430404007E-14</v>
      </c>
    </row>
    <row r="789" spans="11:12" x14ac:dyDescent="0.4">
      <c r="K789" s="38">
        <v>787</v>
      </c>
      <c r="L789" s="99">
        <v>-17.89999999999997</v>
      </c>
    </row>
    <row r="790" spans="11:12" x14ac:dyDescent="0.4">
      <c r="K790" s="38">
        <v>788</v>
      </c>
      <c r="L790" s="99">
        <v>80.400000000000034</v>
      </c>
    </row>
    <row r="791" spans="11:12" x14ac:dyDescent="0.4">
      <c r="K791" s="38">
        <v>789</v>
      </c>
      <c r="L791" s="99">
        <v>2.8421709430404007E-14</v>
      </c>
    </row>
    <row r="792" spans="11:12" x14ac:dyDescent="0.4">
      <c r="K792" s="38">
        <v>790</v>
      </c>
      <c r="L792" s="99">
        <v>9.5000000000000284</v>
      </c>
    </row>
    <row r="793" spans="11:12" x14ac:dyDescent="0.4">
      <c r="K793" s="38">
        <v>791</v>
      </c>
      <c r="L793" s="99">
        <v>-49.999999999999972</v>
      </c>
    </row>
    <row r="794" spans="11:12" x14ac:dyDescent="0.4">
      <c r="K794" s="38">
        <v>792</v>
      </c>
      <c r="L794" s="99">
        <v>2.8421709430404007E-14</v>
      </c>
    </row>
    <row r="795" spans="11:12" x14ac:dyDescent="0.4">
      <c r="K795" s="38">
        <v>793</v>
      </c>
      <c r="L795" s="99">
        <v>-55.299999999999969</v>
      </c>
    </row>
    <row r="796" spans="11:12" x14ac:dyDescent="0.4">
      <c r="K796" s="38">
        <v>794</v>
      </c>
      <c r="L796" s="99">
        <v>3.5000000000000284</v>
      </c>
    </row>
    <row r="797" spans="11:12" x14ac:dyDescent="0.4">
      <c r="K797" s="38">
        <v>795</v>
      </c>
      <c r="L797" s="99">
        <v>2.8421709430404007E-14</v>
      </c>
    </row>
    <row r="798" spans="11:12" x14ac:dyDescent="0.4">
      <c r="K798" s="38">
        <v>796</v>
      </c>
      <c r="L798" s="99">
        <v>31.000000000000028</v>
      </c>
    </row>
    <row r="799" spans="11:12" x14ac:dyDescent="0.4">
      <c r="K799" s="38">
        <v>797</v>
      </c>
      <c r="L799" s="99">
        <v>-4.9999999999999716</v>
      </c>
    </row>
    <row r="800" spans="11:12" x14ac:dyDescent="0.4">
      <c r="K800" s="38">
        <v>798</v>
      </c>
      <c r="L800" s="99">
        <v>2.8421709430404007E-14</v>
      </c>
    </row>
    <row r="801" spans="11:12" x14ac:dyDescent="0.4">
      <c r="K801" s="38">
        <v>799</v>
      </c>
      <c r="L801" s="99">
        <v>-35.299999999999969</v>
      </c>
    </row>
    <row r="802" spans="11:12" x14ac:dyDescent="0.4">
      <c r="K802" s="38">
        <v>800</v>
      </c>
      <c r="L802" s="99">
        <v>-38.89999999999997</v>
      </c>
    </row>
    <row r="803" spans="11:12" x14ac:dyDescent="0.4">
      <c r="K803" s="38">
        <v>801</v>
      </c>
      <c r="L803" s="99">
        <v>2.8421709430404007E-14</v>
      </c>
    </row>
    <row r="804" spans="11:12" x14ac:dyDescent="0.4">
      <c r="K804" s="38">
        <v>802</v>
      </c>
      <c r="L804" s="99">
        <v>41.10000000000003</v>
      </c>
    </row>
    <row r="805" spans="11:12" x14ac:dyDescent="0.4">
      <c r="K805" s="38">
        <v>803</v>
      </c>
      <c r="L805" s="99">
        <v>52.000000000000028</v>
      </c>
    </row>
    <row r="806" spans="11:12" x14ac:dyDescent="0.4">
      <c r="K806" s="38">
        <v>804</v>
      </c>
      <c r="L806" s="99">
        <v>2.8421709430404007E-14</v>
      </c>
    </row>
    <row r="807" spans="11:12" x14ac:dyDescent="0.4">
      <c r="K807" s="38">
        <v>805</v>
      </c>
      <c r="L807" s="99">
        <v>54.60000000000003</v>
      </c>
    </row>
    <row r="808" spans="11:12" x14ac:dyDescent="0.4">
      <c r="K808" s="38">
        <v>806</v>
      </c>
      <c r="L808" s="99">
        <v>55.900000000000027</v>
      </c>
    </row>
    <row r="809" spans="11:12" x14ac:dyDescent="0.4">
      <c r="K809" s="38">
        <v>807</v>
      </c>
      <c r="L809" s="99">
        <v>2.8421709430404007E-14</v>
      </c>
    </row>
    <row r="810" spans="11:12" x14ac:dyDescent="0.4">
      <c r="K810" s="38">
        <v>808</v>
      </c>
      <c r="L810" s="99">
        <v>27.500000000000028</v>
      </c>
    </row>
    <row r="811" spans="11:12" x14ac:dyDescent="0.4">
      <c r="K811" s="38">
        <v>809</v>
      </c>
      <c r="L811" s="99">
        <v>28.500000000000028</v>
      </c>
    </row>
    <row r="812" spans="11:12" x14ac:dyDescent="0.4">
      <c r="K812" s="38">
        <v>810</v>
      </c>
      <c r="L812" s="99">
        <v>2.8421709430404007E-14</v>
      </c>
    </row>
    <row r="813" spans="11:12" x14ac:dyDescent="0.4">
      <c r="K813" s="38">
        <v>811</v>
      </c>
      <c r="L813" s="99">
        <v>33.400000000000027</v>
      </c>
    </row>
    <row r="814" spans="11:12" x14ac:dyDescent="0.4">
      <c r="K814" s="38">
        <v>812</v>
      </c>
      <c r="L814" s="99">
        <v>0.10000000000002984</v>
      </c>
    </row>
    <row r="815" spans="11:12" x14ac:dyDescent="0.4">
      <c r="K815" s="38">
        <v>813</v>
      </c>
      <c r="L815" s="99">
        <v>2.9837243786801082E-14</v>
      </c>
    </row>
    <row r="816" spans="11:12" x14ac:dyDescent="0.4">
      <c r="K816" s="38">
        <v>814</v>
      </c>
      <c r="L816" s="99">
        <v>38.300000000000026</v>
      </c>
    </row>
    <row r="817" spans="11:12" x14ac:dyDescent="0.4">
      <c r="K817" s="38">
        <v>815</v>
      </c>
      <c r="L817" s="99">
        <v>-12.899999999999977</v>
      </c>
    </row>
    <row r="818" spans="11:12" x14ac:dyDescent="0.4">
      <c r="K818" s="38">
        <v>816</v>
      </c>
      <c r="L818" s="99">
        <v>2.3092638912203256E-14</v>
      </c>
    </row>
    <row r="819" spans="11:12" x14ac:dyDescent="0.4">
      <c r="K819" s="38">
        <v>817</v>
      </c>
      <c r="L819" s="99">
        <v>47.90000000000002</v>
      </c>
    </row>
    <row r="820" spans="11:12" x14ac:dyDescent="0.4">
      <c r="K820" s="38">
        <v>818</v>
      </c>
      <c r="L820" s="99">
        <v>-22.59999999999998</v>
      </c>
    </row>
    <row r="821" spans="11:12" x14ac:dyDescent="0.4">
      <c r="K821" s="38">
        <v>819</v>
      </c>
      <c r="L821" s="99">
        <v>2.1316282072803006E-14</v>
      </c>
    </row>
  </sheetData>
  <sortState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F1905-3C86-4998-9679-76919BE589E6}">
  <sheetPr codeName="Sheet7"/>
  <dimension ref="A1:Q17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173</v>
      </c>
      <c r="C2" s="153"/>
      <c r="E2" s="62" t="s">
        <v>67</v>
      </c>
      <c r="F2" s="59" t="s">
        <v>23</v>
      </c>
      <c r="G2" s="46">
        <v>345</v>
      </c>
      <c r="H2" s="132">
        <f>IF(B$17=0,0,G2/B$17)</f>
        <v>0.71576763485477179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1684.3930635838151</v>
      </c>
      <c r="P2" s="118">
        <v>173</v>
      </c>
      <c r="Q2" s="102">
        <v>291400</v>
      </c>
    </row>
    <row r="3" spans="1:17" x14ac:dyDescent="0.4">
      <c r="A3" s="55" t="s">
        <v>8</v>
      </c>
      <c r="B3" s="154">
        <v>1421</v>
      </c>
      <c r="C3" s="155"/>
      <c r="E3" s="63" t="s">
        <v>73</v>
      </c>
      <c r="F3" s="60" t="s">
        <v>28</v>
      </c>
      <c r="G3" s="47">
        <v>263</v>
      </c>
      <c r="H3" s="133">
        <f>IF(B$17=0,0,G3/B$17)</f>
        <v>0.5456431535269709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2234.5238095238096</v>
      </c>
      <c r="P3" s="119">
        <v>168</v>
      </c>
      <c r="Q3" s="103">
        <v>375400</v>
      </c>
    </row>
    <row r="4" spans="1:17" x14ac:dyDescent="0.4">
      <c r="A4" s="55" t="s">
        <v>6</v>
      </c>
      <c r="B4" s="156">
        <v>2066.5000000000005</v>
      </c>
      <c r="C4" s="157"/>
      <c r="E4" s="63" t="s">
        <v>65</v>
      </c>
      <c r="F4" s="60" t="s">
        <v>21</v>
      </c>
      <c r="G4" s="47">
        <v>234</v>
      </c>
      <c r="H4" s="133">
        <f>IF(B$17=0,0,G4/B$17)</f>
        <v>0.48547717842323651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0"/>
        <v>560.37735849056605</v>
      </c>
      <c r="P4" s="119">
        <v>159</v>
      </c>
      <c r="Q4" s="103">
        <v>89100</v>
      </c>
    </row>
    <row r="5" spans="1:17" x14ac:dyDescent="0.4">
      <c r="A5" s="55" t="s">
        <v>7</v>
      </c>
      <c r="B5" s="158">
        <f>IF(B$2=0,0,B$4/B$2)</f>
        <v>11.945086705202314</v>
      </c>
      <c r="C5" s="159"/>
      <c r="E5" s="63" t="s">
        <v>245</v>
      </c>
      <c r="F5" s="60" t="s">
        <v>246</v>
      </c>
      <c r="G5" s="47">
        <v>198</v>
      </c>
      <c r="H5" s="133">
        <f>IF(B$17=0,0,G5/B$17)</f>
        <v>0.41078838174273857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2206.8027210884352</v>
      </c>
      <c r="P5" s="119">
        <v>147</v>
      </c>
      <c r="Q5" s="103">
        <v>324400</v>
      </c>
    </row>
    <row r="6" spans="1:17" x14ac:dyDescent="0.4">
      <c r="A6" s="55" t="s">
        <v>1</v>
      </c>
      <c r="B6" s="148">
        <f>IF(B$2=0,0,(B$7*1+B$8*2+B$9*3)/B$2)</f>
        <v>1.76878612716763</v>
      </c>
      <c r="C6" s="149"/>
      <c r="E6" s="63" t="s">
        <v>68</v>
      </c>
      <c r="F6" s="60" t="s">
        <v>24</v>
      </c>
      <c r="G6" s="47">
        <v>141</v>
      </c>
      <c r="H6" s="133">
        <f>IF(B$17=0,0,G6/B$17)</f>
        <v>0.29253112033195022</v>
      </c>
      <c r="I6" s="94">
        <v>8</v>
      </c>
      <c r="K6" s="38">
        <v>4</v>
      </c>
      <c r="L6" s="99">
        <v>110.5</v>
      </c>
      <c r="N6" s="115" t="s">
        <v>136</v>
      </c>
      <c r="O6" s="122">
        <f t="shared" si="0"/>
        <v>519.23076923076928</v>
      </c>
      <c r="P6" s="119">
        <v>130</v>
      </c>
      <c r="Q6" s="103">
        <v>67500</v>
      </c>
    </row>
    <row r="7" spans="1:17" x14ac:dyDescent="0.4">
      <c r="A7" s="55" t="s">
        <v>2</v>
      </c>
      <c r="B7" s="47">
        <v>81</v>
      </c>
      <c r="C7" s="39">
        <f>IF(B$2=0,0,B7/B$2)</f>
        <v>0.46820809248554912</v>
      </c>
      <c r="E7" s="63" t="s">
        <v>69</v>
      </c>
      <c r="F7" s="60" t="s">
        <v>12</v>
      </c>
      <c r="G7" s="47">
        <v>134</v>
      </c>
      <c r="H7" s="133">
        <f>IF(B$17=0,0,G7/B$17)</f>
        <v>0.27800829875518673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1066.9642857142858</v>
      </c>
      <c r="P7" s="120">
        <v>112</v>
      </c>
      <c r="Q7" s="104">
        <v>119500</v>
      </c>
    </row>
    <row r="8" spans="1:17" x14ac:dyDescent="0.4">
      <c r="A8" s="55" t="s">
        <v>3</v>
      </c>
      <c r="B8" s="47">
        <v>51</v>
      </c>
      <c r="C8" s="39">
        <f>IF(B$2=0,0,B8/B$2)</f>
        <v>0.2947976878612717</v>
      </c>
      <c r="E8" s="63" t="s">
        <v>70</v>
      </c>
      <c r="F8" s="60" t="s">
        <v>25</v>
      </c>
      <c r="G8" s="47">
        <v>78</v>
      </c>
      <c r="H8" s="133">
        <f>IF(B$17=0,0,G8/B$17)</f>
        <v>0.16182572614107885</v>
      </c>
      <c r="I8" s="94">
        <v>8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41</v>
      </c>
      <c r="C9" s="40">
        <f t="shared" ref="C9" si="1">IF(B$2=0,0,B9/B$2)</f>
        <v>0.23699421965317918</v>
      </c>
      <c r="E9" s="63" t="s">
        <v>90</v>
      </c>
      <c r="F9" s="60" t="s">
        <v>45</v>
      </c>
      <c r="G9" s="47">
        <v>74</v>
      </c>
      <c r="H9" s="133">
        <f>IF(B$17=0,0,G9/B$17)</f>
        <v>0.15352697095435686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16</v>
      </c>
      <c r="C10" s="40">
        <f>IF(B$2=0,0,B10/B$2)</f>
        <v>9.2485549132947972E-2</v>
      </c>
      <c r="E10" s="63" t="s">
        <v>66</v>
      </c>
      <c r="F10" s="60" t="s">
        <v>22</v>
      </c>
      <c r="G10" s="47">
        <v>61</v>
      </c>
      <c r="H10" s="133">
        <f>IF(B$17=0,0,G10/B$17)</f>
        <v>0.12655601659751037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14.984615384615385</v>
      </c>
      <c r="P10" s="118">
        <v>52</v>
      </c>
      <c r="Q10" s="106">
        <v>779.2</v>
      </c>
    </row>
    <row r="11" spans="1:17" x14ac:dyDescent="0.4">
      <c r="A11" s="56" t="s">
        <v>140</v>
      </c>
      <c r="B11" s="48">
        <v>30</v>
      </c>
      <c r="C11" s="40">
        <f>IF(B$2=0,0,B11/B$2)</f>
        <v>0.17341040462427745</v>
      </c>
      <c r="E11" s="63" t="s">
        <v>71</v>
      </c>
      <c r="F11" s="60" t="s">
        <v>26</v>
      </c>
      <c r="G11" s="47">
        <v>43</v>
      </c>
      <c r="H11" s="133">
        <f>IF(B$17=0,0,G11/B$17)</f>
        <v>8.9211618257261413E-2</v>
      </c>
      <c r="I11" s="94">
        <v>8</v>
      </c>
      <c r="K11" s="38">
        <v>9</v>
      </c>
      <c r="L11" s="99">
        <v>277.90000000000003</v>
      </c>
      <c r="N11" s="115" t="s">
        <v>165</v>
      </c>
      <c r="O11" s="125">
        <f>IF(P11=0,0,Q11/P11)</f>
        <v>11.390909090909091</v>
      </c>
      <c r="P11" s="119">
        <v>55</v>
      </c>
      <c r="Q11" s="107">
        <v>626.5</v>
      </c>
    </row>
    <row r="12" spans="1:17" x14ac:dyDescent="0.4">
      <c r="A12" s="57" t="s">
        <v>160</v>
      </c>
      <c r="B12" s="49">
        <v>24</v>
      </c>
      <c r="C12" s="42">
        <f>IF(B$2=0,0,B12/B$2)</f>
        <v>0.13872832369942195</v>
      </c>
      <c r="E12" s="63" t="s">
        <v>87</v>
      </c>
      <c r="F12" s="60" t="s">
        <v>42</v>
      </c>
      <c r="G12" s="47">
        <v>35</v>
      </c>
      <c r="H12" s="133">
        <f>IF(B$17=0,0,G12/B$17)</f>
        <v>7.2614107883817433E-2</v>
      </c>
      <c r="I12" s="94">
        <v>3</v>
      </c>
      <c r="K12" s="38">
        <v>10</v>
      </c>
      <c r="L12" s="99">
        <v>246.20000000000005</v>
      </c>
      <c r="N12" s="116" t="s">
        <v>166</v>
      </c>
      <c r="O12" s="126">
        <f>IF(P12=0,0,Q12/P12)</f>
        <v>10.012121212121217</v>
      </c>
      <c r="P12" s="120">
        <v>66</v>
      </c>
      <c r="Q12" s="108">
        <v>660.8000000000003</v>
      </c>
    </row>
    <row r="13" spans="1:17" x14ac:dyDescent="0.4">
      <c r="A13" s="58" t="s">
        <v>122</v>
      </c>
      <c r="B13" s="50">
        <v>446</v>
      </c>
      <c r="C13" s="44">
        <f>IF(B$3=0,0,B13/B$3)</f>
        <v>0.3138634764250528</v>
      </c>
      <c r="E13" s="63" t="s">
        <v>72</v>
      </c>
      <c r="F13" s="60" t="s">
        <v>27</v>
      </c>
      <c r="G13" s="47">
        <v>32</v>
      </c>
      <c r="H13" s="133">
        <f>IF(B$17=0,0,G13/B$17)</f>
        <v>6.6390041493775934E-2</v>
      </c>
      <c r="I13" s="94">
        <v>6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296</v>
      </c>
      <c r="C14" s="39">
        <f>IF(B$3=0,0,B14/B$3)</f>
        <v>0.20830401125967629</v>
      </c>
      <c r="E14" s="63" t="s">
        <v>84</v>
      </c>
      <c r="F14" s="60" t="s">
        <v>39</v>
      </c>
      <c r="G14" s="47">
        <v>25</v>
      </c>
      <c r="H14" s="133">
        <f>IF(B$17=0,0,G14/B$17)</f>
        <v>5.1867219917012451E-2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257</v>
      </c>
      <c r="C15" s="37">
        <f>IF(B$13=0,0,B15/B$13)</f>
        <v>0.57623318385650224</v>
      </c>
      <c r="E15" s="63" t="s">
        <v>180</v>
      </c>
      <c r="F15" s="60" t="s">
        <v>181</v>
      </c>
      <c r="G15" s="47">
        <v>19</v>
      </c>
      <c r="H15" s="133">
        <f>IF(B$17=0,0,G15/B$17)</f>
        <v>3.9419087136929459E-2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154</v>
      </c>
      <c r="C16" s="37">
        <f>IF(B$14=0,0,B16/B$14)</f>
        <v>0.52027027027027029</v>
      </c>
      <c r="E16" s="63" t="s">
        <v>79</v>
      </c>
      <c r="F16" s="60" t="s">
        <v>34</v>
      </c>
      <c r="G16" s="47">
        <v>12</v>
      </c>
      <c r="H16" s="133">
        <f>IF(B$17=0,0,G16/B$17)</f>
        <v>2.4896265560165973E-2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482</v>
      </c>
      <c r="C17" s="37">
        <f>IF(B$3=0,0,B17/B$3)</f>
        <v>0.33919774806474312</v>
      </c>
      <c r="E17" s="63" t="s">
        <v>82</v>
      </c>
      <c r="F17" s="60" t="s">
        <v>37</v>
      </c>
      <c r="G17" s="47">
        <v>12</v>
      </c>
      <c r="H17" s="133">
        <f>IF(B$17=0,0,G17/B$17)</f>
        <v>2.4896265560165973E-2</v>
      </c>
      <c r="I17" s="94">
        <v>8</v>
      </c>
      <c r="K17" s="38">
        <v>15</v>
      </c>
      <c r="L17" s="99">
        <v>481.50000000000006</v>
      </c>
      <c r="N17" s="115" t="s">
        <v>172</v>
      </c>
      <c r="O17" s="125">
        <f>IF(P17=0,0,Q17/P17)</f>
        <v>25.497916666666658</v>
      </c>
      <c r="P17" s="119">
        <v>48</v>
      </c>
      <c r="Q17" s="107">
        <v>1223.8999999999996</v>
      </c>
    </row>
    <row r="18" spans="1:17" x14ac:dyDescent="0.4">
      <c r="A18" s="55" t="s">
        <v>12</v>
      </c>
      <c r="B18" s="47">
        <v>204</v>
      </c>
      <c r="C18" s="39">
        <f>IF(B$17=0,0,B18/B$17)</f>
        <v>0.42323651452282157</v>
      </c>
      <c r="E18" s="63" t="s">
        <v>92</v>
      </c>
      <c r="F18" s="60" t="s">
        <v>47</v>
      </c>
      <c r="G18" s="47">
        <v>11</v>
      </c>
      <c r="H18" s="133">
        <f>IF(B$17=0,0,G18/B$17)</f>
        <v>2.2821576763485476E-2</v>
      </c>
      <c r="I18" s="94">
        <v>4</v>
      </c>
      <c r="K18" s="38">
        <v>16</v>
      </c>
      <c r="L18" s="99">
        <v>425.50000000000006</v>
      </c>
      <c r="N18" s="115" t="s">
        <v>129</v>
      </c>
      <c r="O18" s="125">
        <f>IF(P18=0,0,Q18/P18)</f>
        <v>24.155072463768118</v>
      </c>
      <c r="P18" s="119">
        <v>69</v>
      </c>
      <c r="Q18" s="107">
        <v>1666.7</v>
      </c>
    </row>
    <row r="19" spans="1:17" x14ac:dyDescent="0.4">
      <c r="A19" s="55" t="s">
        <v>11</v>
      </c>
      <c r="B19" s="47">
        <v>278</v>
      </c>
      <c r="C19" s="39">
        <f>IF(B$17=0,0,B19/B$17)</f>
        <v>0.57676348547717837</v>
      </c>
      <c r="E19" s="63" t="s">
        <v>80</v>
      </c>
      <c r="F19" s="60" t="s">
        <v>35</v>
      </c>
      <c r="G19" s="47">
        <v>7</v>
      </c>
      <c r="H19" s="133">
        <f>IF(B$17=0,0,G19/B$17)</f>
        <v>1.4522821576763486E-2</v>
      </c>
      <c r="I19" s="94">
        <v>9</v>
      </c>
      <c r="K19" s="38">
        <v>17</v>
      </c>
      <c r="L19" s="99">
        <v>427.40000000000003</v>
      </c>
      <c r="N19" s="115" t="s">
        <v>177</v>
      </c>
      <c r="O19" s="125">
        <f>IF(P19=0,0,Q19/P19)</f>
        <v>23.824324324324326</v>
      </c>
      <c r="P19" s="119">
        <v>37</v>
      </c>
      <c r="Q19" s="107">
        <v>881.50000000000011</v>
      </c>
    </row>
    <row r="20" spans="1:17" x14ac:dyDescent="0.4">
      <c r="A20" s="55" t="s">
        <v>13</v>
      </c>
      <c r="B20" s="47">
        <v>219</v>
      </c>
      <c r="C20" s="39">
        <f>IF(B$3=0,0,B20/B$3)</f>
        <v>0.15411681914144967</v>
      </c>
      <c r="E20" s="63" t="s">
        <v>86</v>
      </c>
      <c r="F20" s="60" t="s">
        <v>41</v>
      </c>
      <c r="G20" s="47">
        <v>4</v>
      </c>
      <c r="H20" s="133">
        <f>IF(B$17=0,0,G20/B$17)</f>
        <v>8.2987551867219917E-3</v>
      </c>
      <c r="I20" s="94">
        <v>2</v>
      </c>
      <c r="K20" s="38">
        <v>18</v>
      </c>
      <c r="L20" s="99">
        <v>429.3</v>
      </c>
      <c r="N20" s="115" t="s">
        <v>184</v>
      </c>
      <c r="O20" s="125">
        <f>IF(P20=0,0,Q20/P20)</f>
        <v>23.546153846153842</v>
      </c>
      <c r="P20" s="119">
        <v>13</v>
      </c>
      <c r="Q20" s="107">
        <v>306.09999999999997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74</v>
      </c>
      <c r="F21" s="60" t="s">
        <v>29</v>
      </c>
      <c r="G21" s="47">
        <v>3</v>
      </c>
      <c r="H21" s="133">
        <f>IF(B$17=0,0,G21/B$17)</f>
        <v>6.2240663900414933E-3</v>
      </c>
      <c r="I21" s="94">
        <v>6</v>
      </c>
      <c r="K21" s="38">
        <v>19</v>
      </c>
      <c r="L21" s="99">
        <v>405.40000000000003</v>
      </c>
      <c r="N21" s="115" t="s">
        <v>173</v>
      </c>
      <c r="O21" s="125">
        <f>IF(P21=0,0,Q21/P21)</f>
        <v>16.769565217391303</v>
      </c>
      <c r="P21" s="119">
        <v>23</v>
      </c>
      <c r="Q21" s="107">
        <v>385.7</v>
      </c>
    </row>
    <row r="22" spans="1:17" x14ac:dyDescent="0.4">
      <c r="A22" s="55" t="s">
        <v>192</v>
      </c>
      <c r="B22" s="47">
        <v>39</v>
      </c>
      <c r="C22" s="135">
        <v>7</v>
      </c>
      <c r="E22" s="63" t="s">
        <v>93</v>
      </c>
      <c r="F22" s="60" t="s">
        <v>48</v>
      </c>
      <c r="G22" s="47">
        <v>3</v>
      </c>
      <c r="H22" s="133">
        <f>IF(B$17=0,0,G22/B$17)</f>
        <v>6.2240663900414933E-3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16.758947368421055</v>
      </c>
      <c r="P22" s="119">
        <v>95</v>
      </c>
      <c r="Q22" s="107">
        <v>1592.1000000000001</v>
      </c>
    </row>
    <row r="23" spans="1:17" x14ac:dyDescent="0.4">
      <c r="A23" s="55" t="s">
        <v>5</v>
      </c>
      <c r="B23" s="51">
        <f>IF(B$17=0,0,C23/B$17)</f>
        <v>9243.3609958506222</v>
      </c>
      <c r="C23" s="41">
        <v>4455300</v>
      </c>
      <c r="E23" s="63" t="s">
        <v>78</v>
      </c>
      <c r="F23" s="60" t="s">
        <v>33</v>
      </c>
      <c r="G23" s="47">
        <v>2</v>
      </c>
      <c r="H23" s="133">
        <f>IF(B$17=0,0,G23/B$17)</f>
        <v>4.1493775933609959E-3</v>
      </c>
      <c r="I23" s="94">
        <v>5</v>
      </c>
      <c r="K23" s="38">
        <v>21</v>
      </c>
      <c r="L23" s="99">
        <v>468.3</v>
      </c>
      <c r="N23" s="115" t="s">
        <v>171</v>
      </c>
      <c r="O23" s="125">
        <f>IF(P23=0,0,Q23/P23)</f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-8151.1415525114153</v>
      </c>
      <c r="C24" s="45">
        <v>-1785100</v>
      </c>
      <c r="E24" s="63" t="s">
        <v>89</v>
      </c>
      <c r="F24" s="60" t="s">
        <v>44</v>
      </c>
      <c r="G24" s="47">
        <v>2</v>
      </c>
      <c r="H24" s="133">
        <f>IF(B$17=0,0,G24/B$17)</f>
        <v>4.1493775933609959E-3</v>
      </c>
      <c r="I24" s="94">
        <v>1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6">
        <v>7</v>
      </c>
      <c r="C25" s="147"/>
      <c r="E25" s="63" t="s">
        <v>91</v>
      </c>
      <c r="F25" s="60" t="s">
        <v>46</v>
      </c>
      <c r="G25" s="47">
        <v>2</v>
      </c>
      <c r="H25" s="133">
        <f>IF(B$17=0,0,G25/B$17)</f>
        <v>4.1493775933609959E-3</v>
      </c>
      <c r="I25" s="94">
        <v>2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4">
        <v>116000</v>
      </c>
      <c r="C26" s="145"/>
      <c r="E26" s="63" t="s">
        <v>94</v>
      </c>
      <c r="F26" s="60" t="s">
        <v>49</v>
      </c>
      <c r="G26" s="47">
        <v>2</v>
      </c>
      <c r="H26" s="133">
        <f>IF(B$17=0,0,G26/B$17)</f>
        <v>4.1493775933609959E-3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7.0372976776917663E-4</v>
      </c>
      <c r="E27" s="63" t="s">
        <v>76</v>
      </c>
      <c r="F27" s="60" t="s">
        <v>31</v>
      </c>
      <c r="G27" s="47">
        <v>1</v>
      </c>
      <c r="H27" s="133">
        <f>IF(B$17=0,0,G27/B$17)</f>
        <v>2.0746887966804979E-3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2.0746887966804979E-3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>IF(B$17=0,0,G29/B$17)</f>
        <v>2.0746887966804979E-3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2.0746887966804979E-3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1976.5000000000005</v>
      </c>
    </row>
    <row r="172" spans="11:12" x14ac:dyDescent="0.4">
      <c r="K172" s="38">
        <v>170</v>
      </c>
      <c r="L172" s="99">
        <v>2031.1000000000004</v>
      </c>
    </row>
    <row r="173" spans="11:12" x14ac:dyDescent="0.4">
      <c r="K173" s="38">
        <v>171</v>
      </c>
      <c r="L173" s="99">
        <v>2031.0000000000005</v>
      </c>
    </row>
    <row r="174" spans="11:12" x14ac:dyDescent="0.4">
      <c r="K174" s="38">
        <v>172</v>
      </c>
      <c r="L174" s="99">
        <v>2043.9000000000005</v>
      </c>
    </row>
    <row r="175" spans="11:12" x14ac:dyDescent="0.4">
      <c r="K175" s="38">
        <v>173</v>
      </c>
      <c r="L175" s="99">
        <v>2066.5000000000005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E036-D088-4E2B-BE38-C9CC96B4086A}">
  <sheetPr codeName="Sheet9"/>
  <dimension ref="A1:Q14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128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142</v>
      </c>
      <c r="C2" s="153"/>
      <c r="E2" s="62" t="s">
        <v>65</v>
      </c>
      <c r="F2" s="59" t="s">
        <v>21</v>
      </c>
      <c r="G2" s="46">
        <v>196</v>
      </c>
      <c r="H2" s="132">
        <f>IF(B$17=0,0,G2/B$17)</f>
        <v>0.60869565217391308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471.12676056338029</v>
      </c>
      <c r="P2" s="118">
        <v>142</v>
      </c>
      <c r="Q2" s="102">
        <v>66900</v>
      </c>
    </row>
    <row r="3" spans="1:17" x14ac:dyDescent="0.4">
      <c r="A3" s="55" t="s">
        <v>8</v>
      </c>
      <c r="B3" s="154">
        <v>1165</v>
      </c>
      <c r="C3" s="155"/>
      <c r="E3" s="63" t="s">
        <v>66</v>
      </c>
      <c r="F3" s="60" t="s">
        <v>22</v>
      </c>
      <c r="G3" s="47">
        <v>48</v>
      </c>
      <c r="H3" s="133">
        <f>IF(B$17=0,0,G3/B$17)</f>
        <v>0.14906832298136646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-1986.1313868613138</v>
      </c>
      <c r="P3" s="119">
        <v>137</v>
      </c>
      <c r="Q3" s="103">
        <v>-272100</v>
      </c>
    </row>
    <row r="4" spans="1:17" x14ac:dyDescent="0.4">
      <c r="A4" s="55" t="s">
        <v>6</v>
      </c>
      <c r="B4" s="156">
        <v>-360.1</v>
      </c>
      <c r="C4" s="157"/>
      <c r="E4" s="63" t="s">
        <v>67</v>
      </c>
      <c r="F4" s="60" t="s">
        <v>23</v>
      </c>
      <c r="G4" s="47">
        <v>247</v>
      </c>
      <c r="H4" s="133">
        <f>IF(B$17=0,0,G4/B$17)</f>
        <v>0.76708074534161486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463.84615384615387</v>
      </c>
      <c r="P4" s="119">
        <v>130</v>
      </c>
      <c r="Q4" s="103">
        <v>60300</v>
      </c>
    </row>
    <row r="5" spans="1:17" x14ac:dyDescent="0.4">
      <c r="A5" s="55" t="s">
        <v>7</v>
      </c>
      <c r="B5" s="158">
        <f>IF(B$2=0,0,B$4/B$2)</f>
        <v>-2.5359154929577468</v>
      </c>
      <c r="C5" s="159"/>
      <c r="E5" s="63" t="s">
        <v>68</v>
      </c>
      <c r="F5" s="60" t="s">
        <v>24</v>
      </c>
      <c r="G5" s="47">
        <v>127</v>
      </c>
      <c r="H5" s="133">
        <f>IF(B$17=0,0,G5/B$17)</f>
        <v>0.39440993788819878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-96.581196581196579</v>
      </c>
      <c r="P5" s="119">
        <v>117</v>
      </c>
      <c r="Q5" s="103">
        <v>-11300</v>
      </c>
    </row>
    <row r="6" spans="1:17" x14ac:dyDescent="0.4">
      <c r="A6" s="55" t="s">
        <v>1</v>
      </c>
      <c r="B6" s="148">
        <f>IF(B$2=0,0,(B$7*1+B$8*2+B$9*3)/B$2)</f>
        <v>2.0704225352112675</v>
      </c>
      <c r="C6" s="149"/>
      <c r="E6" s="63" t="s">
        <v>69</v>
      </c>
      <c r="F6" s="60" t="s">
        <v>12</v>
      </c>
      <c r="G6" s="47">
        <v>110</v>
      </c>
      <c r="H6" s="133">
        <f>IF(B$17=0,0,G6/B$17)</f>
        <v>0.34161490683229812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796.11650485436894</v>
      </c>
      <c r="P6" s="119">
        <v>103</v>
      </c>
      <c r="Q6" s="103">
        <v>82000</v>
      </c>
    </row>
    <row r="7" spans="1:17" x14ac:dyDescent="0.4">
      <c r="A7" s="55" t="s">
        <v>2</v>
      </c>
      <c r="B7" s="47">
        <v>39</v>
      </c>
      <c r="C7" s="39">
        <f>IF(B$2=0,0,B7/B$2)</f>
        <v>0.27464788732394368</v>
      </c>
      <c r="E7" s="63" t="s">
        <v>70</v>
      </c>
      <c r="F7" s="60" t="s">
        <v>25</v>
      </c>
      <c r="G7" s="47">
        <v>71</v>
      </c>
      <c r="H7" s="133">
        <f>IF(B$17=0,0,G7/B$17)</f>
        <v>0.22049689440993789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-360.63829787234044</v>
      </c>
      <c r="P7" s="120">
        <v>94</v>
      </c>
      <c r="Q7" s="104">
        <v>-33900</v>
      </c>
    </row>
    <row r="8" spans="1:17" x14ac:dyDescent="0.4">
      <c r="A8" s="55" t="s">
        <v>3</v>
      </c>
      <c r="B8" s="47">
        <v>54</v>
      </c>
      <c r="C8" s="39">
        <f>IF(B$2=0,0,B8/B$2)</f>
        <v>0.38028169014084506</v>
      </c>
      <c r="E8" s="63" t="s">
        <v>71</v>
      </c>
      <c r="F8" s="60" t="s">
        <v>26</v>
      </c>
      <c r="G8" s="47">
        <v>41</v>
      </c>
      <c r="H8" s="133">
        <f>IF(B$17=0,0,G8/B$17)</f>
        <v>0.12732919254658384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49</v>
      </c>
      <c r="C9" s="40">
        <f t="shared" ref="C9" si="1">IF(B$2=0,0,B9/B$2)</f>
        <v>0.34507042253521125</v>
      </c>
      <c r="E9" s="63" t="s">
        <v>72</v>
      </c>
      <c r="F9" s="60" t="s">
        <v>27</v>
      </c>
      <c r="G9" s="47">
        <v>17</v>
      </c>
      <c r="H9" s="133">
        <f>IF(B$17=0,0,G9/B$17)</f>
        <v>5.2795031055900624E-2</v>
      </c>
      <c r="I9" s="94">
        <v>10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19</v>
      </c>
      <c r="C10" s="40">
        <f>IF(B$2=0,0,B10/B$2)</f>
        <v>0.13380281690140844</v>
      </c>
      <c r="E10" s="63" t="s">
        <v>73</v>
      </c>
      <c r="F10" s="60" t="s">
        <v>28</v>
      </c>
      <c r="G10" s="47">
        <v>149</v>
      </c>
      <c r="H10" s="133">
        <f>IF(B$17=0,0,G10/B$17)</f>
        <v>0.46273291925465837</v>
      </c>
      <c r="I10" s="94">
        <v>11</v>
      </c>
      <c r="K10" s="38">
        <v>8</v>
      </c>
      <c r="L10" s="99">
        <v>-49.6</v>
      </c>
      <c r="N10" s="114" t="s">
        <v>164</v>
      </c>
      <c r="O10" s="124">
        <f>IF(P10=0,0,Q10/P10)</f>
        <v>-5.8802816901408459</v>
      </c>
      <c r="P10" s="118">
        <v>71</v>
      </c>
      <c r="Q10" s="106">
        <v>-417.50000000000006</v>
      </c>
    </row>
    <row r="11" spans="1:17" x14ac:dyDescent="0.4">
      <c r="A11" s="56" t="s">
        <v>140</v>
      </c>
      <c r="B11" s="48">
        <v>15</v>
      </c>
      <c r="C11" s="40">
        <f>IF(B$2=0,0,B11/B$2)</f>
        <v>0.10563380281690141</v>
      </c>
      <c r="E11" s="63" t="s">
        <v>74</v>
      </c>
      <c r="F11" s="60" t="s">
        <v>29</v>
      </c>
      <c r="G11" s="47">
        <v>3</v>
      </c>
      <c r="H11" s="133">
        <f>IF(B$17=0,0,G11/B$17)</f>
        <v>9.316770186335404E-3</v>
      </c>
      <c r="I11" s="94">
        <v>4</v>
      </c>
      <c r="K11" s="38">
        <v>9</v>
      </c>
      <c r="L11" s="99">
        <v>-79.5</v>
      </c>
      <c r="N11" s="115" t="s">
        <v>165</v>
      </c>
      <c r="O11" s="125">
        <f>IF(P11=0,0,Q11/P11)</f>
        <v>-2.3138888888888882</v>
      </c>
      <c r="P11" s="119">
        <v>36</v>
      </c>
      <c r="Q11" s="107">
        <v>-83.299999999999969</v>
      </c>
    </row>
    <row r="12" spans="1:17" x14ac:dyDescent="0.4">
      <c r="A12" s="57" t="s">
        <v>160</v>
      </c>
      <c r="B12" s="49">
        <v>9</v>
      </c>
      <c r="C12" s="42">
        <f>IF(B$2=0,0,B12/B$2)</f>
        <v>6.3380281690140844E-2</v>
      </c>
      <c r="E12" s="63" t="s">
        <v>75</v>
      </c>
      <c r="F12" s="60" t="s">
        <v>30</v>
      </c>
      <c r="G12" s="47">
        <v>2</v>
      </c>
      <c r="H12" s="133">
        <f>IF(B$17=0,0,G12/B$17)</f>
        <v>6.2111801242236021E-3</v>
      </c>
      <c r="I12" s="94">
        <v>4</v>
      </c>
      <c r="K12" s="38">
        <v>10</v>
      </c>
      <c r="L12" s="99">
        <v>-80.900000000000006</v>
      </c>
      <c r="N12" s="116" t="s">
        <v>166</v>
      </c>
      <c r="O12" s="126">
        <f>IF(P12=0,0,Q12/P12)</f>
        <v>4.0199999999999996</v>
      </c>
      <c r="P12" s="120">
        <v>35</v>
      </c>
      <c r="Q12" s="108">
        <v>140.69999999999999</v>
      </c>
    </row>
    <row r="13" spans="1:17" x14ac:dyDescent="0.4">
      <c r="A13" s="58" t="s">
        <v>122</v>
      </c>
      <c r="B13" s="50">
        <v>348</v>
      </c>
      <c r="C13" s="44">
        <f>IF(B$3=0,0,B13/B$3)</f>
        <v>0.29871244635193134</v>
      </c>
      <c r="E13" s="63" t="s">
        <v>76</v>
      </c>
      <c r="F13" s="60" t="s">
        <v>31</v>
      </c>
      <c r="G13" s="47">
        <v>4</v>
      </c>
      <c r="H13" s="133">
        <f>IF(B$17=0,0,G13/B$17)</f>
        <v>1.2422360248447204E-2</v>
      </c>
      <c r="I13" s="94">
        <v>3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208</v>
      </c>
      <c r="C14" s="39">
        <f>IF(B$3=0,0,B14/B$3)</f>
        <v>0.17854077253218884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206</v>
      </c>
      <c r="C15" s="37">
        <f>IF(B$13=0,0,B15/B$13)</f>
        <v>0.59195402298850575</v>
      </c>
      <c r="E15" s="63" t="s">
        <v>78</v>
      </c>
      <c r="F15" s="60" t="s">
        <v>33</v>
      </c>
      <c r="G15" s="47">
        <v>1</v>
      </c>
      <c r="H15" s="133">
        <f>IF(B$17=0,0,G15/B$17)</f>
        <v>3.105590062111801E-3</v>
      </c>
      <c r="I15" s="94">
        <v>6</v>
      </c>
      <c r="K15" s="38">
        <v>13</v>
      </c>
      <c r="L15" s="99">
        <v>-81.900000000000006</v>
      </c>
      <c r="N15" s="114" t="s">
        <v>184</v>
      </c>
      <c r="O15" s="124">
        <f>IF(P15=0,0,Q15/P15)</f>
        <v>19.033333333333335</v>
      </c>
      <c r="P15" s="118">
        <v>9</v>
      </c>
      <c r="Q15" s="106">
        <v>171.3</v>
      </c>
    </row>
    <row r="16" spans="1:17" x14ac:dyDescent="0.4">
      <c r="A16" s="54" t="s">
        <v>125</v>
      </c>
      <c r="B16" s="46">
        <v>65</v>
      </c>
      <c r="C16" s="37">
        <f>IF(B$14=0,0,B16/B$14)</f>
        <v>0.3125</v>
      </c>
      <c r="E16" s="63" t="s">
        <v>79</v>
      </c>
      <c r="F16" s="60" t="s">
        <v>34</v>
      </c>
      <c r="G16" s="47">
        <v>5</v>
      </c>
      <c r="H16" s="133">
        <f>IF(B$17=0,0,G16/B$17)</f>
        <v>1.5527950310559006E-2</v>
      </c>
      <c r="I16" s="94">
        <v>10</v>
      </c>
      <c r="K16" s="38">
        <v>14</v>
      </c>
      <c r="L16" s="99">
        <v>-25.600000000000009</v>
      </c>
      <c r="N16" s="115" t="s">
        <v>173</v>
      </c>
      <c r="O16" s="125">
        <f>IF(P16=0,0,Q16/P16)</f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322</v>
      </c>
      <c r="C17" s="37">
        <f>IF(B$3=0,0,B17/B$3)</f>
        <v>0.27639484978540774</v>
      </c>
      <c r="E17" s="63" t="s">
        <v>80</v>
      </c>
      <c r="F17" s="60" t="s">
        <v>35</v>
      </c>
      <c r="G17" s="47">
        <v>7</v>
      </c>
      <c r="H17" s="133">
        <f>IF(B$17=0,0,G17/B$17)</f>
        <v>2.1739130434782608E-2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6.237499999999998</v>
      </c>
      <c r="P17" s="119">
        <v>48</v>
      </c>
      <c r="Q17" s="107">
        <v>299.39999999999992</v>
      </c>
    </row>
    <row r="18" spans="1:17" x14ac:dyDescent="0.4">
      <c r="A18" s="55" t="s">
        <v>12</v>
      </c>
      <c r="B18" s="47">
        <v>137</v>
      </c>
      <c r="C18" s="39">
        <f>IF(B$17=0,0,B18/B$17)</f>
        <v>0.4254658385093168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>IF(P18=0,0,Q18/P18)</f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185</v>
      </c>
      <c r="C19" s="39">
        <f>IF(B$17=0,0,B19/B$17)</f>
        <v>0.57453416149068326</v>
      </c>
      <c r="E19" s="63" t="s">
        <v>82</v>
      </c>
      <c r="F19" s="60" t="s">
        <v>37</v>
      </c>
      <c r="G19" s="47">
        <v>11</v>
      </c>
      <c r="H19" s="133">
        <f>IF(B$17=0,0,G19/B$17)</f>
        <v>3.4161490683229816E-2</v>
      </c>
      <c r="I19" s="94">
        <v>3</v>
      </c>
      <c r="K19" s="38">
        <v>17</v>
      </c>
      <c r="L19" s="99">
        <v>94.6</v>
      </c>
      <c r="N19" s="115" t="s">
        <v>177</v>
      </c>
      <c r="O19" s="125">
        <f>IF(P19=0,0,Q19/P19)</f>
        <v>-1.8258064516129036</v>
      </c>
      <c r="P19" s="119">
        <v>31</v>
      </c>
      <c r="Q19" s="107">
        <v>-56.600000000000009</v>
      </c>
    </row>
    <row r="20" spans="1:17" x14ac:dyDescent="0.4">
      <c r="A20" s="55" t="s">
        <v>13</v>
      </c>
      <c r="B20" s="47">
        <v>204</v>
      </c>
      <c r="C20" s="39">
        <f>IF(B$3=0,0,B20/B$3)</f>
        <v>0.17510729613733905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172</v>
      </c>
      <c r="O20" s="125">
        <f>IF(P20=0,0,Q20/P20)</f>
        <v>-3.4914285714285702</v>
      </c>
      <c r="P20" s="119">
        <v>35</v>
      </c>
      <c r="Q20" s="107">
        <v>-122.19999999999996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14</v>
      </c>
      <c r="H21" s="133">
        <f>IF(B$17=0,0,G21/B$17)</f>
        <v>4.3478260869565216E-2</v>
      </c>
      <c r="I21" s="94">
        <v>9</v>
      </c>
      <c r="K21" s="38">
        <v>19</v>
      </c>
      <c r="L21" s="99">
        <v>138.79999999999998</v>
      </c>
      <c r="N21" s="115" t="s">
        <v>200</v>
      </c>
      <c r="O21" s="125">
        <f>IF(P21=0,0,Q21/P21)</f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0</v>
      </c>
      <c r="E22" s="63" t="s">
        <v>85</v>
      </c>
      <c r="F22" s="60" t="s">
        <v>40</v>
      </c>
      <c r="G22" s="47">
        <v>1</v>
      </c>
      <c r="H22" s="133">
        <f>IF(B$17=0,0,G22/B$17)</f>
        <v>3.105590062111801E-3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>IF(P22=0,0,Q22/P22)</f>
        <v>-16.758947368421055</v>
      </c>
      <c r="P22" s="119">
        <v>95</v>
      </c>
      <c r="Q22" s="107">
        <v>-1592.1000000000001</v>
      </c>
    </row>
    <row r="23" spans="1:17" x14ac:dyDescent="0.4">
      <c r="A23" s="55" t="s">
        <v>5</v>
      </c>
      <c r="B23" s="51">
        <f>IF(B$17=0,0,C23/B$17)</f>
        <v>9171.4285714285706</v>
      </c>
      <c r="C23" s="41">
        <v>2953200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-7751.4705882352937</v>
      </c>
      <c r="C24" s="45">
        <v>-1581300</v>
      </c>
      <c r="E24" s="63" t="s">
        <v>87</v>
      </c>
      <c r="F24" s="60" t="s">
        <v>42</v>
      </c>
      <c r="G24" s="47">
        <v>16</v>
      </c>
      <c r="H24" s="133">
        <f>IF(B$17=0,0,G24/B$17)</f>
        <v>4.9689440993788817E-2</v>
      </c>
      <c r="I24" s="94">
        <v>8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6">
        <v>7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4">
        <v>107600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3.105590062111801E-3</v>
      </c>
      <c r="I26" s="94">
        <v>3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4.2918454935622317E-3</v>
      </c>
      <c r="E27" s="63" t="s">
        <v>90</v>
      </c>
      <c r="F27" s="60" t="s">
        <v>45</v>
      </c>
      <c r="G27" s="47">
        <v>35</v>
      </c>
      <c r="H27" s="133">
        <f>IF(B$17=0,0,G27/B$17)</f>
        <v>0.10869565217391304</v>
      </c>
      <c r="I27" s="94">
        <v>9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1.8633540372670808E-2</v>
      </c>
      <c r="I29" s="94">
        <v>6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3.105590062111801E-3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3.105590062111801E-3</v>
      </c>
      <c r="I31" s="94">
        <v>6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3.105590062111801E-3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1.5527950310559006E-2</v>
      </c>
      <c r="I50" s="94">
        <v>5</v>
      </c>
      <c r="K50" s="38">
        <v>48</v>
      </c>
      <c r="L50" s="99">
        <v>50.599999999999959</v>
      </c>
    </row>
    <row r="51" spans="5:12" x14ac:dyDescent="0.4">
      <c r="E51" s="136" t="s">
        <v>245</v>
      </c>
      <c r="F51" s="137" t="s">
        <v>246</v>
      </c>
      <c r="G51" s="48">
        <v>135</v>
      </c>
      <c r="H51" s="138">
        <f>IF(B$17=0,0,G51/B$17)</f>
        <v>0.41925465838509318</v>
      </c>
      <c r="I51" s="139">
        <v>5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</sheetData>
  <sortState ref="E2:I14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70E99-6F5D-424E-B072-5E5E98A923FB}">
  <sheetPr codeName="Sheet11"/>
  <dimension ref="A1:Q122"/>
  <sheetViews>
    <sheetView showGridLines="0" topLeftCell="D92" zoomScale="118" zoomScaleNormal="100" workbookViewId="0">
      <selection activeCell="B33" sqref="B33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129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120</v>
      </c>
      <c r="C2" s="153"/>
      <c r="E2" s="62" t="s">
        <v>67</v>
      </c>
      <c r="F2" s="59" t="s">
        <v>23</v>
      </c>
      <c r="G2" s="46">
        <v>231</v>
      </c>
      <c r="H2" s="132">
        <f>IF(B$17=0,0,G2/B$17)</f>
        <v>0.85873605947955389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-1949.1666666666667</v>
      </c>
      <c r="P2" s="118">
        <v>120</v>
      </c>
      <c r="Q2" s="102">
        <v>-233900</v>
      </c>
    </row>
    <row r="3" spans="1:17" x14ac:dyDescent="0.4">
      <c r="A3" s="55" t="s">
        <v>8</v>
      </c>
      <c r="B3" s="154">
        <v>1013</v>
      </c>
      <c r="C3" s="155"/>
      <c r="E3" s="63" t="s">
        <v>65</v>
      </c>
      <c r="F3" s="60" t="s">
        <v>21</v>
      </c>
      <c r="G3" s="47">
        <v>139</v>
      </c>
      <c r="H3" s="133">
        <f>IF(B$17=0,0,G3/B$17)</f>
        <v>0.51672862453531598</v>
      </c>
      <c r="I3" s="94">
        <v>6</v>
      </c>
      <c r="K3" s="38">
        <v>1</v>
      </c>
      <c r="L3" s="99">
        <v>-40.4</v>
      </c>
      <c r="N3" s="115" t="s">
        <v>133</v>
      </c>
      <c r="O3" s="122">
        <f t="shared" si="0"/>
        <v>-1451.2820512820513</v>
      </c>
      <c r="P3" s="119">
        <v>117</v>
      </c>
      <c r="Q3" s="103">
        <v>-169800</v>
      </c>
    </row>
    <row r="4" spans="1:17" x14ac:dyDescent="0.4">
      <c r="A4" s="55" t="s">
        <v>6</v>
      </c>
      <c r="B4" s="156">
        <v>-902.50000000000011</v>
      </c>
      <c r="C4" s="157"/>
      <c r="E4" s="63" t="s">
        <v>73</v>
      </c>
      <c r="F4" s="60" t="s">
        <v>28</v>
      </c>
      <c r="G4" s="47">
        <v>114</v>
      </c>
      <c r="H4" s="133">
        <f>IF(B$17=0,0,G4/B$17)</f>
        <v>0.42379182156133827</v>
      </c>
      <c r="I4" s="94">
        <v>13</v>
      </c>
      <c r="K4" s="38">
        <v>2</v>
      </c>
      <c r="L4" s="99">
        <v>-3.3999999999999986</v>
      </c>
      <c r="N4" s="115" t="s">
        <v>134</v>
      </c>
      <c r="O4" s="122">
        <f t="shared" si="0"/>
        <v>-32.407407407407405</v>
      </c>
      <c r="P4" s="119">
        <v>108</v>
      </c>
      <c r="Q4" s="103">
        <v>-3500</v>
      </c>
    </row>
    <row r="5" spans="1:17" x14ac:dyDescent="0.4">
      <c r="A5" s="55" t="s">
        <v>7</v>
      </c>
      <c r="B5" s="158">
        <f>IF(B$2=0,0,B$4/B$2)</f>
        <v>-7.5208333333333339</v>
      </c>
      <c r="C5" s="159"/>
      <c r="E5" s="63" t="s">
        <v>245</v>
      </c>
      <c r="F5" s="60" t="s">
        <v>246</v>
      </c>
      <c r="G5" s="47">
        <v>103</v>
      </c>
      <c r="H5" s="133">
        <f>IF(B$17=0,0,G5/B$17)</f>
        <v>0.38289962825278812</v>
      </c>
      <c r="I5" s="94">
        <v>9</v>
      </c>
      <c r="K5" s="38">
        <v>3</v>
      </c>
      <c r="L5" s="99">
        <v>-23.099999999999998</v>
      </c>
      <c r="N5" s="115" t="s">
        <v>135</v>
      </c>
      <c r="O5" s="122">
        <f t="shared" si="0"/>
        <v>-3400</v>
      </c>
      <c r="P5" s="119">
        <v>97</v>
      </c>
      <c r="Q5" s="103">
        <v>-329800</v>
      </c>
    </row>
    <row r="6" spans="1:17" x14ac:dyDescent="0.4">
      <c r="A6" s="55" t="s">
        <v>1</v>
      </c>
      <c r="B6" s="148">
        <f>IF(B$2=0,0,(B$7*1+B$8*2+B$9*3)/B$2)</f>
        <v>2.1</v>
      </c>
      <c r="C6" s="149"/>
      <c r="E6" s="63" t="s">
        <v>69</v>
      </c>
      <c r="F6" s="60" t="s">
        <v>12</v>
      </c>
      <c r="G6" s="47">
        <v>96</v>
      </c>
      <c r="H6" s="133">
        <f>IF(B$17=0,0,G6/B$17)</f>
        <v>0.35687732342007433</v>
      </c>
      <c r="I6" s="94">
        <v>4</v>
      </c>
      <c r="K6" s="38">
        <v>4</v>
      </c>
      <c r="L6" s="99">
        <v>-31.4</v>
      </c>
      <c r="N6" s="115" t="s">
        <v>136</v>
      </c>
      <c r="O6" s="122">
        <f t="shared" si="0"/>
        <v>-163.2183908045977</v>
      </c>
      <c r="P6" s="119">
        <v>87</v>
      </c>
      <c r="Q6" s="103">
        <v>-14200</v>
      </c>
    </row>
    <row r="7" spans="1:17" x14ac:dyDescent="0.4">
      <c r="A7" s="55" t="s">
        <v>2</v>
      </c>
      <c r="B7" s="47">
        <v>38</v>
      </c>
      <c r="C7" s="39">
        <f>IF(B$2=0,0,B7/B$2)</f>
        <v>0.31666666666666665</v>
      </c>
      <c r="E7" s="63" t="s">
        <v>68</v>
      </c>
      <c r="F7" s="60" t="s">
        <v>24</v>
      </c>
      <c r="G7" s="47">
        <v>84</v>
      </c>
      <c r="H7" s="133">
        <f>IF(B$17=0,0,G7/B$17)</f>
        <v>0.31226765799256506</v>
      </c>
      <c r="I7" s="94">
        <v>6</v>
      </c>
      <c r="K7" s="38">
        <v>5</v>
      </c>
      <c r="L7" s="99">
        <v>-32.199999999999996</v>
      </c>
      <c r="N7" s="116" t="s">
        <v>137</v>
      </c>
      <c r="O7" s="123">
        <f t="shared" si="0"/>
        <v>-109.21052631578948</v>
      </c>
      <c r="P7" s="120">
        <v>76</v>
      </c>
      <c r="Q7" s="104">
        <v>-8300</v>
      </c>
    </row>
    <row r="8" spans="1:17" x14ac:dyDescent="0.4">
      <c r="A8" s="55" t="s">
        <v>3</v>
      </c>
      <c r="B8" s="47">
        <v>32</v>
      </c>
      <c r="C8" s="39">
        <f>IF(B$2=0,0,B8/B$2)</f>
        <v>0.26666666666666666</v>
      </c>
      <c r="E8" s="63" t="s">
        <v>70</v>
      </c>
      <c r="F8" s="60" t="s">
        <v>25</v>
      </c>
      <c r="G8" s="47">
        <v>46</v>
      </c>
      <c r="H8" s="133">
        <f>IF(B$17=0,0,G8/B$17)</f>
        <v>0.17100371747211895</v>
      </c>
      <c r="I8" s="94">
        <v>5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50</v>
      </c>
      <c r="C9" s="40">
        <f t="shared" ref="C9" si="1">IF(B$2=0,0,B9/B$2)</f>
        <v>0.41666666666666669</v>
      </c>
      <c r="E9" s="63" t="s">
        <v>71</v>
      </c>
      <c r="F9" s="60" t="s">
        <v>26</v>
      </c>
      <c r="G9" s="47">
        <v>41</v>
      </c>
      <c r="H9" s="133">
        <f>IF(B$17=0,0,G9/B$17)</f>
        <v>0.15241635687732341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21</v>
      </c>
      <c r="C10" s="40">
        <f>IF(B$2=0,0,B10/B$2)</f>
        <v>0.17499999999999999</v>
      </c>
      <c r="E10" s="63" t="s">
        <v>72</v>
      </c>
      <c r="F10" s="60" t="s">
        <v>27</v>
      </c>
      <c r="G10" s="47">
        <v>30</v>
      </c>
      <c r="H10" s="133">
        <f>IF(B$17=0,0,G10/B$17)</f>
        <v>0.11152416356877323</v>
      </c>
      <c r="I10" s="94">
        <v>3</v>
      </c>
      <c r="K10" s="38">
        <v>8</v>
      </c>
      <c r="L10" s="99">
        <v>-79.599999999999994</v>
      </c>
      <c r="N10" s="114" t="s">
        <v>164</v>
      </c>
      <c r="O10" s="124">
        <f>IF(P10=0,0,Q10/P10)</f>
        <v>-14.799999999999992</v>
      </c>
      <c r="P10" s="118">
        <v>33</v>
      </c>
      <c r="Q10" s="106">
        <v>-488.39999999999975</v>
      </c>
    </row>
    <row r="11" spans="1:17" x14ac:dyDescent="0.4">
      <c r="A11" s="56" t="s">
        <v>140</v>
      </c>
      <c r="B11" s="48">
        <v>15</v>
      </c>
      <c r="C11" s="40">
        <f>IF(B$2=0,0,B11/B$2)</f>
        <v>0.125</v>
      </c>
      <c r="E11" s="63" t="s">
        <v>90</v>
      </c>
      <c r="F11" s="60" t="s">
        <v>45</v>
      </c>
      <c r="G11" s="47">
        <v>27</v>
      </c>
      <c r="H11" s="133">
        <f>IF(B$17=0,0,G11/B$17)</f>
        <v>0.10037174721189591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-5.5063829787234067</v>
      </c>
      <c r="P11" s="119">
        <v>47</v>
      </c>
      <c r="Q11" s="107">
        <v>-258.80000000000013</v>
      </c>
    </row>
    <row r="12" spans="1:17" x14ac:dyDescent="0.4">
      <c r="A12" s="57" t="s">
        <v>160</v>
      </c>
      <c r="B12" s="49">
        <v>12</v>
      </c>
      <c r="C12" s="42">
        <f>IF(B$2=0,0,B12/B$2)</f>
        <v>0.1</v>
      </c>
      <c r="E12" s="63" t="s">
        <v>66</v>
      </c>
      <c r="F12" s="60" t="s">
        <v>22</v>
      </c>
      <c r="G12" s="47">
        <v>23</v>
      </c>
      <c r="H12" s="133">
        <f>IF(B$17=0,0,G12/B$17)</f>
        <v>8.5501858736059477E-2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-3.8824999999999967</v>
      </c>
      <c r="P12" s="120">
        <v>40</v>
      </c>
      <c r="Q12" s="108">
        <v>-155.29999999999987</v>
      </c>
    </row>
    <row r="13" spans="1:17" x14ac:dyDescent="0.4">
      <c r="A13" s="58" t="s">
        <v>122</v>
      </c>
      <c r="B13" s="50">
        <v>264</v>
      </c>
      <c r="C13" s="44">
        <f>IF(B$3=0,0,B13/B$3)</f>
        <v>0.26061204343534056</v>
      </c>
      <c r="E13" s="63" t="s">
        <v>87</v>
      </c>
      <c r="F13" s="60" t="s">
        <v>42</v>
      </c>
      <c r="G13" s="47">
        <v>15</v>
      </c>
      <c r="H13" s="133">
        <f>IF(B$17=0,0,G13/B$17)</f>
        <v>5.5762081784386616E-2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185</v>
      </c>
      <c r="C14" s="39">
        <f>IF(B$3=0,0,B14/B$3)</f>
        <v>0.18262586377097728</v>
      </c>
      <c r="E14" s="63" t="s">
        <v>79</v>
      </c>
      <c r="F14" s="60" t="s">
        <v>34</v>
      </c>
      <c r="G14" s="47">
        <v>11</v>
      </c>
      <c r="H14" s="133">
        <f>IF(B$17=0,0,G14/B$17)</f>
        <v>4.0892193308550186E-2</v>
      </c>
      <c r="I14" s="94">
        <v>4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145</v>
      </c>
      <c r="C15" s="37">
        <f>IF(B$13=0,0,B15/B$13)</f>
        <v>0.5492424242424242</v>
      </c>
      <c r="E15" s="63" t="s">
        <v>84</v>
      </c>
      <c r="F15" s="60" t="s">
        <v>39</v>
      </c>
      <c r="G15" s="47">
        <v>11</v>
      </c>
      <c r="H15" s="133">
        <f>IF(B$17=0,0,G15/B$17)</f>
        <v>4.0892193308550186E-2</v>
      </c>
      <c r="I15" s="94">
        <v>10</v>
      </c>
      <c r="K15" s="38">
        <v>13</v>
      </c>
      <c r="L15" s="99">
        <v>-369.1</v>
      </c>
      <c r="N15" s="114" t="s">
        <v>271</v>
      </c>
      <c r="O15" s="124">
        <f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56</v>
      </c>
      <c r="C16" s="37">
        <f>IF(B$14=0,0,B16/B$14)</f>
        <v>0.30270270270270272</v>
      </c>
      <c r="E16" s="63" t="s">
        <v>82</v>
      </c>
      <c r="F16" s="60" t="s">
        <v>37</v>
      </c>
      <c r="G16" s="47">
        <v>9</v>
      </c>
      <c r="H16" s="133">
        <f>IF(B$17=0,0,G16/B$17)</f>
        <v>3.3457249070631967E-2</v>
      </c>
      <c r="I16" s="94">
        <v>5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269</v>
      </c>
      <c r="C17" s="37">
        <f>IF(B$3=0,0,B17/B$3)</f>
        <v>0.26554787759131293</v>
      </c>
      <c r="E17" s="63" t="s">
        <v>78</v>
      </c>
      <c r="F17" s="60" t="s">
        <v>33</v>
      </c>
      <c r="G17" s="47">
        <v>5</v>
      </c>
      <c r="H17" s="133">
        <f>IF(B$17=0,0,G17/B$17)</f>
        <v>1.858736059479554E-2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116</v>
      </c>
      <c r="C18" s="39">
        <f>IF(B$17=0,0,B18/B$17)</f>
        <v>0.43122676579925651</v>
      </c>
      <c r="E18" s="63" t="s">
        <v>92</v>
      </c>
      <c r="F18" s="60" t="s">
        <v>47</v>
      </c>
      <c r="G18" s="47">
        <v>4</v>
      </c>
      <c r="H18" s="133">
        <f>IF(B$17=0,0,G18/B$17)</f>
        <v>1.4869888475836431E-2</v>
      </c>
      <c r="I18" s="94">
        <v>9</v>
      </c>
      <c r="K18" s="38">
        <v>16</v>
      </c>
      <c r="L18" s="99">
        <v>-472</v>
      </c>
      <c r="N18" s="115" t="s">
        <v>177</v>
      </c>
      <c r="O18" s="125">
        <f>IF(P18=0,0,Q18/P18)</f>
        <v>8.8093750000000011</v>
      </c>
      <c r="P18" s="119">
        <v>32</v>
      </c>
      <c r="Q18" s="107">
        <v>281.90000000000003</v>
      </c>
    </row>
    <row r="19" spans="1:17" x14ac:dyDescent="0.4">
      <c r="A19" s="55" t="s">
        <v>11</v>
      </c>
      <c r="B19" s="47">
        <v>153</v>
      </c>
      <c r="C19" s="39">
        <f>IF(B$17=0,0,B19/B$17)</f>
        <v>0.56877323420074355</v>
      </c>
      <c r="E19" s="63" t="s">
        <v>75</v>
      </c>
      <c r="F19" s="60" t="s">
        <v>30</v>
      </c>
      <c r="G19" s="47">
        <v>3</v>
      </c>
      <c r="H19" s="133">
        <f>IF(B$17=0,0,G19/B$17)</f>
        <v>1.1152416356877323E-2</v>
      </c>
      <c r="I19" s="94">
        <v>2</v>
      </c>
      <c r="K19" s="38">
        <v>17</v>
      </c>
      <c r="L19" s="99">
        <v>-538.29999999999995</v>
      </c>
      <c r="N19" s="115" t="s">
        <v>128</v>
      </c>
      <c r="O19" s="125">
        <f>IF(P19=0,0,Q19/P19)</f>
        <v>-6.237499999999998</v>
      </c>
      <c r="P19" s="119">
        <v>48</v>
      </c>
      <c r="Q19" s="107">
        <v>-299.39999999999992</v>
      </c>
    </row>
    <row r="20" spans="1:17" x14ac:dyDescent="0.4">
      <c r="A20" s="55" t="s">
        <v>13</v>
      </c>
      <c r="B20" s="47">
        <v>186</v>
      </c>
      <c r="C20" s="39">
        <f>IF(B$3=0,0,B20/B$3)</f>
        <v>0.18361303060217177</v>
      </c>
      <c r="E20" s="63" t="s">
        <v>80</v>
      </c>
      <c r="F20" s="60" t="s">
        <v>35</v>
      </c>
      <c r="G20" s="47">
        <v>2</v>
      </c>
      <c r="H20" s="133">
        <f>IF(B$17=0,0,G20/B$17)</f>
        <v>7.4349442379182153E-3</v>
      </c>
      <c r="I20" s="94">
        <v>11</v>
      </c>
      <c r="K20" s="38">
        <v>18</v>
      </c>
      <c r="L20" s="99">
        <v>-537.19999999999993</v>
      </c>
      <c r="N20" s="115" t="s">
        <v>173</v>
      </c>
      <c r="O20" s="125">
        <f>IF(P20=0,0,Q20/P20)</f>
        <v>-17.118181818181814</v>
      </c>
      <c r="P20" s="119">
        <v>11</v>
      </c>
      <c r="Q20" s="107">
        <v>-188.29999999999995</v>
      </c>
    </row>
    <row r="21" spans="1:17" x14ac:dyDescent="0.4">
      <c r="A21" s="55" t="s">
        <v>191</v>
      </c>
      <c r="B21" s="47">
        <v>4</v>
      </c>
      <c r="C21" s="135">
        <v>3</v>
      </c>
      <c r="E21" s="63" t="s">
        <v>88</v>
      </c>
      <c r="F21" s="60" t="s">
        <v>43</v>
      </c>
      <c r="G21" s="47">
        <v>2</v>
      </c>
      <c r="H21" s="133">
        <f>IF(B$17=0,0,G21/B$17)</f>
        <v>7.4349442379182153E-3</v>
      </c>
      <c r="I21" s="94">
        <v>2</v>
      </c>
      <c r="K21" s="38">
        <v>19</v>
      </c>
      <c r="L21" s="99">
        <v>-569.49999999999989</v>
      </c>
      <c r="N21" s="115" t="s">
        <v>171</v>
      </c>
      <c r="O21" s="125">
        <f>IF(P21=0,0,Q21/P21)</f>
        <v>-18.865624999999994</v>
      </c>
      <c r="P21" s="119">
        <v>32</v>
      </c>
      <c r="Q21" s="107">
        <v>-603.69999999999982</v>
      </c>
    </row>
    <row r="22" spans="1:17" x14ac:dyDescent="0.4">
      <c r="A22" s="55" t="s">
        <v>192</v>
      </c>
      <c r="B22" s="47">
        <v>31</v>
      </c>
      <c r="C22" s="135">
        <v>15</v>
      </c>
      <c r="E22" s="63" t="s">
        <v>94</v>
      </c>
      <c r="F22" s="60" t="s">
        <v>49</v>
      </c>
      <c r="G22" s="47">
        <v>2</v>
      </c>
      <c r="H22" s="133">
        <f>IF(B$17=0,0,G22/B$17)</f>
        <v>7.4349442379182153E-3</v>
      </c>
      <c r="I22" s="94">
        <v>1</v>
      </c>
      <c r="K22" s="38">
        <v>20</v>
      </c>
      <c r="L22" s="99">
        <v>-632.99999999999989</v>
      </c>
      <c r="N22" s="115" t="s">
        <v>127</v>
      </c>
      <c r="O22" s="125">
        <f>IF(P22=0,0,Q22/P22)</f>
        <v>-24.155072463768121</v>
      </c>
      <c r="P22" s="119">
        <v>69</v>
      </c>
      <c r="Q22" s="107">
        <v>-1666.7000000000003</v>
      </c>
    </row>
    <row r="23" spans="1:17" x14ac:dyDescent="0.4">
      <c r="A23" s="55" t="s">
        <v>5</v>
      </c>
      <c r="B23" s="51">
        <f>IF(B$17=0,0,C23/B$17)</f>
        <v>8920.4460966542756</v>
      </c>
      <c r="C23" s="41">
        <v>2399600</v>
      </c>
      <c r="E23" s="63" t="s">
        <v>76</v>
      </c>
      <c r="F23" s="60" t="s">
        <v>31</v>
      </c>
      <c r="G23" s="47">
        <v>1</v>
      </c>
      <c r="H23" s="133">
        <f>IF(B$17=0,0,G23/B$17)</f>
        <v>3.7174721189591076E-3</v>
      </c>
      <c r="I23" s="94">
        <v>7</v>
      </c>
      <c r="K23" s="38">
        <v>21</v>
      </c>
      <c r="L23" s="99">
        <v>-629.49999999999989</v>
      </c>
      <c r="N23" s="115" t="s">
        <v>172</v>
      </c>
      <c r="O23" s="125">
        <f>IF(P23=0,0,Q23/P23)</f>
        <v>-25.859259259259254</v>
      </c>
      <c r="P23" s="119">
        <v>27</v>
      </c>
      <c r="Q23" s="107">
        <v>-698.19999999999982</v>
      </c>
    </row>
    <row r="24" spans="1:17" x14ac:dyDescent="0.4">
      <c r="A24" s="57" t="s">
        <v>14</v>
      </c>
      <c r="B24" s="52">
        <f>IF(B$20=0,0,C24/B$20)</f>
        <v>-8930.1075268817203</v>
      </c>
      <c r="C24" s="45">
        <v>-1661000</v>
      </c>
      <c r="E24" s="63" t="s">
        <v>85</v>
      </c>
      <c r="F24" s="60" t="s">
        <v>40</v>
      </c>
      <c r="G24" s="47">
        <v>1</v>
      </c>
      <c r="H24" s="133">
        <f>IF(B$17=0,0,G24/B$17)</f>
        <v>3.7174721189591076E-3</v>
      </c>
      <c r="I24" s="94">
        <v>2</v>
      </c>
      <c r="K24" s="38">
        <v>22</v>
      </c>
      <c r="L24" s="99">
        <v>-670.19999999999993</v>
      </c>
      <c r="N24" s="115" t="s">
        <v>184</v>
      </c>
      <c r="O24" s="125">
        <f>IF(P24=0,0,Q24/P24)</f>
        <v>-30.849999999999998</v>
      </c>
      <c r="P24" s="119">
        <v>6</v>
      </c>
      <c r="Q24" s="107">
        <v>-185.1</v>
      </c>
    </row>
    <row r="25" spans="1:17" x14ac:dyDescent="0.4">
      <c r="A25" s="90" t="s">
        <v>142</v>
      </c>
      <c r="B25" s="146">
        <v>7</v>
      </c>
      <c r="C25" s="147"/>
      <c r="E25" s="63" t="s">
        <v>86</v>
      </c>
      <c r="F25" s="60" t="s">
        <v>41</v>
      </c>
      <c r="G25" s="47">
        <v>1</v>
      </c>
      <c r="H25" s="133">
        <f>IF(B$17=0,0,G25/B$17)</f>
        <v>3.7174721189591076E-3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4">
        <v>96900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3.7174721189591076E-3</v>
      </c>
      <c r="I26" s="94">
        <v>2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1.9743336623889436E-3</v>
      </c>
      <c r="E27" s="63" t="s">
        <v>93</v>
      </c>
      <c r="F27" s="60" t="s">
        <v>48</v>
      </c>
      <c r="G27" s="47">
        <v>1</v>
      </c>
      <c r="H27" s="133">
        <f>IF(B$17=0,0,G27/B$17)</f>
        <v>3.7174721189591076E-3</v>
      </c>
      <c r="I27" s="94">
        <v>5</v>
      </c>
      <c r="K27" s="38">
        <v>25</v>
      </c>
      <c r="L27" s="99">
        <v>-783.69999999999993</v>
      </c>
    </row>
    <row r="28" spans="1:17" x14ac:dyDescent="0.4">
      <c r="E28" s="63" t="s">
        <v>180</v>
      </c>
      <c r="F28" s="60" t="s">
        <v>181</v>
      </c>
      <c r="G28" s="47">
        <v>1</v>
      </c>
      <c r="H28" s="133">
        <f>IF(B$17=0,0,G28/B$17)</f>
        <v>3.7174721189591076E-3</v>
      </c>
      <c r="I28" s="94">
        <v>7</v>
      </c>
      <c r="K28" s="38">
        <v>26</v>
      </c>
      <c r="L28" s="99">
        <v>-818.49999999999989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4EC6-516C-4752-8C88-DCBFC3E8AAA1}">
  <sheetPr codeName="Sheet13"/>
  <dimension ref="A1:Q9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171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96</v>
      </c>
      <c r="C2" s="153"/>
      <c r="E2" s="62" t="s">
        <v>65</v>
      </c>
      <c r="F2" s="59" t="s">
        <v>21</v>
      </c>
      <c r="G2" s="46">
        <v>124</v>
      </c>
      <c r="H2" s="132">
        <f>IF(B$17=0,0,G2/B$17)</f>
        <v>0.54625550660792954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-365.625</v>
      </c>
      <c r="P2" s="118">
        <v>96</v>
      </c>
      <c r="Q2" s="102">
        <v>-35100</v>
      </c>
    </row>
    <row r="3" spans="1:17" x14ac:dyDescent="0.4">
      <c r="A3" s="55" t="s">
        <v>8</v>
      </c>
      <c r="B3" s="154">
        <v>801</v>
      </c>
      <c r="C3" s="155"/>
      <c r="E3" s="63" t="s">
        <v>66</v>
      </c>
      <c r="F3" s="60" t="s">
        <v>22</v>
      </c>
      <c r="G3" s="47">
        <v>28</v>
      </c>
      <c r="H3" s="133">
        <f>IF(B$17=0,0,G3/B$17)</f>
        <v>0.12334801762114538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677.65957446808511</v>
      </c>
      <c r="P3" s="119">
        <v>94</v>
      </c>
      <c r="Q3" s="103">
        <v>63700</v>
      </c>
    </row>
    <row r="4" spans="1:17" x14ac:dyDescent="0.4">
      <c r="A4" s="55" t="s">
        <v>6</v>
      </c>
      <c r="B4" s="156">
        <v>-48.599999999999987</v>
      </c>
      <c r="C4" s="157"/>
      <c r="E4" s="63" t="s">
        <v>67</v>
      </c>
      <c r="F4" s="60" t="s">
        <v>23</v>
      </c>
      <c r="G4" s="47">
        <v>185</v>
      </c>
      <c r="H4" s="133">
        <f>IF(B$17=0,0,G4/B$17)</f>
        <v>0.81497797356828194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0"/>
        <v>1677.6470588235295</v>
      </c>
      <c r="P4" s="119">
        <v>85</v>
      </c>
      <c r="Q4" s="103">
        <v>142600</v>
      </c>
    </row>
    <row r="5" spans="1:17" x14ac:dyDescent="0.4">
      <c r="A5" s="55" t="s">
        <v>7</v>
      </c>
      <c r="B5" s="158">
        <f>IF(B$2=0,0,B$4/B$2)</f>
        <v>-0.50624999999999987</v>
      </c>
      <c r="C5" s="159"/>
      <c r="E5" s="63" t="s">
        <v>68</v>
      </c>
      <c r="F5" s="60" t="s">
        <v>24</v>
      </c>
      <c r="G5" s="47">
        <v>77</v>
      </c>
      <c r="H5" s="133">
        <f>IF(B$17=0,0,G5/B$17)</f>
        <v>0.33920704845814981</v>
      </c>
      <c r="I5" s="94">
        <v>5</v>
      </c>
      <c r="K5" s="38">
        <v>3</v>
      </c>
      <c r="L5" s="99">
        <v>-60.100000000000009</v>
      </c>
      <c r="N5" s="115" t="s">
        <v>135</v>
      </c>
      <c r="O5" s="122">
        <f t="shared" si="0"/>
        <v>58.666666666666664</v>
      </c>
      <c r="P5" s="119">
        <v>75</v>
      </c>
      <c r="Q5" s="103">
        <v>4400</v>
      </c>
    </row>
    <row r="6" spans="1:17" x14ac:dyDescent="0.4">
      <c r="A6" s="55" t="s">
        <v>1</v>
      </c>
      <c r="B6" s="148">
        <f>IF(B$2=0,0,(B$7*1+B$8*2+B$9*3)/B$2)</f>
        <v>2.0520833333333335</v>
      </c>
      <c r="C6" s="149"/>
      <c r="E6" s="63" t="s">
        <v>69</v>
      </c>
      <c r="F6" s="60" t="s">
        <v>12</v>
      </c>
      <c r="G6" s="47">
        <v>67</v>
      </c>
      <c r="H6" s="133">
        <f>IF(B$17=0,0,G6/B$17)</f>
        <v>0.29515418502202645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-1990.909090909091</v>
      </c>
      <c r="P6" s="119">
        <v>66</v>
      </c>
      <c r="Q6" s="103">
        <v>-131400</v>
      </c>
    </row>
    <row r="7" spans="1:17" x14ac:dyDescent="0.4">
      <c r="A7" s="55" t="s">
        <v>2</v>
      </c>
      <c r="B7" s="47">
        <v>29</v>
      </c>
      <c r="C7" s="39">
        <f>IF(B$2=0,0,B7/B$2)</f>
        <v>0.30208333333333331</v>
      </c>
      <c r="E7" s="63" t="s">
        <v>70</v>
      </c>
      <c r="F7" s="60" t="s">
        <v>25</v>
      </c>
      <c r="G7" s="47">
        <v>44</v>
      </c>
      <c r="H7" s="133">
        <f>IF(B$17=0,0,G7/B$17)</f>
        <v>0.19383259911894274</v>
      </c>
      <c r="I7" s="94">
        <v>3</v>
      </c>
      <c r="K7" s="38">
        <v>5</v>
      </c>
      <c r="L7" s="99">
        <v>-36.100000000000009</v>
      </c>
      <c r="N7" s="116" t="s">
        <v>137</v>
      </c>
      <c r="O7" s="123">
        <f t="shared" si="0"/>
        <v>-369.49152542372883</v>
      </c>
      <c r="P7" s="120">
        <v>59</v>
      </c>
      <c r="Q7" s="104">
        <v>-21800</v>
      </c>
    </row>
    <row r="8" spans="1:17" x14ac:dyDescent="0.4">
      <c r="A8" s="55" t="s">
        <v>3</v>
      </c>
      <c r="B8" s="47">
        <v>33</v>
      </c>
      <c r="C8" s="39">
        <f>IF(B$2=0,0,B8/B$2)</f>
        <v>0.34375</v>
      </c>
      <c r="E8" s="63" t="s">
        <v>71</v>
      </c>
      <c r="F8" s="60" t="s">
        <v>26</v>
      </c>
      <c r="G8" s="47">
        <v>25</v>
      </c>
      <c r="H8" s="133">
        <f>IF(B$17=0,0,G8/B$17)</f>
        <v>0.11013215859030837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0.35416666666666669</v>
      </c>
      <c r="E9" s="63" t="s">
        <v>72</v>
      </c>
      <c r="F9" s="60" t="s">
        <v>27</v>
      </c>
      <c r="G9" s="47">
        <v>14</v>
      </c>
      <c r="H9" s="133">
        <f>IF(B$17=0,0,G9/B$17)</f>
        <v>6.1674008810572688E-2</v>
      </c>
      <c r="I9" s="94">
        <v>7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0.11458333333333333</v>
      </c>
      <c r="E10" s="63" t="s">
        <v>73</v>
      </c>
      <c r="F10" s="60" t="s">
        <v>28</v>
      </c>
      <c r="G10" s="47">
        <v>125</v>
      </c>
      <c r="H10" s="133">
        <f>IF(B$17=0,0,G10/B$17)</f>
        <v>0.5506607929515418</v>
      </c>
      <c r="I10" s="94">
        <v>6</v>
      </c>
      <c r="K10" s="38">
        <v>8</v>
      </c>
      <c r="L10" s="99">
        <v>-1.7000000000000028</v>
      </c>
      <c r="N10" s="114" t="s">
        <v>164</v>
      </c>
      <c r="O10" s="124">
        <f>IF(P10=0,0,Q10/P10)</f>
        <v>1.4119999999999999</v>
      </c>
      <c r="P10" s="118">
        <v>25</v>
      </c>
      <c r="Q10" s="106">
        <v>35.299999999999997</v>
      </c>
    </row>
    <row r="11" spans="1:17" x14ac:dyDescent="0.4">
      <c r="A11" s="56" t="s">
        <v>140</v>
      </c>
      <c r="B11" s="48">
        <v>14</v>
      </c>
      <c r="C11" s="40">
        <f>IF(B$2=0,0,B11/B$2)</f>
        <v>0.14583333333333334</v>
      </c>
      <c r="E11" s="63" t="s">
        <v>74</v>
      </c>
      <c r="F11" s="60" t="s">
        <v>29</v>
      </c>
      <c r="G11" s="47">
        <v>3</v>
      </c>
      <c r="H11" s="133">
        <f>IF(B$17=0,0,G11/B$17)</f>
        <v>1.3215859030837005E-2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-0.14722222222222056</v>
      </c>
      <c r="P11" s="119">
        <v>36</v>
      </c>
      <c r="Q11" s="107">
        <v>-5.2999999999999403</v>
      </c>
    </row>
    <row r="12" spans="1:17" x14ac:dyDescent="0.4">
      <c r="A12" s="57" t="s">
        <v>160</v>
      </c>
      <c r="B12" s="49">
        <v>6</v>
      </c>
      <c r="C12" s="42">
        <f>IF(B$2=0,0,B12/B$2)</f>
        <v>6.25E-2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-56.500000000000007</v>
      </c>
      <c r="N12" s="116" t="s">
        <v>166</v>
      </c>
      <c r="O12" s="126">
        <f>IF(P12=0,0,Q12/P12)</f>
        <v>-2.2457142857142856</v>
      </c>
      <c r="P12" s="120">
        <v>35</v>
      </c>
      <c r="Q12" s="108">
        <v>-78.599999999999994</v>
      </c>
    </row>
    <row r="13" spans="1:17" x14ac:dyDescent="0.4">
      <c r="A13" s="58" t="s">
        <v>122</v>
      </c>
      <c r="B13" s="50">
        <v>233</v>
      </c>
      <c r="C13" s="44">
        <f>IF(B$3=0,0,B13/B$3)</f>
        <v>0.2908863920099875</v>
      </c>
      <c r="E13" s="63" t="s">
        <v>76</v>
      </c>
      <c r="F13" s="60" t="s">
        <v>31</v>
      </c>
      <c r="G13" s="47">
        <v>3</v>
      </c>
      <c r="H13" s="133">
        <f>IF(B$17=0,0,G13/B$17)</f>
        <v>1.3215859030837005E-2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0.19475655430711611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131</v>
      </c>
      <c r="C15" s="37">
        <f>IF(B$13=0,0,B15/B$13)</f>
        <v>0.5622317596566524</v>
      </c>
      <c r="E15" s="63" t="s">
        <v>78</v>
      </c>
      <c r="F15" s="60" t="s">
        <v>33</v>
      </c>
      <c r="G15" s="47">
        <v>3</v>
      </c>
      <c r="H15" s="133">
        <f>IF(B$17=0,0,G15/B$17)</f>
        <v>1.3215859030837005E-2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18.865624999999991</v>
      </c>
      <c r="P15" s="118">
        <v>32</v>
      </c>
      <c r="Q15" s="106">
        <v>603.6999999999997</v>
      </c>
    </row>
    <row r="16" spans="1:17" x14ac:dyDescent="0.4">
      <c r="A16" s="54" t="s">
        <v>125</v>
      </c>
      <c r="B16" s="46">
        <v>64</v>
      </c>
      <c r="C16" s="37">
        <f>IF(B$14=0,0,B16/B$14)</f>
        <v>0.41025641025641024</v>
      </c>
      <c r="E16" s="63" t="s">
        <v>79</v>
      </c>
      <c r="F16" s="60" t="s">
        <v>34</v>
      </c>
      <c r="G16" s="47">
        <v>9</v>
      </c>
      <c r="H16" s="133">
        <f>IF(B$17=0,0,G16/B$17)</f>
        <v>3.9647577092511016E-2</v>
      </c>
      <c r="I16" s="94">
        <v>5</v>
      </c>
      <c r="K16" s="38">
        <v>14</v>
      </c>
      <c r="L16" s="99">
        <v>-29.400000000000002</v>
      </c>
      <c r="N16" s="115" t="s">
        <v>184</v>
      </c>
      <c r="O16" s="125">
        <f t="shared" si="2"/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227</v>
      </c>
      <c r="C17" s="37">
        <f>IF(B$3=0,0,B17/B$3)</f>
        <v>0.28339575530586769</v>
      </c>
      <c r="E17" s="63" t="s">
        <v>80</v>
      </c>
      <c r="F17" s="60" t="s">
        <v>35</v>
      </c>
      <c r="G17" s="47">
        <v>4</v>
      </c>
      <c r="H17" s="133">
        <f>IF(B$17=0,0,G17/B$17)</f>
        <v>1.7621145374449341E-2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 t="shared" si="2"/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92</v>
      </c>
      <c r="C18" s="39">
        <f>IF(B$17=0,0,B18/B$17)</f>
        <v>0.40528634361233479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135</v>
      </c>
      <c r="C19" s="39">
        <f>IF(B$17=0,0,B19/B$17)</f>
        <v>0.59471365638766516</v>
      </c>
      <c r="E19" s="63" t="s">
        <v>82</v>
      </c>
      <c r="F19" s="60" t="s">
        <v>37</v>
      </c>
      <c r="G19" s="47">
        <v>8</v>
      </c>
      <c r="H19" s="133">
        <f>IF(B$17=0,0,G19/B$17)</f>
        <v>3.5242290748898682E-2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143</v>
      </c>
      <c r="C20" s="39">
        <f>IF(B$3=0,0,B20/B$3)</f>
        <v>0.17852684144818975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4.8458149779735685E-2</v>
      </c>
      <c r="I21" s="94">
        <v>7</v>
      </c>
      <c r="K21" s="38">
        <v>19</v>
      </c>
      <c r="L21" s="99">
        <v>0.60000000000000853</v>
      </c>
      <c r="N21" s="115" t="s">
        <v>200</v>
      </c>
      <c r="O21" s="125">
        <f t="shared" si="2"/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4</v>
      </c>
      <c r="E22" s="63" t="s">
        <v>85</v>
      </c>
      <c r="F22" s="60" t="s">
        <v>40</v>
      </c>
      <c r="G22" s="47">
        <v>2</v>
      </c>
      <c r="H22" s="133">
        <f>IF(B$17=0,0,G22/B$17)</f>
        <v>8.8105726872246704E-3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-44.647368421052626</v>
      </c>
      <c r="P22" s="119">
        <v>19</v>
      </c>
      <c r="Q22" s="107">
        <v>-848.3</v>
      </c>
    </row>
    <row r="23" spans="1:17" x14ac:dyDescent="0.4">
      <c r="A23" s="55" t="s">
        <v>5</v>
      </c>
      <c r="B23" s="51">
        <f>IF(B$17=0,0,C23/B$17)</f>
        <v>9990.7488986784138</v>
      </c>
      <c r="C23" s="41">
        <v>2267900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-8548.9510489510485</v>
      </c>
      <c r="C24" s="45">
        <v>-1222500</v>
      </c>
      <c r="E24" s="63" t="s">
        <v>87</v>
      </c>
      <c r="F24" s="60" t="s">
        <v>42</v>
      </c>
      <c r="G24" s="47">
        <v>16</v>
      </c>
      <c r="H24" s="133">
        <f>IF(B$17=0,0,G24/B$17)</f>
        <v>7.0484581497797363E-2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6">
        <v>8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4.4052863436123352E-3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4">
        <v>96000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2.4968789013732834E-3</v>
      </c>
      <c r="E27" s="63" t="s">
        <v>90</v>
      </c>
      <c r="F27" s="60" t="s">
        <v>45</v>
      </c>
      <c r="G27" s="47">
        <v>38</v>
      </c>
      <c r="H27" s="133">
        <f>IF(B$17=0,0,G27/B$17)</f>
        <v>0.16740088105726872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2.643171806167401E-2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8.8105726872246704E-3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4.4052863436123352E-3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1.7621145374449341E-2</v>
      </c>
      <c r="I50" s="94">
        <v>3</v>
      </c>
      <c r="K50" s="38">
        <v>48</v>
      </c>
      <c r="L50" s="99">
        <v>-33.800000000000004</v>
      </c>
    </row>
    <row r="51" spans="5:12" x14ac:dyDescent="0.4">
      <c r="E51" s="136" t="s">
        <v>245</v>
      </c>
      <c r="F51" s="137" t="s">
        <v>246</v>
      </c>
      <c r="G51" s="48">
        <v>86</v>
      </c>
      <c r="H51" s="138">
        <f>IF(B$17=0,0,G51/B$17)</f>
        <v>0.3788546255506608</v>
      </c>
      <c r="I51" s="139">
        <v>11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</sheetData>
  <sortState ref="E2:I9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6A7C-1605-42D0-BC6B-082101DADCA6}">
  <sheetPr codeName="Sheet15"/>
  <dimension ref="A1:Q9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172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92</v>
      </c>
      <c r="C2" s="153"/>
      <c r="E2" s="62" t="s">
        <v>65</v>
      </c>
      <c r="F2" s="59" t="s">
        <v>21</v>
      </c>
      <c r="G2" s="46">
        <v>94</v>
      </c>
      <c r="H2" s="132">
        <f>IF(B$17=0,0,G2/B$17)</f>
        <v>0.35471698113207545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239.13043478260869</v>
      </c>
      <c r="P2" s="118">
        <v>92</v>
      </c>
      <c r="Q2" s="102">
        <v>22000</v>
      </c>
    </row>
    <row r="3" spans="1:17" x14ac:dyDescent="0.4">
      <c r="A3" s="55" t="s">
        <v>8</v>
      </c>
      <c r="B3" s="154">
        <v>772</v>
      </c>
      <c r="C3" s="155"/>
      <c r="E3" s="63" t="s">
        <v>66</v>
      </c>
      <c r="F3" s="60" t="s">
        <v>22</v>
      </c>
      <c r="G3" s="47">
        <v>27</v>
      </c>
      <c r="H3" s="133">
        <f>IF(B$17=0,0,G3/B$17)</f>
        <v>0.10188679245283019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-1233.695652173913</v>
      </c>
      <c r="P3" s="119">
        <v>92</v>
      </c>
      <c r="Q3" s="103">
        <v>-113500</v>
      </c>
    </row>
    <row r="4" spans="1:17" x14ac:dyDescent="0.4">
      <c r="A4" s="55" t="s">
        <v>6</v>
      </c>
      <c r="B4" s="156">
        <v>-120.50000000000006</v>
      </c>
      <c r="C4" s="157"/>
      <c r="E4" s="63" t="s">
        <v>67</v>
      </c>
      <c r="F4" s="60" t="s">
        <v>23</v>
      </c>
      <c r="G4" s="47">
        <v>177</v>
      </c>
      <c r="H4" s="133">
        <f>IF(B$17=0,0,G4/B$17)</f>
        <v>0.66792452830188676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-904.8780487804878</v>
      </c>
      <c r="P4" s="119">
        <v>82</v>
      </c>
      <c r="Q4" s="103">
        <v>-74200</v>
      </c>
    </row>
    <row r="5" spans="1:17" x14ac:dyDescent="0.4">
      <c r="A5" s="55" t="s">
        <v>7</v>
      </c>
      <c r="B5" s="158">
        <f>IF(B$2=0,0,B$4/B$2)</f>
        <v>-1.3097826086956528</v>
      </c>
      <c r="C5" s="159"/>
      <c r="E5" s="63" t="s">
        <v>68</v>
      </c>
      <c r="F5" s="60" t="s">
        <v>24</v>
      </c>
      <c r="G5" s="47">
        <v>48</v>
      </c>
      <c r="H5" s="133">
        <f>IF(B$17=0,0,G5/B$17)</f>
        <v>0.1811320754716981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1247.4358974358975</v>
      </c>
      <c r="P5" s="119">
        <v>78</v>
      </c>
      <c r="Q5" s="103">
        <v>97300</v>
      </c>
    </row>
    <row r="6" spans="1:17" x14ac:dyDescent="0.4">
      <c r="A6" s="55" t="s">
        <v>1</v>
      </c>
      <c r="B6" s="148">
        <f>IF(B$2=0,0,(B$7*1+B$8*2+B$9*3)/B$2)</f>
        <v>2.0434782608695654</v>
      </c>
      <c r="C6" s="149"/>
      <c r="E6" s="63" t="s">
        <v>69</v>
      </c>
      <c r="F6" s="60" t="s">
        <v>12</v>
      </c>
      <c r="G6" s="47">
        <v>65</v>
      </c>
      <c r="H6" s="133">
        <f>IF(B$17=0,0,G6/B$17)</f>
        <v>0.24528301886792453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0"/>
        <v>-173.61111111111111</v>
      </c>
      <c r="P6" s="119">
        <v>72</v>
      </c>
      <c r="Q6" s="103">
        <v>-12500</v>
      </c>
    </row>
    <row r="7" spans="1:17" x14ac:dyDescent="0.4">
      <c r="A7" s="55" t="s">
        <v>2</v>
      </c>
      <c r="B7" s="47">
        <v>23</v>
      </c>
      <c r="C7" s="39">
        <f>IF(B$2=0,0,B7/B$2)</f>
        <v>0.25</v>
      </c>
      <c r="E7" s="63" t="s">
        <v>70</v>
      </c>
      <c r="F7" s="60" t="s">
        <v>25</v>
      </c>
      <c r="G7" s="47">
        <v>42</v>
      </c>
      <c r="H7" s="133">
        <f>IF(B$17=0,0,G7/B$17)</f>
        <v>0.15849056603773584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-175.40983606557376</v>
      </c>
      <c r="P7" s="120">
        <v>61</v>
      </c>
      <c r="Q7" s="104">
        <v>-10700</v>
      </c>
    </row>
    <row r="8" spans="1:17" x14ac:dyDescent="0.4">
      <c r="A8" s="55" t="s">
        <v>3</v>
      </c>
      <c r="B8" s="47">
        <v>42</v>
      </c>
      <c r="C8" s="39">
        <f>IF(B$2=0,0,B8/B$2)</f>
        <v>0.45652173913043476</v>
      </c>
      <c r="E8" s="63" t="s">
        <v>71</v>
      </c>
      <c r="F8" s="60" t="s">
        <v>26</v>
      </c>
      <c r="G8" s="47">
        <v>18</v>
      </c>
      <c r="H8" s="133">
        <f>IF(B$17=0,0,G8/B$17)</f>
        <v>6.7924528301886791E-2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0.29347826086956524</v>
      </c>
      <c r="E9" s="63" t="s">
        <v>72</v>
      </c>
      <c r="F9" s="60" t="s">
        <v>27</v>
      </c>
      <c r="G9" s="47">
        <v>21</v>
      </c>
      <c r="H9" s="133">
        <f>IF(B$17=0,0,G9/B$17)</f>
        <v>7.9245283018867921E-2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5.434782608695652E-2</v>
      </c>
      <c r="E10" s="63" t="s">
        <v>73</v>
      </c>
      <c r="F10" s="60" t="s">
        <v>28</v>
      </c>
      <c r="G10" s="47">
        <v>151</v>
      </c>
      <c r="H10" s="133">
        <f>IF(B$17=0,0,G10/B$17)</f>
        <v>0.56981132075471697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-5.0793103448275883</v>
      </c>
      <c r="P10" s="118">
        <v>29</v>
      </c>
      <c r="Q10" s="106">
        <v>-147.30000000000007</v>
      </c>
    </row>
    <row r="11" spans="1:17" x14ac:dyDescent="0.4">
      <c r="A11" s="56" t="s">
        <v>140</v>
      </c>
      <c r="B11" s="48">
        <v>10</v>
      </c>
      <c r="C11" s="40">
        <f>IF(B$2=0,0,B11/B$2)</f>
        <v>0.10869565217391304</v>
      </c>
      <c r="E11" s="63" t="s">
        <v>74</v>
      </c>
      <c r="F11" s="60" t="s">
        <v>29</v>
      </c>
      <c r="G11" s="47">
        <v>1</v>
      </c>
      <c r="H11" s="133">
        <f>IF(B$17=0,0,G11/B$17)</f>
        <v>3.7735849056603774E-3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2.9592592592592588</v>
      </c>
      <c r="P11" s="119">
        <v>27</v>
      </c>
      <c r="Q11" s="107">
        <v>79.899999999999991</v>
      </c>
    </row>
    <row r="12" spans="1:17" x14ac:dyDescent="0.4">
      <c r="A12" s="57" t="s">
        <v>160</v>
      </c>
      <c r="B12" s="49">
        <v>8</v>
      </c>
      <c r="C12" s="42">
        <f>IF(B$2=0,0,B12/B$2)</f>
        <v>8.6956521739130432E-2</v>
      </c>
      <c r="E12" s="63" t="s">
        <v>75</v>
      </c>
      <c r="F12" s="60" t="s">
        <v>30</v>
      </c>
      <c r="G12" s="47">
        <v>2</v>
      </c>
      <c r="H12" s="133">
        <f>IF(B$17=0,0,G12/B$17)</f>
        <v>7.5471698113207548E-3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-1.4750000000000005</v>
      </c>
      <c r="P12" s="120">
        <v>36</v>
      </c>
      <c r="Q12" s="108">
        <v>-53.100000000000023</v>
      </c>
    </row>
    <row r="13" spans="1:17" x14ac:dyDescent="0.4">
      <c r="A13" s="58" t="s">
        <v>122</v>
      </c>
      <c r="B13" s="50">
        <v>164</v>
      </c>
      <c r="C13" s="44">
        <f>IF(B$3=0,0,B13/B$3)</f>
        <v>0.21243523316062177</v>
      </c>
      <c r="E13" s="63" t="s">
        <v>76</v>
      </c>
      <c r="F13" s="60" t="s">
        <v>31</v>
      </c>
      <c r="G13" s="47">
        <v>1</v>
      </c>
      <c r="H13" s="133">
        <f>IF(B$17=0,0,G13/B$17)</f>
        <v>3.7735849056603774E-3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222</v>
      </c>
      <c r="C14" s="39">
        <f>IF(B$3=0,0,B14/B$3)</f>
        <v>0.28756476683937826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92</v>
      </c>
      <c r="C15" s="37">
        <f>IF(B$13=0,0,B15/B$13)</f>
        <v>0.56097560975609762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-3</v>
      </c>
      <c r="N15" s="114" t="s">
        <v>184</v>
      </c>
      <c r="O15" s="124">
        <f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95</v>
      </c>
      <c r="C16" s="37">
        <f>IF(B$14=0,0,B16/B$14)</f>
        <v>0.42792792792792794</v>
      </c>
      <c r="E16" s="63" t="s">
        <v>79</v>
      </c>
      <c r="F16" s="60" t="s">
        <v>34</v>
      </c>
      <c r="G16" s="47">
        <v>4</v>
      </c>
      <c r="H16" s="133">
        <f>IF(B$17=0,0,G16/B$17)</f>
        <v>1.509433962264151E-2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>IF(P16=0,0,Q16/P16)</f>
        <v>25.859259259259247</v>
      </c>
      <c r="P16" s="119">
        <v>27</v>
      </c>
      <c r="Q16" s="107">
        <v>698.1999999999997</v>
      </c>
    </row>
    <row r="17" spans="1:17" x14ac:dyDescent="0.4">
      <c r="A17" s="54" t="s">
        <v>10</v>
      </c>
      <c r="B17" s="46">
        <f>B19+B18</f>
        <v>265</v>
      </c>
      <c r="C17" s="37">
        <f>IF(B$3=0,0,B17/B$3)</f>
        <v>0.34326424870466321</v>
      </c>
      <c r="E17" s="63" t="s">
        <v>80</v>
      </c>
      <c r="F17" s="60" t="s">
        <v>35</v>
      </c>
      <c r="G17" s="47">
        <v>3</v>
      </c>
      <c r="H17" s="133">
        <f>IF(B$17=0,0,G17/B$17)</f>
        <v>1.1320754716981131E-2</v>
      </c>
      <c r="I17" s="94">
        <v>10</v>
      </c>
      <c r="K17" s="38">
        <v>15</v>
      </c>
      <c r="L17" s="99">
        <v>-80.3</v>
      </c>
      <c r="N17" s="115" t="s">
        <v>173</v>
      </c>
      <c r="O17" s="125">
        <f>IF(P17=0,0,Q17/P17)</f>
        <v>6.6333333333333302</v>
      </c>
      <c r="P17" s="119">
        <v>12</v>
      </c>
      <c r="Q17" s="107">
        <v>79.599999999999966</v>
      </c>
    </row>
    <row r="18" spans="1:17" x14ac:dyDescent="0.4">
      <c r="A18" s="55" t="s">
        <v>12</v>
      </c>
      <c r="B18" s="47">
        <v>105</v>
      </c>
      <c r="C18" s="39">
        <f>IF(B$17=0,0,B18/B$17)</f>
        <v>0.39622641509433965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177</v>
      </c>
      <c r="O18" s="125">
        <f>IF(P18=0,0,Q18/P18)</f>
        <v>3.52142857142857</v>
      </c>
      <c r="P18" s="119">
        <v>28</v>
      </c>
      <c r="Q18" s="107">
        <v>98.599999999999966</v>
      </c>
    </row>
    <row r="19" spans="1:17" x14ac:dyDescent="0.4">
      <c r="A19" s="55" t="s">
        <v>11</v>
      </c>
      <c r="B19" s="47">
        <v>160</v>
      </c>
      <c r="C19" s="39">
        <f>IF(B$17=0,0,B19/B$17)</f>
        <v>0.60377358490566035</v>
      </c>
      <c r="E19" s="63" t="s">
        <v>82</v>
      </c>
      <c r="F19" s="60" t="s">
        <v>37</v>
      </c>
      <c r="G19" s="47">
        <v>9</v>
      </c>
      <c r="H19" s="133">
        <f>IF(B$17=0,0,G19/B$17)</f>
        <v>3.3962264150943396E-2</v>
      </c>
      <c r="I19" s="94">
        <v>4</v>
      </c>
      <c r="K19" s="38">
        <v>17</v>
      </c>
      <c r="L19" s="99">
        <v>-55.099999999999994</v>
      </c>
      <c r="N19" s="115" t="s">
        <v>128</v>
      </c>
      <c r="O19" s="125">
        <f>IF(P19=0,0,Q19/P19)</f>
        <v>3.4914285714285711</v>
      </c>
      <c r="P19" s="119">
        <v>35</v>
      </c>
      <c r="Q19" s="107">
        <v>122.19999999999999</v>
      </c>
    </row>
    <row r="20" spans="1:17" x14ac:dyDescent="0.4">
      <c r="A20" s="55" t="s">
        <v>13</v>
      </c>
      <c r="B20" s="47">
        <v>109</v>
      </c>
      <c r="C20" s="39">
        <f>IF(B$3=0,0,B20/B$3)</f>
        <v>0.14119170984455959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171</v>
      </c>
      <c r="O20" s="125">
        <f>IF(P20=0,0,Q20/P20)</f>
        <v>-4.6450000000000005</v>
      </c>
      <c r="P20" s="119">
        <v>20</v>
      </c>
      <c r="Q20" s="107">
        <v>-92.9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19</v>
      </c>
      <c r="H21" s="133">
        <f>IF(B$17=0,0,G21/B$17)</f>
        <v>7.1698113207547168E-2</v>
      </c>
      <c r="I21" s="94">
        <v>2</v>
      </c>
      <c r="K21" s="38">
        <v>19</v>
      </c>
      <c r="L21" s="99">
        <v>29.200000000000003</v>
      </c>
      <c r="N21" s="115" t="s">
        <v>200</v>
      </c>
      <c r="O21" s="125">
        <f>IF(P21=0,0,Q21/P21)</f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8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43</v>
      </c>
      <c r="N22" s="115" t="s">
        <v>127</v>
      </c>
      <c r="O22" s="125">
        <f>IF(P22=0,0,Q22/P22)</f>
        <v>-25.497916666666658</v>
      </c>
      <c r="P22" s="119">
        <v>48</v>
      </c>
      <c r="Q22" s="107">
        <v>-1223.8999999999996</v>
      </c>
    </row>
    <row r="23" spans="1:17" x14ac:dyDescent="0.4">
      <c r="A23" s="55" t="s">
        <v>5</v>
      </c>
      <c r="B23" s="51">
        <f>IF(B$17=0,0,C23/B$17)</f>
        <v>6872.4528301886794</v>
      </c>
      <c r="C23" s="41">
        <v>1821200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  <c r="N23" s="115" t="s">
        <v>223</v>
      </c>
      <c r="O23" s="125">
        <f>IF(P23=0,0,Q23/P23)</f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-8425.6880733944963</v>
      </c>
      <c r="C24" s="45">
        <v>-918400</v>
      </c>
      <c r="E24" s="63" t="s">
        <v>87</v>
      </c>
      <c r="F24" s="60" t="s">
        <v>42</v>
      </c>
      <c r="G24" s="47">
        <v>10</v>
      </c>
      <c r="H24" s="133">
        <f>IF(B$17=0,0,G24/B$17)</f>
        <v>3.7735849056603772E-2</v>
      </c>
      <c r="I24" s="94">
        <v>10</v>
      </c>
      <c r="K24" s="38">
        <v>22</v>
      </c>
      <c r="L24" s="99">
        <v>54.7</v>
      </c>
    </row>
    <row r="25" spans="1:17" x14ac:dyDescent="0.4">
      <c r="A25" s="90" t="s">
        <v>142</v>
      </c>
      <c r="B25" s="146">
        <v>7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3.7735849056603774E-3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4">
        <v>97500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1.2953367875647669E-3</v>
      </c>
      <c r="E27" s="63" t="s">
        <v>90</v>
      </c>
      <c r="F27" s="60" t="s">
        <v>45</v>
      </c>
      <c r="G27" s="47">
        <v>20</v>
      </c>
      <c r="H27" s="133">
        <f>IF(B$17=0,0,G27/B$17)</f>
        <v>7.5471698113207544E-2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3.7735849056603774E-3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1.509433962264151E-2</v>
      </c>
      <c r="I29" s="94">
        <v>8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114</v>
      </c>
      <c r="H51" s="138">
        <f>IF(B$17=0,0,G51/B$17)</f>
        <v>0.43018867924528303</v>
      </c>
      <c r="I51" s="139">
        <v>4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</sheetData>
  <sortState ref="E2:I9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2A1E-1F92-401C-9DEA-995F1F9147C4}">
  <sheetPr codeName="Sheet17"/>
  <dimension ref="A1:Q5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52</v>
      </c>
      <c r="C2" s="153"/>
      <c r="E2" s="62" t="s">
        <v>65</v>
      </c>
      <c r="F2" s="59" t="s">
        <v>21</v>
      </c>
      <c r="G2" s="46">
        <v>55</v>
      </c>
      <c r="H2" s="132">
        <f>IF(B$17=0,0,G2/B$17)</f>
        <v>0.4263565891472868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-2951.9230769230771</v>
      </c>
      <c r="P2" s="118">
        <v>52</v>
      </c>
      <c r="Q2" s="102">
        <v>-153500</v>
      </c>
    </row>
    <row r="3" spans="1:17" x14ac:dyDescent="0.4">
      <c r="A3" s="55" t="s">
        <v>8</v>
      </c>
      <c r="B3" s="154">
        <v>450</v>
      </c>
      <c r="C3" s="155"/>
      <c r="E3" s="63" t="s">
        <v>66</v>
      </c>
      <c r="F3" s="60" t="s">
        <v>22</v>
      </c>
      <c r="G3" s="47">
        <v>10</v>
      </c>
      <c r="H3" s="133">
        <f>IF(B$17=0,0,G3/B$17)</f>
        <v>7.7519379844961239E-2</v>
      </c>
      <c r="I3" s="94">
        <v>9</v>
      </c>
      <c r="K3" s="38">
        <v>1</v>
      </c>
      <c r="L3" s="99">
        <v>-82.6</v>
      </c>
      <c r="N3" s="115" t="s">
        <v>133</v>
      </c>
      <c r="O3" s="122">
        <f t="shared" si="0"/>
        <v>1819.2307692307693</v>
      </c>
      <c r="P3" s="119">
        <v>52</v>
      </c>
      <c r="Q3" s="103">
        <v>94600</v>
      </c>
    </row>
    <row r="4" spans="1:17" x14ac:dyDescent="0.4">
      <c r="A4" s="55" t="s">
        <v>6</v>
      </c>
      <c r="B4" s="156">
        <v>-397.6</v>
      </c>
      <c r="C4" s="157"/>
      <c r="E4" s="63" t="s">
        <v>67</v>
      </c>
      <c r="F4" s="60" t="s">
        <v>23</v>
      </c>
      <c r="G4" s="47">
        <v>84</v>
      </c>
      <c r="H4" s="133">
        <f>IF(B$17=0,0,G4/B$17)</f>
        <v>0.65116279069767447</v>
      </c>
      <c r="I4" s="94">
        <v>10</v>
      </c>
      <c r="K4" s="38">
        <v>2</v>
      </c>
      <c r="L4" s="99">
        <v>-122.3</v>
      </c>
      <c r="N4" s="115" t="s">
        <v>134</v>
      </c>
      <c r="O4" s="122">
        <f t="shared" si="0"/>
        <v>-220.83333333333334</v>
      </c>
      <c r="P4" s="119">
        <v>48</v>
      </c>
      <c r="Q4" s="103">
        <v>-10600</v>
      </c>
    </row>
    <row r="5" spans="1:17" x14ac:dyDescent="0.4">
      <c r="A5" s="55" t="s">
        <v>7</v>
      </c>
      <c r="B5" s="158">
        <f>IF(B$2=0,0,B$4/B$2)</f>
        <v>-7.6461538461538465</v>
      </c>
      <c r="C5" s="159"/>
      <c r="E5" s="63" t="s">
        <v>68</v>
      </c>
      <c r="F5" s="60" t="s">
        <v>24</v>
      </c>
      <c r="G5" s="47">
        <v>29</v>
      </c>
      <c r="H5" s="133">
        <f>IF(B$17=0,0,G5/B$17)</f>
        <v>0.22480620155038761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-4015.5555555555557</v>
      </c>
      <c r="P5" s="119">
        <v>45</v>
      </c>
      <c r="Q5" s="103">
        <v>-180700</v>
      </c>
    </row>
    <row r="6" spans="1:17" x14ac:dyDescent="0.4">
      <c r="A6" s="55" t="s">
        <v>1</v>
      </c>
      <c r="B6" s="148">
        <f>IF(B$2=0,0,(B$7*1+B$8*2+B$9*3)/B$2)</f>
        <v>2.1153846153846154</v>
      </c>
      <c r="C6" s="149"/>
      <c r="E6" s="63" t="s">
        <v>69</v>
      </c>
      <c r="F6" s="60" t="s">
        <v>12</v>
      </c>
      <c r="G6" s="47">
        <v>49</v>
      </c>
      <c r="H6" s="133">
        <f>IF(B$17=0,0,G6/B$17)</f>
        <v>0.37984496124031009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-582.5</v>
      </c>
      <c r="P6" s="119">
        <v>40</v>
      </c>
      <c r="Q6" s="103">
        <v>-23300</v>
      </c>
    </row>
    <row r="7" spans="1:17" x14ac:dyDescent="0.4">
      <c r="A7" s="55" t="s">
        <v>2</v>
      </c>
      <c r="B7" s="47">
        <v>15</v>
      </c>
      <c r="C7" s="39">
        <f>IF(B$2=0,0,B7/B$2)</f>
        <v>0.28846153846153844</v>
      </c>
      <c r="E7" s="63" t="s">
        <v>70</v>
      </c>
      <c r="F7" s="60" t="s">
        <v>25</v>
      </c>
      <c r="G7" s="47">
        <v>16</v>
      </c>
      <c r="H7" s="133">
        <f>IF(B$17=0,0,G7/B$17)</f>
        <v>0.12403100775193798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-55.263157894736842</v>
      </c>
      <c r="P7" s="120">
        <v>38</v>
      </c>
      <c r="Q7" s="104">
        <v>-2100</v>
      </c>
    </row>
    <row r="8" spans="1:17" x14ac:dyDescent="0.4">
      <c r="A8" s="55" t="s">
        <v>3</v>
      </c>
      <c r="B8" s="47">
        <v>16</v>
      </c>
      <c r="C8" s="39">
        <f>IF(B$2=0,0,B8/B$2)</f>
        <v>0.30769230769230771</v>
      </c>
      <c r="E8" s="63" t="s">
        <v>71</v>
      </c>
      <c r="F8" s="60" t="s">
        <v>26</v>
      </c>
      <c r="G8" s="47">
        <v>15</v>
      </c>
      <c r="H8" s="133">
        <f>IF(B$17=0,0,G8/B$17)</f>
        <v>0.11627906976744186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0.40384615384615385</v>
      </c>
      <c r="E9" s="63" t="s">
        <v>72</v>
      </c>
      <c r="F9" s="60" t="s">
        <v>27</v>
      </c>
      <c r="G9" s="47">
        <v>6</v>
      </c>
      <c r="H9" s="133">
        <f>IF(B$17=0,0,G9/B$17)</f>
        <v>4.6511627906976744E-2</v>
      </c>
      <c r="I9" s="94">
        <v>11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0.15384615384615385</v>
      </c>
      <c r="E10" s="63" t="s">
        <v>73</v>
      </c>
      <c r="F10" s="60" t="s">
        <v>28</v>
      </c>
      <c r="G10" s="47">
        <v>65</v>
      </c>
      <c r="H10" s="133">
        <f>IF(B$17=0,0,G10/B$17)</f>
        <v>0.50387596899224807</v>
      </c>
      <c r="I10" s="94">
        <v>10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>IF(B$2=0,0,B11/B$2)</f>
        <v>7.6923076923076927E-2</v>
      </c>
      <c r="E11" s="63" t="s">
        <v>74</v>
      </c>
      <c r="F11" s="60" t="s">
        <v>29</v>
      </c>
      <c r="G11" s="47">
        <v>3</v>
      </c>
      <c r="H11" s="133">
        <f>IF(B$17=0,0,G11/B$17)</f>
        <v>2.3255813953488372E-2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-4.5499999999999989</v>
      </c>
      <c r="P11" s="119">
        <v>24</v>
      </c>
      <c r="Q11" s="107">
        <v>-109.19999999999997</v>
      </c>
    </row>
    <row r="12" spans="1:17" x14ac:dyDescent="0.4">
      <c r="A12" s="57" t="s">
        <v>160</v>
      </c>
      <c r="B12" s="49">
        <v>3</v>
      </c>
      <c r="C12" s="42">
        <f>IF(B$2=0,0,B12/B$2)</f>
        <v>5.7692307692307696E-2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102</v>
      </c>
      <c r="C13" s="44">
        <f>IF(B$3=0,0,B13/B$3)</f>
        <v>0.22666666666666666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108</v>
      </c>
      <c r="C14" s="39">
        <f>IF(B$3=0,0,B14/B$3)</f>
        <v>0.24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0.55882352941176472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-302.59999999999997</v>
      </c>
      <c r="N15" s="114" t="s">
        <v>271</v>
      </c>
      <c r="O15" s="124">
        <f t="shared" ref="O15:O24" si="2">IF(P15=0,0,Q15/P15)</f>
        <v>116.19999999999999</v>
      </c>
      <c r="P15" s="118">
        <v>1</v>
      </c>
      <c r="Q15" s="106">
        <v>116.19999999999999</v>
      </c>
    </row>
    <row r="16" spans="1:17" x14ac:dyDescent="0.4">
      <c r="A16" s="54" t="s">
        <v>125</v>
      </c>
      <c r="B16" s="46">
        <v>36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3</v>
      </c>
      <c r="H16" s="133">
        <f>IF(B$17=0,0,G16/B$17)</f>
        <v>2.3255813953488372E-2</v>
      </c>
      <c r="I16" s="94">
        <v>9</v>
      </c>
      <c r="K16" s="38">
        <v>14</v>
      </c>
      <c r="L16" s="99">
        <v>-269.99999999999994</v>
      </c>
      <c r="N16" s="115" t="s">
        <v>129</v>
      </c>
      <c r="O16" s="125">
        <f t="shared" si="2"/>
        <v>17.118181818181821</v>
      </c>
      <c r="P16" s="119">
        <v>11</v>
      </c>
      <c r="Q16" s="107">
        <v>188.3</v>
      </c>
    </row>
    <row r="17" spans="1:17" x14ac:dyDescent="0.4">
      <c r="A17" s="54" t="s">
        <v>10</v>
      </c>
      <c r="B17" s="46">
        <f>B19+B18</f>
        <v>129</v>
      </c>
      <c r="C17" s="37">
        <f>IF(B$3=0,0,B17/B$3)</f>
        <v>0.28666666666666668</v>
      </c>
      <c r="E17" s="63" t="s">
        <v>80</v>
      </c>
      <c r="F17" s="60" t="s">
        <v>35</v>
      </c>
      <c r="G17" s="47">
        <v>2</v>
      </c>
      <c r="H17" s="133">
        <f>IF(B$17=0,0,G17/B$17)</f>
        <v>1.5503875968992248E-2</v>
      </c>
      <c r="I17" s="94">
        <v>7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65</v>
      </c>
      <c r="C18" s="39">
        <f>IF(B$17=0,0,B18/B$17)</f>
        <v>0.50387596899224807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128</v>
      </c>
      <c r="O18" s="125">
        <f t="shared" si="2"/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64</v>
      </c>
      <c r="C19" s="39">
        <f>IF(B$17=0,0,B19/B$17)</f>
        <v>0.49612403100775193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  <c r="K19" s="38">
        <v>17</v>
      </c>
      <c r="L19" s="99">
        <v>-248.89999999999995</v>
      </c>
      <c r="N19" s="115" t="s">
        <v>171</v>
      </c>
      <c r="O19" s="125">
        <f t="shared" si="2"/>
        <v>-12.777777777777775</v>
      </c>
      <c r="P19" s="119">
        <v>18</v>
      </c>
      <c r="Q19" s="107">
        <v>-229.99999999999994</v>
      </c>
    </row>
    <row r="20" spans="1:17" x14ac:dyDescent="0.4">
      <c r="A20" s="55" t="s">
        <v>13</v>
      </c>
      <c r="B20" s="47">
        <v>82</v>
      </c>
      <c r="C20" s="39">
        <f>IF(B$3=0,0,B20/B$3)</f>
        <v>0.18222222222222223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-16.769565217391303</v>
      </c>
      <c r="P20" s="119">
        <v>23</v>
      </c>
      <c r="Q20" s="107">
        <v>-385.7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1.5503875968992248E-2</v>
      </c>
      <c r="I21" s="94">
        <v>11</v>
      </c>
      <c r="K21" s="38">
        <v>19</v>
      </c>
      <c r="L21" s="99">
        <v>-188.59999999999994</v>
      </c>
      <c r="N21" s="115" t="s">
        <v>177</v>
      </c>
      <c r="O21" s="125">
        <f t="shared" si="2"/>
        <v>-25.12222222222222</v>
      </c>
      <c r="P21" s="119">
        <v>9</v>
      </c>
      <c r="Q21" s="107">
        <v>-226.1</v>
      </c>
    </row>
    <row r="22" spans="1:17" x14ac:dyDescent="0.4">
      <c r="A22" s="55" t="s">
        <v>192</v>
      </c>
      <c r="B22" s="47">
        <v>24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7534.1085271317834</v>
      </c>
      <c r="C23" s="41">
        <v>971900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  <c r="N23" s="115" t="s">
        <v>200</v>
      </c>
      <c r="O23" s="125">
        <f t="shared" si="2"/>
        <v>-65.550000000000011</v>
      </c>
      <c r="P23" s="119">
        <v>2</v>
      </c>
      <c r="Q23" s="107">
        <v>-131.10000000000002</v>
      </c>
    </row>
    <row r="24" spans="1:17" x14ac:dyDescent="0.4">
      <c r="A24" s="57" t="s">
        <v>14</v>
      </c>
      <c r="B24" s="52">
        <f>IF(B$20=0,0,C24/B$20)</f>
        <v>-8271.9512195121952</v>
      </c>
      <c r="C24" s="45">
        <v>-678300</v>
      </c>
      <c r="E24" s="63" t="s">
        <v>87</v>
      </c>
      <c r="F24" s="60" t="s">
        <v>42</v>
      </c>
      <c r="G24" s="47">
        <v>6</v>
      </c>
      <c r="H24" s="133">
        <f>IF(B$17=0,0,G24/B$17)</f>
        <v>4.6511627906976744E-2</v>
      </c>
      <c r="I24" s="94">
        <v>9</v>
      </c>
      <c r="K24" s="38">
        <v>22</v>
      </c>
      <c r="L24" s="99">
        <v>-262.49999999999994</v>
      </c>
      <c r="N24" s="115" t="s">
        <v>184</v>
      </c>
      <c r="O24" s="125">
        <f t="shared" si="2"/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7.7519379844961239E-3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4">
        <v>113300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4.4444444444444444E-3</v>
      </c>
      <c r="E27" s="63" t="s">
        <v>90</v>
      </c>
      <c r="F27" s="60" t="s">
        <v>45</v>
      </c>
      <c r="G27" s="47">
        <v>16</v>
      </c>
      <c r="H27" s="133">
        <f>IF(B$17=0,0,G27/B$17)</f>
        <v>0.12403100775193798</v>
      </c>
      <c r="I27" s="94">
        <v>6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1.5503875968992248E-2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1</v>
      </c>
      <c r="H44" s="133">
        <f>IF(B$17=0,0,G44/B$17)</f>
        <v>7.7519379844961239E-3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1.5503875968992248E-2</v>
      </c>
      <c r="I50" s="94">
        <v>6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49</v>
      </c>
      <c r="H51" s="138">
        <f>IF(B$17=0,0,G51/B$17)</f>
        <v>0.37984496124031009</v>
      </c>
      <c r="I51" s="139">
        <v>10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</sheetData>
  <sortState ref="E2:I5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AF6A-DE81-4056-8EEF-5F5AD150A99F}">
  <sheetPr codeName="Sheet19"/>
  <dimension ref="A1:Q9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177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88</v>
      </c>
      <c r="C2" s="153"/>
      <c r="E2" s="62" t="s">
        <v>65</v>
      </c>
      <c r="F2" s="59" t="s">
        <v>21</v>
      </c>
      <c r="G2" s="46">
        <v>123</v>
      </c>
      <c r="H2" s="132">
        <f>IF(B$17=0,0,G2/B$17)</f>
        <v>0.62436548223350252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993.18181818181813</v>
      </c>
      <c r="P2" s="118">
        <v>88</v>
      </c>
      <c r="Q2" s="102">
        <v>87400</v>
      </c>
    </row>
    <row r="3" spans="1:17" x14ac:dyDescent="0.4">
      <c r="A3" s="55" t="s">
        <v>8</v>
      </c>
      <c r="B3" s="154">
        <v>721</v>
      </c>
      <c r="C3" s="155"/>
      <c r="E3" s="63" t="s">
        <v>67</v>
      </c>
      <c r="F3" s="60" t="s">
        <v>23</v>
      </c>
      <c r="G3" s="47">
        <v>111</v>
      </c>
      <c r="H3" s="133">
        <f>IF(B$17=0,0,G3/B$17)</f>
        <v>0.56345177664974622</v>
      </c>
      <c r="I3" s="94">
        <v>13</v>
      </c>
      <c r="K3" s="38">
        <v>1</v>
      </c>
      <c r="L3" s="99">
        <v>-1.9</v>
      </c>
      <c r="N3" s="115" t="s">
        <v>133</v>
      </c>
      <c r="O3" s="122">
        <f t="shared" si="0"/>
        <v>127.05882352941177</v>
      </c>
      <c r="P3" s="119">
        <v>85</v>
      </c>
      <c r="Q3" s="103">
        <v>10800</v>
      </c>
    </row>
    <row r="4" spans="1:17" x14ac:dyDescent="0.4">
      <c r="A4" s="55" t="s">
        <v>6</v>
      </c>
      <c r="B4" s="156">
        <v>-51.800000000000068</v>
      </c>
      <c r="C4" s="157"/>
      <c r="E4" s="63" t="s">
        <v>245</v>
      </c>
      <c r="F4" s="60" t="s">
        <v>246</v>
      </c>
      <c r="G4" s="47">
        <v>86</v>
      </c>
      <c r="H4" s="133">
        <f>IF(B$17=0,0,G4/B$17)</f>
        <v>0.43654822335025378</v>
      </c>
      <c r="I4" s="94">
        <v>3</v>
      </c>
      <c r="K4" s="38">
        <v>2</v>
      </c>
      <c r="L4" s="99">
        <v>30</v>
      </c>
      <c r="N4" s="115" t="s">
        <v>134</v>
      </c>
      <c r="O4" s="122">
        <f t="shared" si="0"/>
        <v>-477.9220779220779</v>
      </c>
      <c r="P4" s="119">
        <v>77</v>
      </c>
      <c r="Q4" s="103">
        <v>-36800</v>
      </c>
    </row>
    <row r="5" spans="1:17" x14ac:dyDescent="0.4">
      <c r="A5" s="55" t="s">
        <v>7</v>
      </c>
      <c r="B5" s="158">
        <f>IF(B$2=0,0,B$4/B$2)</f>
        <v>-0.5886363636363644</v>
      </c>
      <c r="C5" s="159"/>
      <c r="E5" s="63" t="s">
        <v>73</v>
      </c>
      <c r="F5" s="60" t="s">
        <v>28</v>
      </c>
      <c r="G5" s="47">
        <v>85</v>
      </c>
      <c r="H5" s="133">
        <f>IF(B$17=0,0,G5/B$17)</f>
        <v>0.43147208121827413</v>
      </c>
      <c r="I5" s="94">
        <v>12</v>
      </c>
      <c r="K5" s="38">
        <v>3</v>
      </c>
      <c r="L5" s="99">
        <v>-10</v>
      </c>
      <c r="N5" s="115" t="s">
        <v>135</v>
      </c>
      <c r="O5" s="122">
        <f t="shared" si="0"/>
        <v>1517.8082191780823</v>
      </c>
      <c r="P5" s="119">
        <v>73</v>
      </c>
      <c r="Q5" s="103">
        <v>110800</v>
      </c>
    </row>
    <row r="6" spans="1:17" x14ac:dyDescent="0.4">
      <c r="A6" s="55" t="s">
        <v>1</v>
      </c>
      <c r="B6" s="148">
        <f>IF(B$2=0,0,(B$7*1+B$8*2+B$9*3)/B$2)</f>
        <v>2.0113636363636362</v>
      </c>
      <c r="C6" s="149"/>
      <c r="E6" s="63" t="s">
        <v>68</v>
      </c>
      <c r="F6" s="60" t="s">
        <v>24</v>
      </c>
      <c r="G6" s="47">
        <v>84</v>
      </c>
      <c r="H6" s="133">
        <f>IF(B$17=0,0,G6/B$17)</f>
        <v>0.42639593908629442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0"/>
        <v>-1734.8484848484848</v>
      </c>
      <c r="P6" s="119">
        <v>66</v>
      </c>
      <c r="Q6" s="103">
        <v>-114500</v>
      </c>
    </row>
    <row r="7" spans="1:17" x14ac:dyDescent="0.4">
      <c r="A7" s="55" t="s">
        <v>2</v>
      </c>
      <c r="B7" s="47">
        <v>29</v>
      </c>
      <c r="C7" s="39">
        <f>IF(B$2=0,0,B7/B$2)</f>
        <v>0.32954545454545453</v>
      </c>
      <c r="E7" s="63" t="s">
        <v>69</v>
      </c>
      <c r="F7" s="60" t="s">
        <v>12</v>
      </c>
      <c r="G7" s="47">
        <v>61</v>
      </c>
      <c r="H7" s="133">
        <f>IF(B$17=0,0,G7/B$17)</f>
        <v>0.30964467005076141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211.11111111111111</v>
      </c>
      <c r="P7" s="120">
        <v>54</v>
      </c>
      <c r="Q7" s="104">
        <v>11400</v>
      </c>
    </row>
    <row r="8" spans="1:17" x14ac:dyDescent="0.4">
      <c r="A8" s="55" t="s">
        <v>3</v>
      </c>
      <c r="B8" s="47">
        <v>29</v>
      </c>
      <c r="C8" s="39">
        <f>IF(B$2=0,0,B8/B$2)</f>
        <v>0.32954545454545453</v>
      </c>
      <c r="E8" s="63" t="s">
        <v>70</v>
      </c>
      <c r="F8" s="60" t="s">
        <v>25</v>
      </c>
      <c r="G8" s="47">
        <v>32</v>
      </c>
      <c r="H8" s="133">
        <f>IF(B$17=0,0,G8/B$17)</f>
        <v>0.16243654822335024</v>
      </c>
      <c r="I8" s="94">
        <v>7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30</v>
      </c>
      <c r="C9" s="40">
        <f t="shared" ref="C9" si="1">IF(B$2=0,0,B9/B$2)</f>
        <v>0.34090909090909088</v>
      </c>
      <c r="E9" s="63" t="s">
        <v>90</v>
      </c>
      <c r="F9" s="60" t="s">
        <v>45</v>
      </c>
      <c r="G9" s="47">
        <v>23</v>
      </c>
      <c r="H9" s="133">
        <f>IF(B$17=0,0,G9/B$17)</f>
        <v>0.116751269035533</v>
      </c>
      <c r="I9" s="94">
        <v>8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0.14772727272727273</v>
      </c>
      <c r="E10" s="63" t="s">
        <v>66</v>
      </c>
      <c r="F10" s="60" t="s">
        <v>22</v>
      </c>
      <c r="G10" s="47">
        <v>21</v>
      </c>
      <c r="H10" s="133">
        <f>IF(B$17=0,0,G10/B$17)</f>
        <v>0.1065989847715736</v>
      </c>
      <c r="I10" s="94">
        <v>5</v>
      </c>
      <c r="K10" s="38">
        <v>8</v>
      </c>
      <c r="L10" s="99">
        <v>-87.1</v>
      </c>
      <c r="N10" s="114" t="s">
        <v>164</v>
      </c>
      <c r="O10" s="124">
        <f>IF(P10=0,0,Q10/P10)</f>
        <v>-7.7866666666666671</v>
      </c>
      <c r="P10" s="118">
        <v>30</v>
      </c>
      <c r="Q10" s="106">
        <v>-233.60000000000002</v>
      </c>
    </row>
    <row r="11" spans="1:17" x14ac:dyDescent="0.4">
      <c r="A11" s="56" t="s">
        <v>140</v>
      </c>
      <c r="B11" s="48">
        <v>11</v>
      </c>
      <c r="C11" s="40">
        <f>IF(B$2=0,0,B11/B$2)</f>
        <v>0.125</v>
      </c>
      <c r="E11" s="63" t="s">
        <v>71</v>
      </c>
      <c r="F11" s="60" t="s">
        <v>26</v>
      </c>
      <c r="G11" s="47">
        <v>14</v>
      </c>
      <c r="H11" s="133">
        <f>IF(B$17=0,0,G11/B$17)</f>
        <v>7.1065989847715741E-2</v>
      </c>
      <c r="I11" s="94">
        <v>9</v>
      </c>
      <c r="K11" s="38">
        <v>9</v>
      </c>
      <c r="L11" s="99">
        <v>-128.6</v>
      </c>
      <c r="N11" s="115" t="s">
        <v>165</v>
      </c>
      <c r="O11" s="125">
        <f>IF(P11=0,0,Q11/P11)</f>
        <v>5.0225806451612902</v>
      </c>
      <c r="P11" s="119">
        <v>31</v>
      </c>
      <c r="Q11" s="107">
        <v>155.69999999999999</v>
      </c>
    </row>
    <row r="12" spans="1:17" x14ac:dyDescent="0.4">
      <c r="A12" s="57" t="s">
        <v>160</v>
      </c>
      <c r="B12" s="49">
        <v>5</v>
      </c>
      <c r="C12" s="42">
        <f>IF(B$2=0,0,B12/B$2)</f>
        <v>5.6818181818181816E-2</v>
      </c>
      <c r="E12" s="63" t="s">
        <v>72</v>
      </c>
      <c r="F12" s="60" t="s">
        <v>27</v>
      </c>
      <c r="G12" s="47">
        <v>12</v>
      </c>
      <c r="H12" s="133">
        <f>IF(B$17=0,0,G12/B$17)</f>
        <v>6.0913705583756347E-2</v>
      </c>
      <c r="I12" s="94">
        <v>8</v>
      </c>
      <c r="K12" s="38">
        <v>10</v>
      </c>
      <c r="L12" s="99">
        <v>-183.7</v>
      </c>
      <c r="N12" s="116" t="s">
        <v>166</v>
      </c>
      <c r="O12" s="126">
        <f>IF(P12=0,0,Q12/P12)</f>
        <v>0.96666666666666623</v>
      </c>
      <c r="P12" s="120">
        <v>27</v>
      </c>
      <c r="Q12" s="108">
        <v>26.099999999999987</v>
      </c>
    </row>
    <row r="13" spans="1:17" x14ac:dyDescent="0.4">
      <c r="A13" s="58" t="s">
        <v>122</v>
      </c>
      <c r="B13" s="50">
        <v>204</v>
      </c>
      <c r="C13" s="44">
        <f>IF(B$3=0,0,B13/B$3)</f>
        <v>0.28294036061026351</v>
      </c>
      <c r="E13" s="63" t="s">
        <v>87</v>
      </c>
      <c r="F13" s="60" t="s">
        <v>42</v>
      </c>
      <c r="G13" s="47">
        <v>10</v>
      </c>
      <c r="H13" s="133">
        <f>IF(B$17=0,0,G13/B$17)</f>
        <v>5.0761421319796954E-2</v>
      </c>
      <c r="I13" s="94">
        <v>7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129</v>
      </c>
      <c r="C14" s="39">
        <f>IF(B$3=0,0,B14/B$3)</f>
        <v>0.17891816920943135</v>
      </c>
      <c r="E14" s="63" t="s">
        <v>84</v>
      </c>
      <c r="F14" s="60" t="s">
        <v>39</v>
      </c>
      <c r="G14" s="47">
        <v>9</v>
      </c>
      <c r="H14" s="133">
        <f>IF(B$17=0,0,G14/B$17)</f>
        <v>4.5685279187817257E-2</v>
      </c>
      <c r="I14" s="94">
        <v>8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123</v>
      </c>
      <c r="C15" s="37">
        <f>IF(B$13=0,0,B15/B$13)</f>
        <v>0.6029411764705882</v>
      </c>
      <c r="E15" s="63" t="s">
        <v>79</v>
      </c>
      <c r="F15" s="60" t="s">
        <v>34</v>
      </c>
      <c r="G15" s="47">
        <v>6</v>
      </c>
      <c r="H15" s="133">
        <f>IF(B$17=0,0,G15/B$17)</f>
        <v>3.0456852791878174E-2</v>
      </c>
      <c r="I15" s="94">
        <v>6</v>
      </c>
      <c r="K15" s="38">
        <v>13</v>
      </c>
      <c r="L15" s="99">
        <v>-209.59999999999997</v>
      </c>
      <c r="N15" s="114" t="s">
        <v>271</v>
      </c>
      <c r="O15" s="124">
        <f>IF(P15=0,0,Q15/P15)</f>
        <v>45.8</v>
      </c>
      <c r="P15" s="118">
        <v>2</v>
      </c>
      <c r="Q15" s="106">
        <v>91.6</v>
      </c>
    </row>
    <row r="16" spans="1:17" x14ac:dyDescent="0.4">
      <c r="A16" s="54" t="s">
        <v>125</v>
      </c>
      <c r="B16" s="46">
        <v>43</v>
      </c>
      <c r="C16" s="37">
        <f>IF(B$14=0,0,B16/B$14)</f>
        <v>0.33333333333333331</v>
      </c>
      <c r="E16" s="63" t="s">
        <v>82</v>
      </c>
      <c r="F16" s="60" t="s">
        <v>37</v>
      </c>
      <c r="G16" s="47">
        <v>6</v>
      </c>
      <c r="H16" s="133">
        <f>IF(B$17=0,0,G16/B$17)</f>
        <v>3.0456852791878174E-2</v>
      </c>
      <c r="I16" s="94">
        <v>6</v>
      </c>
      <c r="K16" s="38">
        <v>14</v>
      </c>
      <c r="L16" s="99">
        <v>-178.49999999999997</v>
      </c>
      <c r="N16" s="115" t="s">
        <v>171</v>
      </c>
      <c r="O16" s="125">
        <f>IF(P16=0,0,Q16/P16)</f>
        <v>44.647368421052633</v>
      </c>
      <c r="P16" s="119">
        <v>19</v>
      </c>
      <c r="Q16" s="107">
        <v>848.30000000000007</v>
      </c>
    </row>
    <row r="17" spans="1:17" x14ac:dyDescent="0.4">
      <c r="A17" s="54" t="s">
        <v>10</v>
      </c>
      <c r="B17" s="46">
        <f>B19+B18</f>
        <v>197</v>
      </c>
      <c r="C17" s="37">
        <f>IF(B$3=0,0,B17/B$3)</f>
        <v>0.27323162274618584</v>
      </c>
      <c r="E17" s="63" t="s">
        <v>92</v>
      </c>
      <c r="F17" s="60" t="s">
        <v>47</v>
      </c>
      <c r="G17" s="47">
        <v>6</v>
      </c>
      <c r="H17" s="133">
        <f>IF(B$17=0,0,G17/B$17)</f>
        <v>3.0456852791878174E-2</v>
      </c>
      <c r="I17" s="94">
        <v>2</v>
      </c>
      <c r="K17" s="38">
        <v>15</v>
      </c>
      <c r="L17" s="99">
        <v>-146.19999999999999</v>
      </c>
      <c r="N17" s="115" t="s">
        <v>173</v>
      </c>
      <c r="O17" s="125">
        <f>IF(P17=0,0,Q17/P17)</f>
        <v>25.122222222222224</v>
      </c>
      <c r="P17" s="119">
        <v>9</v>
      </c>
      <c r="Q17" s="107">
        <v>226.10000000000002</v>
      </c>
    </row>
    <row r="18" spans="1:17" x14ac:dyDescent="0.4">
      <c r="A18" s="55" t="s">
        <v>12</v>
      </c>
      <c r="B18" s="47">
        <v>83</v>
      </c>
      <c r="C18" s="39">
        <f>IF(B$17=0,0,B18/B$17)</f>
        <v>0.42131979695431471</v>
      </c>
      <c r="E18" s="63" t="s">
        <v>80</v>
      </c>
      <c r="F18" s="60" t="s">
        <v>35</v>
      </c>
      <c r="G18" s="47">
        <v>3</v>
      </c>
      <c r="H18" s="133">
        <f>IF(B$17=0,0,G18/B$17)</f>
        <v>1.5228426395939087E-2</v>
      </c>
      <c r="I18" s="94">
        <v>8</v>
      </c>
      <c r="K18" s="38">
        <v>16</v>
      </c>
      <c r="L18" s="99">
        <v>-153.29999999999998</v>
      </c>
      <c r="N18" s="115" t="s">
        <v>184</v>
      </c>
      <c r="O18" s="125">
        <f>IF(P18=0,0,Q18/P18)</f>
        <v>4.8666666666666698</v>
      </c>
      <c r="P18" s="119">
        <v>6</v>
      </c>
      <c r="Q18" s="107">
        <v>29.200000000000017</v>
      </c>
    </row>
    <row r="19" spans="1:17" x14ac:dyDescent="0.4">
      <c r="A19" s="55" t="s">
        <v>11</v>
      </c>
      <c r="B19" s="47">
        <v>114</v>
      </c>
      <c r="C19" s="39">
        <f>IF(B$17=0,0,B19/B$17)</f>
        <v>0.57868020304568524</v>
      </c>
      <c r="E19" s="63" t="s">
        <v>86</v>
      </c>
      <c r="F19" s="60" t="s">
        <v>41</v>
      </c>
      <c r="G19" s="47">
        <v>3</v>
      </c>
      <c r="H19" s="133">
        <f>IF(B$17=0,0,G19/B$17)</f>
        <v>1.5228426395939087E-2</v>
      </c>
      <c r="I19" s="94">
        <v>1</v>
      </c>
      <c r="K19" s="38">
        <v>17</v>
      </c>
      <c r="L19" s="99">
        <v>-161.19999999999999</v>
      </c>
      <c r="N19" s="115" t="s">
        <v>128</v>
      </c>
      <c r="O19" s="125">
        <f>IF(P19=0,0,Q19/P19)</f>
        <v>1.8258064516129038</v>
      </c>
      <c r="P19" s="119">
        <v>31</v>
      </c>
      <c r="Q19" s="107">
        <v>56.600000000000016</v>
      </c>
    </row>
    <row r="20" spans="1:17" x14ac:dyDescent="0.4">
      <c r="A20" s="55" t="s">
        <v>13</v>
      </c>
      <c r="B20" s="47">
        <v>109</v>
      </c>
      <c r="C20" s="39">
        <f>IF(B$3=0,0,B20/B$3)</f>
        <v>0.15117891816920942</v>
      </c>
      <c r="E20" s="63" t="s">
        <v>76</v>
      </c>
      <c r="F20" s="60" t="s">
        <v>31</v>
      </c>
      <c r="G20" s="47">
        <v>2</v>
      </c>
      <c r="H20" s="133">
        <f>IF(B$17=0,0,G20/B$17)</f>
        <v>1.015228426395939E-2</v>
      </c>
      <c r="I20" s="94">
        <v>4</v>
      </c>
      <c r="K20" s="38">
        <v>18</v>
      </c>
      <c r="L20" s="99">
        <v>-159</v>
      </c>
      <c r="N20" s="115" t="s">
        <v>200</v>
      </c>
      <c r="O20" s="125">
        <f>IF(P20=0,0,Q20/P20)</f>
        <v>-0.89999999999999858</v>
      </c>
      <c r="P20" s="119">
        <v>9</v>
      </c>
      <c r="Q20" s="107">
        <v>-8.0999999999999872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1.015228426395939E-2</v>
      </c>
      <c r="I21" s="94">
        <v>4</v>
      </c>
      <c r="K21" s="38">
        <v>19</v>
      </c>
      <c r="L21" s="99">
        <v>-235.6</v>
      </c>
      <c r="N21" s="115" t="s">
        <v>172</v>
      </c>
      <c r="O21" s="125">
        <f>IF(P21=0,0,Q21/P21)</f>
        <v>-3.5214285714285727</v>
      </c>
      <c r="P21" s="119">
        <v>28</v>
      </c>
      <c r="Q21" s="107">
        <v>-98.600000000000037</v>
      </c>
    </row>
    <row r="22" spans="1:17" x14ac:dyDescent="0.4">
      <c r="A22" s="55" t="s">
        <v>192</v>
      </c>
      <c r="B22" s="47">
        <v>45</v>
      </c>
      <c r="C22" s="135">
        <v>0</v>
      </c>
      <c r="E22" s="63" t="s">
        <v>91</v>
      </c>
      <c r="F22" s="60" t="s">
        <v>46</v>
      </c>
      <c r="G22" s="47">
        <v>2</v>
      </c>
      <c r="H22" s="133">
        <f>IF(B$17=0,0,G22/B$17)</f>
        <v>1.015228426395939E-2</v>
      </c>
      <c r="I22" s="94">
        <v>1</v>
      </c>
      <c r="K22" s="38">
        <v>20</v>
      </c>
      <c r="L22" s="99">
        <v>-200.8</v>
      </c>
      <c r="N22" s="115" t="s">
        <v>129</v>
      </c>
      <c r="O22" s="125">
        <f>IF(P22=0,0,Q22/P22)</f>
        <v>-8.8093749999999993</v>
      </c>
      <c r="P22" s="119">
        <v>32</v>
      </c>
      <c r="Q22" s="107">
        <v>-281.89999999999998</v>
      </c>
    </row>
    <row r="23" spans="1:17" x14ac:dyDescent="0.4">
      <c r="A23" s="55" t="s">
        <v>5</v>
      </c>
      <c r="B23" s="51">
        <f>IF(B$17=0,0,C23/B$17)</f>
        <v>8845.6852791878173</v>
      </c>
      <c r="C23" s="41">
        <v>1742600</v>
      </c>
      <c r="E23" s="63" t="s">
        <v>75</v>
      </c>
      <c r="F23" s="60" t="s">
        <v>30</v>
      </c>
      <c r="G23" s="47">
        <v>1</v>
      </c>
      <c r="H23" s="133">
        <f>IF(B$17=0,0,G23/B$17)</f>
        <v>5.076142131979695E-3</v>
      </c>
      <c r="I23" s="94">
        <v>5</v>
      </c>
      <c r="K23" s="38">
        <v>21</v>
      </c>
      <c r="L23" s="99">
        <v>-188.60000000000002</v>
      </c>
      <c r="N23" s="115" t="s">
        <v>127</v>
      </c>
      <c r="O23" s="125">
        <f>IF(P23=0,0,Q23/P23)</f>
        <v>-23.824324324324326</v>
      </c>
      <c r="P23" s="119">
        <v>37</v>
      </c>
      <c r="Q23" s="107">
        <v>-881.50000000000011</v>
      </c>
    </row>
    <row r="24" spans="1:17" x14ac:dyDescent="0.4">
      <c r="A24" s="57" t="s">
        <v>14</v>
      </c>
      <c r="B24" s="52">
        <f>IF(B$20=0,0,C24/B$20)</f>
        <v>-7214.6788990825689</v>
      </c>
      <c r="C24" s="45">
        <v>-786400</v>
      </c>
      <c r="E24" s="63" t="s">
        <v>93</v>
      </c>
      <c r="F24" s="60" t="s">
        <v>48</v>
      </c>
      <c r="G24" s="47">
        <v>1</v>
      </c>
      <c r="H24" s="133">
        <f>IF(B$17=0,0,G24/B$17)</f>
        <v>5.076142131979695E-3</v>
      </c>
      <c r="I24" s="94">
        <v>3</v>
      </c>
      <c r="K24" s="38">
        <v>22</v>
      </c>
      <c r="L24" s="99">
        <v>-142.60000000000002</v>
      </c>
      <c r="N24" s="115" t="s">
        <v>183</v>
      </c>
      <c r="O24" s="125">
        <f>IF(P24=0,0,Q24/P24)</f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6">
        <v>8</v>
      </c>
      <c r="C25" s="147"/>
      <c r="E25" s="63" t="s">
        <v>94</v>
      </c>
      <c r="F25" s="60" t="s">
        <v>49</v>
      </c>
      <c r="G25" s="47">
        <v>1</v>
      </c>
      <c r="H25" s="133">
        <f>IF(B$17=0,0,G25/B$17)</f>
        <v>5.076142131979695E-3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4">
        <v>103000</v>
      </c>
      <c r="C26" s="145"/>
      <c r="E26" s="63" t="s">
        <v>102</v>
      </c>
      <c r="F26" s="60" t="s">
        <v>57</v>
      </c>
      <c r="G26" s="47">
        <v>1</v>
      </c>
      <c r="H26" s="133">
        <f>IF(B$17=0,0,G26/B$17)</f>
        <v>5.076142131979695E-3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4.160887656033287E-3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998AD-4E79-40DD-B9C9-C1AC0E351ADF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3</v>
      </c>
      <c r="C2" s="153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4">
        <v>19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6">
        <v>61</v>
      </c>
      <c r="C4" s="157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8">
        <f>IF(B$2=0,0,B$4/B$2)</f>
        <v>20.333333333333332</v>
      </c>
      <c r="C5" s="159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8">
        <f>IF(B$2=0,0,(B$7*1+B$8*2+B$9*3)/B$2)</f>
        <v>1.3333333333333333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14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53500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8FD59-71DB-4E3E-8B40-3BCEF451BA0F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184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23</v>
      </c>
      <c r="C2" s="153"/>
      <c r="E2" s="62" t="s">
        <v>65</v>
      </c>
      <c r="F2" s="59" t="s">
        <v>21</v>
      </c>
      <c r="G2" s="46">
        <v>27</v>
      </c>
      <c r="H2" s="132">
        <f>IF(B$17=0,0,G2/B$17)</f>
        <v>0.54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-339.13043478260869</v>
      </c>
      <c r="P2" s="118">
        <v>23</v>
      </c>
      <c r="Q2" s="102">
        <v>-7800</v>
      </c>
    </row>
    <row r="3" spans="1:17" x14ac:dyDescent="0.4">
      <c r="A3" s="55" t="s">
        <v>8</v>
      </c>
      <c r="B3" s="154">
        <v>174</v>
      </c>
      <c r="C3" s="155"/>
      <c r="E3" s="63" t="s">
        <v>66</v>
      </c>
      <c r="F3" s="60" t="s">
        <v>22</v>
      </c>
      <c r="G3" s="47">
        <v>4</v>
      </c>
      <c r="H3" s="133">
        <f>IF(B$17=0,0,G3/B$17)</f>
        <v>0.08</v>
      </c>
      <c r="I3" s="94">
        <v>8</v>
      </c>
      <c r="K3" s="38">
        <v>1</v>
      </c>
      <c r="L3" s="99">
        <v>-43.7</v>
      </c>
      <c r="N3" s="115" t="s">
        <v>133</v>
      </c>
      <c r="O3" s="122">
        <f t="shared" si="0"/>
        <v>-4734.782608695652</v>
      </c>
      <c r="P3" s="119">
        <v>23</v>
      </c>
      <c r="Q3" s="103">
        <v>-108900</v>
      </c>
    </row>
    <row r="4" spans="1:17" x14ac:dyDescent="0.4">
      <c r="A4" s="55" t="s">
        <v>6</v>
      </c>
      <c r="B4" s="156">
        <v>-253.49999999999997</v>
      </c>
      <c r="C4" s="157"/>
      <c r="E4" s="63" t="s">
        <v>67</v>
      </c>
      <c r="F4" s="60" t="s">
        <v>23</v>
      </c>
      <c r="G4" s="47">
        <v>43</v>
      </c>
      <c r="H4" s="133">
        <f>IF(B$17=0,0,G4/B$17)</f>
        <v>0.86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-73.684210526315795</v>
      </c>
      <c r="P4" s="119">
        <v>19</v>
      </c>
      <c r="Q4" s="103">
        <v>-1400</v>
      </c>
    </row>
    <row r="5" spans="1:17" x14ac:dyDescent="0.4">
      <c r="A5" s="55" t="s">
        <v>7</v>
      </c>
      <c r="B5" s="158">
        <f>IF(B$2=0,0,B$4/B$2)</f>
        <v>-11.021739130434781</v>
      </c>
      <c r="C5" s="159"/>
      <c r="E5" s="63" t="s">
        <v>68</v>
      </c>
      <c r="F5" s="60" t="s">
        <v>24</v>
      </c>
      <c r="G5" s="47">
        <v>12</v>
      </c>
      <c r="H5" s="133">
        <f>IF(B$17=0,0,G5/B$17)</f>
        <v>0.24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-3078.9473684210525</v>
      </c>
      <c r="P5" s="119">
        <v>19</v>
      </c>
      <c r="Q5" s="103">
        <v>-58500</v>
      </c>
    </row>
    <row r="6" spans="1:17" x14ac:dyDescent="0.4">
      <c r="A6" s="55" t="s">
        <v>1</v>
      </c>
      <c r="B6" s="148">
        <f>IF(B$2=0,0,(B$7*1+B$8*2+B$9*3)/B$2)</f>
        <v>2.1739130434782608</v>
      </c>
      <c r="C6" s="149"/>
      <c r="E6" s="63" t="s">
        <v>69</v>
      </c>
      <c r="F6" s="60" t="s">
        <v>12</v>
      </c>
      <c r="G6" s="47">
        <v>15</v>
      </c>
      <c r="H6" s="133">
        <f>IF(B$17=0,0,G6/B$17)</f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-800</v>
      </c>
      <c r="P6" s="119">
        <v>17</v>
      </c>
      <c r="Q6" s="103">
        <v>-13600</v>
      </c>
    </row>
    <row r="7" spans="1:17" x14ac:dyDescent="0.4">
      <c r="A7" s="55" t="s">
        <v>2</v>
      </c>
      <c r="B7" s="47">
        <v>8</v>
      </c>
      <c r="C7" s="39">
        <f>IF(B$2=0,0,B7/B$2)</f>
        <v>0.34782608695652173</v>
      </c>
      <c r="E7" s="63" t="s">
        <v>70</v>
      </c>
      <c r="F7" s="60" t="s">
        <v>25</v>
      </c>
      <c r="G7" s="47">
        <v>8</v>
      </c>
      <c r="H7" s="133">
        <f>IF(B$17=0,0,G7/B$17)</f>
        <v>0.16</v>
      </c>
      <c r="I7" s="94">
        <v>9</v>
      </c>
      <c r="K7" s="38">
        <v>5</v>
      </c>
      <c r="L7" s="99">
        <v>-121</v>
      </c>
      <c r="N7" s="116" t="s">
        <v>137</v>
      </c>
      <c r="O7" s="123">
        <f t="shared" si="0"/>
        <v>-3307.1428571428573</v>
      </c>
      <c r="P7" s="120">
        <v>14</v>
      </c>
      <c r="Q7" s="104">
        <v>-46300</v>
      </c>
    </row>
    <row r="8" spans="1:17" x14ac:dyDescent="0.4">
      <c r="A8" s="55" t="s">
        <v>3</v>
      </c>
      <c r="B8" s="47">
        <v>3</v>
      </c>
      <c r="C8" s="39">
        <f>IF(B$2=0,0,B8/B$2)</f>
        <v>0.13043478260869565</v>
      </c>
      <c r="E8" s="63" t="s">
        <v>71</v>
      </c>
      <c r="F8" s="60" t="s">
        <v>26</v>
      </c>
      <c r="G8" s="47">
        <v>8</v>
      </c>
      <c r="H8" s="133">
        <f>IF(B$17=0,0,G8/B$17)</f>
        <v>0.16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0.52173913043478259</v>
      </c>
      <c r="E9" s="63" t="s">
        <v>72</v>
      </c>
      <c r="F9" s="60" t="s">
        <v>27</v>
      </c>
      <c r="G9" s="47">
        <v>3</v>
      </c>
      <c r="H9" s="133">
        <f>IF(B$17=0,0,G9/B$17)</f>
        <v>0.06</v>
      </c>
      <c r="I9" s="94">
        <v>9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0.30434782608695654</v>
      </c>
      <c r="E10" s="63" t="s">
        <v>73</v>
      </c>
      <c r="F10" s="60" t="s">
        <v>28</v>
      </c>
      <c r="G10" s="47">
        <v>30</v>
      </c>
      <c r="H10" s="133">
        <f>IF(B$17=0,0,G10/B$17)</f>
        <v>0.6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>IF(B$2=0,0,B11/B$2)</f>
        <v>8.6956521739130432E-2</v>
      </c>
      <c r="E11" s="63" t="s">
        <v>74</v>
      </c>
      <c r="F11" s="60" t="s">
        <v>29</v>
      </c>
      <c r="G11" s="47">
        <v>1</v>
      </c>
      <c r="H11" s="133">
        <f>IF(B$17=0,0,G11/B$17)</f>
        <v>0.02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0.13043478260869565</v>
      </c>
      <c r="E12" s="63" t="s">
        <v>75</v>
      </c>
      <c r="F12" s="60" t="s">
        <v>30</v>
      </c>
      <c r="G12" s="47">
        <v>1</v>
      </c>
      <c r="H12" s="133">
        <f>IF(B$17=0,0,G12/B$17)</f>
        <v>0.02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-14.012499999999999</v>
      </c>
      <c r="P12" s="120">
        <v>8</v>
      </c>
      <c r="Q12" s="108">
        <v>-112.1</v>
      </c>
    </row>
    <row r="13" spans="1:17" x14ac:dyDescent="0.4">
      <c r="A13" s="58" t="s">
        <v>122</v>
      </c>
      <c r="B13" s="50">
        <v>41</v>
      </c>
      <c r="C13" s="44">
        <f>IF(B$3=0,0,B13/B$3)</f>
        <v>0.23563218390804597</v>
      </c>
      <c r="E13" s="63" t="s">
        <v>76</v>
      </c>
      <c r="F13" s="60" t="s">
        <v>31</v>
      </c>
      <c r="G13" s="47">
        <v>1</v>
      </c>
      <c r="H13" s="133">
        <f>IF(B$17=0,0,G13/B$17)</f>
        <v>0.02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44</v>
      </c>
      <c r="C14" s="39">
        <f>IF(B$3=0,0,B14/B$3)</f>
        <v>0.25287356321839083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0.68292682926829273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0.38636363636363635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K16" s="38">
        <v>14</v>
      </c>
      <c r="L16" s="99">
        <v>-138.69999999999999</v>
      </c>
      <c r="N16" s="115" t="s">
        <v>129</v>
      </c>
      <c r="O16" s="125">
        <f t="shared" si="2"/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0.28735632183908044</v>
      </c>
      <c r="E17" s="63" t="s">
        <v>80</v>
      </c>
      <c r="F17" s="60" t="s">
        <v>35</v>
      </c>
      <c r="G17" s="47">
        <v>3</v>
      </c>
      <c r="H17" s="133">
        <f>IF(B$17=0,0,G17/B$17)</f>
        <v>0.06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82</v>
      </c>
      <c r="F19" s="60" t="s">
        <v>37</v>
      </c>
      <c r="G19" s="47">
        <v>1</v>
      </c>
      <c r="H19" s="133">
        <f>IF(B$17=0,0,G19/B$17)</f>
        <v>0.02</v>
      </c>
      <c r="I19" s="94">
        <v>9</v>
      </c>
      <c r="K19" s="38">
        <v>17</v>
      </c>
      <c r="L19" s="99">
        <v>-203.5</v>
      </c>
      <c r="N19" s="115" t="s">
        <v>128</v>
      </c>
      <c r="O19" s="125">
        <f t="shared" si="2"/>
        <v>-19.033333333333331</v>
      </c>
      <c r="P19" s="119">
        <v>9</v>
      </c>
      <c r="Q19" s="107">
        <v>-171.29999999999998</v>
      </c>
    </row>
    <row r="20" spans="1:17" x14ac:dyDescent="0.4">
      <c r="A20" s="55" t="s">
        <v>13</v>
      </c>
      <c r="B20" s="47">
        <v>40</v>
      </c>
      <c r="C20" s="39">
        <f>IF(B$3=0,0,B20/B$3)</f>
        <v>0.22988505747126436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-23.546153846153853</v>
      </c>
      <c r="P20" s="119">
        <v>13</v>
      </c>
      <c r="Q20" s="107">
        <v>-306.10000000000008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0.12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-9825</v>
      </c>
      <c r="C24" s="45">
        <v>-393000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4">
        <v>92000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</v>
      </c>
      <c r="I27" s="94">
        <v>11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0.02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0.32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AE825-387E-4D91-9732-D96D33A2F932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200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18</v>
      </c>
      <c r="C2" s="153"/>
      <c r="E2" s="62" t="s">
        <v>65</v>
      </c>
      <c r="F2" s="59" t="s">
        <v>21</v>
      </c>
      <c r="G2" s="46">
        <v>24</v>
      </c>
      <c r="H2" s="132">
        <f>IF(B$17=0,0,G2/B$17)</f>
        <v>0.43636363636363634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-1616.6666666666667</v>
      </c>
      <c r="P2" s="118">
        <v>18</v>
      </c>
      <c r="Q2" s="102">
        <v>-29100</v>
      </c>
    </row>
    <row r="3" spans="1:17" x14ac:dyDescent="0.4">
      <c r="A3" s="55" t="s">
        <v>8</v>
      </c>
      <c r="B3" s="154">
        <v>164</v>
      </c>
      <c r="C3" s="155"/>
      <c r="E3" s="63" t="s">
        <v>66</v>
      </c>
      <c r="F3" s="60" t="s">
        <v>22</v>
      </c>
      <c r="G3" s="47">
        <v>4</v>
      </c>
      <c r="H3" s="133">
        <f>IF(B$17=0,0,G3/B$17)</f>
        <v>7.2727272727272724E-2</v>
      </c>
      <c r="I3" s="94">
        <v>10</v>
      </c>
      <c r="K3" s="38">
        <v>1</v>
      </c>
      <c r="L3" s="99">
        <v>-12.5</v>
      </c>
      <c r="N3" s="115" t="s">
        <v>133</v>
      </c>
      <c r="O3" s="122">
        <f t="shared" si="0"/>
        <v>2655.5555555555557</v>
      </c>
      <c r="P3" s="119">
        <v>18</v>
      </c>
      <c r="Q3" s="103">
        <v>47800</v>
      </c>
    </row>
    <row r="4" spans="1:17" x14ac:dyDescent="0.4">
      <c r="A4" s="55" t="s">
        <v>6</v>
      </c>
      <c r="B4" s="156">
        <v>45.399999999999991</v>
      </c>
      <c r="C4" s="157"/>
      <c r="E4" s="63" t="s">
        <v>67</v>
      </c>
      <c r="F4" s="60" t="s">
        <v>23</v>
      </c>
      <c r="G4" s="47">
        <v>32</v>
      </c>
      <c r="H4" s="133">
        <f>IF(B$17=0,0,G4/B$17)</f>
        <v>0.58181818181818179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-7358.8235294117649</v>
      </c>
      <c r="P4" s="119">
        <v>17</v>
      </c>
      <c r="Q4" s="103">
        <v>-125100</v>
      </c>
    </row>
    <row r="5" spans="1:17" x14ac:dyDescent="0.4">
      <c r="A5" s="55" t="s">
        <v>7</v>
      </c>
      <c r="B5" s="158">
        <f>IF(B$2=0,0,B$4/B$2)</f>
        <v>2.5222222222222217</v>
      </c>
      <c r="C5" s="159"/>
      <c r="E5" s="63" t="s">
        <v>68</v>
      </c>
      <c r="F5" s="60" t="s">
        <v>24</v>
      </c>
      <c r="G5" s="47">
        <v>15</v>
      </c>
      <c r="H5" s="133">
        <f>IF(B$17=0,0,G5/B$17)</f>
        <v>0.27272727272727271</v>
      </c>
      <c r="I5" s="94">
        <v>9</v>
      </c>
      <c r="K5" s="38">
        <v>3</v>
      </c>
      <c r="L5" s="99">
        <v>-20.400000000000002</v>
      </c>
      <c r="N5" s="115" t="s">
        <v>135</v>
      </c>
      <c r="O5" s="122">
        <f t="shared" si="0"/>
        <v>-1135.2941176470588</v>
      </c>
      <c r="P5" s="119">
        <v>17</v>
      </c>
      <c r="Q5" s="103">
        <v>-19300</v>
      </c>
    </row>
    <row r="6" spans="1:17" x14ac:dyDescent="0.4">
      <c r="A6" s="55" t="s">
        <v>1</v>
      </c>
      <c r="B6" s="148">
        <f>IF(B$2=0,0,(B$7*1+B$8*2+B$9*3)/B$2)</f>
        <v>1.8888888888888888</v>
      </c>
      <c r="C6" s="149"/>
      <c r="E6" s="63" t="s">
        <v>69</v>
      </c>
      <c r="F6" s="60" t="s">
        <v>12</v>
      </c>
      <c r="G6" s="47">
        <v>22</v>
      </c>
      <c r="H6" s="133">
        <f>IF(B$17=0,0,G6/B$17)</f>
        <v>0.4</v>
      </c>
      <c r="I6" s="94">
        <v>2</v>
      </c>
      <c r="K6" s="38">
        <v>4</v>
      </c>
      <c r="L6" s="99">
        <v>19.399999999999995</v>
      </c>
      <c r="N6" s="115" t="s">
        <v>136</v>
      </c>
      <c r="O6" s="122">
        <f t="shared" si="0"/>
        <v>10135.714285714286</v>
      </c>
      <c r="P6" s="119">
        <v>14</v>
      </c>
      <c r="Q6" s="103">
        <v>141900</v>
      </c>
    </row>
    <row r="7" spans="1:17" x14ac:dyDescent="0.4">
      <c r="A7" s="55" t="s">
        <v>2</v>
      </c>
      <c r="B7" s="47">
        <v>6</v>
      </c>
      <c r="C7" s="39">
        <f>IF(B$2=0,0,B7/B$2)</f>
        <v>0.33333333333333331</v>
      </c>
      <c r="E7" s="63" t="s">
        <v>70</v>
      </c>
      <c r="F7" s="60" t="s">
        <v>25</v>
      </c>
      <c r="G7" s="47">
        <v>9</v>
      </c>
      <c r="H7" s="133">
        <f>IF(B$17=0,0,G7/B$17)</f>
        <v>0.16363636363636364</v>
      </c>
      <c r="I7" s="94">
        <v>6</v>
      </c>
      <c r="K7" s="38">
        <v>5</v>
      </c>
      <c r="L7" s="99">
        <v>-16.100000000000005</v>
      </c>
      <c r="N7" s="116" t="s">
        <v>137</v>
      </c>
      <c r="O7" s="123">
        <f t="shared" si="0"/>
        <v>1925</v>
      </c>
      <c r="P7" s="120">
        <v>12</v>
      </c>
      <c r="Q7" s="104">
        <v>23100</v>
      </c>
    </row>
    <row r="8" spans="1:17" x14ac:dyDescent="0.4">
      <c r="A8" s="55" t="s">
        <v>3</v>
      </c>
      <c r="B8" s="47">
        <v>8</v>
      </c>
      <c r="C8" s="39">
        <f>IF(B$2=0,0,B8/B$2)</f>
        <v>0.44444444444444442</v>
      </c>
      <c r="E8" s="63" t="s">
        <v>71</v>
      </c>
      <c r="F8" s="60" t="s">
        <v>26</v>
      </c>
      <c r="G8" s="47">
        <v>1</v>
      </c>
      <c r="H8" s="133">
        <f>IF(B$17=0,0,G8/B$17)</f>
        <v>1.8181818181818181E-2</v>
      </c>
      <c r="I8" s="94">
        <v>12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0.22222222222222221</v>
      </c>
      <c r="E9" s="63" t="s">
        <v>72</v>
      </c>
      <c r="F9" s="60" t="s">
        <v>27</v>
      </c>
      <c r="G9" s="47">
        <v>1</v>
      </c>
      <c r="H9" s="133">
        <f>IF(B$17=0,0,G9/B$17)</f>
        <v>1.8181818181818181E-2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0.16666666666666666</v>
      </c>
      <c r="E10" s="63" t="s">
        <v>73</v>
      </c>
      <c r="F10" s="60" t="s">
        <v>28</v>
      </c>
      <c r="G10" s="47">
        <v>41</v>
      </c>
      <c r="H10" s="133">
        <f>IF(B$17=0,0,G10/B$17)</f>
        <v>0.74545454545454548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>IF(B$2=0,0,B11/B$2)</f>
        <v>5.5555555555555552E-2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15.639999999999997</v>
      </c>
      <c r="P11" s="119">
        <v>5</v>
      </c>
      <c r="Q11" s="107">
        <v>78.199999999999989</v>
      </c>
    </row>
    <row r="12" spans="1:17" x14ac:dyDescent="0.4">
      <c r="A12" s="57" t="s">
        <v>160</v>
      </c>
      <c r="B12" s="49">
        <v>2</v>
      </c>
      <c r="C12" s="42">
        <f>IF(B$2=0,0,B12/B$2)</f>
        <v>0.1111111111111111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3.9142857142857141</v>
      </c>
      <c r="P12" s="120">
        <v>7</v>
      </c>
      <c r="Q12" s="108">
        <v>27.4</v>
      </c>
    </row>
    <row r="13" spans="1:17" x14ac:dyDescent="0.4">
      <c r="A13" s="58" t="s">
        <v>122</v>
      </c>
      <c r="B13" s="50">
        <v>38</v>
      </c>
      <c r="C13" s="44">
        <f>IF(B$3=0,0,B13/B$3)</f>
        <v>0.23170731707317074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52</v>
      </c>
      <c r="C14" s="39">
        <f>IF(B$3=0,0,B14/B$3)</f>
        <v>0.31707317073170732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24</v>
      </c>
      <c r="C15" s="37">
        <f>IF(B$13=0,0,B15/B$13)</f>
        <v>0.63157894736842102</v>
      </c>
      <c r="E15" s="63" t="s">
        <v>78</v>
      </c>
      <c r="F15" s="60" t="s">
        <v>33</v>
      </c>
      <c r="G15" s="47">
        <v>3</v>
      </c>
      <c r="H15" s="133">
        <f>IF(B$17=0,0,G15/B$17)</f>
        <v>5.4545454545454543E-2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 t="shared" ref="O15:O22" si="2">IF(P15=0,0,Q15/P15)</f>
        <v>65.550000000000011</v>
      </c>
      <c r="P15" s="118">
        <v>2</v>
      </c>
      <c r="Q15" s="106">
        <v>131.10000000000002</v>
      </c>
    </row>
    <row r="16" spans="1:17" x14ac:dyDescent="0.4">
      <c r="A16" s="54" t="s">
        <v>125</v>
      </c>
      <c r="B16" s="46">
        <v>22</v>
      </c>
      <c r="C16" s="37">
        <f>IF(B$14=0,0,B16/B$14)</f>
        <v>0.42307692307692307</v>
      </c>
      <c r="E16" s="63" t="s">
        <v>79</v>
      </c>
      <c r="F16" s="60" t="s">
        <v>34</v>
      </c>
      <c r="G16" s="47">
        <v>4</v>
      </c>
      <c r="H16" s="133">
        <f>IF(B$17=0,0,G16/B$17)</f>
        <v>7.2727272727272724E-2</v>
      </c>
      <c r="I16" s="94">
        <v>2</v>
      </c>
      <c r="K16" s="38">
        <v>14</v>
      </c>
      <c r="L16" s="99">
        <v>114.99999999999999</v>
      </c>
      <c r="N16" s="115" t="s">
        <v>172</v>
      </c>
      <c r="O16" s="125">
        <f t="shared" si="2"/>
        <v>16.62857142857143</v>
      </c>
      <c r="P16" s="119">
        <v>7</v>
      </c>
      <c r="Q16" s="107">
        <v>116.4</v>
      </c>
    </row>
    <row r="17" spans="1:17" x14ac:dyDescent="0.4">
      <c r="A17" s="54" t="s">
        <v>10</v>
      </c>
      <c r="B17" s="46">
        <f>B19+B18</f>
        <v>55</v>
      </c>
      <c r="C17" s="37">
        <f>IF(B$3=0,0,B17/B$3)</f>
        <v>0.33536585365853661</v>
      </c>
      <c r="E17" s="63" t="s">
        <v>80</v>
      </c>
      <c r="F17" s="60" t="s">
        <v>35</v>
      </c>
      <c r="G17" s="47">
        <v>1</v>
      </c>
      <c r="H17" s="133">
        <f>IF(B$17=0,0,G17/B$17)</f>
        <v>1.8181818181818181E-2</v>
      </c>
      <c r="I17" s="94">
        <v>4</v>
      </c>
      <c r="K17" s="38">
        <v>15</v>
      </c>
      <c r="L17" s="99">
        <v>157.69999999999999</v>
      </c>
      <c r="N17" s="115" t="s">
        <v>127</v>
      </c>
      <c r="O17" s="125">
        <f t="shared" si="2"/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33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99.6</v>
      </c>
      <c r="N18" s="115" t="s">
        <v>171</v>
      </c>
      <c r="O18" s="125">
        <f t="shared" si="2"/>
        <v>12.75</v>
      </c>
      <c r="P18" s="119">
        <v>6</v>
      </c>
      <c r="Q18" s="107">
        <v>76.5</v>
      </c>
    </row>
    <row r="19" spans="1:17" x14ac:dyDescent="0.4">
      <c r="A19" s="55" t="s">
        <v>11</v>
      </c>
      <c r="B19" s="47">
        <v>22</v>
      </c>
      <c r="C19" s="39">
        <f>IF(B$17=0,0,B19/B$17)</f>
        <v>0.4</v>
      </c>
      <c r="E19" s="63" t="s">
        <v>82</v>
      </c>
      <c r="F19" s="60" t="s">
        <v>37</v>
      </c>
      <c r="G19" s="47">
        <v>1</v>
      </c>
      <c r="H19" s="133">
        <f>IF(B$17=0,0,G19/B$17)</f>
        <v>1.8181818181818181E-2</v>
      </c>
      <c r="I19" s="94">
        <v>10</v>
      </c>
      <c r="K19" s="38">
        <v>17</v>
      </c>
      <c r="L19" s="99">
        <v>112.39999999999999</v>
      </c>
      <c r="N19" s="115" t="s">
        <v>128</v>
      </c>
      <c r="O19" s="125">
        <f t="shared" si="2"/>
        <v>5.5000000000000018</v>
      </c>
      <c r="P19" s="119">
        <v>2</v>
      </c>
      <c r="Q19" s="107">
        <v>11.000000000000004</v>
      </c>
    </row>
    <row r="20" spans="1:17" x14ac:dyDescent="0.4">
      <c r="A20" s="55" t="s">
        <v>13</v>
      </c>
      <c r="B20" s="47">
        <v>28</v>
      </c>
      <c r="C20" s="39">
        <f>IF(B$3=0,0,B20/B$3)</f>
        <v>0.17073170731707318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45.399999999999991</v>
      </c>
      <c r="N20" s="115" t="s">
        <v>177</v>
      </c>
      <c r="O20" s="125">
        <f t="shared" si="2"/>
        <v>0.90000000000000258</v>
      </c>
      <c r="P20" s="119">
        <v>9</v>
      </c>
      <c r="Q20" s="107">
        <v>8.1000000000000227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5.4545454545454543E-2</v>
      </c>
      <c r="I21" s="94">
        <v>4</v>
      </c>
      <c r="N21" s="115" t="s">
        <v>271</v>
      </c>
      <c r="O21" s="125">
        <f t="shared" si="2"/>
        <v>-8.2999999999999989</v>
      </c>
      <c r="P21" s="119">
        <v>2</v>
      </c>
      <c r="Q21" s="107">
        <v>-16.599999999999998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N22" s="115" t="s">
        <v>129</v>
      </c>
      <c r="O22" s="125">
        <f t="shared" si="2"/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8063.636363636364</v>
      </c>
      <c r="C23" s="41">
        <v>443500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-8367.8571428571431</v>
      </c>
      <c r="C24" s="45">
        <v>-234300</v>
      </c>
      <c r="E24" s="63" t="s">
        <v>87</v>
      </c>
      <c r="F24" s="60" t="s">
        <v>42</v>
      </c>
      <c r="G24" s="47">
        <v>5</v>
      </c>
      <c r="H24" s="133">
        <f>IF(B$17=0,0,G24/B$17)</f>
        <v>9.0909090909090912E-2</v>
      </c>
      <c r="I24" s="94">
        <v>2</v>
      </c>
    </row>
    <row r="25" spans="1:17" x14ac:dyDescent="0.4">
      <c r="A25" s="90" t="s">
        <v>142</v>
      </c>
      <c r="B25" s="146">
        <v>4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106300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1.2195121951219513E-2</v>
      </c>
      <c r="E27" s="63" t="s">
        <v>90</v>
      </c>
      <c r="F27" s="60" t="s">
        <v>45</v>
      </c>
      <c r="G27" s="47">
        <v>8</v>
      </c>
      <c r="H27" s="133">
        <f>IF(B$17=0,0,G27/B$17)</f>
        <v>0.14545454545454545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0.29090909090909089</v>
      </c>
      <c r="I51" s="139">
        <v>14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E1E61-D65E-46D6-9E37-E176A95FFC70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222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</v>
      </c>
      <c r="C2" s="153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4">
        <v>13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6">
        <v>13.3</v>
      </c>
      <c r="C4" s="157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8">
        <f>IF(B$2=0,0,B$4/B$2)</f>
        <v>13.3</v>
      </c>
      <c r="C5" s="159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14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6">
        <v>5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4">
        <v>48300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1473-78D5-4742-8C73-2D2C0B035FF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223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6</v>
      </c>
      <c r="C2" s="153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4">
        <v>46</v>
      </c>
      <c r="C3" s="155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6">
        <v>100.39999999999999</v>
      </c>
      <c r="C4" s="157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8">
        <f>IF(B$2=0,0,B$4/B$2)</f>
        <v>16.733333333333331</v>
      </c>
      <c r="C5" s="159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8">
        <f>IF(B$2=0,0,(B$7*1+B$8*2+B$9*3)/B$2)</f>
        <v>1.8333333333333333</v>
      </c>
      <c r="C6" s="149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6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11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3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92100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367D9-FDC7-4E79-86D6-948490AF2FB6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271</v>
      </c>
      <c r="C1" s="151"/>
      <c r="E1" s="129" t="s">
        <v>167</v>
      </c>
      <c r="F1" s="143" t="s">
        <v>116</v>
      </c>
      <c r="G1" s="142" t="s">
        <v>117</v>
      </c>
      <c r="H1" s="130" t="s">
        <v>118</v>
      </c>
      <c r="I1" s="143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5</v>
      </c>
      <c r="C2" s="153"/>
      <c r="E2" s="62" t="s">
        <v>65</v>
      </c>
      <c r="F2" s="59" t="s">
        <v>21</v>
      </c>
      <c r="G2" s="46">
        <v>5</v>
      </c>
      <c r="H2" s="132">
        <f>IF(B$17=0,0,G2/B$17)</f>
        <v>0.45454545454545453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-5260</v>
      </c>
      <c r="P2" s="118">
        <v>5</v>
      </c>
      <c r="Q2" s="102">
        <v>-26300</v>
      </c>
    </row>
    <row r="3" spans="1:17" x14ac:dyDescent="0.4">
      <c r="A3" s="55" t="s">
        <v>8</v>
      </c>
      <c r="B3" s="154">
        <v>45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-43.2</v>
      </c>
      <c r="N3" s="115" t="s">
        <v>133</v>
      </c>
      <c r="O3" s="122">
        <f t="shared" si="0"/>
        <v>-3400</v>
      </c>
      <c r="P3" s="119">
        <v>5</v>
      </c>
      <c r="Q3" s="103">
        <v>-17000</v>
      </c>
    </row>
    <row r="4" spans="1:17" x14ac:dyDescent="0.4">
      <c r="A4" s="55" t="s">
        <v>6</v>
      </c>
      <c r="B4" s="156">
        <v>-152</v>
      </c>
      <c r="C4" s="157"/>
      <c r="E4" s="63" t="s">
        <v>67</v>
      </c>
      <c r="F4" s="60" t="s">
        <v>23</v>
      </c>
      <c r="G4" s="47">
        <v>6</v>
      </c>
      <c r="H4" s="133">
        <f>IF(B$17=0,0,G4/B$17)</f>
        <v>0.54545454545454541</v>
      </c>
      <c r="I4" s="94">
        <v>14</v>
      </c>
      <c r="K4" s="38">
        <v>2</v>
      </c>
      <c r="L4" s="99">
        <v>-96.5</v>
      </c>
      <c r="N4" s="115" t="s">
        <v>134</v>
      </c>
      <c r="O4" s="122">
        <f t="shared" si="0"/>
        <v>150</v>
      </c>
      <c r="P4" s="119">
        <v>4</v>
      </c>
      <c r="Q4" s="103">
        <v>600</v>
      </c>
    </row>
    <row r="5" spans="1:17" x14ac:dyDescent="0.4">
      <c r="A5" s="55" t="s">
        <v>7</v>
      </c>
      <c r="B5" s="158">
        <f>IF(B$2=0,0,B$4/B$2)</f>
        <v>-30.4</v>
      </c>
      <c r="C5" s="159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0"/>
        <v>5000</v>
      </c>
      <c r="P5" s="119">
        <v>4</v>
      </c>
      <c r="Q5" s="103">
        <v>20000</v>
      </c>
    </row>
    <row r="6" spans="1:17" x14ac:dyDescent="0.4">
      <c r="A6" s="55" t="s">
        <v>1</v>
      </c>
      <c r="B6" s="148">
        <f>IF(B$2=0,0,(B$7*1+B$8*2+B$9*3)/B$2)</f>
        <v>2.6</v>
      </c>
      <c r="C6" s="149"/>
      <c r="E6" s="63" t="s">
        <v>69</v>
      </c>
      <c r="F6" s="60" t="s">
        <v>12</v>
      </c>
      <c r="G6" s="47">
        <v>3</v>
      </c>
      <c r="H6" s="133">
        <f>IF(B$17=0,0,G6/B$17)</f>
        <v>0.27272727272727271</v>
      </c>
      <c r="I6" s="94">
        <v>12</v>
      </c>
      <c r="K6" s="38">
        <v>4</v>
      </c>
      <c r="L6" s="99">
        <v>-134.1</v>
      </c>
      <c r="N6" s="115" t="s">
        <v>136</v>
      </c>
      <c r="O6" s="122">
        <f t="shared" si="0"/>
        <v>-2700</v>
      </c>
      <c r="P6" s="119">
        <v>3</v>
      </c>
      <c r="Q6" s="103">
        <v>-8100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3">
        <f>IF(B$17=0,0,G7/B$17)</f>
        <v>9.0909090909090912E-2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0"/>
        <v>-5350</v>
      </c>
      <c r="P7" s="120">
        <v>2</v>
      </c>
      <c r="Q7" s="104">
        <v>-10700</v>
      </c>
    </row>
    <row r="8" spans="1:17" x14ac:dyDescent="0.4">
      <c r="A8" s="55" t="s">
        <v>3</v>
      </c>
      <c r="B8" s="47">
        <v>2</v>
      </c>
      <c r="C8" s="39">
        <f>IF(B$2=0,0,B8/B$2)</f>
        <v>0.4</v>
      </c>
      <c r="E8" s="63" t="s">
        <v>71</v>
      </c>
      <c r="F8" s="60" t="s">
        <v>26</v>
      </c>
      <c r="G8" s="47">
        <v>1</v>
      </c>
      <c r="H8" s="133">
        <f>IF(B$17=0,0,G8/B$17)</f>
        <v>9.0909090909090912E-2</v>
      </c>
      <c r="I8" s="94">
        <v>7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ref="C9" si="1">IF(B$2=0,0,B9/B$2)</f>
        <v>0.6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0.2</v>
      </c>
      <c r="E10" s="63" t="s">
        <v>73</v>
      </c>
      <c r="F10" s="60" t="s">
        <v>28</v>
      </c>
      <c r="G10" s="47">
        <v>6</v>
      </c>
      <c r="H10" s="133">
        <f>IF(B$17=0,0,G10/B$17)</f>
        <v>0.54545454545454541</v>
      </c>
      <c r="I10" s="94">
        <v>8</v>
      </c>
      <c r="N10" s="114" t="s">
        <v>164</v>
      </c>
      <c r="O10" s="124">
        <f>IF(P10=0,0,Q10/P10)</f>
        <v>-14.433333333333332</v>
      </c>
      <c r="P10" s="118">
        <v>3</v>
      </c>
      <c r="Q10" s="106">
        <v>-43.3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6</v>
      </c>
      <c r="C13" s="44">
        <f>IF(B$3=0,0,B13/B$3)</f>
        <v>0.13333333333333333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</v>
      </c>
      <c r="C14" s="39">
        <f>IF(B$3=0,0,B14/B$3)</f>
        <v>0.35555555555555557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0.83333333333333337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200</v>
      </c>
      <c r="O15" s="124">
        <f>IF(P15=0,0,Q15/P15)</f>
        <v>8.2999999999999972</v>
      </c>
      <c r="P15" s="118">
        <v>2</v>
      </c>
      <c r="Q15" s="106">
        <v>16.599999999999994</v>
      </c>
    </row>
    <row r="16" spans="1:17" x14ac:dyDescent="0.4">
      <c r="A16" s="54" t="s">
        <v>125</v>
      </c>
      <c r="B16" s="46">
        <v>4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9.0909090909090912E-2</v>
      </c>
      <c r="I16" s="94">
        <v>1</v>
      </c>
      <c r="N16" s="115" t="s">
        <v>177</v>
      </c>
      <c r="O16" s="125">
        <f>IF(P16=0,0,Q16/P16)</f>
        <v>-45.800000000000004</v>
      </c>
      <c r="P16" s="119">
        <v>2</v>
      </c>
      <c r="Q16" s="107">
        <v>-91.600000000000009</v>
      </c>
    </row>
    <row r="17" spans="1:17" x14ac:dyDescent="0.4">
      <c r="A17" s="54" t="s">
        <v>10</v>
      </c>
      <c r="B17" s="46">
        <f>B19+B18</f>
        <v>11</v>
      </c>
      <c r="C17" s="37">
        <f>IF(B$3=0,0,B17/B$3)</f>
        <v>0.24444444444444444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129</v>
      </c>
      <c r="O17" s="125">
        <f>IF(P17=0,0,Q17/P17)</f>
        <v>-52.959999999999994</v>
      </c>
      <c r="P17" s="119">
        <v>5</v>
      </c>
      <c r="Q17" s="107">
        <v>-264.79999999999995</v>
      </c>
    </row>
    <row r="18" spans="1:17" x14ac:dyDescent="0.4">
      <c r="A18" s="55" t="s">
        <v>12</v>
      </c>
      <c r="B18" s="47">
        <v>4</v>
      </c>
      <c r="C18" s="39">
        <f>IF(B$17=0,0,B18/B$17)</f>
        <v>0.36363636363636365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173</v>
      </c>
      <c r="O18" s="125">
        <f>IF(P18=0,0,Q18/P18)</f>
        <v>-116.19999999999999</v>
      </c>
      <c r="P18" s="119">
        <v>1</v>
      </c>
      <c r="Q18" s="107">
        <v>-116.19999999999999</v>
      </c>
    </row>
    <row r="19" spans="1:17" x14ac:dyDescent="0.4">
      <c r="A19" s="55" t="s">
        <v>11</v>
      </c>
      <c r="B19" s="47">
        <v>7</v>
      </c>
      <c r="C19" s="39">
        <f>IF(B$17=0,0,B19/B$17)</f>
        <v>0.63636363636363635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9</v>
      </c>
      <c r="C20" s="39">
        <f>IF(B$3=0,0,B20/B$3)</f>
        <v>0.2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6727.272727272727</v>
      </c>
      <c r="C23" s="41">
        <v>74000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-6077.7777777777774</v>
      </c>
      <c r="C24" s="45">
        <v>-54700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6">
        <v>4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52800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1</v>
      </c>
      <c r="C27" s="42">
        <f>IF(B$3=0,0,B27/B$3)</f>
        <v>2.2222222222222223E-2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9.0909090909090912E-2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7</v>
      </c>
      <c r="H51" s="138">
        <f>IF(B$17=0,0,G51/B$17)</f>
        <v>0.63636363636363635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0F33C-D428-4018-B0F8-79BF63CFFF1C}">
  <sheetPr codeName="Sheet33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DE34E-BD6F-456E-B520-7F920AB111D7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41A-1CA4-41BE-B6B9-393115080833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99C7D-8208-4643-A876-27ACF1431A69}">
  <sheetPr codeName="Sheet26"/>
  <dimension ref="A1:Q2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B5966-FCB5-4685-B78B-9FEF9652A87B}">
  <sheetPr codeName="Sheet24"/>
  <dimension ref="A1:Q2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A2E37-BAF4-420F-9EDE-807A3DD8FDC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1577-4297-4953-ACC7-E0B56DF710BE}">
  <sheetPr codeName="Sheet20"/>
  <dimension ref="A1:Q9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22A9-E1B5-4EE0-9BE6-BF256DBEB4BB}">
  <sheetPr codeName="Sheet18"/>
  <dimension ref="A1:Q5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CCEF1-21A6-400A-A518-6F7443C12492}">
  <sheetPr codeName="Sheet16"/>
  <dimension ref="A1:Q9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D60C-1DF6-42A7-98C3-66917293191F}">
  <sheetPr codeName="Sheet14"/>
  <dimension ref="A1:Q9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CA12-830C-4BD8-9B6F-A44D921E18D5}">
  <sheetPr codeName="Sheet12"/>
  <dimension ref="A1:Q1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01B-7214-4720-A6B0-6935F5C0CCDB}">
  <sheetPr codeName="Sheet10"/>
  <dimension ref="A1:Q1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C82A-ED2E-4B31-B847-95951A37F7C4}">
  <sheetPr codeName="Sheet8"/>
  <dimension ref="A1:Q17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6C765-06AF-4584-8E24-4A1CC52BE787}">
  <sheetPr codeName="Sheet6"/>
  <dimension ref="A1:Q27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1.4210854715202004E-14</v>
      </c>
      <c r="C250" s="66">
        <v>1.9177941585967616E-17</v>
      </c>
      <c r="D250" s="71">
        <v>2</v>
      </c>
      <c r="E250" s="67">
        <v>0.33333333333333331</v>
      </c>
      <c r="F250" s="67">
        <v>0.33333333333333331</v>
      </c>
      <c r="G250" s="67">
        <v>0.29848558866634101</v>
      </c>
      <c r="H250" s="67">
        <v>0.16658524670249145</v>
      </c>
      <c r="I250" s="68">
        <v>8757.6104746317505</v>
      </c>
      <c r="J250" s="68">
        <v>-8290.6158357771255</v>
      </c>
      <c r="K250" s="67">
        <v>0.12415654520917679</v>
      </c>
      <c r="L250" s="67">
        <v>0.12415654520917679</v>
      </c>
      <c r="M250" s="67">
        <v>0.27796775769418663</v>
      </c>
      <c r="N250" s="67">
        <v>0.20990066764370624</v>
      </c>
      <c r="O250" s="67">
        <v>0.57644991212653773</v>
      </c>
      <c r="P250" s="67">
        <v>0.39487975174553919</v>
      </c>
      <c r="Q250" s="67">
        <v>0.43480632842334971</v>
      </c>
    </row>
    <row r="251" spans="1:17" x14ac:dyDescent="0.4">
      <c r="A251" s="69">
        <v>248</v>
      </c>
      <c r="B251" s="66">
        <v>1.4210854715202004E-14</v>
      </c>
      <c r="C251" s="66">
        <v>1.9100611176346781E-17</v>
      </c>
      <c r="D251" s="71">
        <v>2</v>
      </c>
      <c r="E251" s="67">
        <v>0.33333333333333331</v>
      </c>
      <c r="F251" s="67">
        <v>0.33333333333333331</v>
      </c>
      <c r="G251" s="67">
        <v>0.29871607346010076</v>
      </c>
      <c r="H251" s="67">
        <v>0.16658540549325532</v>
      </c>
      <c r="I251" s="68">
        <v>8770.6202393906424</v>
      </c>
      <c r="J251" s="68">
        <v>-8320.9756097560967</v>
      </c>
      <c r="K251" s="67">
        <v>0.125</v>
      </c>
      <c r="L251" s="67">
        <v>0.125</v>
      </c>
      <c r="M251" s="67">
        <v>0.27775069071997399</v>
      </c>
      <c r="N251" s="67">
        <v>0.21014139444173574</v>
      </c>
      <c r="O251" s="67">
        <v>0.5769455822118198</v>
      </c>
      <c r="P251" s="67">
        <v>0.39520494972931169</v>
      </c>
      <c r="Q251" s="67">
        <v>0.43471164309031557</v>
      </c>
    </row>
    <row r="252" spans="1:17" x14ac:dyDescent="0.4">
      <c r="A252" s="69">
        <v>249</v>
      </c>
      <c r="B252" s="66">
        <v>7.1054273576010019E-15</v>
      </c>
      <c r="C252" s="66">
        <v>9.5119509472570302E-18</v>
      </c>
      <c r="D252" s="71">
        <v>2</v>
      </c>
      <c r="E252" s="67">
        <v>0.33333333333333331</v>
      </c>
      <c r="F252" s="67">
        <v>0.33333333333333331</v>
      </c>
      <c r="G252" s="67">
        <v>0.29904577066149118</v>
      </c>
      <c r="H252" s="67">
        <v>0.16658579977357271</v>
      </c>
      <c r="I252" s="68">
        <v>8777.7176852352623</v>
      </c>
      <c r="J252" s="68">
        <v>-8324.7572815533986</v>
      </c>
      <c r="K252" s="67">
        <v>0.12583668005354753</v>
      </c>
      <c r="L252" s="67">
        <v>0.12583668005354753</v>
      </c>
      <c r="M252" s="67">
        <v>0.27769691088468379</v>
      </c>
      <c r="N252" s="67">
        <v>0.21106259097525473</v>
      </c>
      <c r="O252" s="67">
        <v>0.57775189283634243</v>
      </c>
      <c r="P252" s="67">
        <v>0.39386973180076629</v>
      </c>
      <c r="Q252" s="67">
        <v>0.43482963764196864</v>
      </c>
    </row>
    <row r="253" spans="1:17" x14ac:dyDescent="0.4">
      <c r="A253" s="69">
        <v>250</v>
      </c>
      <c r="B253" s="66">
        <v>7.1054273576010019E-15</v>
      </c>
      <c r="C253" s="66">
        <v>9.4739031434680022E-18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0</v>
      </c>
      <c r="C254" s="66">
        <v>0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7.1054273576010019E-15</v>
      </c>
      <c r="C255" s="66">
        <v>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8.8817841970012523E-15</v>
      </c>
      <c r="C256" s="66">
        <v>1.1701955463769766E-17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1.2878587085651816E-14</v>
      </c>
      <c r="C257" s="66">
        <v>1.6901032920802908E-17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1.2878587085651816E-14</v>
      </c>
      <c r="C258" s="66">
        <v>1.683475436032917E-17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1.2434497875801753E-14</v>
      </c>
      <c r="C259" s="66">
        <v>1.6190752442450201E-17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1.4210854715202004E-14</v>
      </c>
      <c r="C260" s="66">
        <v>1.8431718177953311E-17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2.1316282072803006E-14</v>
      </c>
      <c r="C261" s="66">
        <v>2.7540416114732565E-17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2.1316282072803006E-14</v>
      </c>
      <c r="C262" s="66">
        <v>2.7434082461779931E-17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1.4210854715202004E-14</v>
      </c>
      <c r="C263" s="66">
        <v>1.8219044506669236E-17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2.1316282072803006E-14</v>
      </c>
      <c r="C264" s="66">
        <v>2.7223859607666672E-17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2.8421709430404007E-14</v>
      </c>
      <c r="C265" s="66">
        <v>3.6159935662091615E-17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2.8421709430404007E-14</v>
      </c>
      <c r="C266" s="66">
        <v>3.6022445412425863E-17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2.8421709430404007E-14</v>
      </c>
      <c r="C267" s="66">
        <v>3.5885996755560618E-17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2.8421709430404007E-14</v>
      </c>
      <c r="C268" s="66">
        <v>3.5750577899879253E-17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2.8421709430404007E-14</v>
      </c>
      <c r="C269" s="66">
        <v>3.5616177231082714E-17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2.8421709430404007E-14</v>
      </c>
      <c r="C270" s="66">
        <v>3.5482783308868924E-17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2.8421709430404007E-14</v>
      </c>
      <c r="C271" s="66">
        <v>3.5350384863686576E-17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2.8421709430404007E-14</v>
      </c>
      <c r="C272" s="66">
        <v>3.5218970793561348E-17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2.8421709430404007E-14</v>
      </c>
      <c r="C273" s="66">
        <v>3.5088530160992601E-17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2.9837243786801082E-14</v>
      </c>
      <c r="C274" s="66">
        <v>3.6700176859533928E-17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2.3092638912203256E-14</v>
      </c>
      <c r="C275" s="66">
        <v>2.829980258848438E-17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2.1316282072803006E-14</v>
      </c>
      <c r="C276" s="66">
        <v>2.6027206438098908E-17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2019-07-09T17:04:12Z</dcterms:modified>
</cp:coreProperties>
</file>