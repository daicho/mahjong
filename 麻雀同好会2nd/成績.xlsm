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0C29F19-4980-41A0-B904-EC179B62C39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73" l="1"/>
  <c r="O18" i="5587"/>
  <c r="O16" i="5581"/>
  <c r="O15" i="5587"/>
  <c r="O15" i="5567" l="1"/>
  <c r="O15" i="5575"/>
  <c r="O15" i="5561"/>
  <c r="O17" i="5587"/>
  <c r="O16" i="5587"/>
  <c r="C27" i="5587"/>
  <c r="B24" i="5587"/>
  <c r="C20" i="5587"/>
  <c r="B17" i="5587"/>
  <c r="H51" i="5587" s="1"/>
  <c r="C16" i="5587"/>
  <c r="C15" i="5587"/>
  <c r="C14" i="5587"/>
  <c r="C13" i="5587"/>
  <c r="O12" i="5587"/>
  <c r="C12" i="5587"/>
  <c r="O11" i="5587"/>
  <c r="C11" i="5587"/>
  <c r="O10" i="5587"/>
  <c r="C10" i="5587"/>
  <c r="C9" i="5587"/>
  <c r="C8" i="5587"/>
  <c r="O7" i="5587"/>
  <c r="C7" i="5587"/>
  <c r="O6" i="5587"/>
  <c r="B6" i="5587"/>
  <c r="O5" i="5587"/>
  <c r="B5" i="5587"/>
  <c r="O4" i="5587"/>
  <c r="O3" i="5587"/>
  <c r="O2" i="5587"/>
  <c r="H3" i="5587" l="1"/>
  <c r="H9" i="5587"/>
  <c r="H27" i="5587"/>
  <c r="H14" i="5587"/>
  <c r="H40" i="5587"/>
  <c r="H5" i="5587"/>
  <c r="H41" i="5587"/>
  <c r="H25" i="5587"/>
  <c r="H8" i="5587"/>
  <c r="H4" i="5587"/>
  <c r="H20" i="5587"/>
  <c r="B23" i="5587"/>
  <c r="H32" i="5587"/>
  <c r="H49" i="5587"/>
  <c r="H13" i="5587"/>
  <c r="C18" i="5587"/>
  <c r="H33" i="5587"/>
  <c r="H48" i="5587"/>
  <c r="H16" i="5587"/>
  <c r="H18" i="5587"/>
  <c r="H22" i="5587"/>
  <c r="H36" i="5587"/>
  <c r="H44" i="5587"/>
  <c r="H2" i="5587"/>
  <c r="H29" i="5587"/>
  <c r="H12" i="5587"/>
  <c r="H6" i="5587"/>
  <c r="H15" i="5587"/>
  <c r="C17" i="5587"/>
  <c r="H10" i="5587"/>
  <c r="H30" i="5587"/>
  <c r="H37" i="5587"/>
  <c r="H45" i="5587"/>
  <c r="H52" i="5587"/>
  <c r="H21" i="5587"/>
  <c r="H23" i="5587"/>
  <c r="H26" i="5587"/>
  <c r="H28" i="5587"/>
  <c r="H11" i="5587"/>
  <c r="H34" i="5587"/>
  <c r="H38" i="5587"/>
  <c r="H42" i="5587"/>
  <c r="H46" i="5587"/>
  <c r="H50" i="5587"/>
  <c r="H7" i="5587"/>
  <c r="H17" i="5587"/>
  <c r="H19" i="5587"/>
  <c r="C19" i="5587"/>
  <c r="H24" i="5587"/>
  <c r="H31" i="5587"/>
  <c r="H35" i="5587"/>
  <c r="H39" i="5587"/>
  <c r="H43" i="5587"/>
  <c r="H47" i="5587"/>
  <c r="O23" i="5579" l="1"/>
  <c r="O15" i="5585"/>
  <c r="O22" i="5581" l="1"/>
  <c r="O17" i="5567"/>
  <c r="O24" i="5573" l="1"/>
  <c r="O15" i="5579"/>
  <c r="O25" i="5563" l="1"/>
  <c r="O17" i="5585"/>
  <c r="O16" i="5567" l="1"/>
  <c r="O23" i="5571"/>
  <c r="O26" i="5561"/>
  <c r="O18" i="5585"/>
  <c r="O16" i="5585"/>
  <c r="C27" i="5585"/>
  <c r="B24" i="5585"/>
  <c r="C20" i="5585"/>
  <c r="B17" i="5585"/>
  <c r="H52" i="5585" s="1"/>
  <c r="C16" i="5585"/>
  <c r="C15" i="5585"/>
  <c r="C14" i="5585"/>
  <c r="C13" i="5585"/>
  <c r="O12" i="5585"/>
  <c r="C12" i="5585"/>
  <c r="O11" i="5585"/>
  <c r="C11" i="5585"/>
  <c r="O10" i="5585"/>
  <c r="H3" i="5585"/>
  <c r="C10" i="5585"/>
  <c r="C9" i="5585"/>
  <c r="H13" i="5585"/>
  <c r="C8" i="5585"/>
  <c r="O7" i="5585"/>
  <c r="C7" i="5585"/>
  <c r="O6" i="5585"/>
  <c r="B6" i="5585"/>
  <c r="O5" i="5585"/>
  <c r="B5" i="5585"/>
  <c r="O4" i="5585"/>
  <c r="H2" i="5585"/>
  <c r="O3" i="5585"/>
  <c r="O2" i="5585"/>
  <c r="H6" i="5585"/>
  <c r="O15" i="5583"/>
  <c r="O16" i="5583"/>
  <c r="C27" i="5583"/>
  <c r="B24" i="5583"/>
  <c r="C20" i="5583"/>
  <c r="B17" i="5583"/>
  <c r="H52" i="5583" s="1"/>
  <c r="C16" i="5583"/>
  <c r="C15" i="5583"/>
  <c r="C14" i="5583"/>
  <c r="C13" i="5583"/>
  <c r="O12" i="5583"/>
  <c r="C12" i="5583"/>
  <c r="O11" i="5583"/>
  <c r="C11" i="5583"/>
  <c r="O10" i="5583"/>
  <c r="C10" i="5583"/>
  <c r="C9" i="5583"/>
  <c r="C8" i="5583"/>
  <c r="O7" i="5583"/>
  <c r="C7" i="5583"/>
  <c r="O6" i="5583"/>
  <c r="B6" i="5583"/>
  <c r="O5" i="5583"/>
  <c r="B5" i="5583"/>
  <c r="O4" i="5583"/>
  <c r="O3" i="5583"/>
  <c r="O2" i="5583"/>
  <c r="O23" i="5569"/>
  <c r="O16" i="5563"/>
  <c r="O25" i="5561"/>
  <c r="C17" i="5585" l="1"/>
  <c r="H24" i="5585"/>
  <c r="H29" i="5585"/>
  <c r="H35" i="5585"/>
  <c r="H39" i="5585"/>
  <c r="H47" i="5585"/>
  <c r="H21" i="5585"/>
  <c r="C19" i="5585"/>
  <c r="H32" i="5585"/>
  <c r="H36" i="5585"/>
  <c r="H40" i="5585"/>
  <c r="H44" i="5585"/>
  <c r="H10" i="5585"/>
  <c r="H11" i="5585"/>
  <c r="H5" i="5585"/>
  <c r="H9" i="5585"/>
  <c r="H18" i="5585"/>
  <c r="H15" i="5585"/>
  <c r="H23" i="5585"/>
  <c r="H25" i="5585"/>
  <c r="H27" i="5585"/>
  <c r="H8" i="5585"/>
  <c r="H33" i="5585"/>
  <c r="H37" i="5585"/>
  <c r="H41" i="5585"/>
  <c r="H45" i="5585"/>
  <c r="H49" i="5585"/>
  <c r="H4" i="5585"/>
  <c r="H22" i="5585"/>
  <c r="H26" i="5585"/>
  <c r="H31" i="5585"/>
  <c r="H43" i="5585"/>
  <c r="H51" i="5585"/>
  <c r="H12" i="5585"/>
  <c r="H19" i="5585"/>
  <c r="H16" i="5585"/>
  <c r="H48" i="5585"/>
  <c r="H7" i="5585"/>
  <c r="H17" i="5585"/>
  <c r="H20" i="5585"/>
  <c r="H14" i="5585"/>
  <c r="C18" i="5585"/>
  <c r="B23" i="5585"/>
  <c r="H28" i="5585"/>
  <c r="H30" i="5585"/>
  <c r="H34" i="5585"/>
  <c r="H38" i="5585"/>
  <c r="H42" i="5585"/>
  <c r="H46" i="5585"/>
  <c r="H50" i="5585"/>
  <c r="C17" i="5583"/>
  <c r="H2" i="5583"/>
  <c r="H12" i="5583"/>
  <c r="H3" i="5583"/>
  <c r="H10" i="5583"/>
  <c r="H20" i="5583"/>
  <c r="H21" i="5583"/>
  <c r="H24" i="5583"/>
  <c r="H27" i="5583"/>
  <c r="H30" i="5583"/>
  <c r="H34" i="5583"/>
  <c r="H38" i="5583"/>
  <c r="H42" i="5583"/>
  <c r="H46" i="5583"/>
  <c r="H50" i="5583"/>
  <c r="H9" i="5583"/>
  <c r="H15" i="5583"/>
  <c r="H17" i="5583"/>
  <c r="C19" i="5583"/>
  <c r="H22" i="5583"/>
  <c r="H31" i="5583"/>
  <c r="H35" i="5583"/>
  <c r="H39" i="5583"/>
  <c r="H43" i="5583"/>
  <c r="H47" i="5583"/>
  <c r="H51" i="5583"/>
  <c r="H8" i="5583"/>
  <c r="H5" i="5583"/>
  <c r="H11" i="5583"/>
  <c r="H14" i="5583"/>
  <c r="H19" i="5583"/>
  <c r="H6" i="5583"/>
  <c r="H23" i="5583"/>
  <c r="H25" i="5583"/>
  <c r="H28" i="5583"/>
  <c r="H32" i="5583"/>
  <c r="H36" i="5583"/>
  <c r="H40" i="5583"/>
  <c r="H44" i="5583"/>
  <c r="H48" i="5583"/>
  <c r="H7" i="5583"/>
  <c r="H4" i="5583"/>
  <c r="H13" i="5583"/>
  <c r="H16" i="5583"/>
  <c r="H18" i="5583"/>
  <c r="C18" i="5583"/>
  <c r="B23" i="5583"/>
  <c r="H26" i="5583"/>
  <c r="H29" i="5583"/>
  <c r="H33" i="5583"/>
  <c r="H37" i="5583"/>
  <c r="H41" i="5583"/>
  <c r="H45" i="5583"/>
  <c r="H49" i="5583"/>
  <c r="O15" i="5571" l="1"/>
  <c r="O21" i="5579"/>
  <c r="O21" i="5581" l="1"/>
  <c r="O20" i="5581"/>
  <c r="O20" i="5575"/>
  <c r="O21" i="5565"/>
  <c r="O24" i="5563" l="1"/>
  <c r="O18" i="5581"/>
  <c r="O23" i="5573"/>
  <c r="O15" i="5581"/>
  <c r="O19" i="5581" l="1"/>
  <c r="O17" i="5581"/>
  <c r="C27" i="5581"/>
  <c r="B24" i="5581"/>
  <c r="C20" i="5581"/>
  <c r="B17" i="5581"/>
  <c r="H7" i="5581" s="1"/>
  <c r="C16" i="5581"/>
  <c r="C15" i="5581"/>
  <c r="C14" i="5581"/>
  <c r="C13" i="5581"/>
  <c r="O12" i="5581"/>
  <c r="C12" i="5581"/>
  <c r="O11" i="5581"/>
  <c r="C11" i="5581"/>
  <c r="O10" i="5581"/>
  <c r="C10" i="5581"/>
  <c r="C9" i="5581"/>
  <c r="C8" i="5581"/>
  <c r="O7" i="5581"/>
  <c r="C7" i="5581"/>
  <c r="O6" i="5581"/>
  <c r="B6" i="5581"/>
  <c r="O5" i="5581"/>
  <c r="B5" i="5581"/>
  <c r="O4" i="5581"/>
  <c r="O3" i="5581"/>
  <c r="O2" i="5581"/>
  <c r="O21" i="5569"/>
  <c r="O21" i="5571"/>
  <c r="O23" i="5561"/>
  <c r="H15" i="5581" l="1"/>
  <c r="H4" i="5581"/>
  <c r="H22" i="5581"/>
  <c r="H52" i="5581"/>
  <c r="H27" i="5581"/>
  <c r="C18" i="5581"/>
  <c r="H19" i="5581"/>
  <c r="H37" i="5581"/>
  <c r="H3" i="5581"/>
  <c r="H2" i="5581"/>
  <c r="H12" i="5581"/>
  <c r="H41" i="5581"/>
  <c r="B23" i="5581"/>
  <c r="H45" i="5581"/>
  <c r="H29" i="5581"/>
  <c r="H6" i="5581"/>
  <c r="C17" i="5581"/>
  <c r="H33" i="5581"/>
  <c r="H49" i="5581"/>
  <c r="H24" i="5581"/>
  <c r="H28" i="5581"/>
  <c r="H30" i="5581"/>
  <c r="H38" i="5581"/>
  <c r="H42" i="5581"/>
  <c r="H46" i="5581"/>
  <c r="H8" i="5581"/>
  <c r="H21" i="5581"/>
  <c r="H13" i="5581"/>
  <c r="C19" i="5581"/>
  <c r="H14" i="5581"/>
  <c r="H31" i="5581"/>
  <c r="H35" i="5581"/>
  <c r="H39" i="5581"/>
  <c r="H43" i="5581"/>
  <c r="H47" i="5581"/>
  <c r="H51" i="5581"/>
  <c r="H23" i="5581"/>
  <c r="H26" i="5581"/>
  <c r="H34" i="5581"/>
  <c r="H50" i="5581"/>
  <c r="H11" i="5581"/>
  <c r="H5" i="5581"/>
  <c r="H16" i="5581"/>
  <c r="H20" i="5581"/>
  <c r="H17" i="5581"/>
  <c r="H18" i="5581"/>
  <c r="H25" i="5581"/>
  <c r="H10" i="5581"/>
  <c r="H9" i="5581"/>
  <c r="H32" i="5581"/>
  <c r="H36" i="5581"/>
  <c r="H40" i="5581"/>
  <c r="H44" i="5581"/>
  <c r="H48" i="5581"/>
  <c r="O18" i="5571" l="1"/>
  <c r="O18" i="5567"/>
  <c r="O21" i="5575"/>
  <c r="O22" i="5575"/>
  <c r="O17" i="5563" l="1"/>
  <c r="O20" i="5579"/>
  <c r="O18" i="5579" l="1"/>
  <c r="O16" i="5579"/>
  <c r="O16" i="5569"/>
  <c r="O24" i="5567"/>
  <c r="O17" i="5577" l="1"/>
  <c r="O22" i="5573"/>
  <c r="O15" i="5577"/>
  <c r="O22" i="5579"/>
  <c r="O15" i="5565"/>
  <c r="O18" i="5575"/>
  <c r="O16" i="5561"/>
  <c r="O19" i="5579"/>
  <c r="O17" i="5579"/>
  <c r="C27" i="5579"/>
  <c r="B24" i="5579"/>
  <c r="C20" i="5579"/>
  <c r="B17" i="5579"/>
  <c r="H52" i="5579" s="1"/>
  <c r="C16" i="5579"/>
  <c r="C15" i="5579"/>
  <c r="C14" i="5579"/>
  <c r="C13" i="5579"/>
  <c r="O12" i="5579"/>
  <c r="C12" i="5579"/>
  <c r="O11" i="5579"/>
  <c r="C11" i="5579"/>
  <c r="O10" i="5579"/>
  <c r="C10" i="5579"/>
  <c r="C9" i="5579"/>
  <c r="C8" i="5579"/>
  <c r="O7" i="5579"/>
  <c r="C7" i="5579"/>
  <c r="O6" i="5579"/>
  <c r="B6" i="5579"/>
  <c r="O5" i="5579"/>
  <c r="B5" i="5579"/>
  <c r="O4" i="5579"/>
  <c r="O3" i="5579"/>
  <c r="O2" i="5579"/>
  <c r="O16" i="5577"/>
  <c r="O18" i="5577"/>
  <c r="C27" i="5577"/>
  <c r="B24" i="5577"/>
  <c r="C20" i="5577"/>
  <c r="B17" i="5577"/>
  <c r="H51" i="5577" s="1"/>
  <c r="C16" i="5577"/>
  <c r="C15" i="5577"/>
  <c r="C14" i="5577"/>
  <c r="C13" i="5577"/>
  <c r="O12" i="5577"/>
  <c r="C12" i="5577"/>
  <c r="O11" i="5577"/>
  <c r="C11" i="5577"/>
  <c r="O10" i="5577"/>
  <c r="C10" i="5577"/>
  <c r="C9" i="5577"/>
  <c r="C8" i="5577"/>
  <c r="O7" i="5577"/>
  <c r="C7" i="5577"/>
  <c r="O6" i="5577"/>
  <c r="B6" i="5577"/>
  <c r="O5" i="5577"/>
  <c r="B5" i="5577"/>
  <c r="O4" i="5577"/>
  <c r="O3" i="5577"/>
  <c r="O2" i="5577"/>
  <c r="O23" i="5575"/>
  <c r="O24" i="5575"/>
  <c r="O15" i="5563"/>
  <c r="O20" i="5563"/>
  <c r="O27" i="5561"/>
  <c r="H3" i="5579" l="1"/>
  <c r="H2" i="5579"/>
  <c r="H4" i="5579"/>
  <c r="H9" i="5579"/>
  <c r="H33" i="5577"/>
  <c r="H41" i="5577"/>
  <c r="H2" i="5577"/>
  <c r="H10" i="5577"/>
  <c r="B23" i="5577"/>
  <c r="H19" i="5577"/>
  <c r="H49" i="5577"/>
  <c r="H3" i="5577"/>
  <c r="H15" i="5577"/>
  <c r="C18" i="5577"/>
  <c r="H6" i="5577"/>
  <c r="H7" i="5577"/>
  <c r="H17" i="5577"/>
  <c r="H22" i="5577"/>
  <c r="H44" i="5577"/>
  <c r="H12" i="5577"/>
  <c r="H14" i="5577"/>
  <c r="H37" i="5577"/>
  <c r="H52" i="5577"/>
  <c r="H36" i="5577"/>
  <c r="H8" i="5577"/>
  <c r="C17" i="5577"/>
  <c r="H11" i="5577"/>
  <c r="H29" i="5577"/>
  <c r="H45" i="5577"/>
  <c r="H5" i="5577"/>
  <c r="H13" i="5577"/>
  <c r="H4" i="5577"/>
  <c r="H20" i="5577"/>
  <c r="H25" i="5577"/>
  <c r="H27" i="5577"/>
  <c r="H32" i="5577"/>
  <c r="H40" i="5577"/>
  <c r="H48" i="5577"/>
  <c r="C17" i="5579"/>
  <c r="H24" i="5579"/>
  <c r="H31" i="5579"/>
  <c r="H38" i="5579"/>
  <c r="H42" i="5579"/>
  <c r="H8" i="5579"/>
  <c r="H17" i="5579"/>
  <c r="H21" i="5579"/>
  <c r="C19" i="5579"/>
  <c r="H10" i="5579"/>
  <c r="H32" i="5579"/>
  <c r="H36" i="5579"/>
  <c r="H39" i="5579"/>
  <c r="H43" i="5579"/>
  <c r="H47" i="5579"/>
  <c r="H51" i="5579"/>
  <c r="H26" i="5579"/>
  <c r="H35" i="5579"/>
  <c r="H46" i="5579"/>
  <c r="H12" i="5579"/>
  <c r="H6" i="5579"/>
  <c r="H13" i="5579"/>
  <c r="H16" i="5579"/>
  <c r="H14" i="5579"/>
  <c r="H18" i="5579"/>
  <c r="H25" i="5579"/>
  <c r="H27" i="5579"/>
  <c r="H11" i="5579"/>
  <c r="H33" i="5579"/>
  <c r="H19" i="5579"/>
  <c r="H40" i="5579"/>
  <c r="H44" i="5579"/>
  <c r="H48" i="5579"/>
  <c r="H5" i="5579"/>
  <c r="H23" i="5579"/>
  <c r="H29" i="5579"/>
  <c r="H50" i="5579"/>
  <c r="H7" i="5579"/>
  <c r="H15" i="5579"/>
  <c r="H20" i="5579"/>
  <c r="H22" i="5579"/>
  <c r="C18" i="5579"/>
  <c r="B23" i="5579"/>
  <c r="H28" i="5579"/>
  <c r="H30" i="5579"/>
  <c r="H34" i="5579"/>
  <c r="H37" i="5579"/>
  <c r="H41" i="5579"/>
  <c r="H45" i="5579"/>
  <c r="H49" i="5579"/>
  <c r="H21" i="5577"/>
  <c r="H23" i="5577"/>
  <c r="H26" i="5577"/>
  <c r="H28" i="5577"/>
  <c r="H30" i="5577"/>
  <c r="H34" i="5577"/>
  <c r="H38" i="5577"/>
  <c r="H42" i="5577"/>
  <c r="H46" i="5577"/>
  <c r="H50" i="5577"/>
  <c r="H9" i="5577"/>
  <c r="H16" i="5577"/>
  <c r="H18" i="5577"/>
  <c r="C19" i="5577"/>
  <c r="H24" i="5577"/>
  <c r="H31" i="5577"/>
  <c r="H35" i="5577"/>
  <c r="H39" i="5577"/>
  <c r="H43" i="5577"/>
  <c r="H47" i="5577"/>
  <c r="O17" i="5575" l="1"/>
  <c r="O21" i="5573"/>
  <c r="O18" i="5573"/>
  <c r="O16" i="5565"/>
  <c r="O17" i="5571" l="1"/>
  <c r="O17" i="5569"/>
  <c r="O17" i="5573"/>
  <c r="O19" i="5573"/>
  <c r="O16" i="5571" l="1"/>
  <c r="O15" i="5569"/>
  <c r="O22" i="5567"/>
  <c r="O21" i="5567"/>
  <c r="O16" i="5575"/>
  <c r="O19" i="5575"/>
  <c r="C27" i="5575"/>
  <c r="B24" i="5575"/>
  <c r="C20" i="5575"/>
  <c r="B17" i="5575"/>
  <c r="H52" i="5575" s="1"/>
  <c r="C16" i="5575"/>
  <c r="C15" i="5575"/>
  <c r="C14" i="5575"/>
  <c r="C13" i="5575"/>
  <c r="O12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O22" i="5569"/>
  <c r="O20" i="5565"/>
  <c r="O22" i="5561"/>
  <c r="H6" i="5575" l="1"/>
  <c r="H11" i="5575"/>
  <c r="H3" i="5575"/>
  <c r="H8" i="5575"/>
  <c r="C17" i="5575"/>
  <c r="H2" i="5575"/>
  <c r="H4" i="5575"/>
  <c r="H29" i="5575"/>
  <c r="H30" i="5575"/>
  <c r="H18" i="5575"/>
  <c r="H33" i="5575"/>
  <c r="H15" i="5575"/>
  <c r="H35" i="5575"/>
  <c r="H39" i="5575"/>
  <c r="H42" i="5575"/>
  <c r="H46" i="5575"/>
  <c r="H50" i="5575"/>
  <c r="H20" i="5575"/>
  <c r="H21" i="5575"/>
  <c r="C19" i="5575"/>
  <c r="H13" i="5575"/>
  <c r="H24" i="5575"/>
  <c r="H36" i="5575"/>
  <c r="H40" i="5575"/>
  <c r="H43" i="5575"/>
  <c r="H47" i="5575"/>
  <c r="H51" i="5575"/>
  <c r="H9" i="5575"/>
  <c r="H7" i="5575"/>
  <c r="H12" i="5575"/>
  <c r="H23" i="5575"/>
  <c r="H19" i="5575"/>
  <c r="H16" i="5575"/>
  <c r="H31" i="5575"/>
  <c r="H14" i="5575"/>
  <c r="H10" i="5575"/>
  <c r="H25" i="5575"/>
  <c r="H37" i="5575"/>
  <c r="H26" i="5575"/>
  <c r="H44" i="5575"/>
  <c r="H48" i="5575"/>
  <c r="H5" i="5575"/>
  <c r="H27" i="5575"/>
  <c r="H28" i="5575"/>
  <c r="H17" i="5575"/>
  <c r="C18" i="5575"/>
  <c r="B23" i="5575"/>
  <c r="H32" i="5575"/>
  <c r="H22" i="5575"/>
  <c r="H34" i="5575"/>
  <c r="H38" i="5575"/>
  <c r="H41" i="5575"/>
  <c r="H45" i="5575"/>
  <c r="H49" i="5575"/>
  <c r="O20" i="5567" l="1"/>
  <c r="O20" i="5573"/>
  <c r="O16" i="5573"/>
  <c r="C27" i="5573"/>
  <c r="B24" i="5573"/>
  <c r="C20" i="5573"/>
  <c r="B17" i="5573"/>
  <c r="H52" i="5573" s="1"/>
  <c r="C16" i="5573"/>
  <c r="C15" i="5573"/>
  <c r="C14" i="5573"/>
  <c r="C13" i="5573"/>
  <c r="O12" i="5573"/>
  <c r="C12" i="5573"/>
  <c r="O11" i="5573"/>
  <c r="C11" i="5573"/>
  <c r="O10" i="5573"/>
  <c r="C10" i="5573"/>
  <c r="C9" i="5573"/>
  <c r="C8" i="5573"/>
  <c r="O7" i="5573"/>
  <c r="C7" i="5573"/>
  <c r="O6" i="5573"/>
  <c r="B6" i="5573"/>
  <c r="O5" i="5573"/>
  <c r="B5" i="5573"/>
  <c r="O4" i="5573"/>
  <c r="O3" i="5573"/>
  <c r="O2" i="5573"/>
  <c r="O22" i="5563"/>
  <c r="O18" i="5561"/>
  <c r="O19" i="5571"/>
  <c r="O18" i="5565"/>
  <c r="O19" i="5565"/>
  <c r="O19" i="5569"/>
  <c r="O20" i="5571"/>
  <c r="O22" i="5571"/>
  <c r="C27" i="5571"/>
  <c r="B24" i="5571"/>
  <c r="C20" i="5571"/>
  <c r="B17" i="5571"/>
  <c r="H51" i="5571" s="1"/>
  <c r="C16" i="5571"/>
  <c r="C15" i="5571"/>
  <c r="C14" i="5571"/>
  <c r="C13" i="5571"/>
  <c r="O12" i="5571"/>
  <c r="C12" i="5571"/>
  <c r="O11" i="5571"/>
  <c r="C11" i="5571"/>
  <c r="O10" i="5571"/>
  <c r="C10" i="5571"/>
  <c r="C9" i="5571"/>
  <c r="C8" i="5571"/>
  <c r="O7" i="5571"/>
  <c r="C7" i="5571"/>
  <c r="O6" i="5571"/>
  <c r="B6" i="5571"/>
  <c r="O5" i="5571"/>
  <c r="B5" i="5571"/>
  <c r="O4" i="5571"/>
  <c r="O3" i="5571"/>
  <c r="O2" i="5571"/>
  <c r="O20" i="5569"/>
  <c r="O18" i="5569"/>
  <c r="C27" i="5569"/>
  <c r="B24" i="5569"/>
  <c r="C20" i="5569"/>
  <c r="B17" i="5569"/>
  <c r="H19" i="5569" s="1"/>
  <c r="C16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O18" i="5563"/>
  <c r="O23" i="5563"/>
  <c r="O20" i="5561"/>
  <c r="O21" i="5561"/>
  <c r="H3" i="5569" l="1"/>
  <c r="C17" i="5573"/>
  <c r="H3" i="5573"/>
  <c r="H2" i="5573"/>
  <c r="H4" i="5573"/>
  <c r="H10" i="5573"/>
  <c r="H40" i="5571"/>
  <c r="H7" i="5571"/>
  <c r="H33" i="5571"/>
  <c r="H12" i="5571"/>
  <c r="H16" i="5571"/>
  <c r="H23" i="5571"/>
  <c r="H2" i="5571"/>
  <c r="C18" i="5571"/>
  <c r="H30" i="5573"/>
  <c r="H36" i="5573"/>
  <c r="H51" i="5573"/>
  <c r="H9" i="5573"/>
  <c r="H25" i="5573"/>
  <c r="C19" i="5573"/>
  <c r="H33" i="5573"/>
  <c r="H41" i="5573"/>
  <c r="H45" i="5573"/>
  <c r="H19" i="5573"/>
  <c r="H11" i="5573"/>
  <c r="H5" i="5573"/>
  <c r="H12" i="5573"/>
  <c r="H22" i="5573"/>
  <c r="H16" i="5573"/>
  <c r="H27" i="5573"/>
  <c r="H29" i="5573"/>
  <c r="H13" i="5573"/>
  <c r="H8" i="5573"/>
  <c r="H34" i="5573"/>
  <c r="H38" i="5573"/>
  <c r="H42" i="5573"/>
  <c r="H46" i="5573"/>
  <c r="H49" i="5573"/>
  <c r="H6" i="5573"/>
  <c r="H26" i="5573"/>
  <c r="H28" i="5573"/>
  <c r="H31" i="5573"/>
  <c r="H18" i="5573"/>
  <c r="H40" i="5573"/>
  <c r="H44" i="5573"/>
  <c r="H47" i="5573"/>
  <c r="H23" i="5573"/>
  <c r="H17" i="5573"/>
  <c r="H37" i="5573"/>
  <c r="H48" i="5573"/>
  <c r="H7" i="5573"/>
  <c r="H14" i="5573"/>
  <c r="H24" i="5573"/>
  <c r="H15" i="5573"/>
  <c r="C18" i="5573"/>
  <c r="B23" i="5573"/>
  <c r="H20" i="5573"/>
  <c r="H32" i="5573"/>
  <c r="H35" i="5573"/>
  <c r="H39" i="5573"/>
  <c r="H43" i="5573"/>
  <c r="H21" i="5573"/>
  <c r="H50" i="5573"/>
  <c r="H48" i="5571"/>
  <c r="H28" i="5571"/>
  <c r="H5" i="5571"/>
  <c r="H3" i="5571"/>
  <c r="H18" i="5571"/>
  <c r="B23" i="5571"/>
  <c r="H32" i="5571"/>
  <c r="H26" i="5569"/>
  <c r="H23" i="5569"/>
  <c r="H34" i="5569"/>
  <c r="H11" i="5569"/>
  <c r="H4" i="5569"/>
  <c r="H18" i="5569"/>
  <c r="B23" i="5569"/>
  <c r="H6" i="5569"/>
  <c r="C18" i="5569"/>
  <c r="H2" i="5569"/>
  <c r="H13" i="5569"/>
  <c r="H15" i="5569"/>
  <c r="H25" i="5569"/>
  <c r="H41" i="5569"/>
  <c r="H41" i="5571"/>
  <c r="H49" i="5571"/>
  <c r="H11" i="5571"/>
  <c r="H36" i="5571"/>
  <c r="H44" i="5571"/>
  <c r="H4" i="5571"/>
  <c r="H10" i="5571"/>
  <c r="H19" i="5571"/>
  <c r="H25" i="5571"/>
  <c r="H15" i="5571"/>
  <c r="H9" i="5571"/>
  <c r="H6" i="5571"/>
  <c r="H20" i="5571"/>
  <c r="C17" i="5571"/>
  <c r="H14" i="5571"/>
  <c r="H24" i="5571"/>
  <c r="H37" i="5571"/>
  <c r="H45" i="5571"/>
  <c r="H52" i="5571"/>
  <c r="H26" i="5571"/>
  <c r="H27" i="5571"/>
  <c r="H29" i="5571"/>
  <c r="H30" i="5571"/>
  <c r="H17" i="5571"/>
  <c r="H34" i="5571"/>
  <c r="H38" i="5571"/>
  <c r="H42" i="5571"/>
  <c r="H46" i="5571"/>
  <c r="H50" i="5571"/>
  <c r="H8" i="5571"/>
  <c r="H21" i="5571"/>
  <c r="H22" i="5571"/>
  <c r="C19" i="5571"/>
  <c r="H13" i="5571"/>
  <c r="H31" i="5571"/>
  <c r="H35" i="5571"/>
  <c r="H39" i="5571"/>
  <c r="H43" i="5571"/>
  <c r="H47" i="5571"/>
  <c r="H49" i="5569"/>
  <c r="H42" i="5569"/>
  <c r="H50" i="5569"/>
  <c r="H27" i="5569"/>
  <c r="H28" i="5569"/>
  <c r="H16" i="5569"/>
  <c r="H9" i="5569"/>
  <c r="H37" i="5569"/>
  <c r="H45" i="5569"/>
  <c r="H5" i="5569"/>
  <c r="H10" i="5569"/>
  <c r="H7" i="5569"/>
  <c r="H20" i="5569"/>
  <c r="C17" i="5569"/>
  <c r="H12" i="5569"/>
  <c r="H33" i="5569"/>
  <c r="H38" i="5569"/>
  <c r="H46" i="5569"/>
  <c r="H52" i="5569"/>
  <c r="H29" i="5569"/>
  <c r="H30" i="5569"/>
  <c r="H31" i="5569"/>
  <c r="H32" i="5569"/>
  <c r="H17" i="5569"/>
  <c r="H35" i="5569"/>
  <c r="H39" i="5569"/>
  <c r="H43" i="5569"/>
  <c r="H47" i="5569"/>
  <c r="H51" i="5569"/>
  <c r="H8" i="5569"/>
  <c r="H21" i="5569"/>
  <c r="H22" i="5569"/>
  <c r="C19" i="5569"/>
  <c r="H14" i="5569"/>
  <c r="H24" i="5569"/>
  <c r="H36" i="5569"/>
  <c r="H40" i="5569"/>
  <c r="H44" i="5569"/>
  <c r="H48" i="5569"/>
  <c r="O19" i="5567" l="1"/>
  <c r="O23" i="5567"/>
  <c r="C27" i="5567"/>
  <c r="B24" i="5567"/>
  <c r="C20" i="5567"/>
  <c r="B17" i="5567"/>
  <c r="H51" i="5567" s="1"/>
  <c r="C16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O22" i="5565"/>
  <c r="O17" i="5565"/>
  <c r="C27" i="5565"/>
  <c r="B24" i="5565"/>
  <c r="C20" i="5565"/>
  <c r="B17" i="5565"/>
  <c r="H18" i="5565" s="1"/>
  <c r="C16" i="5565"/>
  <c r="C15" i="5565"/>
  <c r="C14" i="5565"/>
  <c r="C13" i="5565"/>
  <c r="O12" i="5565"/>
  <c r="C12" i="5565"/>
  <c r="O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O24" i="5561"/>
  <c r="O19" i="5563"/>
  <c r="O21" i="5563"/>
  <c r="C27" i="5563"/>
  <c r="B24" i="5563"/>
  <c r="C20" i="5563"/>
  <c r="B17" i="5563"/>
  <c r="H15" i="5563" s="1"/>
  <c r="C16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17" i="5561"/>
  <c r="O19" i="5561"/>
  <c r="C27" i="5561"/>
  <c r="B24" i="5561"/>
  <c r="C20" i="5561"/>
  <c r="B17" i="5561"/>
  <c r="H51" i="5561" s="1"/>
  <c r="C16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9" i="5567" l="1"/>
  <c r="H4" i="5567"/>
  <c r="H31" i="5563"/>
  <c r="H13" i="5567"/>
  <c r="H45" i="5567"/>
  <c r="H50" i="5567"/>
  <c r="H7" i="5567"/>
  <c r="C18" i="5567"/>
  <c r="H2" i="5567"/>
  <c r="H11" i="5567"/>
  <c r="H34" i="5567"/>
  <c r="H19" i="5567"/>
  <c r="H3" i="5567"/>
  <c r="H14" i="5567"/>
  <c r="H36" i="5567"/>
  <c r="H15" i="5567"/>
  <c r="H10" i="5567"/>
  <c r="H40" i="5567"/>
  <c r="H30" i="5567"/>
  <c r="H12" i="5567"/>
  <c r="H6" i="5567"/>
  <c r="H29" i="5567"/>
  <c r="H20" i="5567"/>
  <c r="H33" i="5567"/>
  <c r="H41" i="5567"/>
  <c r="B23" i="5563"/>
  <c r="H26" i="5563"/>
  <c r="H7" i="5563"/>
  <c r="H19" i="5563"/>
  <c r="H35" i="5563"/>
  <c r="H22" i="5563"/>
  <c r="H3" i="5563"/>
  <c r="H42" i="5563"/>
  <c r="H13" i="5563"/>
  <c r="H32" i="5563"/>
  <c r="H10" i="5563"/>
  <c r="H6" i="5563"/>
  <c r="H11" i="5563"/>
  <c r="C18" i="5563"/>
  <c r="H29" i="5563"/>
  <c r="H4" i="5563"/>
  <c r="H2" i="5563"/>
  <c r="H16" i="5563"/>
  <c r="H46" i="5567"/>
  <c r="H28" i="5567"/>
  <c r="C19" i="5567"/>
  <c r="H21" i="5567"/>
  <c r="H22" i="5567"/>
  <c r="H27" i="5567"/>
  <c r="H37" i="5567"/>
  <c r="H42" i="5567"/>
  <c r="H48" i="5567"/>
  <c r="H5" i="5567"/>
  <c r="H8" i="5567"/>
  <c r="H24" i="5567"/>
  <c r="H17" i="5567"/>
  <c r="C17" i="5567"/>
  <c r="H16" i="5567"/>
  <c r="B23" i="5567"/>
  <c r="H23" i="5567"/>
  <c r="H38" i="5567"/>
  <c r="H44" i="5567"/>
  <c r="H49" i="5567"/>
  <c r="H52" i="5567"/>
  <c r="H31" i="5567"/>
  <c r="H32" i="5567"/>
  <c r="H25" i="5567"/>
  <c r="H26" i="5567"/>
  <c r="H18" i="5567"/>
  <c r="H35" i="5567"/>
  <c r="H39" i="5567"/>
  <c r="H43" i="5567"/>
  <c r="H47" i="5567"/>
  <c r="H4" i="5565"/>
  <c r="H10" i="5565"/>
  <c r="H6" i="5565"/>
  <c r="H16" i="5565"/>
  <c r="H33" i="5565"/>
  <c r="H41" i="5565"/>
  <c r="H42" i="5565"/>
  <c r="H24" i="5565"/>
  <c r="H17" i="5565"/>
  <c r="H27" i="5565"/>
  <c r="H49" i="5565"/>
  <c r="H22" i="5565"/>
  <c r="H29" i="5565"/>
  <c r="H2" i="5565"/>
  <c r="H13" i="5565"/>
  <c r="B23" i="5565"/>
  <c r="H3" i="5565"/>
  <c r="C18" i="5565"/>
  <c r="H35" i="5565"/>
  <c r="H50" i="5565"/>
  <c r="H15" i="5565"/>
  <c r="H11" i="5565"/>
  <c r="H37" i="5565"/>
  <c r="H45" i="5565"/>
  <c r="H5" i="5565"/>
  <c r="H9" i="5565"/>
  <c r="H7" i="5565"/>
  <c r="H21" i="5565"/>
  <c r="C17" i="5565"/>
  <c r="H12" i="5565"/>
  <c r="H34" i="5565"/>
  <c r="H38" i="5565"/>
  <c r="H46" i="5565"/>
  <c r="H52" i="5565"/>
  <c r="H30" i="5565"/>
  <c r="H31" i="5565"/>
  <c r="H32" i="5565"/>
  <c r="H25" i="5565"/>
  <c r="H19" i="5565"/>
  <c r="H28" i="5565"/>
  <c r="H39" i="5565"/>
  <c r="H43" i="5565"/>
  <c r="H47" i="5565"/>
  <c r="H51" i="5565"/>
  <c r="H8" i="5565"/>
  <c r="H20" i="5565"/>
  <c r="H23" i="5565"/>
  <c r="C19" i="5565"/>
  <c r="H14" i="5565"/>
  <c r="H26" i="5565"/>
  <c r="H36" i="5565"/>
  <c r="H40" i="5565"/>
  <c r="H44" i="5565"/>
  <c r="H48" i="5565"/>
  <c r="H10" i="5561"/>
  <c r="H28" i="5563"/>
  <c r="H50" i="5563"/>
  <c r="H41" i="5563"/>
  <c r="H49" i="5563"/>
  <c r="H17" i="5563"/>
  <c r="H8" i="5563"/>
  <c r="H37" i="5563"/>
  <c r="H45" i="5563"/>
  <c r="H5" i="5563"/>
  <c r="C17" i="5563"/>
  <c r="H12" i="5563"/>
  <c r="H23" i="5563"/>
  <c r="H38" i="5563"/>
  <c r="H46" i="5563"/>
  <c r="H52" i="5563"/>
  <c r="H33" i="5563"/>
  <c r="H34" i="5563"/>
  <c r="H20" i="5563"/>
  <c r="H25" i="5563"/>
  <c r="H18" i="5563"/>
  <c r="H30" i="5563"/>
  <c r="H39" i="5563"/>
  <c r="H43" i="5563"/>
  <c r="H47" i="5563"/>
  <c r="H51" i="5563"/>
  <c r="H9" i="5563"/>
  <c r="H27" i="5563"/>
  <c r="H21" i="5563"/>
  <c r="C19" i="5563"/>
  <c r="H14" i="5563"/>
  <c r="H24" i="5563"/>
  <c r="H36" i="5563"/>
  <c r="H40" i="5563"/>
  <c r="H44" i="5563"/>
  <c r="H48" i="5563"/>
  <c r="H4" i="5561"/>
  <c r="H2" i="5561"/>
  <c r="H3" i="5561"/>
  <c r="H11" i="5561"/>
  <c r="H6" i="5561"/>
  <c r="H12" i="5561"/>
  <c r="H24" i="5561"/>
  <c r="H19" i="5561"/>
  <c r="H9" i="5561"/>
  <c r="H38" i="5561"/>
  <c r="H42" i="5561"/>
  <c r="H46" i="5561"/>
  <c r="H50" i="5561"/>
  <c r="H7" i="5561"/>
  <c r="H21" i="5561"/>
  <c r="H35" i="5561"/>
  <c r="H15" i="5561"/>
  <c r="C18" i="5561"/>
  <c r="H14" i="5561"/>
  <c r="H13" i="5561"/>
  <c r="H29" i="5561"/>
  <c r="H39" i="5561"/>
  <c r="H33" i="5561"/>
  <c r="H34" i="5561"/>
  <c r="H18" i="5561"/>
  <c r="C19" i="5561"/>
  <c r="H27" i="5561"/>
  <c r="H28" i="5561"/>
  <c r="H25" i="5561"/>
  <c r="H32" i="5561"/>
  <c r="H43" i="5561"/>
  <c r="H48" i="5561"/>
  <c r="H5" i="5561"/>
  <c r="H8" i="5561"/>
  <c r="H22" i="5561"/>
  <c r="H20" i="5561"/>
  <c r="C17" i="5561"/>
  <c r="H16" i="5561"/>
  <c r="B23" i="5561"/>
  <c r="H26" i="5561"/>
  <c r="H40" i="5561"/>
  <c r="H45" i="5561"/>
  <c r="H49" i="5561"/>
  <c r="H52" i="5561"/>
  <c r="H36" i="5561"/>
  <c r="H37" i="5561"/>
  <c r="H23" i="5561"/>
  <c r="H30" i="5561"/>
  <c r="H17" i="5561"/>
  <c r="H31" i="5561"/>
  <c r="H41" i="5561"/>
  <c r="H44" i="5561"/>
  <c r="H47" i="5561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<sst xmlns="http://schemas.openxmlformats.org/spreadsheetml/2006/main" count="3634" uniqueCount="287">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</sst>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-16.611295681063122</c:v>
                </c:pt>
                <c:pt idx="1">
                  <c:v>-5.6689342403628116</c:v>
                </c:pt>
                <c:pt idx="2">
                  <c:v>12.165450121654501</c:v>
                </c:pt>
                <c:pt idx="3">
                  <c:v>5.2910052910052912</c:v>
                </c:pt>
                <c:pt idx="4">
                  <c:v>-14.749262536873156</c:v>
                </c:pt>
                <c:pt idx="5">
                  <c:v>26.666666666666668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だいち!$K$2:$K$193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</c:numCache>
            </c:numRef>
          </c:xVal>
          <c:yVal>
            <c:numRef>
              <c:f>だいち!$L$2:$L$193</c:f>
              <c:numCache>
                <c:formatCode>\+0.0;\-0.0;\±0</c:formatCode>
                <c:ptCount val="19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1451.8324607329844</c:v>
                </c:pt>
                <c:pt idx="1">
                  <c:v>2115.5913978494623</c:v>
                </c:pt>
                <c:pt idx="2">
                  <c:v>1029.3785310734463</c:v>
                </c:pt>
                <c:pt idx="3">
                  <c:v>2176.687116564417</c:v>
                </c:pt>
                <c:pt idx="4">
                  <c:v>814.48275862068965</c:v>
                </c:pt>
                <c:pt idx="5">
                  <c:v>1172.2222222222222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りくと!$L$2:$L$160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598.7341772151899</c:v>
                </c:pt>
                <c:pt idx="1">
                  <c:v>-1425.4901960784314</c:v>
                </c:pt>
                <c:pt idx="2">
                  <c:v>-492.46575342465752</c:v>
                </c:pt>
                <c:pt idx="3">
                  <c:v>-39.694656488549619</c:v>
                </c:pt>
                <c:pt idx="4">
                  <c:v>573.27586206896547</c:v>
                </c:pt>
                <c:pt idx="5">
                  <c:v>-315.09433962264148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ただ!$L$2:$L$148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-1987.6712328767123</c:v>
                </c:pt>
                <c:pt idx="1">
                  <c:v>-1661.2676056338028</c:v>
                </c:pt>
                <c:pt idx="2">
                  <c:v>909.70149253731347</c:v>
                </c:pt>
                <c:pt idx="3">
                  <c:v>-2994.1666666666665</c:v>
                </c:pt>
                <c:pt idx="4">
                  <c:v>-241.28440366972478</c:v>
                </c:pt>
                <c:pt idx="5">
                  <c:v>-211.22448979591837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146</c:v>
                </c:pt>
                <c:pt idx="1">
                  <c:v>661.85567010309273</c:v>
                </c:pt>
                <c:pt idx="2">
                  <c:v>1378.409090909091</c:v>
                </c:pt>
                <c:pt idx="3">
                  <c:v>64.102564102564102</c:v>
                </c:pt>
                <c:pt idx="4">
                  <c:v>-1775.3623188405797</c:v>
                </c:pt>
                <c:pt idx="5">
                  <c:v>-617.74193548387098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たかの!$L$2:$L$102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134</c:v>
                </c:pt>
                <c:pt idx="1">
                  <c:v>-1281</c:v>
                </c:pt>
                <c:pt idx="2">
                  <c:v>-752.22222222222217</c:v>
                </c:pt>
                <c:pt idx="3">
                  <c:v>1100</c:v>
                </c:pt>
                <c:pt idx="4">
                  <c:v>-126.25</c:v>
                </c:pt>
                <c:pt idx="5">
                  <c:v>-449.27536231884056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ぱぱ!$L$2:$L$55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-2686.7924528301887</c:v>
                </c:pt>
                <c:pt idx="1">
                  <c:v>1784.9056603773586</c:v>
                </c:pt>
                <c:pt idx="2">
                  <c:v>-1194</c:v>
                </c:pt>
                <c:pt idx="3">
                  <c:v>-4158.695652173913</c:v>
                </c:pt>
                <c:pt idx="4">
                  <c:v>-251.21951219512195</c:v>
                </c:pt>
                <c:pt idx="5">
                  <c:v>-53.846153846153847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937.5</c:v>
                </c:pt>
                <c:pt idx="1">
                  <c:v>205.43478260869566</c:v>
                </c:pt>
                <c:pt idx="2">
                  <c:v>-832.94117647058829</c:v>
                </c:pt>
                <c:pt idx="3">
                  <c:v>1405</c:v>
                </c:pt>
                <c:pt idx="4">
                  <c:v>-1846.5753424657535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1650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-5675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のり2!$C$3:$C$9</c:f>
              <c:numCache>
                <c:formatCode>\+0.0;\-0.0;\±0</c:formatCode>
                <c:ptCount val="7"/>
                <c:pt idx="1">
                  <c:v>-43.2</c:v>
                </c:pt>
                <c:pt idx="2">
                  <c:v>-48.25</c:v>
                </c:pt>
                <c:pt idx="3">
                  <c:v>-50.633333333333333</c:v>
                </c:pt>
                <c:pt idx="4">
                  <c:v>-33.524999999999999</c:v>
                </c:pt>
                <c:pt idx="5">
                  <c:v>-30.4</c:v>
                </c:pt>
                <c:pt idx="6">
                  <c:v>-33.633333333333333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8686903184950183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のり2!$D$3:$D$9</c:f>
              <c:numCache>
                <c:formatCode>0.00\ "位"</c:formatCode>
                <c:ptCount val="7"/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2.75</c:v>
                </c:pt>
                <c:pt idx="5">
                  <c:v>2.6</c:v>
                </c:pt>
                <c:pt idx="6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のり2!$F$3:$F$9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0.6</c:v>
                </c:pt>
                <c:pt idx="6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のり2!$G$3:$G$9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0.19047619047619047</c:v>
                </c:pt>
                <c:pt idx="3">
                  <c:v>0.16</c:v>
                </c:pt>
                <c:pt idx="4">
                  <c:v>0.2</c:v>
                </c:pt>
                <c:pt idx="5">
                  <c:v>0.24444444444444444</c:v>
                </c:pt>
                <c:pt idx="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44017094017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のり2!$H$3:$H$9</c:f>
              <c:numCache>
                <c:formatCode>0.0%</c:formatCode>
                <c:ptCount val="7"/>
                <c:pt idx="1">
                  <c:v>0.14285714285714285</c:v>
                </c:pt>
                <c:pt idx="2">
                  <c:v>0.23809523809523808</c:v>
                </c:pt>
                <c:pt idx="3">
                  <c:v>0.28000000000000003</c:v>
                </c:pt>
                <c:pt idx="4">
                  <c:v>0.22857142857142856</c:v>
                </c:pt>
                <c:pt idx="5">
                  <c:v>0.2</c:v>
                </c:pt>
                <c:pt idx="6">
                  <c:v>0.21428571428571427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33119658119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のり2!$I$3:$I$9</c:f>
              <c:numCache>
                <c:formatCode>0</c:formatCode>
                <c:ptCount val="7"/>
                <c:pt idx="1">
                  <c:v>3900</c:v>
                </c:pt>
                <c:pt idx="2">
                  <c:v>4475</c:v>
                </c:pt>
                <c:pt idx="3">
                  <c:v>4475</c:v>
                </c:pt>
                <c:pt idx="4">
                  <c:v>5157.1428571428569</c:v>
                </c:pt>
                <c:pt idx="5">
                  <c:v>6727.272727272727</c:v>
                </c:pt>
                <c:pt idx="6">
                  <c:v>6614.2857142857147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0.2417188898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のり2!$J$3:$J$9</c:f>
              <c:numCache>
                <c:formatCode>0</c:formatCode>
                <c:ptCount val="7"/>
                <c:pt idx="1">
                  <c:v>-3200</c:v>
                </c:pt>
                <c:pt idx="2">
                  <c:v>-6140</c:v>
                </c:pt>
                <c:pt idx="3">
                  <c:v>-6514.2857142857147</c:v>
                </c:pt>
                <c:pt idx="4">
                  <c:v>-6187.5</c:v>
                </c:pt>
                <c:pt idx="5">
                  <c:v>-6077.7777777777774</c:v>
                </c:pt>
                <c:pt idx="6">
                  <c:v>-6825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14.67522052927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708748615725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708748615725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のり2!$M$3:$M$9</c:f>
              <c:numCache>
                <c:formatCode>0.0%</c:formatCode>
                <c:ptCount val="7"/>
                <c:pt idx="1">
                  <c:v>0</c:v>
                </c:pt>
                <c:pt idx="2">
                  <c:v>4.7619047619047616E-2</c:v>
                </c:pt>
                <c:pt idx="3">
                  <c:v>0.04</c:v>
                </c:pt>
                <c:pt idx="4">
                  <c:v>5.7142857142857141E-2</c:v>
                </c:pt>
                <c:pt idx="5">
                  <c:v>0.13333333333333333</c:v>
                </c:pt>
                <c:pt idx="6">
                  <c:v>0.17857142857142858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8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のり2!$N$3:$N$9</c:f>
              <c:numCache>
                <c:formatCode>0.0%</c:formatCode>
                <c:ptCount val="7"/>
                <c:pt idx="1">
                  <c:v>0.2857142857142857</c:v>
                </c:pt>
                <c:pt idx="2">
                  <c:v>0.47619047619047616</c:v>
                </c:pt>
                <c:pt idx="3">
                  <c:v>0.48</c:v>
                </c:pt>
                <c:pt idx="4">
                  <c:v>0.4</c:v>
                </c:pt>
                <c:pt idx="5">
                  <c:v>0.35555555555555557</c:v>
                </c:pt>
                <c:pt idx="6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672008547008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のり2!$O$3:$O$9</c:f>
              <c:numCache>
                <c:formatCode>0.0%</c:formatCode>
                <c:ptCount val="7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0.83333333333333337</c:v>
                </c:pt>
                <c:pt idx="6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923076923076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のり2!$P$3:$P$9</c:f>
              <c:numCache>
                <c:formatCode>0.0%</c:formatCode>
                <c:ptCount val="7"/>
                <c:pt idx="1">
                  <c:v>0.5</c:v>
                </c:pt>
                <c:pt idx="2">
                  <c:v>0.2</c:v>
                </c:pt>
                <c:pt idx="3">
                  <c:v>0.16666666666666666</c:v>
                </c:pt>
                <c:pt idx="4">
                  <c:v>0.21428571428571427</c:v>
                </c:pt>
                <c:pt idx="5">
                  <c:v>0.25</c:v>
                </c:pt>
                <c:pt idx="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936908517350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のり2!$Q$3:$Q$9</c:f>
              <c:numCache>
                <c:formatCode>0.0%</c:formatCode>
                <c:ptCount val="7"/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0.42857142857142855</c:v>
                </c:pt>
                <c:pt idx="5">
                  <c:v>0.36363636363636365</c:v>
                </c:pt>
                <c:pt idx="6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19874664279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DDDBBE-E1A2-4416-990D-964FDB715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A56E16-8D3D-4BEF-912C-3C2AE2EA6C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2E4081-3CC5-4D75-8B62-22D32FAAB2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29E99E-0731-40C9-91AA-52D760634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06102E-9560-4CF1-BA28-89E30A2F0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1BDB22-B781-4F67-8A3B-042438E3D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67CC32-F778-4A75-A383-90F3C62C7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651D3E-6A33-40A6-9ECA-D81216455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5FC9B8-009A-41DD-B34A-35E9AEE54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50CF89-1D91-4AE2-9D2B-A85BBF4DC3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578A7E-7839-4674-9726-989AB4094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9F7207-B8F8-40F6-A980-C181991F4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ACDF6E-3080-4131-9F39-8652784F4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69CFE6-369A-4AA7-BB59-CE870F7E6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69E11E-BA55-40D7-BE94-CF9DFB517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D8E59F9-0B4E-4E61-ACDB-79DD4D5AC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72F2C4-1942-44F1-96B1-5DBE74B9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27C342-A91B-4DAA-9D4F-B922AFE22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8A8A60-DEA8-4932-8D50-6CA98EE26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433702-ADCE-4A78-A8D3-BE98CE7B67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29CB7E-AF1F-4867-B461-1BBE89426C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E660BD-336B-40E4-A0EA-D4D2D740C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6F0A41-A794-4A95-B1BF-00926A94B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BD6983-C6BF-4D35-A265-C66DD0966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3BE615-FA3C-497F-B11A-B250ACBFD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B1A58B-7ECB-4AB9-9B57-F82E9CFBE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F7396E-F77A-4C57-9410-FF408E216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7AE4C7-BED2-400B-87C2-1FDB47D02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1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43644.048113425924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43644.048113425924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43644.048113425924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43644.048113425924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43644.048113425924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43644.048113425924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43644.048113425924</v>
      </c>
      <c r="C69" s="30" t="s">
        <v>130</v>
      </c>
    </row>
    <row r="70" spans="1:6" x14ac:dyDescent="0.4">
      <c r="A70" s="30" t="s">
        <v>260</v>
      </c>
      <c r="B70" s="31">
        <v>43644.048113425924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43644.048113425924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43644.048113425924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43644.048113425924</v>
      </c>
      <c r="C73" s="30" t="s">
        <v>130</v>
      </c>
    </row>
    <row r="74" spans="1:6" x14ac:dyDescent="0.4">
      <c r="A74" s="30" t="s">
        <v>264</v>
      </c>
      <c r="B74" s="31">
        <v>43644.048113425924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43645.826226851852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43645.8278587963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43648.961134259262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43648.961134259262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43648.961134259262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43649.547175925924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43649.547175925924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43653.838969907411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43653.838969907411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43660.922881944447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43661.4065162037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43661.406192129631</v>
      </c>
      <c r="C86" s="30" t="s">
        <v>130</v>
      </c>
    </row>
    <row r="87" spans="1:15" x14ac:dyDescent="0.4">
      <c r="A87" s="30" t="s">
        <v>278</v>
      </c>
      <c r="B87" s="31">
        <v>43661.406111111108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43661.405960648146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43661.405844907407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43661.411909722221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43661.405613425923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903</v>
      </c>
    </row>
    <row r="2" spans="1:2" x14ac:dyDescent="0.4">
      <c r="A2" t="s">
        <v>127</v>
      </c>
      <c r="B2">
        <v>191</v>
      </c>
    </row>
    <row r="3" spans="1:2" x14ac:dyDescent="0.4">
      <c r="A3" t="s">
        <v>128</v>
      </c>
      <c r="B3">
        <v>158</v>
      </c>
    </row>
    <row r="4" spans="1:2" x14ac:dyDescent="0.4">
      <c r="A4" t="s">
        <v>129</v>
      </c>
      <c r="B4">
        <v>146</v>
      </c>
    </row>
    <row r="5" spans="1:2" x14ac:dyDescent="0.4">
      <c r="A5" t="s">
        <v>171</v>
      </c>
      <c r="B5">
        <v>100</v>
      </c>
    </row>
    <row r="6" spans="1:2" x14ac:dyDescent="0.4">
      <c r="A6" t="s">
        <v>172</v>
      </c>
      <c r="B6">
        <v>100</v>
      </c>
    </row>
    <row r="7" spans="1:2" x14ac:dyDescent="0.4">
      <c r="A7" t="s">
        <v>173</v>
      </c>
      <c r="B7">
        <v>53</v>
      </c>
    </row>
    <row r="8" spans="1:2" x14ac:dyDescent="0.4">
      <c r="A8" t="s">
        <v>177</v>
      </c>
      <c r="B8">
        <v>96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0.96940099373238009</v>
      </c>
      <c r="G2" s="163"/>
      <c r="H2" s="162">
        <v>0.70592153750424913</v>
      </c>
      <c r="I2" s="163"/>
      <c r="J2" s="162">
        <v>0.89481837121366747</v>
      </c>
      <c r="K2" s="163"/>
      <c r="L2" s="162">
        <v>0.70063805856390371</v>
      </c>
      <c r="M2" s="163"/>
      <c r="N2" s="162">
        <v>0.73912568025999936</v>
      </c>
      <c r="O2" s="163"/>
      <c r="P2" s="162">
        <v>0.29672168774840479</v>
      </c>
      <c r="Q2" s="163"/>
      <c r="R2" s="162">
        <v>0.49355552532556624</v>
      </c>
      <c r="S2" s="163"/>
      <c r="T2" s="162">
        <v>0.62510947610985479</v>
      </c>
      <c r="U2" s="163"/>
      <c r="V2" s="162">
        <v>0.5074343377713838</v>
      </c>
      <c r="W2" s="163"/>
      <c r="X2" s="162">
        <v>0.57587640252661842</v>
      </c>
      <c r="Y2" s="163"/>
      <c r="Z2" s="162">
        <v>8.8904395143174664E-2</v>
      </c>
      <c r="AA2" s="163"/>
      <c r="AB2" s="162">
        <v>-8.6749687584464857E-2</v>
      </c>
      <c r="AC2" s="163"/>
      <c r="AD2" s="162">
        <v>0.75353445413192699</v>
      </c>
      <c r="AE2" s="163"/>
      <c r="AF2" s="162">
        <v>-2.3173573713844486E-2</v>
      </c>
      <c r="AG2" s="163"/>
      <c r="AH2" s="162">
        <v>0.59540378237171432</v>
      </c>
      <c r="AI2" s="163"/>
    </row>
    <row r="3" spans="1:35" x14ac:dyDescent="0.4">
      <c r="A3" s="74">
        <v>1</v>
      </c>
      <c r="B3" s="75" t="s">
        <v>127</v>
      </c>
      <c r="C3" s="76">
        <v>2390.1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0.30754475703324807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1.7591623036649215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0.17277486910994763</v>
      </c>
      <c r="X4" s="85" t="s">
        <v>128</v>
      </c>
      <c r="Y4" s="88">
        <v>0.29706790123456789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0.52095808383233533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0.48167539267015708</v>
      </c>
      <c r="J5" s="85" t="s">
        <v>200</v>
      </c>
      <c r="K5" s="87">
        <v>0.21052631578947367</v>
      </c>
      <c r="L5" s="85" t="s">
        <v>127</v>
      </c>
      <c r="M5" s="88">
        <v>0.34015345268542202</v>
      </c>
      <c r="N5" s="85" t="s">
        <v>223</v>
      </c>
      <c r="O5" s="88">
        <v>0.13043478260869565</v>
      </c>
      <c r="P5" s="85" t="s">
        <v>171</v>
      </c>
      <c r="Q5" s="89">
        <v>9999.1452991452988</v>
      </c>
      <c r="R5" s="85" t="s">
        <v>177</v>
      </c>
      <c r="S5" s="89">
        <v>-7229.0598290598291</v>
      </c>
      <c r="T5" s="85" t="s">
        <v>223</v>
      </c>
      <c r="U5" s="87">
        <v>0</v>
      </c>
      <c r="V5" s="85" t="s">
        <v>171</v>
      </c>
      <c r="W5" s="87">
        <v>0.15</v>
      </c>
      <c r="X5" s="85" t="s">
        <v>171</v>
      </c>
      <c r="Y5" s="88">
        <v>0.28829915560916769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0.50381679389312972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12.513612565445026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0.24083769633507854</v>
      </c>
      <c r="L6" s="85" t="s">
        <v>172</v>
      </c>
      <c r="M6" s="88">
        <v>0.33847980997624705</v>
      </c>
      <c r="N6" s="85" t="s">
        <v>172</v>
      </c>
      <c r="O6" s="88">
        <v>0.14133016627078385</v>
      </c>
      <c r="P6" s="85" t="s">
        <v>127</v>
      </c>
      <c r="Q6" s="89">
        <v>9217.8571428571431</v>
      </c>
      <c r="R6" s="85" t="s">
        <v>128</v>
      </c>
      <c r="S6" s="89">
        <v>-7439.1489361702124</v>
      </c>
      <c r="T6" s="85" t="s">
        <v>172</v>
      </c>
      <c r="U6" s="87">
        <v>0.05</v>
      </c>
      <c r="V6" s="85" t="s">
        <v>145</v>
      </c>
      <c r="W6" s="87">
        <v>0.12070874861572536</v>
      </c>
      <c r="X6" s="85" t="s">
        <v>177</v>
      </c>
      <c r="Y6" s="88">
        <v>0.27713920817369092</v>
      </c>
      <c r="Z6" s="85" t="s">
        <v>172</v>
      </c>
      <c r="AA6" s="88">
        <v>0.28978622327790976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48.899999999999928</v>
      </c>
      <c r="D7" s="85" t="s">
        <v>200</v>
      </c>
      <c r="E7" s="97">
        <v>4.9631578947368409</v>
      </c>
      <c r="F7" s="85" t="s">
        <v>177</v>
      </c>
      <c r="G7" s="86">
        <v>1.9791666666666667</v>
      </c>
      <c r="H7" s="85" t="s">
        <v>177</v>
      </c>
      <c r="I7" s="87">
        <v>0.34375</v>
      </c>
      <c r="J7" s="85" t="s">
        <v>172</v>
      </c>
      <c r="K7" s="87">
        <v>0.3</v>
      </c>
      <c r="L7" s="85" t="s">
        <v>145</v>
      </c>
      <c r="M7" s="88">
        <v>0.29834401709401709</v>
      </c>
      <c r="N7" s="85" t="s">
        <v>177</v>
      </c>
      <c r="O7" s="88">
        <v>0.14942528735632185</v>
      </c>
      <c r="P7" s="85" t="s">
        <v>128</v>
      </c>
      <c r="Q7" s="89">
        <v>8987.4301675977658</v>
      </c>
      <c r="R7" s="85" t="s">
        <v>145</v>
      </c>
      <c r="S7" s="89">
        <v>-8114.6752205292705</v>
      </c>
      <c r="T7" s="85" t="s">
        <v>127</v>
      </c>
      <c r="U7" s="87">
        <v>8.9005235602094238E-2</v>
      </c>
      <c r="V7" s="85" t="s">
        <v>177</v>
      </c>
      <c r="W7" s="87">
        <v>0.11458333333333333</v>
      </c>
      <c r="X7" s="85" t="s">
        <v>145</v>
      </c>
      <c r="Y7" s="88">
        <v>0.27083333333333331</v>
      </c>
      <c r="Z7" s="85" t="s">
        <v>184</v>
      </c>
      <c r="AA7" s="88">
        <v>0.24861878453038674</v>
      </c>
      <c r="AB7" s="85" t="s">
        <v>177</v>
      </c>
      <c r="AC7" s="88">
        <v>0.61290322580645162</v>
      </c>
      <c r="AD7" s="85" t="s">
        <v>172</v>
      </c>
      <c r="AE7" s="88">
        <v>0.42213114754098363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0.50937499999999925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0.32291666666666669</v>
      </c>
      <c r="L8" s="85" t="s">
        <v>173</v>
      </c>
      <c r="M8" s="88">
        <v>0.2841648590021692</v>
      </c>
      <c r="N8" s="85" t="s">
        <v>127</v>
      </c>
      <c r="O8" s="88">
        <v>0.15025575447570333</v>
      </c>
      <c r="P8" s="85" t="s">
        <v>177</v>
      </c>
      <c r="Q8" s="89">
        <v>8874.8837209302328</v>
      </c>
      <c r="R8" s="85" t="s">
        <v>127</v>
      </c>
      <c r="S8" s="89">
        <v>-8150.6382978723404</v>
      </c>
      <c r="T8" s="85" t="s">
        <v>171</v>
      </c>
      <c r="U8" s="87">
        <v>0.11</v>
      </c>
      <c r="V8" s="85" t="s">
        <v>129</v>
      </c>
      <c r="W8" s="87">
        <v>0.10273972602739725</v>
      </c>
      <c r="X8" s="85" t="s">
        <v>183</v>
      </c>
      <c r="Y8" s="88">
        <v>0.26315789473684209</v>
      </c>
      <c r="Z8" s="85" t="s">
        <v>173</v>
      </c>
      <c r="AA8" s="88">
        <v>0.23644251626898047</v>
      </c>
      <c r="AB8" s="85" t="s">
        <v>183</v>
      </c>
      <c r="AC8" s="88">
        <v>0.6</v>
      </c>
      <c r="AD8" s="85" t="s">
        <v>171</v>
      </c>
      <c r="AE8" s="88">
        <v>0.40490797546012269</v>
      </c>
      <c r="AF8" s="85" t="s">
        <v>177</v>
      </c>
      <c r="AG8" s="88">
        <v>0.45581395348837211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-7.1054273576010019E-15</v>
      </c>
      <c r="D9" s="85" t="s">
        <v>145</v>
      </c>
      <c r="E9" s="97">
        <v>-7.8686903184950183E-18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0.28226779252110978</v>
      </c>
      <c r="N9" s="85" t="s">
        <v>200</v>
      </c>
      <c r="O9" s="88">
        <v>0.16</v>
      </c>
      <c r="P9" s="85" t="s">
        <v>145</v>
      </c>
      <c r="Q9" s="89">
        <v>8640.2417188898835</v>
      </c>
      <c r="R9" s="85" t="s">
        <v>172</v>
      </c>
      <c r="S9" s="89">
        <v>-8181.5126050420167</v>
      </c>
      <c r="T9" s="85" t="s">
        <v>145</v>
      </c>
      <c r="U9" s="87">
        <v>0.12070874861572536</v>
      </c>
      <c r="V9" s="85" t="s">
        <v>128</v>
      </c>
      <c r="W9" s="87">
        <v>0.10126582278481013</v>
      </c>
      <c r="X9" s="85" t="s">
        <v>129</v>
      </c>
      <c r="Y9" s="88">
        <v>0.25592804578904332</v>
      </c>
      <c r="Z9" s="85" t="s">
        <v>127</v>
      </c>
      <c r="AA9" s="88">
        <v>0.21355498721227623</v>
      </c>
      <c r="AB9" s="85" t="s">
        <v>128</v>
      </c>
      <c r="AC9" s="88">
        <v>0.58701298701298699</v>
      </c>
      <c r="AD9" s="85" t="s">
        <v>145</v>
      </c>
      <c r="AE9" s="88">
        <v>0.39936908517350156</v>
      </c>
      <c r="AF9" s="85" t="s">
        <v>128</v>
      </c>
      <c r="AG9" s="88">
        <v>0.43854748603351956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171</v>
      </c>
      <c r="C10" s="84">
        <v>-46.699999999999989</v>
      </c>
      <c r="D10" s="85" t="s">
        <v>171</v>
      </c>
      <c r="E10" s="97">
        <v>-0.46699999999999986</v>
      </c>
      <c r="F10" s="85" t="s">
        <v>172</v>
      </c>
      <c r="G10" s="86">
        <v>2.0499999999999998</v>
      </c>
      <c r="H10" s="85" t="s">
        <v>171</v>
      </c>
      <c r="I10" s="87">
        <v>0.3</v>
      </c>
      <c r="J10" s="85" t="s">
        <v>223</v>
      </c>
      <c r="K10" s="87">
        <v>0.33333333333333331</v>
      </c>
      <c r="L10" s="85" t="s">
        <v>184</v>
      </c>
      <c r="M10" s="88">
        <v>0.27624309392265195</v>
      </c>
      <c r="N10" s="85" t="s">
        <v>145</v>
      </c>
      <c r="O10" s="88">
        <v>0.16653311965811965</v>
      </c>
      <c r="P10" s="85" t="s">
        <v>184</v>
      </c>
      <c r="Q10" s="89">
        <v>8434</v>
      </c>
      <c r="R10" s="85" t="s">
        <v>173</v>
      </c>
      <c r="S10" s="89">
        <v>-8327.3809523809523</v>
      </c>
      <c r="T10" s="85" t="s">
        <v>128</v>
      </c>
      <c r="U10" s="87">
        <v>0.12658227848101267</v>
      </c>
      <c r="V10" s="85" t="s">
        <v>172</v>
      </c>
      <c r="W10" s="87">
        <v>0.1</v>
      </c>
      <c r="X10" s="85" t="s">
        <v>200</v>
      </c>
      <c r="Y10" s="88">
        <v>0.24571428571428572</v>
      </c>
      <c r="Z10" s="85" t="s">
        <v>145</v>
      </c>
      <c r="AA10" s="88">
        <v>0.21167200854700854</v>
      </c>
      <c r="AB10" s="85" t="s">
        <v>127</v>
      </c>
      <c r="AC10" s="88">
        <v>0.57796257796257799</v>
      </c>
      <c r="AD10" s="85" t="s">
        <v>184</v>
      </c>
      <c r="AE10" s="88">
        <v>0.37777777777777777</v>
      </c>
      <c r="AF10" s="85" t="s">
        <v>145</v>
      </c>
      <c r="AG10" s="88">
        <v>0.43419874664279318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-177.80000000000004</v>
      </c>
      <c r="D11" s="85" t="s">
        <v>172</v>
      </c>
      <c r="E11" s="97">
        <v>-1.7780000000000005</v>
      </c>
      <c r="F11" s="85" t="s">
        <v>171</v>
      </c>
      <c r="G11" s="86">
        <v>2.06</v>
      </c>
      <c r="H11" s="85" t="s">
        <v>129</v>
      </c>
      <c r="I11" s="87">
        <v>0.29452054794520549</v>
      </c>
      <c r="J11" s="85" t="s">
        <v>128</v>
      </c>
      <c r="K11" s="87">
        <v>0.34177215189873417</v>
      </c>
      <c r="L11" s="85" t="s">
        <v>128</v>
      </c>
      <c r="M11" s="88">
        <v>0.27623456790123457</v>
      </c>
      <c r="N11" s="85" t="s">
        <v>171</v>
      </c>
      <c r="O11" s="88">
        <v>0.1773220747889023</v>
      </c>
      <c r="P11" s="85" t="s">
        <v>129</v>
      </c>
      <c r="Q11" s="89">
        <v>8275.3012048192777</v>
      </c>
      <c r="R11" s="85" t="s">
        <v>200</v>
      </c>
      <c r="S11" s="89">
        <v>-8367.8571428571431</v>
      </c>
      <c r="T11" s="85" t="s">
        <v>177</v>
      </c>
      <c r="U11" s="87">
        <v>0.13541666666666666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0.57692307692307687</v>
      </c>
      <c r="AD11" s="85" t="s">
        <v>173</v>
      </c>
      <c r="AE11" s="88">
        <v>0.33944954128440369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-2.5506329113924053</v>
      </c>
      <c r="F12" s="85" t="s">
        <v>128</v>
      </c>
      <c r="G12" s="86">
        <v>2.0696202531645569</v>
      </c>
      <c r="H12" s="85" t="s">
        <v>173</v>
      </c>
      <c r="I12" s="87">
        <v>0.28301886792452829</v>
      </c>
      <c r="J12" s="85" t="s">
        <v>171</v>
      </c>
      <c r="K12" s="87">
        <v>0.36</v>
      </c>
      <c r="L12" s="85" t="s">
        <v>177</v>
      </c>
      <c r="M12" s="88">
        <v>0.27458492975734355</v>
      </c>
      <c r="N12" s="85" t="s">
        <v>129</v>
      </c>
      <c r="O12" s="88">
        <v>0.17988552739165986</v>
      </c>
      <c r="P12" s="85" t="s">
        <v>200</v>
      </c>
      <c r="Q12" s="89">
        <v>8058.333333333333</v>
      </c>
      <c r="R12" s="85" t="s">
        <v>171</v>
      </c>
      <c r="S12" s="89">
        <v>-8448.299319727892</v>
      </c>
      <c r="T12" s="85" t="s">
        <v>173</v>
      </c>
      <c r="U12" s="87">
        <v>0.15094339622641509</v>
      </c>
      <c r="V12" s="85" t="s">
        <v>173</v>
      </c>
      <c r="W12" s="87">
        <v>7.5471698113207544E-2</v>
      </c>
      <c r="X12" s="85" t="s">
        <v>222</v>
      </c>
      <c r="Y12" s="88">
        <v>0.23076923076923078</v>
      </c>
      <c r="Z12" s="85" t="s">
        <v>171</v>
      </c>
      <c r="AA12" s="88">
        <v>0.19662243667068757</v>
      </c>
      <c r="AB12" s="85" t="s">
        <v>171</v>
      </c>
      <c r="AC12" s="88">
        <v>0.56485355648535562</v>
      </c>
      <c r="AD12" s="85" t="s">
        <v>177</v>
      </c>
      <c r="AE12" s="88">
        <v>0.3380281690140845</v>
      </c>
      <c r="AF12" s="85" t="s">
        <v>129</v>
      </c>
      <c r="AG12" s="88">
        <v>0.4246987951807229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-7.4849056603773594</v>
      </c>
      <c r="F13" s="85" t="s">
        <v>173</v>
      </c>
      <c r="G13" s="86">
        <v>2.1132075471698113</v>
      </c>
      <c r="H13" s="85" t="s">
        <v>128</v>
      </c>
      <c r="I13" s="87">
        <v>0.27215189873417722</v>
      </c>
      <c r="J13" s="85" t="s">
        <v>173</v>
      </c>
      <c r="K13" s="87">
        <v>0.39622641509433965</v>
      </c>
      <c r="L13" s="85" t="s">
        <v>129</v>
      </c>
      <c r="M13" s="88">
        <v>0.27146361406377761</v>
      </c>
      <c r="N13" s="85" t="s">
        <v>128</v>
      </c>
      <c r="O13" s="88">
        <v>0.18132716049382716</v>
      </c>
      <c r="P13" s="85" t="s">
        <v>183</v>
      </c>
      <c r="Q13" s="89">
        <v>7860</v>
      </c>
      <c r="R13" s="85" t="s">
        <v>129</v>
      </c>
      <c r="S13" s="89">
        <v>-8580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0.22342733188720174</v>
      </c>
      <c r="Z13" s="85" t="s">
        <v>129</v>
      </c>
      <c r="AA13" s="88">
        <v>0.18642681929681112</v>
      </c>
      <c r="AB13" s="85" t="s">
        <v>172</v>
      </c>
      <c r="AC13" s="88">
        <v>0.55555555555555558</v>
      </c>
      <c r="AD13" s="85" t="s">
        <v>129</v>
      </c>
      <c r="AE13" s="88">
        <v>0.33333333333333331</v>
      </c>
      <c r="AF13" s="85" t="s">
        <v>127</v>
      </c>
      <c r="AG13" s="88">
        <v>0.41729323308270677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-396.70000000000005</v>
      </c>
      <c r="D14" s="85" t="s">
        <v>129</v>
      </c>
      <c r="E14" s="97">
        <v>-8.0924657534246567</v>
      </c>
      <c r="F14" s="85" t="s">
        <v>129</v>
      </c>
      <c r="G14" s="86">
        <v>2.1164383561643834</v>
      </c>
      <c r="H14" s="85" t="s">
        <v>172</v>
      </c>
      <c r="I14" s="87">
        <v>0.25</v>
      </c>
      <c r="J14" s="85" t="s">
        <v>129</v>
      </c>
      <c r="K14" s="87">
        <v>0.41095890410958902</v>
      </c>
      <c r="L14" s="85" t="s">
        <v>183</v>
      </c>
      <c r="M14" s="88">
        <v>0.26315789473684209</v>
      </c>
      <c r="N14" s="85" t="s">
        <v>173</v>
      </c>
      <c r="O14" s="88">
        <v>0.1822125813449024</v>
      </c>
      <c r="P14" s="85" t="s">
        <v>173</v>
      </c>
      <c r="Q14" s="89">
        <v>7648.0916030534354</v>
      </c>
      <c r="R14" s="85" t="s">
        <v>184</v>
      </c>
      <c r="S14" s="89">
        <v>-9878.0487804878048</v>
      </c>
      <c r="T14" s="85" t="s">
        <v>129</v>
      </c>
      <c r="U14" s="87">
        <v>0.16438356164383561</v>
      </c>
      <c r="V14" s="85" t="s">
        <v>183</v>
      </c>
      <c r="W14" s="87">
        <v>0</v>
      </c>
      <c r="X14" s="85" t="s">
        <v>172</v>
      </c>
      <c r="Y14" s="88">
        <v>0.21377672209026127</v>
      </c>
      <c r="Z14" s="85" t="s">
        <v>177</v>
      </c>
      <c r="AA14" s="88">
        <v>0.18135376756066413</v>
      </c>
      <c r="AB14" s="85" t="s">
        <v>173</v>
      </c>
      <c r="AC14" s="88">
        <v>0.55339805825242716</v>
      </c>
      <c r="AD14" s="85" t="s">
        <v>128</v>
      </c>
      <c r="AE14" s="88">
        <v>0.32286995515695066</v>
      </c>
      <c r="AF14" s="85" t="s">
        <v>171</v>
      </c>
      <c r="AG14" s="88">
        <v>0.40598290598290598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-403.00000000000006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6753.333333333333</v>
      </c>
      <c r="R15" s="85" t="s">
        <v>223</v>
      </c>
      <c r="S15" s="89">
        <v>-10583.333333333334</v>
      </c>
      <c r="T15" s="85" t="s">
        <v>271</v>
      </c>
      <c r="U15" s="87">
        <v>0.16666666666666666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0.17206790123456789</v>
      </c>
      <c r="AB15" s="85" t="s">
        <v>129</v>
      </c>
      <c r="AC15" s="88">
        <v>0.54313099041533541</v>
      </c>
      <c r="AD15" s="85" t="s">
        <v>271</v>
      </c>
      <c r="AE15" s="88">
        <v>0.25</v>
      </c>
      <c r="AF15" s="85" t="s">
        <v>172</v>
      </c>
      <c r="AG15" s="88">
        <v>0.4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-1181.5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903</v>
      </c>
      <c r="C2" s="151"/>
      <c r="E2" s="62" t="s">
        <v>67</v>
      </c>
      <c r="F2" s="59" t="s">
        <v>23</v>
      </c>
      <c r="G2" s="46">
        <v>1607</v>
      </c>
      <c r="H2" s="132">
        <f>IF(B$17=0,0,G2/B$17)</f>
        <v>0.71933751119068934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-16.611295681063122</v>
      </c>
      <c r="P2" s="118">
        <v>903</v>
      </c>
      <c r="Q2" s="102">
        <v>-15000</v>
      </c>
    </row>
    <row r="3" spans="1:17" x14ac:dyDescent="0.4">
      <c r="A3" s="55" t="s">
        <v>8</v>
      </c>
      <c r="B3" s="152">
        <v>7488</v>
      </c>
      <c r="C3" s="153"/>
      <c r="E3" s="63" t="s">
        <v>73</v>
      </c>
      <c r="F3" s="60" t="s">
        <v>28</v>
      </c>
      <c r="G3" s="47">
        <v>1152</v>
      </c>
      <c r="H3" s="133">
        <f>IF(B$17=0,0,G3/B$17)</f>
        <v>0.51566696508504928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-5.6689342403628116</v>
      </c>
      <c r="P3" s="119">
        <v>882</v>
      </c>
      <c r="Q3" s="103">
        <v>-5000</v>
      </c>
    </row>
    <row r="4" spans="1:17" x14ac:dyDescent="0.4">
      <c r="A4" s="55" t="s">
        <v>6</v>
      </c>
      <c r="B4" s="154">
        <v>-7.1054273576010019E-15</v>
      </c>
      <c r="C4" s="155"/>
      <c r="E4" s="63" t="s">
        <v>65</v>
      </c>
      <c r="F4" s="60" t="s">
        <v>21</v>
      </c>
      <c r="G4" s="47">
        <v>1115</v>
      </c>
      <c r="H4" s="133">
        <f>IF(B$17=0,0,G4/B$17)</f>
        <v>0.4991047448522829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12.165450121654501</v>
      </c>
      <c r="P4" s="119">
        <v>822</v>
      </c>
      <c r="Q4" s="103">
        <v>10000</v>
      </c>
    </row>
    <row r="5" spans="1:17" x14ac:dyDescent="0.4">
      <c r="A5" s="55" t="s">
        <v>7</v>
      </c>
      <c r="B5" s="156">
        <f>IF(B$2=0,0,B$4/B$2)</f>
        <v>-7.8686903184950183E-18</v>
      </c>
      <c r="C5" s="157"/>
      <c r="E5" s="63" t="s">
        <v>245</v>
      </c>
      <c r="F5" s="60" t="s">
        <v>246</v>
      </c>
      <c r="G5" s="47">
        <v>903</v>
      </c>
      <c r="H5" s="133">
        <f>IF(B$17=0,0,G5/B$17)</f>
        <v>0.40420769919427035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5.2910052910052912</v>
      </c>
      <c r="P5" s="119">
        <v>756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694</v>
      </c>
      <c r="H6" s="133">
        <f>IF(B$17=0,0,G6/B$17)</f>
        <v>0.31065353625783348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-14.749262536873156</v>
      </c>
      <c r="P6" s="119">
        <v>678</v>
      </c>
      <c r="Q6" s="103">
        <v>-10000</v>
      </c>
    </row>
    <row r="7" spans="1:17" x14ac:dyDescent="0.4">
      <c r="A7" s="55" t="s">
        <v>2</v>
      </c>
      <c r="B7" s="47">
        <v>301</v>
      </c>
      <c r="C7" s="39">
        <f>IF(B$2=0,0,B7/B$2)</f>
        <v>0.33333333333333331</v>
      </c>
      <c r="E7" s="63" t="s">
        <v>68</v>
      </c>
      <c r="F7" s="60" t="s">
        <v>24</v>
      </c>
      <c r="G7" s="47">
        <v>674</v>
      </c>
      <c r="H7" s="133">
        <f>IF(B$17=0,0,G7/B$17)</f>
        <v>0.30170098478066248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26.666666666666668</v>
      </c>
      <c r="P7" s="120">
        <v>600</v>
      </c>
      <c r="Q7" s="104">
        <v>16000</v>
      </c>
    </row>
    <row r="8" spans="1:17" x14ac:dyDescent="0.4">
      <c r="A8" s="55" t="s">
        <v>3</v>
      </c>
      <c r="B8" s="47">
        <v>301</v>
      </c>
      <c r="C8" s="39">
        <f>IF(B$2=0,0,B8/B$2)</f>
        <v>0.33333333333333331</v>
      </c>
      <c r="E8" s="63" t="s">
        <v>70</v>
      </c>
      <c r="F8" s="60" t="s">
        <v>25</v>
      </c>
      <c r="G8" s="47">
        <v>380</v>
      </c>
      <c r="H8" s="133">
        <f>IF(B$17=0,0,G8/B$17)</f>
        <v>0.17009847806624889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301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289</v>
      </c>
      <c r="H9" s="133">
        <f>IF(B$17=0,0,G9/B$17)</f>
        <v>0.12936436884512087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109</v>
      </c>
      <c r="C10" s="40">
        <f>IF(B$2=0,0,B10/B$2)</f>
        <v>0.12070874861572536</v>
      </c>
      <c r="E10" s="63" t="s">
        <v>66</v>
      </c>
      <c r="F10" s="60" t="s">
        <v>22</v>
      </c>
      <c r="G10" s="47">
        <v>247</v>
      </c>
      <c r="H10" s="133">
        <f>IF(B$17=0,0,G10/B$17)</f>
        <v>0.11056401074306177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-2.7166112956810609</v>
      </c>
      <c r="P10" s="118">
        <v>301</v>
      </c>
      <c r="Q10" s="106">
        <v>-817.69999999999936</v>
      </c>
    </row>
    <row r="11" spans="1:17" x14ac:dyDescent="0.4">
      <c r="A11" s="56" t="s">
        <v>140</v>
      </c>
      <c r="B11" s="48">
        <v>109</v>
      </c>
      <c r="C11" s="40">
        <f>IF(B$2=0,0,B11/B$2)</f>
        <v>0.12070874861572536</v>
      </c>
      <c r="E11" s="63" t="s">
        <v>71</v>
      </c>
      <c r="F11" s="60" t="s">
        <v>26</v>
      </c>
      <c r="G11" s="47">
        <v>229</v>
      </c>
      <c r="H11" s="133">
        <f>IF(B$17=0,0,G11/B$17)</f>
        <v>0.10250671441360788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2.2219269102990036</v>
      </c>
      <c r="P11" s="119">
        <v>301</v>
      </c>
      <c r="Q11" s="107">
        <v>668.80000000000007</v>
      </c>
    </row>
    <row r="12" spans="1:17" x14ac:dyDescent="0.4">
      <c r="A12" s="57" t="s">
        <v>160</v>
      </c>
      <c r="B12" s="49">
        <v>80</v>
      </c>
      <c r="C12" s="42">
        <f>IF(B$2=0,0,B12/B$2)</f>
        <v>8.8593576965669996E-2</v>
      </c>
      <c r="E12" s="63" t="s">
        <v>72</v>
      </c>
      <c r="F12" s="60" t="s">
        <v>27</v>
      </c>
      <c r="G12" s="47">
        <v>151</v>
      </c>
      <c r="H12" s="133">
        <f>IF(B$17=0,0,G12/B$17)</f>
        <v>6.7591763652640996E-2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0.49468438538205933</v>
      </c>
      <c r="P12" s="120">
        <v>301</v>
      </c>
      <c r="Q12" s="108">
        <v>148.89999999999986</v>
      </c>
    </row>
    <row r="13" spans="1:17" x14ac:dyDescent="0.4">
      <c r="A13" s="58" t="s">
        <v>122</v>
      </c>
      <c r="B13" s="50">
        <v>2028</v>
      </c>
      <c r="C13" s="44">
        <f>IF(B$3=0,0,B13/B$3)</f>
        <v>0.27083333333333331</v>
      </c>
      <c r="E13" s="63" t="s">
        <v>87</v>
      </c>
      <c r="F13" s="60" t="s">
        <v>42</v>
      </c>
      <c r="G13" s="47">
        <v>129</v>
      </c>
      <c r="H13" s="133">
        <f>IF(B$17=0,0,G13/B$17)</f>
        <v>5.774395702775291E-2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1585</v>
      </c>
      <c r="C14" s="39">
        <f>IF(B$3=0,0,B14/B$3)</f>
        <v>0.21167200854700854</v>
      </c>
      <c r="E14" s="63" t="s">
        <v>84</v>
      </c>
      <c r="F14" s="60" t="s">
        <v>39</v>
      </c>
      <c r="G14" s="47">
        <v>108</v>
      </c>
      <c r="H14" s="133">
        <f>IF(B$17=0,0,G14/B$17)</f>
        <v>4.8343777976723366E-2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1170</v>
      </c>
      <c r="C15" s="37">
        <f>IF(B$13=0,0,B15/B$13)</f>
        <v>0.57692307692307687</v>
      </c>
      <c r="E15" s="63" t="s">
        <v>79</v>
      </c>
      <c r="F15" s="60" t="s">
        <v>34</v>
      </c>
      <c r="G15" s="47">
        <v>60</v>
      </c>
      <c r="H15" s="133">
        <f>IF(B$17=0,0,G15/B$17)</f>
        <v>2.685765443151298E-2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633</v>
      </c>
      <c r="C16" s="37">
        <f>IF(B$14=0,0,B16/B$14)</f>
        <v>0.39936908517350156</v>
      </c>
      <c r="E16" s="63" t="s">
        <v>82</v>
      </c>
      <c r="F16" s="60" t="s">
        <v>37</v>
      </c>
      <c r="G16" s="47">
        <v>59</v>
      </c>
      <c r="H16" s="133">
        <f>IF(B$17=0,0,G16/B$17)</f>
        <v>2.6410026857654433E-2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2234</v>
      </c>
      <c r="C17" s="37">
        <f>IF(B$3=0,0,B17/B$3)</f>
        <v>0.29834401709401709</v>
      </c>
      <c r="E17" s="63" t="s">
        <v>92</v>
      </c>
      <c r="F17" s="60" t="s">
        <v>47</v>
      </c>
      <c r="G17" s="47">
        <v>44</v>
      </c>
      <c r="H17" s="133">
        <f>IF(B$17=0,0,G17/B$17)</f>
        <v>1.9695613249776187E-2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12.138698630137013</v>
      </c>
      <c r="P17" s="119">
        <v>292</v>
      </c>
      <c r="Q17" s="107">
        <v>3544.5000000000077</v>
      </c>
    </row>
    <row r="18" spans="1:17" x14ac:dyDescent="0.4">
      <c r="A18" s="55" t="s">
        <v>12</v>
      </c>
      <c r="B18" s="47">
        <v>970</v>
      </c>
      <c r="C18" s="39">
        <f>IF(B$17=0,0,B18/B$17)</f>
        <v>0.43419874664279318</v>
      </c>
      <c r="E18" s="63" t="s">
        <v>180</v>
      </c>
      <c r="F18" s="60" t="s">
        <v>181</v>
      </c>
      <c r="G18" s="47">
        <v>37</v>
      </c>
      <c r="H18" s="133">
        <f>IF(B$17=0,0,G18/B$17)</f>
        <v>1.656222023276634E-2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11.227358490566031</v>
      </c>
      <c r="P18" s="119">
        <v>106</v>
      </c>
      <c r="Q18" s="107">
        <v>1190.0999999999992</v>
      </c>
    </row>
    <row r="19" spans="1:17" x14ac:dyDescent="0.4">
      <c r="A19" s="55" t="s">
        <v>11</v>
      </c>
      <c r="B19" s="47">
        <v>1264</v>
      </c>
      <c r="C19" s="39">
        <f>IF(B$17=0,0,B19/B$17)</f>
        <v>0.56580125335720677</v>
      </c>
      <c r="E19" s="63" t="s">
        <v>80</v>
      </c>
      <c r="F19" s="60" t="s">
        <v>35</v>
      </c>
      <c r="G19" s="47">
        <v>35</v>
      </c>
      <c r="H19" s="133">
        <f>IF(B$17=0,0,G19/B$17)</f>
        <v>1.566696508504924E-2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3.8259493670886084</v>
      </c>
      <c r="P19" s="119">
        <v>316</v>
      </c>
      <c r="Q19" s="107">
        <v>1209.0000000000002</v>
      </c>
    </row>
    <row r="20" spans="1:17" x14ac:dyDescent="0.4">
      <c r="A20" s="55" t="s">
        <v>13</v>
      </c>
      <c r="B20" s="47">
        <v>1247</v>
      </c>
      <c r="C20" s="39">
        <f>IF(B$3=0,0,B20/B$3)</f>
        <v>0.16653311965811965</v>
      </c>
      <c r="E20" s="63" t="s">
        <v>78</v>
      </c>
      <c r="F20" s="60" t="s">
        <v>33</v>
      </c>
      <c r="G20" s="47">
        <v>19</v>
      </c>
      <c r="H20" s="133">
        <f>IF(B$17=0,0,G20/B$17)</f>
        <v>8.5049239033124432E-3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2.6669999999999994</v>
      </c>
      <c r="P20" s="119">
        <v>200</v>
      </c>
      <c r="Q20" s="107">
        <v>533.39999999999986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14</v>
      </c>
      <c r="H21" s="133">
        <f>IF(B$17=0,0,G21/B$17)</f>
        <v>6.2667860340196958E-3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0.70050000000000234</v>
      </c>
      <c r="P21" s="119">
        <v>200</v>
      </c>
      <c r="Q21" s="107">
        <v>140.10000000000048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76</v>
      </c>
      <c r="F22" s="60" t="s">
        <v>31</v>
      </c>
      <c r="G22" s="47">
        <v>13</v>
      </c>
      <c r="H22" s="133">
        <f>IF(B$17=0,0,G22/B$17)</f>
        <v>5.8191584601611458E-3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-0.7640625000000022</v>
      </c>
      <c r="P22" s="119">
        <v>192</v>
      </c>
      <c r="Q22" s="107">
        <v>-146.70000000000041</v>
      </c>
    </row>
    <row r="23" spans="1:17" x14ac:dyDescent="0.4">
      <c r="A23" s="55" t="s">
        <v>5</v>
      </c>
      <c r="B23" s="51">
        <f>IF(B$17=0,0,C23/B$17)</f>
        <v>8640.2417188898835</v>
      </c>
      <c r="C23" s="41">
        <v>19302300</v>
      </c>
      <c r="E23" s="63" t="s">
        <v>86</v>
      </c>
      <c r="F23" s="60" t="s">
        <v>41</v>
      </c>
      <c r="G23" s="47">
        <v>11</v>
      </c>
      <c r="H23" s="133">
        <f>IF(B$17=0,0,G23/B$17)</f>
        <v>4.9239033124440466E-3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-8114.6752205292705</v>
      </c>
      <c r="C24" s="45">
        <v>-10119000</v>
      </c>
      <c r="E24" s="63" t="s">
        <v>75</v>
      </c>
      <c r="F24" s="60" t="s">
        <v>30</v>
      </c>
      <c r="G24" s="47">
        <v>9</v>
      </c>
      <c r="H24" s="133">
        <f>IF(B$17=0,0,G24/B$17)</f>
        <v>4.0286481647269475E-3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-18.770418848167527</v>
      </c>
      <c r="P24" s="119">
        <v>382</v>
      </c>
      <c r="Q24" s="107">
        <v>-7170.2999999999956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3.5810205908683975E-3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3.1333930170098479E-3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2.5373931623931625E-3</v>
      </c>
      <c r="E27" s="63" t="s">
        <v>85</v>
      </c>
      <c r="F27" s="60" t="s">
        <v>40</v>
      </c>
      <c r="G27" s="47">
        <v>6</v>
      </c>
      <c r="H27" s="133">
        <f>IF(B$17=0,0,G27/B$17)</f>
        <v>2.6857654431512983E-3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2.6857654431512983E-3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2.6857654431512983E-3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1.7905102954341987E-3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8.9525514771709937E-4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4.4762757385854968E-4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4.4762757385854968E-4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4.4762757385854968E-4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1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191</v>
      </c>
      <c r="C2" s="151"/>
      <c r="E2" s="62" t="s">
        <v>67</v>
      </c>
      <c r="F2" s="59" t="s">
        <v>23</v>
      </c>
      <c r="G2" s="46">
        <v>393</v>
      </c>
      <c r="H2" s="132">
        <f>IF(B$17=0,0,G2/B$17)</f>
        <v>0.73872180451127822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1451.8324607329844</v>
      </c>
      <c r="P2" s="118">
        <v>191</v>
      </c>
      <c r="Q2" s="102">
        <v>277300</v>
      </c>
    </row>
    <row r="3" spans="1:17" x14ac:dyDescent="0.4">
      <c r="A3" s="55" t="s">
        <v>8</v>
      </c>
      <c r="B3" s="152">
        <v>1564</v>
      </c>
      <c r="C3" s="153"/>
      <c r="E3" s="63" t="s">
        <v>73</v>
      </c>
      <c r="F3" s="60" t="s">
        <v>28</v>
      </c>
      <c r="G3" s="47">
        <v>298</v>
      </c>
      <c r="H3" s="133">
        <f>IF(B$17=0,0,G3/B$17)</f>
        <v>0.56015037593984962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2115.5913978494623</v>
      </c>
      <c r="P3" s="119">
        <v>186</v>
      </c>
      <c r="Q3" s="103">
        <v>393500</v>
      </c>
    </row>
    <row r="4" spans="1:17" x14ac:dyDescent="0.4">
      <c r="A4" s="55" t="s">
        <v>6</v>
      </c>
      <c r="B4" s="154">
        <v>2390.1</v>
      </c>
      <c r="C4" s="155"/>
      <c r="E4" s="63" t="s">
        <v>65</v>
      </c>
      <c r="F4" s="60" t="s">
        <v>21</v>
      </c>
      <c r="G4" s="47">
        <v>253</v>
      </c>
      <c r="H4" s="133">
        <f>IF(B$17=0,0,G4/B$17)</f>
        <v>0.47556390977443608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1029.3785310734463</v>
      </c>
      <c r="P4" s="119">
        <v>177</v>
      </c>
      <c r="Q4" s="103">
        <v>182200</v>
      </c>
    </row>
    <row r="5" spans="1:17" x14ac:dyDescent="0.4">
      <c r="A5" s="55" t="s">
        <v>7</v>
      </c>
      <c r="B5" s="156">
        <f>IF(B$2=0,0,B$4/B$2)</f>
        <v>12.513612565445026</v>
      </c>
      <c r="C5" s="157"/>
      <c r="E5" s="63" t="s">
        <v>245</v>
      </c>
      <c r="F5" s="60" t="s">
        <v>246</v>
      </c>
      <c r="G5" s="47">
        <v>217</v>
      </c>
      <c r="H5" s="133">
        <f>IF(B$17=0,0,G5/B$17)</f>
        <v>0.40789473684210525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2176.687116564417</v>
      </c>
      <c r="P5" s="119">
        <v>163</v>
      </c>
      <c r="Q5" s="103">
        <v>354800</v>
      </c>
    </row>
    <row r="6" spans="1:17" x14ac:dyDescent="0.4">
      <c r="A6" s="55" t="s">
        <v>1</v>
      </c>
      <c r="B6" s="146">
        <f>IF(B$2=0,0,(B$7*1+B$8*2+B$9*3)/B$2)</f>
        <v>1.7591623036649215</v>
      </c>
      <c r="C6" s="147"/>
      <c r="E6" s="63" t="s">
        <v>68</v>
      </c>
      <c r="F6" s="60" t="s">
        <v>24</v>
      </c>
      <c r="G6" s="47">
        <v>162</v>
      </c>
      <c r="H6" s="133">
        <f>IF(B$17=0,0,G6/B$17)</f>
        <v>0.30451127819548873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814.48275862068965</v>
      </c>
      <c r="P6" s="119">
        <v>145</v>
      </c>
      <c r="Q6" s="103">
        <v>118100</v>
      </c>
    </row>
    <row r="7" spans="1:17" x14ac:dyDescent="0.4">
      <c r="A7" s="55" t="s">
        <v>2</v>
      </c>
      <c r="B7" s="47">
        <v>92</v>
      </c>
      <c r="C7" s="39">
        <f>IF(B$2=0,0,B7/B$2)</f>
        <v>0.48167539267015708</v>
      </c>
      <c r="E7" s="63" t="s">
        <v>69</v>
      </c>
      <c r="F7" s="60" t="s">
        <v>12</v>
      </c>
      <c r="G7" s="47">
        <v>144</v>
      </c>
      <c r="H7" s="133">
        <f>IF(B$17=0,0,G7/B$17)</f>
        <v>0.27067669172932329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1172.2222222222222</v>
      </c>
      <c r="P7" s="120">
        <v>126</v>
      </c>
      <c r="Q7" s="104">
        <v>147700</v>
      </c>
    </row>
    <row r="8" spans="1:17" x14ac:dyDescent="0.4">
      <c r="A8" s="55" t="s">
        <v>3</v>
      </c>
      <c r="B8" s="47">
        <v>53</v>
      </c>
      <c r="C8" s="39">
        <f>IF(B$2=0,0,B8/B$2)</f>
        <v>0.27748691099476441</v>
      </c>
      <c r="E8" s="63" t="s">
        <v>90</v>
      </c>
      <c r="F8" s="60" t="s">
        <v>45</v>
      </c>
      <c r="G8" s="47">
        <v>87</v>
      </c>
      <c r="H8" s="133">
        <f>IF(B$17=0,0,G8/B$17)</f>
        <v>0.16353383458646617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0.24083769633507854</v>
      </c>
      <c r="E9" s="63" t="s">
        <v>70</v>
      </c>
      <c r="F9" s="60" t="s">
        <v>25</v>
      </c>
      <c r="G9" s="47">
        <v>85</v>
      </c>
      <c r="H9" s="133">
        <f>IF(B$17=0,0,G9/B$17)</f>
        <v>0.15977443609022557</v>
      </c>
      <c r="I9" s="94">
        <v>10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8.9005235602094238E-2</v>
      </c>
      <c r="E10" s="63" t="s">
        <v>66</v>
      </c>
      <c r="F10" s="60" t="s">
        <v>22</v>
      </c>
      <c r="G10" s="47">
        <v>65</v>
      </c>
      <c r="H10" s="133">
        <f>IF(B$17=0,0,G10/B$17)</f>
        <v>0.12218045112781954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15.200000000000003</v>
      </c>
      <c r="P10" s="118">
        <v>58</v>
      </c>
      <c r="Q10" s="106">
        <v>881.60000000000014</v>
      </c>
    </row>
    <row r="11" spans="1:17" x14ac:dyDescent="0.4">
      <c r="A11" s="56" t="s">
        <v>140</v>
      </c>
      <c r="B11" s="48">
        <v>33</v>
      </c>
      <c r="C11" s="40">
        <f>IF(B$2=0,0,B11/B$2)</f>
        <v>0.17277486910994763</v>
      </c>
      <c r="E11" s="63" t="s">
        <v>71</v>
      </c>
      <c r="F11" s="60" t="s">
        <v>26</v>
      </c>
      <c r="G11" s="47">
        <v>45</v>
      </c>
      <c r="H11" s="133">
        <f>IF(B$17=0,0,G11/B$17)</f>
        <v>8.4586466165413529E-2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12.055737704918032</v>
      </c>
      <c r="P11" s="119">
        <v>61</v>
      </c>
      <c r="Q11" s="107">
        <v>735.4</v>
      </c>
    </row>
    <row r="12" spans="1:17" x14ac:dyDescent="0.4">
      <c r="A12" s="57" t="s">
        <v>160</v>
      </c>
      <c r="B12" s="49">
        <v>27</v>
      </c>
      <c r="C12" s="42">
        <f>IF(B$2=0,0,B12/B$2)</f>
        <v>0.14136125654450263</v>
      </c>
      <c r="E12" s="63" t="s">
        <v>87</v>
      </c>
      <c r="F12" s="60" t="s">
        <v>42</v>
      </c>
      <c r="G12" s="47">
        <v>37</v>
      </c>
      <c r="H12" s="133">
        <f>IF(B$17=0,0,G12/B$17)</f>
        <v>6.9548872180451124E-2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10.737500000000004</v>
      </c>
      <c r="P12" s="120">
        <v>72</v>
      </c>
      <c r="Q12" s="108">
        <v>773.10000000000036</v>
      </c>
    </row>
    <row r="13" spans="1:17" x14ac:dyDescent="0.4">
      <c r="A13" s="58" t="s">
        <v>122</v>
      </c>
      <c r="B13" s="50">
        <v>481</v>
      </c>
      <c r="C13" s="44">
        <f>IF(B$3=0,0,B13/B$3)</f>
        <v>0.30754475703324807</v>
      </c>
      <c r="E13" s="63" t="s">
        <v>72</v>
      </c>
      <c r="F13" s="60" t="s">
        <v>27</v>
      </c>
      <c r="G13" s="47">
        <v>35</v>
      </c>
      <c r="H13" s="133">
        <f>IF(B$17=0,0,G13/B$17)</f>
        <v>6.5789473684210523E-2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334</v>
      </c>
      <c r="C14" s="39">
        <f>IF(B$3=0,0,B14/B$3)</f>
        <v>0.21355498721227623</v>
      </c>
      <c r="E14" s="63" t="s">
        <v>84</v>
      </c>
      <c r="F14" s="60" t="s">
        <v>39</v>
      </c>
      <c r="G14" s="47">
        <v>27</v>
      </c>
      <c r="H14" s="133">
        <f>IF(B$17=0,0,G14/B$17)</f>
        <v>5.0751879699248117E-2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278</v>
      </c>
      <c r="C15" s="37">
        <f>IF(B$13=0,0,B15/B$13)</f>
        <v>0.57796257796257799</v>
      </c>
      <c r="E15" s="63" t="s">
        <v>180</v>
      </c>
      <c r="F15" s="60" t="s">
        <v>181</v>
      </c>
      <c r="G15" s="47">
        <v>21</v>
      </c>
      <c r="H15" s="133">
        <f>IF(B$17=0,0,G15/B$17)</f>
        <v>3.9473684210526314E-2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174</v>
      </c>
      <c r="C16" s="37">
        <f>IF(B$14=0,0,B16/B$14)</f>
        <v>0.52095808383233533</v>
      </c>
      <c r="E16" s="63" t="s">
        <v>79</v>
      </c>
      <c r="F16" s="60" t="s">
        <v>34</v>
      </c>
      <c r="G16" s="47">
        <v>13</v>
      </c>
      <c r="H16" s="133">
        <f>IF(B$17=0,0,G16/B$17)</f>
        <v>2.4436090225563908E-2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532</v>
      </c>
      <c r="C17" s="37">
        <f>IF(B$3=0,0,B17/B$3)</f>
        <v>0.34015345268542202</v>
      </c>
      <c r="E17" s="63" t="s">
        <v>82</v>
      </c>
      <c r="F17" s="60" t="s">
        <v>37</v>
      </c>
      <c r="G17" s="47">
        <v>12</v>
      </c>
      <c r="H17" s="133">
        <f>IF(B$17=0,0,G17/B$17)</f>
        <v>2.2556390977443608E-2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222</v>
      </c>
      <c r="C18" s="39">
        <f>IF(B$17=0,0,B18/B$17)</f>
        <v>0.41729323308270677</v>
      </c>
      <c r="E18" s="63" t="s">
        <v>92</v>
      </c>
      <c r="F18" s="60" t="s">
        <v>47</v>
      </c>
      <c r="G18" s="47">
        <v>12</v>
      </c>
      <c r="H18" s="133">
        <f>IF(B$17=0,0,G18/B$17)</f>
        <v>2.2556390977443608E-2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26.555999999999994</v>
      </c>
      <c r="P18" s="119">
        <v>50</v>
      </c>
      <c r="Q18" s="107">
        <v>1327.7999999999997</v>
      </c>
    </row>
    <row r="19" spans="1:17" x14ac:dyDescent="0.4">
      <c r="A19" s="55" t="s">
        <v>11</v>
      </c>
      <c r="B19" s="47">
        <v>310</v>
      </c>
      <c r="C19" s="39">
        <f>IF(B$17=0,0,B19/B$17)</f>
        <v>0.58270676691729328</v>
      </c>
      <c r="E19" s="63" t="s">
        <v>80</v>
      </c>
      <c r="F19" s="60" t="s">
        <v>35</v>
      </c>
      <c r="G19" s="47">
        <v>8</v>
      </c>
      <c r="H19" s="133">
        <f>IF(B$17=0,0,G19/B$17)</f>
        <v>1.5037593984962405E-2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25.375581395348835</v>
      </c>
      <c r="P19" s="119">
        <v>86</v>
      </c>
      <c r="Q19" s="107">
        <v>2182.2999999999997</v>
      </c>
    </row>
    <row r="20" spans="1:17" x14ac:dyDescent="0.4">
      <c r="A20" s="55" t="s">
        <v>13</v>
      </c>
      <c r="B20" s="47">
        <v>235</v>
      </c>
      <c r="C20" s="39">
        <f>IF(B$3=0,0,B20/B$3)</f>
        <v>0.15025575447570333</v>
      </c>
      <c r="E20" s="63" t="s">
        <v>86</v>
      </c>
      <c r="F20" s="60" t="s">
        <v>41</v>
      </c>
      <c r="G20" s="47">
        <v>6</v>
      </c>
      <c r="H20" s="133">
        <f>IF(B$17=0,0,G20/B$17)</f>
        <v>1.1278195488721804E-2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19.146153846153855</v>
      </c>
      <c r="P20" s="119">
        <v>39</v>
      </c>
      <c r="Q20" s="107">
        <v>746.70000000000027</v>
      </c>
    </row>
    <row r="21" spans="1:17" x14ac:dyDescent="0.4">
      <c r="A21" s="55" t="s">
        <v>191</v>
      </c>
      <c r="B21" s="47">
        <v>7</v>
      </c>
      <c r="C21" s="135">
        <v>4</v>
      </c>
      <c r="E21" s="63" t="s">
        <v>78</v>
      </c>
      <c r="F21" s="60" t="s">
        <v>33</v>
      </c>
      <c r="G21" s="47">
        <v>4</v>
      </c>
      <c r="H21" s="133">
        <f>IF(B$17=0,0,G21/B$17)</f>
        <v>7.5187969924812026E-3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18.133944954128438</v>
      </c>
      <c r="P21" s="119">
        <v>109</v>
      </c>
      <c r="Q21" s="107">
        <v>1976.6</v>
      </c>
    </row>
    <row r="22" spans="1:17" x14ac:dyDescent="0.4">
      <c r="A22" s="55" t="s">
        <v>192</v>
      </c>
      <c r="B22" s="47">
        <v>39</v>
      </c>
      <c r="C22" s="135">
        <v>13</v>
      </c>
      <c r="E22" s="63" t="s">
        <v>74</v>
      </c>
      <c r="F22" s="60" t="s">
        <v>29</v>
      </c>
      <c r="G22" s="47">
        <v>3</v>
      </c>
      <c r="H22" s="133">
        <f>IF(B$17=0,0,G22/B$17)</f>
        <v>5.6390977443609019E-3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9217.8571428571431</v>
      </c>
      <c r="C23" s="41">
        <v>4903900</v>
      </c>
      <c r="E23" s="63" t="s">
        <v>91</v>
      </c>
      <c r="F23" s="60" t="s">
        <v>46</v>
      </c>
      <c r="G23" s="47">
        <v>3</v>
      </c>
      <c r="H23" s="133">
        <f>IF(B$17=0,0,G23/B$17)</f>
        <v>5.6390977443609019E-3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-8150.6382978723404</v>
      </c>
      <c r="C24" s="45">
        <v>-1915400</v>
      </c>
      <c r="E24" s="63" t="s">
        <v>93</v>
      </c>
      <c r="F24" s="60" t="s">
        <v>48</v>
      </c>
      <c r="G24" s="47">
        <v>3</v>
      </c>
      <c r="H24" s="133">
        <f>IF(B$17=0,0,G24/B$17)</f>
        <v>5.6390977443609019E-3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3.7593984962406013E-3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3.7593984962406013E-3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6.3938618925831207E-4</v>
      </c>
      <c r="E27" s="63" t="s">
        <v>76</v>
      </c>
      <c r="F27" s="60" t="s">
        <v>31</v>
      </c>
      <c r="G27" s="47">
        <v>1</v>
      </c>
      <c r="H27" s="133">
        <f>IF(B$17=0,0,G27/B$17)</f>
        <v>1.8796992481203006E-3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1.8796992481203006E-3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1.8796992481203006E-3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1.8796992481203006E-3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158</v>
      </c>
      <c r="C2" s="151"/>
      <c r="E2" s="62" t="s">
        <v>67</v>
      </c>
      <c r="F2" s="59" t="s">
        <v>23</v>
      </c>
      <c r="G2" s="46">
        <v>265</v>
      </c>
      <c r="H2" s="132">
        <f>IF(B$17=0,0,G2/B$17)</f>
        <v>0.74022346368715086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598.7341772151899</v>
      </c>
      <c r="P2" s="118">
        <v>158</v>
      </c>
      <c r="Q2" s="102">
        <v>94600</v>
      </c>
    </row>
    <row r="3" spans="1:17" x14ac:dyDescent="0.4">
      <c r="A3" s="55" t="s">
        <v>8</v>
      </c>
      <c r="B3" s="152">
        <v>1296</v>
      </c>
      <c r="C3" s="153"/>
      <c r="E3" s="63" t="s">
        <v>65</v>
      </c>
      <c r="F3" s="60" t="s">
        <v>21</v>
      </c>
      <c r="G3" s="47">
        <v>214</v>
      </c>
      <c r="H3" s="133">
        <f>IF(B$17=0,0,G3/B$17)</f>
        <v>0.5977653631284916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-1425.4901960784314</v>
      </c>
      <c r="P3" s="119">
        <v>153</v>
      </c>
      <c r="Q3" s="103">
        <v>-218100</v>
      </c>
    </row>
    <row r="4" spans="1:17" x14ac:dyDescent="0.4">
      <c r="A4" s="55" t="s">
        <v>6</v>
      </c>
      <c r="B4" s="154">
        <v>-403.00000000000006</v>
      </c>
      <c r="C4" s="155"/>
      <c r="E4" s="63" t="s">
        <v>73</v>
      </c>
      <c r="F4" s="60" t="s">
        <v>28</v>
      </c>
      <c r="G4" s="47">
        <v>163</v>
      </c>
      <c r="H4" s="133">
        <f>IF(B$17=0,0,G4/B$17)</f>
        <v>0.45530726256983239</v>
      </c>
      <c r="I4" s="94">
        <v>11</v>
      </c>
      <c r="K4" s="38">
        <v>2</v>
      </c>
      <c r="L4" s="99">
        <v>6.2999999999999972</v>
      </c>
      <c r="N4" s="115" t="s">
        <v>134</v>
      </c>
      <c r="O4" s="122">
        <f t="shared" si="0"/>
        <v>-492.46575342465752</v>
      </c>
      <c r="P4" s="119">
        <v>146</v>
      </c>
      <c r="Q4" s="103">
        <v>-71900</v>
      </c>
    </row>
    <row r="5" spans="1:17" x14ac:dyDescent="0.4">
      <c r="A5" s="55" t="s">
        <v>7</v>
      </c>
      <c r="B5" s="156">
        <f>IF(B$2=0,0,B$4/B$2)</f>
        <v>-2.5506329113924053</v>
      </c>
      <c r="C5" s="157"/>
      <c r="E5" s="63" t="s">
        <v>245</v>
      </c>
      <c r="F5" s="60" t="s">
        <v>246</v>
      </c>
      <c r="G5" s="47">
        <v>147</v>
      </c>
      <c r="H5" s="133">
        <f>IF(B$17=0,0,G5/B$17)</f>
        <v>0.41061452513966479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-39.694656488549619</v>
      </c>
      <c r="P5" s="119">
        <v>131</v>
      </c>
      <c r="Q5" s="103">
        <v>-5200</v>
      </c>
    </row>
    <row r="6" spans="1:17" x14ac:dyDescent="0.4">
      <c r="A6" s="55" t="s">
        <v>1</v>
      </c>
      <c r="B6" s="146">
        <f>IF(B$2=0,0,(B$7*1+B$8*2+B$9*3)/B$2)</f>
        <v>2.0696202531645569</v>
      </c>
      <c r="C6" s="147"/>
      <c r="E6" s="63" t="s">
        <v>68</v>
      </c>
      <c r="F6" s="60" t="s">
        <v>24</v>
      </c>
      <c r="G6" s="47">
        <v>139</v>
      </c>
      <c r="H6" s="133">
        <f>IF(B$17=0,0,G6/B$17)</f>
        <v>0.38826815642458101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573.27586206896547</v>
      </c>
      <c r="P6" s="119">
        <v>116</v>
      </c>
      <c r="Q6" s="103">
        <v>66500</v>
      </c>
    </row>
    <row r="7" spans="1:17" x14ac:dyDescent="0.4">
      <c r="A7" s="55" t="s">
        <v>2</v>
      </c>
      <c r="B7" s="47">
        <v>43</v>
      </c>
      <c r="C7" s="39">
        <f>IF(B$2=0,0,B7/B$2)</f>
        <v>0.27215189873417722</v>
      </c>
      <c r="E7" s="63" t="s">
        <v>69</v>
      </c>
      <c r="F7" s="60" t="s">
        <v>12</v>
      </c>
      <c r="G7" s="47">
        <v>126</v>
      </c>
      <c r="H7" s="133">
        <f>IF(B$17=0,0,G7/B$17)</f>
        <v>0.35195530726256985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-315.09433962264148</v>
      </c>
      <c r="P7" s="120">
        <v>106</v>
      </c>
      <c r="Q7" s="104">
        <v>-33400</v>
      </c>
    </row>
    <row r="8" spans="1:17" x14ac:dyDescent="0.4">
      <c r="A8" s="55" t="s">
        <v>3</v>
      </c>
      <c r="B8" s="47">
        <v>61</v>
      </c>
      <c r="C8" s="39">
        <f>IF(B$2=0,0,B8/B$2)</f>
        <v>0.38607594936708861</v>
      </c>
      <c r="E8" s="63" t="s">
        <v>70</v>
      </c>
      <c r="F8" s="60" t="s">
        <v>25</v>
      </c>
      <c r="G8" s="47">
        <v>77</v>
      </c>
      <c r="H8" s="133">
        <f>IF(B$17=0,0,G8/B$17)</f>
        <v>0.21508379888268156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0.34177215189873417</v>
      </c>
      <c r="E9" s="63" t="s">
        <v>66</v>
      </c>
      <c r="F9" s="60" t="s">
        <v>22</v>
      </c>
      <c r="G9" s="47">
        <v>52</v>
      </c>
      <c r="H9" s="133">
        <f>IF(B$17=0,0,G9/B$17)</f>
        <v>0.14525139664804471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0.12658227848101267</v>
      </c>
      <c r="E10" s="63" t="s">
        <v>71</v>
      </c>
      <c r="F10" s="60" t="s">
        <v>26</v>
      </c>
      <c r="G10" s="47">
        <v>45</v>
      </c>
      <c r="H10" s="133">
        <f>IF(B$17=0,0,G10/B$17)</f>
        <v>0.12569832402234637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0.10126582278481013</v>
      </c>
      <c r="E11" s="63" t="s">
        <v>90</v>
      </c>
      <c r="F11" s="60" t="s">
        <v>45</v>
      </c>
      <c r="G11" s="47">
        <v>42</v>
      </c>
      <c r="H11" s="133">
        <f>IF(B$17=0,0,G11/B$17)</f>
        <v>0.11731843575418995</v>
      </c>
      <c r="I11" s="94">
        <v>8</v>
      </c>
      <c r="K11" s="38">
        <v>9</v>
      </c>
      <c r="L11" s="99">
        <v>-79.5</v>
      </c>
      <c r="N11" s="115" t="s">
        <v>165</v>
      </c>
      <c r="O11" s="125">
        <f>IF(P11=0,0,Q11/P11)</f>
        <v>-2.0547619047619041</v>
      </c>
      <c r="P11" s="119">
        <v>42</v>
      </c>
      <c r="Q11" s="107">
        <v>-86.299999999999969</v>
      </c>
    </row>
    <row r="12" spans="1:17" x14ac:dyDescent="0.4">
      <c r="A12" s="57" t="s">
        <v>160</v>
      </c>
      <c r="B12" s="49">
        <v>9</v>
      </c>
      <c r="C12" s="42">
        <f>IF(B$2=0,0,B12/B$2)</f>
        <v>5.6962025316455694E-2</v>
      </c>
      <c r="E12" s="63" t="s">
        <v>87</v>
      </c>
      <c r="F12" s="60" t="s">
        <v>42</v>
      </c>
      <c r="G12" s="47">
        <v>20</v>
      </c>
      <c r="H12" s="133">
        <f>IF(B$17=0,0,G12/B$17)</f>
        <v>5.5865921787709494E-2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2.3799999999999994</v>
      </c>
      <c r="P12" s="120">
        <v>40</v>
      </c>
      <c r="Q12" s="108">
        <v>95.199999999999974</v>
      </c>
    </row>
    <row r="13" spans="1:17" x14ac:dyDescent="0.4">
      <c r="A13" s="58" t="s">
        <v>122</v>
      </c>
      <c r="B13" s="50">
        <v>385</v>
      </c>
      <c r="C13" s="44">
        <f>IF(B$3=0,0,B13/B$3)</f>
        <v>0.29706790123456789</v>
      </c>
      <c r="E13" s="63" t="s">
        <v>72</v>
      </c>
      <c r="F13" s="60" t="s">
        <v>27</v>
      </c>
      <c r="G13" s="47">
        <v>17</v>
      </c>
      <c r="H13" s="133">
        <f>IF(B$17=0,0,G13/B$17)</f>
        <v>4.7486033519553071E-2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223</v>
      </c>
      <c r="C14" s="39">
        <f>IF(B$3=0,0,B14/B$3)</f>
        <v>0.17206790123456789</v>
      </c>
      <c r="E14" s="63" t="s">
        <v>84</v>
      </c>
      <c r="F14" s="60" t="s">
        <v>39</v>
      </c>
      <c r="G14" s="47">
        <v>15</v>
      </c>
      <c r="H14" s="133">
        <f>IF(B$17=0,0,G14/B$17)</f>
        <v>4.189944134078212E-2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226</v>
      </c>
      <c r="C15" s="37">
        <f>IF(B$13=0,0,B15/B$13)</f>
        <v>0.58701298701298699</v>
      </c>
      <c r="E15" s="63" t="s">
        <v>82</v>
      </c>
      <c r="F15" s="60" t="s">
        <v>37</v>
      </c>
      <c r="G15" s="47">
        <v>11</v>
      </c>
      <c r="H15" s="133">
        <f>IF(B$17=0,0,G15/B$17)</f>
        <v>3.0726256983240222E-2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72</v>
      </c>
      <c r="C16" s="37">
        <f>IF(B$14=0,0,B16/B$14)</f>
        <v>0.32286995515695066</v>
      </c>
      <c r="E16" s="63" t="s">
        <v>79</v>
      </c>
      <c r="F16" s="60" t="s">
        <v>34</v>
      </c>
      <c r="G16" s="47">
        <v>8</v>
      </c>
      <c r="H16" s="133">
        <f>IF(B$17=0,0,G16/B$17)</f>
        <v>2.23463687150838E-2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358</v>
      </c>
      <c r="C17" s="37">
        <f>IF(B$3=0,0,B17/B$3)</f>
        <v>0.27623456790123457</v>
      </c>
      <c r="E17" s="63" t="s">
        <v>80</v>
      </c>
      <c r="F17" s="60" t="s">
        <v>35</v>
      </c>
      <c r="G17" s="47">
        <v>7</v>
      </c>
      <c r="H17" s="133">
        <f>IF(B$17=0,0,G17/B$17)</f>
        <v>1.9553072625698324E-2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6.4841269841269833</v>
      </c>
      <c r="P17" s="119">
        <v>63</v>
      </c>
      <c r="Q17" s="107">
        <v>408.49999999999994</v>
      </c>
    </row>
    <row r="18" spans="1:17" x14ac:dyDescent="0.4">
      <c r="A18" s="55" t="s">
        <v>12</v>
      </c>
      <c r="B18" s="47">
        <v>157</v>
      </c>
      <c r="C18" s="39">
        <f>IF(B$17=0,0,B18/B$17)</f>
        <v>0.43854748603351956</v>
      </c>
      <c r="E18" s="63" t="s">
        <v>180</v>
      </c>
      <c r="F18" s="60" t="s">
        <v>181</v>
      </c>
      <c r="G18" s="47">
        <v>7</v>
      </c>
      <c r="H18" s="133">
        <f>IF(B$17=0,0,G18/B$17)</f>
        <v>1.9553072625698324E-2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201</v>
      </c>
      <c r="C19" s="39">
        <f>IF(B$17=0,0,B19/B$17)</f>
        <v>0.56145251396648044</v>
      </c>
      <c r="E19" s="63" t="s">
        <v>92</v>
      </c>
      <c r="F19" s="60" t="s">
        <v>47</v>
      </c>
      <c r="G19" s="47">
        <v>6</v>
      </c>
      <c r="H19" s="133">
        <f>IF(B$17=0,0,G19/B$17)</f>
        <v>1.6759776536312849E-2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>IF(P19=0,0,Q19/P19)</f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235</v>
      </c>
      <c r="C20" s="39">
        <f>IF(B$3=0,0,B20/B$3)</f>
        <v>0.18132716049382716</v>
      </c>
      <c r="E20" s="63" t="s">
        <v>76</v>
      </c>
      <c r="F20" s="60" t="s">
        <v>31</v>
      </c>
      <c r="G20" s="47">
        <v>4</v>
      </c>
      <c r="H20" s="133">
        <f>IF(B$17=0,0,G20/B$17)</f>
        <v>1.11731843575419E-2</v>
      </c>
      <c r="I20" s="94">
        <v>3</v>
      </c>
      <c r="K20" s="38">
        <v>18</v>
      </c>
      <c r="L20" s="99">
        <v>116.69999999999999</v>
      </c>
      <c r="N20" s="115" t="s">
        <v>177</v>
      </c>
      <c r="O20" s="125">
        <f>IF(P20=0,0,Q20/P20)</f>
        <v>-1.8258064516129036</v>
      </c>
      <c r="P20" s="119">
        <v>31</v>
      </c>
      <c r="Q20" s="107">
        <v>-56.600000000000009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8.3798882681564244E-3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4</v>
      </c>
      <c r="E22" s="63" t="s">
        <v>75</v>
      </c>
      <c r="F22" s="60" t="s">
        <v>30</v>
      </c>
      <c r="G22" s="47">
        <v>2</v>
      </c>
      <c r="H22" s="133">
        <f>IF(B$17=0,0,G22/B$17)</f>
        <v>5.5865921787709499E-3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-18.133944954128438</v>
      </c>
      <c r="P22" s="119">
        <v>109</v>
      </c>
      <c r="Q22" s="107">
        <v>-1976.6</v>
      </c>
    </row>
    <row r="23" spans="1:17" x14ac:dyDescent="0.4">
      <c r="A23" s="55" t="s">
        <v>5</v>
      </c>
      <c r="B23" s="51">
        <f>IF(B$17=0,0,C23/B$17)</f>
        <v>8987.4301675977658</v>
      </c>
      <c r="C23" s="41">
        <v>3217500</v>
      </c>
      <c r="E23" s="63" t="s">
        <v>78</v>
      </c>
      <c r="F23" s="60" t="s">
        <v>33</v>
      </c>
      <c r="G23" s="47">
        <v>1</v>
      </c>
      <c r="H23" s="133">
        <f>IF(B$17=0,0,G23/B$17)</f>
        <v>2.7932960893854749E-3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-7439.1489361702124</v>
      </c>
      <c r="C24" s="45">
        <v>-1748200</v>
      </c>
      <c r="E24" s="63" t="s">
        <v>85</v>
      </c>
      <c r="F24" s="60" t="s">
        <v>40</v>
      </c>
      <c r="G24" s="47">
        <v>1</v>
      </c>
      <c r="H24" s="133">
        <f>IF(B$17=0,0,G24/B$17)</f>
        <v>2.7932960893854749E-3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2.7932960893854749E-3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2.7932960893854749E-3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3.8580246913580245E-3</v>
      </c>
      <c r="E27" s="63" t="s">
        <v>94</v>
      </c>
      <c r="F27" s="60" t="s">
        <v>49</v>
      </c>
      <c r="G27" s="47">
        <v>1</v>
      </c>
      <c r="H27" s="133">
        <f>IF(B$17=0,0,G27/B$17)</f>
        <v>2.7932960893854749E-3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2.7932960893854749E-3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4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146</v>
      </c>
      <c r="C2" s="151"/>
      <c r="E2" s="62" t="s">
        <v>67</v>
      </c>
      <c r="F2" s="59" t="s">
        <v>23</v>
      </c>
      <c r="G2" s="46">
        <v>268</v>
      </c>
      <c r="H2" s="132">
        <f>IF(B$17=0,0,G2/B$17)</f>
        <v>0.80722891566265065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-1987.6712328767123</v>
      </c>
      <c r="P2" s="118">
        <v>146</v>
      </c>
      <c r="Q2" s="102">
        <v>-290200</v>
      </c>
    </row>
    <row r="3" spans="1:17" x14ac:dyDescent="0.4">
      <c r="A3" s="55" t="s">
        <v>8</v>
      </c>
      <c r="B3" s="152">
        <v>1223</v>
      </c>
      <c r="C3" s="153"/>
      <c r="E3" s="63" t="s">
        <v>65</v>
      </c>
      <c r="F3" s="60" t="s">
        <v>21</v>
      </c>
      <c r="G3" s="47">
        <v>162</v>
      </c>
      <c r="H3" s="133">
        <f>IF(B$17=0,0,G3/B$17)</f>
        <v>0.48795180722891568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-1661.2676056338028</v>
      </c>
      <c r="P3" s="119">
        <v>142</v>
      </c>
      <c r="Q3" s="103">
        <v>-235900</v>
      </c>
    </row>
    <row r="4" spans="1:17" x14ac:dyDescent="0.4">
      <c r="A4" s="55" t="s">
        <v>6</v>
      </c>
      <c r="B4" s="154">
        <v>-1181.5</v>
      </c>
      <c r="C4" s="155"/>
      <c r="E4" s="63" t="s">
        <v>73</v>
      </c>
      <c r="F4" s="60" t="s">
        <v>28</v>
      </c>
      <c r="G4" s="47">
        <v>143</v>
      </c>
      <c r="H4" s="133">
        <f>IF(B$17=0,0,G4/B$17)</f>
        <v>0.43072289156626509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909.70149253731347</v>
      </c>
      <c r="P4" s="119">
        <v>134</v>
      </c>
      <c r="Q4" s="103">
        <v>121900</v>
      </c>
    </row>
    <row r="5" spans="1:17" x14ac:dyDescent="0.4">
      <c r="A5" s="55" t="s">
        <v>7</v>
      </c>
      <c r="B5" s="156">
        <f>IF(B$2=0,0,B$4/B$2)</f>
        <v>-8.0924657534246567</v>
      </c>
      <c r="C5" s="157"/>
      <c r="E5" s="63" t="s">
        <v>245</v>
      </c>
      <c r="F5" s="60" t="s">
        <v>246</v>
      </c>
      <c r="G5" s="47">
        <v>133</v>
      </c>
      <c r="H5" s="133">
        <f>IF(B$17=0,0,G5/B$17)</f>
        <v>0.4006024096385542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-2994.1666666666665</v>
      </c>
      <c r="P5" s="119">
        <v>120</v>
      </c>
      <c r="Q5" s="103">
        <v>-359300</v>
      </c>
    </row>
    <row r="6" spans="1:17" x14ac:dyDescent="0.4">
      <c r="A6" s="55" t="s">
        <v>1</v>
      </c>
      <c r="B6" s="146">
        <f>IF(B$2=0,0,(B$7*1+B$8*2+B$9*3)/B$2)</f>
        <v>2.1164383561643834</v>
      </c>
      <c r="C6" s="147"/>
      <c r="E6" s="63" t="s">
        <v>69</v>
      </c>
      <c r="F6" s="60" t="s">
        <v>12</v>
      </c>
      <c r="G6" s="47">
        <v>114</v>
      </c>
      <c r="H6" s="133">
        <f>IF(B$17=0,0,G6/B$17)</f>
        <v>0.34337349397590361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-241.28440366972478</v>
      </c>
      <c r="P6" s="119">
        <v>109</v>
      </c>
      <c r="Q6" s="103">
        <v>-26300</v>
      </c>
    </row>
    <row r="7" spans="1:17" x14ac:dyDescent="0.4">
      <c r="A7" s="55" t="s">
        <v>2</v>
      </c>
      <c r="B7" s="47">
        <v>43</v>
      </c>
      <c r="C7" s="39">
        <f>IF(B$2=0,0,B7/B$2)</f>
        <v>0.29452054794520549</v>
      </c>
      <c r="E7" s="63" t="s">
        <v>68</v>
      </c>
      <c r="F7" s="60" t="s">
        <v>24</v>
      </c>
      <c r="G7" s="47">
        <v>88</v>
      </c>
      <c r="H7" s="133">
        <f>IF(B$17=0,0,G7/B$17)</f>
        <v>0.26506024096385544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-211.22448979591837</v>
      </c>
      <c r="P7" s="120">
        <v>98</v>
      </c>
      <c r="Q7" s="104">
        <v>-20700</v>
      </c>
    </row>
    <row r="8" spans="1:17" x14ac:dyDescent="0.4">
      <c r="A8" s="55" t="s">
        <v>3</v>
      </c>
      <c r="B8" s="47">
        <v>43</v>
      </c>
      <c r="C8" s="39">
        <f>IF(B$2=0,0,B8/B$2)</f>
        <v>0.29452054794520549</v>
      </c>
      <c r="E8" s="63" t="s">
        <v>70</v>
      </c>
      <c r="F8" s="60" t="s">
        <v>25</v>
      </c>
      <c r="G8" s="47">
        <v>55</v>
      </c>
      <c r="H8" s="133">
        <f>IF(B$17=0,0,G8/B$17)</f>
        <v>0.16566265060240964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60</v>
      </c>
      <c r="C9" s="40">
        <f t="shared" ref="C9" si="1">IF(B$2=0,0,B9/B$2)</f>
        <v>0.41095890410958902</v>
      </c>
      <c r="E9" s="63" t="s">
        <v>71</v>
      </c>
      <c r="F9" s="60" t="s">
        <v>26</v>
      </c>
      <c r="G9" s="47">
        <v>50</v>
      </c>
      <c r="H9" s="133">
        <f>IF(B$17=0,0,G9/B$17)</f>
        <v>0.15060240963855423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0.16438356164383561</v>
      </c>
      <c r="E10" s="63" t="s">
        <v>90</v>
      </c>
      <c r="F10" s="60" t="s">
        <v>45</v>
      </c>
      <c r="G10" s="47">
        <v>37</v>
      </c>
      <c r="H10" s="133">
        <f>IF(B$17=0,0,G10/B$17)</f>
        <v>0.11144578313253012</v>
      </c>
      <c r="I10" s="94">
        <v>10</v>
      </c>
      <c r="K10" s="38">
        <v>8</v>
      </c>
      <c r="L10" s="99">
        <v>-79.599999999999994</v>
      </c>
      <c r="N10" s="114" t="s">
        <v>164</v>
      </c>
      <c r="O10" s="124">
        <f>IF(P10=0,0,Q10/P10)</f>
        <v>-13.158139534883714</v>
      </c>
      <c r="P10" s="118">
        <v>43</v>
      </c>
      <c r="Q10" s="106">
        <v>-565.79999999999973</v>
      </c>
    </row>
    <row r="11" spans="1:17" x14ac:dyDescent="0.4">
      <c r="A11" s="56" t="s">
        <v>140</v>
      </c>
      <c r="B11" s="48">
        <v>15</v>
      </c>
      <c r="C11" s="40">
        <f>IF(B$2=0,0,B11/B$2)</f>
        <v>0.10273972602739725</v>
      </c>
      <c r="E11" s="63" t="s">
        <v>72</v>
      </c>
      <c r="F11" s="60" t="s">
        <v>27</v>
      </c>
      <c r="G11" s="47">
        <v>32</v>
      </c>
      <c r="H11" s="133">
        <f>IF(B$17=0,0,G11/B$17)</f>
        <v>9.6385542168674704E-2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-5.0481481481481509</v>
      </c>
      <c r="P11" s="119">
        <v>54</v>
      </c>
      <c r="Q11" s="107">
        <v>-272.60000000000014</v>
      </c>
    </row>
    <row r="12" spans="1:17" x14ac:dyDescent="0.4">
      <c r="A12" s="57" t="s">
        <v>160</v>
      </c>
      <c r="B12" s="49">
        <v>14</v>
      </c>
      <c r="C12" s="42">
        <f>IF(B$2=0,0,B12/B$2)</f>
        <v>9.5890410958904104E-2</v>
      </c>
      <c r="E12" s="63" t="s">
        <v>66</v>
      </c>
      <c r="F12" s="60" t="s">
        <v>22</v>
      </c>
      <c r="G12" s="47">
        <v>28</v>
      </c>
      <c r="H12" s="133">
        <f>IF(B$17=0,0,G12/B$17)</f>
        <v>8.4337349397590355E-2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-7.0020408163265273</v>
      </c>
      <c r="P12" s="120">
        <v>49</v>
      </c>
      <c r="Q12" s="108">
        <v>-343.09999999999985</v>
      </c>
    </row>
    <row r="13" spans="1:17" x14ac:dyDescent="0.4">
      <c r="A13" s="58" t="s">
        <v>122</v>
      </c>
      <c r="B13" s="50">
        <v>313</v>
      </c>
      <c r="C13" s="44">
        <f>IF(B$3=0,0,B13/B$3)</f>
        <v>0.25592804578904332</v>
      </c>
      <c r="E13" s="63" t="s">
        <v>87</v>
      </c>
      <c r="F13" s="60" t="s">
        <v>42</v>
      </c>
      <c r="G13" s="47">
        <v>20</v>
      </c>
      <c r="H13" s="133">
        <f>IF(B$17=0,0,G13/B$17)</f>
        <v>6.0240963855421686E-2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228</v>
      </c>
      <c r="C14" s="39">
        <f>IF(B$3=0,0,B14/B$3)</f>
        <v>0.18642681929681112</v>
      </c>
      <c r="E14" s="63" t="s">
        <v>79</v>
      </c>
      <c r="F14" s="60" t="s">
        <v>34</v>
      </c>
      <c r="G14" s="47">
        <v>11</v>
      </c>
      <c r="H14" s="133">
        <f>IF(B$17=0,0,G14/B$17)</f>
        <v>3.313253012048193E-2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170</v>
      </c>
      <c r="C15" s="37">
        <f>IF(B$13=0,0,B15/B$13)</f>
        <v>0.54313099041533541</v>
      </c>
      <c r="E15" s="63" t="s">
        <v>84</v>
      </c>
      <c r="F15" s="60" t="s">
        <v>39</v>
      </c>
      <c r="G15" s="47">
        <v>11</v>
      </c>
      <c r="H15" s="133">
        <f>IF(B$17=0,0,G15/B$17)</f>
        <v>3.313253012048193E-2</v>
      </c>
      <c r="I15" s="94">
        <v>10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76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9</v>
      </c>
      <c r="H16" s="133">
        <f>IF(B$17=0,0,G16/B$17)</f>
        <v>2.710843373493976E-2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332</v>
      </c>
      <c r="C17" s="37">
        <f>IF(B$3=0,0,B17/B$3)</f>
        <v>0.27146361406377761</v>
      </c>
      <c r="E17" s="63" t="s">
        <v>78</v>
      </c>
      <c r="F17" s="60" t="s">
        <v>33</v>
      </c>
      <c r="G17" s="47">
        <v>5</v>
      </c>
      <c r="H17" s="133">
        <f>IF(B$17=0,0,G17/B$17)</f>
        <v>1.5060240963855422E-2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141</v>
      </c>
      <c r="C18" s="39">
        <f>IF(B$17=0,0,B18/B$17)</f>
        <v>0.4246987951807229</v>
      </c>
      <c r="E18" s="63" t="s">
        <v>92</v>
      </c>
      <c r="F18" s="60" t="s">
        <v>47</v>
      </c>
      <c r="G18" s="47">
        <v>4</v>
      </c>
      <c r="H18" s="133">
        <f>IF(B$17=0,0,G18/B$17)</f>
        <v>1.2048192771084338E-2</v>
      </c>
      <c r="I18" s="94">
        <v>9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191</v>
      </c>
      <c r="C19" s="39">
        <f>IF(B$17=0,0,B19/B$17)</f>
        <v>0.57530120481927716</v>
      </c>
      <c r="E19" s="63" t="s">
        <v>75</v>
      </c>
      <c r="F19" s="60" t="s">
        <v>30</v>
      </c>
      <c r="G19" s="47">
        <v>3</v>
      </c>
      <c r="H19" s="133">
        <f>IF(B$17=0,0,G19/B$17)</f>
        <v>9.0361445783132526E-3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-6.4841269841269833</v>
      </c>
      <c r="P19" s="119">
        <v>63</v>
      </c>
      <c r="Q19" s="107">
        <v>-408.49999999999994</v>
      </c>
    </row>
    <row r="20" spans="1:17" x14ac:dyDescent="0.4">
      <c r="A20" s="55" t="s">
        <v>13</v>
      </c>
      <c r="B20" s="47">
        <v>220</v>
      </c>
      <c r="C20" s="39">
        <f>IF(B$3=0,0,B20/B$3)</f>
        <v>0.17988552739165986</v>
      </c>
      <c r="E20" s="63" t="s">
        <v>80</v>
      </c>
      <c r="F20" s="60" t="s">
        <v>35</v>
      </c>
      <c r="G20" s="47">
        <v>3</v>
      </c>
      <c r="H20" s="133">
        <f>IF(B$17=0,0,G20/B$17)</f>
        <v>9.0361445783132526E-3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6.024096385542169E-3</v>
      </c>
      <c r="I21" s="94">
        <v>2</v>
      </c>
      <c r="K21" s="38">
        <v>19</v>
      </c>
      <c r="L21" s="99">
        <v>-569.49999999999989</v>
      </c>
      <c r="N21" s="115" t="s">
        <v>171</v>
      </c>
      <c r="O21" s="125">
        <f>IF(P21=0,0,Q21/P21)</f>
        <v>-18.405555555555551</v>
      </c>
      <c r="P21" s="119">
        <v>36</v>
      </c>
      <c r="Q21" s="107">
        <v>-662.5999999999998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2</v>
      </c>
      <c r="H22" s="133">
        <f>IF(B$17=0,0,G22/B$17)</f>
        <v>6.024096385542169E-3</v>
      </c>
      <c r="I22" s="94">
        <v>2</v>
      </c>
      <c r="K22" s="38">
        <v>20</v>
      </c>
      <c r="L22" s="99">
        <v>-632.99999999999989</v>
      </c>
      <c r="N22" s="115" t="s">
        <v>172</v>
      </c>
      <c r="O22" s="125">
        <f>IF(P22=0,0,Q22/P22)</f>
        <v>-19.805714285714277</v>
      </c>
      <c r="P22" s="119">
        <v>35</v>
      </c>
      <c r="Q22" s="107">
        <v>-693.1999999999997</v>
      </c>
    </row>
    <row r="23" spans="1:17" x14ac:dyDescent="0.4">
      <c r="A23" s="55" t="s">
        <v>5</v>
      </c>
      <c r="B23" s="51">
        <f>IF(B$17=0,0,C23/B$17)</f>
        <v>8275.3012048192777</v>
      </c>
      <c r="C23" s="41">
        <v>2747400</v>
      </c>
      <c r="E23" s="63" t="s">
        <v>94</v>
      </c>
      <c r="F23" s="60" t="s">
        <v>49</v>
      </c>
      <c r="G23" s="47">
        <v>2</v>
      </c>
      <c r="H23" s="133">
        <f>IF(B$17=0,0,G23/B$17)</f>
        <v>6.024096385542169E-3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-25.375581395348838</v>
      </c>
      <c r="P23" s="119">
        <v>86</v>
      </c>
      <c r="Q23" s="107">
        <v>-2182.3000000000002</v>
      </c>
    </row>
    <row r="24" spans="1:17" x14ac:dyDescent="0.4">
      <c r="A24" s="57" t="s">
        <v>14</v>
      </c>
      <c r="B24" s="52">
        <f>IF(B$20=0,0,C24/B$20)</f>
        <v>-8580</v>
      </c>
      <c r="C24" s="45">
        <v>-1887600</v>
      </c>
      <c r="E24" s="63" t="s">
        <v>76</v>
      </c>
      <c r="F24" s="60" t="s">
        <v>31</v>
      </c>
      <c r="G24" s="47">
        <v>1</v>
      </c>
      <c r="H24" s="133">
        <f>IF(B$17=0,0,G24/B$17)</f>
        <v>3.0120481927710845E-3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3.0120481927710845E-3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3.0120481927710845E-3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1.6353229762878169E-3</v>
      </c>
      <c r="E27" s="63" t="s">
        <v>93</v>
      </c>
      <c r="F27" s="60" t="s">
        <v>48</v>
      </c>
      <c r="G27" s="47">
        <v>1</v>
      </c>
      <c r="H27" s="133">
        <f>IF(B$17=0,0,G27/B$17)</f>
        <v>3.0120481927710845E-3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3.0120481927710845E-3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100</v>
      </c>
      <c r="C2" s="151"/>
      <c r="E2" s="62" t="s">
        <v>67</v>
      </c>
      <c r="F2" s="59" t="s">
        <v>23</v>
      </c>
      <c r="G2" s="46">
        <v>190</v>
      </c>
      <c r="H2" s="132">
        <f>IF(B$17=0,0,G2/B$17)</f>
        <v>0.81196581196581197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146</v>
      </c>
      <c r="P2" s="118">
        <v>100</v>
      </c>
      <c r="Q2" s="102">
        <v>14600</v>
      </c>
    </row>
    <row r="3" spans="1:17" x14ac:dyDescent="0.4">
      <c r="A3" s="55" t="s">
        <v>8</v>
      </c>
      <c r="B3" s="152">
        <v>829</v>
      </c>
      <c r="C3" s="153"/>
      <c r="E3" s="63" t="s">
        <v>65</v>
      </c>
      <c r="F3" s="60" t="s">
        <v>21</v>
      </c>
      <c r="G3" s="47">
        <v>128</v>
      </c>
      <c r="H3" s="133">
        <f>IF(B$17=0,0,G3/B$17)</f>
        <v>0.54700854700854706</v>
      </c>
      <c r="I3" s="94">
        <v>4</v>
      </c>
      <c r="K3" s="38">
        <v>1</v>
      </c>
      <c r="L3" s="99">
        <v>-51.2</v>
      </c>
      <c r="N3" s="115" t="s">
        <v>133</v>
      </c>
      <c r="O3" s="122">
        <f t="shared" si="0"/>
        <v>661.85567010309273</v>
      </c>
      <c r="P3" s="119">
        <v>97</v>
      </c>
      <c r="Q3" s="103">
        <v>64200</v>
      </c>
    </row>
    <row r="4" spans="1:17" x14ac:dyDescent="0.4">
      <c r="A4" s="55" t="s">
        <v>6</v>
      </c>
      <c r="B4" s="154">
        <v>-46.699999999999989</v>
      </c>
      <c r="C4" s="155"/>
      <c r="E4" s="63" t="s">
        <v>73</v>
      </c>
      <c r="F4" s="60" t="s">
        <v>28</v>
      </c>
      <c r="G4" s="47">
        <v>128</v>
      </c>
      <c r="H4" s="133">
        <f>IF(B$17=0,0,G4/B$17)</f>
        <v>0.54700854700854706</v>
      </c>
      <c r="I4" s="94">
        <v>7</v>
      </c>
      <c r="K4" s="38">
        <v>2</v>
      </c>
      <c r="L4" s="99">
        <v>-93.300000000000011</v>
      </c>
      <c r="N4" s="115" t="s">
        <v>134</v>
      </c>
      <c r="O4" s="122">
        <f t="shared" si="0"/>
        <v>1378.409090909091</v>
      </c>
      <c r="P4" s="119">
        <v>88</v>
      </c>
      <c r="Q4" s="103">
        <v>121300</v>
      </c>
    </row>
    <row r="5" spans="1:17" x14ac:dyDescent="0.4">
      <c r="A5" s="55" t="s">
        <v>7</v>
      </c>
      <c r="B5" s="156">
        <f>IF(B$2=0,0,B$4/B$2)</f>
        <v>-0.46699999999999986</v>
      </c>
      <c r="C5" s="157"/>
      <c r="E5" s="63" t="s">
        <v>245</v>
      </c>
      <c r="F5" s="60" t="s">
        <v>246</v>
      </c>
      <c r="G5" s="47">
        <v>90</v>
      </c>
      <c r="H5" s="133">
        <f>IF(B$17=0,0,G5/B$17)</f>
        <v>0.38461538461538464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64.102564102564102</v>
      </c>
      <c r="P5" s="119">
        <v>78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2.06</v>
      </c>
      <c r="C6" s="147"/>
      <c r="E6" s="63" t="s">
        <v>68</v>
      </c>
      <c r="F6" s="60" t="s">
        <v>24</v>
      </c>
      <c r="G6" s="47">
        <v>78</v>
      </c>
      <c r="H6" s="133">
        <f>IF(B$17=0,0,G6/B$17)</f>
        <v>0.33333333333333331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-1775.3623188405797</v>
      </c>
      <c r="P6" s="119">
        <v>69</v>
      </c>
      <c r="Q6" s="103">
        <v>-122500</v>
      </c>
    </row>
    <row r="7" spans="1:17" x14ac:dyDescent="0.4">
      <c r="A7" s="55" t="s">
        <v>2</v>
      </c>
      <c r="B7" s="47">
        <v>30</v>
      </c>
      <c r="C7" s="39">
        <f>IF(B$2=0,0,B7/B$2)</f>
        <v>0.3</v>
      </c>
      <c r="E7" s="63" t="s">
        <v>69</v>
      </c>
      <c r="F7" s="60" t="s">
        <v>12</v>
      </c>
      <c r="G7" s="47">
        <v>68</v>
      </c>
      <c r="H7" s="133">
        <f>IF(B$17=0,0,G7/B$17)</f>
        <v>0.29059829059829062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-617.74193548387098</v>
      </c>
      <c r="P7" s="120">
        <v>62</v>
      </c>
      <c r="Q7" s="104">
        <v>-38300</v>
      </c>
    </row>
    <row r="8" spans="1:17" x14ac:dyDescent="0.4">
      <c r="A8" s="55" t="s">
        <v>3</v>
      </c>
      <c r="B8" s="47">
        <v>34</v>
      </c>
      <c r="C8" s="39">
        <f>IF(B$2=0,0,B8/B$2)</f>
        <v>0.34</v>
      </c>
      <c r="E8" s="63" t="s">
        <v>70</v>
      </c>
      <c r="F8" s="60" t="s">
        <v>25</v>
      </c>
      <c r="G8" s="47">
        <v>45</v>
      </c>
      <c r="H8" s="133">
        <f>IF(B$17=0,0,G8/B$17)</f>
        <v>0.19230769230769232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0.36</v>
      </c>
      <c r="E9" s="63" t="s">
        <v>90</v>
      </c>
      <c r="F9" s="60" t="s">
        <v>45</v>
      </c>
      <c r="G9" s="47">
        <v>40</v>
      </c>
      <c r="H9" s="133">
        <f>IF(B$17=0,0,G9/B$17)</f>
        <v>0.17094017094017094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</v>
      </c>
      <c r="E10" s="63" t="s">
        <v>66</v>
      </c>
      <c r="F10" s="60" t="s">
        <v>22</v>
      </c>
      <c r="G10" s="47">
        <v>29</v>
      </c>
      <c r="H10" s="133">
        <f>IF(B$17=0,0,G10/B$17)</f>
        <v>0.12393162393162394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3.9444444444444446</v>
      </c>
      <c r="P10" s="118">
        <v>27</v>
      </c>
      <c r="Q10" s="106">
        <v>106.5</v>
      </c>
    </row>
    <row r="11" spans="1:17" x14ac:dyDescent="0.4">
      <c r="A11" s="56" t="s">
        <v>140</v>
      </c>
      <c r="B11" s="48">
        <v>15</v>
      </c>
      <c r="C11" s="40">
        <f>IF(B$2=0,0,B11/B$2)</f>
        <v>0.15</v>
      </c>
      <c r="E11" s="63" t="s">
        <v>71</v>
      </c>
      <c r="F11" s="60" t="s">
        <v>26</v>
      </c>
      <c r="G11" s="47">
        <v>26</v>
      </c>
      <c r="H11" s="133">
        <f>IF(B$17=0,0,G11/B$17)</f>
        <v>0.1111111111111111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0.06</v>
      </c>
      <c r="E12" s="63" t="s">
        <v>87</v>
      </c>
      <c r="F12" s="60" t="s">
        <v>42</v>
      </c>
      <c r="G12" s="47">
        <v>16</v>
      </c>
      <c r="H12" s="133">
        <f>IF(B$17=0,0,G12/B$17)</f>
        <v>6.8376068376068383E-2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-3.9972972972972975</v>
      </c>
      <c r="P12" s="120">
        <v>37</v>
      </c>
      <c r="Q12" s="108">
        <v>-147.9</v>
      </c>
    </row>
    <row r="13" spans="1:17" x14ac:dyDescent="0.4">
      <c r="A13" s="58" t="s">
        <v>122</v>
      </c>
      <c r="B13" s="50">
        <v>239</v>
      </c>
      <c r="C13" s="44">
        <f>IF(B$3=0,0,B13/B$3)</f>
        <v>0.28829915560916769</v>
      </c>
      <c r="E13" s="63" t="s">
        <v>72</v>
      </c>
      <c r="F13" s="60" t="s">
        <v>27</v>
      </c>
      <c r="G13" s="47">
        <v>15</v>
      </c>
      <c r="H13" s="133">
        <f>IF(B$17=0,0,G13/B$17)</f>
        <v>6.4102564102564097E-2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163</v>
      </c>
      <c r="C14" s="39">
        <f>IF(B$3=0,0,B14/B$3)</f>
        <v>0.19662243667068757</v>
      </c>
      <c r="E14" s="63" t="s">
        <v>84</v>
      </c>
      <c r="F14" s="60" t="s">
        <v>39</v>
      </c>
      <c r="G14" s="47">
        <v>11</v>
      </c>
      <c r="H14" s="133">
        <f>IF(B$17=0,0,G14/B$17)</f>
        <v>4.7008547008547008E-2</v>
      </c>
      <c r="I14" s="94">
        <v>8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135</v>
      </c>
      <c r="C15" s="37">
        <f>IF(B$13=0,0,B15/B$13)</f>
        <v>0.56485355648535562</v>
      </c>
      <c r="E15" s="63" t="s">
        <v>79</v>
      </c>
      <c r="F15" s="60" t="s">
        <v>34</v>
      </c>
      <c r="G15" s="47">
        <v>9</v>
      </c>
      <c r="H15" s="133">
        <f>IF(B$17=0,0,G15/B$17)</f>
        <v>3.8461538461538464E-2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18.405555555555548</v>
      </c>
      <c r="P15" s="118">
        <v>36</v>
      </c>
      <c r="Q15" s="106">
        <v>662.59999999999968</v>
      </c>
    </row>
    <row r="16" spans="1:17" x14ac:dyDescent="0.4">
      <c r="A16" s="54" t="s">
        <v>125</v>
      </c>
      <c r="B16" s="46">
        <v>66</v>
      </c>
      <c r="C16" s="37">
        <f>IF(B$14=0,0,B16/B$14)</f>
        <v>0.40490797546012269</v>
      </c>
      <c r="E16" s="63" t="s">
        <v>82</v>
      </c>
      <c r="F16" s="60" t="s">
        <v>37</v>
      </c>
      <c r="G16" s="47">
        <v>8</v>
      </c>
      <c r="H16" s="133">
        <f>IF(B$17=0,0,G16/B$17)</f>
        <v>3.4188034188034191E-2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234</v>
      </c>
      <c r="C17" s="37">
        <f>IF(B$3=0,0,B17/B$3)</f>
        <v>0.28226779252110978</v>
      </c>
      <c r="E17" s="63" t="s">
        <v>92</v>
      </c>
      <c r="F17" s="60" t="s">
        <v>47</v>
      </c>
      <c r="G17" s="47">
        <v>7</v>
      </c>
      <c r="H17" s="133">
        <f>IF(B$17=0,0,G17/B$17)</f>
        <v>2.9914529914529916E-2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95</v>
      </c>
      <c r="C18" s="39">
        <f>IF(B$17=0,0,B18/B$17)</f>
        <v>0.40598290598290598</v>
      </c>
      <c r="E18" s="63" t="s">
        <v>80</v>
      </c>
      <c r="F18" s="60" t="s">
        <v>35</v>
      </c>
      <c r="G18" s="47">
        <v>4</v>
      </c>
      <c r="H18" s="133">
        <f>IF(B$17=0,0,G18/B$17)</f>
        <v>1.7094017094017096E-2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0.97619047619047583</v>
      </c>
      <c r="P18" s="119">
        <v>21</v>
      </c>
      <c r="Q18" s="107">
        <v>20.499999999999993</v>
      </c>
    </row>
    <row r="19" spans="1:17" x14ac:dyDescent="0.4">
      <c r="A19" s="55" t="s">
        <v>11</v>
      </c>
      <c r="B19" s="47">
        <v>139</v>
      </c>
      <c r="C19" s="39">
        <f>IF(B$17=0,0,B19/B$17)</f>
        <v>0.59401709401709402</v>
      </c>
      <c r="E19" s="63" t="s">
        <v>180</v>
      </c>
      <c r="F19" s="60" t="s">
        <v>181</v>
      </c>
      <c r="G19" s="47">
        <v>4</v>
      </c>
      <c r="H19" s="133">
        <f>IF(B$17=0,0,G19/B$17)</f>
        <v>1.7094017094017096E-2</v>
      </c>
      <c r="I19" s="94">
        <v>4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147</v>
      </c>
      <c r="C20" s="39">
        <f>IF(B$3=0,0,B20/B$3)</f>
        <v>0.1773220747889023</v>
      </c>
      <c r="E20" s="63" t="s">
        <v>74</v>
      </c>
      <c r="F20" s="60" t="s">
        <v>29</v>
      </c>
      <c r="G20" s="47">
        <v>3</v>
      </c>
      <c r="H20" s="133">
        <f>IF(B$17=0,0,G20/B$17)</f>
        <v>1.282051282051282E-2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1.282051282051282E-2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5</v>
      </c>
      <c r="E22" s="63" t="s">
        <v>78</v>
      </c>
      <c r="F22" s="60" t="s">
        <v>33</v>
      </c>
      <c r="G22" s="47">
        <v>3</v>
      </c>
      <c r="H22" s="133">
        <f>IF(B$17=0,0,G22/B$17)</f>
        <v>1.282051282051282E-2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9999.1452991452988</v>
      </c>
      <c r="C23" s="41">
        <v>2339800</v>
      </c>
      <c r="E23" s="63" t="s">
        <v>85</v>
      </c>
      <c r="F23" s="60" t="s">
        <v>40</v>
      </c>
      <c r="G23" s="47">
        <v>2</v>
      </c>
      <c r="H23" s="133">
        <f>IF(B$17=0,0,G23/B$17)</f>
        <v>8.5470085470085479E-3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-8448.299319727892</v>
      </c>
      <c r="C24" s="45">
        <v>-1241900</v>
      </c>
      <c r="E24" s="63" t="s">
        <v>93</v>
      </c>
      <c r="F24" s="60" t="s">
        <v>48</v>
      </c>
      <c r="G24" s="47">
        <v>2</v>
      </c>
      <c r="H24" s="133">
        <f>IF(B$17=0,0,G24/B$17)</f>
        <v>8.5470085470085479E-3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4.2735042735042739E-3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4.2735042735042739E-3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2.4125452352231603E-3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100</v>
      </c>
      <c r="C2" s="151"/>
      <c r="E2" s="62" t="s">
        <v>67</v>
      </c>
      <c r="F2" s="59" t="s">
        <v>23</v>
      </c>
      <c r="G2" s="46">
        <v>183</v>
      </c>
      <c r="H2" s="132">
        <f>IF(B$17=0,0,G2/B$17)</f>
        <v>0.64210526315789473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134</v>
      </c>
      <c r="P2" s="118">
        <v>100</v>
      </c>
      <c r="Q2" s="102">
        <v>13400</v>
      </c>
    </row>
    <row r="3" spans="1:17" x14ac:dyDescent="0.4">
      <c r="A3" s="55" t="s">
        <v>8</v>
      </c>
      <c r="B3" s="152">
        <v>842</v>
      </c>
      <c r="C3" s="153"/>
      <c r="E3" s="63" t="s">
        <v>73</v>
      </c>
      <c r="F3" s="60" t="s">
        <v>28</v>
      </c>
      <c r="G3" s="47">
        <v>162</v>
      </c>
      <c r="H3" s="133">
        <f>IF(B$17=0,0,G3/B$17)</f>
        <v>0.56842105263157894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-1281</v>
      </c>
      <c r="P3" s="119">
        <v>100</v>
      </c>
      <c r="Q3" s="103">
        <v>-128100</v>
      </c>
    </row>
    <row r="4" spans="1:17" x14ac:dyDescent="0.4">
      <c r="A4" s="55" t="s">
        <v>6</v>
      </c>
      <c r="B4" s="154">
        <v>-177.80000000000004</v>
      </c>
      <c r="C4" s="155"/>
      <c r="E4" s="63" t="s">
        <v>245</v>
      </c>
      <c r="F4" s="60" t="s">
        <v>246</v>
      </c>
      <c r="G4" s="47">
        <v>121</v>
      </c>
      <c r="H4" s="133">
        <f>IF(B$17=0,0,G4/B$17)</f>
        <v>0.42456140350877192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-752.22222222222217</v>
      </c>
      <c r="P4" s="119">
        <v>90</v>
      </c>
      <c r="Q4" s="103">
        <v>-67700</v>
      </c>
    </row>
    <row r="5" spans="1:17" x14ac:dyDescent="0.4">
      <c r="A5" s="55" t="s">
        <v>7</v>
      </c>
      <c r="B5" s="156">
        <f>IF(B$2=0,0,B$4/B$2)</f>
        <v>-1.7780000000000005</v>
      </c>
      <c r="C5" s="157"/>
      <c r="E5" s="63" t="s">
        <v>65</v>
      </c>
      <c r="F5" s="60" t="s">
        <v>21</v>
      </c>
      <c r="G5" s="47">
        <v>101</v>
      </c>
      <c r="H5" s="133">
        <f>IF(B$17=0,0,G5/B$17)</f>
        <v>0.35438596491228069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1100</v>
      </c>
      <c r="P5" s="119">
        <v>86</v>
      </c>
      <c r="Q5" s="103">
        <v>94600</v>
      </c>
    </row>
    <row r="6" spans="1:17" x14ac:dyDescent="0.4">
      <c r="A6" s="55" t="s">
        <v>1</v>
      </c>
      <c r="B6" s="146">
        <f>IF(B$2=0,0,(B$7*1+B$8*2+B$9*3)/B$2)</f>
        <v>2.0499999999999998</v>
      </c>
      <c r="C6" s="147"/>
      <c r="E6" s="63" t="s">
        <v>69</v>
      </c>
      <c r="F6" s="60" t="s">
        <v>12</v>
      </c>
      <c r="G6" s="47">
        <v>71</v>
      </c>
      <c r="H6" s="133">
        <f>IF(B$17=0,0,G6/B$17)</f>
        <v>0.24912280701754386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-126.25</v>
      </c>
      <c r="P6" s="119">
        <v>80</v>
      </c>
      <c r="Q6" s="103">
        <v>-10100</v>
      </c>
    </row>
    <row r="7" spans="1:17" x14ac:dyDescent="0.4">
      <c r="A7" s="55" t="s">
        <v>2</v>
      </c>
      <c r="B7" s="47">
        <v>25</v>
      </c>
      <c r="C7" s="39">
        <f>IF(B$2=0,0,B7/B$2)</f>
        <v>0.25</v>
      </c>
      <c r="E7" s="63" t="s">
        <v>68</v>
      </c>
      <c r="F7" s="60" t="s">
        <v>24</v>
      </c>
      <c r="G7" s="47">
        <v>50</v>
      </c>
      <c r="H7" s="133">
        <f>IF(B$17=0,0,G7/B$17)</f>
        <v>0.17543859649122806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-449.27536231884056</v>
      </c>
      <c r="P7" s="120">
        <v>69</v>
      </c>
      <c r="Q7" s="104">
        <v>-31000</v>
      </c>
    </row>
    <row r="8" spans="1:17" x14ac:dyDescent="0.4">
      <c r="A8" s="55" t="s">
        <v>3</v>
      </c>
      <c r="B8" s="47">
        <v>45</v>
      </c>
      <c r="C8" s="39">
        <f>IF(B$2=0,0,B8/B$2)</f>
        <v>0.45</v>
      </c>
      <c r="E8" s="63" t="s">
        <v>70</v>
      </c>
      <c r="F8" s="60" t="s">
        <v>25</v>
      </c>
      <c r="G8" s="47">
        <v>46</v>
      </c>
      <c r="H8" s="133">
        <f>IF(B$17=0,0,G8/B$17)</f>
        <v>0.16140350877192983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</v>
      </c>
      <c r="E9" s="63" t="s">
        <v>66</v>
      </c>
      <c r="F9" s="60" t="s">
        <v>22</v>
      </c>
      <c r="G9" s="47">
        <v>29</v>
      </c>
      <c r="H9" s="133">
        <f>IF(B$17=0,0,G9/B$17)</f>
        <v>0.10175438596491228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0.05</v>
      </c>
      <c r="E10" s="63" t="s">
        <v>72</v>
      </c>
      <c r="F10" s="60" t="s">
        <v>27</v>
      </c>
      <c r="G10" s="47">
        <v>23</v>
      </c>
      <c r="H10" s="133">
        <f>IF(B$17=0,0,G10/B$17)</f>
        <v>8.0701754385964913E-2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-3.8612903225806474</v>
      </c>
      <c r="P10" s="118">
        <v>31</v>
      </c>
      <c r="Q10" s="106">
        <v>-119.70000000000007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</v>
      </c>
      <c r="E11" s="63" t="s">
        <v>90</v>
      </c>
      <c r="F11" s="60" t="s">
        <v>45</v>
      </c>
      <c r="G11" s="47">
        <v>22</v>
      </c>
      <c r="H11" s="133">
        <f>IF(B$17=0,0,G11/B$17)</f>
        <v>7.7192982456140355E-2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0.08</v>
      </c>
      <c r="E12" s="63" t="s">
        <v>71</v>
      </c>
      <c r="F12" s="60" t="s">
        <v>26</v>
      </c>
      <c r="G12" s="47">
        <v>21</v>
      </c>
      <c r="H12" s="133">
        <f>IF(B$17=0,0,G12/B$17)</f>
        <v>7.3684210526315783E-2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-3.2487179487179492</v>
      </c>
      <c r="P12" s="120">
        <v>39</v>
      </c>
      <c r="Q12" s="108">
        <v>-126.70000000000002</v>
      </c>
    </row>
    <row r="13" spans="1:17" x14ac:dyDescent="0.4">
      <c r="A13" s="58" t="s">
        <v>122</v>
      </c>
      <c r="B13" s="50">
        <v>180</v>
      </c>
      <c r="C13" s="44">
        <f>IF(B$3=0,0,B13/B$3)</f>
        <v>0.21377672209026127</v>
      </c>
      <c r="E13" s="63" t="s">
        <v>84</v>
      </c>
      <c r="F13" s="60" t="s">
        <v>39</v>
      </c>
      <c r="G13" s="47">
        <v>20</v>
      </c>
      <c r="H13" s="133">
        <f>IF(B$17=0,0,G13/B$17)</f>
        <v>7.0175438596491224E-2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244</v>
      </c>
      <c r="C14" s="39">
        <f>IF(B$3=0,0,B14/B$3)</f>
        <v>0.28978622327790976</v>
      </c>
      <c r="E14" s="63" t="s">
        <v>87</v>
      </c>
      <c r="F14" s="60" t="s">
        <v>42</v>
      </c>
      <c r="G14" s="47">
        <v>11</v>
      </c>
      <c r="H14" s="133">
        <f>IF(B$17=0,0,G14/B$17)</f>
        <v>3.8596491228070177E-2</v>
      </c>
      <c r="I14" s="94">
        <v>11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9</v>
      </c>
      <c r="H15" s="133">
        <f>IF(B$17=0,0,G15/B$17)</f>
        <v>3.1578947368421054E-2</v>
      </c>
      <c r="I15" s="94">
        <v>4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103</v>
      </c>
      <c r="C16" s="37">
        <f>IF(B$14=0,0,B16/B$14)</f>
        <v>0.42213114754098363</v>
      </c>
      <c r="E16" s="63" t="s">
        <v>79</v>
      </c>
      <c r="F16" s="60" t="s">
        <v>34</v>
      </c>
      <c r="G16" s="47">
        <v>4</v>
      </c>
      <c r="H16" s="133">
        <f>IF(B$17=0,0,G16/B$17)</f>
        <v>1.4035087719298246E-2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19.805714285714274</v>
      </c>
      <c r="P16" s="119">
        <v>35</v>
      </c>
      <c r="Q16" s="107">
        <v>693.19999999999959</v>
      </c>
    </row>
    <row r="17" spans="1:17" x14ac:dyDescent="0.4">
      <c r="A17" s="54" t="s">
        <v>10</v>
      </c>
      <c r="B17" s="46">
        <f>B19+B18</f>
        <v>285</v>
      </c>
      <c r="C17" s="37">
        <f>IF(B$3=0,0,B17/B$3)</f>
        <v>0.33847980997624705</v>
      </c>
      <c r="E17" s="63" t="s">
        <v>92</v>
      </c>
      <c r="F17" s="60" t="s">
        <v>47</v>
      </c>
      <c r="G17" s="47">
        <v>4</v>
      </c>
      <c r="H17" s="133">
        <f>IF(B$17=0,0,G17/B$17)</f>
        <v>1.4035087719298246E-2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114</v>
      </c>
      <c r="C18" s="39">
        <f>IF(B$17=0,0,B18/B$17)</f>
        <v>0.4</v>
      </c>
      <c r="E18" s="63" t="s">
        <v>80</v>
      </c>
      <c r="F18" s="60" t="s">
        <v>35</v>
      </c>
      <c r="G18" s="47">
        <v>3</v>
      </c>
      <c r="H18" s="133">
        <f>IF(B$17=0,0,G18/B$17)</f>
        <v>1.0526315789473684E-2</v>
      </c>
      <c r="I18" s="94">
        <v>10</v>
      </c>
      <c r="K18" s="38">
        <v>16</v>
      </c>
      <c r="L18" s="99">
        <v>-87.6</v>
      </c>
      <c r="N18" s="115" t="s">
        <v>177</v>
      </c>
      <c r="O18" s="125">
        <f>IF(P18=0,0,Q18/P18)</f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171</v>
      </c>
      <c r="C19" s="39">
        <f>IF(B$17=0,0,B19/B$17)</f>
        <v>0.6</v>
      </c>
      <c r="E19" s="63" t="s">
        <v>75</v>
      </c>
      <c r="F19" s="60" t="s">
        <v>30</v>
      </c>
      <c r="G19" s="47">
        <v>2</v>
      </c>
      <c r="H19" s="133">
        <f>IF(B$17=0,0,G19/B$17)</f>
        <v>7.0175438596491229E-3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119</v>
      </c>
      <c r="C20" s="39">
        <f>IF(B$3=0,0,B20/B$3)</f>
        <v>0.14133016627078385</v>
      </c>
      <c r="E20" s="63" t="s">
        <v>74</v>
      </c>
      <c r="F20" s="60" t="s">
        <v>29</v>
      </c>
      <c r="G20" s="47">
        <v>1</v>
      </c>
      <c r="H20" s="133">
        <f>IF(B$17=0,0,G20/B$17)</f>
        <v>3.5087719298245615E-3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-0.9761904761904765</v>
      </c>
      <c r="P20" s="119">
        <v>21</v>
      </c>
      <c r="Q20" s="107">
        <v>-20.500000000000007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3.5087719298245615E-3</v>
      </c>
      <c r="I21" s="94">
        <v>6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3.5087719298245615E-3</v>
      </c>
      <c r="I22" s="94">
        <v>7</v>
      </c>
      <c r="K22" s="38">
        <v>20</v>
      </c>
      <c r="L22" s="99">
        <v>43</v>
      </c>
      <c r="N22" s="115" t="s">
        <v>127</v>
      </c>
      <c r="O22" s="125">
        <f>IF(P22=0,0,Q22/P22)</f>
        <v>-26.555999999999994</v>
      </c>
      <c r="P22" s="119">
        <v>50</v>
      </c>
      <c r="Q22" s="107">
        <v>-1327.7999999999997</v>
      </c>
    </row>
    <row r="23" spans="1:17" x14ac:dyDescent="0.4">
      <c r="A23" s="55" t="s">
        <v>5</v>
      </c>
      <c r="B23" s="51">
        <f>IF(B$17=0,0,C23/B$17)</f>
        <v>6753.333333333333</v>
      </c>
      <c r="C23" s="41">
        <v>1924700</v>
      </c>
      <c r="E23" s="63" t="s">
        <v>88</v>
      </c>
      <c r="F23" s="60" t="s">
        <v>43</v>
      </c>
      <c r="G23" s="47">
        <v>1</v>
      </c>
      <c r="H23" s="133">
        <f>IF(B$17=0,0,G23/B$17)</f>
        <v>3.5087719298245615E-3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-8181.5126050420167</v>
      </c>
      <c r="C24" s="45">
        <v>-973600</v>
      </c>
      <c r="E24" s="63" t="s">
        <v>91</v>
      </c>
      <c r="F24" s="60" t="s">
        <v>46</v>
      </c>
      <c r="G24" s="47">
        <v>1</v>
      </c>
      <c r="H24" s="133">
        <f>IF(B$17=0,0,G24/B$17)</f>
        <v>3.5087719298245615E-3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1.1876484560570072E-3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53</v>
      </c>
      <c r="C2" s="151"/>
      <c r="E2" s="62" t="s">
        <v>67</v>
      </c>
      <c r="F2" s="59" t="s">
        <v>23</v>
      </c>
      <c r="G2" s="46">
        <v>87</v>
      </c>
      <c r="H2" s="132">
        <f>IF(B$17=0,0,G2/B$17)</f>
        <v>0.66412213740458015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-2686.7924528301887</v>
      </c>
      <c r="P2" s="118">
        <v>53</v>
      </c>
      <c r="Q2" s="102">
        <v>-142400</v>
      </c>
    </row>
    <row r="3" spans="1:17" x14ac:dyDescent="0.4">
      <c r="A3" s="55" t="s">
        <v>8</v>
      </c>
      <c r="B3" s="152">
        <v>461</v>
      </c>
      <c r="C3" s="153"/>
      <c r="E3" s="63" t="s">
        <v>73</v>
      </c>
      <c r="F3" s="60" t="s">
        <v>28</v>
      </c>
      <c r="G3" s="47">
        <v>67</v>
      </c>
      <c r="H3" s="133">
        <f>IF(B$17=0,0,G3/B$17)</f>
        <v>0.51145038167938928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1784.9056603773586</v>
      </c>
      <c r="P3" s="119">
        <v>53</v>
      </c>
      <c r="Q3" s="103">
        <v>94600</v>
      </c>
    </row>
    <row r="4" spans="1:17" x14ac:dyDescent="0.4">
      <c r="A4" s="55" t="s">
        <v>6</v>
      </c>
      <c r="B4" s="154">
        <v>-396.70000000000005</v>
      </c>
      <c r="C4" s="155"/>
      <c r="E4" s="63" t="s">
        <v>65</v>
      </c>
      <c r="F4" s="60" t="s">
        <v>21</v>
      </c>
      <c r="G4" s="47">
        <v>55</v>
      </c>
      <c r="H4" s="133">
        <f>IF(B$17=0,0,G4/B$17)</f>
        <v>0.41984732824427479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-1194</v>
      </c>
      <c r="P4" s="119">
        <v>50</v>
      </c>
      <c r="Q4" s="103">
        <v>-59700</v>
      </c>
    </row>
    <row r="5" spans="1:17" x14ac:dyDescent="0.4">
      <c r="A5" s="55" t="s">
        <v>7</v>
      </c>
      <c r="B5" s="156">
        <f>IF(B$2=0,0,B$4/B$2)</f>
        <v>-7.4849056603773594</v>
      </c>
      <c r="C5" s="157"/>
      <c r="E5" s="63" t="s">
        <v>69</v>
      </c>
      <c r="F5" s="60" t="s">
        <v>12</v>
      </c>
      <c r="G5" s="47">
        <v>50</v>
      </c>
      <c r="H5" s="133">
        <f>IF(B$17=0,0,G5/B$17)</f>
        <v>0.38167938931297712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-4158.695652173913</v>
      </c>
      <c r="P5" s="119">
        <v>46</v>
      </c>
      <c r="Q5" s="103">
        <v>-191300</v>
      </c>
    </row>
    <row r="6" spans="1:17" x14ac:dyDescent="0.4">
      <c r="A6" s="55" t="s">
        <v>1</v>
      </c>
      <c r="B6" s="146">
        <f>IF(B$2=0,0,(B$7*1+B$8*2+B$9*3)/B$2)</f>
        <v>2.1132075471698113</v>
      </c>
      <c r="C6" s="147"/>
      <c r="E6" s="63" t="s">
        <v>245</v>
      </c>
      <c r="F6" s="60" t="s">
        <v>246</v>
      </c>
      <c r="G6" s="47">
        <v>50</v>
      </c>
      <c r="H6" s="133">
        <f>IF(B$17=0,0,G6/B$17)</f>
        <v>0.38167938931297712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-251.21951219512195</v>
      </c>
      <c r="P6" s="119">
        <v>41</v>
      </c>
      <c r="Q6" s="103">
        <v>-10300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0.22137404580152673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-53.846153846153847</v>
      </c>
      <c r="P7" s="120">
        <v>39</v>
      </c>
      <c r="Q7" s="104">
        <v>-2100</v>
      </c>
    </row>
    <row r="8" spans="1:17" x14ac:dyDescent="0.4">
      <c r="A8" s="55" t="s">
        <v>3</v>
      </c>
      <c r="B8" s="47">
        <v>17</v>
      </c>
      <c r="C8" s="39">
        <f>IF(B$2=0,0,B8/B$2)</f>
        <v>0.32075471698113206</v>
      </c>
      <c r="E8" s="63" t="s">
        <v>90</v>
      </c>
      <c r="F8" s="60" t="s">
        <v>45</v>
      </c>
      <c r="G8" s="47">
        <v>18</v>
      </c>
      <c r="H8" s="133">
        <f>IF(B$17=0,0,G8/B$17)</f>
        <v>0.13740458015267176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0.39622641509433965</v>
      </c>
      <c r="E9" s="63" t="s">
        <v>70</v>
      </c>
      <c r="F9" s="60" t="s">
        <v>25</v>
      </c>
      <c r="G9" s="47">
        <v>16</v>
      </c>
      <c r="H9" s="133">
        <f>IF(B$17=0,0,G9/B$17)</f>
        <v>0.12213740458015267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0.15094339622641509</v>
      </c>
      <c r="E10" s="63" t="s">
        <v>71</v>
      </c>
      <c r="F10" s="60" t="s">
        <v>26</v>
      </c>
      <c r="G10" s="47">
        <v>15</v>
      </c>
      <c r="H10" s="133">
        <f>IF(B$17=0,0,G10/B$17)</f>
        <v>0.11450381679389313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66</v>
      </c>
      <c r="F11" s="60" t="s">
        <v>22</v>
      </c>
      <c r="G11" s="47">
        <v>10</v>
      </c>
      <c r="H11" s="133">
        <f>IF(B$17=0,0,G11/B$17)</f>
        <v>7.6335877862595422E-2</v>
      </c>
      <c r="I11" s="94">
        <v>10</v>
      </c>
      <c r="K11" s="38">
        <v>9</v>
      </c>
      <c r="L11" s="99">
        <v>-260.59999999999997</v>
      </c>
      <c r="N11" s="115" t="s">
        <v>165</v>
      </c>
      <c r="O11" s="125">
        <f>IF(P11=0,0,Q11/P11)</f>
        <v>-4.331999999999999</v>
      </c>
      <c r="P11" s="119">
        <v>25</v>
      </c>
      <c r="Q11" s="107">
        <v>-108.29999999999997</v>
      </c>
    </row>
    <row r="12" spans="1:17" x14ac:dyDescent="0.4">
      <c r="A12" s="57" t="s">
        <v>160</v>
      </c>
      <c r="B12" s="49">
        <v>3</v>
      </c>
      <c r="C12" s="42">
        <f>IF(B$2=0,0,B12/B$2)</f>
        <v>5.6603773584905662E-2</v>
      </c>
      <c r="E12" s="63" t="s">
        <v>72</v>
      </c>
      <c r="F12" s="60" t="s">
        <v>27</v>
      </c>
      <c r="G12" s="47">
        <v>6</v>
      </c>
      <c r="H12" s="133">
        <f>IF(B$17=0,0,G12/B$17)</f>
        <v>4.5801526717557252E-2</v>
      </c>
      <c r="I12" s="94">
        <v>11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0.22342733188720174</v>
      </c>
      <c r="E13" s="63" t="s">
        <v>87</v>
      </c>
      <c r="F13" s="60" t="s">
        <v>42</v>
      </c>
      <c r="G13" s="47">
        <v>6</v>
      </c>
      <c r="H13" s="133">
        <f>IF(B$17=0,0,G13/B$17)</f>
        <v>4.5801526717557252E-2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0.23644251626898047</v>
      </c>
      <c r="E14" s="63" t="s">
        <v>74</v>
      </c>
      <c r="F14" s="60" t="s">
        <v>29</v>
      </c>
      <c r="G14" s="47">
        <v>3</v>
      </c>
      <c r="H14" s="133">
        <f>IF(B$17=0,0,G14/B$17)</f>
        <v>2.2900763358778626E-2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79</v>
      </c>
      <c r="F15" s="60" t="s">
        <v>34</v>
      </c>
      <c r="G15" s="47">
        <v>3</v>
      </c>
      <c r="H15" s="133">
        <f>IF(B$17=0,0,G15/B$17)</f>
        <v>2.2900763358778626E-2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80</v>
      </c>
      <c r="F16" s="60" t="s">
        <v>35</v>
      </c>
      <c r="G16" s="47">
        <v>2</v>
      </c>
      <c r="H16" s="133">
        <f>IF(B$17=0,0,G16/B$17)</f>
        <v>1.5267175572519083E-2</v>
      </c>
      <c r="I16" s="94">
        <v>7</v>
      </c>
      <c r="K16" s="38">
        <v>14</v>
      </c>
      <c r="L16" s="99">
        <v>-269.99999999999994</v>
      </c>
      <c r="N16" s="115" t="s">
        <v>129</v>
      </c>
      <c r="O16" s="125">
        <f>IF(P16=0,0,Q16/P16)</f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0.2841648590021692</v>
      </c>
      <c r="E17" s="63" t="s">
        <v>84</v>
      </c>
      <c r="F17" s="60" t="s">
        <v>39</v>
      </c>
      <c r="G17" s="47">
        <v>2</v>
      </c>
      <c r="H17" s="133">
        <f>IF(B$17=0,0,G17/B$17)</f>
        <v>1.5267175572519083E-2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66</v>
      </c>
      <c r="C18" s="39">
        <f>IF(B$17=0,0,B18/B$17)</f>
        <v>0.50381679389312972</v>
      </c>
      <c r="E18" s="63" t="s">
        <v>92</v>
      </c>
      <c r="F18" s="60" t="s">
        <v>47</v>
      </c>
      <c r="G18" s="47">
        <v>2</v>
      </c>
      <c r="H18" s="133">
        <f>IF(B$17=0,0,G18/B$17)</f>
        <v>1.5267175572519083E-2</v>
      </c>
      <c r="I18" s="94">
        <v>7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65</v>
      </c>
      <c r="C19" s="39">
        <f>IF(B$17=0,0,B19/B$17)</f>
        <v>0.49618320610687022</v>
      </c>
      <c r="E19" s="63" t="s">
        <v>180</v>
      </c>
      <c r="F19" s="60" t="s">
        <v>181</v>
      </c>
      <c r="G19" s="47">
        <v>2</v>
      </c>
      <c r="H19" s="133">
        <f>IF(B$17=0,0,G19/B$17)</f>
        <v>1.5267175572519083E-2</v>
      </c>
      <c r="I19" s="94">
        <v>6</v>
      </c>
      <c r="K19" s="38">
        <v>17</v>
      </c>
      <c r="L19" s="99">
        <v>-248.89999999999995</v>
      </c>
      <c r="N19" s="115" t="s">
        <v>171</v>
      </c>
      <c r="O19" s="125">
        <f>IF(P19=0,0,Q19/P19)</f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84</v>
      </c>
      <c r="C20" s="39">
        <f>IF(B$3=0,0,B20/B$3)</f>
        <v>0.1822125813449024</v>
      </c>
      <c r="E20" s="63" t="s">
        <v>88</v>
      </c>
      <c r="F20" s="60" t="s">
        <v>43</v>
      </c>
      <c r="G20" s="47">
        <v>1</v>
      </c>
      <c r="H20" s="133">
        <f>IF(B$17=0,0,G20/B$17)</f>
        <v>7.6335877862595417E-3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107</v>
      </c>
      <c r="F21" s="60" t="s">
        <v>114</v>
      </c>
      <c r="G21" s="47">
        <v>1</v>
      </c>
      <c r="H21" s="133">
        <f>IF(B$17=0,0,G21/B$17)</f>
        <v>7.6335877862595417E-3</v>
      </c>
      <c r="I21" s="94">
        <v>1</v>
      </c>
      <c r="K21" s="38">
        <v>19</v>
      </c>
      <c r="L21" s="99">
        <v>-188.59999999999994</v>
      </c>
      <c r="N21" s="115" t="s">
        <v>177</v>
      </c>
      <c r="O21" s="125">
        <f>IF(P21=0,0,Q21/P21)</f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7648.0916030534354</v>
      </c>
      <c r="C23" s="41">
        <v>1001900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-8327.3809523809523</v>
      </c>
      <c r="C24" s="45">
        <v>-699500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4.3383947939262474E-3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96</v>
      </c>
      <c r="C2" s="151"/>
      <c r="E2" s="62" t="s">
        <v>65</v>
      </c>
      <c r="F2" s="59" t="s">
        <v>21</v>
      </c>
      <c r="G2" s="46">
        <v>133</v>
      </c>
      <c r="H2" s="132">
        <f>IF(B$17=0,0,G2/B$17)</f>
        <v>0.61860465116279073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937.5</v>
      </c>
      <c r="P2" s="118">
        <v>96</v>
      </c>
      <c r="Q2" s="102">
        <v>90000</v>
      </c>
    </row>
    <row r="3" spans="1:17" x14ac:dyDescent="0.4">
      <c r="A3" s="55" t="s">
        <v>8</v>
      </c>
      <c r="B3" s="152">
        <v>783</v>
      </c>
      <c r="C3" s="153"/>
      <c r="E3" s="63" t="s">
        <v>67</v>
      </c>
      <c r="F3" s="60" t="s">
        <v>23</v>
      </c>
      <c r="G3" s="47">
        <v>118</v>
      </c>
      <c r="H3" s="133">
        <f>IF(B$17=0,0,G3/B$17)</f>
        <v>0.5488372093023256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205.43478260869566</v>
      </c>
      <c r="P3" s="119">
        <v>92</v>
      </c>
      <c r="Q3" s="103">
        <v>18900</v>
      </c>
    </row>
    <row r="4" spans="1:17" x14ac:dyDescent="0.4">
      <c r="A4" s="55" t="s">
        <v>6</v>
      </c>
      <c r="B4" s="154">
        <v>48.899999999999928</v>
      </c>
      <c r="C4" s="155"/>
      <c r="E4" s="63" t="s">
        <v>73</v>
      </c>
      <c r="F4" s="60" t="s">
        <v>28</v>
      </c>
      <c r="G4" s="47">
        <v>94</v>
      </c>
      <c r="H4" s="133">
        <f>IF(B$17=0,0,G4/B$17)</f>
        <v>0.43720930232558142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-832.94117647058829</v>
      </c>
      <c r="P4" s="119">
        <v>85</v>
      </c>
      <c r="Q4" s="103">
        <v>-70800</v>
      </c>
    </row>
    <row r="5" spans="1:17" x14ac:dyDescent="0.4">
      <c r="A5" s="55" t="s">
        <v>7</v>
      </c>
      <c r="B5" s="156">
        <f>IF(B$2=0,0,B$4/B$2)</f>
        <v>0.50937499999999925</v>
      </c>
      <c r="C5" s="157"/>
      <c r="E5" s="63" t="s">
        <v>245</v>
      </c>
      <c r="F5" s="60" t="s">
        <v>246</v>
      </c>
      <c r="G5" s="47">
        <v>93</v>
      </c>
      <c r="H5" s="133">
        <f>IF(B$17=0,0,G5/B$17)</f>
        <v>0.4325581395348837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1405</v>
      </c>
      <c r="P5" s="119">
        <v>80</v>
      </c>
      <c r="Q5" s="103">
        <v>112400</v>
      </c>
    </row>
    <row r="6" spans="1:17" x14ac:dyDescent="0.4">
      <c r="A6" s="55" t="s">
        <v>1</v>
      </c>
      <c r="B6" s="146">
        <f>IF(B$2=0,0,(B$7*1+B$8*2+B$9*3)/B$2)</f>
        <v>1.9791666666666667</v>
      </c>
      <c r="C6" s="147"/>
      <c r="E6" s="63" t="s">
        <v>68</v>
      </c>
      <c r="F6" s="60" t="s">
        <v>24</v>
      </c>
      <c r="G6" s="47">
        <v>91</v>
      </c>
      <c r="H6" s="133">
        <f>IF(B$17=0,0,G6/B$17)</f>
        <v>0.42325581395348838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-1846.5753424657535</v>
      </c>
      <c r="P6" s="119">
        <v>73</v>
      </c>
      <c r="Q6" s="103">
        <v>-134800</v>
      </c>
    </row>
    <row r="7" spans="1:17" x14ac:dyDescent="0.4">
      <c r="A7" s="55" t="s">
        <v>2</v>
      </c>
      <c r="B7" s="47">
        <v>33</v>
      </c>
      <c r="C7" s="39">
        <f>IF(B$2=0,0,B7/B$2)</f>
        <v>0.34375</v>
      </c>
      <c r="E7" s="63" t="s">
        <v>69</v>
      </c>
      <c r="F7" s="60" t="s">
        <v>12</v>
      </c>
      <c r="G7" s="47">
        <v>72</v>
      </c>
      <c r="H7" s="133">
        <f>IF(B$17=0,0,G7/B$17)</f>
        <v>0.33488372093023255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0.33333333333333331</v>
      </c>
      <c r="E8" s="63" t="s">
        <v>70</v>
      </c>
      <c r="F8" s="60" t="s">
        <v>25</v>
      </c>
      <c r="G8" s="47">
        <v>35</v>
      </c>
      <c r="H8" s="133">
        <f>IF(B$17=0,0,G8/B$17)</f>
        <v>0.16279069767441862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0.32291666666666669</v>
      </c>
      <c r="E9" s="63" t="s">
        <v>66</v>
      </c>
      <c r="F9" s="60" t="s">
        <v>22</v>
      </c>
      <c r="G9" s="47">
        <v>24</v>
      </c>
      <c r="H9" s="133">
        <f>IF(B$17=0,0,G9/B$17)</f>
        <v>0.11162790697674418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0.13541666666666666</v>
      </c>
      <c r="E10" s="63" t="s">
        <v>90</v>
      </c>
      <c r="F10" s="60" t="s">
        <v>45</v>
      </c>
      <c r="G10" s="47">
        <v>24</v>
      </c>
      <c r="H10" s="133">
        <f>IF(B$17=0,0,G10/B$17)</f>
        <v>0.11162790697674418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-7.9906250000000005</v>
      </c>
      <c r="P10" s="118">
        <v>32</v>
      </c>
      <c r="Q10" s="106">
        <v>-255.70000000000002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0.11458333333333333</v>
      </c>
      <c r="E11" s="63" t="s">
        <v>71</v>
      </c>
      <c r="F11" s="60" t="s">
        <v>26</v>
      </c>
      <c r="G11" s="47">
        <v>16</v>
      </c>
      <c r="H11" s="133">
        <f>IF(B$17=0,0,G11/B$17)</f>
        <v>7.441860465116279E-2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7.2916666666666671E-2</v>
      </c>
      <c r="E12" s="63" t="s">
        <v>72</v>
      </c>
      <c r="F12" s="60" t="s">
        <v>27</v>
      </c>
      <c r="G12" s="47">
        <v>16</v>
      </c>
      <c r="H12" s="133">
        <f>IF(B$17=0,0,G12/B$17)</f>
        <v>7.441860465116279E-2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217</v>
      </c>
      <c r="C13" s="44">
        <f>IF(B$3=0,0,B13/B$3)</f>
        <v>0.27713920817369092</v>
      </c>
      <c r="E13" s="63" t="s">
        <v>84</v>
      </c>
      <c r="F13" s="60" t="s">
        <v>39</v>
      </c>
      <c r="G13" s="47">
        <v>12</v>
      </c>
      <c r="H13" s="133">
        <f>IF(B$17=0,0,G13/B$17)</f>
        <v>5.5813953488372092E-2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142</v>
      </c>
      <c r="C14" s="39">
        <f>IF(B$3=0,0,B14/B$3)</f>
        <v>0.18135376756066413</v>
      </c>
      <c r="E14" s="63" t="s">
        <v>87</v>
      </c>
      <c r="F14" s="60" t="s">
        <v>42</v>
      </c>
      <c r="G14" s="47">
        <v>10</v>
      </c>
      <c r="H14" s="133">
        <f>IF(B$17=0,0,G14/B$17)</f>
        <v>4.6511627906976744E-2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133</v>
      </c>
      <c r="C15" s="37">
        <f>IF(B$13=0,0,B15/B$13)</f>
        <v>0.61290322580645162</v>
      </c>
      <c r="E15" s="63" t="s">
        <v>92</v>
      </c>
      <c r="F15" s="60" t="s">
        <v>47</v>
      </c>
      <c r="G15" s="47">
        <v>8</v>
      </c>
      <c r="H15" s="133">
        <f>IF(B$17=0,0,G15/B$17)</f>
        <v>3.7209302325581395E-2</v>
      </c>
      <c r="I15" s="94">
        <v>2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48</v>
      </c>
      <c r="C16" s="37">
        <f>IF(B$14=0,0,B16/B$14)</f>
        <v>0.3380281690140845</v>
      </c>
      <c r="E16" s="63" t="s">
        <v>82</v>
      </c>
      <c r="F16" s="60" t="s">
        <v>37</v>
      </c>
      <c r="G16" s="47">
        <v>7</v>
      </c>
      <c r="H16" s="133">
        <f>IF(B$17=0,0,G16/B$17)</f>
        <v>3.255813953488372E-2</v>
      </c>
      <c r="I16" s="94">
        <v>3</v>
      </c>
      <c r="K16" s="38">
        <v>14</v>
      </c>
      <c r="L16" s="99">
        <v>-178.49999999999997</v>
      </c>
      <c r="N16" s="115" t="s">
        <v>171</v>
      </c>
      <c r="O16" s="125">
        <f>IF(P16=0,0,Q16/P16)</f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0.27458492975734355</v>
      </c>
      <c r="E17" s="63" t="s">
        <v>79</v>
      </c>
      <c r="F17" s="60" t="s">
        <v>34</v>
      </c>
      <c r="G17" s="47">
        <v>6</v>
      </c>
      <c r="H17" s="133">
        <f>IF(B$17=0,0,G17/B$17)</f>
        <v>2.7906976744186046E-2</v>
      </c>
      <c r="I17" s="94">
        <v>6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98</v>
      </c>
      <c r="C18" s="39">
        <f>IF(B$17=0,0,B18/B$17)</f>
        <v>0.45581395348837211</v>
      </c>
      <c r="E18" s="63" t="s">
        <v>86</v>
      </c>
      <c r="F18" s="60" t="s">
        <v>41</v>
      </c>
      <c r="G18" s="47">
        <v>4</v>
      </c>
      <c r="H18" s="133">
        <f>IF(B$17=0,0,G18/B$17)</f>
        <v>1.8604651162790697E-2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117</v>
      </c>
      <c r="C19" s="39">
        <f>IF(B$17=0,0,B19/B$17)</f>
        <v>0.54418604651162794</v>
      </c>
      <c r="E19" s="63" t="s">
        <v>80</v>
      </c>
      <c r="F19" s="60" t="s">
        <v>35</v>
      </c>
      <c r="G19" s="47">
        <v>3</v>
      </c>
      <c r="H19" s="133">
        <f>IF(B$17=0,0,G19/B$17)</f>
        <v>1.3953488372093023E-2</v>
      </c>
      <c r="I19" s="94">
        <v>9</v>
      </c>
      <c r="K19" s="38">
        <v>17</v>
      </c>
      <c r="L19" s="99">
        <v>-161.19999999999999</v>
      </c>
      <c r="N19" s="115" t="s">
        <v>128</v>
      </c>
      <c r="O19" s="125">
        <f>IF(P19=0,0,Q19/P19)</f>
        <v>1.8258064516129038</v>
      </c>
      <c r="P19" s="119">
        <v>31</v>
      </c>
      <c r="Q19" s="107">
        <v>56.600000000000016</v>
      </c>
    </row>
    <row r="20" spans="1:17" x14ac:dyDescent="0.4">
      <c r="A20" s="55" t="s">
        <v>13</v>
      </c>
      <c r="B20" s="47">
        <v>117</v>
      </c>
      <c r="C20" s="39">
        <f>IF(B$3=0,0,B20/B$3)</f>
        <v>0.14942528735632185</v>
      </c>
      <c r="E20" s="63" t="s">
        <v>76</v>
      </c>
      <c r="F20" s="60" t="s">
        <v>31</v>
      </c>
      <c r="G20" s="47">
        <v>2</v>
      </c>
      <c r="H20" s="133">
        <f>IF(B$17=0,0,G20/B$17)</f>
        <v>9.3023255813953487E-3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9.3023255813953487E-3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6</v>
      </c>
      <c r="E22" s="63" t="s">
        <v>91</v>
      </c>
      <c r="F22" s="60" t="s">
        <v>46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8874.8837209302328</v>
      </c>
      <c r="C23" s="41">
        <v>1908100</v>
      </c>
      <c r="E23" s="63" t="s">
        <v>75</v>
      </c>
      <c r="F23" s="60" t="s">
        <v>30</v>
      </c>
      <c r="G23" s="47">
        <v>1</v>
      </c>
      <c r="H23" s="133">
        <f>IF(B$17=0,0,G23/B$17)</f>
        <v>4.6511627906976744E-3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-19.146153846153855</v>
      </c>
      <c r="P23" s="119">
        <v>39</v>
      </c>
      <c r="Q23" s="107">
        <v>-746.70000000000027</v>
      </c>
    </row>
    <row r="24" spans="1:17" x14ac:dyDescent="0.4">
      <c r="A24" s="57" t="s">
        <v>14</v>
      </c>
      <c r="B24" s="52">
        <f>IF(B$20=0,0,C24/B$20)</f>
        <v>-7229.0598290598291</v>
      </c>
      <c r="C24" s="45">
        <v>-845800</v>
      </c>
      <c r="E24" s="63" t="s">
        <v>93</v>
      </c>
      <c r="F24" s="60" t="s">
        <v>48</v>
      </c>
      <c r="G24" s="47">
        <v>1</v>
      </c>
      <c r="H24" s="133">
        <f>IF(B$17=0,0,G24/B$17)</f>
        <v>4.6511627906976744E-3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4.6511627906976744E-3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4.6511627906976744E-3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3.8314176245210726E-3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9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>IF(B$17=0,0,G3/B$17)</f>
        <v>0.6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0.54</v>
      </c>
      <c r="I4" s="94">
        <v>5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0.32</v>
      </c>
      <c r="I5" s="94">
        <v>13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68</v>
      </c>
      <c r="F7" s="60" t="s">
        <v>24</v>
      </c>
      <c r="G7" s="47">
        <v>12</v>
      </c>
      <c r="H7" s="133">
        <f>IF(B$17=0,0,G7/B$17)</f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70</v>
      </c>
      <c r="F8" s="60" t="s">
        <v>25</v>
      </c>
      <c r="G8" s="47">
        <v>8</v>
      </c>
      <c r="H8" s="133">
        <f>IF(B$17=0,0,G8/B$17)</f>
        <v>0.16</v>
      </c>
      <c r="I8" s="94">
        <v>9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71</v>
      </c>
      <c r="F9" s="60" t="s">
        <v>26</v>
      </c>
      <c r="G9" s="47">
        <v>8</v>
      </c>
      <c r="H9" s="133">
        <f>IF(B$17=0,0,G9/B$17)</f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84</v>
      </c>
      <c r="F10" s="60" t="s">
        <v>39</v>
      </c>
      <c r="G10" s="47">
        <v>6</v>
      </c>
      <c r="H10" s="133">
        <f>IF(B$17=0,0,G10/B$17)</f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90</v>
      </c>
      <c r="F11" s="60" t="s">
        <v>45</v>
      </c>
      <c r="G11" s="47">
        <v>5</v>
      </c>
      <c r="H11" s="133">
        <f>IF(B$17=0,0,G11/B$17)</f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66</v>
      </c>
      <c r="F12" s="60" t="s">
        <v>22</v>
      </c>
      <c r="G12" s="47">
        <v>4</v>
      </c>
      <c r="H12" s="133">
        <f>IF(B$17=0,0,G12/B$17)</f>
        <v>0.08</v>
      </c>
      <c r="I12" s="94">
        <v>9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>IF(B$17=0,0,G13/B$17)</f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>IF(B$17=0,0,G14/B$17)</f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>IF(B$17=0,0,G16/B$17)</f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>IF(B$17=0,0,G18/B$17)</f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>IF(P18=0,0,Q18/P18)</f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>IF(B$17=0,0,G19/B$17)</f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>IF(P19=0,0,Q19/P19)</f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>IF(P20=0,0,Q20/P20)</f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>IF(P21=0,0,Q21/P21)</f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>IF(P23=0,0,Q23/P23)</f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12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</v>
      </c>
      <c r="C2" s="151"/>
      <c r="E2" s="62" t="s">
        <v>73</v>
      </c>
      <c r="F2" s="59" t="s">
        <v>28</v>
      </c>
      <c r="G2" s="46">
        <v>43</v>
      </c>
      <c r="H2" s="132">
        <f>IF(B$17=0,0,G2/B$17)</f>
        <v>0.71666666666666667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2">
        <v>175</v>
      </c>
      <c r="C3" s="153"/>
      <c r="E3" s="63" t="s">
        <v>67</v>
      </c>
      <c r="F3" s="60" t="s">
        <v>23</v>
      </c>
      <c r="G3" s="47">
        <v>32</v>
      </c>
      <c r="H3" s="133">
        <f>IF(B$17=0,0,G3/B$17)</f>
        <v>0.53333333333333333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4">
        <v>94.299999999999983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0.45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6">
        <f>IF(B$2=0,0,B$4/B$2)</f>
        <v>4.9631578947368409</v>
      </c>
      <c r="C5" s="157"/>
      <c r="E5" s="63" t="s">
        <v>69</v>
      </c>
      <c r="F5" s="60" t="s">
        <v>12</v>
      </c>
      <c r="G5" s="47">
        <v>23</v>
      </c>
      <c r="H5" s="133">
        <f>IF(B$17=0,0,G5/B$17)</f>
        <v>0.38333333333333336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6">
        <f>IF(B$2=0,0,(B$7*1+B$8*2+B$9*3)/B$2)</f>
        <v>1.8421052631578947</v>
      </c>
      <c r="C6" s="147"/>
      <c r="E6" s="63" t="s">
        <v>68</v>
      </c>
      <c r="F6" s="60" t="s">
        <v>24</v>
      </c>
      <c r="G6" s="47">
        <v>18</v>
      </c>
      <c r="H6" s="133">
        <f>IF(B$17=0,0,G6/B$17)</f>
        <v>0.3</v>
      </c>
      <c r="I6" s="94">
        <v>8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245</v>
      </c>
      <c r="F7" s="60" t="s">
        <v>246</v>
      </c>
      <c r="G7" s="47">
        <v>18</v>
      </c>
      <c r="H7" s="133">
        <f>IF(B$17=0,0,G7/B$17)</f>
        <v>0.3</v>
      </c>
      <c r="I7" s="94">
        <v>14</v>
      </c>
      <c r="K7" s="38">
        <v>5</v>
      </c>
      <c r="L7" s="99">
        <v>-16.100000000000005</v>
      </c>
      <c r="N7" s="116" t="s">
        <v>137</v>
      </c>
      <c r="O7" s="123">
        <f t="shared" si="0"/>
        <v>1650</v>
      </c>
      <c r="P7" s="120">
        <v>14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70</v>
      </c>
      <c r="F8" s="60" t="s">
        <v>25</v>
      </c>
      <c r="G8" s="47">
        <v>10</v>
      </c>
      <c r="H8" s="133">
        <f>IF(B$17=0,0,G8/B$17)</f>
        <v>0.16666666666666666</v>
      </c>
      <c r="I8" s="94">
        <v>5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90</v>
      </c>
      <c r="F9" s="60" t="s">
        <v>45</v>
      </c>
      <c r="G9" s="47">
        <v>9</v>
      </c>
      <c r="H9" s="133">
        <f>IF(B$17=0,0,G9/B$17)</f>
        <v>0.15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87</v>
      </c>
      <c r="F10" s="60" t="s">
        <v>42</v>
      </c>
      <c r="G10" s="47">
        <v>7</v>
      </c>
      <c r="H10" s="133">
        <f>IF(B$17=0,0,G10/B$17)</f>
        <v>0.11666666666666667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66</v>
      </c>
      <c r="F11" s="60" t="s">
        <v>22</v>
      </c>
      <c r="G11" s="47">
        <v>5</v>
      </c>
      <c r="H11" s="133">
        <f>IF(B$17=0,0,G11/B$17)</f>
        <v>8.3333333333333329E-2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79</v>
      </c>
      <c r="F12" s="60" t="s">
        <v>34</v>
      </c>
      <c r="G12" s="47">
        <v>4</v>
      </c>
      <c r="H12" s="133">
        <f>IF(B$17=0,0,G12/B$17)</f>
        <v>6.6666666666666666E-2</v>
      </c>
      <c r="I12" s="94">
        <v>2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78</v>
      </c>
      <c r="F13" s="60" t="s">
        <v>33</v>
      </c>
      <c r="G13" s="47">
        <v>3</v>
      </c>
      <c r="H13" s="133">
        <f>IF(B$17=0,0,G13/B$17)</f>
        <v>0.05</v>
      </c>
      <c r="I13" s="94">
        <v>1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84</v>
      </c>
      <c r="F14" s="60" t="s">
        <v>39</v>
      </c>
      <c r="G14" s="47">
        <v>3</v>
      </c>
      <c r="H14" s="133">
        <f>IF(B$17=0,0,G14/B$17)</f>
        <v>0.05</v>
      </c>
      <c r="I14" s="94">
        <v>6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71</v>
      </c>
      <c r="F15" s="60" t="s">
        <v>26</v>
      </c>
      <c r="G15" s="47">
        <v>1</v>
      </c>
      <c r="H15" s="133">
        <f>IF(B$17=0,0,G15/B$17)</f>
        <v>1.6666666666666666E-2</v>
      </c>
      <c r="I15" s="94">
        <v>12</v>
      </c>
      <c r="K15" s="38">
        <v>13</v>
      </c>
      <c r="L15" s="99">
        <v>83.299999999999983</v>
      </c>
      <c r="N15" s="114" t="s">
        <v>173</v>
      </c>
      <c r="O15" s="124">
        <f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72</v>
      </c>
      <c r="F16" s="60" t="s">
        <v>27</v>
      </c>
      <c r="G16" s="47">
        <v>1</v>
      </c>
      <c r="H16" s="133">
        <f>IF(B$17=0,0,G16/B$17)</f>
        <v>1.6666666666666666E-2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>IF(P16=0,0,Q16/P16)</f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5</v>
      </c>
      <c r="K17" s="38">
        <v>15</v>
      </c>
      <c r="L17" s="99">
        <v>157.69999999999999</v>
      </c>
      <c r="N17" s="115" t="s">
        <v>172</v>
      </c>
      <c r="O17" s="125">
        <f>IF(P17=0,0,Q17/P17)</f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82</v>
      </c>
      <c r="F18" s="60" t="s">
        <v>37</v>
      </c>
      <c r="G18" s="47">
        <v>1</v>
      </c>
      <c r="H18" s="133">
        <f>IF(B$17=0,0,G18/B$17)</f>
        <v>1.6666666666666666E-2</v>
      </c>
      <c r="I18" s="94">
        <v>10</v>
      </c>
      <c r="K18" s="38">
        <v>16</v>
      </c>
      <c r="L18" s="99">
        <v>99.6</v>
      </c>
      <c r="N18" s="115" t="s">
        <v>127</v>
      </c>
      <c r="O18" s="125">
        <f>IF(P18=0,0,Q18/P18)</f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8</v>
      </c>
      <c r="K19" s="38">
        <v>17</v>
      </c>
      <c r="L19" s="99">
        <v>112.39999999999999</v>
      </c>
      <c r="N19" s="115" t="s">
        <v>171</v>
      </c>
      <c r="O19" s="125">
        <f>IF(P19=0,0,Q19/P19)</f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>IF(P20=0,0,Q20/P20)</f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>IF(P21=0,0,Q21/P21)</f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6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12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>IF(B$17=0,0,G3/B$17)</f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>IF(B$17=0,0,G4/B$17)</f>
        <v>0.375</v>
      </c>
      <c r="I4" s="94">
        <v>12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>IF(B$17=0,0,G5/B$17)</f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>IF(B$17=0,0,G6/B$17)</f>
        <v>0.25</v>
      </c>
      <c r="I6" s="94">
        <v>14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68</v>
      </c>
      <c r="F7" s="60" t="s">
        <v>24</v>
      </c>
      <c r="G7" s="47">
        <v>4</v>
      </c>
      <c r="H7" s="133">
        <f>IF(B$17=0,0,G7/B$17)</f>
        <v>0.25</v>
      </c>
      <c r="I7" s="94">
        <v>10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90</v>
      </c>
      <c r="F8" s="60" t="s">
        <v>45</v>
      </c>
      <c r="G8" s="47">
        <v>3</v>
      </c>
      <c r="H8" s="133">
        <f>IF(B$17=0,0,G8/B$17)</f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180</v>
      </c>
      <c r="F10" s="60" t="s">
        <v>181</v>
      </c>
      <c r="G10" s="47">
        <v>2</v>
      </c>
      <c r="H10" s="133">
        <f>IF(B$17=0,0,G10/B$17)</f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11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70</v>
      </c>
      <c r="F12" s="60" t="s">
        <v>25</v>
      </c>
      <c r="G12" s="47">
        <v>1</v>
      </c>
      <c r="H12" s="133">
        <f>IF(B$17=0,0,G12/B$17)</f>
        <v>6.25E-2</v>
      </c>
      <c r="I12" s="94">
        <v>13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>IF(B$17=0,0,G13/B$17)</f>
        <v>6.25E-2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>IF(B$17=0,0,G14/B$17)</f>
        <v>6.25E-2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>IF(B$17=0,0,G15/B$17)</f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11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12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245</v>
      </c>
      <c r="F2" s="59" t="s">
        <v>246</v>
      </c>
      <c r="G2" s="46">
        <v>9</v>
      </c>
      <c r="H2" s="132">
        <f>IF(B$17=0,0,G2/B$17)</f>
        <v>0.6428571428571429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2">
        <v>56</v>
      </c>
      <c r="C3" s="153"/>
      <c r="E3" s="63" t="s">
        <v>65</v>
      </c>
      <c r="F3" s="60" t="s">
        <v>21</v>
      </c>
      <c r="G3" s="47">
        <v>7</v>
      </c>
      <c r="H3" s="133">
        <f>IF(B$17=0,0,G3/B$17)</f>
        <v>0.5</v>
      </c>
      <c r="I3" s="94">
        <v>6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4">
        <v>-201.8</v>
      </c>
      <c r="C4" s="155"/>
      <c r="E4" s="63" t="s">
        <v>73</v>
      </c>
      <c r="F4" s="60" t="s">
        <v>28</v>
      </c>
      <c r="G4" s="47">
        <v>7</v>
      </c>
      <c r="H4" s="133">
        <f>IF(B$17=0,0,G4/B$17)</f>
        <v>0.5</v>
      </c>
      <c r="I4" s="94">
        <v>10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6">
        <f>IF(B$2=0,0,B$4/B$2)</f>
        <v>-33.633333333333333</v>
      </c>
      <c r="C5" s="157"/>
      <c r="E5" s="63" t="s">
        <v>67</v>
      </c>
      <c r="F5" s="60" t="s">
        <v>23</v>
      </c>
      <c r="G5" s="47">
        <v>6</v>
      </c>
      <c r="H5" s="133">
        <f>IF(B$17=0,0,G5/B$17)</f>
        <v>0.42857142857142855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-5675</v>
      </c>
      <c r="P7" s="120">
        <v>4</v>
      </c>
      <c r="Q7" s="104">
        <v>-22700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10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79</v>
      </c>
      <c r="F9" s="60" t="s">
        <v>34</v>
      </c>
      <c r="G9" s="47">
        <v>1</v>
      </c>
      <c r="H9" s="133">
        <f>IF(B$17=0,0,G9/B$17)</f>
        <v>7.1428571428571425E-2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87</v>
      </c>
      <c r="F10" s="60" t="s">
        <v>42</v>
      </c>
      <c r="G10" s="47">
        <v>1</v>
      </c>
      <c r="H10" s="133">
        <f>IF(B$17=0,0,G10/B$17)</f>
        <v>7.1428571428571425E-2</v>
      </c>
      <c r="I10" s="94">
        <v>3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1</v>
      </c>
      <c r="H11" s="133">
        <f>IF(B$17=0,0,G11/B$17)</f>
        <v>7.1428571428571425E-2</v>
      </c>
      <c r="I11" s="94">
        <v>1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9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11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52800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13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1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2019-07-15T00:56:03Z</dcterms:modified>
</cp:coreProperties>
</file>