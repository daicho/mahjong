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F91BC8A-A39C-48FF-9D43-9B8DC44E85E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やがさき2" sheetId="5530" state="hidden" r:id="rId19"/>
    <sheet name="かわたつ2" sheetId="5528" state="hidden" r:id="rId20"/>
    <sheet name="ほたに2" sheetId="5526" state="hidden" r:id="rId21"/>
    <sheet name="いっしー2" sheetId="5524" state="hidden" r:id="rId22"/>
    <sheet name="あさひ2" sheetId="5522" state="hidden" r:id="rId23"/>
    <sheet name="まっつん2" sheetId="5520" state="hidden" r:id="rId24"/>
    <sheet name="ぱぱ2" sheetId="5518" state="hidden" r:id="rId25"/>
    <sheet name="たかの2" sheetId="5516" state="hidden" r:id="rId26"/>
    <sheet name="れんたろう2" sheetId="5514" state="hidden" r:id="rId27"/>
    <sheet name="ただ2" sheetId="5512" state="hidden" r:id="rId28"/>
    <sheet name="りくと2" sheetId="5510" state="hidden" r:id="rId29"/>
    <sheet name="だいち2" sheetId="5508" state="hidden" r:id="rId30"/>
    <sheet name="全体2" sheetId="550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517" l="1"/>
  <c r="O15" i="5523"/>
  <c r="O25" i="5507" l="1"/>
  <c r="O15" i="5529"/>
  <c r="O15" i="5511" l="1"/>
  <c r="O15" i="5515"/>
  <c r="O16" i="5505"/>
  <c r="O17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3" i="5529"/>
  <c r="C10" i="5529"/>
  <c r="C9" i="5529"/>
  <c r="H14" i="5529"/>
  <c r="C8" i="5529"/>
  <c r="O7" i="5529"/>
  <c r="C7" i="5529"/>
  <c r="O6" i="5529"/>
  <c r="B6" i="5529"/>
  <c r="O5" i="5529"/>
  <c r="B5" i="5529"/>
  <c r="O4" i="5529"/>
  <c r="H2" i="5529"/>
  <c r="O3" i="5529"/>
  <c r="O2" i="5529"/>
  <c r="H5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5" i="5505"/>
  <c r="C17" i="5529" l="1"/>
  <c r="H23" i="5529"/>
  <c r="H28" i="5529"/>
  <c r="H34" i="5529"/>
  <c r="H50" i="5529"/>
  <c r="H18" i="5529"/>
  <c r="C19" i="5529"/>
  <c r="H11" i="5529"/>
  <c r="H35" i="5529"/>
  <c r="H39" i="5529"/>
  <c r="H43" i="5529"/>
  <c r="H51" i="5529"/>
  <c r="H12" i="5529"/>
  <c r="H7" i="5529"/>
  <c r="H15" i="5529"/>
  <c r="H17" i="5529"/>
  <c r="H10" i="5529"/>
  <c r="H22" i="5529"/>
  <c r="H24" i="5529"/>
  <c r="H26" i="5529"/>
  <c r="H8" i="5529"/>
  <c r="H32" i="5529"/>
  <c r="H36" i="5529"/>
  <c r="H40" i="5529"/>
  <c r="H44" i="5529"/>
  <c r="H48" i="5529"/>
  <c r="H4" i="5529"/>
  <c r="H21" i="5529"/>
  <c r="H25" i="5529"/>
  <c r="H30" i="5529"/>
  <c r="H38" i="5529"/>
  <c r="H42" i="5529"/>
  <c r="H46" i="5529"/>
  <c r="H13" i="5529"/>
  <c r="H20" i="5529"/>
  <c r="H31" i="5529"/>
  <c r="H47" i="5529"/>
  <c r="H6" i="5529"/>
  <c r="H16" i="5529"/>
  <c r="H19" i="5529"/>
  <c r="H9" i="5529"/>
  <c r="C18" i="5529"/>
  <c r="B23" i="5529"/>
  <c r="H27" i="5529"/>
  <c r="H29" i="5529"/>
  <c r="H33" i="5529"/>
  <c r="H37" i="5529"/>
  <c r="H41" i="5529"/>
  <c r="H45" i="5529"/>
  <c r="H49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7" i="5515" l="1"/>
  <c r="O18" i="5523"/>
  <c r="O20" i="5525" l="1"/>
  <c r="O18" i="5525"/>
  <c r="O16" i="5519"/>
  <c r="O20" i="5509"/>
  <c r="O24" i="5507" l="1"/>
  <c r="O17" i="5525"/>
  <c r="O21" i="5517"/>
  <c r="O15" i="5525"/>
  <c r="O16" i="5525" l="1"/>
  <c r="O19" i="5525"/>
  <c r="C27" i="5525"/>
  <c r="B24" i="5525"/>
  <c r="C20" i="5525"/>
  <c r="B17" i="5525"/>
  <c r="H52" i="5525" s="1"/>
  <c r="C16" i="5525"/>
  <c r="C15" i="5525"/>
  <c r="C14" i="5525"/>
  <c r="H13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2" i="5505"/>
  <c r="H8" i="5525" l="1"/>
  <c r="H3" i="5525"/>
  <c r="H10" i="5525"/>
  <c r="H5" i="5525"/>
  <c r="C17" i="5525"/>
  <c r="H2" i="5525"/>
  <c r="H4" i="5525"/>
  <c r="H7" i="5525"/>
  <c r="H15" i="5525"/>
  <c r="H18" i="5525"/>
  <c r="H20" i="5525"/>
  <c r="H23" i="5525"/>
  <c r="H26" i="5525"/>
  <c r="H29" i="5525"/>
  <c r="H33" i="5525"/>
  <c r="H37" i="5525"/>
  <c r="H41" i="5525"/>
  <c r="H45" i="5525"/>
  <c r="H49" i="5525"/>
  <c r="C19" i="5525"/>
  <c r="H21" i="5525"/>
  <c r="H30" i="5525"/>
  <c r="H34" i="5525"/>
  <c r="H38" i="5525"/>
  <c r="H42" i="5525"/>
  <c r="H46" i="5525"/>
  <c r="H50" i="5525"/>
  <c r="H6" i="5525"/>
  <c r="H9" i="5525"/>
  <c r="H12" i="5525"/>
  <c r="H17" i="5525"/>
  <c r="H19" i="5525"/>
  <c r="H22" i="5525"/>
  <c r="H24" i="5525"/>
  <c r="H27" i="5525"/>
  <c r="H31" i="5525"/>
  <c r="H35" i="5525"/>
  <c r="H39" i="5525"/>
  <c r="H43" i="5525"/>
  <c r="H47" i="5525"/>
  <c r="H51" i="5525"/>
  <c r="H11" i="5525"/>
  <c r="H14" i="5525"/>
  <c r="H16" i="5525"/>
  <c r="C18" i="5525"/>
  <c r="B23" i="5525"/>
  <c r="H25" i="5525"/>
  <c r="H28" i="5525"/>
  <c r="H32" i="5525"/>
  <c r="H36" i="5525"/>
  <c r="H40" i="5525"/>
  <c r="H44" i="5525"/>
  <c r="H48" i="5525"/>
  <c r="O20" i="5515" l="1"/>
  <c r="O16" i="5511"/>
  <c r="O21" i="5519"/>
  <c r="O19" i="5519"/>
  <c r="O19" i="5507" l="1"/>
  <c r="O21" i="5523"/>
  <c r="O19" i="5523" l="1"/>
  <c r="O16" i="5523"/>
  <c r="O16" i="5513"/>
  <c r="O20" i="5511"/>
  <c r="O17" i="5521" l="1"/>
  <c r="O22" i="5517"/>
  <c r="O15" i="5521"/>
  <c r="O22" i="5523"/>
  <c r="O15" i="5509"/>
  <c r="O20" i="5519"/>
  <c r="O18" i="5505"/>
  <c r="O20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2" i="5519"/>
  <c r="O23" i="5519"/>
  <c r="O15" i="5507"/>
  <c r="O20" i="5507"/>
  <c r="O26" i="5505"/>
  <c r="H3" i="5523" l="1"/>
  <c r="H2" i="5523"/>
  <c r="H4" i="5523"/>
  <c r="H9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4" i="5523"/>
  <c r="H31" i="5523"/>
  <c r="H35" i="5523"/>
  <c r="H38" i="5523"/>
  <c r="H46" i="5523"/>
  <c r="H8" i="5523"/>
  <c r="H17" i="5523"/>
  <c r="H21" i="5523"/>
  <c r="C19" i="5523"/>
  <c r="H10" i="5523"/>
  <c r="H32" i="5523"/>
  <c r="H36" i="5523"/>
  <c r="H39" i="5523"/>
  <c r="H43" i="5523"/>
  <c r="H47" i="5523"/>
  <c r="H51" i="5523"/>
  <c r="H23" i="5523"/>
  <c r="H29" i="5523"/>
  <c r="H42" i="5523"/>
  <c r="H13" i="5523"/>
  <c r="H6" i="5523"/>
  <c r="H12" i="5523"/>
  <c r="H16" i="5523"/>
  <c r="H14" i="5523"/>
  <c r="H18" i="5523"/>
  <c r="H25" i="5523"/>
  <c r="H27" i="5523"/>
  <c r="H11" i="5523"/>
  <c r="H33" i="5523"/>
  <c r="H19" i="5523"/>
  <c r="H40" i="5523"/>
  <c r="H44" i="5523"/>
  <c r="H48" i="5523"/>
  <c r="H5" i="5523"/>
  <c r="H26" i="5523"/>
  <c r="H50" i="5523"/>
  <c r="H7" i="5523"/>
  <c r="H15" i="5523"/>
  <c r="H20" i="5523"/>
  <c r="H22" i="5523"/>
  <c r="C18" i="5523"/>
  <c r="B23" i="5523"/>
  <c r="H28" i="5523"/>
  <c r="H30" i="5523"/>
  <c r="H34" i="5523"/>
  <c r="H37" i="5523"/>
  <c r="H41" i="5523"/>
  <c r="H45" i="5523"/>
  <c r="H49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7" i="5519" l="1"/>
  <c r="O20" i="5517"/>
  <c r="O17" i="5517"/>
  <c r="O17" i="5509"/>
  <c r="O18" i="5515" l="1"/>
  <c r="O17" i="5513"/>
  <c r="O16" i="5517"/>
  <c r="O18" i="5517"/>
  <c r="O16" i="5515" l="1"/>
  <c r="O15" i="5513"/>
  <c r="O22" i="5511"/>
  <c r="O18" i="5511"/>
  <c r="O15" i="5519"/>
  <c r="O18" i="5519"/>
  <c r="C27" i="5519"/>
  <c r="B24" i="5519"/>
  <c r="C20" i="5519"/>
  <c r="B17" i="5519"/>
  <c r="H50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3" i="5505"/>
  <c r="H16" i="5519" l="1"/>
  <c r="H10" i="5519"/>
  <c r="H14" i="5519"/>
  <c r="H8" i="5519"/>
  <c r="H32" i="5519"/>
  <c r="H12" i="5519"/>
  <c r="H2" i="5519"/>
  <c r="H39" i="5519"/>
  <c r="H25" i="5519"/>
  <c r="H5" i="5519"/>
  <c r="C18" i="5519"/>
  <c r="H22" i="5519"/>
  <c r="H40" i="5519"/>
  <c r="H4" i="5519"/>
  <c r="H9" i="5519"/>
  <c r="H17" i="5519"/>
  <c r="B23" i="5519"/>
  <c r="H31" i="5519"/>
  <c r="H47" i="5519"/>
  <c r="H48" i="5519"/>
  <c r="H19" i="5519"/>
  <c r="H27" i="5519"/>
  <c r="H35" i="5519"/>
  <c r="H43" i="5519"/>
  <c r="H51" i="5519"/>
  <c r="H3" i="5519"/>
  <c r="H6" i="5519"/>
  <c r="H11" i="5519"/>
  <c r="C17" i="5519"/>
  <c r="H24" i="5519"/>
  <c r="H28" i="5519"/>
  <c r="H36" i="5519"/>
  <c r="H44" i="5519"/>
  <c r="H52" i="5519"/>
  <c r="H18" i="5519"/>
  <c r="H20" i="5519"/>
  <c r="H23" i="5519"/>
  <c r="H26" i="5519"/>
  <c r="H29" i="5519"/>
  <c r="H33" i="5519"/>
  <c r="H37" i="5519"/>
  <c r="H41" i="5519"/>
  <c r="H45" i="5519"/>
  <c r="H49" i="5519"/>
  <c r="H7" i="5519"/>
  <c r="H13" i="5519"/>
  <c r="H15" i="5519"/>
  <c r="C19" i="5519"/>
  <c r="H21" i="5519"/>
  <c r="H30" i="5519"/>
  <c r="H34" i="5519"/>
  <c r="H38" i="5519"/>
  <c r="H42" i="5519"/>
  <c r="H46" i="5519"/>
  <c r="O19" i="5511" l="1"/>
  <c r="O19" i="5517"/>
  <c r="O15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7" i="5505"/>
  <c r="O19" i="5515"/>
  <c r="O18" i="5509"/>
  <c r="O19" i="5509"/>
  <c r="O19" i="5513"/>
  <c r="O22" i="5515"/>
  <c r="O23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20" i="5505"/>
  <c r="O21" i="5505"/>
  <c r="H8" i="5515" l="1"/>
  <c r="H2" i="5515"/>
  <c r="H4" i="5515"/>
  <c r="H10" i="5515"/>
  <c r="H6" i="5513"/>
  <c r="C17" i="5517"/>
  <c r="H4" i="5517"/>
  <c r="H10" i="5517"/>
  <c r="H2" i="5517"/>
  <c r="H8" i="5517"/>
  <c r="H18" i="5517"/>
  <c r="H26" i="5517"/>
  <c r="H29" i="5517"/>
  <c r="H33" i="5517"/>
  <c r="H37" i="5517"/>
  <c r="H49" i="5517"/>
  <c r="H7" i="5517"/>
  <c r="H13" i="5517"/>
  <c r="H15" i="5517"/>
  <c r="C19" i="5517"/>
  <c r="H21" i="5517"/>
  <c r="H30" i="5517"/>
  <c r="H34" i="5517"/>
  <c r="H38" i="5517"/>
  <c r="H42" i="5517"/>
  <c r="H46" i="5517"/>
  <c r="H50" i="5517"/>
  <c r="H20" i="5517"/>
  <c r="H45" i="5517"/>
  <c r="H3" i="5517"/>
  <c r="H6" i="5517"/>
  <c r="H9" i="5517"/>
  <c r="H12" i="5517"/>
  <c r="H17" i="5517"/>
  <c r="H19" i="5517"/>
  <c r="H22" i="5517"/>
  <c r="H24" i="5517"/>
  <c r="H27" i="5517"/>
  <c r="H31" i="5517"/>
  <c r="H35" i="5517"/>
  <c r="H39" i="5517"/>
  <c r="H43" i="5517"/>
  <c r="H47" i="5517"/>
  <c r="H51" i="5517"/>
  <c r="H23" i="5517"/>
  <c r="H41" i="5517"/>
  <c r="H5" i="5517"/>
  <c r="H11" i="5517"/>
  <c r="H14" i="5517"/>
  <c r="H16" i="5517"/>
  <c r="C18" i="5517"/>
  <c r="B23" i="5517"/>
  <c r="H25" i="5517"/>
  <c r="H28" i="5517"/>
  <c r="H32" i="5517"/>
  <c r="H36" i="5517"/>
  <c r="H40" i="5517"/>
  <c r="H44" i="5517"/>
  <c r="H48" i="5517"/>
  <c r="C17" i="5515"/>
  <c r="H18" i="5515"/>
  <c r="H26" i="5515"/>
  <c r="H29" i="5515"/>
  <c r="H33" i="5515"/>
  <c r="H37" i="5515"/>
  <c r="H49" i="5515"/>
  <c r="H7" i="5515"/>
  <c r="H13" i="5515"/>
  <c r="H15" i="5515"/>
  <c r="C19" i="5515"/>
  <c r="H21" i="5515"/>
  <c r="H30" i="5515"/>
  <c r="H34" i="5515"/>
  <c r="H38" i="5515"/>
  <c r="H42" i="5515"/>
  <c r="H46" i="5515"/>
  <c r="H50" i="5515"/>
  <c r="H23" i="5515"/>
  <c r="H41" i="5515"/>
  <c r="H3" i="5515"/>
  <c r="H6" i="5515"/>
  <c r="H9" i="5515"/>
  <c r="H12" i="5515"/>
  <c r="H17" i="5515"/>
  <c r="H19" i="5515"/>
  <c r="H22" i="5515"/>
  <c r="H24" i="5515"/>
  <c r="H27" i="5515"/>
  <c r="H31" i="5515"/>
  <c r="H35" i="5515"/>
  <c r="H39" i="5515"/>
  <c r="H43" i="5515"/>
  <c r="H47" i="5515"/>
  <c r="H51" i="5515"/>
  <c r="H20" i="5515"/>
  <c r="H45" i="5515"/>
  <c r="H5" i="5515"/>
  <c r="H11" i="5515"/>
  <c r="H14" i="5515"/>
  <c r="H16" i="5515"/>
  <c r="C18" i="5515"/>
  <c r="B23" i="5515"/>
  <c r="H25" i="5515"/>
  <c r="H28" i="5515"/>
  <c r="H32" i="5515"/>
  <c r="H36" i="5515"/>
  <c r="H40" i="5515"/>
  <c r="H44" i="5515"/>
  <c r="H48" i="5515"/>
  <c r="H27" i="5513"/>
  <c r="H14" i="5513"/>
  <c r="H41" i="5513"/>
  <c r="H45" i="5513"/>
  <c r="H20" i="5513"/>
  <c r="H15" i="5513"/>
  <c r="C18" i="5513"/>
  <c r="H3" i="5513"/>
  <c r="H2" i="5513"/>
  <c r="H11" i="5513"/>
  <c r="H4" i="5513"/>
  <c r="C19" i="5513"/>
  <c r="H22" i="5513"/>
  <c r="H9" i="5513"/>
  <c r="H8" i="5513"/>
  <c r="H21" i="5513"/>
  <c r="H28" i="5513"/>
  <c r="C17" i="5513"/>
  <c r="H16" i="5513"/>
  <c r="H25" i="5513"/>
  <c r="H49" i="5513"/>
  <c r="H10" i="5513"/>
  <c r="H7" i="5513"/>
  <c r="H13" i="5513"/>
  <c r="H26" i="5513"/>
  <c r="H18" i="5513"/>
  <c r="H12" i="5513"/>
  <c r="H37" i="5513"/>
  <c r="H5" i="5513"/>
  <c r="H29" i="5513"/>
  <c r="H30" i="5513"/>
  <c r="H31" i="5513"/>
  <c r="H32" i="5513"/>
  <c r="H17" i="5513"/>
  <c r="H35" i="5513"/>
  <c r="H39" i="5513"/>
  <c r="H43" i="5513"/>
  <c r="H47" i="5513"/>
  <c r="H51" i="5513"/>
  <c r="H23" i="5513"/>
  <c r="H36" i="5513"/>
  <c r="H40" i="5513"/>
  <c r="H44" i="5513"/>
  <c r="H48" i="5513"/>
  <c r="H19" i="5513"/>
  <c r="B23" i="5513"/>
  <c r="H24" i="5513"/>
  <c r="H33" i="5513"/>
  <c r="H34" i="5513"/>
  <c r="H38" i="5513"/>
  <c r="H42" i="5513"/>
  <c r="H46" i="5513"/>
  <c r="H50" i="5513"/>
  <c r="O17" i="5511" l="1"/>
  <c r="O21" i="5511"/>
  <c r="C27" i="5511"/>
  <c r="B24" i="5511"/>
  <c r="C20" i="5511"/>
  <c r="B17" i="5511"/>
  <c r="H51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6" i="5509"/>
  <c r="C27" i="5509"/>
  <c r="B24" i="5509"/>
  <c r="C20" i="5509"/>
  <c r="B17" i="5509"/>
  <c r="H5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7" i="5507"/>
  <c r="O21" i="5507"/>
  <c r="C27" i="5507"/>
  <c r="B24" i="5507"/>
  <c r="C20" i="5507"/>
  <c r="B17" i="5507"/>
  <c r="H15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5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2" i="5509" l="1"/>
  <c r="H18" i="5509"/>
  <c r="H3" i="5509"/>
  <c r="H9" i="5509"/>
  <c r="H22" i="5509"/>
  <c r="H29" i="5509"/>
  <c r="H7" i="5509"/>
  <c r="H12" i="5509"/>
  <c r="H21" i="5509"/>
  <c r="C18" i="5509"/>
  <c r="H6" i="5509"/>
  <c r="H10" i="5509"/>
  <c r="H4" i="5509"/>
  <c r="C19" i="5509"/>
  <c r="H11" i="5507"/>
  <c r="H16" i="5507"/>
  <c r="H28" i="5507"/>
  <c r="H2" i="5511"/>
  <c r="H3" i="5511"/>
  <c r="H20" i="5505"/>
  <c r="H6" i="5507"/>
  <c r="H3" i="5507"/>
  <c r="H4" i="5511"/>
  <c r="H21" i="5511"/>
  <c r="H22" i="5511"/>
  <c r="C17" i="5511"/>
  <c r="B23" i="5511"/>
  <c r="H33" i="5511"/>
  <c r="H41" i="5511"/>
  <c r="H49" i="5511"/>
  <c r="H30" i="5511"/>
  <c r="H19" i="5511"/>
  <c r="H40" i="5511"/>
  <c r="H23" i="5511"/>
  <c r="H11" i="5511"/>
  <c r="H6" i="5511"/>
  <c r="H10" i="5511"/>
  <c r="H17" i="5511"/>
  <c r="H18" i="5511"/>
  <c r="H12" i="5511"/>
  <c r="H36" i="5511"/>
  <c r="H44" i="5511"/>
  <c r="H5" i="5511"/>
  <c r="H9" i="5511"/>
  <c r="C19" i="5511"/>
  <c r="H48" i="5511"/>
  <c r="H8" i="5511"/>
  <c r="H16" i="5511"/>
  <c r="H7" i="5511"/>
  <c r="H26" i="5511"/>
  <c r="H27" i="5511"/>
  <c r="H13" i="5511"/>
  <c r="C18" i="5511"/>
  <c r="H15" i="5511"/>
  <c r="H14" i="5511"/>
  <c r="H32" i="5511"/>
  <c r="H37" i="5511"/>
  <c r="H45" i="5511"/>
  <c r="H52" i="5511"/>
  <c r="H28" i="5511"/>
  <c r="H29" i="5511"/>
  <c r="H31" i="5511"/>
  <c r="H24" i="5511"/>
  <c r="H20" i="5511"/>
  <c r="H34" i="5511"/>
  <c r="H38" i="5511"/>
  <c r="H42" i="5511"/>
  <c r="H46" i="5511"/>
  <c r="H50" i="5511"/>
  <c r="H25" i="5511"/>
  <c r="H35" i="5511"/>
  <c r="H39" i="5511"/>
  <c r="H43" i="5511"/>
  <c r="H47" i="5511"/>
  <c r="H35" i="5509"/>
  <c r="B23" i="5509"/>
  <c r="H42" i="5509"/>
  <c r="H46" i="5509"/>
  <c r="H8" i="5509"/>
  <c r="H20" i="5509"/>
  <c r="H23" i="5509"/>
  <c r="C17" i="5509"/>
  <c r="H14" i="5509"/>
  <c r="H34" i="5509"/>
  <c r="H50" i="5509"/>
  <c r="H33" i="5509"/>
  <c r="H38" i="5509"/>
  <c r="H52" i="5509"/>
  <c r="H30" i="5509"/>
  <c r="H31" i="5509"/>
  <c r="H32" i="5509"/>
  <c r="H25" i="5509"/>
  <c r="H17" i="5509"/>
  <c r="H28" i="5509"/>
  <c r="H39" i="5509"/>
  <c r="H43" i="5509"/>
  <c r="H47" i="5509"/>
  <c r="H51" i="5509"/>
  <c r="H26" i="5509"/>
  <c r="H36" i="5509"/>
  <c r="H40" i="5509"/>
  <c r="H44" i="5509"/>
  <c r="H48" i="5509"/>
  <c r="H19" i="5509"/>
  <c r="H16" i="5509"/>
  <c r="H15" i="5509"/>
  <c r="H24" i="5509"/>
  <c r="H13" i="5509"/>
  <c r="H11" i="5509"/>
  <c r="H27" i="5509"/>
  <c r="H37" i="5509"/>
  <c r="H41" i="5509"/>
  <c r="H45" i="5509"/>
  <c r="H49" i="5509"/>
  <c r="H37" i="5505"/>
  <c r="H41" i="5505"/>
  <c r="H10" i="5505"/>
  <c r="H11" i="5505"/>
  <c r="H6" i="5505"/>
  <c r="H4" i="5505"/>
  <c r="H7" i="5505"/>
  <c r="H3" i="5505"/>
  <c r="H2" i="5505"/>
  <c r="H41" i="5507"/>
  <c r="H42" i="5507"/>
  <c r="H32" i="5507"/>
  <c r="H13" i="5507"/>
  <c r="H49" i="5507"/>
  <c r="H31" i="5507"/>
  <c r="H27" i="5507"/>
  <c r="H2" i="5507"/>
  <c r="H19" i="5507"/>
  <c r="B23" i="5507"/>
  <c r="H25" i="5507"/>
  <c r="H4" i="5507"/>
  <c r="C18" i="5507"/>
  <c r="H35" i="5507"/>
  <c r="H50" i="5507"/>
  <c r="H17" i="5507"/>
  <c r="H9" i="5507"/>
  <c r="H37" i="5507"/>
  <c r="H45" i="5507"/>
  <c r="H5" i="5507"/>
  <c r="H10" i="5507"/>
  <c r="H7" i="5507"/>
  <c r="H21" i="5507"/>
  <c r="C17" i="5507"/>
  <c r="H12" i="5507"/>
  <c r="H24" i="5507"/>
  <c r="H38" i="5507"/>
  <c r="H46" i="5507"/>
  <c r="H52" i="5507"/>
  <c r="H33" i="5507"/>
  <c r="H34" i="5507"/>
  <c r="H20" i="5507"/>
  <c r="H29" i="5507"/>
  <c r="H18" i="5507"/>
  <c r="H30" i="5507"/>
  <c r="H39" i="5507"/>
  <c r="H43" i="5507"/>
  <c r="H47" i="5507"/>
  <c r="H51" i="5507"/>
  <c r="H8" i="5507"/>
  <c r="H26" i="5507"/>
  <c r="H23" i="5507"/>
  <c r="C19" i="5507"/>
  <c r="H14" i="5507"/>
  <c r="H22" i="5507"/>
  <c r="H36" i="5507"/>
  <c r="H40" i="5507"/>
  <c r="H44" i="5507"/>
  <c r="H48" i="5507"/>
  <c r="H45" i="5505"/>
  <c r="H12" i="5505"/>
  <c r="H22" i="5505"/>
  <c r="H34" i="5505"/>
  <c r="H18" i="5505"/>
  <c r="H9" i="5505"/>
  <c r="H50" i="5505"/>
  <c r="H15" i="5505"/>
  <c r="C18" i="5505"/>
  <c r="H14" i="5505"/>
  <c r="H13" i="5505"/>
  <c r="H27" i="5505"/>
  <c r="H38" i="5505"/>
  <c r="H33" i="5505"/>
  <c r="H46" i="5505"/>
  <c r="H19" i="5505"/>
  <c r="C19" i="5505"/>
  <c r="H26" i="5505"/>
  <c r="H42" i="5505"/>
  <c r="H5" i="5505"/>
  <c r="H29" i="5505"/>
  <c r="H23" i="5505"/>
  <c r="H32" i="5505"/>
  <c r="H48" i="5505"/>
  <c r="H8" i="5505"/>
  <c r="H21" i="5505"/>
  <c r="H28" i="5505"/>
  <c r="C17" i="5505"/>
  <c r="H16" i="5505"/>
  <c r="B23" i="5505"/>
  <c r="H25" i="5505"/>
  <c r="H39" i="5505"/>
  <c r="H44" i="5505"/>
  <c r="H49" i="5505"/>
  <c r="H52" i="5505"/>
  <c r="H35" i="5505"/>
  <c r="H36" i="5505"/>
  <c r="H24" i="5505"/>
  <c r="H30" i="5505"/>
  <c r="H17" i="5505"/>
  <c r="H31" i="5505"/>
  <c r="H40" i="5505"/>
  <c r="H43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<sst xmlns="http://schemas.openxmlformats.org/spreadsheetml/2006/main" count="3337" uniqueCount="267">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</sst>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全体!$K$2:$K$728</c:f>
              <c:numCache>
                <c:formatCode>General</c:formatCode>
                <c:ptCount val="7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</c:numCache>
            </c:numRef>
          </c:xVal>
          <c:yVal>
            <c:numRef>
              <c:f>全体!$L$2:$L$728</c:f>
              <c:numCache>
                <c:formatCode>\+0.0;\-0.0;\±0</c:formatCode>
                <c:ptCount val="7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-17.906336088154269</c:v>
                </c:pt>
                <c:pt idx="1">
                  <c:v>-2.8129395218002813</c:v>
                </c:pt>
                <c:pt idx="2">
                  <c:v>9.0909090909090917</c:v>
                </c:pt>
                <c:pt idx="3">
                  <c:v>6.5681444991789819</c:v>
                </c:pt>
                <c:pt idx="4">
                  <c:v>-16.483516483516482</c:v>
                </c:pt>
                <c:pt idx="5">
                  <c:v>29.166666666666668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だいち!$K$2:$K$163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だいち!$L$2:$L$163</c:f>
              <c:numCache>
                <c:formatCode>\+0.0;\-0.0;\±0</c:formatCode>
                <c:ptCount val="16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1869.5652173913043</c:v>
                </c:pt>
                <c:pt idx="1">
                  <c:v>2064.9681528662422</c:v>
                </c:pt>
                <c:pt idx="2">
                  <c:v>760.40268456375838</c:v>
                </c:pt>
                <c:pt idx="3">
                  <c:v>2121.014492753623</c:v>
                </c:pt>
                <c:pt idx="4">
                  <c:v>488.52459016393442</c:v>
                </c:pt>
                <c:pt idx="5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りくと!$L$2:$L$134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181.06060606060606</c:v>
                </c:pt>
                <c:pt idx="1">
                  <c:v>-2087.5</c:v>
                </c:pt>
                <c:pt idx="2">
                  <c:v>228.68852459016392</c:v>
                </c:pt>
                <c:pt idx="3">
                  <c:v>8.1818181818181817</c:v>
                </c:pt>
                <c:pt idx="4">
                  <c:v>823.71134020618558</c:v>
                </c:pt>
                <c:pt idx="5">
                  <c:v>270.45454545454544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ただ!$L$2:$L$101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-2720.2020202020203</c:v>
                </c:pt>
                <c:pt idx="1">
                  <c:v>-1739.1752577319587</c:v>
                </c:pt>
                <c:pt idx="2">
                  <c:v>-112.08791208791209</c:v>
                </c:pt>
                <c:pt idx="3">
                  <c:v>-3988.8888888888887</c:v>
                </c:pt>
                <c:pt idx="4">
                  <c:v>-605.40540540540542</c:v>
                </c:pt>
                <c:pt idx="5">
                  <c:v>-674.24242424242425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れんたろう!$L$2:$L$96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-559.57446808510633</c:v>
                </c:pt>
                <c:pt idx="1">
                  <c:v>757.60869565217388</c:v>
                </c:pt>
                <c:pt idx="2">
                  <c:v>1246.9879518072289</c:v>
                </c:pt>
                <c:pt idx="3">
                  <c:v>78.082191780821915</c:v>
                </c:pt>
                <c:pt idx="4">
                  <c:v>-1392.1875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たかの!$L$2:$L$85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793.97590361445782</c:v>
                </c:pt>
                <c:pt idx="1">
                  <c:v>-1550.6024096385543</c:v>
                </c:pt>
                <c:pt idx="2">
                  <c:v>-1605.4054054054054</c:v>
                </c:pt>
                <c:pt idx="3">
                  <c:v>1146.4788732394366</c:v>
                </c:pt>
                <c:pt idx="4">
                  <c:v>856.06060606060601</c:v>
                </c:pt>
                <c:pt idx="5">
                  <c:v>-510.34482758620692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ぱぱ!$L$2:$L$50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-2862.5</c:v>
                </c:pt>
                <c:pt idx="1">
                  <c:v>2064.5833333333335</c:v>
                </c:pt>
                <c:pt idx="2">
                  <c:v>-315.55555555555554</c:v>
                </c:pt>
                <c:pt idx="3">
                  <c:v>-3778.5714285714284</c:v>
                </c:pt>
                <c:pt idx="4">
                  <c:v>-668.42105263157896</c:v>
                </c:pt>
                <c:pt idx="5">
                  <c:v>469.44444444444446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1326.3888888888889</c:v>
                </c:pt>
                <c:pt idx="1">
                  <c:v>891.304347826087</c:v>
                </c:pt>
                <c:pt idx="2">
                  <c:v>-395.16129032258067</c:v>
                </c:pt>
                <c:pt idx="3">
                  <c:v>2093.3333333333335</c:v>
                </c:pt>
                <c:pt idx="4">
                  <c:v>-1327.7777777777778</c:v>
                </c:pt>
                <c:pt idx="5">
                  <c:v>440.90909090909093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いっしー!$L$2:$L$22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-990</c:v>
                </c:pt>
                <c:pt idx="1">
                  <c:v>-3075</c:v>
                </c:pt>
                <c:pt idx="2">
                  <c:v>152.94117647058823</c:v>
                </c:pt>
                <c:pt idx="3">
                  <c:v>-1247.0588235294117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-3250</c:v>
                </c:pt>
                <c:pt idx="1">
                  <c:v>3425</c:v>
                </c:pt>
                <c:pt idx="2">
                  <c:v>-5750</c:v>
                </c:pt>
                <c:pt idx="3">
                  <c:v>-50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やがさき2!$C$3:$C$7</c:f>
              <c:numCache>
                <c:formatCode>\+0.0;\-0.0;\±0</c:formatCode>
                <c:ptCount val="5"/>
                <c:pt idx="1">
                  <c:v>-37</c:v>
                </c:pt>
                <c:pt idx="2">
                  <c:v>-12.35</c:v>
                </c:pt>
                <c:pt idx="3">
                  <c:v>4.8333333333333348</c:v>
                </c:pt>
                <c:pt idx="4">
                  <c:v>-9.3000000000000007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870900242438045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やがさき2!$D$3:$D$7</c:f>
              <c:numCache>
                <c:formatCode>0.00\ "位"</c:formatCode>
                <c:ptCount val="5"/>
                <c:pt idx="1">
                  <c:v>3</c:v>
                </c:pt>
                <c:pt idx="2">
                  <c:v>2.5</c:v>
                </c:pt>
                <c:pt idx="3">
                  <c:v>2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やがさき2!$F$3:$F$7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やがさき2!$G$3:$G$7</c:f>
              <c:numCache>
                <c:formatCode>0.0%</c:formatCode>
                <c:ptCount val="5"/>
                <c:pt idx="1">
                  <c:v>0.375</c:v>
                </c:pt>
                <c:pt idx="2">
                  <c:v>0.29411764705882354</c:v>
                </c:pt>
                <c:pt idx="3">
                  <c:v>0.33333333333333331</c:v>
                </c:pt>
                <c:pt idx="4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759305210918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やがさき2!$H$3:$H$7</c:f>
              <c:numCache>
                <c:formatCode>0.0%</c:formatCode>
                <c:ptCount val="5"/>
                <c:pt idx="1">
                  <c:v>0.375</c:v>
                </c:pt>
                <c:pt idx="2">
                  <c:v>0.23529411764705882</c:v>
                </c:pt>
                <c:pt idx="3">
                  <c:v>0.16666666666666666</c:v>
                </c:pt>
                <c:pt idx="4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74937965260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やがさき2!$I$3:$I$7</c:f>
              <c:numCache>
                <c:formatCode>0</c:formatCode>
                <c:ptCount val="5"/>
                <c:pt idx="1">
                  <c:v>8666.6666666666661</c:v>
                </c:pt>
                <c:pt idx="2">
                  <c:v>10600</c:v>
                </c:pt>
                <c:pt idx="3">
                  <c:v>9270</c:v>
                </c:pt>
                <c:pt idx="4">
                  <c:v>9270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17.82945736434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やがさき2!$J$3:$J$7</c:f>
              <c:numCache>
                <c:formatCode>0</c:formatCode>
                <c:ptCount val="5"/>
                <c:pt idx="1">
                  <c:v>-14000</c:v>
                </c:pt>
                <c:pt idx="2">
                  <c:v>-12425</c:v>
                </c:pt>
                <c:pt idx="3">
                  <c:v>-11540</c:v>
                </c:pt>
                <c:pt idx="4">
                  <c:v>-10583.333333333334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45.0396825396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21212121212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21212121212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やがさき2!$M$3:$M$7</c:f>
              <c:numCache>
                <c:formatCode>0.0%</c:formatCode>
                <c:ptCount val="5"/>
                <c:pt idx="1">
                  <c:v>0.375</c:v>
                </c:pt>
                <c:pt idx="2">
                  <c:v>0.17647058823529413</c:v>
                </c:pt>
                <c:pt idx="3">
                  <c:v>0.13333333333333333</c:v>
                </c:pt>
                <c:pt idx="4">
                  <c:v>0.13157894736842105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915632754342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やがさき2!$N$3:$N$7</c:f>
              <c:numCache>
                <c:formatCode>0.0%</c:formatCode>
                <c:ptCount val="5"/>
                <c:pt idx="1">
                  <c:v>0.125</c:v>
                </c:pt>
                <c:pt idx="2">
                  <c:v>0.23529411764705882</c:v>
                </c:pt>
                <c:pt idx="3">
                  <c:v>0.33333333333333331</c:v>
                </c:pt>
                <c:pt idx="4">
                  <c:v>0.36842105263157893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429280397022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やがさき2!$O$3:$O$7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571428571428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やがさき2!$P$3:$P$7</c:f>
              <c:numCache>
                <c:formatCode>0.0%</c:formatCode>
                <c:ptCount val="5"/>
                <c:pt idx="1">
                  <c:v>0</c:v>
                </c:pt>
                <c:pt idx="2">
                  <c:v>0.25</c:v>
                </c:pt>
                <c:pt idx="3">
                  <c:v>0.6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415481832543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やがさき2!$Q$3:$Q$7</c:f>
              <c:numCache>
                <c:formatCode>0.0%</c:formatCode>
                <c:ptCount val="5"/>
                <c:pt idx="1">
                  <c:v>0.66666666666666663</c:v>
                </c:pt>
                <c:pt idx="2">
                  <c:v>0.6</c:v>
                </c:pt>
                <c:pt idx="3">
                  <c:v>0.7</c:v>
                </c:pt>
                <c:pt idx="4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215946843853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6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43627.737962962965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43627.737962962965</v>
      </c>
      <c r="C59" s="30" t="s">
        <v>130</v>
      </c>
    </row>
    <row r="60" spans="1:7" x14ac:dyDescent="0.4">
      <c r="A60" s="30" t="s">
        <v>250</v>
      </c>
      <c r="B60" s="31">
        <v>43627.737962962965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43627.737962962965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43627.737962962965</v>
      </c>
      <c r="C62" s="30" t="s">
        <v>130</v>
      </c>
    </row>
    <row r="63" spans="1:7" x14ac:dyDescent="0.4">
      <c r="A63" s="30" t="s">
        <v>253</v>
      </c>
      <c r="B63" s="31">
        <v>43644.048113425924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43644.048113425924</v>
      </c>
      <c r="C64" s="30" t="s">
        <v>130</v>
      </c>
      <c r="D64" s="30" t="s">
        <v>131</v>
      </c>
    </row>
    <row r="65" spans="1:5" x14ac:dyDescent="0.4">
      <c r="A65" s="30" t="s">
        <v>255</v>
      </c>
      <c r="B65" s="31">
        <v>43644.048113425924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43644.048113425924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43644.048113425924</v>
      </c>
      <c r="C67" s="30" t="s">
        <v>130</v>
      </c>
      <c r="D67" s="30" t="s">
        <v>131</v>
      </c>
      <c r="E67" s="30" t="s">
        <v>169</v>
      </c>
    </row>
    <row r="68" spans="1:5" x14ac:dyDescent="0.4">
      <c r="A68" s="30" t="s">
        <v>258</v>
      </c>
      <c r="B68" s="31">
        <v>43644.048113425924</v>
      </c>
      <c r="C68" s="30" t="s">
        <v>130</v>
      </c>
      <c r="D68" s="30" t="s">
        <v>131</v>
      </c>
    </row>
    <row r="69" spans="1:5" x14ac:dyDescent="0.4">
      <c r="A69" s="30" t="s">
        <v>259</v>
      </c>
      <c r="B69" s="31">
        <v>43644.048113425924</v>
      </c>
      <c r="C69" s="30" t="s">
        <v>130</v>
      </c>
    </row>
    <row r="70" spans="1:5" x14ac:dyDescent="0.4">
      <c r="A70" s="30" t="s">
        <v>260</v>
      </c>
      <c r="B70" s="31">
        <v>43644.048113425924</v>
      </c>
      <c r="C70" s="30" t="s">
        <v>130</v>
      </c>
      <c r="D70" s="30" t="s">
        <v>131</v>
      </c>
      <c r="E70" s="30" t="s">
        <v>169</v>
      </c>
    </row>
    <row r="71" spans="1:5" x14ac:dyDescent="0.4">
      <c r="A71" s="30" t="s">
        <v>261</v>
      </c>
      <c r="B71" s="31">
        <v>43644.048113425924</v>
      </c>
      <c r="C71" s="30" t="s">
        <v>130</v>
      </c>
      <c r="D71" s="30" t="s">
        <v>131</v>
      </c>
    </row>
    <row r="72" spans="1:5" x14ac:dyDescent="0.4">
      <c r="A72" s="30" t="s">
        <v>262</v>
      </c>
      <c r="B72" s="31">
        <v>43644.048113425924</v>
      </c>
      <c r="C72" s="30" t="s">
        <v>130</v>
      </c>
      <c r="D72" s="30" t="s">
        <v>131</v>
      </c>
    </row>
    <row r="73" spans="1:5" x14ac:dyDescent="0.4">
      <c r="A73" s="30" t="s">
        <v>263</v>
      </c>
      <c r="B73" s="31">
        <v>43644.048113425924</v>
      </c>
      <c r="C73" s="30" t="s">
        <v>130</v>
      </c>
    </row>
    <row r="74" spans="1:5" x14ac:dyDescent="0.4">
      <c r="A74" s="30" t="s">
        <v>264</v>
      </c>
      <c r="B74" s="31">
        <v>43644.048113425924</v>
      </c>
      <c r="C74" s="30" t="s">
        <v>130</v>
      </c>
      <c r="D74" s="30" t="s">
        <v>131</v>
      </c>
    </row>
    <row r="75" spans="1:5" x14ac:dyDescent="0.4">
      <c r="A75" s="30" t="s">
        <v>265</v>
      </c>
      <c r="B75" s="31">
        <v>43645.826226851852</v>
      </c>
      <c r="C75" s="30" t="s">
        <v>130</v>
      </c>
      <c r="D75" s="30" t="s">
        <v>131</v>
      </c>
    </row>
    <row r="76" spans="1:5" x14ac:dyDescent="0.4">
      <c r="A76" s="30" t="s">
        <v>266</v>
      </c>
      <c r="B76" s="31">
        <v>43645.8278587963</v>
      </c>
      <c r="C76" s="30" t="s">
        <v>130</v>
      </c>
      <c r="D76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726</v>
      </c>
    </row>
    <row r="2" spans="1:2" x14ac:dyDescent="0.4">
      <c r="A2" t="s">
        <v>127</v>
      </c>
      <c r="B2">
        <v>161</v>
      </c>
    </row>
    <row r="3" spans="1:2" x14ac:dyDescent="0.4">
      <c r="A3" t="s">
        <v>128</v>
      </c>
      <c r="B3">
        <v>132</v>
      </c>
    </row>
    <row r="4" spans="1:2" x14ac:dyDescent="0.4">
      <c r="A4" t="s">
        <v>129</v>
      </c>
      <c r="B4">
        <v>99</v>
      </c>
    </row>
    <row r="5" spans="1:2" x14ac:dyDescent="0.4">
      <c r="A5" t="s">
        <v>171</v>
      </c>
      <c r="B5">
        <v>94</v>
      </c>
    </row>
    <row r="6" spans="1:2" x14ac:dyDescent="0.4">
      <c r="A6" t="s">
        <v>172</v>
      </c>
      <c r="B6">
        <v>83</v>
      </c>
    </row>
    <row r="7" spans="1:2" x14ac:dyDescent="0.4">
      <c r="A7" t="s">
        <v>173</v>
      </c>
      <c r="B7">
        <v>48</v>
      </c>
    </row>
    <row r="8" spans="1:2" x14ac:dyDescent="0.4">
      <c r="A8" t="s">
        <v>177</v>
      </c>
      <c r="B8">
        <v>72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20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0.97393458336029248</v>
      </c>
      <c r="G2" s="163"/>
      <c r="H2" s="162">
        <v>0.66558828855650076</v>
      </c>
      <c r="I2" s="163"/>
      <c r="J2" s="162">
        <v>0.8678869100814115</v>
      </c>
      <c r="K2" s="163"/>
      <c r="L2" s="162">
        <v>0.67176922604052314</v>
      </c>
      <c r="M2" s="163"/>
      <c r="N2" s="162">
        <v>0.597227256751372</v>
      </c>
      <c r="O2" s="163"/>
      <c r="P2" s="162">
        <v>0.34769936951550717</v>
      </c>
      <c r="Q2" s="163"/>
      <c r="R2" s="162">
        <v>0.54945872357074066</v>
      </c>
      <c r="S2" s="163"/>
      <c r="T2" s="162">
        <v>0.5574399919616887</v>
      </c>
      <c r="U2" s="163"/>
      <c r="V2" s="162">
        <v>0.85066690977146786</v>
      </c>
      <c r="W2" s="163"/>
      <c r="X2" s="162">
        <v>0.52892900044421109</v>
      </c>
      <c r="Y2" s="163"/>
      <c r="Z2" s="162">
        <v>-1.628828790626672E-2</v>
      </c>
      <c r="AA2" s="163"/>
      <c r="AB2" s="162">
        <v>0.17582734500718269</v>
      </c>
      <c r="AC2" s="163"/>
      <c r="AD2" s="162">
        <v>0.71113401208089111</v>
      </c>
      <c r="AE2" s="163"/>
      <c r="AF2" s="162">
        <v>-0.51292668110420725</v>
      </c>
      <c r="AG2" s="163"/>
      <c r="AH2" s="162">
        <v>0.76327073546662305</v>
      </c>
      <c r="AI2" s="163"/>
    </row>
    <row r="3" spans="1:35" x14ac:dyDescent="0.4">
      <c r="A3" s="74">
        <v>1</v>
      </c>
      <c r="B3" s="75" t="s">
        <v>127</v>
      </c>
      <c r="C3" s="76">
        <v>1913.3000000000004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172</v>
      </c>
      <c r="M3" s="80">
        <v>0.34696755994358253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0.17391304347826086</v>
      </c>
      <c r="X3" s="77" t="s">
        <v>127</v>
      </c>
      <c r="Y3" s="80">
        <v>0.31424265259984929</v>
      </c>
      <c r="Z3" s="77" t="s">
        <v>223</v>
      </c>
      <c r="AA3" s="80">
        <v>0.36842105263157893</v>
      </c>
      <c r="AB3" s="77" t="s">
        <v>200</v>
      </c>
      <c r="AC3" s="80">
        <v>0.7</v>
      </c>
      <c r="AD3" s="77" t="s">
        <v>127</v>
      </c>
      <c r="AE3" s="80">
        <v>0.5195729537366548</v>
      </c>
      <c r="AF3" s="77" t="s">
        <v>223</v>
      </c>
      <c r="AG3" s="80">
        <v>0.7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304.60000000000002</v>
      </c>
      <c r="D4" s="85" t="s">
        <v>222</v>
      </c>
      <c r="E4" s="97">
        <v>13.3</v>
      </c>
      <c r="F4" s="85" t="s">
        <v>127</v>
      </c>
      <c r="G4" s="86">
        <v>1.7701863354037266</v>
      </c>
      <c r="H4" s="85" t="s">
        <v>127</v>
      </c>
      <c r="I4" s="87">
        <v>0.47204968944099379</v>
      </c>
      <c r="J4" s="85" t="s">
        <v>222</v>
      </c>
      <c r="K4" s="87">
        <v>0</v>
      </c>
      <c r="L4" s="85" t="s">
        <v>200</v>
      </c>
      <c r="M4" s="88">
        <v>0.3411764705882353</v>
      </c>
      <c r="N4" s="85" t="s">
        <v>183</v>
      </c>
      <c r="O4" s="88">
        <v>0.10526315789473684</v>
      </c>
      <c r="P4" s="85" t="s">
        <v>171</v>
      </c>
      <c r="Q4" s="89">
        <v>9930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0.1388888888888889</v>
      </c>
      <c r="X4" s="85" t="s">
        <v>128</v>
      </c>
      <c r="Y4" s="88">
        <v>0.29806807727690893</v>
      </c>
      <c r="Z4" s="85" t="s">
        <v>172</v>
      </c>
      <c r="AA4" s="88">
        <v>0.29478138222849082</v>
      </c>
      <c r="AB4" s="85" t="s">
        <v>184</v>
      </c>
      <c r="AC4" s="88">
        <v>0.65789473684210531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11.883850931677021</v>
      </c>
      <c r="F5" s="85" t="s">
        <v>200</v>
      </c>
      <c r="G5" s="86">
        <v>1.8888888888888888</v>
      </c>
      <c r="H5" s="85" t="s">
        <v>184</v>
      </c>
      <c r="I5" s="87">
        <v>0.4</v>
      </c>
      <c r="J5" s="85" t="s">
        <v>200</v>
      </c>
      <c r="K5" s="87">
        <v>0.1111111111111111</v>
      </c>
      <c r="L5" s="85" t="s">
        <v>127</v>
      </c>
      <c r="M5" s="88">
        <v>0.34061793519216277</v>
      </c>
      <c r="N5" s="85" t="s">
        <v>172</v>
      </c>
      <c r="O5" s="88">
        <v>0.1382228490832158</v>
      </c>
      <c r="P5" s="85" t="s">
        <v>127</v>
      </c>
      <c r="Q5" s="89">
        <v>9299.5575221238942</v>
      </c>
      <c r="R5" s="85" t="s">
        <v>177</v>
      </c>
      <c r="S5" s="89">
        <v>-7112.5</v>
      </c>
      <c r="T5" s="85" t="s">
        <v>222</v>
      </c>
      <c r="U5" s="87">
        <v>0</v>
      </c>
      <c r="V5" s="85" t="s">
        <v>171</v>
      </c>
      <c r="W5" s="87">
        <v>0.13829787234042554</v>
      </c>
      <c r="X5" s="85" t="s">
        <v>171</v>
      </c>
      <c r="Y5" s="88">
        <v>0.29396662387676509</v>
      </c>
      <c r="Z5" s="85" t="s">
        <v>200</v>
      </c>
      <c r="AA5" s="88">
        <v>0.29411764705882354</v>
      </c>
      <c r="AB5" s="85" t="s">
        <v>177</v>
      </c>
      <c r="AC5" s="88">
        <v>0.63742690058479534</v>
      </c>
      <c r="AD5" s="85" t="s">
        <v>200</v>
      </c>
      <c r="AE5" s="88">
        <v>0.48</v>
      </c>
      <c r="AF5" s="85" t="s">
        <v>173</v>
      </c>
      <c r="AG5" s="88">
        <v>0.50819672131147542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18.099999999999994</v>
      </c>
      <c r="D6" s="85" t="s">
        <v>177</v>
      </c>
      <c r="E6" s="97">
        <v>4.2305555555555561</v>
      </c>
      <c r="F6" s="85" t="s">
        <v>177</v>
      </c>
      <c r="G6" s="86">
        <v>1.9027777777777777</v>
      </c>
      <c r="H6" s="85" t="s">
        <v>177</v>
      </c>
      <c r="I6" s="87">
        <v>0.3888888888888889</v>
      </c>
      <c r="J6" s="85" t="s">
        <v>127</v>
      </c>
      <c r="K6" s="87">
        <v>0.24223602484472051</v>
      </c>
      <c r="L6" s="85" t="s">
        <v>145</v>
      </c>
      <c r="M6" s="88">
        <v>0.29875930521091809</v>
      </c>
      <c r="N6" s="85" t="s">
        <v>177</v>
      </c>
      <c r="O6" s="88">
        <v>0.14991482112436116</v>
      </c>
      <c r="P6" s="85" t="s">
        <v>223</v>
      </c>
      <c r="Q6" s="89">
        <v>9270</v>
      </c>
      <c r="R6" s="85" t="s">
        <v>128</v>
      </c>
      <c r="S6" s="89">
        <v>-7671.1229946524063</v>
      </c>
      <c r="T6" s="85" t="s">
        <v>223</v>
      </c>
      <c r="U6" s="87">
        <v>0</v>
      </c>
      <c r="V6" s="85" t="s">
        <v>145</v>
      </c>
      <c r="W6" s="87">
        <v>0.12121212121212122</v>
      </c>
      <c r="X6" s="85" t="s">
        <v>177</v>
      </c>
      <c r="Y6" s="88">
        <v>0.29131175468483816</v>
      </c>
      <c r="Z6" s="85" t="s">
        <v>173</v>
      </c>
      <c r="AA6" s="88">
        <v>0.25301204819277107</v>
      </c>
      <c r="AB6" s="85" t="s">
        <v>183</v>
      </c>
      <c r="AC6" s="88">
        <v>0.6</v>
      </c>
      <c r="AD6" s="85" t="s">
        <v>223</v>
      </c>
      <c r="AE6" s="88">
        <v>0.42857142857142855</v>
      </c>
      <c r="AF6" s="85" t="s">
        <v>222</v>
      </c>
      <c r="AG6" s="88">
        <v>0.5</v>
      </c>
      <c r="AH6" s="85" t="s">
        <v>177</v>
      </c>
      <c r="AI6" s="92">
        <v>103000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0.29166666666666669</v>
      </c>
      <c r="L7" s="85" t="s">
        <v>177</v>
      </c>
      <c r="M7" s="88">
        <v>0.29471890971039183</v>
      </c>
      <c r="N7" s="85" t="s">
        <v>127</v>
      </c>
      <c r="O7" s="88">
        <v>0.15373021853805577</v>
      </c>
      <c r="P7" s="85" t="s">
        <v>128</v>
      </c>
      <c r="Q7" s="89">
        <v>9240.6779661016953</v>
      </c>
      <c r="R7" s="85" t="s">
        <v>127</v>
      </c>
      <c r="S7" s="89">
        <v>-8229.4117647058829</v>
      </c>
      <c r="T7" s="85" t="s">
        <v>172</v>
      </c>
      <c r="U7" s="87">
        <v>4.8192771084337352E-2</v>
      </c>
      <c r="V7" s="85" t="s">
        <v>172</v>
      </c>
      <c r="W7" s="87">
        <v>0.10843373493975904</v>
      </c>
      <c r="X7" s="85" t="s">
        <v>145</v>
      </c>
      <c r="Y7" s="88">
        <v>0.27791563275434245</v>
      </c>
      <c r="Z7" s="85" t="s">
        <v>184</v>
      </c>
      <c r="AA7" s="88">
        <v>0.24203821656050956</v>
      </c>
      <c r="AB7" s="85" t="s">
        <v>223</v>
      </c>
      <c r="AC7" s="88">
        <v>0.6</v>
      </c>
      <c r="AD7" s="85" t="s">
        <v>172</v>
      </c>
      <c r="AE7" s="88">
        <v>0.42583732057416268</v>
      </c>
      <c r="AF7" s="85" t="s">
        <v>184</v>
      </c>
      <c r="AG7" s="88">
        <v>0.47826086956521741</v>
      </c>
      <c r="AH7" s="85" t="s">
        <v>172</v>
      </c>
      <c r="AI7" s="92">
        <v>97500</v>
      </c>
    </row>
    <row r="8" spans="1:35" x14ac:dyDescent="0.4">
      <c r="A8" s="82">
        <v>6</v>
      </c>
      <c r="B8" s="83" t="s">
        <v>145</v>
      </c>
      <c r="C8" s="84">
        <v>7.1054273576010019E-15</v>
      </c>
      <c r="D8" s="85" t="s">
        <v>145</v>
      </c>
      <c r="E8" s="97">
        <v>9.7870900242438045E-18</v>
      </c>
      <c r="F8" s="85" t="s">
        <v>222</v>
      </c>
      <c r="G8" s="86">
        <v>2</v>
      </c>
      <c r="H8" s="85" t="s">
        <v>171</v>
      </c>
      <c r="I8" s="87">
        <v>0.2978723404255319</v>
      </c>
      <c r="J8" s="85" t="s">
        <v>172</v>
      </c>
      <c r="K8" s="87">
        <v>0.30120481927710846</v>
      </c>
      <c r="L8" s="85" t="s">
        <v>173</v>
      </c>
      <c r="M8" s="88">
        <v>0.29397590361445786</v>
      </c>
      <c r="N8" s="85" t="s">
        <v>223</v>
      </c>
      <c r="O8" s="88">
        <v>0.15789473684210525</v>
      </c>
      <c r="P8" s="85" t="s">
        <v>177</v>
      </c>
      <c r="Q8" s="89">
        <v>8984.9710982658962</v>
      </c>
      <c r="R8" s="85" t="s">
        <v>145</v>
      </c>
      <c r="S8" s="89">
        <v>-8245.039682539682</v>
      </c>
      <c r="T8" s="85" t="s">
        <v>127</v>
      </c>
      <c r="U8" s="87">
        <v>9.3167701863354033E-2</v>
      </c>
      <c r="V8" s="85" t="s">
        <v>129</v>
      </c>
      <c r="W8" s="87">
        <v>0.10101010101010101</v>
      </c>
      <c r="X8" s="85" t="s">
        <v>129</v>
      </c>
      <c r="Y8" s="88">
        <v>0.27382388419782872</v>
      </c>
      <c r="Z8" s="85" t="s">
        <v>127</v>
      </c>
      <c r="AA8" s="88">
        <v>0.21175584024114544</v>
      </c>
      <c r="AB8" s="85" t="s">
        <v>173</v>
      </c>
      <c r="AC8" s="88">
        <v>0.59782608695652173</v>
      </c>
      <c r="AD8" s="85" t="s">
        <v>184</v>
      </c>
      <c r="AE8" s="88">
        <v>0.42105263157894735</v>
      </c>
      <c r="AF8" s="85" t="s">
        <v>129</v>
      </c>
      <c r="AG8" s="88">
        <v>0.44660194174757284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223</v>
      </c>
      <c r="C9" s="84">
        <v>-37.200000000000003</v>
      </c>
      <c r="D9" s="85" t="s">
        <v>171</v>
      </c>
      <c r="E9" s="97">
        <v>-0.47659574468085086</v>
      </c>
      <c r="F9" s="85" t="s">
        <v>172</v>
      </c>
      <c r="G9" s="86">
        <v>2.0481927710843375</v>
      </c>
      <c r="H9" s="85" t="s">
        <v>173</v>
      </c>
      <c r="I9" s="87">
        <v>0.29166666666666669</v>
      </c>
      <c r="J9" s="85" t="s">
        <v>145</v>
      </c>
      <c r="K9" s="87">
        <v>0.33333333333333331</v>
      </c>
      <c r="L9" s="85" t="s">
        <v>184</v>
      </c>
      <c r="M9" s="88">
        <v>0.2929936305732484</v>
      </c>
      <c r="N9" s="85" t="s">
        <v>200</v>
      </c>
      <c r="O9" s="88">
        <v>0.16470588235294117</v>
      </c>
      <c r="P9" s="85" t="s">
        <v>129</v>
      </c>
      <c r="Q9" s="89">
        <v>8741.2621359223303</v>
      </c>
      <c r="R9" s="85" t="s">
        <v>173</v>
      </c>
      <c r="S9" s="89">
        <v>-8290.9090909090901</v>
      </c>
      <c r="T9" s="85" t="s">
        <v>171</v>
      </c>
      <c r="U9" s="87">
        <v>0.11702127659574468</v>
      </c>
      <c r="V9" s="85" t="s">
        <v>184</v>
      </c>
      <c r="W9" s="87">
        <v>0.1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0.59567901234567899</v>
      </c>
      <c r="AD9" s="85" t="s">
        <v>171</v>
      </c>
      <c r="AE9" s="88">
        <v>0.40540540540540543</v>
      </c>
      <c r="AF9" s="85" t="s">
        <v>177</v>
      </c>
      <c r="AG9" s="88">
        <v>0.44508670520231214</v>
      </c>
      <c r="AH9" s="85" t="s">
        <v>171</v>
      </c>
      <c r="AI9" s="92">
        <v>96000</v>
      </c>
    </row>
    <row r="10" spans="1:35" x14ac:dyDescent="0.4">
      <c r="A10" s="82">
        <v>8</v>
      </c>
      <c r="B10" s="83" t="s">
        <v>171</v>
      </c>
      <c r="C10" s="84">
        <v>-44.799999999999983</v>
      </c>
      <c r="D10" s="85" t="s">
        <v>172</v>
      </c>
      <c r="E10" s="97">
        <v>-1.219277108433735</v>
      </c>
      <c r="F10" s="85" t="s">
        <v>171</v>
      </c>
      <c r="G10" s="86">
        <v>2.0531914893617023</v>
      </c>
      <c r="H10" s="85" t="s">
        <v>129</v>
      </c>
      <c r="I10" s="87">
        <v>0.27272727272727271</v>
      </c>
      <c r="J10" s="85" t="s">
        <v>128</v>
      </c>
      <c r="K10" s="87">
        <v>0.34090909090909088</v>
      </c>
      <c r="L10" s="85" t="s">
        <v>171</v>
      </c>
      <c r="M10" s="88">
        <v>0.28241335044929394</v>
      </c>
      <c r="N10" s="85" t="s">
        <v>145</v>
      </c>
      <c r="O10" s="88">
        <v>0.16674937965260547</v>
      </c>
      <c r="P10" s="85" t="s">
        <v>145</v>
      </c>
      <c r="Q10" s="89">
        <v>8717.8294573643416</v>
      </c>
      <c r="R10" s="85" t="s">
        <v>171</v>
      </c>
      <c r="S10" s="89">
        <v>-8467.625899280576</v>
      </c>
      <c r="T10" s="85" t="s">
        <v>145</v>
      </c>
      <c r="U10" s="87">
        <v>0.12121212121212122</v>
      </c>
      <c r="V10" s="85" t="s">
        <v>128</v>
      </c>
      <c r="W10" s="87">
        <v>9.8484848484848481E-2</v>
      </c>
      <c r="X10" s="85" t="s">
        <v>184</v>
      </c>
      <c r="Y10" s="88">
        <v>0.24203821656050956</v>
      </c>
      <c r="Z10" s="85" t="s">
        <v>145</v>
      </c>
      <c r="AA10" s="88">
        <v>0.20942928039702233</v>
      </c>
      <c r="AB10" s="85" t="s">
        <v>145</v>
      </c>
      <c r="AC10" s="88">
        <v>0.57857142857142863</v>
      </c>
      <c r="AD10" s="85" t="s">
        <v>145</v>
      </c>
      <c r="AE10" s="88">
        <v>0.39415481832543442</v>
      </c>
      <c r="AF10" s="85" t="s">
        <v>145</v>
      </c>
      <c r="AG10" s="88">
        <v>0.43521594684385384</v>
      </c>
      <c r="AH10" s="85" t="s">
        <v>184</v>
      </c>
      <c r="AI10" s="92">
        <v>92000</v>
      </c>
    </row>
    <row r="11" spans="1:35" x14ac:dyDescent="0.4">
      <c r="A11" s="82">
        <v>9</v>
      </c>
      <c r="B11" s="83" t="s">
        <v>172</v>
      </c>
      <c r="C11" s="84">
        <v>-101.20000000000002</v>
      </c>
      <c r="D11" s="85" t="s">
        <v>128</v>
      </c>
      <c r="E11" s="97">
        <v>-2.6348484848484848</v>
      </c>
      <c r="F11" s="85" t="s">
        <v>128</v>
      </c>
      <c r="G11" s="86">
        <v>2.0757575757575757</v>
      </c>
      <c r="H11" s="85" t="s">
        <v>128</v>
      </c>
      <c r="I11" s="87">
        <v>0.26515151515151514</v>
      </c>
      <c r="J11" s="85" t="s">
        <v>171</v>
      </c>
      <c r="K11" s="87">
        <v>0.35106382978723405</v>
      </c>
      <c r="L11" s="85" t="s">
        <v>128</v>
      </c>
      <c r="M11" s="88">
        <v>0.27138914443422263</v>
      </c>
      <c r="N11" s="85" t="s">
        <v>128</v>
      </c>
      <c r="O11" s="88">
        <v>0.17203311867525298</v>
      </c>
      <c r="P11" s="85" t="s">
        <v>184</v>
      </c>
      <c r="Q11" s="89">
        <v>8621.7391304347821</v>
      </c>
      <c r="R11" s="85" t="s">
        <v>172</v>
      </c>
      <c r="S11" s="89">
        <v>-8542.8571428571431</v>
      </c>
      <c r="T11" s="85" t="s">
        <v>128</v>
      </c>
      <c r="U11" s="87">
        <v>0.12878787878787878</v>
      </c>
      <c r="V11" s="85" t="s">
        <v>173</v>
      </c>
      <c r="W11" s="87">
        <v>6.25E-2</v>
      </c>
      <c r="X11" s="85" t="s">
        <v>200</v>
      </c>
      <c r="Y11" s="88">
        <v>0.23529411764705882</v>
      </c>
      <c r="Z11" s="85" t="s">
        <v>171</v>
      </c>
      <c r="AA11" s="88">
        <v>0.18998716302952504</v>
      </c>
      <c r="AB11" s="85" t="s">
        <v>127</v>
      </c>
      <c r="AC11" s="88">
        <v>0.57314148681055155</v>
      </c>
      <c r="AD11" s="85" t="s">
        <v>177</v>
      </c>
      <c r="AE11" s="88">
        <v>0.33944954128440369</v>
      </c>
      <c r="AF11" s="85" t="s">
        <v>128</v>
      </c>
      <c r="AG11" s="88">
        <v>0.42711864406779659</v>
      </c>
      <c r="AH11" s="85" t="s">
        <v>173</v>
      </c>
      <c r="AI11" s="92">
        <v>85900</v>
      </c>
    </row>
    <row r="12" spans="1:35" x14ac:dyDescent="0.4">
      <c r="A12" s="82">
        <v>10</v>
      </c>
      <c r="B12" s="83" t="s">
        <v>184</v>
      </c>
      <c r="C12" s="84">
        <v>-124.1</v>
      </c>
      <c r="D12" s="85" t="s">
        <v>184</v>
      </c>
      <c r="E12" s="97">
        <v>-6.2050000000000001</v>
      </c>
      <c r="F12" s="85" t="s">
        <v>184</v>
      </c>
      <c r="G12" s="86">
        <v>2.1</v>
      </c>
      <c r="H12" s="85" t="s">
        <v>172</v>
      </c>
      <c r="I12" s="87">
        <v>0.25301204819277107</v>
      </c>
      <c r="J12" s="85" t="s">
        <v>173</v>
      </c>
      <c r="K12" s="87">
        <v>0.39583333333333331</v>
      </c>
      <c r="L12" s="85" t="s">
        <v>183</v>
      </c>
      <c r="M12" s="88">
        <v>0.26315789473684209</v>
      </c>
      <c r="N12" s="85" t="s">
        <v>171</v>
      </c>
      <c r="O12" s="88">
        <v>0.17843388960205392</v>
      </c>
      <c r="P12" s="85" t="s">
        <v>183</v>
      </c>
      <c r="Q12" s="89">
        <v>7860</v>
      </c>
      <c r="R12" s="85" t="s">
        <v>184</v>
      </c>
      <c r="S12" s="89">
        <v>-8722.2222222222226</v>
      </c>
      <c r="T12" s="85" t="s">
        <v>177</v>
      </c>
      <c r="U12" s="87">
        <v>0.1388888888888889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0.18568994889267462</v>
      </c>
      <c r="AB12" s="85" t="s">
        <v>171</v>
      </c>
      <c r="AC12" s="88">
        <v>0.5633187772925764</v>
      </c>
      <c r="AD12" s="85" t="s">
        <v>173</v>
      </c>
      <c r="AE12" s="88">
        <v>0.33333333333333331</v>
      </c>
      <c r="AF12" s="85" t="s">
        <v>127</v>
      </c>
      <c r="AG12" s="88">
        <v>0.42035398230088494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-347.8</v>
      </c>
      <c r="D13" s="85" t="s">
        <v>173</v>
      </c>
      <c r="E13" s="97">
        <v>-8.0770833333333325</v>
      </c>
      <c r="F13" s="85" t="s">
        <v>173</v>
      </c>
      <c r="G13" s="86">
        <v>2.1041666666666665</v>
      </c>
      <c r="H13" s="85" t="s">
        <v>223</v>
      </c>
      <c r="I13" s="87">
        <v>0.25</v>
      </c>
      <c r="J13" s="85" t="s">
        <v>129</v>
      </c>
      <c r="K13" s="87">
        <v>0.47474747474747475</v>
      </c>
      <c r="L13" s="85" t="s">
        <v>223</v>
      </c>
      <c r="M13" s="88">
        <v>0.26315789473684209</v>
      </c>
      <c r="N13" s="85" t="s">
        <v>173</v>
      </c>
      <c r="O13" s="88">
        <v>0.1855421686746988</v>
      </c>
      <c r="P13" s="85" t="s">
        <v>173</v>
      </c>
      <c r="Q13" s="89">
        <v>6954.0983606557375</v>
      </c>
      <c r="R13" s="85" t="s">
        <v>129</v>
      </c>
      <c r="S13" s="89">
        <v>-9167.3076923076915</v>
      </c>
      <c r="T13" s="85" t="s">
        <v>173</v>
      </c>
      <c r="U13" s="87">
        <v>0.14583333333333334</v>
      </c>
      <c r="V13" s="85" t="s">
        <v>200</v>
      </c>
      <c r="W13" s="87">
        <v>0</v>
      </c>
      <c r="X13" s="85" t="s">
        <v>173</v>
      </c>
      <c r="Y13" s="88">
        <v>0.22168674698795179</v>
      </c>
      <c r="Z13" s="85" t="s">
        <v>128</v>
      </c>
      <c r="AA13" s="88">
        <v>0.17571297148114076</v>
      </c>
      <c r="AB13" s="85" t="s">
        <v>172</v>
      </c>
      <c r="AC13" s="88">
        <v>0.55704697986577179</v>
      </c>
      <c r="AD13" s="85" t="s">
        <v>128</v>
      </c>
      <c r="AE13" s="88">
        <v>0.29842931937172773</v>
      </c>
      <c r="AF13" s="85" t="s">
        <v>172</v>
      </c>
      <c r="AG13" s="88">
        <v>0.41056910569105692</v>
      </c>
      <c r="AH13" s="85" t="s">
        <v>223</v>
      </c>
      <c r="AI13" s="92">
        <v>54200</v>
      </c>
    </row>
    <row r="14" spans="1:35" x14ac:dyDescent="0.4">
      <c r="A14" s="82">
        <v>12</v>
      </c>
      <c r="B14" s="83" t="s">
        <v>173</v>
      </c>
      <c r="C14" s="84">
        <v>-387.7</v>
      </c>
      <c r="D14" s="85" t="s">
        <v>223</v>
      </c>
      <c r="E14" s="97">
        <v>-9.3000000000000007</v>
      </c>
      <c r="F14" s="85" t="s">
        <v>129</v>
      </c>
      <c r="G14" s="86">
        <v>2.202020202020202</v>
      </c>
      <c r="H14" s="85" t="s">
        <v>200</v>
      </c>
      <c r="I14" s="87">
        <v>0.22222222222222221</v>
      </c>
      <c r="J14" s="85" t="s">
        <v>184</v>
      </c>
      <c r="K14" s="87">
        <v>0.5</v>
      </c>
      <c r="L14" s="85" t="s">
        <v>129</v>
      </c>
      <c r="M14" s="88">
        <v>0.24849215922798554</v>
      </c>
      <c r="N14" s="85" t="s">
        <v>129</v>
      </c>
      <c r="O14" s="88">
        <v>0.1881785283474065</v>
      </c>
      <c r="P14" s="85" t="s">
        <v>172</v>
      </c>
      <c r="Q14" s="89">
        <v>6806.9105691056911</v>
      </c>
      <c r="R14" s="85" t="s">
        <v>223</v>
      </c>
      <c r="S14" s="89">
        <v>-10583.333333333334</v>
      </c>
      <c r="T14" s="85" t="s">
        <v>129</v>
      </c>
      <c r="U14" s="87">
        <v>0.19191919191919191</v>
      </c>
      <c r="V14" s="85" t="s">
        <v>222</v>
      </c>
      <c r="W14" s="87">
        <v>0</v>
      </c>
      <c r="X14" s="85" t="s">
        <v>172</v>
      </c>
      <c r="Y14" s="88">
        <v>0.21015514809590974</v>
      </c>
      <c r="Z14" s="85" t="s">
        <v>129</v>
      </c>
      <c r="AA14" s="88">
        <v>0.17008443908323281</v>
      </c>
      <c r="AB14" s="85" t="s">
        <v>129</v>
      </c>
      <c r="AC14" s="88">
        <v>0.51982378854625555</v>
      </c>
      <c r="AD14" s="85" t="s">
        <v>129</v>
      </c>
      <c r="AE14" s="88">
        <v>0.27659574468085107</v>
      </c>
      <c r="AF14" s="85" t="s">
        <v>171</v>
      </c>
      <c r="AG14" s="88">
        <v>0.40909090909090912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129</v>
      </c>
      <c r="C15" s="84">
        <v>-1267.5</v>
      </c>
      <c r="D15" s="85" t="s">
        <v>129</v>
      </c>
      <c r="E15" s="97">
        <v>-12.803030303030303</v>
      </c>
      <c r="F15" s="85" t="s">
        <v>223</v>
      </c>
      <c r="G15" s="86">
        <v>2.25</v>
      </c>
      <c r="H15" s="85" t="s">
        <v>222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184</v>
      </c>
      <c r="O15" s="88">
        <v>0.22929936305732485</v>
      </c>
      <c r="P15" s="85" t="s">
        <v>200</v>
      </c>
      <c r="Q15" s="89">
        <v>6765.5172413793107</v>
      </c>
      <c r="R15" s="85" t="s">
        <v>222</v>
      </c>
      <c r="S15" s="89">
        <v>-12000</v>
      </c>
      <c r="T15" s="85" t="s">
        <v>184</v>
      </c>
      <c r="U15" s="87">
        <v>0.25</v>
      </c>
      <c r="V15" s="85" t="s">
        <v>223</v>
      </c>
      <c r="W15" s="87">
        <v>0</v>
      </c>
      <c r="X15" s="85" t="s">
        <v>223</v>
      </c>
      <c r="Y15" s="88">
        <v>0.13157894736842105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222</v>
      </c>
      <c r="AI15" s="92">
        <v>48300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7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726</v>
      </c>
      <c r="C2" s="151"/>
      <c r="E2" s="62" t="s">
        <v>67</v>
      </c>
      <c r="F2" s="59" t="s">
        <v>23</v>
      </c>
      <c r="G2" s="46">
        <v>1315</v>
      </c>
      <c r="H2" s="132">
        <f>IF(B$17=0,0,G2/B$17)</f>
        <v>0.7281284606866002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-17.906336088154269</v>
      </c>
      <c r="P2" s="118">
        <v>726</v>
      </c>
      <c r="Q2" s="102">
        <v>-13000</v>
      </c>
    </row>
    <row r="3" spans="1:17" x14ac:dyDescent="0.4">
      <c r="A3" s="55" t="s">
        <v>8</v>
      </c>
      <c r="B3" s="152">
        <v>6045</v>
      </c>
      <c r="C3" s="153"/>
      <c r="E3" s="63" t="s">
        <v>65</v>
      </c>
      <c r="F3" s="60" t="s">
        <v>21</v>
      </c>
      <c r="G3" s="47">
        <v>926</v>
      </c>
      <c r="H3" s="133">
        <f>IF(B$17=0,0,G3/B$17)</f>
        <v>0.51273532668881505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-2.8129395218002813</v>
      </c>
      <c r="P3" s="119">
        <v>711</v>
      </c>
      <c r="Q3" s="103">
        <v>-2000</v>
      </c>
    </row>
    <row r="4" spans="1:17" x14ac:dyDescent="0.4">
      <c r="A4" s="55" t="s">
        <v>6</v>
      </c>
      <c r="B4" s="154">
        <v>7.1054273576010019E-15</v>
      </c>
      <c r="C4" s="155"/>
      <c r="E4" s="63" t="s">
        <v>73</v>
      </c>
      <c r="F4" s="60" t="s">
        <v>28</v>
      </c>
      <c r="G4" s="47">
        <v>918</v>
      </c>
      <c r="H4" s="133">
        <f>IF(B$17=0,0,G4/B$17)</f>
        <v>0.50830564784053156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9.0909090909090917</v>
      </c>
      <c r="P4" s="119">
        <v>660</v>
      </c>
      <c r="Q4" s="103">
        <v>6000</v>
      </c>
    </row>
    <row r="5" spans="1:17" x14ac:dyDescent="0.4">
      <c r="A5" s="55" t="s">
        <v>7</v>
      </c>
      <c r="B5" s="156">
        <f>IF(B$2=0,0,B$4/B$2)</f>
        <v>9.7870900242438045E-18</v>
      </c>
      <c r="C5" s="157"/>
      <c r="E5" s="63" t="s">
        <v>245</v>
      </c>
      <c r="F5" s="60" t="s">
        <v>246</v>
      </c>
      <c r="G5" s="47">
        <v>735</v>
      </c>
      <c r="H5" s="133">
        <f>IF(B$17=0,0,G5/B$17)</f>
        <v>0.40697674418604651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6.5681444991789819</v>
      </c>
      <c r="P5" s="119">
        <v>609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561</v>
      </c>
      <c r="H6" s="133">
        <f>IF(B$17=0,0,G6/B$17)</f>
        <v>0.31063122923588038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0"/>
        <v>-16.483516483516482</v>
      </c>
      <c r="P6" s="119">
        <v>546</v>
      </c>
      <c r="Q6" s="103">
        <v>-9000</v>
      </c>
    </row>
    <row r="7" spans="1:17" x14ac:dyDescent="0.4">
      <c r="A7" s="55" t="s">
        <v>2</v>
      </c>
      <c r="B7" s="47">
        <v>242</v>
      </c>
      <c r="C7" s="39">
        <f>IF(B$2=0,0,B7/B$2)</f>
        <v>0.33333333333333331</v>
      </c>
      <c r="E7" s="63" t="s">
        <v>68</v>
      </c>
      <c r="F7" s="60" t="s">
        <v>24</v>
      </c>
      <c r="G7" s="47">
        <v>556</v>
      </c>
      <c r="H7" s="133">
        <f>IF(B$17=0,0,G7/B$17)</f>
        <v>0.30786267995570321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29.166666666666668</v>
      </c>
      <c r="P7" s="120">
        <v>480</v>
      </c>
      <c r="Q7" s="104">
        <v>14000</v>
      </c>
    </row>
    <row r="8" spans="1:17" x14ac:dyDescent="0.4">
      <c r="A8" s="55" t="s">
        <v>3</v>
      </c>
      <c r="B8" s="47">
        <v>242</v>
      </c>
      <c r="C8" s="39">
        <f>IF(B$2=0,0,B8/B$2)</f>
        <v>0.33333333333333331</v>
      </c>
      <c r="E8" s="63" t="s">
        <v>70</v>
      </c>
      <c r="F8" s="60" t="s">
        <v>25</v>
      </c>
      <c r="G8" s="47">
        <v>317</v>
      </c>
      <c r="H8" s="133">
        <f>IF(B$17=0,0,G8/B$17)</f>
        <v>0.17552602436323367</v>
      </c>
      <c r="I8" s="94">
        <v>5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242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227</v>
      </c>
      <c r="H9" s="133">
        <f>IF(B$17=0,0,G9/B$17)</f>
        <v>0.12569213732004431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88</v>
      </c>
      <c r="C10" s="40">
        <f>IF(B$2=0,0,B10/B$2)</f>
        <v>0.12121212121212122</v>
      </c>
      <c r="E10" s="63" t="s">
        <v>66</v>
      </c>
      <c r="F10" s="60" t="s">
        <v>22</v>
      </c>
      <c r="G10" s="47">
        <v>211</v>
      </c>
      <c r="H10" s="133">
        <f>IF(B$17=0,0,G10/B$17)</f>
        <v>0.1168327796234773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-2.6293388429752049</v>
      </c>
      <c r="P10" s="118">
        <v>242</v>
      </c>
      <c r="Q10" s="106">
        <v>-636.29999999999961</v>
      </c>
    </row>
    <row r="11" spans="1:17" x14ac:dyDescent="0.4">
      <c r="A11" s="56" t="s">
        <v>140</v>
      </c>
      <c r="B11" s="48">
        <v>88</v>
      </c>
      <c r="C11" s="40">
        <f>IF(B$2=0,0,B11/B$2)</f>
        <v>0.12121212121212122</v>
      </c>
      <c r="E11" s="63" t="s">
        <v>71</v>
      </c>
      <c r="F11" s="60" t="s">
        <v>26</v>
      </c>
      <c r="G11" s="47">
        <v>183</v>
      </c>
      <c r="H11" s="133">
        <f>IF(B$17=0,0,G11/B$17)</f>
        <v>0.10132890365448505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1.502892561983471</v>
      </c>
      <c r="P11" s="119">
        <v>242</v>
      </c>
      <c r="Q11" s="107">
        <v>363.7</v>
      </c>
    </row>
    <row r="12" spans="1:17" x14ac:dyDescent="0.4">
      <c r="A12" s="57" t="s">
        <v>160</v>
      </c>
      <c r="B12" s="49">
        <v>61</v>
      </c>
      <c r="C12" s="42">
        <f>IF(B$2=0,0,B12/B$2)</f>
        <v>8.4022038567493115E-2</v>
      </c>
      <c r="E12" s="63" t="s">
        <v>72</v>
      </c>
      <c r="F12" s="60" t="s">
        <v>27</v>
      </c>
      <c r="G12" s="47">
        <v>124</v>
      </c>
      <c r="H12" s="133">
        <f>IF(B$17=0,0,G12/B$17)</f>
        <v>6.8660022148394242E-2</v>
      </c>
      <c r="I12" s="94">
        <v>4</v>
      </c>
      <c r="K12" s="38">
        <v>10</v>
      </c>
      <c r="L12" s="99">
        <v>40.099999999999994</v>
      </c>
      <c r="N12" s="116" t="s">
        <v>166</v>
      </c>
      <c r="O12" s="126">
        <f>IF(P12=0,0,Q12/P12)</f>
        <v>1.1264462809917355</v>
      </c>
      <c r="P12" s="120">
        <v>242</v>
      </c>
      <c r="Q12" s="108">
        <v>272.59999999999997</v>
      </c>
    </row>
    <row r="13" spans="1:17" x14ac:dyDescent="0.4">
      <c r="A13" s="58" t="s">
        <v>122</v>
      </c>
      <c r="B13" s="50">
        <v>1680</v>
      </c>
      <c r="C13" s="44">
        <f>IF(B$3=0,0,B13/B$3)</f>
        <v>0.27791563275434245</v>
      </c>
      <c r="E13" s="63" t="s">
        <v>87</v>
      </c>
      <c r="F13" s="60" t="s">
        <v>42</v>
      </c>
      <c r="G13" s="47">
        <v>103</v>
      </c>
      <c r="H13" s="133">
        <f>IF(B$17=0,0,G13/B$17)</f>
        <v>5.7032115171650057E-2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1266</v>
      </c>
      <c r="C14" s="39">
        <f>IF(B$3=0,0,B14/B$3)</f>
        <v>0.20942928039702233</v>
      </c>
      <c r="E14" s="63" t="s">
        <v>84</v>
      </c>
      <c r="F14" s="60" t="s">
        <v>39</v>
      </c>
      <c r="G14" s="47">
        <v>88</v>
      </c>
      <c r="H14" s="133">
        <f>IF(B$17=0,0,G14/B$17)</f>
        <v>4.8726467331118496E-2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972</v>
      </c>
      <c r="C15" s="37">
        <f>IF(B$13=0,0,B15/B$13)</f>
        <v>0.57857142857142863</v>
      </c>
      <c r="E15" s="63" t="s">
        <v>79</v>
      </c>
      <c r="F15" s="60" t="s">
        <v>34</v>
      </c>
      <c r="G15" s="47">
        <v>52</v>
      </c>
      <c r="H15" s="133">
        <f>IF(B$17=0,0,G15/B$17)</f>
        <v>2.8792912513842746E-2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19.204545454545485</v>
      </c>
      <c r="P15" s="118">
        <v>198</v>
      </c>
      <c r="Q15" s="106">
        <v>3802.5000000000059</v>
      </c>
    </row>
    <row r="16" spans="1:17" x14ac:dyDescent="0.4">
      <c r="A16" s="54" t="s">
        <v>125</v>
      </c>
      <c r="B16" s="46">
        <v>499</v>
      </c>
      <c r="C16" s="37">
        <f>IF(B$14=0,0,B16/B$14)</f>
        <v>0.39415481832543442</v>
      </c>
      <c r="E16" s="63" t="s">
        <v>82</v>
      </c>
      <c r="F16" s="60" t="s">
        <v>37</v>
      </c>
      <c r="G16" s="47">
        <v>50</v>
      </c>
      <c r="H16" s="133">
        <f>IF(B$17=0,0,G16/B$17)</f>
        <v>2.768549280177187E-2</v>
      </c>
      <c r="I16" s="94">
        <v>5</v>
      </c>
      <c r="K16" s="38">
        <v>14</v>
      </c>
      <c r="L16" s="99">
        <v>18.79999999999999</v>
      </c>
      <c r="N16" s="115" t="s">
        <v>223</v>
      </c>
      <c r="O16" s="125">
        <f>IF(P16=0,0,Q16/P16)</f>
        <v>13.95</v>
      </c>
      <c r="P16" s="119">
        <v>8</v>
      </c>
      <c r="Q16" s="107">
        <v>111.6</v>
      </c>
    </row>
    <row r="17" spans="1:17" x14ac:dyDescent="0.4">
      <c r="A17" s="54" t="s">
        <v>10</v>
      </c>
      <c r="B17" s="46">
        <f>B19+B18</f>
        <v>1806</v>
      </c>
      <c r="C17" s="37">
        <f>IF(B$3=0,0,B17/B$3)</f>
        <v>0.29875930521091809</v>
      </c>
      <c r="E17" s="63" t="s">
        <v>92</v>
      </c>
      <c r="F17" s="60" t="s">
        <v>47</v>
      </c>
      <c r="G17" s="47">
        <v>35</v>
      </c>
      <c r="H17" s="133">
        <f>IF(B$17=0,0,G17/B$17)</f>
        <v>1.937984496124031E-2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12.115624999999996</v>
      </c>
      <c r="P17" s="119">
        <v>96</v>
      </c>
      <c r="Q17" s="107">
        <v>1163.0999999999997</v>
      </c>
    </row>
    <row r="18" spans="1:17" x14ac:dyDescent="0.4">
      <c r="A18" s="55" t="s">
        <v>12</v>
      </c>
      <c r="B18" s="47">
        <v>786</v>
      </c>
      <c r="C18" s="39">
        <f>IF(B$17=0,0,B18/B$17)</f>
        <v>0.43521594684385384</v>
      </c>
      <c r="E18" s="63" t="s">
        <v>80</v>
      </c>
      <c r="F18" s="60" t="s">
        <v>35</v>
      </c>
      <c r="G18" s="47">
        <v>30</v>
      </c>
      <c r="H18" s="133">
        <f>IF(B$17=0,0,G18/B$17)</f>
        <v>1.6611295681063124E-2</v>
      </c>
      <c r="I18" s="94">
        <v>7</v>
      </c>
      <c r="K18" s="38">
        <v>16</v>
      </c>
      <c r="L18" s="99">
        <v>90.899999999999991</v>
      </c>
      <c r="N18" s="115" t="s">
        <v>184</v>
      </c>
      <c r="O18" s="125">
        <f>IF(P18=0,0,Q18/P18)</f>
        <v>9.3074999999999992</v>
      </c>
      <c r="P18" s="119">
        <v>40</v>
      </c>
      <c r="Q18" s="107">
        <v>372.29999999999995</v>
      </c>
    </row>
    <row r="19" spans="1:17" x14ac:dyDescent="0.4">
      <c r="A19" s="55" t="s">
        <v>11</v>
      </c>
      <c r="B19" s="47">
        <v>1020</v>
      </c>
      <c r="C19" s="39">
        <f>IF(B$17=0,0,B19/B$17)</f>
        <v>0.56478405315614622</v>
      </c>
      <c r="E19" s="63" t="s">
        <v>180</v>
      </c>
      <c r="F19" s="60" t="s">
        <v>181</v>
      </c>
      <c r="G19" s="47">
        <v>27</v>
      </c>
      <c r="H19" s="133">
        <f>IF(B$17=0,0,G19/B$17)</f>
        <v>1.4950166112956811E-2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3.9522727272727267</v>
      </c>
      <c r="P19" s="119">
        <v>264</v>
      </c>
      <c r="Q19" s="107">
        <v>1043.3999999999999</v>
      </c>
    </row>
    <row r="20" spans="1:17" x14ac:dyDescent="0.4">
      <c r="A20" s="55" t="s">
        <v>13</v>
      </c>
      <c r="B20" s="47">
        <v>1008</v>
      </c>
      <c r="C20" s="39">
        <f>IF(B$3=0,0,B20/B$3)</f>
        <v>0.16674937965260547</v>
      </c>
      <c r="E20" s="63" t="s">
        <v>74</v>
      </c>
      <c r="F20" s="60" t="s">
        <v>29</v>
      </c>
      <c r="G20" s="47">
        <v>13</v>
      </c>
      <c r="H20" s="133">
        <f>IF(B$17=0,0,G20/B$17)</f>
        <v>7.1982281284606866E-3</v>
      </c>
      <c r="I20" s="94">
        <v>4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1.8289156626506018</v>
      </c>
      <c r="P20" s="119">
        <v>166</v>
      </c>
      <c r="Q20" s="107">
        <v>303.59999999999991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12</v>
      </c>
      <c r="H21" s="133">
        <f>IF(B$17=0,0,G21/B$17)</f>
        <v>6.6445182724252493E-3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0.71489361702127918</v>
      </c>
      <c r="P21" s="119">
        <v>188</v>
      </c>
      <c r="Q21" s="107">
        <v>134.40000000000049</v>
      </c>
    </row>
    <row r="22" spans="1:17" x14ac:dyDescent="0.4">
      <c r="A22" s="55" t="s">
        <v>192</v>
      </c>
      <c r="B22" s="47">
        <v>31</v>
      </c>
      <c r="C22" s="135">
        <v>19</v>
      </c>
      <c r="E22" s="63" t="s">
        <v>75</v>
      </c>
      <c r="F22" s="60" t="s">
        <v>30</v>
      </c>
      <c r="G22" s="47">
        <v>8</v>
      </c>
      <c r="H22" s="133">
        <f>IF(B$17=0,0,G22/B$17)</f>
        <v>4.4296788482834993E-3</v>
      </c>
      <c r="I22" s="94">
        <v>5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8717.8294573643416</v>
      </c>
      <c r="C23" s="41">
        <v>15744400</v>
      </c>
      <c r="E23" s="63" t="s">
        <v>93</v>
      </c>
      <c r="F23" s="60" t="s">
        <v>48</v>
      </c>
      <c r="G23" s="47">
        <v>8</v>
      </c>
      <c r="H23" s="133">
        <f>IF(B$17=0,0,G23/B$17)</f>
        <v>4.4296788482834993E-3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-6.3458333333333341</v>
      </c>
      <c r="P23" s="119">
        <v>144</v>
      </c>
      <c r="Q23" s="107">
        <v>-913.80000000000007</v>
      </c>
    </row>
    <row r="24" spans="1:17" x14ac:dyDescent="0.4">
      <c r="A24" s="57" t="s">
        <v>14</v>
      </c>
      <c r="B24" s="52">
        <f>IF(B$20=0,0,C24/B$20)</f>
        <v>-8245.039682539682</v>
      </c>
      <c r="C24" s="45">
        <v>-8311000</v>
      </c>
      <c r="E24" s="63" t="s">
        <v>86</v>
      </c>
      <c r="F24" s="60" t="s">
        <v>41</v>
      </c>
      <c r="G24" s="47">
        <v>7</v>
      </c>
      <c r="H24" s="133">
        <f>IF(B$17=0,0,G24/B$17)</f>
        <v>3.875968992248062E-3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-17.825776397515511</v>
      </c>
      <c r="P24" s="119">
        <v>322</v>
      </c>
      <c r="Q24" s="107">
        <v>-5739.8999999999942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7</v>
      </c>
      <c r="H25" s="133">
        <f>IF(B$17=0,0,G25/B$17)</f>
        <v>3.875968992248062E-3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6</v>
      </c>
      <c r="H26" s="133">
        <f>IF(B$17=0,0,G26/B$17)</f>
        <v>3.3222591362126247E-3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15</v>
      </c>
      <c r="C27" s="42">
        <f>IF(B$3=0,0,B27/B$3)</f>
        <v>2.4813895781637717E-3</v>
      </c>
      <c r="E27" s="63" t="s">
        <v>91</v>
      </c>
      <c r="F27" s="60" t="s">
        <v>46</v>
      </c>
      <c r="G27" s="47">
        <v>5</v>
      </c>
      <c r="H27" s="133">
        <f>IF(B$17=0,0,G27/B$17)</f>
        <v>2.7685492801771874E-3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2.2148394241417496E-3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2.2148394241417496E-3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1.6611295681063123E-3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1.1074197120708748E-3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5.5370985603543741E-4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5.5370985603543741E-4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161</v>
      </c>
      <c r="C2" s="151"/>
      <c r="E2" s="62" t="s">
        <v>67</v>
      </c>
      <c r="F2" s="59" t="s">
        <v>23</v>
      </c>
      <c r="G2" s="46">
        <v>324</v>
      </c>
      <c r="H2" s="132">
        <f>IF(B$17=0,0,G2/B$17)</f>
        <v>0.7168141592920354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1869.5652173913043</v>
      </c>
      <c r="P2" s="118">
        <v>161</v>
      </c>
      <c r="Q2" s="102">
        <v>301000</v>
      </c>
    </row>
    <row r="3" spans="1:17" x14ac:dyDescent="0.4">
      <c r="A3" s="55" t="s">
        <v>8</v>
      </c>
      <c r="B3" s="152">
        <v>1327</v>
      </c>
      <c r="C3" s="153"/>
      <c r="E3" s="63" t="s">
        <v>73</v>
      </c>
      <c r="F3" s="60" t="s">
        <v>28</v>
      </c>
      <c r="G3" s="47">
        <v>251</v>
      </c>
      <c r="H3" s="133">
        <f>IF(B$17=0,0,G3/B$17)</f>
        <v>0.55530973451327437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2064.9681528662422</v>
      </c>
      <c r="P3" s="119">
        <v>157</v>
      </c>
      <c r="Q3" s="103">
        <v>324200</v>
      </c>
    </row>
    <row r="4" spans="1:17" x14ac:dyDescent="0.4">
      <c r="A4" s="55" t="s">
        <v>6</v>
      </c>
      <c r="B4" s="154">
        <v>1913.3000000000004</v>
      </c>
      <c r="C4" s="155"/>
      <c r="E4" s="63" t="s">
        <v>65</v>
      </c>
      <c r="F4" s="60" t="s">
        <v>21</v>
      </c>
      <c r="G4" s="47">
        <v>218</v>
      </c>
      <c r="H4" s="133">
        <f>IF(B$17=0,0,G4/B$17)</f>
        <v>0.48230088495575218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760.40268456375838</v>
      </c>
      <c r="P4" s="119">
        <v>149</v>
      </c>
      <c r="Q4" s="103">
        <v>113300</v>
      </c>
    </row>
    <row r="5" spans="1:17" x14ac:dyDescent="0.4">
      <c r="A5" s="55" t="s">
        <v>7</v>
      </c>
      <c r="B5" s="156">
        <f>IF(B$2=0,0,B$4/B$2)</f>
        <v>11.883850931677021</v>
      </c>
      <c r="C5" s="157"/>
      <c r="E5" s="63" t="s">
        <v>245</v>
      </c>
      <c r="F5" s="60" t="s">
        <v>246</v>
      </c>
      <c r="G5" s="47">
        <v>187</v>
      </c>
      <c r="H5" s="133">
        <f>IF(B$17=0,0,G5/B$17)</f>
        <v>0.41371681415929201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2121.014492753623</v>
      </c>
      <c r="P5" s="119">
        <v>138</v>
      </c>
      <c r="Q5" s="103">
        <v>292700</v>
      </c>
    </row>
    <row r="6" spans="1:17" x14ac:dyDescent="0.4">
      <c r="A6" s="55" t="s">
        <v>1</v>
      </c>
      <c r="B6" s="146">
        <f>IF(B$2=0,0,(B$7*1+B$8*2+B$9*3)/B$2)</f>
        <v>1.7701863354037266</v>
      </c>
      <c r="C6" s="147"/>
      <c r="E6" s="63" t="s">
        <v>68</v>
      </c>
      <c r="F6" s="60" t="s">
        <v>24</v>
      </c>
      <c r="G6" s="47">
        <v>131</v>
      </c>
      <c r="H6" s="133">
        <f>IF(B$17=0,0,G6/B$17)</f>
        <v>0.28982300884955753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488.52459016393442</v>
      </c>
      <c r="P6" s="119">
        <v>122</v>
      </c>
      <c r="Q6" s="103">
        <v>59600</v>
      </c>
    </row>
    <row r="7" spans="1:17" x14ac:dyDescent="0.4">
      <c r="A7" s="55" t="s">
        <v>2</v>
      </c>
      <c r="B7" s="47">
        <v>76</v>
      </c>
      <c r="C7" s="39">
        <f>IF(B$2=0,0,B7/B$2)</f>
        <v>0.47204968944099379</v>
      </c>
      <c r="E7" s="63" t="s">
        <v>69</v>
      </c>
      <c r="F7" s="60" t="s">
        <v>12</v>
      </c>
      <c r="G7" s="47">
        <v>123</v>
      </c>
      <c r="H7" s="133">
        <f>IF(B$17=0,0,G7/B$17)</f>
        <v>0.27212389380530971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700</v>
      </c>
      <c r="P7" s="120">
        <v>105</v>
      </c>
      <c r="Q7" s="104">
        <v>73500</v>
      </c>
    </row>
    <row r="8" spans="1:17" x14ac:dyDescent="0.4">
      <c r="A8" s="55" t="s">
        <v>3</v>
      </c>
      <c r="B8" s="47">
        <v>46</v>
      </c>
      <c r="C8" s="39">
        <f>IF(B$2=0,0,B8/B$2)</f>
        <v>0.2857142857142857</v>
      </c>
      <c r="E8" s="63" t="s">
        <v>70</v>
      </c>
      <c r="F8" s="60" t="s">
        <v>25</v>
      </c>
      <c r="G8" s="47">
        <v>74</v>
      </c>
      <c r="H8" s="133">
        <f>IF(B$17=0,0,G8/B$17)</f>
        <v>0.16371681415929204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0.24223602484472051</v>
      </c>
      <c r="E9" s="63" t="s">
        <v>90</v>
      </c>
      <c r="F9" s="60" t="s">
        <v>45</v>
      </c>
      <c r="G9" s="47">
        <v>72</v>
      </c>
      <c r="H9" s="133">
        <f>IF(B$17=0,0,G9/B$17)</f>
        <v>0.15929203539823009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9.3167701863354033E-2</v>
      </c>
      <c r="E10" s="63" t="s">
        <v>66</v>
      </c>
      <c r="F10" s="60" t="s">
        <v>22</v>
      </c>
      <c r="G10" s="47">
        <v>56</v>
      </c>
      <c r="H10" s="133">
        <f>IF(B$17=0,0,G10/B$17)</f>
        <v>0.12389380530973451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15.092156862745099</v>
      </c>
      <c r="P10" s="118">
        <v>51</v>
      </c>
      <c r="Q10" s="106">
        <v>769.7</v>
      </c>
    </row>
    <row r="11" spans="1:17" x14ac:dyDescent="0.4">
      <c r="A11" s="56" t="s">
        <v>140</v>
      </c>
      <c r="B11" s="48">
        <v>28</v>
      </c>
      <c r="C11" s="40">
        <f>IF(B$2=0,0,B11/B$2)</f>
        <v>0.17391304347826086</v>
      </c>
      <c r="E11" s="63" t="s">
        <v>71</v>
      </c>
      <c r="F11" s="60" t="s">
        <v>26</v>
      </c>
      <c r="G11" s="47">
        <v>39</v>
      </c>
      <c r="H11" s="133">
        <f>IF(B$17=0,0,G11/B$17)</f>
        <v>8.628318584070796E-2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9.6020408163265323</v>
      </c>
      <c r="P11" s="119">
        <v>49</v>
      </c>
      <c r="Q11" s="107">
        <v>470.50000000000006</v>
      </c>
    </row>
    <row r="12" spans="1:17" x14ac:dyDescent="0.4">
      <c r="A12" s="57" t="s">
        <v>160</v>
      </c>
      <c r="B12" s="49">
        <v>22</v>
      </c>
      <c r="C12" s="42">
        <f>IF(B$2=0,0,B12/B$2)</f>
        <v>0.13664596273291926</v>
      </c>
      <c r="E12" s="63" t="s">
        <v>87</v>
      </c>
      <c r="F12" s="60" t="s">
        <v>42</v>
      </c>
      <c r="G12" s="47">
        <v>34</v>
      </c>
      <c r="H12" s="133">
        <f>IF(B$17=0,0,G12/B$17)</f>
        <v>7.5221238938053103E-2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11.034426229508199</v>
      </c>
      <c r="P12" s="120">
        <v>61</v>
      </c>
      <c r="Q12" s="108">
        <v>673.10000000000014</v>
      </c>
    </row>
    <row r="13" spans="1:17" x14ac:dyDescent="0.4">
      <c r="A13" s="58" t="s">
        <v>122</v>
      </c>
      <c r="B13" s="50">
        <v>417</v>
      </c>
      <c r="C13" s="44">
        <f>IF(B$3=0,0,B13/B$3)</f>
        <v>0.31424265259984929</v>
      </c>
      <c r="E13" s="63" t="s">
        <v>72</v>
      </c>
      <c r="F13" s="60" t="s">
        <v>27</v>
      </c>
      <c r="G13" s="47">
        <v>31</v>
      </c>
      <c r="H13" s="133">
        <f>IF(B$17=0,0,G13/B$17)</f>
        <v>6.8584070796460173E-2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281</v>
      </c>
      <c r="C14" s="39">
        <f>IF(B$3=0,0,B14/B$3)</f>
        <v>0.21175584024114544</v>
      </c>
      <c r="E14" s="63" t="s">
        <v>84</v>
      </c>
      <c r="F14" s="60" t="s">
        <v>39</v>
      </c>
      <c r="G14" s="47">
        <v>25</v>
      </c>
      <c r="H14" s="133">
        <f>IF(B$17=0,0,G14/B$17)</f>
        <v>5.5309734513274339E-2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239</v>
      </c>
      <c r="C15" s="37">
        <f>IF(B$13=0,0,B15/B$13)</f>
        <v>0.57314148681055155</v>
      </c>
      <c r="E15" s="63" t="s">
        <v>180</v>
      </c>
      <c r="F15" s="60" t="s">
        <v>181</v>
      </c>
      <c r="G15" s="47">
        <v>16</v>
      </c>
      <c r="H15" s="133">
        <f>IF(B$17=0,0,G15/B$17)</f>
        <v>3.5398230088495575E-2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146</v>
      </c>
      <c r="C16" s="37">
        <f>IF(B$14=0,0,B16/B$14)</f>
        <v>0.5195729537366548</v>
      </c>
      <c r="E16" s="63" t="s">
        <v>79</v>
      </c>
      <c r="F16" s="60" t="s">
        <v>34</v>
      </c>
      <c r="G16" s="47">
        <v>12</v>
      </c>
      <c r="H16" s="133">
        <f>IF(B$17=0,0,G16/B$17)</f>
        <v>2.6548672566371681E-2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452</v>
      </c>
      <c r="C17" s="37">
        <f>IF(B$3=0,0,B17/B$3)</f>
        <v>0.34061793519216277</v>
      </c>
      <c r="E17" s="63" t="s">
        <v>82</v>
      </c>
      <c r="F17" s="60" t="s">
        <v>37</v>
      </c>
      <c r="G17" s="47">
        <v>12</v>
      </c>
      <c r="H17" s="133">
        <f>IF(B$17=0,0,G17/B$17)</f>
        <v>2.6548672566371681E-2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27.119672131147546</v>
      </c>
      <c r="P17" s="119">
        <v>61</v>
      </c>
      <c r="Q17" s="107">
        <v>1654.3000000000002</v>
      </c>
    </row>
    <row r="18" spans="1:17" x14ac:dyDescent="0.4">
      <c r="A18" s="55" t="s">
        <v>12</v>
      </c>
      <c r="B18" s="47">
        <v>190</v>
      </c>
      <c r="C18" s="39">
        <f>IF(B$17=0,0,B18/B$17)</f>
        <v>0.42035398230088494</v>
      </c>
      <c r="E18" s="63" t="s">
        <v>92</v>
      </c>
      <c r="F18" s="60" t="s">
        <v>47</v>
      </c>
      <c r="G18" s="47">
        <v>10</v>
      </c>
      <c r="H18" s="133">
        <f>IF(B$17=0,0,G18/B$17)</f>
        <v>2.2123893805309734E-2</v>
      </c>
      <c r="I18" s="94">
        <v>3</v>
      </c>
      <c r="K18" s="38">
        <v>16</v>
      </c>
      <c r="L18" s="99">
        <v>425.50000000000006</v>
      </c>
      <c r="N18" s="115" t="s">
        <v>172</v>
      </c>
      <c r="O18" s="125">
        <f>IF(P18=0,0,Q18/P18)</f>
        <v>23.717391304347821</v>
      </c>
      <c r="P18" s="119">
        <v>46</v>
      </c>
      <c r="Q18" s="107">
        <v>1090.9999999999998</v>
      </c>
    </row>
    <row r="19" spans="1:17" x14ac:dyDescent="0.4">
      <c r="A19" s="55" t="s">
        <v>11</v>
      </c>
      <c r="B19" s="47">
        <v>262</v>
      </c>
      <c r="C19" s="39">
        <f>IF(B$17=0,0,B19/B$17)</f>
        <v>0.57964601769911506</v>
      </c>
      <c r="E19" s="63" t="s">
        <v>80</v>
      </c>
      <c r="F19" s="60" t="s">
        <v>35</v>
      </c>
      <c r="G19" s="47">
        <v>5</v>
      </c>
      <c r="H19" s="133">
        <f>IF(B$17=0,0,G19/B$17)</f>
        <v>1.1061946902654867E-2</v>
      </c>
      <c r="I19" s="94">
        <v>10</v>
      </c>
      <c r="K19" s="38">
        <v>17</v>
      </c>
      <c r="L19" s="99">
        <v>427.40000000000003</v>
      </c>
      <c r="N19" s="115" t="s">
        <v>184</v>
      </c>
      <c r="O19" s="125">
        <f>IF(P19=0,0,Q19/P19)</f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204</v>
      </c>
      <c r="C20" s="39">
        <f>IF(B$3=0,0,B20/B$3)</f>
        <v>0.15373021853805577</v>
      </c>
      <c r="E20" s="63" t="s">
        <v>86</v>
      </c>
      <c r="F20" s="60" t="s">
        <v>41</v>
      </c>
      <c r="G20" s="47">
        <v>4</v>
      </c>
      <c r="H20" s="133">
        <f>IF(B$17=0,0,G20/B$17)</f>
        <v>8.8495575221238937E-3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18.861290322580651</v>
      </c>
      <c r="P20" s="119">
        <v>31</v>
      </c>
      <c r="Q20" s="107">
        <v>584.70000000000016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6.6371681415929203E-3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18.236363636363635</v>
      </c>
      <c r="P21" s="119">
        <v>88</v>
      </c>
      <c r="Q21" s="107">
        <v>1604.8</v>
      </c>
    </row>
    <row r="22" spans="1:17" x14ac:dyDescent="0.4">
      <c r="A22" s="55" t="s">
        <v>192</v>
      </c>
      <c r="B22" s="47">
        <v>39</v>
      </c>
      <c r="C22" s="135">
        <v>34</v>
      </c>
      <c r="E22" s="63" t="s">
        <v>93</v>
      </c>
      <c r="F22" s="60" t="s">
        <v>48</v>
      </c>
      <c r="G22" s="47">
        <v>3</v>
      </c>
      <c r="H22" s="133">
        <f>IF(B$17=0,0,G22/B$17)</f>
        <v>6.6371681415929203E-3</v>
      </c>
      <c r="I22" s="94">
        <v>2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9299.5575221238942</v>
      </c>
      <c r="C23" s="41">
        <v>4203400</v>
      </c>
      <c r="E23" s="63" t="s">
        <v>78</v>
      </c>
      <c r="F23" s="60" t="s">
        <v>33</v>
      </c>
      <c r="G23" s="47">
        <v>2</v>
      </c>
      <c r="H23" s="133">
        <f>IF(B$17=0,0,G23/B$17)</f>
        <v>4.4247787610619468E-3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-8229.4117647058829</v>
      </c>
      <c r="C24" s="45">
        <v>-1678800</v>
      </c>
      <c r="E24" s="63" t="s">
        <v>91</v>
      </c>
      <c r="F24" s="60" t="s">
        <v>46</v>
      </c>
      <c r="G24" s="47">
        <v>2</v>
      </c>
      <c r="H24" s="133">
        <f>IF(B$17=0,0,G24/B$17)</f>
        <v>4.4247787610619468E-3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94</v>
      </c>
      <c r="F25" s="60" t="s">
        <v>49</v>
      </c>
      <c r="G25" s="47">
        <v>2</v>
      </c>
      <c r="H25" s="133">
        <f>IF(B$17=0,0,G25/B$17)</f>
        <v>4.4247787610619468E-3</v>
      </c>
      <c r="I25" s="94">
        <v>4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76</v>
      </c>
      <c r="F26" s="60" t="s">
        <v>31</v>
      </c>
      <c r="G26" s="47">
        <v>1</v>
      </c>
      <c r="H26" s="133">
        <f>IF(B$17=0,0,G26/B$17)</f>
        <v>2.2123893805309734E-3</v>
      </c>
      <c r="I26" s="94">
        <v>8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7.5357950263752827E-4</v>
      </c>
      <c r="E27" s="63" t="s">
        <v>85</v>
      </c>
      <c r="F27" s="60" t="s">
        <v>40</v>
      </c>
      <c r="G27" s="47">
        <v>1</v>
      </c>
      <c r="H27" s="133">
        <f>IF(B$17=0,0,G27/B$17)</f>
        <v>2.2123893805309734E-3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2.2123893805309734E-3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89</v>
      </c>
      <c r="F29" s="60" t="s">
        <v>44</v>
      </c>
      <c r="G29" s="47">
        <v>1</v>
      </c>
      <c r="H29" s="133">
        <f>IF(B$17=0,0,G29/B$17)</f>
        <v>2.2123893805309734E-3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2.2123893805309734E-3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3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132</v>
      </c>
      <c r="C2" s="151"/>
      <c r="E2" s="62" t="s">
        <v>67</v>
      </c>
      <c r="F2" s="59" t="s">
        <v>23</v>
      </c>
      <c r="G2" s="46">
        <v>222</v>
      </c>
      <c r="H2" s="132">
        <f>IF(B$17=0,0,G2/B$17)</f>
        <v>0.75254237288135595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181.06060606060606</v>
      </c>
      <c r="P2" s="118">
        <v>132</v>
      </c>
      <c r="Q2" s="102">
        <v>23900</v>
      </c>
    </row>
    <row r="3" spans="1:17" x14ac:dyDescent="0.4">
      <c r="A3" s="55" t="s">
        <v>8</v>
      </c>
      <c r="B3" s="152">
        <v>1087</v>
      </c>
      <c r="C3" s="153"/>
      <c r="E3" s="63" t="s">
        <v>65</v>
      </c>
      <c r="F3" s="60" t="s">
        <v>21</v>
      </c>
      <c r="G3" s="47">
        <v>184</v>
      </c>
      <c r="H3" s="133">
        <f>IF(B$17=0,0,G3/B$17)</f>
        <v>0.62372881355932208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-2087.5</v>
      </c>
      <c r="P3" s="119">
        <v>128</v>
      </c>
      <c r="Q3" s="103">
        <v>-267200</v>
      </c>
    </row>
    <row r="4" spans="1:17" x14ac:dyDescent="0.4">
      <c r="A4" s="55" t="s">
        <v>6</v>
      </c>
      <c r="B4" s="154">
        <v>-347.8</v>
      </c>
      <c r="C4" s="155"/>
      <c r="E4" s="63" t="s">
        <v>73</v>
      </c>
      <c r="F4" s="60" t="s">
        <v>28</v>
      </c>
      <c r="G4" s="47">
        <v>135</v>
      </c>
      <c r="H4" s="133">
        <f>IF(B$17=0,0,G4/B$17)</f>
        <v>0.4576271186440678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228.68852459016392</v>
      </c>
      <c r="P4" s="119">
        <v>122</v>
      </c>
      <c r="Q4" s="103">
        <v>27900</v>
      </c>
    </row>
    <row r="5" spans="1:17" x14ac:dyDescent="0.4">
      <c r="A5" s="55" t="s">
        <v>7</v>
      </c>
      <c r="B5" s="156">
        <f>IF(B$2=0,0,B$4/B$2)</f>
        <v>-2.6348484848484848</v>
      </c>
      <c r="C5" s="157"/>
      <c r="E5" s="63" t="s">
        <v>245</v>
      </c>
      <c r="F5" s="60" t="s">
        <v>246</v>
      </c>
      <c r="G5" s="47">
        <v>124</v>
      </c>
      <c r="H5" s="133">
        <f>IF(B$17=0,0,G5/B$17)</f>
        <v>0.42033898305084744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8.1818181818181817</v>
      </c>
      <c r="P5" s="119">
        <v>110</v>
      </c>
      <c r="Q5" s="103">
        <v>900</v>
      </c>
    </row>
    <row r="6" spans="1:17" x14ac:dyDescent="0.4">
      <c r="A6" s="55" t="s">
        <v>1</v>
      </c>
      <c r="B6" s="146">
        <f>IF(B$2=0,0,(B$7*1+B$8*2+B$9*3)/B$2)</f>
        <v>2.0757575757575757</v>
      </c>
      <c r="C6" s="147"/>
      <c r="E6" s="63" t="s">
        <v>68</v>
      </c>
      <c r="F6" s="60" t="s">
        <v>24</v>
      </c>
      <c r="G6" s="47">
        <v>120</v>
      </c>
      <c r="H6" s="133">
        <f>IF(B$17=0,0,G6/B$17)</f>
        <v>0.40677966101694918</v>
      </c>
      <c r="I6" s="94">
        <v>2</v>
      </c>
      <c r="K6" s="38">
        <v>4</v>
      </c>
      <c r="L6" s="99">
        <v>13.599999999999994</v>
      </c>
      <c r="N6" s="115" t="s">
        <v>136</v>
      </c>
      <c r="O6" s="122">
        <f t="shared" si="0"/>
        <v>823.71134020618558</v>
      </c>
      <c r="P6" s="119">
        <v>97</v>
      </c>
      <c r="Q6" s="103">
        <v>79900</v>
      </c>
    </row>
    <row r="7" spans="1:17" x14ac:dyDescent="0.4">
      <c r="A7" s="55" t="s">
        <v>2</v>
      </c>
      <c r="B7" s="47">
        <v>35</v>
      </c>
      <c r="C7" s="39">
        <f>IF(B$2=0,0,B7/B$2)</f>
        <v>0.26515151515151514</v>
      </c>
      <c r="E7" s="63" t="s">
        <v>69</v>
      </c>
      <c r="F7" s="60" t="s">
        <v>12</v>
      </c>
      <c r="G7" s="47">
        <v>102</v>
      </c>
      <c r="H7" s="133">
        <f>IF(B$17=0,0,G7/B$17)</f>
        <v>0.34576271186440677</v>
      </c>
      <c r="I7" s="94">
        <v>5</v>
      </c>
      <c r="K7" s="38">
        <v>5</v>
      </c>
      <c r="L7" s="99">
        <v>-16.600000000000005</v>
      </c>
      <c r="N7" s="116" t="s">
        <v>137</v>
      </c>
      <c r="O7" s="123">
        <f t="shared" si="0"/>
        <v>270.45454545454544</v>
      </c>
      <c r="P7" s="120">
        <v>88</v>
      </c>
      <c r="Q7" s="104">
        <v>23800</v>
      </c>
    </row>
    <row r="8" spans="1:17" x14ac:dyDescent="0.4">
      <c r="A8" s="55" t="s">
        <v>3</v>
      </c>
      <c r="B8" s="47">
        <v>52</v>
      </c>
      <c r="C8" s="39">
        <f>IF(B$2=0,0,B8/B$2)</f>
        <v>0.39393939393939392</v>
      </c>
      <c r="E8" s="63" t="s">
        <v>70</v>
      </c>
      <c r="F8" s="60" t="s">
        <v>25</v>
      </c>
      <c r="G8" s="47">
        <v>67</v>
      </c>
      <c r="H8" s="133">
        <f>IF(B$17=0,0,G8/B$17)</f>
        <v>0.22711864406779661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0.34090909090909088</v>
      </c>
      <c r="E9" s="63" t="s">
        <v>66</v>
      </c>
      <c r="F9" s="60" t="s">
        <v>22</v>
      </c>
      <c r="G9" s="47">
        <v>47</v>
      </c>
      <c r="H9" s="133">
        <f>IF(B$17=0,0,G9/B$17)</f>
        <v>0.15932203389830507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0.12878787878787878</v>
      </c>
      <c r="E10" s="63" t="s">
        <v>71</v>
      </c>
      <c r="F10" s="60" t="s">
        <v>26</v>
      </c>
      <c r="G10" s="47">
        <v>37</v>
      </c>
      <c r="H10" s="133">
        <f>IF(B$17=0,0,G10/B$17)</f>
        <v>0.12542372881355932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-7.683076923076924</v>
      </c>
      <c r="P10" s="118">
        <v>65</v>
      </c>
      <c r="Q10" s="106">
        <v>-499.40000000000003</v>
      </c>
    </row>
    <row r="11" spans="1:17" x14ac:dyDescent="0.4">
      <c r="A11" s="56" t="s">
        <v>140</v>
      </c>
      <c r="B11" s="48">
        <v>13</v>
      </c>
      <c r="C11" s="40">
        <f>IF(B$2=0,0,B11/B$2)</f>
        <v>9.8484848484848481E-2</v>
      </c>
      <c r="E11" s="63" t="s">
        <v>90</v>
      </c>
      <c r="F11" s="60" t="s">
        <v>45</v>
      </c>
      <c r="G11" s="47">
        <v>32</v>
      </c>
      <c r="H11" s="133">
        <f>IF(B$17=0,0,G11/B$17)</f>
        <v>0.10847457627118644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-0.67999999999999916</v>
      </c>
      <c r="P11" s="119">
        <v>35</v>
      </c>
      <c r="Q11" s="107">
        <v>-23.799999999999969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6.8181818181818177E-2</v>
      </c>
      <c r="E12" s="63" t="s">
        <v>72</v>
      </c>
      <c r="F12" s="60" t="s">
        <v>27</v>
      </c>
      <c r="G12" s="47">
        <v>17</v>
      </c>
      <c r="H12" s="133">
        <f>IF(B$17=0,0,G12/B$17)</f>
        <v>5.7627118644067797E-2</v>
      </c>
      <c r="I12" s="94">
        <v>9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324</v>
      </c>
      <c r="C13" s="44">
        <f>IF(B$3=0,0,B13/B$3)</f>
        <v>0.29806807727690893</v>
      </c>
      <c r="E13" s="63" t="s">
        <v>87</v>
      </c>
      <c r="F13" s="60" t="s">
        <v>42</v>
      </c>
      <c r="G13" s="47">
        <v>15</v>
      </c>
      <c r="H13" s="133">
        <f>IF(B$17=0,0,G13/B$17)</f>
        <v>5.0847457627118647E-2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191</v>
      </c>
      <c r="C14" s="39">
        <f>IF(B$3=0,0,B14/B$3)</f>
        <v>0.17571297148114076</v>
      </c>
      <c r="E14" s="63" t="s">
        <v>84</v>
      </c>
      <c r="F14" s="60" t="s">
        <v>39</v>
      </c>
      <c r="G14" s="47">
        <v>10</v>
      </c>
      <c r="H14" s="133">
        <f>IF(B$17=0,0,G14/B$17)</f>
        <v>3.3898305084745763E-2</v>
      </c>
      <c r="I14" s="94">
        <v>10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193</v>
      </c>
      <c r="C15" s="37">
        <f>IF(B$13=0,0,B15/B$13)</f>
        <v>0.59567901234567899</v>
      </c>
      <c r="E15" s="63" t="s">
        <v>82</v>
      </c>
      <c r="F15" s="60" t="s">
        <v>37</v>
      </c>
      <c r="G15" s="47">
        <v>8</v>
      </c>
      <c r="H15" s="133">
        <f>IF(B$17=0,0,G15/B$17)</f>
        <v>2.7118644067796609E-2</v>
      </c>
      <c r="I15" s="94">
        <v>6</v>
      </c>
      <c r="K15" s="38">
        <v>13</v>
      </c>
      <c r="L15" s="99">
        <v>-81.900000000000006</v>
      </c>
      <c r="N15" s="114" t="s">
        <v>184</v>
      </c>
      <c r="O15" s="124">
        <f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57</v>
      </c>
      <c r="C16" s="37">
        <f>IF(B$14=0,0,B16/B$14)</f>
        <v>0.29842931937172773</v>
      </c>
      <c r="E16" s="63" t="s">
        <v>80</v>
      </c>
      <c r="F16" s="60" t="s">
        <v>35</v>
      </c>
      <c r="G16" s="47">
        <v>7</v>
      </c>
      <c r="H16" s="133">
        <f>IF(B$17=0,0,G16/B$17)</f>
        <v>2.3728813559322035E-2</v>
      </c>
      <c r="I16" s="94">
        <v>4</v>
      </c>
      <c r="K16" s="38">
        <v>14</v>
      </c>
      <c r="L16" s="99">
        <v>-25.600000000000009</v>
      </c>
      <c r="N16" s="115" t="s">
        <v>129</v>
      </c>
      <c r="O16" s="125">
        <f>IF(P16=0,0,Q16/P16)</f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295</v>
      </c>
      <c r="C17" s="37">
        <f>IF(B$3=0,0,B17/B$3)</f>
        <v>0.27138914443422263</v>
      </c>
      <c r="E17" s="63" t="s">
        <v>92</v>
      </c>
      <c r="F17" s="60" t="s">
        <v>47</v>
      </c>
      <c r="G17" s="47">
        <v>6</v>
      </c>
      <c r="H17" s="133">
        <f>IF(B$17=0,0,G17/B$17)</f>
        <v>2.0338983050847456E-2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9.0374999999999996</v>
      </c>
      <c r="P17" s="119">
        <v>24</v>
      </c>
      <c r="Q17" s="107">
        <v>216.89999999999998</v>
      </c>
    </row>
    <row r="18" spans="1:17" x14ac:dyDescent="0.4">
      <c r="A18" s="55" t="s">
        <v>12</v>
      </c>
      <c r="B18" s="47">
        <v>126</v>
      </c>
      <c r="C18" s="39">
        <f>IF(B$17=0,0,B18/B$17)</f>
        <v>0.42711864406779659</v>
      </c>
      <c r="E18" s="63" t="s">
        <v>79</v>
      </c>
      <c r="F18" s="60" t="s">
        <v>34</v>
      </c>
      <c r="G18" s="47">
        <v>5</v>
      </c>
      <c r="H18" s="133">
        <f>IF(B$17=0,0,G18/B$17)</f>
        <v>1.6949152542372881E-2</v>
      </c>
      <c r="I18" s="94">
        <v>9</v>
      </c>
      <c r="K18" s="38">
        <v>16</v>
      </c>
      <c r="L18" s="99">
        <v>41.699999999999989</v>
      </c>
      <c r="N18" s="115" t="s">
        <v>171</v>
      </c>
      <c r="O18" s="125">
        <f>IF(P18=0,0,Q18/P18)</f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169</v>
      </c>
      <c r="C19" s="39">
        <f>IF(B$17=0,0,B19/B$17)</f>
        <v>0.57288135593220335</v>
      </c>
      <c r="E19" s="63" t="s">
        <v>180</v>
      </c>
      <c r="F19" s="60" t="s">
        <v>181</v>
      </c>
      <c r="G19" s="47">
        <v>5</v>
      </c>
      <c r="H19" s="133">
        <f>IF(B$17=0,0,G19/B$17)</f>
        <v>1.6949152542372881E-2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187</v>
      </c>
      <c r="C20" s="39">
        <f>IF(B$3=0,0,B20/B$3)</f>
        <v>0.17203311867525298</v>
      </c>
      <c r="E20" s="63" t="s">
        <v>76</v>
      </c>
      <c r="F20" s="60" t="s">
        <v>31</v>
      </c>
      <c r="G20" s="47">
        <v>3</v>
      </c>
      <c r="H20" s="133">
        <f>IF(B$17=0,0,G20/B$17)</f>
        <v>1.0169491525423728E-2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2</v>
      </c>
      <c r="H21" s="133">
        <f>IF(B$17=0,0,G21/B$17)</f>
        <v>6.7796610169491523E-3</v>
      </c>
      <c r="I21" s="94">
        <v>5</v>
      </c>
      <c r="K21" s="38">
        <v>19</v>
      </c>
      <c r="L21" s="99">
        <v>138.79999999999998</v>
      </c>
      <c r="N21" s="115" t="s">
        <v>177</v>
      </c>
      <c r="O21" s="125">
        <f>IF(P21=0,0,Q21/P21)</f>
        <v>-8.5074074074074097</v>
      </c>
      <c r="P21" s="119">
        <v>27</v>
      </c>
      <c r="Q21" s="107">
        <v>-229.70000000000005</v>
      </c>
    </row>
    <row r="22" spans="1:17" x14ac:dyDescent="0.4">
      <c r="A22" s="55" t="s">
        <v>192</v>
      </c>
      <c r="B22" s="47">
        <v>24</v>
      </c>
      <c r="C22" s="135">
        <v>2</v>
      </c>
      <c r="E22" s="63" t="s">
        <v>75</v>
      </c>
      <c r="F22" s="60" t="s">
        <v>30</v>
      </c>
      <c r="G22" s="47">
        <v>2</v>
      </c>
      <c r="H22" s="133">
        <f>IF(B$17=0,0,G22/B$17)</f>
        <v>6.7796610169491523E-3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-18.236363636363635</v>
      </c>
      <c r="P22" s="119">
        <v>88</v>
      </c>
      <c r="Q22" s="107">
        <v>-1604.8</v>
      </c>
    </row>
    <row r="23" spans="1:17" x14ac:dyDescent="0.4">
      <c r="A23" s="55" t="s">
        <v>5</v>
      </c>
      <c r="B23" s="51">
        <f>IF(B$17=0,0,C23/B$17)</f>
        <v>9240.6779661016953</v>
      </c>
      <c r="C23" s="41">
        <v>2726000</v>
      </c>
      <c r="E23" s="63" t="s">
        <v>78</v>
      </c>
      <c r="F23" s="60" t="s">
        <v>33</v>
      </c>
      <c r="G23" s="47">
        <v>1</v>
      </c>
      <c r="H23" s="133">
        <f>IF(B$17=0,0,G23/B$17)</f>
        <v>3.3898305084745762E-3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-7671.1229946524063</v>
      </c>
      <c r="C24" s="45">
        <v>-1434500</v>
      </c>
      <c r="E24" s="63" t="s">
        <v>85</v>
      </c>
      <c r="F24" s="60" t="s">
        <v>40</v>
      </c>
      <c r="G24" s="47">
        <v>1</v>
      </c>
      <c r="H24" s="133">
        <f>IF(B$17=0,0,G24/B$17)</f>
        <v>3.3898305084745762E-3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3.3898305084745762E-3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3.3898305084745762E-3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4.5998160073597054E-3</v>
      </c>
      <c r="E27" s="63" t="s">
        <v>94</v>
      </c>
      <c r="F27" s="60" t="s">
        <v>49</v>
      </c>
      <c r="G27" s="47">
        <v>1</v>
      </c>
      <c r="H27" s="133">
        <f>IF(B$17=0,0,G27/B$17)</f>
        <v>3.3898305084745762E-3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3.3898305084745762E-3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0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99</v>
      </c>
      <c r="C2" s="151"/>
      <c r="E2" s="62" t="s">
        <v>67</v>
      </c>
      <c r="F2" s="59" t="s">
        <v>23</v>
      </c>
      <c r="G2" s="46">
        <v>171</v>
      </c>
      <c r="H2" s="132">
        <f>IF(B$17=0,0,G2/B$17)</f>
        <v>0.83009708737864074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-2720.2020202020203</v>
      </c>
      <c r="P2" s="118">
        <v>99</v>
      </c>
      <c r="Q2" s="102">
        <v>-269300</v>
      </c>
    </row>
    <row r="3" spans="1:17" x14ac:dyDescent="0.4">
      <c r="A3" s="55" t="s">
        <v>8</v>
      </c>
      <c r="B3" s="152">
        <v>829</v>
      </c>
      <c r="C3" s="153"/>
      <c r="E3" s="63" t="s">
        <v>65</v>
      </c>
      <c r="F3" s="60" t="s">
        <v>21</v>
      </c>
      <c r="G3" s="47">
        <v>115</v>
      </c>
      <c r="H3" s="133">
        <f>IF(B$17=0,0,G3/B$17)</f>
        <v>0.55825242718446599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-1739.1752577319587</v>
      </c>
      <c r="P3" s="119">
        <v>97</v>
      </c>
      <c r="Q3" s="103">
        <v>-168700</v>
      </c>
    </row>
    <row r="4" spans="1:17" x14ac:dyDescent="0.4">
      <c r="A4" s="55" t="s">
        <v>6</v>
      </c>
      <c r="B4" s="154">
        <v>-1267.5</v>
      </c>
      <c r="C4" s="155"/>
      <c r="E4" s="63" t="s">
        <v>73</v>
      </c>
      <c r="F4" s="60" t="s">
        <v>28</v>
      </c>
      <c r="G4" s="47">
        <v>80</v>
      </c>
      <c r="H4" s="133">
        <f>IF(B$17=0,0,G4/B$17)</f>
        <v>0.38834951456310679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-112.08791208791209</v>
      </c>
      <c r="P4" s="119">
        <v>91</v>
      </c>
      <c r="Q4" s="103">
        <v>-10200</v>
      </c>
    </row>
    <row r="5" spans="1:17" x14ac:dyDescent="0.4">
      <c r="A5" s="55" t="s">
        <v>7</v>
      </c>
      <c r="B5" s="156">
        <f>IF(B$2=0,0,B$4/B$2)</f>
        <v>-12.803030303030303</v>
      </c>
      <c r="C5" s="157"/>
      <c r="E5" s="63" t="s">
        <v>245</v>
      </c>
      <c r="F5" s="60" t="s">
        <v>246</v>
      </c>
      <c r="G5" s="47">
        <v>77</v>
      </c>
      <c r="H5" s="133">
        <f>IF(B$17=0,0,G5/B$17)</f>
        <v>0.37378640776699029</v>
      </c>
      <c r="I5" s="94">
        <v>11</v>
      </c>
      <c r="K5" s="38">
        <v>3</v>
      </c>
      <c r="L5" s="99">
        <v>-23.099999999999998</v>
      </c>
      <c r="N5" s="115" t="s">
        <v>135</v>
      </c>
      <c r="O5" s="122">
        <f t="shared" si="0"/>
        <v>-3988.8888888888887</v>
      </c>
      <c r="P5" s="119">
        <v>81</v>
      </c>
      <c r="Q5" s="103">
        <v>-323100</v>
      </c>
    </row>
    <row r="6" spans="1:17" x14ac:dyDescent="0.4">
      <c r="A6" s="55" t="s">
        <v>1</v>
      </c>
      <c r="B6" s="146">
        <f>IF(B$2=0,0,(B$7*1+B$8*2+B$9*3)/B$2)</f>
        <v>2.202020202020202</v>
      </c>
      <c r="C6" s="147"/>
      <c r="E6" s="63" t="s">
        <v>69</v>
      </c>
      <c r="F6" s="60" t="s">
        <v>12</v>
      </c>
      <c r="G6" s="47">
        <v>76</v>
      </c>
      <c r="H6" s="133">
        <f>IF(B$17=0,0,G6/B$17)</f>
        <v>0.36893203883495146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-605.40540540540542</v>
      </c>
      <c r="P6" s="119">
        <v>74</v>
      </c>
      <c r="Q6" s="103">
        <v>-44800</v>
      </c>
    </row>
    <row r="7" spans="1:17" x14ac:dyDescent="0.4">
      <c r="A7" s="55" t="s">
        <v>2</v>
      </c>
      <c r="B7" s="47">
        <v>27</v>
      </c>
      <c r="C7" s="39">
        <f>IF(B$2=0,0,B7/B$2)</f>
        <v>0.27272727272727271</v>
      </c>
      <c r="E7" s="63" t="s">
        <v>68</v>
      </c>
      <c r="F7" s="60" t="s">
        <v>24</v>
      </c>
      <c r="G7" s="47">
        <v>64</v>
      </c>
      <c r="H7" s="133">
        <f>IF(B$17=0,0,G7/B$17)</f>
        <v>0.31067961165048541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-674.24242424242425</v>
      </c>
      <c r="P7" s="120">
        <v>66</v>
      </c>
      <c r="Q7" s="104">
        <v>-44500</v>
      </c>
    </row>
    <row r="8" spans="1:17" x14ac:dyDescent="0.4">
      <c r="A8" s="55" t="s">
        <v>3</v>
      </c>
      <c r="B8" s="47">
        <v>25</v>
      </c>
      <c r="C8" s="39">
        <f>IF(B$2=0,0,B8/B$2)</f>
        <v>0.25252525252525254</v>
      </c>
      <c r="E8" s="63" t="s">
        <v>70</v>
      </c>
      <c r="F8" s="60" t="s">
        <v>25</v>
      </c>
      <c r="G8" s="47">
        <v>40</v>
      </c>
      <c r="H8" s="133">
        <f>IF(B$17=0,0,G8/B$17)</f>
        <v>0.1941747572815534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0.47474747474747475</v>
      </c>
      <c r="E9" s="63" t="s">
        <v>71</v>
      </c>
      <c r="F9" s="60" t="s">
        <v>26</v>
      </c>
      <c r="G9" s="47">
        <v>33</v>
      </c>
      <c r="H9" s="133">
        <f>IF(B$17=0,0,G9/B$17)</f>
        <v>0.16019417475728157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0.19191919191919191</v>
      </c>
      <c r="E10" s="63" t="s">
        <v>72</v>
      </c>
      <c r="F10" s="60" t="s">
        <v>27</v>
      </c>
      <c r="G10" s="47">
        <v>22</v>
      </c>
      <c r="H10" s="133">
        <f>IF(B$17=0,0,G10/B$17)</f>
        <v>0.10679611650485436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-18.679310344827581</v>
      </c>
      <c r="P10" s="118">
        <v>29</v>
      </c>
      <c r="Q10" s="106">
        <v>-541.69999999999982</v>
      </c>
    </row>
    <row r="11" spans="1:17" x14ac:dyDescent="0.4">
      <c r="A11" s="56" t="s">
        <v>140</v>
      </c>
      <c r="B11" s="48">
        <v>10</v>
      </c>
      <c r="C11" s="40">
        <f>IF(B$2=0,0,B11/B$2)</f>
        <v>0.10101010101010101</v>
      </c>
      <c r="E11" s="63" t="s">
        <v>66</v>
      </c>
      <c r="F11" s="60" t="s">
        <v>22</v>
      </c>
      <c r="G11" s="47">
        <v>19</v>
      </c>
      <c r="H11" s="133">
        <f>IF(B$17=0,0,G11/B$17)</f>
        <v>9.2233009708737865E-2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-8.1025641025641075</v>
      </c>
      <c r="P11" s="119">
        <v>39</v>
      </c>
      <c r="Q11" s="107">
        <v>-316.00000000000017</v>
      </c>
    </row>
    <row r="12" spans="1:17" x14ac:dyDescent="0.4">
      <c r="A12" s="57" t="s">
        <v>160</v>
      </c>
      <c r="B12" s="49">
        <v>8</v>
      </c>
      <c r="C12" s="42">
        <f>IF(B$2=0,0,B12/B$2)</f>
        <v>8.0808080808080815E-2</v>
      </c>
      <c r="E12" s="63" t="s">
        <v>90</v>
      </c>
      <c r="F12" s="60" t="s">
        <v>45</v>
      </c>
      <c r="G12" s="47">
        <v>19</v>
      </c>
      <c r="H12" s="133">
        <f>IF(B$17=0,0,G12/B$17)</f>
        <v>9.2233009708737865E-2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-13.219354838709673</v>
      </c>
      <c r="P12" s="120">
        <v>31</v>
      </c>
      <c r="Q12" s="108">
        <v>-409.7999999999999</v>
      </c>
    </row>
    <row r="13" spans="1:17" x14ac:dyDescent="0.4">
      <c r="A13" s="58" t="s">
        <v>122</v>
      </c>
      <c r="B13" s="50">
        <v>227</v>
      </c>
      <c r="C13" s="44">
        <f>IF(B$3=0,0,B13/B$3)</f>
        <v>0.27382388419782872</v>
      </c>
      <c r="E13" s="63" t="s">
        <v>79</v>
      </c>
      <c r="F13" s="60" t="s">
        <v>34</v>
      </c>
      <c r="G13" s="47">
        <v>10</v>
      </c>
      <c r="H13" s="133">
        <f>IF(B$17=0,0,G13/B$17)</f>
        <v>4.8543689320388349E-2</v>
      </c>
      <c r="I13" s="94">
        <v>3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141</v>
      </c>
      <c r="C14" s="39">
        <f>IF(B$3=0,0,B14/B$3)</f>
        <v>0.17008443908323281</v>
      </c>
      <c r="E14" s="63" t="s">
        <v>87</v>
      </c>
      <c r="F14" s="60" t="s">
        <v>42</v>
      </c>
      <c r="G14" s="47">
        <v>10</v>
      </c>
      <c r="H14" s="133">
        <f>IF(B$17=0,0,G14/B$17)</f>
        <v>4.8543689320388349E-2</v>
      </c>
      <c r="I14" s="94">
        <v>8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</v>
      </c>
      <c r="C15" s="37">
        <f>IF(B$13=0,0,B15/B$13)</f>
        <v>0.51982378854625555</v>
      </c>
      <c r="E15" s="63" t="s">
        <v>84</v>
      </c>
      <c r="F15" s="60" t="s">
        <v>39</v>
      </c>
      <c r="G15" s="47">
        <v>8</v>
      </c>
      <c r="H15" s="133">
        <f>IF(B$17=0,0,G15/B$17)</f>
        <v>3.8834951456310676E-2</v>
      </c>
      <c r="I15" s="94">
        <v>8</v>
      </c>
      <c r="K15" s="38">
        <v>13</v>
      </c>
      <c r="L15" s="99">
        <v>-369.1</v>
      </c>
      <c r="N15" s="114" t="s">
        <v>223</v>
      </c>
      <c r="O15" s="124">
        <f>IF(P15=0,0,Q15/P15)</f>
        <v>42.5</v>
      </c>
      <c r="P15" s="118">
        <v>4</v>
      </c>
      <c r="Q15" s="106">
        <v>170</v>
      </c>
    </row>
    <row r="16" spans="1:17" x14ac:dyDescent="0.4">
      <c r="A16" s="54" t="s">
        <v>125</v>
      </c>
      <c r="B16" s="46">
        <v>39</v>
      </c>
      <c r="C16" s="37">
        <f>IF(B$14=0,0,B16/B$14)</f>
        <v>0.27659574468085107</v>
      </c>
      <c r="E16" s="63" t="s">
        <v>82</v>
      </c>
      <c r="F16" s="60" t="s">
        <v>37</v>
      </c>
      <c r="G16" s="47">
        <v>5</v>
      </c>
      <c r="H16" s="133">
        <f>IF(B$17=0,0,G16/B$17)</f>
        <v>2.4271844660194174E-2</v>
      </c>
      <c r="I16" s="94">
        <v>8</v>
      </c>
      <c r="K16" s="38">
        <v>14</v>
      </c>
      <c r="L16" s="99">
        <v>-394.6</v>
      </c>
      <c r="N16" s="115" t="s">
        <v>177</v>
      </c>
      <c r="O16" s="125">
        <f>IF(P16=0,0,Q16/P16)</f>
        <v>-6.9208333333333316</v>
      </c>
      <c r="P16" s="119">
        <v>24</v>
      </c>
      <c r="Q16" s="107">
        <v>-166.09999999999997</v>
      </c>
    </row>
    <row r="17" spans="1:17" x14ac:dyDescent="0.4">
      <c r="A17" s="54" t="s">
        <v>10</v>
      </c>
      <c r="B17" s="46">
        <f>B19+B18</f>
        <v>206</v>
      </c>
      <c r="C17" s="37">
        <f>IF(B$3=0,0,B17/B$3)</f>
        <v>0.24849215922798554</v>
      </c>
      <c r="E17" s="63" t="s">
        <v>75</v>
      </c>
      <c r="F17" s="60" t="s">
        <v>30</v>
      </c>
      <c r="G17" s="47">
        <v>3</v>
      </c>
      <c r="H17" s="133">
        <f>IF(B$17=0,0,G17/B$17)</f>
        <v>1.4563106796116505E-2</v>
      </c>
      <c r="I17" s="94">
        <v>2</v>
      </c>
      <c r="K17" s="38">
        <v>15</v>
      </c>
      <c r="L17" s="99">
        <v>-424.5</v>
      </c>
      <c r="N17" s="115" t="s">
        <v>128</v>
      </c>
      <c r="O17" s="125">
        <f>IF(P17=0,0,Q17/P17)</f>
        <v>-13.619047619047617</v>
      </c>
      <c r="P17" s="119">
        <v>42</v>
      </c>
      <c r="Q17" s="107">
        <v>-571.99999999999989</v>
      </c>
    </row>
    <row r="18" spans="1:17" x14ac:dyDescent="0.4">
      <c r="A18" s="55" t="s">
        <v>12</v>
      </c>
      <c r="B18" s="47">
        <v>92</v>
      </c>
      <c r="C18" s="39">
        <f>IF(B$17=0,0,B18/B$17)</f>
        <v>0.44660194174757284</v>
      </c>
      <c r="E18" s="63" t="s">
        <v>80</v>
      </c>
      <c r="F18" s="60" t="s">
        <v>35</v>
      </c>
      <c r="G18" s="47">
        <v>2</v>
      </c>
      <c r="H18" s="133">
        <f>IF(B$17=0,0,G18/B$17)</f>
        <v>9.7087378640776691E-3</v>
      </c>
      <c r="I18" s="94">
        <v>11</v>
      </c>
      <c r="K18" s="38">
        <v>16</v>
      </c>
      <c r="L18" s="99">
        <v>-472</v>
      </c>
      <c r="N18" s="115" t="s">
        <v>171</v>
      </c>
      <c r="O18" s="125">
        <f>IF(P18=0,0,Q18/P18)</f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114</v>
      </c>
      <c r="C19" s="39">
        <f>IF(B$17=0,0,B19/B$17)</f>
        <v>0.55339805825242716</v>
      </c>
      <c r="E19" s="63" t="s">
        <v>88</v>
      </c>
      <c r="F19" s="60" t="s">
        <v>43</v>
      </c>
      <c r="G19" s="47">
        <v>2</v>
      </c>
      <c r="H19" s="133">
        <f>IF(B$17=0,0,G19/B$17)</f>
        <v>9.7087378640776691E-3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156</v>
      </c>
      <c r="C20" s="39">
        <f>IF(B$3=0,0,B20/B$3)</f>
        <v>0.1881785283474065</v>
      </c>
      <c r="E20" s="63" t="s">
        <v>92</v>
      </c>
      <c r="F20" s="60" t="s">
        <v>47</v>
      </c>
      <c r="G20" s="47">
        <v>2</v>
      </c>
      <c r="H20" s="133">
        <f>IF(B$17=0,0,G20/B$17)</f>
        <v>9.7087378640776691E-3</v>
      </c>
      <c r="I20" s="94">
        <v>8</v>
      </c>
      <c r="K20" s="38">
        <v>18</v>
      </c>
      <c r="L20" s="99">
        <v>-537.19999999999993</v>
      </c>
      <c r="N20" s="115" t="s">
        <v>184</v>
      </c>
      <c r="O20" s="125">
        <f>IF(P20=0,0,Q20/P20)</f>
        <v>-24.44</v>
      </c>
      <c r="P20" s="119">
        <v>5</v>
      </c>
      <c r="Q20" s="107">
        <v>-122.2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94</v>
      </c>
      <c r="F21" s="60" t="s">
        <v>49</v>
      </c>
      <c r="G21" s="47">
        <v>2</v>
      </c>
      <c r="H21" s="133">
        <f>IF(B$17=0,0,G21/B$17)</f>
        <v>9.7087378640776691E-3</v>
      </c>
      <c r="I21" s="94">
        <v>1</v>
      </c>
      <c r="K21" s="38">
        <v>19</v>
      </c>
      <c r="L21" s="99">
        <v>-569.49999999999989</v>
      </c>
      <c r="N21" s="115" t="s">
        <v>127</v>
      </c>
      <c r="O21" s="125">
        <f>IF(P21=0,0,Q21/P21)</f>
        <v>-27.119672131147549</v>
      </c>
      <c r="P21" s="119">
        <v>61</v>
      </c>
      <c r="Q21" s="107">
        <v>-1654.3000000000004</v>
      </c>
    </row>
    <row r="22" spans="1:17" x14ac:dyDescent="0.4">
      <c r="A22" s="55" t="s">
        <v>192</v>
      </c>
      <c r="B22" s="47">
        <v>31</v>
      </c>
      <c r="C22" s="135">
        <v>15</v>
      </c>
      <c r="E22" s="63" t="s">
        <v>76</v>
      </c>
      <c r="F22" s="60" t="s">
        <v>31</v>
      </c>
      <c r="G22" s="47">
        <v>1</v>
      </c>
      <c r="H22" s="133">
        <f>IF(B$17=0,0,G22/B$17)</f>
        <v>4.8543689320388345E-3</v>
      </c>
      <c r="I22" s="94">
        <v>6</v>
      </c>
      <c r="K22" s="38">
        <v>20</v>
      </c>
      <c r="L22" s="99">
        <v>-632.99999999999989</v>
      </c>
      <c r="N22" s="115" t="s">
        <v>172</v>
      </c>
      <c r="O22" s="125">
        <f>IF(P22=0,0,Q22/P22)</f>
        <v>-27.262499999999999</v>
      </c>
      <c r="P22" s="119">
        <v>24</v>
      </c>
      <c r="Q22" s="107">
        <v>-654.29999999999995</v>
      </c>
    </row>
    <row r="23" spans="1:17" x14ac:dyDescent="0.4">
      <c r="A23" s="55" t="s">
        <v>5</v>
      </c>
      <c r="B23" s="51">
        <f>IF(B$17=0,0,C23/B$17)</f>
        <v>8741.2621359223303</v>
      </c>
      <c r="C23" s="41">
        <v>1800700</v>
      </c>
      <c r="E23" s="63" t="s">
        <v>78</v>
      </c>
      <c r="F23" s="60" t="s">
        <v>33</v>
      </c>
      <c r="G23" s="47">
        <v>1</v>
      </c>
      <c r="H23" s="133">
        <f>IF(B$17=0,0,G23/B$17)</f>
        <v>4.8543689320388345E-3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-9167.3076923076915</v>
      </c>
      <c r="C24" s="45">
        <v>-1430100</v>
      </c>
      <c r="E24" s="63" t="s">
        <v>89</v>
      </c>
      <c r="F24" s="60" t="s">
        <v>44</v>
      </c>
      <c r="G24" s="47">
        <v>1</v>
      </c>
      <c r="H24" s="133">
        <f>IF(B$17=0,0,G24/B$17)</f>
        <v>4.8543689320388345E-3</v>
      </c>
      <c r="I24" s="94">
        <v>1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93</v>
      </c>
      <c r="F25" s="60" t="s">
        <v>48</v>
      </c>
      <c r="G25" s="47">
        <v>1</v>
      </c>
      <c r="H25" s="133">
        <f>IF(B$17=0,0,G25/B$17)</f>
        <v>4.8543689320388345E-3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1.2062726176115801E-3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94</v>
      </c>
      <c r="C2" s="151"/>
      <c r="E2" s="62" t="s">
        <v>67</v>
      </c>
      <c r="F2" s="59" t="s">
        <v>23</v>
      </c>
      <c r="G2" s="46">
        <v>181</v>
      </c>
      <c r="H2" s="132">
        <f>IF(B$17=0,0,G2/B$17)</f>
        <v>0.82272727272727275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-559.57446808510633</v>
      </c>
      <c r="P2" s="118">
        <v>94</v>
      </c>
      <c r="Q2" s="102">
        <v>-52600</v>
      </c>
    </row>
    <row r="3" spans="1:17" x14ac:dyDescent="0.4">
      <c r="A3" s="55" t="s">
        <v>8</v>
      </c>
      <c r="B3" s="152">
        <v>779</v>
      </c>
      <c r="C3" s="153"/>
      <c r="E3" s="63" t="s">
        <v>65</v>
      </c>
      <c r="F3" s="60" t="s">
        <v>21</v>
      </c>
      <c r="G3" s="47">
        <v>121</v>
      </c>
      <c r="H3" s="133">
        <f>IF(B$17=0,0,G3/B$17)</f>
        <v>0.55000000000000004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757.60869565217388</v>
      </c>
      <c r="P3" s="119">
        <v>92</v>
      </c>
      <c r="Q3" s="103">
        <v>69700</v>
      </c>
    </row>
    <row r="4" spans="1:17" x14ac:dyDescent="0.4">
      <c r="A4" s="55" t="s">
        <v>6</v>
      </c>
      <c r="B4" s="154">
        <v>-44.799999999999983</v>
      </c>
      <c r="C4" s="155"/>
      <c r="E4" s="63" t="s">
        <v>73</v>
      </c>
      <c r="F4" s="60" t="s">
        <v>28</v>
      </c>
      <c r="G4" s="47">
        <v>113</v>
      </c>
      <c r="H4" s="133">
        <f>IF(B$17=0,0,G4/B$17)</f>
        <v>0.51363636363636367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1246.9879518072289</v>
      </c>
      <c r="P4" s="119">
        <v>83</v>
      </c>
      <c r="Q4" s="103">
        <v>103500</v>
      </c>
    </row>
    <row r="5" spans="1:17" x14ac:dyDescent="0.4">
      <c r="A5" s="55" t="s">
        <v>7</v>
      </c>
      <c r="B5" s="156">
        <f>IF(B$2=0,0,B$4/B$2)</f>
        <v>-0.47659574468085086</v>
      </c>
      <c r="C5" s="157"/>
      <c r="E5" s="63" t="s">
        <v>245</v>
      </c>
      <c r="F5" s="60" t="s">
        <v>246</v>
      </c>
      <c r="G5" s="47">
        <v>84</v>
      </c>
      <c r="H5" s="133">
        <f>IF(B$17=0,0,G5/B$17)</f>
        <v>0.38181818181818183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78.082191780821915</v>
      </c>
      <c r="P5" s="119">
        <v>73</v>
      </c>
      <c r="Q5" s="103">
        <v>5700</v>
      </c>
    </row>
    <row r="6" spans="1:17" x14ac:dyDescent="0.4">
      <c r="A6" s="55" t="s">
        <v>1</v>
      </c>
      <c r="B6" s="146">
        <f>IF(B$2=0,0,(B$7*1+B$8*2+B$9*3)/B$2)</f>
        <v>2.0531914893617023</v>
      </c>
      <c r="C6" s="147"/>
      <c r="E6" s="63" t="s">
        <v>68</v>
      </c>
      <c r="F6" s="60" t="s">
        <v>24</v>
      </c>
      <c r="G6" s="47">
        <v>76</v>
      </c>
      <c r="H6" s="133">
        <f>IF(B$17=0,0,G6/B$17)</f>
        <v>0.34545454545454546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-1392.1875</v>
      </c>
      <c r="P6" s="119">
        <v>64</v>
      </c>
      <c r="Q6" s="103">
        <v>-89100</v>
      </c>
    </row>
    <row r="7" spans="1:17" x14ac:dyDescent="0.4">
      <c r="A7" s="55" t="s">
        <v>2</v>
      </c>
      <c r="B7" s="47">
        <v>28</v>
      </c>
      <c r="C7" s="39">
        <f>IF(B$2=0,0,B7/B$2)</f>
        <v>0.2978723404255319</v>
      </c>
      <c r="E7" s="63" t="s">
        <v>69</v>
      </c>
      <c r="F7" s="60" t="s">
        <v>12</v>
      </c>
      <c r="G7" s="47">
        <v>65</v>
      </c>
      <c r="H7" s="133">
        <f>IF(B$17=0,0,G7/B$17)</f>
        <v>0.29545454545454547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33</v>
      </c>
      <c r="C8" s="39">
        <f>IF(B$2=0,0,B8/B$2)</f>
        <v>0.35106382978723405</v>
      </c>
      <c r="E8" s="63" t="s">
        <v>70</v>
      </c>
      <c r="F8" s="60" t="s">
        <v>25</v>
      </c>
      <c r="G8" s="47">
        <v>44</v>
      </c>
      <c r="H8" s="133">
        <f>IF(B$17=0,0,G8/B$17)</f>
        <v>0.2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0.35106382978723405</v>
      </c>
      <c r="E9" s="63" t="s">
        <v>90</v>
      </c>
      <c r="F9" s="60" t="s">
        <v>45</v>
      </c>
      <c r="G9" s="47">
        <v>37</v>
      </c>
      <c r="H9" s="133">
        <f>IF(B$17=0,0,G9/B$17)</f>
        <v>0.16818181818181818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0.11702127659574468</v>
      </c>
      <c r="E10" s="63" t="s">
        <v>66</v>
      </c>
      <c r="F10" s="60" t="s">
        <v>22</v>
      </c>
      <c r="G10" s="47">
        <v>28</v>
      </c>
      <c r="H10" s="133">
        <f>IF(B$17=0,0,G10/B$17)</f>
        <v>0.12727272727272726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3.4166666666666665</v>
      </c>
      <c r="P10" s="118">
        <v>24</v>
      </c>
      <c r="Q10" s="106">
        <v>82</v>
      </c>
    </row>
    <row r="11" spans="1:17" x14ac:dyDescent="0.4">
      <c r="A11" s="56" t="s">
        <v>140</v>
      </c>
      <c r="B11" s="48">
        <v>13</v>
      </c>
      <c r="C11" s="40">
        <f>IF(B$2=0,0,B11/B$2)</f>
        <v>0.13829787234042554</v>
      </c>
      <c r="E11" s="63" t="s">
        <v>71</v>
      </c>
      <c r="F11" s="60" t="s">
        <v>26</v>
      </c>
      <c r="G11" s="47">
        <v>24</v>
      </c>
      <c r="H11" s="133">
        <f>IF(B$17=0,0,G11/B$17)</f>
        <v>0.10909090909090909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6.3829787234042548E-2</v>
      </c>
      <c r="E12" s="63" t="s">
        <v>87</v>
      </c>
      <c r="F12" s="60" t="s">
        <v>42</v>
      </c>
      <c r="G12" s="47">
        <v>16</v>
      </c>
      <c r="H12" s="133">
        <f>IF(B$17=0,0,G12/B$17)</f>
        <v>7.2727272727272724E-2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-3.5735294117647061</v>
      </c>
      <c r="P12" s="120">
        <v>34</v>
      </c>
      <c r="Q12" s="108">
        <v>-121.5</v>
      </c>
    </row>
    <row r="13" spans="1:17" x14ac:dyDescent="0.4">
      <c r="A13" s="58" t="s">
        <v>122</v>
      </c>
      <c r="B13" s="50">
        <v>229</v>
      </c>
      <c r="C13" s="44">
        <f>IF(B$3=0,0,B13/B$3)</f>
        <v>0.29396662387676509</v>
      </c>
      <c r="E13" s="63" t="s">
        <v>72</v>
      </c>
      <c r="F13" s="60" t="s">
        <v>27</v>
      </c>
      <c r="G13" s="47">
        <v>14</v>
      </c>
      <c r="H13" s="133">
        <f>IF(B$17=0,0,G13/B$17)</f>
        <v>6.363636363636363E-2</v>
      </c>
      <c r="I13" s="94">
        <v>7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148</v>
      </c>
      <c r="C14" s="39">
        <f>IF(B$3=0,0,B14/B$3)</f>
        <v>0.18998716302952504</v>
      </c>
      <c r="E14" s="63" t="s">
        <v>84</v>
      </c>
      <c r="F14" s="60" t="s">
        <v>39</v>
      </c>
      <c r="G14" s="47">
        <v>11</v>
      </c>
      <c r="H14" s="133">
        <f>IF(B$17=0,0,G14/B$17)</f>
        <v>0.05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129</v>
      </c>
      <c r="C15" s="37">
        <f>IF(B$13=0,0,B15/B$13)</f>
        <v>0.5633187772925764</v>
      </c>
      <c r="E15" s="63" t="s">
        <v>79</v>
      </c>
      <c r="F15" s="60" t="s">
        <v>34</v>
      </c>
      <c r="G15" s="47">
        <v>9</v>
      </c>
      <c r="H15" s="133">
        <f>IF(B$17=0,0,G15/B$17)</f>
        <v>4.0909090909090909E-2</v>
      </c>
      <c r="I15" s="94">
        <v>4</v>
      </c>
      <c r="K15" s="38">
        <v>13</v>
      </c>
      <c r="L15" s="99">
        <v>-58.7</v>
      </c>
      <c r="N15" s="114" t="s">
        <v>129</v>
      </c>
      <c r="O15" s="124">
        <f>IF(P15=0,0,Q15/P15)</f>
        <v>20.95666666666666</v>
      </c>
      <c r="P15" s="118">
        <v>30</v>
      </c>
      <c r="Q15" s="106">
        <v>628.69999999999982</v>
      </c>
    </row>
    <row r="16" spans="1:17" x14ac:dyDescent="0.4">
      <c r="A16" s="54" t="s">
        <v>125</v>
      </c>
      <c r="B16" s="46">
        <v>60</v>
      </c>
      <c r="C16" s="37">
        <f>IF(B$14=0,0,B16/B$14)</f>
        <v>0.40540540540540543</v>
      </c>
      <c r="E16" s="63" t="s">
        <v>82</v>
      </c>
      <c r="F16" s="60" t="s">
        <v>37</v>
      </c>
      <c r="G16" s="47">
        <v>8</v>
      </c>
      <c r="H16" s="133">
        <f>IF(B$17=0,0,G16/B$17)</f>
        <v>3.6363636363636362E-2</v>
      </c>
      <c r="I16" s="94">
        <v>3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220</v>
      </c>
      <c r="C17" s="37">
        <f>IF(B$3=0,0,B17/B$3)</f>
        <v>0.28241335044929394</v>
      </c>
      <c r="E17" s="63" t="s">
        <v>92</v>
      </c>
      <c r="F17" s="60" t="s">
        <v>47</v>
      </c>
      <c r="G17" s="47">
        <v>6</v>
      </c>
      <c r="H17" s="133">
        <f>IF(B$17=0,0,G17/B$17)</f>
        <v>2.7272727272727271E-2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90</v>
      </c>
      <c r="C18" s="39">
        <f>IF(B$17=0,0,B18/B$17)</f>
        <v>0.40909090909090912</v>
      </c>
      <c r="E18" s="63" t="s">
        <v>80</v>
      </c>
      <c r="F18" s="60" t="s">
        <v>35</v>
      </c>
      <c r="G18" s="47">
        <v>4</v>
      </c>
      <c r="H18" s="133">
        <f>IF(B$17=0,0,G18/B$17)</f>
        <v>1.8181818181818181E-2</v>
      </c>
      <c r="I18" s="94">
        <v>5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130</v>
      </c>
      <c r="C19" s="39">
        <f>IF(B$17=0,0,B19/B$17)</f>
        <v>0.59090909090909094</v>
      </c>
      <c r="E19" s="63" t="s">
        <v>180</v>
      </c>
      <c r="F19" s="60" t="s">
        <v>181</v>
      </c>
      <c r="G19" s="47">
        <v>4</v>
      </c>
      <c r="H19" s="133">
        <f>IF(B$17=0,0,G19/B$17)</f>
        <v>1.8181818181818181E-2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139</v>
      </c>
      <c r="C20" s="39">
        <f>IF(B$3=0,0,B20/B$3)</f>
        <v>0.17843388960205392</v>
      </c>
      <c r="E20" s="63" t="s">
        <v>74</v>
      </c>
      <c r="F20" s="60" t="s">
        <v>29</v>
      </c>
      <c r="G20" s="47">
        <v>3</v>
      </c>
      <c r="H20" s="133">
        <f>IF(B$17=0,0,G20/B$17)</f>
        <v>1.3636363636363636E-2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3</v>
      </c>
      <c r="E21" s="63" t="s">
        <v>76</v>
      </c>
      <c r="F21" s="60" t="s">
        <v>31</v>
      </c>
      <c r="G21" s="47">
        <v>3</v>
      </c>
      <c r="H21" s="133">
        <f>IF(B$17=0,0,G21/B$17)</f>
        <v>1.3636363636363636E-2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3</v>
      </c>
      <c r="E22" s="63" t="s">
        <v>85</v>
      </c>
      <c r="F22" s="60" t="s">
        <v>40</v>
      </c>
      <c r="G22" s="47">
        <v>2</v>
      </c>
      <c r="H22" s="133">
        <f>IF(B$17=0,0,G22/B$17)</f>
        <v>9.0909090909090905E-3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9930</v>
      </c>
      <c r="C23" s="41">
        <v>2184600</v>
      </c>
      <c r="E23" s="63" t="s">
        <v>93</v>
      </c>
      <c r="F23" s="60" t="s">
        <v>48</v>
      </c>
      <c r="G23" s="47">
        <v>2</v>
      </c>
      <c r="H23" s="133">
        <f>IF(B$17=0,0,G23/B$17)</f>
        <v>9.0909090909090905E-3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-8467.625899280576</v>
      </c>
      <c r="C24" s="45">
        <v>-1177000</v>
      </c>
      <c r="E24" s="63" t="s">
        <v>88</v>
      </c>
      <c r="F24" s="60" t="s">
        <v>43</v>
      </c>
      <c r="G24" s="47">
        <v>1</v>
      </c>
      <c r="H24" s="133">
        <f>IF(B$17=0,0,G24/B$17)</f>
        <v>4.5454545454545452E-3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4.5454545454545452E-3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7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2.5673940949935813E-3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8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83</v>
      </c>
      <c r="C2" s="151"/>
      <c r="E2" s="62" t="s">
        <v>65</v>
      </c>
      <c r="F2" s="59" t="s">
        <v>21</v>
      </c>
      <c r="G2" s="46">
        <v>83</v>
      </c>
      <c r="H2" s="132">
        <f>IF(B$17=0,0,G2/B$17)</f>
        <v>0.33739837398373984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793.97590361445782</v>
      </c>
      <c r="P2" s="118">
        <v>83</v>
      </c>
      <c r="Q2" s="102">
        <v>65900</v>
      </c>
    </row>
    <row r="3" spans="1:17" x14ac:dyDescent="0.4">
      <c r="A3" s="55" t="s">
        <v>8</v>
      </c>
      <c r="B3" s="152">
        <v>709</v>
      </c>
      <c r="C3" s="153"/>
      <c r="E3" s="63" t="s">
        <v>66</v>
      </c>
      <c r="F3" s="60" t="s">
        <v>22</v>
      </c>
      <c r="G3" s="47">
        <v>26</v>
      </c>
      <c r="H3" s="133">
        <f>IF(B$17=0,0,G3/B$17)</f>
        <v>0.10569105691056911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-1550.6024096385543</v>
      </c>
      <c r="P3" s="119">
        <v>83</v>
      </c>
      <c r="Q3" s="103">
        <v>-128700</v>
      </c>
    </row>
    <row r="4" spans="1:17" x14ac:dyDescent="0.4">
      <c r="A4" s="55" t="s">
        <v>6</v>
      </c>
      <c r="B4" s="154">
        <v>-101.20000000000002</v>
      </c>
      <c r="C4" s="155"/>
      <c r="E4" s="63" t="s">
        <v>67</v>
      </c>
      <c r="F4" s="60" t="s">
        <v>23</v>
      </c>
      <c r="G4" s="47">
        <v>163</v>
      </c>
      <c r="H4" s="133">
        <f>IF(B$17=0,0,G4/B$17)</f>
        <v>0.66260162601626016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-1605.4054054054054</v>
      </c>
      <c r="P4" s="119">
        <v>74</v>
      </c>
      <c r="Q4" s="103">
        <v>-118800</v>
      </c>
    </row>
    <row r="5" spans="1:17" x14ac:dyDescent="0.4">
      <c r="A5" s="55" t="s">
        <v>7</v>
      </c>
      <c r="B5" s="156">
        <f>IF(B$2=0,0,B$4/B$2)</f>
        <v>-1.219277108433735</v>
      </c>
      <c r="C5" s="157"/>
      <c r="E5" s="63" t="s">
        <v>68</v>
      </c>
      <c r="F5" s="60" t="s">
        <v>24</v>
      </c>
      <c r="G5" s="47">
        <v>43</v>
      </c>
      <c r="H5" s="133">
        <f>IF(B$17=0,0,G5/B$17)</f>
        <v>0.17479674796747968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1146.4788732394366</v>
      </c>
      <c r="P5" s="119">
        <v>71</v>
      </c>
      <c r="Q5" s="103">
        <v>81400</v>
      </c>
    </row>
    <row r="6" spans="1:17" x14ac:dyDescent="0.4">
      <c r="A6" s="55" t="s">
        <v>1</v>
      </c>
      <c r="B6" s="146">
        <f>IF(B$2=0,0,(B$7*1+B$8*2+B$9*3)/B$2)</f>
        <v>2.0481927710843375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0.25609756097560976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856.06060606060601</v>
      </c>
      <c r="P6" s="119">
        <v>66</v>
      </c>
      <c r="Q6" s="103">
        <v>56500</v>
      </c>
    </row>
    <row r="7" spans="1:17" x14ac:dyDescent="0.4">
      <c r="A7" s="55" t="s">
        <v>2</v>
      </c>
      <c r="B7" s="47">
        <v>21</v>
      </c>
      <c r="C7" s="39">
        <f>IF(B$2=0,0,B7/B$2)</f>
        <v>0.25301204819277107</v>
      </c>
      <c r="E7" s="63" t="s">
        <v>70</v>
      </c>
      <c r="F7" s="60" t="s">
        <v>25</v>
      </c>
      <c r="G7" s="47">
        <v>36</v>
      </c>
      <c r="H7" s="133">
        <f>IF(B$17=0,0,G7/B$17)</f>
        <v>0.14634146341463414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-510.34482758620692</v>
      </c>
      <c r="P7" s="120">
        <v>58</v>
      </c>
      <c r="Q7" s="104">
        <v>-29600</v>
      </c>
    </row>
    <row r="8" spans="1:17" x14ac:dyDescent="0.4">
      <c r="A8" s="55" t="s">
        <v>3</v>
      </c>
      <c r="B8" s="47">
        <v>37</v>
      </c>
      <c r="C8" s="39">
        <f>IF(B$2=0,0,B8/B$2)</f>
        <v>0.44578313253012047</v>
      </c>
      <c r="E8" s="63" t="s">
        <v>71</v>
      </c>
      <c r="F8" s="60" t="s">
        <v>26</v>
      </c>
      <c r="G8" s="47">
        <v>16</v>
      </c>
      <c r="H8" s="133">
        <f>IF(B$17=0,0,G8/B$17)</f>
        <v>6.5040650406504072E-2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0.30120481927710846</v>
      </c>
      <c r="E9" s="63" t="s">
        <v>72</v>
      </c>
      <c r="F9" s="60" t="s">
        <v>27</v>
      </c>
      <c r="G9" s="47">
        <v>20</v>
      </c>
      <c r="H9" s="133">
        <f>IF(B$17=0,0,G9/B$17)</f>
        <v>8.1300813008130079E-2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4.8192771084337352E-2</v>
      </c>
      <c r="E10" s="63" t="s">
        <v>73</v>
      </c>
      <c r="F10" s="60" t="s">
        <v>28</v>
      </c>
      <c r="G10" s="47">
        <v>143</v>
      </c>
      <c r="H10" s="133">
        <f>IF(B$17=0,0,G10/B$17)</f>
        <v>0.58130081300813008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-7.708000000000002</v>
      </c>
      <c r="P10" s="118">
        <v>25</v>
      </c>
      <c r="Q10" s="106">
        <v>-192.70000000000005</v>
      </c>
    </row>
    <row r="11" spans="1:17" x14ac:dyDescent="0.4">
      <c r="A11" s="56" t="s">
        <v>140</v>
      </c>
      <c r="B11" s="48">
        <v>9</v>
      </c>
      <c r="C11" s="40">
        <f>IF(B$2=0,0,B11/B$2)</f>
        <v>0.10843373493975904</v>
      </c>
      <c r="E11" s="63" t="s">
        <v>74</v>
      </c>
      <c r="F11" s="60" t="s">
        <v>29</v>
      </c>
      <c r="G11" s="47">
        <v>1</v>
      </c>
      <c r="H11" s="133">
        <f>IF(B$17=0,0,G11/B$17)</f>
        <v>4.0650406504065045E-3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6</v>
      </c>
      <c r="C12" s="42">
        <f>IF(B$2=0,0,B12/B$2)</f>
        <v>7.2289156626506021E-2</v>
      </c>
      <c r="E12" s="63" t="s">
        <v>75</v>
      </c>
      <c r="F12" s="60" t="s">
        <v>30</v>
      </c>
      <c r="G12" s="47">
        <v>1</v>
      </c>
      <c r="H12" s="133">
        <f>IF(B$17=0,0,G12/B$17)</f>
        <v>4.0650406504065045E-3</v>
      </c>
      <c r="I12" s="94">
        <v>6</v>
      </c>
      <c r="K12" s="38">
        <v>10</v>
      </c>
      <c r="L12" s="99">
        <v>24.200000000000003</v>
      </c>
      <c r="N12" s="116" t="s">
        <v>166</v>
      </c>
      <c r="O12" s="126">
        <f>IF(P12=0,0,Q12/P12)</f>
        <v>0.39374999999999993</v>
      </c>
      <c r="P12" s="120">
        <v>32</v>
      </c>
      <c r="Q12" s="108">
        <v>12.599999999999998</v>
      </c>
    </row>
    <row r="13" spans="1:17" x14ac:dyDescent="0.4">
      <c r="A13" s="58" t="s">
        <v>122</v>
      </c>
      <c r="B13" s="50">
        <v>149</v>
      </c>
      <c r="C13" s="44">
        <f>IF(B$3=0,0,B13/B$3)</f>
        <v>0.21015514809590974</v>
      </c>
      <c r="E13" s="63" t="s">
        <v>76</v>
      </c>
      <c r="F13" s="60" t="s">
        <v>31</v>
      </c>
      <c r="G13" s="47">
        <v>1</v>
      </c>
      <c r="H13" s="133">
        <f>IF(B$17=0,0,G13/B$17)</f>
        <v>4.0650406504065045E-3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209</v>
      </c>
      <c r="C14" s="39">
        <f>IF(B$3=0,0,B14/B$3)</f>
        <v>0.29478138222849082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83</v>
      </c>
      <c r="C15" s="37">
        <f>IF(B$13=0,0,B15/B$13)</f>
        <v>0.55704697986577179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223</v>
      </c>
      <c r="O15" s="124">
        <f t="shared" ref="O15:O23" si="2">IF(P15=0,0,Q15/P15)</f>
        <v>30.3</v>
      </c>
      <c r="P15" s="118">
        <v>1</v>
      </c>
      <c r="Q15" s="106">
        <v>30.3</v>
      </c>
    </row>
    <row r="16" spans="1:17" x14ac:dyDescent="0.4">
      <c r="A16" s="54" t="s">
        <v>125</v>
      </c>
      <c r="B16" s="46">
        <v>89</v>
      </c>
      <c r="C16" s="37">
        <f>IF(B$14=0,0,B16/B$14)</f>
        <v>0.42583732057416268</v>
      </c>
      <c r="E16" s="63" t="s">
        <v>79</v>
      </c>
      <c r="F16" s="60" t="s">
        <v>34</v>
      </c>
      <c r="G16" s="47">
        <v>4</v>
      </c>
      <c r="H16" s="133">
        <f>IF(B$17=0,0,G16/B$17)</f>
        <v>1.6260162601626018E-2</v>
      </c>
      <c r="I16" s="94">
        <v>10</v>
      </c>
      <c r="K16" s="38">
        <v>14</v>
      </c>
      <c r="L16" s="99">
        <v>-12.3</v>
      </c>
      <c r="N16" s="115" t="s">
        <v>129</v>
      </c>
      <c r="O16" s="125">
        <f t="shared" si="2"/>
        <v>27.262499999999992</v>
      </c>
      <c r="P16" s="119">
        <v>24</v>
      </c>
      <c r="Q16" s="107">
        <v>654.29999999999984</v>
      </c>
    </row>
    <row r="17" spans="1:17" x14ac:dyDescent="0.4">
      <c r="A17" s="54" t="s">
        <v>10</v>
      </c>
      <c r="B17" s="46">
        <f>B19+B18</f>
        <v>246</v>
      </c>
      <c r="C17" s="37">
        <f>IF(B$3=0,0,B17/B$3)</f>
        <v>0.34696755994358253</v>
      </c>
      <c r="E17" s="63" t="s">
        <v>80</v>
      </c>
      <c r="F17" s="60" t="s">
        <v>35</v>
      </c>
      <c r="G17" s="47">
        <v>3</v>
      </c>
      <c r="H17" s="133">
        <f>IF(B$17=0,0,G17/B$17)</f>
        <v>1.2195121951219513E-2</v>
      </c>
      <c r="I17" s="94">
        <v>9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101</v>
      </c>
      <c r="C18" s="39">
        <f>IF(B$17=0,0,B18/B$17)</f>
        <v>0.41056910569105692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145</v>
      </c>
      <c r="C19" s="39">
        <f>IF(B$17=0,0,B19/B$17)</f>
        <v>0.58943089430894313</v>
      </c>
      <c r="E19" s="63" t="s">
        <v>82</v>
      </c>
      <c r="F19" s="60" t="s">
        <v>37</v>
      </c>
      <c r="G19" s="47">
        <v>9</v>
      </c>
      <c r="H19" s="133">
        <f>IF(B$17=0,0,G19/B$17)</f>
        <v>3.6585365853658534E-2</v>
      </c>
      <c r="I19" s="94">
        <v>2</v>
      </c>
      <c r="K19" s="38">
        <v>17</v>
      </c>
      <c r="L19" s="99">
        <v>-55.099999999999994</v>
      </c>
      <c r="N19" s="115" t="s">
        <v>128</v>
      </c>
      <c r="O19" s="125">
        <f t="shared" si="2"/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98</v>
      </c>
      <c r="C20" s="39">
        <f>IF(B$3=0,0,B20/B$3)</f>
        <v>0.1382228490832158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-2.436363636363637</v>
      </c>
      <c r="P20" s="119">
        <v>22</v>
      </c>
      <c r="Q20" s="107">
        <v>-53.600000000000009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17</v>
      </c>
      <c r="H21" s="133">
        <f>IF(B$17=0,0,G21/B$17)</f>
        <v>6.910569105691057E-2</v>
      </c>
      <c r="I21" s="94">
        <v>3</v>
      </c>
      <c r="K21" s="38">
        <v>19</v>
      </c>
      <c r="L21" s="99">
        <v>29.200000000000003</v>
      </c>
      <c r="N21" s="115" t="s">
        <v>200</v>
      </c>
      <c r="O21" s="125">
        <f t="shared" si="2"/>
        <v>-2.7400000000000033</v>
      </c>
      <c r="P21" s="119">
        <v>5</v>
      </c>
      <c r="Q21" s="107">
        <v>-13.700000000000017</v>
      </c>
    </row>
    <row r="22" spans="1:17" x14ac:dyDescent="0.4">
      <c r="A22" s="55" t="s">
        <v>192</v>
      </c>
      <c r="B22" s="47">
        <v>23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6806.9105691056911</v>
      </c>
      <c r="C23" s="41">
        <v>1674500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-23.717391304347821</v>
      </c>
      <c r="P23" s="119">
        <v>46</v>
      </c>
      <c r="Q23" s="107">
        <v>-1090.9999999999998</v>
      </c>
    </row>
    <row r="24" spans="1:17" x14ac:dyDescent="0.4">
      <c r="A24" s="57" t="s">
        <v>14</v>
      </c>
      <c r="B24" s="52">
        <f>IF(B$20=0,0,C24/B$20)</f>
        <v>-8542.8571428571431</v>
      </c>
      <c r="C24" s="45">
        <v>-837200</v>
      </c>
      <c r="E24" s="63" t="s">
        <v>87</v>
      </c>
      <c r="F24" s="60" t="s">
        <v>42</v>
      </c>
      <c r="G24" s="47">
        <v>10</v>
      </c>
      <c r="H24" s="133">
        <f>IF(B$17=0,0,G24/B$17)</f>
        <v>4.065040650406504E-2</v>
      </c>
      <c r="I24" s="94">
        <v>10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4.0650406504065045E-3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1.4104372355430183E-3</v>
      </c>
      <c r="E27" s="63" t="s">
        <v>90</v>
      </c>
      <c r="F27" s="60" t="s">
        <v>45</v>
      </c>
      <c r="G27" s="47">
        <v>19</v>
      </c>
      <c r="H27" s="133">
        <f>IF(B$17=0,0,G27/B$17)</f>
        <v>7.7235772357723581E-2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4.0650406504065045E-3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1.6260162601626018E-2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107</v>
      </c>
      <c r="H51" s="138">
        <f>IF(B$17=0,0,G51/B$17)</f>
        <v>0.43495934959349591</v>
      </c>
      <c r="I51" s="139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</sheetData>
  <sortState ref="E2:I8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48</v>
      </c>
      <c r="C2" s="151"/>
      <c r="E2" s="62" t="s">
        <v>65</v>
      </c>
      <c r="F2" s="59" t="s">
        <v>21</v>
      </c>
      <c r="G2" s="46">
        <v>52</v>
      </c>
      <c r="H2" s="132">
        <f>IF(B$17=0,0,G2/B$17)</f>
        <v>0.42622950819672129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-2862.5</v>
      </c>
      <c r="P2" s="118">
        <v>48</v>
      </c>
      <c r="Q2" s="102">
        <v>-137400</v>
      </c>
    </row>
    <row r="3" spans="1:17" x14ac:dyDescent="0.4">
      <c r="A3" s="55" t="s">
        <v>8</v>
      </c>
      <c r="B3" s="152">
        <v>415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8.1967213114754092E-2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2064.5833333333335</v>
      </c>
      <c r="P3" s="119">
        <v>48</v>
      </c>
      <c r="Q3" s="103">
        <v>99100</v>
      </c>
    </row>
    <row r="4" spans="1:17" x14ac:dyDescent="0.4">
      <c r="A4" s="55" t="s">
        <v>6</v>
      </c>
      <c r="B4" s="154">
        <v>-387.7</v>
      </c>
      <c r="C4" s="155"/>
      <c r="E4" s="63" t="s">
        <v>67</v>
      </c>
      <c r="F4" s="60" t="s">
        <v>23</v>
      </c>
      <c r="G4" s="47">
        <v>81</v>
      </c>
      <c r="H4" s="133">
        <f>IF(B$17=0,0,G4/B$17)</f>
        <v>0.66393442622950816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-315.55555555555554</v>
      </c>
      <c r="P4" s="119">
        <v>45</v>
      </c>
      <c r="Q4" s="103">
        <v>-14200</v>
      </c>
    </row>
    <row r="5" spans="1:17" x14ac:dyDescent="0.4">
      <c r="A5" s="55" t="s">
        <v>7</v>
      </c>
      <c r="B5" s="156">
        <f>IF(B$2=0,0,B$4/B$2)</f>
        <v>-8.0770833333333325</v>
      </c>
      <c r="C5" s="157"/>
      <c r="E5" s="63" t="s">
        <v>68</v>
      </c>
      <c r="F5" s="60" t="s">
        <v>24</v>
      </c>
      <c r="G5" s="47">
        <v>29</v>
      </c>
      <c r="H5" s="133">
        <f>IF(B$17=0,0,G5/B$17)</f>
        <v>0.23770491803278687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-3778.5714285714284</v>
      </c>
      <c r="P5" s="119">
        <v>42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2.1041666666666665</v>
      </c>
      <c r="C6" s="147"/>
      <c r="E6" s="63" t="s">
        <v>69</v>
      </c>
      <c r="F6" s="60" t="s">
        <v>12</v>
      </c>
      <c r="G6" s="47">
        <v>47</v>
      </c>
      <c r="H6" s="133">
        <f>IF(B$17=0,0,G6/B$17)</f>
        <v>0.38524590163934425</v>
      </c>
      <c r="I6" s="94">
        <v>2</v>
      </c>
      <c r="K6" s="38">
        <v>4</v>
      </c>
      <c r="L6" s="99">
        <v>-150.6</v>
      </c>
      <c r="N6" s="115" t="s">
        <v>136</v>
      </c>
      <c r="O6" s="122">
        <f t="shared" si="0"/>
        <v>-668.42105263157896</v>
      </c>
      <c r="P6" s="119">
        <v>38</v>
      </c>
      <c r="Q6" s="103">
        <v>-25400</v>
      </c>
    </row>
    <row r="7" spans="1:17" x14ac:dyDescent="0.4">
      <c r="A7" s="55" t="s">
        <v>2</v>
      </c>
      <c r="B7" s="47">
        <v>14</v>
      </c>
      <c r="C7" s="39">
        <f>IF(B$2=0,0,B7/B$2)</f>
        <v>0.29166666666666669</v>
      </c>
      <c r="E7" s="63" t="s">
        <v>70</v>
      </c>
      <c r="F7" s="60" t="s">
        <v>25</v>
      </c>
      <c r="G7" s="47">
        <v>13</v>
      </c>
      <c r="H7" s="133">
        <f>IF(B$17=0,0,G7/B$17)</f>
        <v>0.10655737704918032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469.44444444444446</v>
      </c>
      <c r="P7" s="120">
        <v>36</v>
      </c>
      <c r="Q7" s="104">
        <v>16900</v>
      </c>
    </row>
    <row r="8" spans="1:17" x14ac:dyDescent="0.4">
      <c r="A8" s="55" t="s">
        <v>3</v>
      </c>
      <c r="B8" s="47">
        <v>15</v>
      </c>
      <c r="C8" s="39">
        <f>IF(B$2=0,0,B8/B$2)</f>
        <v>0.3125</v>
      </c>
      <c r="E8" s="63" t="s">
        <v>71</v>
      </c>
      <c r="F8" s="60" t="s">
        <v>26</v>
      </c>
      <c r="G8" s="47">
        <v>14</v>
      </c>
      <c r="H8" s="133">
        <f>IF(B$17=0,0,G8/B$17)</f>
        <v>0.11475409836065574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0.39583333333333331</v>
      </c>
      <c r="E9" s="63" t="s">
        <v>72</v>
      </c>
      <c r="F9" s="60" t="s">
        <v>27</v>
      </c>
      <c r="G9" s="47">
        <v>6</v>
      </c>
      <c r="H9" s="133">
        <f>IF(B$17=0,0,G9/B$17)</f>
        <v>4.9180327868852458E-2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0.14583333333333334</v>
      </c>
      <c r="E10" s="63" t="s">
        <v>73</v>
      </c>
      <c r="F10" s="60" t="s">
        <v>28</v>
      </c>
      <c r="G10" s="47">
        <v>64</v>
      </c>
      <c r="H10" s="133">
        <f>IF(B$17=0,0,G10/B$17)</f>
        <v>0.52459016393442626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6.25E-2</v>
      </c>
      <c r="E11" s="63" t="s">
        <v>74</v>
      </c>
      <c r="F11" s="60" t="s">
        <v>29</v>
      </c>
      <c r="G11" s="47">
        <v>3</v>
      </c>
      <c r="H11" s="133">
        <f>IF(B$17=0,0,G11/B$17)</f>
        <v>2.4590163934426229E-2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4.1666666666666664E-2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92</v>
      </c>
      <c r="C13" s="44">
        <f>IF(B$3=0,0,B13/B$3)</f>
        <v>0.22168674698795179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0.25301204819277107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0.59782608695652173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3</v>
      </c>
      <c r="H16" s="133">
        <f>IF(B$17=0,0,G16/B$17)</f>
        <v>2.4590163934426229E-2</v>
      </c>
      <c r="I16" s="94">
        <v>8</v>
      </c>
      <c r="K16" s="38">
        <v>14</v>
      </c>
      <c r="L16" s="99">
        <v>-269.99999999999994</v>
      </c>
      <c r="N16" s="115" t="s">
        <v>172</v>
      </c>
      <c r="O16" s="125">
        <f t="shared" si="2"/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0.29397590361445786</v>
      </c>
      <c r="E17" s="63" t="s">
        <v>80</v>
      </c>
      <c r="F17" s="60" t="s">
        <v>35</v>
      </c>
      <c r="G17" s="47">
        <v>2</v>
      </c>
      <c r="H17" s="133">
        <f>IF(B$17=0,0,G17/B$17)</f>
        <v>1.6393442622950821E-2</v>
      </c>
      <c r="I17" s="94">
        <v>8</v>
      </c>
      <c r="K17" s="38">
        <v>15</v>
      </c>
      <c r="L17" s="99">
        <v>-264.59999999999997</v>
      </c>
      <c r="N17" s="115" t="s">
        <v>128</v>
      </c>
      <c r="O17" s="125">
        <f t="shared" si="2"/>
        <v>-9.0374999999999961</v>
      </c>
      <c r="P17" s="119">
        <v>24</v>
      </c>
      <c r="Q17" s="107">
        <v>-216.89999999999992</v>
      </c>
    </row>
    <row r="18" spans="1:17" x14ac:dyDescent="0.4">
      <c r="A18" s="55" t="s">
        <v>12</v>
      </c>
      <c r="B18" s="47">
        <v>62</v>
      </c>
      <c r="C18" s="39">
        <f>IF(B$17=0,0,B18/B$17)</f>
        <v>0.50819672131147542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60</v>
      </c>
      <c r="C19" s="39">
        <f>IF(B$17=0,0,B19/B$17)</f>
        <v>0.49180327868852458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-16.769565217391303</v>
      </c>
      <c r="P19" s="119">
        <v>23</v>
      </c>
      <c r="Q19" s="107">
        <v>-385.7</v>
      </c>
    </row>
    <row r="20" spans="1:17" x14ac:dyDescent="0.4">
      <c r="A20" s="55" t="s">
        <v>13</v>
      </c>
      <c r="B20" s="47">
        <v>77</v>
      </c>
      <c r="C20" s="39">
        <f>IF(B$3=0,0,B20/B$3)</f>
        <v>0.1855421686746988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1.6393442622950821E-2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6954.0983606557375</v>
      </c>
      <c r="C23" s="41">
        <v>848400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87</v>
      </c>
      <c r="F24" s="60" t="s">
        <v>42</v>
      </c>
      <c r="G24" s="47">
        <v>5</v>
      </c>
      <c r="H24" s="133">
        <f>IF(B$17=0,0,G24/B$17)</f>
        <v>4.0983606557377046E-2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8.1967213114754103E-3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4.8192771084337354E-3</v>
      </c>
      <c r="E27" s="63" t="s">
        <v>90</v>
      </c>
      <c r="F27" s="60" t="s">
        <v>45</v>
      </c>
      <c r="G27" s="47">
        <v>15</v>
      </c>
      <c r="H27" s="133">
        <f>IF(B$17=0,0,G27/B$17)</f>
        <v>0.12295081967213115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1.6393442622950821E-2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1.6393442622950821E-2</v>
      </c>
      <c r="I50" s="94">
        <v>4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48</v>
      </c>
      <c r="H51" s="138">
        <f>IF(B$17=0,0,G51/B$17)</f>
        <v>0.39344262295081966</v>
      </c>
      <c r="I51" s="139">
        <v>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65</v>
      </c>
      <c r="F2" s="59" t="s">
        <v>21</v>
      </c>
      <c r="G2" s="46">
        <v>108</v>
      </c>
      <c r="H2" s="132">
        <f>IF(B$17=0,0,G2/B$17)</f>
        <v>0.62427745664739887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1326.3888888888889</v>
      </c>
      <c r="P2" s="118">
        <v>72</v>
      </c>
      <c r="Q2" s="102">
        <v>95500</v>
      </c>
    </row>
    <row r="3" spans="1:17" x14ac:dyDescent="0.4">
      <c r="A3" s="55" t="s">
        <v>8</v>
      </c>
      <c r="B3" s="152">
        <v>587</v>
      </c>
      <c r="C3" s="153"/>
      <c r="E3" s="63" t="s">
        <v>66</v>
      </c>
      <c r="F3" s="60" t="s">
        <v>22</v>
      </c>
      <c r="G3" s="47">
        <v>21</v>
      </c>
      <c r="H3" s="133">
        <f>IF(B$17=0,0,G3/B$17)</f>
        <v>0.12138728323699421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891.304347826087</v>
      </c>
      <c r="P3" s="119">
        <v>69</v>
      </c>
      <c r="Q3" s="103">
        <v>61500</v>
      </c>
    </row>
    <row r="4" spans="1:17" x14ac:dyDescent="0.4">
      <c r="A4" s="55" t="s">
        <v>6</v>
      </c>
      <c r="B4" s="154">
        <v>304.60000000000002</v>
      </c>
      <c r="C4" s="155"/>
      <c r="E4" s="63" t="s">
        <v>67</v>
      </c>
      <c r="F4" s="60" t="s">
        <v>23</v>
      </c>
      <c r="G4" s="47">
        <v>100</v>
      </c>
      <c r="H4" s="133">
        <f>IF(B$17=0,0,G4/B$17)</f>
        <v>0.5780346820809249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-395.16129032258067</v>
      </c>
      <c r="P4" s="119">
        <v>62</v>
      </c>
      <c r="Q4" s="103">
        <v>-24500</v>
      </c>
    </row>
    <row r="5" spans="1:17" x14ac:dyDescent="0.4">
      <c r="A5" s="55" t="s">
        <v>7</v>
      </c>
      <c r="B5" s="156">
        <f>IF(B$2=0,0,B$4/B$2)</f>
        <v>4.2305555555555561</v>
      </c>
      <c r="C5" s="157"/>
      <c r="E5" s="63" t="s">
        <v>68</v>
      </c>
      <c r="F5" s="60" t="s">
        <v>24</v>
      </c>
      <c r="G5" s="47">
        <v>67</v>
      </c>
      <c r="H5" s="133">
        <f>IF(B$17=0,0,G5/B$17)</f>
        <v>0.38728323699421963</v>
      </c>
      <c r="I5" s="94">
        <v>4</v>
      </c>
      <c r="K5" s="38">
        <v>3</v>
      </c>
      <c r="L5" s="99">
        <v>-10</v>
      </c>
      <c r="N5" s="115" t="s">
        <v>135</v>
      </c>
      <c r="O5" s="122">
        <f t="shared" si="0"/>
        <v>2093.3333333333335</v>
      </c>
      <c r="P5" s="119">
        <v>60</v>
      </c>
      <c r="Q5" s="103">
        <v>125600</v>
      </c>
    </row>
    <row r="6" spans="1:17" x14ac:dyDescent="0.4">
      <c r="A6" s="55" t="s">
        <v>1</v>
      </c>
      <c r="B6" s="146">
        <f>IF(B$2=0,0,(B$7*1+B$8*2+B$9*3)/B$2)</f>
        <v>1.9027777777777777</v>
      </c>
      <c r="C6" s="147"/>
      <c r="E6" s="63" t="s">
        <v>69</v>
      </c>
      <c r="F6" s="60" t="s">
        <v>12</v>
      </c>
      <c r="G6" s="47">
        <v>55</v>
      </c>
      <c r="H6" s="133">
        <f>IF(B$17=0,0,G6/B$17)</f>
        <v>0.31791907514450868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-1327.7777777777778</v>
      </c>
      <c r="P6" s="119">
        <v>54</v>
      </c>
      <c r="Q6" s="103">
        <v>-71700</v>
      </c>
    </row>
    <row r="7" spans="1:17" x14ac:dyDescent="0.4">
      <c r="A7" s="55" t="s">
        <v>2</v>
      </c>
      <c r="B7" s="47">
        <v>28</v>
      </c>
      <c r="C7" s="39">
        <f>IF(B$2=0,0,B7/B$2)</f>
        <v>0.3888888888888889</v>
      </c>
      <c r="E7" s="63" t="s">
        <v>70</v>
      </c>
      <c r="F7" s="60" t="s">
        <v>25</v>
      </c>
      <c r="G7" s="47">
        <v>29</v>
      </c>
      <c r="H7" s="133">
        <f>IF(B$17=0,0,G7/B$17)</f>
        <v>0.16763005780346821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440.90909090909093</v>
      </c>
      <c r="P7" s="120">
        <v>44</v>
      </c>
      <c r="Q7" s="104">
        <v>19400</v>
      </c>
    </row>
    <row r="8" spans="1:17" x14ac:dyDescent="0.4">
      <c r="A8" s="55" t="s">
        <v>3</v>
      </c>
      <c r="B8" s="47">
        <v>23</v>
      </c>
      <c r="C8" s="39">
        <f>IF(B$2=0,0,B8/B$2)</f>
        <v>0.31944444444444442</v>
      </c>
      <c r="E8" s="63" t="s">
        <v>71</v>
      </c>
      <c r="F8" s="60" t="s">
        <v>26</v>
      </c>
      <c r="G8" s="47">
        <v>12</v>
      </c>
      <c r="H8" s="133">
        <f>IF(B$17=0,0,G8/B$17)</f>
        <v>6.9364161849710976E-2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0.29166666666666669</v>
      </c>
      <c r="E9" s="63" t="s">
        <v>72</v>
      </c>
      <c r="F9" s="60" t="s">
        <v>27</v>
      </c>
      <c r="G9" s="47">
        <v>10</v>
      </c>
      <c r="H9" s="133">
        <f>IF(B$17=0,0,G9/B$17)</f>
        <v>5.7803468208092484E-2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0.1388888888888889</v>
      </c>
      <c r="E10" s="63" t="s">
        <v>73</v>
      </c>
      <c r="F10" s="60" t="s">
        <v>28</v>
      </c>
      <c r="G10" s="47">
        <v>74</v>
      </c>
      <c r="H10" s="133">
        <f>IF(B$17=0,0,G10/B$17)</f>
        <v>0.4277456647398844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1.8043478260869559</v>
      </c>
      <c r="P10" s="118">
        <v>23</v>
      </c>
      <c r="Q10" s="106">
        <v>41.499999999999986</v>
      </c>
    </row>
    <row r="11" spans="1:17" x14ac:dyDescent="0.4">
      <c r="A11" s="56" t="s">
        <v>140</v>
      </c>
      <c r="B11" s="48">
        <v>10</v>
      </c>
      <c r="C11" s="40">
        <f>IF(B$2=0,0,B11/B$2)</f>
        <v>0.1388888888888889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10.184615384615386</v>
      </c>
      <c r="P11" s="119">
        <v>26</v>
      </c>
      <c r="Q11" s="107">
        <v>264.8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75</v>
      </c>
      <c r="F12" s="60" t="s">
        <v>30</v>
      </c>
      <c r="G12" s="47">
        <v>1</v>
      </c>
      <c r="H12" s="133">
        <f>IF(B$17=0,0,G12/B$17)</f>
        <v>5.7803468208092483E-3</v>
      </c>
      <c r="I12" s="94">
        <v>4</v>
      </c>
      <c r="K12" s="38">
        <v>10</v>
      </c>
      <c r="L12" s="99">
        <v>-183.7</v>
      </c>
      <c r="N12" s="116" t="s">
        <v>166</v>
      </c>
      <c r="O12" s="126">
        <f>IF(P12=0,0,Q12/P12)</f>
        <v>-7.3913043478261303E-2</v>
      </c>
      <c r="P12" s="120">
        <v>23</v>
      </c>
      <c r="Q12" s="108">
        <v>-1.7000000000000099</v>
      </c>
    </row>
    <row r="13" spans="1:17" x14ac:dyDescent="0.4">
      <c r="A13" s="58" t="s">
        <v>122</v>
      </c>
      <c r="B13" s="50">
        <v>171</v>
      </c>
      <c r="C13" s="44">
        <f>IF(B$3=0,0,B13/B$3)</f>
        <v>0.29131175468483816</v>
      </c>
      <c r="E13" s="63" t="s">
        <v>76</v>
      </c>
      <c r="F13" s="60" t="s">
        <v>31</v>
      </c>
      <c r="G13" s="47">
        <v>2</v>
      </c>
      <c r="H13" s="133">
        <f>IF(B$17=0,0,G13/B$17)</f>
        <v>1.1560693641618497E-2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0.18568994889267462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109</v>
      </c>
      <c r="C15" s="37">
        <f>IF(B$13=0,0,B15/B$13)</f>
        <v>0.63742690058479534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 t="shared" ref="O15:O23" si="2">IF(P15=0,0,Q15/P15)</f>
        <v>44.647368421052633</v>
      </c>
      <c r="P15" s="118">
        <v>19</v>
      </c>
      <c r="Q15" s="106">
        <v>848.30000000000007</v>
      </c>
    </row>
    <row r="16" spans="1:17" x14ac:dyDescent="0.4">
      <c r="A16" s="54" t="s">
        <v>125</v>
      </c>
      <c r="B16" s="46">
        <v>37</v>
      </c>
      <c r="C16" s="37">
        <f>IF(B$14=0,0,B16/B$14)</f>
        <v>0.33944954128440369</v>
      </c>
      <c r="E16" s="63" t="s">
        <v>79</v>
      </c>
      <c r="F16" s="60" t="s">
        <v>34</v>
      </c>
      <c r="G16" s="47">
        <v>6</v>
      </c>
      <c r="H16" s="133">
        <f>IF(B$17=0,0,G16/B$17)</f>
        <v>3.4682080924855488E-2</v>
      </c>
      <c r="I16" s="94">
        <v>5</v>
      </c>
      <c r="K16" s="38">
        <v>14</v>
      </c>
      <c r="L16" s="99">
        <v>-178.49999999999997</v>
      </c>
      <c r="N16" s="115" t="s">
        <v>200</v>
      </c>
      <c r="O16" s="125">
        <f t="shared" si="2"/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173</v>
      </c>
      <c r="C17" s="37">
        <f>IF(B$3=0,0,B17/B$3)</f>
        <v>0.29471890971039183</v>
      </c>
      <c r="E17" s="63" t="s">
        <v>80</v>
      </c>
      <c r="F17" s="60" t="s">
        <v>35</v>
      </c>
      <c r="G17" s="47">
        <v>3</v>
      </c>
      <c r="H17" s="133">
        <f>IF(B$17=0,0,G17/B$17)</f>
        <v>1.7341040462427744E-2</v>
      </c>
      <c r="I17" s="94">
        <v>6</v>
      </c>
      <c r="K17" s="38">
        <v>15</v>
      </c>
      <c r="L17" s="99">
        <v>-146.19999999999999</v>
      </c>
      <c r="N17" s="115" t="s">
        <v>173</v>
      </c>
      <c r="O17" s="125">
        <f t="shared" si="2"/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77</v>
      </c>
      <c r="C18" s="39">
        <f>IF(B$17=0,0,B18/B$17)</f>
        <v>0.44508670520231214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8.5074074074074097</v>
      </c>
      <c r="P18" s="119">
        <v>27</v>
      </c>
      <c r="Q18" s="107">
        <v>229.70000000000005</v>
      </c>
    </row>
    <row r="19" spans="1:17" x14ac:dyDescent="0.4">
      <c r="A19" s="55" t="s">
        <v>11</v>
      </c>
      <c r="B19" s="47">
        <v>96</v>
      </c>
      <c r="C19" s="39">
        <f>IF(B$17=0,0,B19/B$17)</f>
        <v>0.55491329479768781</v>
      </c>
      <c r="E19" s="63" t="s">
        <v>82</v>
      </c>
      <c r="F19" s="60" t="s">
        <v>37</v>
      </c>
      <c r="G19" s="47">
        <v>6</v>
      </c>
      <c r="H19" s="133">
        <f>IF(B$17=0,0,G19/B$17)</f>
        <v>3.4682080924855488E-2</v>
      </c>
      <c r="I19" s="94">
        <v>4</v>
      </c>
      <c r="K19" s="38">
        <v>17</v>
      </c>
      <c r="L19" s="99">
        <v>-161.19999999999999</v>
      </c>
      <c r="N19" s="115" t="s">
        <v>129</v>
      </c>
      <c r="O19" s="125">
        <f t="shared" si="2"/>
        <v>6.9208333333333334</v>
      </c>
      <c r="P19" s="119">
        <v>24</v>
      </c>
      <c r="Q19" s="107">
        <v>166.1</v>
      </c>
    </row>
    <row r="20" spans="1:17" x14ac:dyDescent="0.4">
      <c r="A20" s="55" t="s">
        <v>13</v>
      </c>
      <c r="B20" s="47">
        <v>88</v>
      </c>
      <c r="C20" s="39">
        <f>IF(B$3=0,0,B20/B$3)</f>
        <v>0.14991482112436116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184</v>
      </c>
      <c r="O20" s="125">
        <f t="shared" si="2"/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4.046242774566474E-2</v>
      </c>
      <c r="I21" s="94">
        <v>7</v>
      </c>
      <c r="K21" s="38">
        <v>19</v>
      </c>
      <c r="L21" s="99">
        <v>-235.6</v>
      </c>
      <c r="N21" s="115" t="s">
        <v>172</v>
      </c>
      <c r="O21" s="125">
        <f t="shared" si="2"/>
        <v>2.4363636363636338</v>
      </c>
      <c r="P21" s="119">
        <v>22</v>
      </c>
      <c r="Q21" s="107">
        <v>53.599999999999945</v>
      </c>
    </row>
    <row r="22" spans="1:17" x14ac:dyDescent="0.4">
      <c r="A22" s="55" t="s">
        <v>192</v>
      </c>
      <c r="B22" s="47">
        <v>45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-18.861290322580651</v>
      </c>
      <c r="P22" s="119">
        <v>31</v>
      </c>
      <c r="Q22" s="107">
        <v>-584.70000000000016</v>
      </c>
    </row>
    <row r="23" spans="1:17" x14ac:dyDescent="0.4">
      <c r="A23" s="55" t="s">
        <v>5</v>
      </c>
      <c r="B23" s="51">
        <f>IF(B$17=0,0,C23/B$17)</f>
        <v>8984.9710982658962</v>
      </c>
      <c r="C23" s="41">
        <v>1554400</v>
      </c>
      <c r="E23" s="63" t="s">
        <v>86</v>
      </c>
      <c r="F23" s="60" t="s">
        <v>41</v>
      </c>
      <c r="G23" s="47">
        <v>3</v>
      </c>
      <c r="H23" s="133">
        <f>IF(B$17=0,0,G23/B$17)</f>
        <v>1.7341040462427744E-2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-7112.5</v>
      </c>
      <c r="C24" s="45">
        <v>-625900</v>
      </c>
      <c r="E24" s="63" t="s">
        <v>87</v>
      </c>
      <c r="F24" s="60" t="s">
        <v>42</v>
      </c>
      <c r="G24" s="47">
        <v>9</v>
      </c>
      <c r="H24" s="133">
        <f>IF(B$17=0,0,G24/B$17)</f>
        <v>5.2023121387283239E-2</v>
      </c>
      <c r="I24" s="94">
        <v>6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5.1107325383304937E-3</v>
      </c>
      <c r="E27" s="63" t="s">
        <v>90</v>
      </c>
      <c r="F27" s="60" t="s">
        <v>45</v>
      </c>
      <c r="G27" s="47">
        <v>20</v>
      </c>
      <c r="H27" s="133">
        <f>IF(B$17=0,0,G27/B$17)</f>
        <v>0.11560693641618497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1.1560693641618497E-2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2.8901734104046242E-2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5.7803468208092483E-3</v>
      </c>
      <c r="I30" s="94">
        <v>3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5.7803468208092483E-3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5.7803468208092483E-3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136" t="s">
        <v>245</v>
      </c>
      <c r="F51" s="137" t="s">
        <v>246</v>
      </c>
      <c r="G51" s="48">
        <v>76</v>
      </c>
      <c r="H51" s="138">
        <f>IF(B$17=0,0,G51/B$17)</f>
        <v>0.43930635838150289</v>
      </c>
      <c r="I51" s="139">
        <v>2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</sheetData>
  <sortState ref="E2:I7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20</v>
      </c>
      <c r="C2" s="151"/>
      <c r="E2" s="62" t="s">
        <v>67</v>
      </c>
      <c r="F2" s="59" t="s">
        <v>23</v>
      </c>
      <c r="G2" s="46">
        <v>41</v>
      </c>
      <c r="H2" s="132">
        <f>IF(B$17=0,0,G2/B$17)</f>
        <v>0.89130434782608692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-990</v>
      </c>
      <c r="P2" s="118">
        <v>20</v>
      </c>
      <c r="Q2" s="102">
        <v>-19800</v>
      </c>
    </row>
    <row r="3" spans="1:17" x14ac:dyDescent="0.4">
      <c r="A3" s="55" t="s">
        <v>8</v>
      </c>
      <c r="B3" s="152">
        <v>157</v>
      </c>
      <c r="C3" s="153"/>
      <c r="E3" s="63" t="s">
        <v>73</v>
      </c>
      <c r="F3" s="60" t="s">
        <v>28</v>
      </c>
      <c r="G3" s="47">
        <v>27</v>
      </c>
      <c r="H3" s="133">
        <f>IF(B$17=0,0,G3/B$17)</f>
        <v>0.58695652173913049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0"/>
        <v>-3075</v>
      </c>
      <c r="P3" s="119">
        <v>20</v>
      </c>
      <c r="Q3" s="103">
        <v>-61500</v>
      </c>
    </row>
    <row r="4" spans="1:17" x14ac:dyDescent="0.4">
      <c r="A4" s="55" t="s">
        <v>6</v>
      </c>
      <c r="B4" s="154">
        <v>-124.1</v>
      </c>
      <c r="C4" s="155"/>
      <c r="E4" s="63" t="s">
        <v>65</v>
      </c>
      <c r="F4" s="60" t="s">
        <v>21</v>
      </c>
      <c r="G4" s="47">
        <v>24</v>
      </c>
      <c r="H4" s="133">
        <f>IF(B$17=0,0,G4/B$17)</f>
        <v>0.52173913043478259</v>
      </c>
      <c r="I4" s="94">
        <v>6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-6.2050000000000001</v>
      </c>
      <c r="C5" s="157"/>
      <c r="E5" s="63" t="s">
        <v>245</v>
      </c>
      <c r="F5" s="60" t="s">
        <v>246</v>
      </c>
      <c r="G5" s="47">
        <v>16</v>
      </c>
      <c r="H5" s="133">
        <f>IF(B$17=0,0,G5/B$17)</f>
        <v>0.34782608695652173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-1247.0588235294117</v>
      </c>
      <c r="P5" s="119">
        <v>17</v>
      </c>
      <c r="Q5" s="103">
        <v>-21200</v>
      </c>
    </row>
    <row r="6" spans="1:17" x14ac:dyDescent="0.4">
      <c r="A6" s="55" t="s">
        <v>1</v>
      </c>
      <c r="B6" s="146">
        <f>IF(B$2=0,0,(B$7*1+B$8*2+B$9*3)/B$2)</f>
        <v>2.1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0.30434782608695654</v>
      </c>
      <c r="I6" s="94">
        <v>8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8</v>
      </c>
      <c r="C7" s="39">
        <f>IF(B$2=0,0,B7/B$2)</f>
        <v>0.4</v>
      </c>
      <c r="E7" s="63" t="s">
        <v>68</v>
      </c>
      <c r="F7" s="60" t="s">
        <v>24</v>
      </c>
      <c r="G7" s="47">
        <v>11</v>
      </c>
      <c r="H7" s="133">
        <f>IF(B$17=0,0,G7/B$17)</f>
        <v>0.2391304347826087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0.1</v>
      </c>
      <c r="E8" s="63" t="s">
        <v>70</v>
      </c>
      <c r="F8" s="60" t="s">
        <v>25</v>
      </c>
      <c r="G8" s="47">
        <v>8</v>
      </c>
      <c r="H8" s="133">
        <f>IF(B$17=0,0,G8/B$17)</f>
        <v>0.17391304347826086</v>
      </c>
      <c r="I8" s="94">
        <v>6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8</v>
      </c>
      <c r="H9" s="133">
        <f>IF(B$17=0,0,G9/B$17)</f>
        <v>0.17391304347826086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0.25</v>
      </c>
      <c r="E10" s="63" t="s">
        <v>84</v>
      </c>
      <c r="F10" s="60" t="s">
        <v>39</v>
      </c>
      <c r="G10" s="47">
        <v>6</v>
      </c>
      <c r="H10" s="133">
        <f>IF(B$17=0,0,G10/B$17)</f>
        <v>0.13043478260869565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-10.224999999999998</v>
      </c>
      <c r="P10" s="118">
        <v>8</v>
      </c>
      <c r="Q10" s="106">
        <v>-81.799999999999983</v>
      </c>
    </row>
    <row r="11" spans="1:17" x14ac:dyDescent="0.4">
      <c r="A11" s="56" t="s">
        <v>140</v>
      </c>
      <c r="B11" s="48">
        <v>2</v>
      </c>
      <c r="C11" s="40">
        <f>IF(B$2=0,0,B11/B$2)</f>
        <v>0.1</v>
      </c>
      <c r="E11" s="63" t="s">
        <v>90</v>
      </c>
      <c r="F11" s="60" t="s">
        <v>45</v>
      </c>
      <c r="G11" s="47">
        <v>5</v>
      </c>
      <c r="H11" s="133">
        <f>IF(B$17=0,0,G11/B$17)</f>
        <v>0.10869565217391304</v>
      </c>
      <c r="I11" s="94">
        <v>9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0.15</v>
      </c>
      <c r="E12" s="63" t="s">
        <v>72</v>
      </c>
      <c r="F12" s="60" t="s">
        <v>27</v>
      </c>
      <c r="G12" s="47">
        <v>3</v>
      </c>
      <c r="H12" s="133">
        <f>IF(B$17=0,0,G12/B$17)</f>
        <v>6.5217391304347824E-2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4.7</v>
      </c>
      <c r="P12" s="120">
        <v>6</v>
      </c>
      <c r="Q12" s="108">
        <v>28.200000000000003</v>
      </c>
    </row>
    <row r="13" spans="1:17" x14ac:dyDescent="0.4">
      <c r="A13" s="58" t="s">
        <v>122</v>
      </c>
      <c r="B13" s="50">
        <v>38</v>
      </c>
      <c r="C13" s="44">
        <f>IF(B$3=0,0,B13/B$3)</f>
        <v>0.24203821656050956</v>
      </c>
      <c r="E13" s="63" t="s">
        <v>66</v>
      </c>
      <c r="F13" s="60" t="s">
        <v>22</v>
      </c>
      <c r="G13" s="47">
        <v>2</v>
      </c>
      <c r="H13" s="133">
        <f>IF(B$17=0,0,G13/B$17)</f>
        <v>4.3478260869565216E-2</v>
      </c>
      <c r="I13" s="94">
        <v>10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0.24203821656050956</v>
      </c>
      <c r="E14" s="63" t="s">
        <v>80</v>
      </c>
      <c r="F14" s="60" t="s">
        <v>35</v>
      </c>
      <c r="G14" s="47">
        <v>2</v>
      </c>
      <c r="H14" s="133">
        <f>IF(B$17=0,0,G14/B$17)</f>
        <v>4.3478260869565216E-2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0.65789473684210531</v>
      </c>
      <c r="E15" s="63" t="s">
        <v>74</v>
      </c>
      <c r="F15" s="60" t="s">
        <v>29</v>
      </c>
      <c r="G15" s="47">
        <v>1</v>
      </c>
      <c r="H15" s="133">
        <f>IF(B$17=0,0,G15/B$17)</f>
        <v>2.1739130434782608E-2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16</v>
      </c>
      <c r="C16" s="37">
        <f>IF(B$14=0,0,B16/B$14)</f>
        <v>0.42105263157894735</v>
      </c>
      <c r="E16" s="63" t="s">
        <v>75</v>
      </c>
      <c r="F16" s="60" t="s">
        <v>30</v>
      </c>
      <c r="G16" s="47">
        <v>1</v>
      </c>
      <c r="H16" s="133">
        <f>IF(B$17=0,0,G16/B$17)</f>
        <v>2.1739130434782608E-2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0.2929936305732484</v>
      </c>
      <c r="E17" s="63" t="s">
        <v>76</v>
      </c>
      <c r="F17" s="60" t="s">
        <v>31</v>
      </c>
      <c r="G17" s="47">
        <v>1</v>
      </c>
      <c r="H17" s="133">
        <f>IF(B$17=0,0,G17/B$17)</f>
        <v>2.1739130434782608E-2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22</v>
      </c>
      <c r="C18" s="39">
        <f>IF(B$17=0,0,B18/B$17)</f>
        <v>0.47826086956521741</v>
      </c>
      <c r="E18" s="63" t="s">
        <v>82</v>
      </c>
      <c r="F18" s="60" t="s">
        <v>37</v>
      </c>
      <c r="G18" s="47">
        <v>1</v>
      </c>
      <c r="H18" s="133">
        <f>IF(B$17=0,0,G18/B$17)</f>
        <v>2.1739130434782608E-2</v>
      </c>
      <c r="I18" s="94">
        <v>9</v>
      </c>
      <c r="K18" s="38">
        <v>16</v>
      </c>
      <c r="L18" s="99">
        <v>-139.79999999999998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24</v>
      </c>
      <c r="C19" s="39">
        <f>IF(B$17=0,0,B19/B$17)</f>
        <v>0.52173913043478259</v>
      </c>
      <c r="E19" s="63" t="s">
        <v>98</v>
      </c>
      <c r="F19" s="60" t="s">
        <v>53</v>
      </c>
      <c r="G19" s="47">
        <v>1</v>
      </c>
      <c r="H19" s="133">
        <f>IF(B$17=0,0,G19/B$17)</f>
        <v>2.1739130434782608E-2</v>
      </c>
      <c r="I19" s="94">
        <v>1</v>
      </c>
      <c r="K19" s="38">
        <v>17</v>
      </c>
      <c r="L19" s="99">
        <v>-203.5</v>
      </c>
      <c r="N19" s="115" t="s">
        <v>171</v>
      </c>
      <c r="O19" s="125">
        <f>IF(P19=0,0,Q19/P19)</f>
        <v>-18.200000000000003</v>
      </c>
      <c r="P19" s="119">
        <v>4</v>
      </c>
      <c r="Q19" s="107">
        <v>-72.800000000000011</v>
      </c>
    </row>
    <row r="20" spans="1:17" x14ac:dyDescent="0.4">
      <c r="A20" s="55" t="s">
        <v>13</v>
      </c>
      <c r="B20" s="47">
        <v>36</v>
      </c>
      <c r="C20" s="39">
        <f>IF(B$3=0,0,B20/B$3)</f>
        <v>0.22929936305732485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128</v>
      </c>
      <c r="O20" s="125">
        <f>IF(P20=0,0,Q20/P20)</f>
        <v>-19.033333333333331</v>
      </c>
      <c r="P20" s="119">
        <v>9</v>
      </c>
      <c r="Q20" s="107">
        <v>-171.29999999999998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-67.599999999999994</v>
      </c>
      <c r="N21" s="115" t="s">
        <v>127</v>
      </c>
      <c r="O21" s="125">
        <f>IF(P21=0,0,Q21/P21)</f>
        <v>-22.991666666666671</v>
      </c>
      <c r="P21" s="119">
        <v>12</v>
      </c>
      <c r="Q21" s="107">
        <v>-275.90000000000003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11</v>
      </c>
      <c r="K22" s="38">
        <v>20</v>
      </c>
      <c r="L22" s="99">
        <v>-124.1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8621.7391304347821</v>
      </c>
      <c r="C23" s="41">
        <v>396600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-8722.2222222222226</v>
      </c>
      <c r="C24" s="45">
        <v>-314000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7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3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9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0.31034482758620691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</v>
      </c>
      <c r="C2" s="151"/>
      <c r="E2" s="62" t="s">
        <v>67</v>
      </c>
      <c r="F2" s="59" t="s">
        <v>23</v>
      </c>
      <c r="G2" s="46">
        <v>10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-3250</v>
      </c>
      <c r="P2" s="118">
        <v>4</v>
      </c>
      <c r="Q2" s="102">
        <v>-13000</v>
      </c>
    </row>
    <row r="3" spans="1:17" x14ac:dyDescent="0.4">
      <c r="A3" s="55" t="s">
        <v>8</v>
      </c>
      <c r="B3" s="152">
        <v>38</v>
      </c>
      <c r="C3" s="153"/>
      <c r="E3" s="63" t="s">
        <v>73</v>
      </c>
      <c r="F3" s="60" t="s">
        <v>28</v>
      </c>
      <c r="G3" s="47">
        <v>9</v>
      </c>
      <c r="H3" s="133">
        <f>IF(B$17=0,0,G3/B$17)</f>
        <v>0.9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3425</v>
      </c>
      <c r="P3" s="119">
        <v>4</v>
      </c>
      <c r="Q3" s="103">
        <v>13700</v>
      </c>
    </row>
    <row r="4" spans="1:17" x14ac:dyDescent="0.4">
      <c r="A4" s="55" t="s">
        <v>6</v>
      </c>
      <c r="B4" s="154">
        <v>-37.200000000000003</v>
      </c>
      <c r="C4" s="155"/>
      <c r="E4" s="63" t="s">
        <v>245</v>
      </c>
      <c r="F4" s="60" t="s">
        <v>246</v>
      </c>
      <c r="G4" s="47">
        <v>4</v>
      </c>
      <c r="H4" s="133">
        <f>IF(B$17=0,0,G4/B$17)</f>
        <v>0.4</v>
      </c>
      <c r="I4" s="94">
        <v>7</v>
      </c>
      <c r="K4" s="38">
        <v>2</v>
      </c>
      <c r="L4" s="99">
        <v>-24.7</v>
      </c>
      <c r="N4" s="115" t="s">
        <v>134</v>
      </c>
      <c r="O4" s="122">
        <f t="shared" si="0"/>
        <v>-5750</v>
      </c>
      <c r="P4" s="119">
        <v>4</v>
      </c>
      <c r="Q4" s="103">
        <v>-23000</v>
      </c>
    </row>
    <row r="5" spans="1:17" x14ac:dyDescent="0.4">
      <c r="A5" s="55" t="s">
        <v>7</v>
      </c>
      <c r="B5" s="156">
        <f>IF(B$2=0,0,B$4/B$2)</f>
        <v>-9.3000000000000007</v>
      </c>
      <c r="C5" s="157"/>
      <c r="E5" s="63" t="s">
        <v>65</v>
      </c>
      <c r="F5" s="60" t="s">
        <v>21</v>
      </c>
      <c r="G5" s="47">
        <v>3</v>
      </c>
      <c r="H5" s="133">
        <f>IF(B$17=0,0,G5/B$17)</f>
        <v>0.3</v>
      </c>
      <c r="I5" s="94">
        <v>13</v>
      </c>
      <c r="K5" s="38">
        <v>3</v>
      </c>
      <c r="L5" s="99">
        <v>14.500000000000004</v>
      </c>
      <c r="N5" s="115" t="s">
        <v>135</v>
      </c>
      <c r="O5" s="122">
        <f t="shared" si="0"/>
        <v>-50</v>
      </c>
      <c r="P5" s="119">
        <v>4</v>
      </c>
      <c r="Q5" s="103">
        <v>-200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68</v>
      </c>
      <c r="F6" s="60" t="s">
        <v>24</v>
      </c>
      <c r="G6" s="47">
        <v>3</v>
      </c>
      <c r="H6" s="133">
        <f>IF(B$17=0,0,G6/B$17)</f>
        <v>0.3</v>
      </c>
      <c r="I6" s="94">
        <v>9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69</v>
      </c>
      <c r="F7" s="60" t="s">
        <v>12</v>
      </c>
      <c r="G7" s="47">
        <v>3</v>
      </c>
      <c r="H7" s="133">
        <f>IF(B$17=0,0,G7/B$17)</f>
        <v>0.3</v>
      </c>
      <c r="I7" s="94">
        <v>9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0.25</v>
      </c>
      <c r="E8" s="63" t="s">
        <v>90</v>
      </c>
      <c r="F8" s="60" t="s">
        <v>45</v>
      </c>
      <c r="G8" s="47">
        <v>2</v>
      </c>
      <c r="H8" s="133">
        <f>IF(B$17=0,0,G8/B$17)</f>
        <v>0.2</v>
      </c>
      <c r="I8" s="94">
        <v>2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0.5</v>
      </c>
      <c r="E9" s="63" t="s">
        <v>79</v>
      </c>
      <c r="F9" s="60" t="s">
        <v>34</v>
      </c>
      <c r="G9" s="47">
        <v>1</v>
      </c>
      <c r="H9" s="133">
        <f>IF(B$17=0,0,G9/B$17)</f>
        <v>0.1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80</v>
      </c>
      <c r="F10" s="60" t="s">
        <v>35</v>
      </c>
      <c r="G10" s="47">
        <v>1</v>
      </c>
      <c r="H10" s="133">
        <f>IF(B$17=0,0,G10/B$17)</f>
        <v>0.1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>IF(B$17=0,0,G11/B$17)</f>
        <v>0.1</v>
      </c>
      <c r="I11" s="94">
        <v>2</v>
      </c>
      <c r="N11" s="115" t="s">
        <v>165</v>
      </c>
      <c r="O11" s="125">
        <f>IF(P11=0,0,Q11/P11)</f>
        <v>39.200000000000003</v>
      </c>
      <c r="P11" s="119">
        <v>1</v>
      </c>
      <c r="Q11" s="107">
        <v>39.200000000000003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5</v>
      </c>
      <c r="C13" s="44">
        <f>IF(B$3=0,0,B13/B$3)</f>
        <v>0.13157894736842105</v>
      </c>
      <c r="E13" s="63" t="s">
        <v>70</v>
      </c>
      <c r="F13" s="60" t="s">
        <v>25</v>
      </c>
      <c r="G13" s="47">
        <v>0</v>
      </c>
      <c r="H13" s="133">
        <f>IF(B$17=0,0,G13/B$17)</f>
        <v>0</v>
      </c>
      <c r="I13" s="94">
        <v>12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0.36842105263157893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11</v>
      </c>
      <c r="N15" s="114" t="s">
        <v>127</v>
      </c>
      <c r="O15" s="124">
        <f>IF(P15=0,0,Q15/P15)</f>
        <v>29.566666666666666</v>
      </c>
      <c r="P15" s="118">
        <v>3</v>
      </c>
      <c r="Q15" s="106">
        <v>88.7</v>
      </c>
    </row>
    <row r="16" spans="1:17" x14ac:dyDescent="0.4">
      <c r="A16" s="54" t="s">
        <v>125</v>
      </c>
      <c r="B16" s="46">
        <v>6</v>
      </c>
      <c r="C16" s="37">
        <f>IF(B$14=0,0,B16/B$14)</f>
        <v>0.42857142857142855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8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0.26315789473684209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7</v>
      </c>
      <c r="N17" s="115" t="s">
        <v>129</v>
      </c>
      <c r="O17" s="125">
        <f>IF(P17=0,0,Q17/P17)</f>
        <v>-42.5</v>
      </c>
      <c r="P17" s="119">
        <v>4</v>
      </c>
      <c r="Q17" s="107">
        <v>-170</v>
      </c>
    </row>
    <row r="18" spans="1:17" x14ac:dyDescent="0.4">
      <c r="A18" s="55" t="s">
        <v>12</v>
      </c>
      <c r="B18" s="47">
        <v>7</v>
      </c>
      <c r="C18" s="39">
        <f>IF(B$17=0,0,B18/B$17)</f>
        <v>0.7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9</v>
      </c>
    </row>
    <row r="19" spans="1:17" x14ac:dyDescent="0.4">
      <c r="A19" s="55" t="s">
        <v>11</v>
      </c>
      <c r="B19" s="47">
        <v>3</v>
      </c>
      <c r="C19" s="39">
        <f>IF(B$17=0,0,B19/B$17)</f>
        <v>0.3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6</v>
      </c>
      <c r="C20" s="39">
        <f>IF(B$3=0,0,B20/B$3)</f>
        <v>0.15789473684210525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16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9270</v>
      </c>
      <c r="C23" s="41">
        <v>92700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4">
        <v>6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42">
        <v>54200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8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3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2019-06-29T10:54:41Z</dcterms:modified>
</cp:coreProperties>
</file>