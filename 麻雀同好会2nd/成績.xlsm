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3DF9443-A47D-45A5-9187-C56DC517DF9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90" r:id="rId6"/>
    <sheet name="だいち" sheetId="4492" r:id="rId7"/>
    <sheet name="りくと" sheetId="4494" r:id="rId8"/>
    <sheet name="ただ" sheetId="4496" r:id="rId9"/>
    <sheet name="れんたろう" sheetId="4498" r:id="rId10"/>
    <sheet name="たかの" sheetId="4500" r:id="rId11"/>
    <sheet name="ぱぱ" sheetId="4502" r:id="rId12"/>
    <sheet name="まっつん" sheetId="4504" r:id="rId13"/>
    <sheet name="あさひ" sheetId="4506" r:id="rId14"/>
    <sheet name="いっしー" sheetId="4508" r:id="rId15"/>
    <sheet name="いっしー2" sheetId="4509" state="hidden" r:id="rId16"/>
    <sheet name="あさひ2" sheetId="4507" state="hidden" r:id="rId17"/>
    <sheet name="まっつん2" sheetId="4505" state="hidden" r:id="rId18"/>
    <sheet name="ぱぱ2" sheetId="4503" state="hidden" r:id="rId19"/>
    <sheet name="たかの2" sheetId="4501" state="hidden" r:id="rId20"/>
    <sheet name="れんたろう2" sheetId="4499" state="hidden" r:id="rId21"/>
    <sheet name="ただ2" sheetId="4497" state="hidden" r:id="rId22"/>
    <sheet name="りくと2" sheetId="4495" state="hidden" r:id="rId23"/>
    <sheet name="だいち2" sheetId="4493" state="hidden" r:id="rId24"/>
    <sheet name="全体2" sheetId="449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7" i="4506" l="1"/>
  <c r="O19" i="4502"/>
  <c r="O15" i="4506"/>
  <c r="O17" i="4508"/>
  <c r="O16" i="4494"/>
  <c r="O15" i="4504"/>
  <c r="O15" i="4490"/>
  <c r="O15" i="4508"/>
  <c r="O16" i="4508"/>
  <c r="H6" i="4508"/>
  <c r="H52" i="4508"/>
  <c r="H51" i="4508"/>
  <c r="H50" i="4508"/>
  <c r="H49" i="4508"/>
  <c r="H48" i="4508"/>
  <c r="H47" i="4508"/>
  <c r="H46" i="4508"/>
  <c r="H45" i="4508"/>
  <c r="H44" i="4508"/>
  <c r="H43" i="4508"/>
  <c r="H42" i="4508"/>
  <c r="H41" i="4508"/>
  <c r="H40" i="4508"/>
  <c r="H39" i="4508"/>
  <c r="H38" i="4508"/>
  <c r="H37" i="4508"/>
  <c r="H36" i="4508"/>
  <c r="H35" i="4508"/>
  <c r="H34" i="4508"/>
  <c r="H33" i="4508"/>
  <c r="H32" i="4508"/>
  <c r="H31" i="4508"/>
  <c r="H30" i="4508"/>
  <c r="H5" i="4508"/>
  <c r="H29" i="4508"/>
  <c r="H28" i="4508"/>
  <c r="H27" i="4508"/>
  <c r="C25" i="4508"/>
  <c r="H26" i="4508"/>
  <c r="H25" i="4508"/>
  <c r="H24" i="4508"/>
  <c r="B22" i="4508"/>
  <c r="H23" i="4508"/>
  <c r="H22" i="4508"/>
  <c r="C20" i="4508"/>
  <c r="H21" i="4508"/>
  <c r="H20" i="4508"/>
  <c r="H19" i="4508"/>
  <c r="B17" i="4508"/>
  <c r="B21" i="4508" s="1"/>
  <c r="H18" i="4508"/>
  <c r="C16" i="4508"/>
  <c r="H17" i="4508"/>
  <c r="C15" i="4508"/>
  <c r="H16" i="4508"/>
  <c r="C14" i="4508"/>
  <c r="H15" i="4508"/>
  <c r="C13" i="4508"/>
  <c r="O12" i="4508"/>
  <c r="H14" i="4508"/>
  <c r="C12" i="4508"/>
  <c r="O11" i="4508"/>
  <c r="H13" i="4508"/>
  <c r="C11" i="4508"/>
  <c r="O10" i="4508"/>
  <c r="H4" i="4508"/>
  <c r="C10" i="4508"/>
  <c r="H12" i="4508"/>
  <c r="C9" i="4508"/>
  <c r="H11" i="4508"/>
  <c r="C8" i="4508"/>
  <c r="O7" i="4508"/>
  <c r="H3" i="4508"/>
  <c r="C7" i="4508"/>
  <c r="O6" i="4508"/>
  <c r="H10" i="4508"/>
  <c r="B6" i="4508"/>
  <c r="O5" i="4508"/>
  <c r="H9" i="4508"/>
  <c r="B5" i="4508"/>
  <c r="O4" i="4508"/>
  <c r="H8" i="4508"/>
  <c r="O3" i="4508"/>
  <c r="H7" i="4508"/>
  <c r="O2" i="4508"/>
  <c r="H2" i="4508"/>
  <c r="O16" i="4506"/>
  <c r="O18" i="4506"/>
  <c r="H7" i="4506"/>
  <c r="H52" i="4506"/>
  <c r="H51" i="4506"/>
  <c r="H50" i="4506"/>
  <c r="H49" i="4506"/>
  <c r="H48" i="4506"/>
  <c r="H47" i="4506"/>
  <c r="H46" i="4506"/>
  <c r="H45" i="4506"/>
  <c r="H44" i="4506"/>
  <c r="H43" i="4506"/>
  <c r="H42" i="4506"/>
  <c r="H41" i="4506"/>
  <c r="H40" i="4506"/>
  <c r="H39" i="4506"/>
  <c r="H38" i="4506"/>
  <c r="H37" i="4506"/>
  <c r="H36" i="4506"/>
  <c r="H35" i="4506"/>
  <c r="H34" i="4506"/>
  <c r="H33" i="4506"/>
  <c r="H32" i="4506"/>
  <c r="H31" i="4506"/>
  <c r="H30" i="4506"/>
  <c r="H6" i="4506"/>
  <c r="H29" i="4506"/>
  <c r="H28" i="4506"/>
  <c r="H11" i="4506"/>
  <c r="C25" i="4506"/>
  <c r="H27" i="4506"/>
  <c r="H26" i="4506"/>
  <c r="H25" i="4506"/>
  <c r="B22" i="4506"/>
  <c r="H24" i="4506"/>
  <c r="H23" i="4506"/>
  <c r="C20" i="4506"/>
  <c r="H22" i="4506"/>
  <c r="H21" i="4506"/>
  <c r="H20" i="4506"/>
  <c r="B17" i="4506"/>
  <c r="B21" i="4506" s="1"/>
  <c r="H19" i="4506"/>
  <c r="C16" i="4506"/>
  <c r="H18" i="4506"/>
  <c r="C15" i="4506"/>
  <c r="H17" i="4506"/>
  <c r="C14" i="4506"/>
  <c r="H16" i="4506"/>
  <c r="C13" i="4506"/>
  <c r="O12" i="4506"/>
  <c r="H15" i="4506"/>
  <c r="C12" i="4506"/>
  <c r="O11" i="4506"/>
  <c r="H14" i="4506"/>
  <c r="C11" i="4506"/>
  <c r="O10" i="4506"/>
  <c r="H4" i="4506"/>
  <c r="C10" i="4506"/>
  <c r="H10" i="4506"/>
  <c r="C9" i="4506"/>
  <c r="H13" i="4506"/>
  <c r="C8" i="4506"/>
  <c r="O7" i="4506"/>
  <c r="H9" i="4506"/>
  <c r="C7" i="4506"/>
  <c r="O6" i="4506"/>
  <c r="H8" i="4506"/>
  <c r="B6" i="4506"/>
  <c r="O5" i="4506"/>
  <c r="H5" i="4506"/>
  <c r="B5" i="4506"/>
  <c r="O4" i="4506"/>
  <c r="H3" i="4506"/>
  <c r="O3" i="4506"/>
  <c r="H12" i="4506"/>
  <c r="O2" i="4506"/>
  <c r="H2" i="4506"/>
  <c r="O20" i="4504"/>
  <c r="O19" i="4504"/>
  <c r="O17" i="4492"/>
  <c r="O16" i="4492"/>
  <c r="O22" i="4490"/>
  <c r="C17" i="4506" l="1"/>
  <c r="C19" i="4506"/>
  <c r="C17" i="4508"/>
  <c r="C18" i="4508"/>
  <c r="C19" i="4508"/>
  <c r="C18" i="4506"/>
  <c r="O17" i="4504" l="1"/>
  <c r="O17" i="4502"/>
  <c r="O20" i="4502"/>
  <c r="O15" i="4494"/>
  <c r="O16" i="4500" l="1"/>
  <c r="O17" i="4498"/>
  <c r="O15" i="4502"/>
  <c r="O18" i="4502"/>
  <c r="O15" i="4500" l="1"/>
  <c r="O15" i="4498"/>
  <c r="O18" i="4496"/>
  <c r="O19" i="4496"/>
  <c r="O18" i="4504"/>
  <c r="O16" i="4504"/>
  <c r="H7" i="4504"/>
  <c r="H52" i="4504"/>
  <c r="H51" i="4504"/>
  <c r="H50" i="4504"/>
  <c r="H49" i="4504"/>
  <c r="H48" i="4504"/>
  <c r="H47" i="4504"/>
  <c r="H46" i="4504"/>
  <c r="H45" i="4504"/>
  <c r="H44" i="4504"/>
  <c r="H43" i="4504"/>
  <c r="H42" i="4504"/>
  <c r="H41" i="4504"/>
  <c r="H40" i="4504"/>
  <c r="H39" i="4504"/>
  <c r="H38" i="4504"/>
  <c r="H37" i="4504"/>
  <c r="H36" i="4504"/>
  <c r="H35" i="4504"/>
  <c r="H34" i="4504"/>
  <c r="H33" i="4504"/>
  <c r="H32" i="4504"/>
  <c r="H14" i="4504"/>
  <c r="H31" i="4504"/>
  <c r="H10" i="4504"/>
  <c r="H30" i="4504"/>
  <c r="H29" i="4504"/>
  <c r="H28" i="4504"/>
  <c r="C25" i="4504"/>
  <c r="H13" i="4504"/>
  <c r="H27" i="4504"/>
  <c r="H12" i="4504"/>
  <c r="B22" i="4504"/>
  <c r="H26" i="4504"/>
  <c r="H25" i="4504"/>
  <c r="C20" i="4504"/>
  <c r="H24" i="4504"/>
  <c r="H23" i="4504"/>
  <c r="H22" i="4504"/>
  <c r="B17" i="4504"/>
  <c r="C18" i="4504" s="1"/>
  <c r="H21" i="4504"/>
  <c r="C16" i="4504"/>
  <c r="H20" i="4504"/>
  <c r="C15" i="4504"/>
  <c r="H19" i="4504"/>
  <c r="C14" i="4504"/>
  <c r="H11" i="4504"/>
  <c r="C13" i="4504"/>
  <c r="O12" i="4504"/>
  <c r="H18" i="4504"/>
  <c r="C12" i="4504"/>
  <c r="O11" i="4504"/>
  <c r="H17" i="4504"/>
  <c r="C11" i="4504"/>
  <c r="O10" i="4504"/>
  <c r="H3" i="4504"/>
  <c r="C10" i="4504"/>
  <c r="H16" i="4504"/>
  <c r="C9" i="4504"/>
  <c r="H15" i="4504"/>
  <c r="C8" i="4504"/>
  <c r="O7" i="4504"/>
  <c r="H9" i="4504"/>
  <c r="C7" i="4504"/>
  <c r="O6" i="4504"/>
  <c r="H6" i="4504"/>
  <c r="B6" i="4504"/>
  <c r="O5" i="4504"/>
  <c r="H5" i="4504"/>
  <c r="B5" i="4504"/>
  <c r="O4" i="4504"/>
  <c r="H4" i="4504"/>
  <c r="O3" i="4504"/>
  <c r="H8" i="4504"/>
  <c r="O2" i="4504"/>
  <c r="H2" i="4504"/>
  <c r="O16" i="4498"/>
  <c r="O21" i="4494"/>
  <c r="O20" i="4490"/>
  <c r="C19" i="4504" l="1"/>
  <c r="C17" i="4504"/>
  <c r="B21" i="4504"/>
  <c r="O16" i="4496" l="1"/>
  <c r="O21" i="4502"/>
  <c r="O16" i="4502"/>
  <c r="H6" i="4502"/>
  <c r="H52" i="4502"/>
  <c r="H51" i="4502"/>
  <c r="H50" i="4502"/>
  <c r="H49" i="4502"/>
  <c r="H48" i="4502"/>
  <c r="H47" i="4502"/>
  <c r="H46" i="4502"/>
  <c r="H45" i="4502"/>
  <c r="H44" i="4502"/>
  <c r="H43" i="4502"/>
  <c r="H42" i="4502"/>
  <c r="H41" i="4502"/>
  <c r="H40" i="4502"/>
  <c r="H39" i="4502"/>
  <c r="H38" i="4502"/>
  <c r="H37" i="4502"/>
  <c r="H36" i="4502"/>
  <c r="H35" i="4502"/>
  <c r="H34" i="4502"/>
  <c r="H33" i="4502"/>
  <c r="H32" i="4502"/>
  <c r="H31" i="4502"/>
  <c r="H30" i="4502"/>
  <c r="H9" i="4502"/>
  <c r="H29" i="4502"/>
  <c r="H28" i="4502"/>
  <c r="H27" i="4502"/>
  <c r="C25" i="4502"/>
  <c r="H26" i="4502"/>
  <c r="H25" i="4502"/>
  <c r="H11" i="4502"/>
  <c r="B22" i="4502"/>
  <c r="H24" i="4502"/>
  <c r="H23" i="4502"/>
  <c r="C20" i="4502"/>
  <c r="H22" i="4502"/>
  <c r="H21" i="4502"/>
  <c r="H13" i="4502"/>
  <c r="B17" i="4502"/>
  <c r="B21" i="4502" s="1"/>
  <c r="H20" i="4502"/>
  <c r="C16" i="4502"/>
  <c r="H19" i="4502"/>
  <c r="C15" i="4502"/>
  <c r="H18" i="4502"/>
  <c r="C14" i="4502"/>
  <c r="H17" i="4502"/>
  <c r="C13" i="4502"/>
  <c r="O12" i="4502"/>
  <c r="H16" i="4502"/>
  <c r="C12" i="4502"/>
  <c r="O11" i="4502"/>
  <c r="H15" i="4502"/>
  <c r="C11" i="4502"/>
  <c r="O10" i="4502"/>
  <c r="H3" i="4502"/>
  <c r="C10" i="4502"/>
  <c r="H12" i="4502"/>
  <c r="C9" i="4502"/>
  <c r="H8" i="4502"/>
  <c r="C8" i="4502"/>
  <c r="O7" i="4502"/>
  <c r="H7" i="4502"/>
  <c r="C7" i="4502"/>
  <c r="O6" i="4502"/>
  <c r="H4" i="4502"/>
  <c r="B6" i="4502"/>
  <c r="O5" i="4502"/>
  <c r="H10" i="4502"/>
  <c r="B5" i="4502"/>
  <c r="O4" i="4502"/>
  <c r="H2" i="4502"/>
  <c r="O3" i="4502"/>
  <c r="H14" i="4502"/>
  <c r="O2" i="4502"/>
  <c r="H5" i="4502"/>
  <c r="O15" i="4492"/>
  <c r="O16" i="4490"/>
  <c r="O19" i="4500"/>
  <c r="O18" i="4494"/>
  <c r="O17" i="4494"/>
  <c r="O19" i="4498"/>
  <c r="O17" i="4500"/>
  <c r="O18" i="4500"/>
  <c r="H3" i="4500"/>
  <c r="H52" i="4500"/>
  <c r="H51" i="4500"/>
  <c r="H50" i="4500"/>
  <c r="H49" i="4500"/>
  <c r="H48" i="4500"/>
  <c r="H47" i="4500"/>
  <c r="H46" i="4500"/>
  <c r="H45" i="4500"/>
  <c r="H44" i="4500"/>
  <c r="H43" i="4500"/>
  <c r="H42" i="4500"/>
  <c r="H41" i="4500"/>
  <c r="H40" i="4500"/>
  <c r="H39" i="4500"/>
  <c r="H38" i="4500"/>
  <c r="H37" i="4500"/>
  <c r="H36" i="4500"/>
  <c r="H35" i="4500"/>
  <c r="H34" i="4500"/>
  <c r="H33" i="4500"/>
  <c r="H32" i="4500"/>
  <c r="H31" i="4500"/>
  <c r="H30" i="4500"/>
  <c r="H9" i="4500"/>
  <c r="H29" i="4500"/>
  <c r="H28" i="4500"/>
  <c r="H13" i="4500"/>
  <c r="C25" i="4500"/>
  <c r="H27" i="4500"/>
  <c r="H26" i="4500"/>
  <c r="H12" i="4500"/>
  <c r="B22" i="4500"/>
  <c r="H25" i="4500"/>
  <c r="H11" i="4500"/>
  <c r="C20" i="4500"/>
  <c r="H24" i="4500"/>
  <c r="H23" i="4500"/>
  <c r="H22" i="4500"/>
  <c r="B17" i="4500"/>
  <c r="B21" i="4500" s="1"/>
  <c r="H21" i="4500"/>
  <c r="C16" i="4500"/>
  <c r="H20" i="4500"/>
  <c r="C15" i="4500"/>
  <c r="H19" i="4500"/>
  <c r="C14" i="4500"/>
  <c r="H18" i="4500"/>
  <c r="C13" i="4500"/>
  <c r="O12" i="4500"/>
  <c r="H17" i="4500"/>
  <c r="C12" i="4500"/>
  <c r="O11" i="4500"/>
  <c r="H16" i="4500"/>
  <c r="C11" i="4500"/>
  <c r="O10" i="4500"/>
  <c r="H2" i="4500"/>
  <c r="C10" i="4500"/>
  <c r="H15" i="4500"/>
  <c r="C9" i="4500"/>
  <c r="H14" i="4500"/>
  <c r="C8" i="4500"/>
  <c r="O7" i="4500"/>
  <c r="H10" i="4500"/>
  <c r="C7" i="4500"/>
  <c r="O6" i="4500"/>
  <c r="H7" i="4500"/>
  <c r="B6" i="4500"/>
  <c r="O5" i="4500"/>
  <c r="H6" i="4500"/>
  <c r="B5" i="4500"/>
  <c r="O4" i="4500"/>
  <c r="H5" i="4500"/>
  <c r="O3" i="4500"/>
  <c r="H8" i="4500"/>
  <c r="O2" i="4500"/>
  <c r="H4" i="4500"/>
  <c r="O20" i="4498"/>
  <c r="O18" i="4498"/>
  <c r="H5" i="4498"/>
  <c r="H52" i="4498"/>
  <c r="H51" i="4498"/>
  <c r="H50" i="4498"/>
  <c r="H49" i="4498"/>
  <c r="H48" i="4498"/>
  <c r="H47" i="4498"/>
  <c r="H46" i="4498"/>
  <c r="H45" i="4498"/>
  <c r="H44" i="4498"/>
  <c r="H43" i="4498"/>
  <c r="H42" i="4498"/>
  <c r="H41" i="4498"/>
  <c r="H40" i="4498"/>
  <c r="H39" i="4498"/>
  <c r="H38" i="4498"/>
  <c r="H37" i="4498"/>
  <c r="H36" i="4498"/>
  <c r="H35" i="4498"/>
  <c r="H34" i="4498"/>
  <c r="H33" i="4498"/>
  <c r="H14" i="4498"/>
  <c r="H32" i="4498"/>
  <c r="H31" i="4498"/>
  <c r="H8" i="4498"/>
  <c r="H30" i="4498"/>
  <c r="H29" i="4498"/>
  <c r="H28" i="4498"/>
  <c r="C25" i="4498"/>
  <c r="H27" i="4498"/>
  <c r="H26" i="4498"/>
  <c r="H13" i="4498"/>
  <c r="B22" i="4498"/>
  <c r="H25" i="4498"/>
  <c r="H24" i="4498"/>
  <c r="C20" i="4498"/>
  <c r="H23" i="4498"/>
  <c r="H22" i="4498"/>
  <c r="H21" i="4498"/>
  <c r="B17" i="4498"/>
  <c r="B21" i="4498" s="1"/>
  <c r="H20" i="4498"/>
  <c r="C16" i="4498"/>
  <c r="H19" i="4498"/>
  <c r="C15" i="4498"/>
  <c r="H18" i="4498"/>
  <c r="C14" i="4498"/>
  <c r="H12" i="4498"/>
  <c r="C13" i="4498"/>
  <c r="O12" i="4498"/>
  <c r="H17" i="4498"/>
  <c r="C12" i="4498"/>
  <c r="O11" i="4498"/>
  <c r="H16" i="4498"/>
  <c r="C11" i="4498"/>
  <c r="O10" i="4498"/>
  <c r="H3" i="4498"/>
  <c r="C10" i="4498"/>
  <c r="H15" i="4498"/>
  <c r="C9" i="4498"/>
  <c r="H10" i="4498"/>
  <c r="C8" i="4498"/>
  <c r="O7" i="4498"/>
  <c r="H6" i="4498"/>
  <c r="C7" i="4498"/>
  <c r="O6" i="4498"/>
  <c r="H7" i="4498"/>
  <c r="B6" i="4498"/>
  <c r="O5" i="4498"/>
  <c r="H9" i="4498"/>
  <c r="B5" i="4498"/>
  <c r="O4" i="4498"/>
  <c r="H2" i="4498"/>
  <c r="O3" i="4498"/>
  <c r="H11" i="4498"/>
  <c r="O2" i="4498"/>
  <c r="H4" i="4498"/>
  <c r="O21" i="4492"/>
  <c r="O18" i="4492"/>
  <c r="O18" i="4490"/>
  <c r="O19" i="4490"/>
  <c r="C19" i="4498" l="1"/>
  <c r="C18" i="4502"/>
  <c r="C19" i="4502"/>
  <c r="C17" i="4502"/>
  <c r="C18" i="4500"/>
  <c r="C19" i="4500"/>
  <c r="C18" i="4498"/>
  <c r="C17" i="4500"/>
  <c r="C17" i="4498"/>
  <c r="O15" i="4496" l="1"/>
  <c r="O17" i="4496"/>
  <c r="H7" i="4496"/>
  <c r="H52" i="4496"/>
  <c r="H51" i="4496"/>
  <c r="H50" i="4496"/>
  <c r="H49" i="4496"/>
  <c r="H48" i="4496"/>
  <c r="H47" i="4496"/>
  <c r="H46" i="4496"/>
  <c r="H45" i="4496"/>
  <c r="H44" i="4496"/>
  <c r="H43" i="4496"/>
  <c r="H42" i="4496"/>
  <c r="H41" i="4496"/>
  <c r="H40" i="4496"/>
  <c r="H39" i="4496"/>
  <c r="H38" i="4496"/>
  <c r="H37" i="4496"/>
  <c r="H36" i="4496"/>
  <c r="H35" i="4496"/>
  <c r="H34" i="4496"/>
  <c r="H33" i="4496"/>
  <c r="H32" i="4496"/>
  <c r="H31" i="4496"/>
  <c r="H30" i="4496"/>
  <c r="H9" i="4496"/>
  <c r="H29" i="4496"/>
  <c r="H28" i="4496"/>
  <c r="H12" i="4496"/>
  <c r="C25" i="4496"/>
  <c r="H27" i="4496"/>
  <c r="H26" i="4496"/>
  <c r="H15" i="4496"/>
  <c r="B22" i="4496"/>
  <c r="H25" i="4496"/>
  <c r="H24" i="4496"/>
  <c r="C20" i="4496"/>
  <c r="H23" i="4496"/>
  <c r="H22" i="4496"/>
  <c r="H21" i="4496"/>
  <c r="B17" i="4496"/>
  <c r="C19" i="4496" s="1"/>
  <c r="H14" i="4496"/>
  <c r="C16" i="4496"/>
  <c r="H20" i="4496"/>
  <c r="C15" i="4496"/>
  <c r="H19" i="4496"/>
  <c r="C14" i="4496"/>
  <c r="H18" i="4496"/>
  <c r="C13" i="4496"/>
  <c r="O12" i="4496"/>
  <c r="H17" i="4496"/>
  <c r="C12" i="4496"/>
  <c r="O11" i="4496"/>
  <c r="H16" i="4496"/>
  <c r="C11" i="4496"/>
  <c r="O10" i="4496"/>
  <c r="H5" i="4496"/>
  <c r="C10" i="4496"/>
  <c r="H8" i="4496"/>
  <c r="C9" i="4496"/>
  <c r="H11" i="4496"/>
  <c r="C8" i="4496"/>
  <c r="O7" i="4496"/>
  <c r="H10" i="4496"/>
  <c r="C7" i="4496"/>
  <c r="O6" i="4496"/>
  <c r="H6" i="4496"/>
  <c r="B6" i="4496"/>
  <c r="O5" i="4496"/>
  <c r="H4" i="4496"/>
  <c r="B5" i="4496"/>
  <c r="O4" i="4496"/>
  <c r="H2" i="4496"/>
  <c r="O3" i="4496"/>
  <c r="H13" i="4496"/>
  <c r="O2" i="4496"/>
  <c r="H3" i="4496"/>
  <c r="O20" i="4494"/>
  <c r="O19" i="4494"/>
  <c r="H4" i="4494"/>
  <c r="H52" i="4494"/>
  <c r="H51" i="4494"/>
  <c r="H50" i="4494"/>
  <c r="H49" i="4494"/>
  <c r="H48" i="4494"/>
  <c r="H47" i="4494"/>
  <c r="H46" i="4494"/>
  <c r="H45" i="4494"/>
  <c r="H44" i="4494"/>
  <c r="H43" i="4494"/>
  <c r="H42" i="4494"/>
  <c r="H41" i="4494"/>
  <c r="H40" i="4494"/>
  <c r="H39" i="4494"/>
  <c r="H38" i="4494"/>
  <c r="H37" i="4494"/>
  <c r="H36" i="4494"/>
  <c r="H35" i="4494"/>
  <c r="H34" i="4494"/>
  <c r="H33" i="4494"/>
  <c r="H32" i="4494"/>
  <c r="H18" i="4494"/>
  <c r="H31" i="4494"/>
  <c r="H11" i="4494"/>
  <c r="H30" i="4494"/>
  <c r="H29" i="4494"/>
  <c r="H13" i="4494"/>
  <c r="C25" i="4494"/>
  <c r="H28" i="4494"/>
  <c r="H27" i="4494"/>
  <c r="H17" i="4494"/>
  <c r="B22" i="4494"/>
  <c r="H26" i="4494"/>
  <c r="H12" i="4494"/>
  <c r="C20" i="4494"/>
  <c r="H25" i="4494"/>
  <c r="C19" i="4494"/>
  <c r="H24" i="4494"/>
  <c r="H23" i="4494"/>
  <c r="B17" i="4494"/>
  <c r="C18" i="4494" s="1"/>
  <c r="H22" i="4494"/>
  <c r="C16" i="4494"/>
  <c r="H21" i="4494"/>
  <c r="C15" i="4494"/>
  <c r="H20" i="4494"/>
  <c r="C14" i="4494"/>
  <c r="H16" i="4494"/>
  <c r="C13" i="4494"/>
  <c r="O12" i="4494"/>
  <c r="H19" i="4494"/>
  <c r="C12" i="4494"/>
  <c r="O11" i="4494"/>
  <c r="H15" i="4494"/>
  <c r="C11" i="4494"/>
  <c r="O10" i="4494"/>
  <c r="H5" i="4494"/>
  <c r="C10" i="4494"/>
  <c r="H14" i="4494"/>
  <c r="C9" i="4494"/>
  <c r="H10" i="4494"/>
  <c r="C8" i="4494"/>
  <c r="O7" i="4494"/>
  <c r="H8" i="4494"/>
  <c r="C7" i="4494"/>
  <c r="O6" i="4494"/>
  <c r="H7" i="4494"/>
  <c r="B6" i="4494"/>
  <c r="O5" i="4494"/>
  <c r="H6" i="4494"/>
  <c r="B5" i="4494"/>
  <c r="O4" i="4494"/>
  <c r="H2" i="4494"/>
  <c r="O3" i="4494"/>
  <c r="H9" i="4494"/>
  <c r="O2" i="4494"/>
  <c r="H3" i="4494"/>
  <c r="O23" i="4490"/>
  <c r="O19" i="4492"/>
  <c r="O20" i="4492"/>
  <c r="H4" i="4492"/>
  <c r="H52" i="4492"/>
  <c r="H51" i="4492"/>
  <c r="H50" i="4492"/>
  <c r="H49" i="4492"/>
  <c r="H48" i="4492"/>
  <c r="H47" i="4492"/>
  <c r="H46" i="4492"/>
  <c r="H45" i="4492"/>
  <c r="H44" i="4492"/>
  <c r="H43" i="4492"/>
  <c r="H42" i="4492"/>
  <c r="H41" i="4492"/>
  <c r="H40" i="4492"/>
  <c r="H39" i="4492"/>
  <c r="H38" i="4492"/>
  <c r="H37" i="4492"/>
  <c r="H36" i="4492"/>
  <c r="H35" i="4492"/>
  <c r="H34" i="4492"/>
  <c r="H33" i="4492"/>
  <c r="H32" i="4492"/>
  <c r="H31" i="4492"/>
  <c r="H30" i="4492"/>
  <c r="H7" i="4492"/>
  <c r="H29" i="4492"/>
  <c r="H28" i="4492"/>
  <c r="H11" i="4492"/>
  <c r="C25" i="4492"/>
  <c r="H27" i="4492"/>
  <c r="H26" i="4492"/>
  <c r="H14" i="4492"/>
  <c r="B22" i="4492"/>
  <c r="H25" i="4492"/>
  <c r="H16" i="4492"/>
  <c r="C20" i="4492"/>
  <c r="H24" i="4492"/>
  <c r="H23" i="4492"/>
  <c r="C18" i="4492"/>
  <c r="H22" i="4492"/>
  <c r="B17" i="4492"/>
  <c r="B21" i="4492" s="1"/>
  <c r="H12" i="4492"/>
  <c r="C16" i="4492"/>
  <c r="H21" i="4492"/>
  <c r="C15" i="4492"/>
  <c r="H20" i="4492"/>
  <c r="C14" i="4492"/>
  <c r="H19" i="4492"/>
  <c r="C13" i="4492"/>
  <c r="O12" i="4492"/>
  <c r="H18" i="4492"/>
  <c r="C12" i="4492"/>
  <c r="O11" i="4492"/>
  <c r="H17" i="4492"/>
  <c r="C11" i="4492"/>
  <c r="O10" i="4492"/>
  <c r="H2" i="4492"/>
  <c r="C10" i="4492"/>
  <c r="H15" i="4492"/>
  <c r="C9" i="4492"/>
  <c r="H13" i="4492"/>
  <c r="C8" i="4492"/>
  <c r="O7" i="4492"/>
  <c r="H6" i="4492"/>
  <c r="C7" i="4492"/>
  <c r="O6" i="4492"/>
  <c r="H9" i="4492"/>
  <c r="B6" i="4492"/>
  <c r="O5" i="4492"/>
  <c r="H8" i="4492"/>
  <c r="B5" i="4492"/>
  <c r="O4" i="4492"/>
  <c r="H3" i="4492"/>
  <c r="O3" i="4492"/>
  <c r="H10" i="4492"/>
  <c r="O2" i="4492"/>
  <c r="H5" i="4492"/>
  <c r="O17" i="4490"/>
  <c r="O21" i="4490"/>
  <c r="H5" i="4490"/>
  <c r="H52" i="4490"/>
  <c r="H51" i="4490"/>
  <c r="H50" i="4490"/>
  <c r="H49" i="4490"/>
  <c r="H48" i="4490"/>
  <c r="H47" i="4490"/>
  <c r="H46" i="4490"/>
  <c r="H45" i="4490"/>
  <c r="H44" i="4490"/>
  <c r="H43" i="4490"/>
  <c r="H42" i="4490"/>
  <c r="H41" i="4490"/>
  <c r="H40" i="4490"/>
  <c r="H39" i="4490"/>
  <c r="H38" i="4490"/>
  <c r="H37" i="4490"/>
  <c r="H36" i="4490"/>
  <c r="H35" i="4490"/>
  <c r="H34" i="4490"/>
  <c r="H33" i="4490"/>
  <c r="H22" i="4490"/>
  <c r="H18" i="4490"/>
  <c r="H32" i="4490"/>
  <c r="H9" i="4490"/>
  <c r="H31" i="4490"/>
  <c r="H30" i="4490"/>
  <c r="H12" i="4490"/>
  <c r="C25" i="4490"/>
  <c r="H21" i="4490"/>
  <c r="H29" i="4490"/>
  <c r="H13" i="4490"/>
  <c r="B22" i="4490"/>
  <c r="H28" i="4490"/>
  <c r="H16" i="4490"/>
  <c r="C20" i="4490"/>
  <c r="H27" i="4490"/>
  <c r="H26" i="4490"/>
  <c r="H20" i="4490"/>
  <c r="B17" i="4490"/>
  <c r="C18" i="4490" s="1"/>
  <c r="H15" i="4490"/>
  <c r="C16" i="4490"/>
  <c r="H25" i="4490"/>
  <c r="C15" i="4490"/>
  <c r="H24" i="4490"/>
  <c r="C14" i="4490"/>
  <c r="H17" i="4490"/>
  <c r="C13" i="4490"/>
  <c r="O12" i="4490"/>
  <c r="H23" i="4490"/>
  <c r="C12" i="4490"/>
  <c r="O11" i="4490"/>
  <c r="H19" i="4490"/>
  <c r="C11" i="4490"/>
  <c r="O10" i="4490"/>
  <c r="H3" i="4490"/>
  <c r="C10" i="4490"/>
  <c r="H14" i="4490"/>
  <c r="C9" i="4490"/>
  <c r="H11" i="4490"/>
  <c r="C8" i="4490"/>
  <c r="O7" i="4490"/>
  <c r="H8" i="4490"/>
  <c r="C7" i="4490"/>
  <c r="O6" i="4490"/>
  <c r="H6" i="4490"/>
  <c r="B6" i="4490"/>
  <c r="O5" i="4490"/>
  <c r="H7" i="4490"/>
  <c r="B5" i="4490"/>
  <c r="O4" i="4490"/>
  <c r="H2" i="4490"/>
  <c r="O3" i="4490"/>
  <c r="H10" i="4490"/>
  <c r="O2" i="4490"/>
  <c r="H4" i="4490"/>
  <c r="C19" i="4490" l="1"/>
  <c r="C17" i="4496"/>
  <c r="B21" i="4496"/>
  <c r="C18" i="4496"/>
  <c r="B21" i="4494"/>
  <c r="C17" i="4494"/>
  <c r="C17" i="4492"/>
  <c r="C19" i="4492"/>
  <c r="B21" i="4490"/>
  <c r="C17" i="449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<sst xmlns="http://schemas.openxmlformats.org/spreadsheetml/2006/main" count="2418" uniqueCount="198">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</sst>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全体!$L$2:$L$86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5-437E-8A72-74DDF4FDE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-59.523809523809526</c:v>
                </c:pt>
                <c:pt idx="1">
                  <c:v>0</c:v>
                </c:pt>
                <c:pt idx="2">
                  <c:v>64.102564102564102</c:v>
                </c:pt>
                <c:pt idx="3">
                  <c:v>0</c:v>
                </c:pt>
                <c:pt idx="4">
                  <c:v>-13.888888888888889</c:v>
                </c:pt>
                <c:pt idx="5">
                  <c:v>15.151515151515152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17-4DF6-A4E4-7AF3055D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だいち!$L$2:$L$17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D-4886-9C25-E3E93A3BB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2040</c:v>
                </c:pt>
                <c:pt idx="1">
                  <c:v>5400</c:v>
                </c:pt>
                <c:pt idx="2">
                  <c:v>3842.8571428571427</c:v>
                </c:pt>
                <c:pt idx="3">
                  <c:v>8007.6923076923076</c:v>
                </c:pt>
                <c:pt idx="4">
                  <c:v>1700</c:v>
                </c:pt>
                <c:pt idx="5">
                  <c:v>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FD-48AD-A674-B1EDBC648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5-4DFD-9CB7-BDE4241CE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518.75</c:v>
                </c:pt>
                <c:pt idx="1">
                  <c:v>-918.75</c:v>
                </c:pt>
                <c:pt idx="2">
                  <c:v>-1500</c:v>
                </c:pt>
                <c:pt idx="3">
                  <c:v>2768.75</c:v>
                </c:pt>
                <c:pt idx="4">
                  <c:v>2975</c:v>
                </c:pt>
                <c:pt idx="5">
                  <c:v>13.333333333333334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C-4570-B9A0-F13AC6596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4-4E89-AEE6-50B2DF06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1255.5555555555557</c:v>
                </c:pt>
                <c:pt idx="1">
                  <c:v>-3022.2222222222222</c:v>
                </c:pt>
                <c:pt idx="2">
                  <c:v>-2914.2857142857142</c:v>
                </c:pt>
                <c:pt idx="3">
                  <c:v>-5114.2857142857147</c:v>
                </c:pt>
                <c:pt idx="4">
                  <c:v>-1571.4285714285713</c:v>
                </c:pt>
                <c:pt idx="5">
                  <c:v>-642.85714285714289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4-4A37-ADB1-6EF77FA8C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B0-430F-835B-D256411CD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-2285.7142857142858</c:v>
                </c:pt>
                <c:pt idx="1">
                  <c:v>1735.7142857142858</c:v>
                </c:pt>
                <c:pt idx="2">
                  <c:v>-138.46153846153845</c:v>
                </c:pt>
                <c:pt idx="3">
                  <c:v>-5016.666666666667</c:v>
                </c:pt>
                <c:pt idx="4">
                  <c:v>1681.8181818181818</c:v>
                </c:pt>
                <c:pt idx="5">
                  <c:v>1088.8888888888889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C-4BE3-906C-5901B31E4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B-401B-8080-ACA1EB193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96-4955-8334-FA4514DE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8F-4813-867F-C04FCD149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-3272.7272727272725</c:v>
                </c:pt>
                <c:pt idx="1">
                  <c:v>-4881.818181818182</c:v>
                </c:pt>
                <c:pt idx="2">
                  <c:v>-500</c:v>
                </c:pt>
                <c:pt idx="3">
                  <c:v>-8177.7777777777774</c:v>
                </c:pt>
                <c:pt idx="4">
                  <c:v>-3850</c:v>
                </c:pt>
                <c:pt idx="5">
                  <c:v>-900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3A-4940-88B4-8241EABB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5-4D9C-B25B-29D835DE4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-1133.3333333333333</c:v>
                </c:pt>
                <c:pt idx="1">
                  <c:v>-2716.6666666666665</c:v>
                </c:pt>
                <c:pt idx="2">
                  <c:v>2133.3333333333335</c:v>
                </c:pt>
                <c:pt idx="3">
                  <c:v>483.33333333333331</c:v>
                </c:pt>
                <c:pt idx="4">
                  <c:v>-2366.6666666666665</c:v>
                </c:pt>
                <c:pt idx="5">
                  <c:v>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2-473B-AAD7-CC93467E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B7-4455-B300-5640F19E5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8-4838-8BBD-F35EB2EC8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1-43AB-B572-0DF9D560A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350</c:v>
                </c:pt>
                <c:pt idx="1">
                  <c:v>-5500</c:v>
                </c:pt>
                <c:pt idx="2">
                  <c:v>700</c:v>
                </c:pt>
                <c:pt idx="3">
                  <c:v>-10400</c:v>
                </c:pt>
                <c:pt idx="4">
                  <c:v>-1000</c:v>
                </c:pt>
                <c:pt idx="5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2C-42A6-8BB3-486745CB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-43.7</c:v>
                </c:pt>
                <c:pt idx="2">
                  <c:v>-38.1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3</c:v>
                </c:pt>
                <c:pt idx="2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0.22222222222222221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</c:formatCode>
                <c:ptCount val="3"/>
                <c:pt idx="1">
                  <c:v>3650</c:v>
                </c:pt>
                <c:pt idx="2">
                  <c:v>3366.6666666666665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-8566.6666666666661</c:v>
                </c:pt>
                <c:pt idx="2">
                  <c:v>-6940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0.5</c:v>
                </c:pt>
                <c:pt idx="2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83AE0B-D437-400A-9C5F-EAC55FB73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7BFF74-398D-4E1F-A779-019BD48A3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892F7D-268C-4973-B0F0-CBC51BA978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CDF84E-5134-443D-94DE-7F8CC711F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13C724-B0A0-4277-9ADD-D91B425178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BC017B-9244-4701-B281-F481526F2C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9C0274-2D65-4C15-8E79-8ACDBD874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AB00F4-31EF-4C02-8AC5-A456519EA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E5ED35-5368-481E-A5B3-E5D239FBD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5127AB-4B99-434D-A531-6B89F6CB5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C26948-86CF-4036-B744-1AB503490B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1BE710-E1C3-4EA7-AF54-40F57EE87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CB7B1E-EF93-440D-B74C-EF2A9345C1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851593-AA79-44BA-8ED0-6CC70A7DE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86B825-FD7D-432F-876E-8935840CD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5A7415-283A-42DC-A53C-1C0A7B635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710CE6-D3D3-4FE1-A131-3C672DFC6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2355DC-AFDE-427E-AA08-BE4B1D15B7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FBE482-49DE-4B86-999A-53F145D55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E20677-1207-4C22-851A-B4549902D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43562.38486111111</v>
      </c>
      <c r="C7" s="30" t="s">
        <v>134</v>
      </c>
      <c r="D7" s="30" t="s">
        <v>135</v>
      </c>
      <c r="E7" s="30" t="s">
        <v>177</v>
      </c>
      <c r="F7" s="30" t="s">
        <v>182</v>
      </c>
      <c r="G7" s="30" t="s">
        <v>183</v>
      </c>
      <c r="H7" s="30" t="s">
        <v>195</v>
      </c>
      <c r="I7" s="30" t="s">
        <v>196</v>
      </c>
      <c r="J7" s="30" t="s">
        <v>197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193</v>
      </c>
    </row>
    <row r="10" spans="1:1" x14ac:dyDescent="0.4">
      <c r="A10" t="s">
        <v>194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0.98152025379849905</v>
      </c>
      <c r="G2" s="164"/>
      <c r="H2" s="163">
        <v>0.9643209821123282</v>
      </c>
      <c r="I2" s="164"/>
      <c r="J2" s="163">
        <v>0.98209537616122844</v>
      </c>
      <c r="K2" s="164"/>
      <c r="L2" s="163">
        <v>0.81542182852382006</v>
      </c>
      <c r="M2" s="164"/>
      <c r="N2" s="163">
        <v>0.98439327466576632</v>
      </c>
      <c r="O2" s="164"/>
      <c r="P2" s="163">
        <v>0.77900751041582739</v>
      </c>
      <c r="Q2" s="164"/>
      <c r="R2" s="163">
        <v>0.81247353359449292</v>
      </c>
      <c r="S2" s="164"/>
      <c r="T2" s="163">
        <v>0.8788659678984645</v>
      </c>
      <c r="U2" s="164"/>
      <c r="V2" s="163">
        <v>0.98945170626062029</v>
      </c>
      <c r="W2" s="164"/>
      <c r="X2" s="163">
        <v>0.92494146438941838</v>
      </c>
      <c r="Y2" s="164"/>
      <c r="Z2" s="163">
        <v>0.90062109072231755</v>
      </c>
      <c r="AA2" s="164"/>
      <c r="AB2" s="163">
        <v>-0.31062258285625233</v>
      </c>
      <c r="AC2" s="164"/>
      <c r="AD2" s="163">
        <v>0.55871706507215413</v>
      </c>
      <c r="AE2" s="164"/>
      <c r="AF2" s="163">
        <v>0.69912545523244041</v>
      </c>
      <c r="AG2" s="164"/>
      <c r="AH2" s="163">
        <v>-0.73331208041700202</v>
      </c>
      <c r="AI2" s="164"/>
      <c r="AJ2" s="163">
        <v>-0.80064097739052797</v>
      </c>
      <c r="AK2" s="164"/>
      <c r="AL2" s="163">
        <v>0.95936475279538669</v>
      </c>
      <c r="AM2" s="164"/>
      <c r="AN2" s="163">
        <v>1.1634541689137603E-2</v>
      </c>
      <c r="AO2" s="164"/>
    </row>
    <row r="3" spans="1:41" x14ac:dyDescent="0.4">
      <c r="A3" s="74">
        <v>1</v>
      </c>
      <c r="B3" s="75" t="s">
        <v>131</v>
      </c>
      <c r="C3" s="76">
        <v>481.50000000000006</v>
      </c>
      <c r="D3" s="77" t="s">
        <v>131</v>
      </c>
      <c r="E3" s="100">
        <v>32.1</v>
      </c>
      <c r="F3" s="77" t="s">
        <v>193</v>
      </c>
      <c r="G3" s="78">
        <v>1.3333333333333333</v>
      </c>
      <c r="H3" s="77" t="s">
        <v>131</v>
      </c>
      <c r="I3" s="79">
        <v>0.66666666666666663</v>
      </c>
      <c r="J3" s="77" t="s">
        <v>193</v>
      </c>
      <c r="K3" s="79">
        <v>0</v>
      </c>
      <c r="L3" s="77" t="s">
        <v>131</v>
      </c>
      <c r="M3" s="80">
        <v>0.46280991735537191</v>
      </c>
      <c r="N3" s="77" t="s">
        <v>193</v>
      </c>
      <c r="O3" s="80">
        <v>0.10526315789473684</v>
      </c>
      <c r="P3" s="77" t="s">
        <v>132</v>
      </c>
      <c r="Q3" s="81">
        <v>8000</v>
      </c>
      <c r="R3" s="77" t="s">
        <v>193</v>
      </c>
      <c r="S3" s="81">
        <v>-5150</v>
      </c>
      <c r="T3" s="77" t="s">
        <v>131</v>
      </c>
      <c r="U3" s="79">
        <v>0</v>
      </c>
      <c r="V3" s="77" t="s">
        <v>131</v>
      </c>
      <c r="W3" s="79">
        <v>0.13333333333333333</v>
      </c>
      <c r="X3" s="77" t="s">
        <v>131</v>
      </c>
      <c r="Y3" s="79">
        <v>0.26666666666666666</v>
      </c>
      <c r="Z3" s="77" t="s">
        <v>131</v>
      </c>
      <c r="AA3" s="80">
        <v>0.36363636363636365</v>
      </c>
      <c r="AB3" s="77" t="s">
        <v>180</v>
      </c>
      <c r="AC3" s="80">
        <v>0.34426229508196721</v>
      </c>
      <c r="AD3" s="77" t="s">
        <v>194</v>
      </c>
      <c r="AE3" s="80">
        <v>1</v>
      </c>
      <c r="AF3" s="77" t="s">
        <v>194</v>
      </c>
      <c r="AG3" s="80">
        <v>1</v>
      </c>
      <c r="AH3" s="77" t="s">
        <v>194</v>
      </c>
      <c r="AI3" s="80">
        <v>0.66666666666666663</v>
      </c>
      <c r="AJ3" s="77" t="s">
        <v>149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3</v>
      </c>
    </row>
    <row r="4" spans="1:41" x14ac:dyDescent="0.4">
      <c r="A4" s="84">
        <v>2</v>
      </c>
      <c r="B4" s="85" t="s">
        <v>193</v>
      </c>
      <c r="C4" s="86">
        <v>61</v>
      </c>
      <c r="D4" s="87" t="s">
        <v>193</v>
      </c>
      <c r="E4" s="101">
        <v>20.333333333333332</v>
      </c>
      <c r="F4" s="87" t="s">
        <v>131</v>
      </c>
      <c r="G4" s="88">
        <v>1.4</v>
      </c>
      <c r="H4" s="87" t="s">
        <v>193</v>
      </c>
      <c r="I4" s="89">
        <v>0.66666666666666663</v>
      </c>
      <c r="J4" s="87" t="s">
        <v>131</v>
      </c>
      <c r="K4" s="89">
        <v>6.6666666666666666E-2</v>
      </c>
      <c r="L4" s="87" t="s">
        <v>132</v>
      </c>
      <c r="M4" s="90">
        <v>0.32413793103448274</v>
      </c>
      <c r="N4" s="87" t="s">
        <v>131</v>
      </c>
      <c r="O4" s="90">
        <v>0.1487603305785124</v>
      </c>
      <c r="P4" s="87" t="s">
        <v>193</v>
      </c>
      <c r="Q4" s="91">
        <v>7860</v>
      </c>
      <c r="R4" s="87" t="s">
        <v>185</v>
      </c>
      <c r="S4" s="91">
        <v>-5400</v>
      </c>
      <c r="T4" s="87" t="s">
        <v>132</v>
      </c>
      <c r="U4" s="89">
        <v>0</v>
      </c>
      <c r="V4" s="87" t="s">
        <v>179</v>
      </c>
      <c r="W4" s="89">
        <v>7.1428571428571425E-2</v>
      </c>
      <c r="X4" s="87" t="s">
        <v>185</v>
      </c>
      <c r="Y4" s="89">
        <v>0.16666666666666666</v>
      </c>
      <c r="Z4" s="87" t="s">
        <v>132</v>
      </c>
      <c r="AA4" s="90">
        <v>0.34814814814814815</v>
      </c>
      <c r="AB4" s="87" t="s">
        <v>181</v>
      </c>
      <c r="AC4" s="90">
        <v>0.27956989247311825</v>
      </c>
      <c r="AD4" s="87" t="s">
        <v>185</v>
      </c>
      <c r="AE4" s="90">
        <v>0.66666666666666663</v>
      </c>
      <c r="AF4" s="87" t="s">
        <v>131</v>
      </c>
      <c r="AG4" s="90">
        <v>0.6875</v>
      </c>
      <c r="AH4" s="87" t="s">
        <v>181</v>
      </c>
      <c r="AI4" s="90">
        <v>0.5</v>
      </c>
      <c r="AJ4" s="87" t="s">
        <v>133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2</v>
      </c>
    </row>
    <row r="5" spans="1:41" x14ac:dyDescent="0.4">
      <c r="A5" s="84">
        <v>3</v>
      </c>
      <c r="B5" s="85" t="s">
        <v>132</v>
      </c>
      <c r="C5" s="86">
        <v>41.699999999999989</v>
      </c>
      <c r="D5" s="87" t="s">
        <v>132</v>
      </c>
      <c r="E5" s="101">
        <v>2.6062499999999993</v>
      </c>
      <c r="F5" s="87" t="s">
        <v>179</v>
      </c>
      <c r="G5" s="88">
        <v>1.9285714285714286</v>
      </c>
      <c r="H5" s="87" t="s">
        <v>179</v>
      </c>
      <c r="I5" s="89">
        <v>0.42857142857142855</v>
      </c>
      <c r="J5" s="87" t="s">
        <v>180</v>
      </c>
      <c r="K5" s="89">
        <v>0.25</v>
      </c>
      <c r="L5" s="87" t="s">
        <v>185</v>
      </c>
      <c r="M5" s="90">
        <v>0.31111111111111112</v>
      </c>
      <c r="N5" s="87" t="s">
        <v>180</v>
      </c>
      <c r="O5" s="90">
        <v>0.16393442622950818</v>
      </c>
      <c r="P5" s="87" t="s">
        <v>133</v>
      </c>
      <c r="Q5" s="91">
        <v>7710.5263157894733</v>
      </c>
      <c r="R5" s="87" t="s">
        <v>179</v>
      </c>
      <c r="S5" s="91">
        <v>-6895.833333333333</v>
      </c>
      <c r="T5" s="87" t="s">
        <v>180</v>
      </c>
      <c r="U5" s="89">
        <v>0</v>
      </c>
      <c r="V5" s="87" t="s">
        <v>132</v>
      </c>
      <c r="W5" s="89">
        <v>6.25E-2</v>
      </c>
      <c r="X5" s="87" t="s">
        <v>179</v>
      </c>
      <c r="Y5" s="89">
        <v>0.14285714285714285</v>
      </c>
      <c r="Z5" s="87" t="s">
        <v>185</v>
      </c>
      <c r="AA5" s="90">
        <v>0.26666666666666666</v>
      </c>
      <c r="AB5" s="87" t="s">
        <v>185</v>
      </c>
      <c r="AC5" s="90">
        <v>0.26666666666666666</v>
      </c>
      <c r="AD5" s="87" t="s">
        <v>132</v>
      </c>
      <c r="AE5" s="90">
        <v>0.63829787234042556</v>
      </c>
      <c r="AF5" s="87" t="s">
        <v>193</v>
      </c>
      <c r="AG5" s="90">
        <v>0.5</v>
      </c>
      <c r="AH5" s="87" t="s">
        <v>132</v>
      </c>
      <c r="AI5" s="90">
        <v>0.40425531914893614</v>
      </c>
      <c r="AJ5" s="87" t="s">
        <v>181</v>
      </c>
      <c r="AK5" s="92">
        <v>6</v>
      </c>
      <c r="AL5" s="87" t="s">
        <v>132</v>
      </c>
      <c r="AM5" s="96">
        <v>88600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185</v>
      </c>
      <c r="C6" s="86">
        <v>3.8999999999999986</v>
      </c>
      <c r="D6" s="87" t="s">
        <v>185</v>
      </c>
      <c r="E6" s="101">
        <v>0.6499999999999998</v>
      </c>
      <c r="F6" s="87" t="s">
        <v>149</v>
      </c>
      <c r="G6" s="88">
        <v>2</v>
      </c>
      <c r="H6" s="87" t="s">
        <v>149</v>
      </c>
      <c r="I6" s="89">
        <v>0.33333333333333331</v>
      </c>
      <c r="J6" s="87" t="s">
        <v>149</v>
      </c>
      <c r="K6" s="89">
        <v>0.33333333333333331</v>
      </c>
      <c r="L6" s="87" t="s">
        <v>149</v>
      </c>
      <c r="M6" s="90">
        <v>0.30790960451977401</v>
      </c>
      <c r="N6" s="87" t="s">
        <v>132</v>
      </c>
      <c r="O6" s="90">
        <v>0.1793103448275862</v>
      </c>
      <c r="P6" s="87" t="s">
        <v>131</v>
      </c>
      <c r="Q6" s="91">
        <v>7700</v>
      </c>
      <c r="R6" s="87" t="s">
        <v>194</v>
      </c>
      <c r="S6" s="91">
        <v>-6940</v>
      </c>
      <c r="T6" s="87" t="s">
        <v>185</v>
      </c>
      <c r="U6" s="89">
        <v>0</v>
      </c>
      <c r="V6" s="87" t="s">
        <v>149</v>
      </c>
      <c r="W6" s="89">
        <v>4.7619047619047616E-2</v>
      </c>
      <c r="X6" s="87" t="s">
        <v>133</v>
      </c>
      <c r="Y6" s="89">
        <v>0.1111111111111111</v>
      </c>
      <c r="Z6" s="87" t="s">
        <v>149</v>
      </c>
      <c r="AA6" s="90">
        <v>0.26548672566371684</v>
      </c>
      <c r="AB6" s="87" t="s">
        <v>131</v>
      </c>
      <c r="AC6" s="90">
        <v>0.26446280991735538</v>
      </c>
      <c r="AD6" s="87" t="s">
        <v>180</v>
      </c>
      <c r="AE6" s="90">
        <v>0.63636363636363635</v>
      </c>
      <c r="AF6" s="87" t="s">
        <v>149</v>
      </c>
      <c r="AG6" s="90">
        <v>0.41463414634146339</v>
      </c>
      <c r="AH6" s="87" t="s">
        <v>149</v>
      </c>
      <c r="AI6" s="90">
        <v>0.3669724770642202</v>
      </c>
      <c r="AJ6" s="87" t="s">
        <v>131</v>
      </c>
      <c r="AK6" s="92">
        <v>4</v>
      </c>
      <c r="AL6" s="87" t="s">
        <v>185</v>
      </c>
      <c r="AM6" s="96">
        <v>65000</v>
      </c>
      <c r="AN6" s="87" t="s">
        <v>131</v>
      </c>
      <c r="AO6" s="93">
        <v>0</v>
      </c>
    </row>
    <row r="7" spans="1:41" x14ac:dyDescent="0.4">
      <c r="A7" s="84">
        <v>5</v>
      </c>
      <c r="B7" s="85" t="s">
        <v>149</v>
      </c>
      <c r="C7" s="86">
        <v>0</v>
      </c>
      <c r="D7" s="87" t="s">
        <v>149</v>
      </c>
      <c r="E7" s="101">
        <v>0</v>
      </c>
      <c r="F7" s="87" t="s">
        <v>185</v>
      </c>
      <c r="G7" s="88">
        <v>2</v>
      </c>
      <c r="H7" s="87" t="s">
        <v>185</v>
      </c>
      <c r="I7" s="89">
        <v>0.33333333333333331</v>
      </c>
      <c r="J7" s="87" t="s">
        <v>185</v>
      </c>
      <c r="K7" s="89">
        <v>0.33333333333333331</v>
      </c>
      <c r="L7" s="87" t="s">
        <v>180</v>
      </c>
      <c r="M7" s="90">
        <v>0.27868852459016391</v>
      </c>
      <c r="N7" s="87" t="s">
        <v>149</v>
      </c>
      <c r="O7" s="90">
        <v>0.19350282485875706</v>
      </c>
      <c r="P7" s="87" t="s">
        <v>179</v>
      </c>
      <c r="Q7" s="91">
        <v>7686.2068965517237</v>
      </c>
      <c r="R7" s="87" t="s">
        <v>131</v>
      </c>
      <c r="S7" s="91">
        <v>-6988.8888888888887</v>
      </c>
      <c r="T7" s="87" t="s">
        <v>193</v>
      </c>
      <c r="U7" s="89">
        <v>0</v>
      </c>
      <c r="V7" s="87" t="s">
        <v>181</v>
      </c>
      <c r="W7" s="89">
        <v>0</v>
      </c>
      <c r="X7" s="87" t="s">
        <v>149</v>
      </c>
      <c r="Y7" s="89">
        <v>0.10714285714285714</v>
      </c>
      <c r="Z7" s="87" t="s">
        <v>193</v>
      </c>
      <c r="AA7" s="90">
        <v>0.26315789473684209</v>
      </c>
      <c r="AB7" s="87" t="s">
        <v>179</v>
      </c>
      <c r="AC7" s="90">
        <v>0.25438596491228072</v>
      </c>
      <c r="AD7" s="87" t="s">
        <v>193</v>
      </c>
      <c r="AE7" s="90">
        <v>0.6</v>
      </c>
      <c r="AF7" s="87" t="s">
        <v>181</v>
      </c>
      <c r="AG7" s="90">
        <v>0.38461538461538464</v>
      </c>
      <c r="AH7" s="87" t="s">
        <v>180</v>
      </c>
      <c r="AI7" s="90">
        <v>0.35294117647058826</v>
      </c>
      <c r="AJ7" s="87" t="s">
        <v>132</v>
      </c>
      <c r="AK7" s="92">
        <v>4</v>
      </c>
      <c r="AL7" s="87" t="s">
        <v>179</v>
      </c>
      <c r="AM7" s="96">
        <v>64600</v>
      </c>
      <c r="AN7" s="87" t="s">
        <v>181</v>
      </c>
      <c r="AO7" s="93">
        <v>0</v>
      </c>
    </row>
    <row r="8" spans="1:41" x14ac:dyDescent="0.4">
      <c r="A8" s="84">
        <v>6</v>
      </c>
      <c r="B8" s="85" t="s">
        <v>179</v>
      </c>
      <c r="C8" s="86">
        <v>-29.400000000000002</v>
      </c>
      <c r="D8" s="87" t="s">
        <v>179</v>
      </c>
      <c r="E8" s="101">
        <v>-2.1</v>
      </c>
      <c r="F8" s="87" t="s">
        <v>132</v>
      </c>
      <c r="G8" s="88">
        <v>2.0625</v>
      </c>
      <c r="H8" s="87" t="s">
        <v>132</v>
      </c>
      <c r="I8" s="89">
        <v>0.3125</v>
      </c>
      <c r="J8" s="87" t="s">
        <v>179</v>
      </c>
      <c r="K8" s="89">
        <v>0.35714285714285715</v>
      </c>
      <c r="L8" s="87" t="s">
        <v>181</v>
      </c>
      <c r="M8" s="90">
        <v>0.27184466019417475</v>
      </c>
      <c r="N8" s="87" t="s">
        <v>179</v>
      </c>
      <c r="O8" s="90">
        <v>0.19354838709677419</v>
      </c>
      <c r="P8" s="87" t="s">
        <v>149</v>
      </c>
      <c r="Q8" s="91">
        <v>7074.3119266055046</v>
      </c>
      <c r="R8" s="87" t="s">
        <v>180</v>
      </c>
      <c r="S8" s="91">
        <v>-7190</v>
      </c>
      <c r="T8" s="87" t="s">
        <v>194</v>
      </c>
      <c r="U8" s="89">
        <v>0</v>
      </c>
      <c r="V8" s="87" t="s">
        <v>133</v>
      </c>
      <c r="W8" s="89">
        <v>0</v>
      </c>
      <c r="X8" s="87" t="s">
        <v>132</v>
      </c>
      <c r="Y8" s="89">
        <v>6.25E-2</v>
      </c>
      <c r="Z8" s="87" t="s">
        <v>179</v>
      </c>
      <c r="AA8" s="90">
        <v>0.24561403508771928</v>
      </c>
      <c r="AB8" s="87" t="s">
        <v>149</v>
      </c>
      <c r="AC8" s="90">
        <v>0.24188790560471976</v>
      </c>
      <c r="AD8" s="87" t="s">
        <v>149</v>
      </c>
      <c r="AE8" s="90">
        <v>0.56666666666666665</v>
      </c>
      <c r="AF8" s="87" t="s">
        <v>133</v>
      </c>
      <c r="AG8" s="90">
        <v>0.375</v>
      </c>
      <c r="AH8" s="87" t="s">
        <v>131</v>
      </c>
      <c r="AI8" s="90">
        <v>0.3392857142857143</v>
      </c>
      <c r="AJ8" s="87" t="s">
        <v>179</v>
      </c>
      <c r="AK8" s="92">
        <v>4</v>
      </c>
      <c r="AL8" s="87" t="s">
        <v>193</v>
      </c>
      <c r="AM8" s="96">
        <v>53500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180</v>
      </c>
      <c r="C9" s="86">
        <v>-29.5</v>
      </c>
      <c r="D9" s="87" t="s">
        <v>180</v>
      </c>
      <c r="E9" s="101">
        <v>-3.6875</v>
      </c>
      <c r="F9" s="87" t="s">
        <v>180</v>
      </c>
      <c r="G9" s="88">
        <v>2.125</v>
      </c>
      <c r="H9" s="87" t="s">
        <v>133</v>
      </c>
      <c r="I9" s="89">
        <v>0.22222222222222221</v>
      </c>
      <c r="J9" s="87" t="s">
        <v>132</v>
      </c>
      <c r="K9" s="89">
        <v>0.375</v>
      </c>
      <c r="L9" s="87" t="s">
        <v>193</v>
      </c>
      <c r="M9" s="90">
        <v>0.26315789473684209</v>
      </c>
      <c r="N9" s="87" t="s">
        <v>185</v>
      </c>
      <c r="O9" s="90">
        <v>0.2</v>
      </c>
      <c r="P9" s="87" t="s">
        <v>185</v>
      </c>
      <c r="Q9" s="91">
        <v>6414.2857142857147</v>
      </c>
      <c r="R9" s="87" t="s">
        <v>132</v>
      </c>
      <c r="S9" s="91">
        <v>-7476.9230769230771</v>
      </c>
      <c r="T9" s="87" t="s">
        <v>149</v>
      </c>
      <c r="U9" s="89">
        <v>4.7619047619047616E-2</v>
      </c>
      <c r="V9" s="87" t="s">
        <v>180</v>
      </c>
      <c r="W9" s="89">
        <v>0</v>
      </c>
      <c r="X9" s="87" t="s">
        <v>181</v>
      </c>
      <c r="Y9" s="89">
        <v>0</v>
      </c>
      <c r="Z9" s="87" t="s">
        <v>133</v>
      </c>
      <c r="AA9" s="90">
        <v>0.24</v>
      </c>
      <c r="AB9" s="87" t="s">
        <v>132</v>
      </c>
      <c r="AC9" s="90">
        <v>0.22962962962962963</v>
      </c>
      <c r="AD9" s="87" t="s">
        <v>133</v>
      </c>
      <c r="AE9" s="90">
        <v>0.55555555555555558</v>
      </c>
      <c r="AF9" s="87" t="s">
        <v>179</v>
      </c>
      <c r="AG9" s="90">
        <v>0.34482758620689657</v>
      </c>
      <c r="AH9" s="87" t="s">
        <v>133</v>
      </c>
      <c r="AI9" s="90">
        <v>0.31578947368421051</v>
      </c>
      <c r="AJ9" s="87" t="s">
        <v>185</v>
      </c>
      <c r="AK9" s="92">
        <v>4</v>
      </c>
      <c r="AL9" s="87" t="s">
        <v>133</v>
      </c>
      <c r="AM9" s="96">
        <v>52200</v>
      </c>
      <c r="AN9" s="87" t="s">
        <v>180</v>
      </c>
      <c r="AO9" s="93">
        <v>0</v>
      </c>
    </row>
    <row r="10" spans="1:41" x14ac:dyDescent="0.4">
      <c r="A10" s="84">
        <v>8</v>
      </c>
      <c r="B10" s="85" t="s">
        <v>194</v>
      </c>
      <c r="C10" s="86">
        <v>-76.2</v>
      </c>
      <c r="D10" s="87" t="s">
        <v>133</v>
      </c>
      <c r="E10" s="101">
        <v>-14.177777777777777</v>
      </c>
      <c r="F10" s="87" t="s">
        <v>133</v>
      </c>
      <c r="G10" s="88">
        <v>2.2222222222222223</v>
      </c>
      <c r="H10" s="87" t="s">
        <v>180</v>
      </c>
      <c r="I10" s="89">
        <v>0.125</v>
      </c>
      <c r="J10" s="87" t="s">
        <v>133</v>
      </c>
      <c r="K10" s="89">
        <v>0.44444444444444442</v>
      </c>
      <c r="L10" s="87" t="s">
        <v>133</v>
      </c>
      <c r="M10" s="90">
        <v>0.25333333333333335</v>
      </c>
      <c r="N10" s="87" t="s">
        <v>133</v>
      </c>
      <c r="O10" s="90">
        <v>0.24</v>
      </c>
      <c r="P10" s="87" t="s">
        <v>180</v>
      </c>
      <c r="Q10" s="91">
        <v>5858.8235294117649</v>
      </c>
      <c r="R10" s="87" t="s">
        <v>149</v>
      </c>
      <c r="S10" s="91">
        <v>-7647.445255474453</v>
      </c>
      <c r="T10" s="87" t="s">
        <v>179</v>
      </c>
      <c r="U10" s="89">
        <v>7.1428571428571425E-2</v>
      </c>
      <c r="V10" s="87" t="s">
        <v>185</v>
      </c>
      <c r="W10" s="89">
        <v>0</v>
      </c>
      <c r="X10" s="87" t="s">
        <v>180</v>
      </c>
      <c r="Y10" s="89">
        <v>0</v>
      </c>
      <c r="Z10" s="87" t="s">
        <v>180</v>
      </c>
      <c r="AA10" s="90">
        <v>0.18032786885245902</v>
      </c>
      <c r="AB10" s="87" t="s">
        <v>193</v>
      </c>
      <c r="AC10" s="90">
        <v>0.21052631578947367</v>
      </c>
      <c r="AD10" s="87" t="s">
        <v>131</v>
      </c>
      <c r="AE10" s="90">
        <v>0.54545454545454541</v>
      </c>
      <c r="AF10" s="87" t="s">
        <v>180</v>
      </c>
      <c r="AG10" s="90">
        <v>0.33333333333333331</v>
      </c>
      <c r="AH10" s="87" t="s">
        <v>179</v>
      </c>
      <c r="AI10" s="90">
        <v>0.31034482758620691</v>
      </c>
      <c r="AJ10" s="87" t="s">
        <v>180</v>
      </c>
      <c r="AK10" s="92">
        <v>3</v>
      </c>
      <c r="AL10" s="87" t="s">
        <v>180</v>
      </c>
      <c r="AM10" s="96">
        <v>48100</v>
      </c>
      <c r="AN10" s="87" t="s">
        <v>185</v>
      </c>
      <c r="AO10" s="93">
        <v>0</v>
      </c>
    </row>
    <row r="11" spans="1:41" x14ac:dyDescent="0.4">
      <c r="A11" s="84">
        <v>9</v>
      </c>
      <c r="B11" s="85" t="s">
        <v>133</v>
      </c>
      <c r="C11" s="86">
        <v>-127.6</v>
      </c>
      <c r="D11" s="87" t="s">
        <v>181</v>
      </c>
      <c r="E11" s="101">
        <v>-29.581818181818178</v>
      </c>
      <c r="F11" s="87" t="s">
        <v>181</v>
      </c>
      <c r="G11" s="88">
        <v>2.5454545454545454</v>
      </c>
      <c r="H11" s="87" t="s">
        <v>181</v>
      </c>
      <c r="I11" s="89">
        <v>0</v>
      </c>
      <c r="J11" s="87" t="s">
        <v>181</v>
      </c>
      <c r="K11" s="89">
        <v>0.54545454545454541</v>
      </c>
      <c r="L11" s="87" t="s">
        <v>179</v>
      </c>
      <c r="M11" s="90">
        <v>0.23387096774193547</v>
      </c>
      <c r="N11" s="87" t="s">
        <v>181</v>
      </c>
      <c r="O11" s="90">
        <v>0.24271844660194175</v>
      </c>
      <c r="P11" s="87" t="s">
        <v>181</v>
      </c>
      <c r="Q11" s="91">
        <v>4528.5714285714284</v>
      </c>
      <c r="R11" s="87" t="s">
        <v>181</v>
      </c>
      <c r="S11" s="91">
        <v>-9204</v>
      </c>
      <c r="T11" s="87" t="s">
        <v>133</v>
      </c>
      <c r="U11" s="89">
        <v>0.1111111111111111</v>
      </c>
      <c r="V11" s="87" t="s">
        <v>193</v>
      </c>
      <c r="W11" s="89">
        <v>0</v>
      </c>
      <c r="X11" s="87" t="s">
        <v>193</v>
      </c>
      <c r="Y11" s="89">
        <v>0</v>
      </c>
      <c r="Z11" s="87" t="s">
        <v>181</v>
      </c>
      <c r="AA11" s="90">
        <v>0.15053763440860216</v>
      </c>
      <c r="AB11" s="87" t="s">
        <v>133</v>
      </c>
      <c r="AC11" s="90">
        <v>0.10666666666666667</v>
      </c>
      <c r="AD11" s="87" t="s">
        <v>179</v>
      </c>
      <c r="AE11" s="90">
        <v>0.4642857142857143</v>
      </c>
      <c r="AF11" s="87" t="s">
        <v>185</v>
      </c>
      <c r="AG11" s="90">
        <v>0.33333333333333331</v>
      </c>
      <c r="AH11" s="87" t="s">
        <v>185</v>
      </c>
      <c r="AI11" s="90">
        <v>0.2857142857142857</v>
      </c>
      <c r="AJ11" s="87" t="s">
        <v>193</v>
      </c>
      <c r="AK11" s="92">
        <v>3</v>
      </c>
      <c r="AL11" s="87" t="s">
        <v>181</v>
      </c>
      <c r="AM11" s="96">
        <v>33400</v>
      </c>
      <c r="AN11" s="87" t="s">
        <v>193</v>
      </c>
      <c r="AO11" s="93">
        <v>0</v>
      </c>
    </row>
    <row r="12" spans="1:41" x14ac:dyDescent="0.4">
      <c r="A12" s="84">
        <v>10</v>
      </c>
      <c r="B12" s="85" t="s">
        <v>181</v>
      </c>
      <c r="C12" s="86">
        <v>-325.39999999999998</v>
      </c>
      <c r="D12" s="87" t="s">
        <v>194</v>
      </c>
      <c r="E12" s="101">
        <v>-38.1</v>
      </c>
      <c r="F12" s="87" t="s">
        <v>194</v>
      </c>
      <c r="G12" s="88">
        <v>3</v>
      </c>
      <c r="H12" s="87" t="s">
        <v>194</v>
      </c>
      <c r="I12" s="89">
        <v>0</v>
      </c>
      <c r="J12" s="87" t="s">
        <v>194</v>
      </c>
      <c r="K12" s="89">
        <v>1</v>
      </c>
      <c r="L12" s="87" t="s">
        <v>194</v>
      </c>
      <c r="M12" s="90">
        <v>0.2</v>
      </c>
      <c r="N12" s="87" t="s">
        <v>194</v>
      </c>
      <c r="O12" s="90">
        <v>0.33333333333333331</v>
      </c>
      <c r="P12" s="87" t="s">
        <v>194</v>
      </c>
      <c r="Q12" s="91">
        <v>3366.6666666666665</v>
      </c>
      <c r="R12" s="87" t="s">
        <v>133</v>
      </c>
      <c r="S12" s="91">
        <v>-9244.4444444444453</v>
      </c>
      <c r="T12" s="87" t="s">
        <v>181</v>
      </c>
      <c r="U12" s="89">
        <v>0.18181818181818182</v>
      </c>
      <c r="V12" s="87" t="s">
        <v>194</v>
      </c>
      <c r="W12" s="89">
        <v>0</v>
      </c>
      <c r="X12" s="87" t="s">
        <v>194</v>
      </c>
      <c r="Y12" s="89">
        <v>0</v>
      </c>
      <c r="Z12" s="87" t="s">
        <v>194</v>
      </c>
      <c r="AA12" s="90">
        <v>6.6666666666666666E-2</v>
      </c>
      <c r="AB12" s="87" t="s">
        <v>194</v>
      </c>
      <c r="AC12" s="90">
        <v>6.6666666666666666E-2</v>
      </c>
      <c r="AD12" s="87" t="s">
        <v>181</v>
      </c>
      <c r="AE12" s="90">
        <v>0.42857142857142855</v>
      </c>
      <c r="AF12" s="87" t="s">
        <v>132</v>
      </c>
      <c r="AG12" s="90">
        <v>0.29032258064516131</v>
      </c>
      <c r="AH12" s="87" t="s">
        <v>193</v>
      </c>
      <c r="AI12" s="90">
        <v>0.2</v>
      </c>
      <c r="AJ12" s="87" t="s">
        <v>194</v>
      </c>
      <c r="AK12" s="92">
        <v>1</v>
      </c>
      <c r="AL12" s="87" t="s">
        <v>194</v>
      </c>
      <c r="AM12" s="96">
        <v>22500</v>
      </c>
      <c r="AN12" s="87" t="s">
        <v>194</v>
      </c>
      <c r="AO12" s="93">
        <v>0</v>
      </c>
    </row>
  </sheetData>
  <sortState ref="AN3:AO42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20C7C-820C-4D4E-B127-4AFA107D11A7}">
  <sheetPr codeName="Sheet4"/>
  <dimension ref="A1:Q86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84</v>
      </c>
      <c r="C2" s="148"/>
      <c r="E2" s="62" t="s">
        <v>68</v>
      </c>
      <c r="F2" s="59" t="s">
        <v>23</v>
      </c>
      <c r="G2" s="46">
        <v>151</v>
      </c>
      <c r="H2" s="136">
        <f>IF(B$27=0,0,G2/B$27)</f>
        <v>0.71904761904761905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-59.523809523809526</v>
      </c>
      <c r="P2" s="122">
        <v>84</v>
      </c>
      <c r="Q2" s="106">
        <v>-5000</v>
      </c>
    </row>
    <row r="3" spans="1:17" x14ac:dyDescent="0.4">
      <c r="A3" s="55" t="s">
        <v>8</v>
      </c>
      <c r="B3" s="153">
        <v>708</v>
      </c>
      <c r="C3" s="154"/>
      <c r="E3" s="63" t="s">
        <v>74</v>
      </c>
      <c r="F3" s="60" t="s">
        <v>28</v>
      </c>
      <c r="G3" s="47">
        <v>119</v>
      </c>
      <c r="H3" s="137">
        <f>IF(B$27=0,0,G3/B$27)</f>
        <v>0.56666666666666665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0</v>
      </c>
      <c r="P3" s="123">
        <v>84</v>
      </c>
      <c r="Q3" s="107">
        <v>0</v>
      </c>
    </row>
    <row r="4" spans="1:17" x14ac:dyDescent="0.4">
      <c r="A4" s="55" t="s">
        <v>6</v>
      </c>
      <c r="B4" s="155">
        <v>0</v>
      </c>
      <c r="C4" s="156"/>
      <c r="E4" s="63" t="s">
        <v>66</v>
      </c>
      <c r="F4" s="60" t="s">
        <v>21</v>
      </c>
      <c r="G4" s="47">
        <v>101</v>
      </c>
      <c r="H4" s="137">
        <f>IF(B$27=0,0,G4/B$27)</f>
        <v>0.48095238095238096</v>
      </c>
      <c r="I4" s="98">
        <v>5</v>
      </c>
      <c r="K4" s="38">
        <v>2</v>
      </c>
      <c r="L4" s="103">
        <v>40.4</v>
      </c>
      <c r="N4" s="119" t="s">
        <v>138</v>
      </c>
      <c r="O4" s="126">
        <f t="shared" si="0"/>
        <v>64.102564102564102</v>
      </c>
      <c r="P4" s="123">
        <v>78</v>
      </c>
      <c r="Q4" s="107">
        <v>5000</v>
      </c>
    </row>
    <row r="5" spans="1:17" x14ac:dyDescent="0.4">
      <c r="A5" s="55" t="s">
        <v>7</v>
      </c>
      <c r="B5" s="157">
        <f>IF(B$2=0,0,B$4/B$2)</f>
        <v>0</v>
      </c>
      <c r="C5" s="158"/>
      <c r="E5" s="63" t="s">
        <v>189</v>
      </c>
      <c r="F5" s="60" t="s">
        <v>190</v>
      </c>
      <c r="G5" s="47">
        <v>80</v>
      </c>
      <c r="H5" s="137">
        <f>IF(B$27=0,0,G5/B$27)</f>
        <v>0.38095238095238093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75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70</v>
      </c>
      <c r="F6" s="60" t="s">
        <v>12</v>
      </c>
      <c r="G6" s="47">
        <v>53</v>
      </c>
      <c r="H6" s="137">
        <f>IF(B$27=0,0,G6/B$27)</f>
        <v>0.25238095238095237</v>
      </c>
      <c r="I6" s="98">
        <v>4</v>
      </c>
      <c r="K6" s="38">
        <v>4</v>
      </c>
      <c r="L6" s="103">
        <v>2.2000000000000002</v>
      </c>
      <c r="N6" s="119" t="s">
        <v>140</v>
      </c>
      <c r="O6" s="126">
        <f t="shared" si="0"/>
        <v>-13.888888888888889</v>
      </c>
      <c r="P6" s="123">
        <v>72</v>
      </c>
      <c r="Q6" s="107">
        <v>-1000</v>
      </c>
    </row>
    <row r="7" spans="1:17" x14ac:dyDescent="0.4">
      <c r="A7" s="55" t="s">
        <v>2</v>
      </c>
      <c r="B7" s="47">
        <v>28</v>
      </c>
      <c r="C7" s="39">
        <f>IF(B$2=0,0,B7/B$2)</f>
        <v>0.33333333333333331</v>
      </c>
      <c r="E7" s="63" t="s">
        <v>69</v>
      </c>
      <c r="F7" s="60" t="s">
        <v>24</v>
      </c>
      <c r="G7" s="47">
        <v>50</v>
      </c>
      <c r="H7" s="137">
        <f>IF(B$27=0,0,G7/B$27)</f>
        <v>0.23809523809523808</v>
      </c>
      <c r="I7" s="98">
        <v>5</v>
      </c>
      <c r="K7" s="38">
        <v>5</v>
      </c>
      <c r="L7" s="103">
        <v>-37</v>
      </c>
      <c r="N7" s="120" t="s">
        <v>141</v>
      </c>
      <c r="O7" s="127">
        <f t="shared" si="0"/>
        <v>15.151515151515152</v>
      </c>
      <c r="P7" s="124">
        <v>66</v>
      </c>
      <c r="Q7" s="108">
        <v>1000</v>
      </c>
    </row>
    <row r="8" spans="1:17" x14ac:dyDescent="0.4">
      <c r="A8" s="55" t="s">
        <v>3</v>
      </c>
      <c r="B8" s="47">
        <v>28</v>
      </c>
      <c r="C8" s="39">
        <f>IF(B$2=0,0,B8/B$2)</f>
        <v>0.33333333333333331</v>
      </c>
      <c r="E8" s="63" t="s">
        <v>71</v>
      </c>
      <c r="F8" s="60" t="s">
        <v>25</v>
      </c>
      <c r="G8" s="47">
        <v>43</v>
      </c>
      <c r="H8" s="137">
        <f>IF(B$27=0,0,G8/B$27)</f>
        <v>0.20476190476190476</v>
      </c>
      <c r="I8" s="98">
        <v>5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28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33</v>
      </c>
      <c r="H9" s="137">
        <f>IF(B$27=0,0,G9/B$27)</f>
        <v>0.15714285714285714</v>
      </c>
      <c r="I9" s="98">
        <v>6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4</v>
      </c>
      <c r="C10" s="40">
        <f>IF(B$2=0,0,B10/B$2)</f>
        <v>4.7619047619047616E-2</v>
      </c>
      <c r="E10" s="63" t="s">
        <v>67</v>
      </c>
      <c r="F10" s="60" t="s">
        <v>22</v>
      </c>
      <c r="G10" s="47">
        <v>23</v>
      </c>
      <c r="H10" s="137">
        <f>IF(B$27=0,0,G10/B$27)</f>
        <v>0.10952380952380952</v>
      </c>
      <c r="I10" s="98">
        <v>4</v>
      </c>
      <c r="K10" s="38">
        <v>8</v>
      </c>
      <c r="L10" s="103">
        <v>19.699999999999996</v>
      </c>
      <c r="N10" s="118" t="s">
        <v>172</v>
      </c>
      <c r="O10" s="128">
        <f>IF(P10=0,0,Q10/P10)</f>
        <v>-3.4357142857142864</v>
      </c>
      <c r="P10" s="122">
        <v>28</v>
      </c>
      <c r="Q10" s="110">
        <v>-96.200000000000017</v>
      </c>
    </row>
    <row r="11" spans="1:17" x14ac:dyDescent="0.4">
      <c r="A11" s="56" t="s">
        <v>144</v>
      </c>
      <c r="B11" s="48">
        <v>4</v>
      </c>
      <c r="C11" s="40">
        <f>IF(B$2=0,0,B11/B$2)</f>
        <v>4.7619047619047616E-2</v>
      </c>
      <c r="E11" s="63" t="s">
        <v>72</v>
      </c>
      <c r="F11" s="60" t="s">
        <v>26</v>
      </c>
      <c r="G11" s="47">
        <v>16</v>
      </c>
      <c r="H11" s="137">
        <f>IF(B$27=0,0,G11/B$27)</f>
        <v>7.6190476190476197E-2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-6.8142857142857114</v>
      </c>
      <c r="P11" s="123">
        <v>28</v>
      </c>
      <c r="Q11" s="111">
        <v>-190.79999999999993</v>
      </c>
    </row>
    <row r="12" spans="1:17" x14ac:dyDescent="0.4">
      <c r="A12" s="57" t="s">
        <v>165</v>
      </c>
      <c r="B12" s="49">
        <v>9</v>
      </c>
      <c r="C12" s="42">
        <f>IF(B$2=0,0,B12/B$2)</f>
        <v>0.10714285714285714</v>
      </c>
      <c r="E12" s="63" t="s">
        <v>89</v>
      </c>
      <c r="F12" s="60" t="s">
        <v>43</v>
      </c>
      <c r="G12" s="47">
        <v>10</v>
      </c>
      <c r="H12" s="137">
        <f>IF(B$27=0,0,G12/B$27)</f>
        <v>4.7619047619047616E-2</v>
      </c>
      <c r="I12" s="98">
        <v>6</v>
      </c>
      <c r="K12" s="38">
        <v>10</v>
      </c>
      <c r="L12" s="103">
        <v>40.099999999999994</v>
      </c>
      <c r="N12" s="120" t="s">
        <v>174</v>
      </c>
      <c r="O12" s="130">
        <f>IF(P12=0,0,Q12/P12)</f>
        <v>10.25</v>
      </c>
      <c r="P12" s="124">
        <v>28</v>
      </c>
      <c r="Q12" s="112">
        <v>287</v>
      </c>
    </row>
    <row r="13" spans="1:17" x14ac:dyDescent="0.4">
      <c r="A13" s="58" t="s">
        <v>126</v>
      </c>
      <c r="B13" s="50">
        <v>180</v>
      </c>
      <c r="C13" s="44">
        <f>IF(B$26=0,0,B13/B$26)</f>
        <v>0.26548672566371684</v>
      </c>
      <c r="E13" s="63" t="s">
        <v>86</v>
      </c>
      <c r="F13" s="60" t="s">
        <v>40</v>
      </c>
      <c r="G13" s="47">
        <v>9</v>
      </c>
      <c r="H13" s="137">
        <f>IF(B$27=0,0,G13/B$27)</f>
        <v>4.2857142857142858E-2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164</v>
      </c>
      <c r="C14" s="39">
        <f>IF(B$26=0,0,B14/B$26)</f>
        <v>0.24188790560471976</v>
      </c>
      <c r="E14" s="63" t="s">
        <v>73</v>
      </c>
      <c r="F14" s="60" t="s">
        <v>27</v>
      </c>
      <c r="G14" s="47">
        <v>7</v>
      </c>
      <c r="H14" s="137">
        <f>IF(B$27=0,0,G14/B$27)</f>
        <v>3.3333333333333333E-2</v>
      </c>
      <c r="I14" s="98">
        <v>4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102</v>
      </c>
      <c r="C15" s="37">
        <f>IF(B$13=0,0,B15/B$13)</f>
        <v>0.56666666666666665</v>
      </c>
      <c r="E15" s="63" t="s">
        <v>80</v>
      </c>
      <c r="F15" s="60" t="s">
        <v>34</v>
      </c>
      <c r="G15" s="47">
        <v>4</v>
      </c>
      <c r="H15" s="137">
        <f>IF(B$27=0,0,G15/B$27)</f>
        <v>1.9047619047619049E-2</v>
      </c>
      <c r="I15" s="98">
        <v>3</v>
      </c>
      <c r="K15" s="38">
        <v>13</v>
      </c>
      <c r="L15" s="103">
        <v>-42.100000000000009</v>
      </c>
      <c r="N15" s="118" t="s">
        <v>194</v>
      </c>
      <c r="O15" s="128">
        <f>IF(P15=0,0,Q15/P15)</f>
        <v>57.150000000000006</v>
      </c>
      <c r="P15" s="122">
        <v>4</v>
      </c>
      <c r="Q15" s="110">
        <v>228.60000000000002</v>
      </c>
    </row>
    <row r="16" spans="1:17" x14ac:dyDescent="0.4">
      <c r="A16" s="54" t="s">
        <v>129</v>
      </c>
      <c r="B16" s="46">
        <v>68</v>
      </c>
      <c r="C16" s="37">
        <f>IF(B$14=0,0,B16/B$14)</f>
        <v>0.41463414634146339</v>
      </c>
      <c r="E16" s="63" t="s">
        <v>84</v>
      </c>
      <c r="F16" s="60" t="s">
        <v>38</v>
      </c>
      <c r="G16" s="47">
        <v>4</v>
      </c>
      <c r="H16" s="137">
        <f>IF(B$27=0,0,G16/B$27)</f>
        <v>1.9047619047619049E-2</v>
      </c>
      <c r="I16" s="98">
        <v>3</v>
      </c>
      <c r="K16" s="38">
        <v>14</v>
      </c>
      <c r="L16" s="103">
        <v>18.79999999999999</v>
      </c>
      <c r="N16" s="119" t="s">
        <v>181</v>
      </c>
      <c r="O16" s="129">
        <f>IF(P16=0,0,Q16/P16)</f>
        <v>44.372727272727268</v>
      </c>
      <c r="P16" s="123">
        <v>22</v>
      </c>
      <c r="Q16" s="111">
        <v>976.19999999999993</v>
      </c>
    </row>
    <row r="17" spans="1:17" x14ac:dyDescent="0.4">
      <c r="A17" s="54" t="s">
        <v>10</v>
      </c>
      <c r="B17" s="46">
        <f>B19+B18</f>
        <v>218</v>
      </c>
      <c r="C17" s="37">
        <f>IF(B$3=0,0,B17/B$3)</f>
        <v>0.30790960451977401</v>
      </c>
      <c r="E17" s="63" t="s">
        <v>77</v>
      </c>
      <c r="F17" s="60" t="s">
        <v>31</v>
      </c>
      <c r="G17" s="47">
        <v>3</v>
      </c>
      <c r="H17" s="137">
        <f>IF(B$27=0,0,G17/B$27)</f>
        <v>1.4285714285714285E-2</v>
      </c>
      <c r="I17" s="98">
        <v>4</v>
      </c>
      <c r="K17" s="38">
        <v>15</v>
      </c>
      <c r="L17" s="103">
        <v>-1.0658141036401503E-14</v>
      </c>
      <c r="N17" s="119" t="s">
        <v>133</v>
      </c>
      <c r="O17" s="129">
        <f>IF(P17=0,0,Q17/P17)</f>
        <v>21.266666666666669</v>
      </c>
      <c r="P17" s="123">
        <v>18</v>
      </c>
      <c r="Q17" s="111">
        <v>382.80000000000007</v>
      </c>
    </row>
    <row r="18" spans="1:17" x14ac:dyDescent="0.4">
      <c r="A18" s="55" t="s">
        <v>12</v>
      </c>
      <c r="B18" s="47">
        <v>80</v>
      </c>
      <c r="C18" s="39">
        <f>IF(B$17=0,0,B18/B$17)</f>
        <v>0.3669724770642202</v>
      </c>
      <c r="E18" s="63" t="s">
        <v>94</v>
      </c>
      <c r="F18" s="60" t="s">
        <v>48</v>
      </c>
      <c r="G18" s="47">
        <v>2</v>
      </c>
      <c r="H18" s="137">
        <f>IF(B$27=0,0,G18/B$27)</f>
        <v>9.5238095238095247E-3</v>
      </c>
      <c r="I18" s="98">
        <v>3</v>
      </c>
      <c r="K18" s="38">
        <v>16</v>
      </c>
      <c r="L18" s="103">
        <v>90.899999999999991</v>
      </c>
      <c r="N18" s="119" t="s">
        <v>180</v>
      </c>
      <c r="O18" s="129">
        <f>IF(P18=0,0,Q18/P18)</f>
        <v>5.5312499999999973</v>
      </c>
      <c r="P18" s="123">
        <v>16</v>
      </c>
      <c r="Q18" s="111">
        <v>88.499999999999957</v>
      </c>
    </row>
    <row r="19" spans="1:17" x14ac:dyDescent="0.4">
      <c r="A19" s="55" t="s">
        <v>11</v>
      </c>
      <c r="B19" s="47">
        <v>138</v>
      </c>
      <c r="C19" s="39">
        <f>IF(B$17=0,0,B19/B$17)</f>
        <v>0.6330275229357798</v>
      </c>
      <c r="E19" s="63" t="s">
        <v>75</v>
      </c>
      <c r="F19" s="60" t="s">
        <v>29</v>
      </c>
      <c r="G19" s="47">
        <v>1</v>
      </c>
      <c r="H19" s="137">
        <f>IF(B$27=0,0,G19/B$27)</f>
        <v>4.7619047619047623E-3</v>
      </c>
      <c r="I19" s="98">
        <v>2</v>
      </c>
      <c r="K19" s="38">
        <v>17</v>
      </c>
      <c r="L19" s="103">
        <v>8.2999999999999972</v>
      </c>
      <c r="N19" s="119" t="s">
        <v>179</v>
      </c>
      <c r="O19" s="129">
        <f>IF(P19=0,0,Q19/P19)</f>
        <v>3.1500000000000008</v>
      </c>
      <c r="P19" s="123">
        <v>28</v>
      </c>
      <c r="Q19" s="111">
        <v>88.200000000000017</v>
      </c>
    </row>
    <row r="20" spans="1:17" x14ac:dyDescent="0.4">
      <c r="A20" s="55" t="s">
        <v>13</v>
      </c>
      <c r="B20" s="47">
        <v>137</v>
      </c>
      <c r="C20" s="39">
        <f>IF(B$3=0,0,B20/B$3)</f>
        <v>0.19350282485875706</v>
      </c>
      <c r="E20" s="63" t="s">
        <v>81</v>
      </c>
      <c r="F20" s="60" t="s">
        <v>35</v>
      </c>
      <c r="G20" s="47">
        <v>1</v>
      </c>
      <c r="H20" s="137">
        <f>IF(B$27=0,0,G20/B$27)</f>
        <v>4.7619047619047623E-3</v>
      </c>
      <c r="I20" s="98">
        <v>2</v>
      </c>
      <c r="K20" s="38">
        <v>18</v>
      </c>
      <c r="L20" s="103">
        <v>-3.5527136788005009E-15</v>
      </c>
      <c r="N20" s="119" t="s">
        <v>185</v>
      </c>
      <c r="O20" s="129">
        <f>IF(P20=0,0,Q20/P20)</f>
        <v>-0.97500000000000142</v>
      </c>
      <c r="P20" s="123">
        <v>12</v>
      </c>
      <c r="Q20" s="111">
        <v>-11.700000000000017</v>
      </c>
    </row>
    <row r="21" spans="1:17" x14ac:dyDescent="0.4">
      <c r="A21" s="55" t="s">
        <v>5</v>
      </c>
      <c r="B21" s="51">
        <f>IF(B$17=0,0,C21/B$17)</f>
        <v>7074.3119266055046</v>
      </c>
      <c r="C21" s="41">
        <v>1542200</v>
      </c>
      <c r="E21" s="63" t="s">
        <v>88</v>
      </c>
      <c r="F21" s="60" t="s">
        <v>42</v>
      </c>
      <c r="G21" s="47">
        <v>1</v>
      </c>
      <c r="H21" s="137">
        <f>IF(B$27=0,0,G21/B$27)</f>
        <v>4.7619047619047623E-3</v>
      </c>
      <c r="I21" s="98">
        <v>2</v>
      </c>
      <c r="K21" s="38">
        <v>19</v>
      </c>
      <c r="L21" s="103">
        <v>30.999999999999996</v>
      </c>
      <c r="N21" s="119" t="s">
        <v>132</v>
      </c>
      <c r="O21" s="129">
        <f>IF(P21=0,0,Q21/P21)</f>
        <v>-3.9093749999999958</v>
      </c>
      <c r="P21" s="123">
        <v>32</v>
      </c>
      <c r="Q21" s="111">
        <v>-125.09999999999987</v>
      </c>
    </row>
    <row r="22" spans="1:17" x14ac:dyDescent="0.4">
      <c r="A22" s="57" t="s">
        <v>14</v>
      </c>
      <c r="B22" s="52">
        <f>IF(B$20=0,0,C22/B$20)</f>
        <v>-7647.445255474453</v>
      </c>
      <c r="C22" s="45">
        <v>-1047700</v>
      </c>
      <c r="E22" s="63" t="s">
        <v>95</v>
      </c>
      <c r="F22" s="60" t="s">
        <v>49</v>
      </c>
      <c r="G22" s="47">
        <v>1</v>
      </c>
      <c r="H22" s="137">
        <f>IF(B$27=0,0,G22/B$27)</f>
        <v>4.7619047619047623E-3</v>
      </c>
      <c r="I22" s="98">
        <v>2</v>
      </c>
      <c r="K22" s="38">
        <v>20</v>
      </c>
      <c r="L22" s="103">
        <v>0.79999999999999716</v>
      </c>
      <c r="N22" s="119" t="s">
        <v>193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94" t="s">
        <v>146</v>
      </c>
      <c r="B23" s="143">
        <v>7</v>
      </c>
      <c r="C23" s="144"/>
      <c r="E23" s="63" t="s">
        <v>76</v>
      </c>
      <c r="F23" s="60" t="s">
        <v>30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-2.886579864025407E-15</v>
      </c>
      <c r="N23" s="119" t="s">
        <v>131</v>
      </c>
      <c r="O23" s="129">
        <f>IF(P23=0,0,Q23/P23)</f>
        <v>-48.149999999999991</v>
      </c>
      <c r="P23" s="123">
        <v>30</v>
      </c>
      <c r="Q23" s="111">
        <v>-1444.4999999999998</v>
      </c>
    </row>
    <row r="24" spans="1:17" x14ac:dyDescent="0.4">
      <c r="A24" s="58" t="s">
        <v>157</v>
      </c>
      <c r="B24" s="141">
        <v>105900</v>
      </c>
      <c r="C24" s="142"/>
      <c r="E24" s="63" t="s">
        <v>78</v>
      </c>
      <c r="F24" s="60" t="s">
        <v>32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3</v>
      </c>
      <c r="C25" s="42">
        <f>IF(B$3=0,0,B25/B$3)</f>
        <v>4.2372881355932203E-3</v>
      </c>
      <c r="E25" s="63" t="s">
        <v>79</v>
      </c>
      <c r="F25" s="60" t="s">
        <v>33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678</v>
      </c>
      <c r="C26" s="148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210</v>
      </c>
      <c r="C27" s="150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8198-E012-4355-9C8E-631E1EBFF5DC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15</v>
      </c>
      <c r="C2" s="148"/>
      <c r="E2" s="62" t="s">
        <v>74</v>
      </c>
      <c r="F2" s="59" t="s">
        <v>28</v>
      </c>
      <c r="G2" s="46">
        <v>39</v>
      </c>
      <c r="H2" s="136">
        <f>IF(B$27=0,0,G2/B$27)</f>
        <v>0.6964285714285714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2040</v>
      </c>
      <c r="P2" s="122">
        <v>15</v>
      </c>
      <c r="Q2" s="106">
        <v>30600</v>
      </c>
    </row>
    <row r="3" spans="1:17" x14ac:dyDescent="0.4">
      <c r="A3" s="55" t="s">
        <v>8</v>
      </c>
      <c r="B3" s="153">
        <v>121</v>
      </c>
      <c r="C3" s="154"/>
      <c r="E3" s="63" t="s">
        <v>68</v>
      </c>
      <c r="F3" s="60" t="s">
        <v>23</v>
      </c>
      <c r="G3" s="47">
        <v>32</v>
      </c>
      <c r="H3" s="137">
        <f>IF(B$27=0,0,G3/B$27)</f>
        <v>0.5714285714285714</v>
      </c>
      <c r="I3" s="98">
        <v>7</v>
      </c>
      <c r="K3" s="38">
        <v>1</v>
      </c>
      <c r="L3" s="103">
        <v>-5.0999999999999996</v>
      </c>
      <c r="N3" s="119" t="s">
        <v>137</v>
      </c>
      <c r="O3" s="126">
        <f t="shared" si="0"/>
        <v>5400</v>
      </c>
      <c r="P3" s="123">
        <v>15</v>
      </c>
      <c r="Q3" s="107">
        <v>81000</v>
      </c>
    </row>
    <row r="4" spans="1:17" x14ac:dyDescent="0.4">
      <c r="A4" s="55" t="s">
        <v>6</v>
      </c>
      <c r="B4" s="155">
        <v>481.50000000000006</v>
      </c>
      <c r="C4" s="156"/>
      <c r="E4" s="63" t="s">
        <v>189</v>
      </c>
      <c r="F4" s="60" t="s">
        <v>190</v>
      </c>
      <c r="G4" s="47">
        <v>26</v>
      </c>
      <c r="H4" s="137">
        <f>IF(B$27=0,0,G4/B$27)</f>
        <v>0.4642857142857143</v>
      </c>
      <c r="I4" s="98">
        <v>3</v>
      </c>
      <c r="K4" s="38">
        <v>2</v>
      </c>
      <c r="L4" s="103">
        <v>-2.8999999999999995</v>
      </c>
      <c r="N4" s="119" t="s">
        <v>138</v>
      </c>
      <c r="O4" s="126">
        <f t="shared" si="0"/>
        <v>3842.8571428571427</v>
      </c>
      <c r="P4" s="123">
        <v>14</v>
      </c>
      <c r="Q4" s="107">
        <v>53800</v>
      </c>
    </row>
    <row r="5" spans="1:17" x14ac:dyDescent="0.4">
      <c r="A5" s="55" t="s">
        <v>7</v>
      </c>
      <c r="B5" s="157">
        <f>IF(B$2=0,0,B$4/B$2)</f>
        <v>32.1</v>
      </c>
      <c r="C5" s="158"/>
      <c r="E5" s="63" t="s">
        <v>66</v>
      </c>
      <c r="F5" s="60" t="s">
        <v>21</v>
      </c>
      <c r="G5" s="47">
        <v>23</v>
      </c>
      <c r="H5" s="137">
        <f>IF(B$27=0,0,G5/B$27)</f>
        <v>0.4107142857142857</v>
      </c>
      <c r="I5" s="98">
        <v>9</v>
      </c>
      <c r="K5" s="38">
        <v>3</v>
      </c>
      <c r="L5" s="103">
        <v>70.399999999999991</v>
      </c>
      <c r="N5" s="119" t="s">
        <v>139</v>
      </c>
      <c r="O5" s="126">
        <f t="shared" si="0"/>
        <v>8007.6923076923076</v>
      </c>
      <c r="P5" s="123">
        <v>13</v>
      </c>
      <c r="Q5" s="107">
        <v>104100</v>
      </c>
    </row>
    <row r="6" spans="1:17" x14ac:dyDescent="0.4">
      <c r="A6" s="55" t="s">
        <v>1</v>
      </c>
      <c r="B6" s="145">
        <f>IF(B$2=0,0,(B$7*1+B$8*2+B$9*3)/B$2)</f>
        <v>1.4</v>
      </c>
      <c r="C6" s="146"/>
      <c r="E6" s="63" t="s">
        <v>71</v>
      </c>
      <c r="F6" s="60" t="s">
        <v>25</v>
      </c>
      <c r="G6" s="47">
        <v>12</v>
      </c>
      <c r="H6" s="137">
        <f>IF(B$27=0,0,G6/B$27)</f>
        <v>0.21428571428571427</v>
      </c>
      <c r="I6" s="98">
        <v>4</v>
      </c>
      <c r="K6" s="38">
        <v>4</v>
      </c>
      <c r="L6" s="103">
        <v>110.5</v>
      </c>
      <c r="N6" s="119" t="s">
        <v>140</v>
      </c>
      <c r="O6" s="126">
        <f t="shared" si="0"/>
        <v>1700</v>
      </c>
      <c r="P6" s="123">
        <v>12</v>
      </c>
      <c r="Q6" s="107">
        <v>20400</v>
      </c>
    </row>
    <row r="7" spans="1:17" x14ac:dyDescent="0.4">
      <c r="A7" s="55" t="s">
        <v>2</v>
      </c>
      <c r="B7" s="47">
        <v>10</v>
      </c>
      <c r="C7" s="39">
        <f>IF(B$2=0,0,B7/B$2)</f>
        <v>0.66666666666666663</v>
      </c>
      <c r="E7" s="63" t="s">
        <v>92</v>
      </c>
      <c r="F7" s="60" t="s">
        <v>46</v>
      </c>
      <c r="G7" s="47">
        <v>12</v>
      </c>
      <c r="H7" s="137">
        <f>IF(B$27=0,0,G7/B$27)</f>
        <v>0.21428571428571427</v>
      </c>
      <c r="I7" s="98">
        <v>3</v>
      </c>
      <c r="K7" s="38">
        <v>5</v>
      </c>
      <c r="L7" s="103">
        <v>201.4</v>
      </c>
      <c r="N7" s="120" t="s">
        <v>141</v>
      </c>
      <c r="O7" s="127">
        <f t="shared" si="0"/>
        <v>600</v>
      </c>
      <c r="P7" s="124">
        <v>11</v>
      </c>
      <c r="Q7" s="108">
        <v>6600</v>
      </c>
    </row>
    <row r="8" spans="1:17" x14ac:dyDescent="0.4">
      <c r="A8" s="55" t="s">
        <v>3</v>
      </c>
      <c r="B8" s="47">
        <v>4</v>
      </c>
      <c r="C8" s="39">
        <f>IF(B$2=0,0,B8/B$2)</f>
        <v>0.26666666666666666</v>
      </c>
      <c r="E8" s="63" t="s">
        <v>69</v>
      </c>
      <c r="F8" s="60" t="s">
        <v>24</v>
      </c>
      <c r="G8" s="47">
        <v>10</v>
      </c>
      <c r="H8" s="137">
        <f>IF(B$27=0,0,G8/B$27)</f>
        <v>0.17857142857142858</v>
      </c>
      <c r="I8" s="98">
        <v>7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6.6666666666666666E-2</v>
      </c>
      <c r="E9" s="63" t="s">
        <v>70</v>
      </c>
      <c r="F9" s="60" t="s">
        <v>12</v>
      </c>
      <c r="G9" s="47">
        <v>10</v>
      </c>
      <c r="H9" s="137">
        <f>IF(B$27=0,0,G9/B$27)</f>
        <v>0.17857142857142858</v>
      </c>
      <c r="I9" s="98">
        <v>7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6</v>
      </c>
      <c r="H10" s="137">
        <f>IF(B$27=0,0,G10/B$27)</f>
        <v>0.10714285714285714</v>
      </c>
      <c r="I10" s="98">
        <v>5</v>
      </c>
      <c r="K10" s="38">
        <v>8</v>
      </c>
      <c r="L10" s="103">
        <v>285.20000000000005</v>
      </c>
      <c r="N10" s="118" t="s">
        <v>172</v>
      </c>
      <c r="O10" s="128">
        <f>IF(P10=0,0,Q10/P10)</f>
        <v>24.628571428571426</v>
      </c>
      <c r="P10" s="122">
        <v>7</v>
      </c>
      <c r="Q10" s="110">
        <v>172.39999999999998</v>
      </c>
    </row>
    <row r="11" spans="1:17" x14ac:dyDescent="0.4">
      <c r="A11" s="56" t="s">
        <v>144</v>
      </c>
      <c r="B11" s="48">
        <v>2</v>
      </c>
      <c r="C11" s="40">
        <f>IF(B$2=0,0,B11/B$2)</f>
        <v>0.13333333333333333</v>
      </c>
      <c r="E11" s="63" t="s">
        <v>89</v>
      </c>
      <c r="F11" s="60" t="s">
        <v>43</v>
      </c>
      <c r="G11" s="47">
        <v>4</v>
      </c>
      <c r="H11" s="137">
        <f>IF(B$27=0,0,G11/B$27)</f>
        <v>7.1428571428571425E-2</v>
      </c>
      <c r="I11" s="98">
        <v>3</v>
      </c>
      <c r="K11" s="38">
        <v>9</v>
      </c>
      <c r="L11" s="103">
        <v>277.90000000000003</v>
      </c>
      <c r="N11" s="119" t="s">
        <v>173</v>
      </c>
      <c r="O11" s="129">
        <f>IF(P11=0,0,Q11/P11)</f>
        <v>36.500000000000007</v>
      </c>
      <c r="P11" s="123">
        <v>3</v>
      </c>
      <c r="Q11" s="111">
        <v>109.50000000000001</v>
      </c>
    </row>
    <row r="12" spans="1:17" x14ac:dyDescent="0.4">
      <c r="A12" s="57" t="s">
        <v>165</v>
      </c>
      <c r="B12" s="49">
        <v>4</v>
      </c>
      <c r="C12" s="42">
        <f>IF(B$2=0,0,B12/B$2)</f>
        <v>0.26666666666666666</v>
      </c>
      <c r="E12" s="63" t="s">
        <v>80</v>
      </c>
      <c r="F12" s="60" t="s">
        <v>34</v>
      </c>
      <c r="G12" s="47">
        <v>3</v>
      </c>
      <c r="H12" s="137">
        <f>IF(B$27=0,0,G12/B$27)</f>
        <v>5.3571428571428568E-2</v>
      </c>
      <c r="I12" s="98">
        <v>1</v>
      </c>
      <c r="K12" s="38">
        <v>10</v>
      </c>
      <c r="L12" s="103">
        <v>246.20000000000005</v>
      </c>
      <c r="N12" s="120" t="s">
        <v>174</v>
      </c>
      <c r="O12" s="130">
        <f>IF(P12=0,0,Q12/P12)</f>
        <v>39.92</v>
      </c>
      <c r="P12" s="124">
        <v>5</v>
      </c>
      <c r="Q12" s="112">
        <v>199.60000000000002</v>
      </c>
    </row>
    <row r="13" spans="1:17" x14ac:dyDescent="0.4">
      <c r="A13" s="58" t="s">
        <v>126</v>
      </c>
      <c r="B13" s="50">
        <v>44</v>
      </c>
      <c r="C13" s="44">
        <f>IF(B$26=0,0,B13/B$26)</f>
        <v>0.36363636363636365</v>
      </c>
      <c r="E13" s="63" t="s">
        <v>72</v>
      </c>
      <c r="F13" s="60" t="s">
        <v>26</v>
      </c>
      <c r="G13" s="47">
        <v>2</v>
      </c>
      <c r="H13" s="137">
        <f>IF(B$27=0,0,G13/B$27)</f>
        <v>3.5714285714285712E-2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32</v>
      </c>
      <c r="C14" s="39">
        <f>IF(B$26=0,0,B14/B$26)</f>
        <v>0.26446280991735538</v>
      </c>
      <c r="E14" s="63" t="s">
        <v>86</v>
      </c>
      <c r="F14" s="60" t="s">
        <v>40</v>
      </c>
      <c r="G14" s="47">
        <v>2</v>
      </c>
      <c r="H14" s="137">
        <f>IF(B$27=0,0,G14/B$27)</f>
        <v>3.5714285714285712E-2</v>
      </c>
      <c r="I14" s="98">
        <v>6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24</v>
      </c>
      <c r="C15" s="37">
        <f>IF(B$13=0,0,B15/B$13)</f>
        <v>0.54545454545454541</v>
      </c>
      <c r="E15" s="63" t="s">
        <v>73</v>
      </c>
      <c r="F15" s="60" t="s">
        <v>27</v>
      </c>
      <c r="G15" s="47">
        <v>1</v>
      </c>
      <c r="H15" s="137">
        <f>IF(B$27=0,0,G15/B$27)</f>
        <v>1.7857142857142856E-2</v>
      </c>
      <c r="I15" s="98">
        <v>6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22</v>
      </c>
      <c r="C16" s="37">
        <f>IF(B$14=0,0,B16/B$14)</f>
        <v>0.6875</v>
      </c>
      <c r="E16" s="63" t="s">
        <v>84</v>
      </c>
      <c r="F16" s="60" t="s">
        <v>38</v>
      </c>
      <c r="G16" s="47">
        <v>1</v>
      </c>
      <c r="H16" s="137">
        <f>IF(B$27=0,0,G16/B$27)</f>
        <v>1.7857142857142856E-2</v>
      </c>
      <c r="I16" s="98">
        <v>4</v>
      </c>
      <c r="K16" s="38">
        <v>14</v>
      </c>
      <c r="L16" s="103">
        <v>473.50000000000006</v>
      </c>
      <c r="N16" s="119" t="s">
        <v>185</v>
      </c>
      <c r="O16" s="129">
        <f>IF(P16=0,0,Q16/P16)</f>
        <v>94.6</v>
      </c>
      <c r="P16" s="123">
        <v>1</v>
      </c>
      <c r="Q16" s="111">
        <v>94.6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0.46280991735537191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K17" s="38">
        <v>15</v>
      </c>
      <c r="L17" s="103">
        <v>481.50000000000006</v>
      </c>
      <c r="N17" s="119" t="s">
        <v>193</v>
      </c>
      <c r="O17" s="129">
        <f>IF(P17=0,0,Q17/P17)</f>
        <v>69.2</v>
      </c>
      <c r="P17" s="123">
        <v>1</v>
      </c>
      <c r="Q17" s="111">
        <v>69.2</v>
      </c>
    </row>
    <row r="18" spans="1:17" x14ac:dyDescent="0.4">
      <c r="A18" s="55" t="s">
        <v>12</v>
      </c>
      <c r="B18" s="47">
        <v>19</v>
      </c>
      <c r="C18" s="39">
        <f>IF(B$17=0,0,B18/B$17)</f>
        <v>0.3392857142857143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68.633333333333326</v>
      </c>
      <c r="P18" s="123">
        <v>6</v>
      </c>
      <c r="Q18" s="111">
        <v>411.79999999999995</v>
      </c>
    </row>
    <row r="19" spans="1:17" x14ac:dyDescent="0.4">
      <c r="A19" s="55" t="s">
        <v>11</v>
      </c>
      <c r="B19" s="47">
        <v>37</v>
      </c>
      <c r="C19" s="39">
        <f>IF(B$17=0,0,B19/B$17)</f>
        <v>0.6607142857142857</v>
      </c>
      <c r="E19" s="63" t="s">
        <v>77</v>
      </c>
      <c r="F19" s="60" t="s">
        <v>31</v>
      </c>
      <c r="G19" s="47">
        <v>0</v>
      </c>
      <c r="H19" s="137">
        <f>IF(B$27=0,0,G19/B$27)</f>
        <v>0</v>
      </c>
      <c r="I19" s="98">
        <v>5</v>
      </c>
      <c r="N19" s="119" t="s">
        <v>133</v>
      </c>
      <c r="O19" s="129">
        <f>IF(P19=0,0,Q19/P19)</f>
        <v>32.857142857142854</v>
      </c>
      <c r="P19" s="123">
        <v>7</v>
      </c>
      <c r="Q19" s="111">
        <v>230</v>
      </c>
    </row>
    <row r="20" spans="1:17" x14ac:dyDescent="0.4">
      <c r="A20" s="55" t="s">
        <v>13</v>
      </c>
      <c r="B20" s="47">
        <v>18</v>
      </c>
      <c r="C20" s="39">
        <f>IF(B$3=0,0,B20/B$3)</f>
        <v>0.1487603305785124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N20" s="119" t="s">
        <v>132</v>
      </c>
      <c r="O20" s="129">
        <f>IF(P20=0,0,Q20/P20)</f>
        <v>28.212499999999999</v>
      </c>
      <c r="P20" s="123">
        <v>8</v>
      </c>
      <c r="Q20" s="111">
        <v>225.7</v>
      </c>
    </row>
    <row r="21" spans="1:17" x14ac:dyDescent="0.4">
      <c r="A21" s="55" t="s">
        <v>5</v>
      </c>
      <c r="B21" s="51">
        <f>IF(B$17=0,0,C21/B$17)</f>
        <v>7700</v>
      </c>
      <c r="C21" s="41">
        <v>431200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N21" s="119" t="s">
        <v>180</v>
      </c>
      <c r="O21" s="129">
        <f>IF(P21=0,0,Q21/P21)</f>
        <v>13.3</v>
      </c>
      <c r="P21" s="123">
        <v>4</v>
      </c>
      <c r="Q21" s="111">
        <v>53.2</v>
      </c>
    </row>
    <row r="22" spans="1:17" x14ac:dyDescent="0.4">
      <c r="A22" s="57" t="s">
        <v>14</v>
      </c>
      <c r="B22" s="52">
        <f>IF(B$20=0,0,C22/B$20)</f>
        <v>-6988.8888888888887</v>
      </c>
      <c r="C22" s="45">
        <v>-125800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105900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121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56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532E-B18D-45CA-8AA6-7304915F035F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16</v>
      </c>
      <c r="C2" s="148"/>
      <c r="E2" s="62" t="s">
        <v>68</v>
      </c>
      <c r="F2" s="59" t="s">
        <v>23</v>
      </c>
      <c r="G2" s="46">
        <v>35</v>
      </c>
      <c r="H2" s="136">
        <f>IF(B$27=0,0,G2/B$27)</f>
        <v>0.85365853658536583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518.75</v>
      </c>
      <c r="P2" s="122">
        <v>16</v>
      </c>
      <c r="Q2" s="106">
        <v>8300</v>
      </c>
    </row>
    <row r="3" spans="1:17" x14ac:dyDescent="0.4">
      <c r="A3" s="55" t="s">
        <v>8</v>
      </c>
      <c r="B3" s="153">
        <v>145</v>
      </c>
      <c r="C3" s="154"/>
      <c r="E3" s="63" t="s">
        <v>66</v>
      </c>
      <c r="F3" s="60" t="s">
        <v>21</v>
      </c>
      <c r="G3" s="47">
        <v>30</v>
      </c>
      <c r="H3" s="137">
        <f>IF(B$27=0,0,G3/B$27)</f>
        <v>0.73170731707317072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-918.75</v>
      </c>
      <c r="P3" s="123">
        <v>16</v>
      </c>
      <c r="Q3" s="107">
        <v>-14700</v>
      </c>
    </row>
    <row r="4" spans="1:17" x14ac:dyDescent="0.4">
      <c r="A4" s="55" t="s">
        <v>6</v>
      </c>
      <c r="B4" s="155">
        <v>41.699999999999989</v>
      </c>
      <c r="C4" s="156"/>
      <c r="E4" s="63" t="s">
        <v>189</v>
      </c>
      <c r="F4" s="60" t="s">
        <v>190</v>
      </c>
      <c r="G4" s="47">
        <v>20</v>
      </c>
      <c r="H4" s="137">
        <f>IF(B$27=0,0,G4/B$27)</f>
        <v>0.48780487804878048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-1500</v>
      </c>
      <c r="P4" s="123">
        <v>16</v>
      </c>
      <c r="Q4" s="107">
        <v>-24000</v>
      </c>
    </row>
    <row r="5" spans="1:17" x14ac:dyDescent="0.4">
      <c r="A5" s="55" t="s">
        <v>7</v>
      </c>
      <c r="B5" s="157">
        <f>IF(B$2=0,0,B$4/B$2)</f>
        <v>2.6062499999999993</v>
      </c>
      <c r="C5" s="158"/>
      <c r="E5" s="63" t="s">
        <v>74</v>
      </c>
      <c r="F5" s="60" t="s">
        <v>28</v>
      </c>
      <c r="G5" s="47">
        <v>18</v>
      </c>
      <c r="H5" s="137">
        <f>IF(B$27=0,0,G5/B$27)</f>
        <v>0.43902439024390244</v>
      </c>
      <c r="I5" s="98">
        <v>8</v>
      </c>
      <c r="K5" s="38">
        <v>3</v>
      </c>
      <c r="L5" s="103">
        <v>-47.300000000000004</v>
      </c>
      <c r="N5" s="119" t="s">
        <v>139</v>
      </c>
      <c r="O5" s="126">
        <f t="shared" si="0"/>
        <v>2768.75</v>
      </c>
      <c r="P5" s="123">
        <v>16</v>
      </c>
      <c r="Q5" s="107">
        <v>44300</v>
      </c>
    </row>
    <row r="6" spans="1:17" x14ac:dyDescent="0.4">
      <c r="A6" s="55" t="s">
        <v>1</v>
      </c>
      <c r="B6" s="145">
        <f>IF(B$2=0,0,(B$7*1+B$8*2+B$9*3)/B$2)</f>
        <v>2.0625</v>
      </c>
      <c r="C6" s="146"/>
      <c r="E6" s="63" t="s">
        <v>69</v>
      </c>
      <c r="F6" s="60" t="s">
        <v>24</v>
      </c>
      <c r="G6" s="47">
        <v>17</v>
      </c>
      <c r="H6" s="137">
        <f>IF(B$27=0,0,G6/B$27)</f>
        <v>0.41463414634146339</v>
      </c>
      <c r="I6" s="98">
        <v>1</v>
      </c>
      <c r="K6" s="38">
        <v>4</v>
      </c>
      <c r="L6" s="103">
        <v>13.599999999999994</v>
      </c>
      <c r="N6" s="119" t="s">
        <v>140</v>
      </c>
      <c r="O6" s="126">
        <f t="shared" si="0"/>
        <v>2975</v>
      </c>
      <c r="P6" s="123">
        <v>16</v>
      </c>
      <c r="Q6" s="107">
        <v>47600</v>
      </c>
    </row>
    <row r="7" spans="1:17" x14ac:dyDescent="0.4">
      <c r="A7" s="55" t="s">
        <v>2</v>
      </c>
      <c r="B7" s="47">
        <v>5</v>
      </c>
      <c r="C7" s="39">
        <f>IF(B$2=0,0,B7/B$2)</f>
        <v>0.3125</v>
      </c>
      <c r="E7" s="63" t="s">
        <v>70</v>
      </c>
      <c r="F7" s="60" t="s">
        <v>12</v>
      </c>
      <c r="G7" s="47">
        <v>17</v>
      </c>
      <c r="H7" s="137">
        <f>IF(B$27=0,0,G7/B$27)</f>
        <v>0.41463414634146339</v>
      </c>
      <c r="I7" s="98">
        <v>1</v>
      </c>
      <c r="K7" s="38">
        <v>5</v>
      </c>
      <c r="L7" s="103">
        <v>-16.600000000000005</v>
      </c>
      <c r="N7" s="120" t="s">
        <v>141</v>
      </c>
      <c r="O7" s="127">
        <f t="shared" si="0"/>
        <v>13.333333333333334</v>
      </c>
      <c r="P7" s="124">
        <v>15</v>
      </c>
      <c r="Q7" s="108">
        <v>200</v>
      </c>
    </row>
    <row r="8" spans="1:17" x14ac:dyDescent="0.4">
      <c r="A8" s="55" t="s">
        <v>3</v>
      </c>
      <c r="B8" s="47">
        <v>5</v>
      </c>
      <c r="C8" s="39">
        <f>IF(B$2=0,0,B8/B$2)</f>
        <v>0.3125</v>
      </c>
      <c r="E8" s="63" t="s">
        <v>71</v>
      </c>
      <c r="F8" s="60" t="s">
        <v>25</v>
      </c>
      <c r="G8" s="47">
        <v>12</v>
      </c>
      <c r="H8" s="137">
        <f>IF(B$27=0,0,G8/B$27)</f>
        <v>0.29268292682926828</v>
      </c>
      <c r="I8" s="98">
        <v>2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0.375</v>
      </c>
      <c r="E9" s="63" t="s">
        <v>67</v>
      </c>
      <c r="F9" s="60" t="s">
        <v>22</v>
      </c>
      <c r="G9" s="47">
        <v>9</v>
      </c>
      <c r="H9" s="137">
        <f>IF(B$27=0,0,G9/B$27)</f>
        <v>0.21951219512195122</v>
      </c>
      <c r="I9" s="98">
        <v>1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5</v>
      </c>
      <c r="H10" s="137">
        <f>IF(B$27=0,0,G10/B$27)</f>
        <v>0.12195121951219512</v>
      </c>
      <c r="I10" s="98">
        <v>2</v>
      </c>
      <c r="K10" s="38">
        <v>8</v>
      </c>
      <c r="L10" s="103">
        <v>-49.6</v>
      </c>
      <c r="N10" s="118" t="s">
        <v>172</v>
      </c>
      <c r="O10" s="128">
        <f>IF(P10=0,0,Q10/P10)</f>
        <v>11.266666666666666</v>
      </c>
      <c r="P10" s="122">
        <v>6</v>
      </c>
      <c r="Q10" s="110">
        <v>67.599999999999994</v>
      </c>
    </row>
    <row r="11" spans="1:17" x14ac:dyDescent="0.4">
      <c r="A11" s="56" t="s">
        <v>144</v>
      </c>
      <c r="B11" s="48">
        <v>1</v>
      </c>
      <c r="C11" s="40">
        <f>IF(B$2=0,0,B11/B$2)</f>
        <v>6.25E-2</v>
      </c>
      <c r="E11" s="63" t="s">
        <v>92</v>
      </c>
      <c r="F11" s="60" t="s">
        <v>46</v>
      </c>
      <c r="G11" s="47">
        <v>3</v>
      </c>
      <c r="H11" s="137">
        <f>IF(B$27=0,0,G11/B$27)</f>
        <v>7.3170731707317069E-2</v>
      </c>
      <c r="I11" s="98">
        <v>10</v>
      </c>
      <c r="K11" s="38">
        <v>9</v>
      </c>
      <c r="L11" s="103">
        <v>-79.5</v>
      </c>
      <c r="N11" s="119" t="s">
        <v>173</v>
      </c>
      <c r="O11" s="129">
        <f>IF(P11=0,0,Q11/P11)</f>
        <v>-9.9571428571428555</v>
      </c>
      <c r="P11" s="123">
        <v>7</v>
      </c>
      <c r="Q11" s="111">
        <v>-69.699999999999989</v>
      </c>
    </row>
    <row r="12" spans="1:17" x14ac:dyDescent="0.4">
      <c r="A12" s="57" t="s">
        <v>165</v>
      </c>
      <c r="B12" s="49">
        <v>1</v>
      </c>
      <c r="C12" s="42">
        <f>IF(B$2=0,0,B12/B$2)</f>
        <v>6.25E-2</v>
      </c>
      <c r="E12" s="63" t="s">
        <v>84</v>
      </c>
      <c r="F12" s="60" t="s">
        <v>38</v>
      </c>
      <c r="G12" s="47">
        <v>2</v>
      </c>
      <c r="H12" s="137">
        <f>IF(B$27=0,0,G12/B$27)</f>
        <v>4.878048780487805E-2</v>
      </c>
      <c r="I12" s="98">
        <v>2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47</v>
      </c>
      <c r="C13" s="44">
        <f>IF(B$26=0,0,B13/B$26)</f>
        <v>0.34814814814814815</v>
      </c>
      <c r="E13" s="63" t="s">
        <v>89</v>
      </c>
      <c r="F13" s="60" t="s">
        <v>43</v>
      </c>
      <c r="G13" s="47">
        <v>2</v>
      </c>
      <c r="H13" s="137">
        <f>IF(B$27=0,0,G13/B$27)</f>
        <v>4.878048780487805E-2</v>
      </c>
      <c r="I13" s="98">
        <v>5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31</v>
      </c>
      <c r="C14" s="39">
        <f>IF(B$26=0,0,B14/B$26)</f>
        <v>0.22962962962962963</v>
      </c>
      <c r="E14" s="63" t="s">
        <v>73</v>
      </c>
      <c r="F14" s="60" t="s">
        <v>27</v>
      </c>
      <c r="G14" s="47">
        <v>1</v>
      </c>
      <c r="H14" s="137">
        <f>IF(B$27=0,0,G14/B$27)</f>
        <v>2.4390243902439025E-2</v>
      </c>
      <c r="I14" s="98">
        <v>5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30</v>
      </c>
      <c r="C15" s="37">
        <f>IF(B$13=0,0,B15/B$13)</f>
        <v>0.63829787234042556</v>
      </c>
      <c r="E15" s="63" t="s">
        <v>75</v>
      </c>
      <c r="F15" s="60" t="s">
        <v>29</v>
      </c>
      <c r="G15" s="47">
        <v>1</v>
      </c>
      <c r="H15" s="137">
        <f>IF(B$27=0,0,G15/B$27)</f>
        <v>2.4390243902439025E-2</v>
      </c>
      <c r="I15" s="98">
        <v>1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9</v>
      </c>
      <c r="C16" s="37">
        <f>IF(B$14=0,0,B16/B$14)</f>
        <v>0.29032258064516131</v>
      </c>
      <c r="E16" s="63" t="s">
        <v>77</v>
      </c>
      <c r="F16" s="60" t="s">
        <v>31</v>
      </c>
      <c r="G16" s="47">
        <v>1</v>
      </c>
      <c r="H16" s="137">
        <f>IF(B$27=0,0,G16/B$27)</f>
        <v>2.4390243902439025E-2</v>
      </c>
      <c r="I16" s="98">
        <v>3</v>
      </c>
      <c r="K16" s="38">
        <v>14</v>
      </c>
      <c r="L16" s="103">
        <v>-25.600000000000009</v>
      </c>
      <c r="N16" s="119" t="s">
        <v>194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47</v>
      </c>
      <c r="C17" s="37">
        <f>IF(B$3=0,0,B17/B$3)</f>
        <v>0.32413793103448274</v>
      </c>
      <c r="E17" s="63" t="s">
        <v>86</v>
      </c>
      <c r="F17" s="60" t="s">
        <v>40</v>
      </c>
      <c r="G17" s="47">
        <v>1</v>
      </c>
      <c r="H17" s="137">
        <f>IF(B$27=0,0,G17/B$27)</f>
        <v>2.4390243902439025E-2</v>
      </c>
      <c r="I17" s="98">
        <v>8</v>
      </c>
      <c r="K17" s="38">
        <v>15</v>
      </c>
      <c r="L17" s="103">
        <v>47.999999999999986</v>
      </c>
      <c r="N17" s="119" t="s">
        <v>180</v>
      </c>
      <c r="O17" s="129">
        <f>IF(P17=0,0,Q17/P17)</f>
        <v>32.699999999999996</v>
      </c>
      <c r="P17" s="123">
        <v>3</v>
      </c>
      <c r="Q17" s="111">
        <v>98.1</v>
      </c>
    </row>
    <row r="18" spans="1:17" x14ac:dyDescent="0.4">
      <c r="A18" s="55" t="s">
        <v>12</v>
      </c>
      <c r="B18" s="47">
        <v>19</v>
      </c>
      <c r="C18" s="39">
        <f>IF(B$17=0,0,B18/B$17)</f>
        <v>0.40425531914893614</v>
      </c>
      <c r="E18" s="63" t="s">
        <v>94</v>
      </c>
      <c r="F18" s="60" t="s">
        <v>48</v>
      </c>
      <c r="G18" s="47">
        <v>1</v>
      </c>
      <c r="H18" s="137">
        <f>IF(B$27=0,0,G18/B$27)</f>
        <v>2.4390243902439025E-2</v>
      </c>
      <c r="I18" s="98">
        <v>2</v>
      </c>
      <c r="K18" s="38">
        <v>16</v>
      </c>
      <c r="L18" s="103">
        <v>41.699999999999989</v>
      </c>
      <c r="N18" s="119" t="s">
        <v>179</v>
      </c>
      <c r="O18" s="129">
        <f>IF(P18=0,0,Q18/P18)</f>
        <v>27.616666666666664</v>
      </c>
      <c r="P18" s="123">
        <v>6</v>
      </c>
      <c r="Q18" s="111">
        <v>165.7</v>
      </c>
    </row>
    <row r="19" spans="1:17" x14ac:dyDescent="0.4">
      <c r="A19" s="55" t="s">
        <v>11</v>
      </c>
      <c r="B19" s="47">
        <v>28</v>
      </c>
      <c r="C19" s="39">
        <f>IF(B$17=0,0,B19/B$17)</f>
        <v>0.5957446808510638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1</v>
      </c>
      <c r="N19" s="119" t="s">
        <v>133</v>
      </c>
      <c r="O19" s="129">
        <f>IF(P19=0,0,Q19/P19)</f>
        <v>-15.299999999999999</v>
      </c>
      <c r="P19" s="123">
        <v>6</v>
      </c>
      <c r="Q19" s="111">
        <v>-91.8</v>
      </c>
    </row>
    <row r="20" spans="1:17" x14ac:dyDescent="0.4">
      <c r="A20" s="55" t="s">
        <v>13</v>
      </c>
      <c r="B20" s="47">
        <v>26</v>
      </c>
      <c r="C20" s="39">
        <f>IF(B$3=0,0,B20/B$3)</f>
        <v>0.1793103448275862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-28.212499999999999</v>
      </c>
      <c r="P20" s="123">
        <v>8</v>
      </c>
      <c r="Q20" s="111">
        <v>-225.7</v>
      </c>
    </row>
    <row r="21" spans="1:17" x14ac:dyDescent="0.4">
      <c r="A21" s="55" t="s">
        <v>5</v>
      </c>
      <c r="B21" s="51">
        <f>IF(B$17=0,0,C21/B$17)</f>
        <v>8000</v>
      </c>
      <c r="C21" s="41">
        <v>376000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N21" s="119" t="s">
        <v>185</v>
      </c>
      <c r="O21" s="129">
        <f>IF(P21=0,0,Q21/P21)</f>
        <v>-40.333333333333336</v>
      </c>
      <c r="P21" s="123">
        <v>3</v>
      </c>
      <c r="Q21" s="111">
        <v>-121</v>
      </c>
    </row>
    <row r="22" spans="1:17" x14ac:dyDescent="0.4">
      <c r="A22" s="57" t="s">
        <v>14</v>
      </c>
      <c r="B22" s="52">
        <f>IF(B$20=0,0,C22/B$20)</f>
        <v>-7476.9230769230771</v>
      </c>
      <c r="C22" s="45">
        <v>-194400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4</v>
      </c>
    </row>
    <row r="23" spans="1:17" x14ac:dyDescent="0.4">
      <c r="A23" s="94" t="s">
        <v>146</v>
      </c>
      <c r="B23" s="143">
        <v>4</v>
      </c>
      <c r="C23" s="14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3</v>
      </c>
    </row>
    <row r="24" spans="1:17" x14ac:dyDescent="0.4">
      <c r="A24" s="58" t="s">
        <v>157</v>
      </c>
      <c r="B24" s="141">
        <v>88600</v>
      </c>
      <c r="C24" s="14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2</v>
      </c>
      <c r="C25" s="42">
        <f>IF(B$3=0,0,B25/B$3)</f>
        <v>1.3793103448275862E-2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135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41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A469-88FB-4862-A3E4-495D6EFCF207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9</v>
      </c>
      <c r="C2" s="148"/>
      <c r="E2" s="62" t="s">
        <v>68</v>
      </c>
      <c r="F2" s="59" t="s">
        <v>23</v>
      </c>
      <c r="G2" s="46">
        <v>24</v>
      </c>
      <c r="H2" s="136">
        <f>IF(B$27=0,0,G2/B$27)</f>
        <v>1.263157894736842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1255.5555555555557</v>
      </c>
      <c r="P2" s="122">
        <v>9</v>
      </c>
      <c r="Q2" s="106">
        <v>11300</v>
      </c>
    </row>
    <row r="3" spans="1:17" x14ac:dyDescent="0.4">
      <c r="A3" s="55" t="s">
        <v>8</v>
      </c>
      <c r="B3" s="153">
        <v>75</v>
      </c>
      <c r="C3" s="154"/>
      <c r="E3" s="63" t="s">
        <v>66</v>
      </c>
      <c r="F3" s="60" t="s">
        <v>21</v>
      </c>
      <c r="G3" s="47">
        <v>9</v>
      </c>
      <c r="H3" s="137">
        <f>IF(B$27=0,0,G3/B$27)</f>
        <v>0.47368421052631576</v>
      </c>
      <c r="I3" s="98">
        <v>6</v>
      </c>
      <c r="K3" s="38">
        <v>1</v>
      </c>
      <c r="L3" s="103">
        <v>-40.4</v>
      </c>
      <c r="N3" s="119" t="s">
        <v>137</v>
      </c>
      <c r="O3" s="126">
        <f t="shared" si="0"/>
        <v>-3022.2222222222222</v>
      </c>
      <c r="P3" s="123">
        <v>9</v>
      </c>
      <c r="Q3" s="107">
        <v>-27200</v>
      </c>
    </row>
    <row r="4" spans="1:17" x14ac:dyDescent="0.4">
      <c r="A4" s="55" t="s">
        <v>6</v>
      </c>
      <c r="B4" s="155">
        <v>-127.6</v>
      </c>
      <c r="C4" s="156"/>
      <c r="E4" s="63" t="s">
        <v>69</v>
      </c>
      <c r="F4" s="60" t="s">
        <v>24</v>
      </c>
      <c r="G4" s="47">
        <v>7</v>
      </c>
      <c r="H4" s="137">
        <f>IF(B$27=0,0,G4/B$27)</f>
        <v>0.36842105263157893</v>
      </c>
      <c r="I4" s="98">
        <v>3</v>
      </c>
      <c r="K4" s="38">
        <v>2</v>
      </c>
      <c r="L4" s="103">
        <v>-3.3999999999999986</v>
      </c>
      <c r="N4" s="119" t="s">
        <v>138</v>
      </c>
      <c r="O4" s="126">
        <f t="shared" si="0"/>
        <v>-2914.2857142857142</v>
      </c>
      <c r="P4" s="123">
        <v>7</v>
      </c>
      <c r="Q4" s="107">
        <v>-20400</v>
      </c>
    </row>
    <row r="5" spans="1:17" x14ac:dyDescent="0.4">
      <c r="A5" s="55" t="s">
        <v>7</v>
      </c>
      <c r="B5" s="157">
        <f>IF(B$2=0,0,B$4/B$2)</f>
        <v>-14.177777777777777</v>
      </c>
      <c r="C5" s="158"/>
      <c r="E5" s="63" t="s">
        <v>74</v>
      </c>
      <c r="F5" s="60" t="s">
        <v>28</v>
      </c>
      <c r="G5" s="47">
        <v>6</v>
      </c>
      <c r="H5" s="137">
        <f>IF(B$27=0,0,G5/B$27)</f>
        <v>0.31578947368421051</v>
      </c>
      <c r="I5" s="98">
        <v>10</v>
      </c>
      <c r="K5" s="38">
        <v>3</v>
      </c>
      <c r="L5" s="103">
        <v>-23.099999999999998</v>
      </c>
      <c r="N5" s="119" t="s">
        <v>139</v>
      </c>
      <c r="O5" s="126">
        <f t="shared" si="0"/>
        <v>-5114.2857142857147</v>
      </c>
      <c r="P5" s="123">
        <v>7</v>
      </c>
      <c r="Q5" s="107">
        <v>-35800</v>
      </c>
    </row>
    <row r="6" spans="1:17" x14ac:dyDescent="0.4">
      <c r="A6" s="55" t="s">
        <v>1</v>
      </c>
      <c r="B6" s="145">
        <f>IF(B$2=0,0,(B$7*1+B$8*2+B$9*3)/B$2)</f>
        <v>2.2222222222222223</v>
      </c>
      <c r="C6" s="146"/>
      <c r="E6" s="63" t="s">
        <v>70</v>
      </c>
      <c r="F6" s="60" t="s">
        <v>12</v>
      </c>
      <c r="G6" s="47">
        <v>5</v>
      </c>
      <c r="H6" s="137">
        <f>IF(B$27=0,0,G6/B$27)</f>
        <v>0.26315789473684209</v>
      </c>
      <c r="I6" s="98">
        <v>3</v>
      </c>
      <c r="K6" s="38">
        <v>4</v>
      </c>
      <c r="L6" s="103">
        <v>-31.4</v>
      </c>
      <c r="N6" s="119" t="s">
        <v>140</v>
      </c>
      <c r="O6" s="126">
        <f t="shared" si="0"/>
        <v>-1571.4285714285713</v>
      </c>
      <c r="P6" s="123">
        <v>7</v>
      </c>
      <c r="Q6" s="107">
        <v>-11000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189</v>
      </c>
      <c r="F7" s="60" t="s">
        <v>190</v>
      </c>
      <c r="G7" s="47">
        <v>5</v>
      </c>
      <c r="H7" s="137">
        <f>IF(B$27=0,0,G7/B$27)</f>
        <v>0.26315789473684209</v>
      </c>
      <c r="I7" s="98">
        <v>8</v>
      </c>
      <c r="K7" s="38">
        <v>5</v>
      </c>
      <c r="L7" s="103">
        <v>-32.199999999999996</v>
      </c>
      <c r="N7" s="120" t="s">
        <v>141</v>
      </c>
      <c r="O7" s="127">
        <f t="shared" si="0"/>
        <v>-642.85714285714289</v>
      </c>
      <c r="P7" s="124">
        <v>7</v>
      </c>
      <c r="Q7" s="108">
        <v>-4500</v>
      </c>
    </row>
    <row r="8" spans="1:17" x14ac:dyDescent="0.4">
      <c r="A8" s="55" t="s">
        <v>3</v>
      </c>
      <c r="B8" s="47">
        <v>3</v>
      </c>
      <c r="C8" s="39">
        <f>IF(B$2=0,0,B8/B$2)</f>
        <v>0.33333333333333331</v>
      </c>
      <c r="E8" s="63" t="s">
        <v>73</v>
      </c>
      <c r="F8" s="60" t="s">
        <v>27</v>
      </c>
      <c r="G8" s="47">
        <v>3</v>
      </c>
      <c r="H8" s="137">
        <f>IF(B$27=0,0,G8/B$27)</f>
        <v>0.15789473684210525</v>
      </c>
      <c r="I8" s="98">
        <v>2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0.44444444444444442</v>
      </c>
      <c r="E9" s="63" t="s">
        <v>92</v>
      </c>
      <c r="F9" s="60" t="s">
        <v>46</v>
      </c>
      <c r="G9" s="47">
        <v>3</v>
      </c>
      <c r="H9" s="137">
        <f>IF(B$27=0,0,G9/B$27)</f>
        <v>0.15789473684210525</v>
      </c>
      <c r="I9" s="98">
        <v>5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0.1111111111111111</v>
      </c>
      <c r="E10" s="63" t="s">
        <v>71</v>
      </c>
      <c r="F10" s="60" t="s">
        <v>25</v>
      </c>
      <c r="G10" s="47">
        <v>2</v>
      </c>
      <c r="H10" s="137">
        <f>IF(B$27=0,0,G10/B$27)</f>
        <v>0.10526315789473684</v>
      </c>
      <c r="I10" s="98">
        <v>9</v>
      </c>
      <c r="K10" s="38">
        <v>8</v>
      </c>
      <c r="L10" s="103">
        <v>-79.599999999999994</v>
      </c>
      <c r="N10" s="118" t="s">
        <v>172</v>
      </c>
      <c r="O10" s="128">
        <f>IF(P10=0,0,Q10/P10)</f>
        <v>-30.75</v>
      </c>
      <c r="P10" s="122">
        <v>4</v>
      </c>
      <c r="Q10" s="110">
        <v>-123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2</v>
      </c>
      <c r="H11" s="137">
        <f>IF(B$27=0,0,G11/B$27)</f>
        <v>0.10526315789473684</v>
      </c>
      <c r="I11" s="98">
        <v>4</v>
      </c>
      <c r="K11" s="38">
        <v>9</v>
      </c>
      <c r="L11" s="103">
        <v>-127.6</v>
      </c>
      <c r="N11" s="119" t="s">
        <v>173</v>
      </c>
      <c r="O11" s="129">
        <f>IF(P11=0,0,Q11/P11)</f>
        <v>-10.25</v>
      </c>
      <c r="P11" s="123">
        <v>2</v>
      </c>
      <c r="Q11" s="111">
        <v>-20.5</v>
      </c>
    </row>
    <row r="12" spans="1:17" x14ac:dyDescent="0.4">
      <c r="A12" s="57" t="s">
        <v>165</v>
      </c>
      <c r="B12" s="49">
        <v>1</v>
      </c>
      <c r="C12" s="42">
        <f>IF(B$2=0,0,B12/B$2)</f>
        <v>0.1111111111111111</v>
      </c>
      <c r="E12" s="63" t="s">
        <v>89</v>
      </c>
      <c r="F12" s="60" t="s">
        <v>43</v>
      </c>
      <c r="G12" s="47">
        <v>2</v>
      </c>
      <c r="H12" s="137">
        <f>IF(B$27=0,0,G12/B$27)</f>
        <v>0.10526315789473684</v>
      </c>
      <c r="I12" s="98">
        <v>2</v>
      </c>
      <c r="N12" s="120" t="s">
        <v>174</v>
      </c>
      <c r="O12" s="130">
        <f>IF(P12=0,0,Q12/P12)</f>
        <v>5.3000000000000016</v>
      </c>
      <c r="P12" s="124">
        <v>3</v>
      </c>
      <c r="Q12" s="112">
        <v>15.900000000000006</v>
      </c>
    </row>
    <row r="13" spans="1:17" x14ac:dyDescent="0.4">
      <c r="A13" s="58" t="s">
        <v>126</v>
      </c>
      <c r="B13" s="50">
        <v>18</v>
      </c>
      <c r="C13" s="44">
        <f>IF(B$26=0,0,B13/B$26)</f>
        <v>0.24</v>
      </c>
      <c r="E13" s="63" t="s">
        <v>67</v>
      </c>
      <c r="F13" s="60" t="s">
        <v>22</v>
      </c>
      <c r="G13" s="47">
        <v>1</v>
      </c>
      <c r="H13" s="137">
        <f>IF(B$27=0,0,G13/B$27)</f>
        <v>5.2631578947368418E-2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8</v>
      </c>
      <c r="C14" s="39">
        <f>IF(B$26=0,0,B14/B$26)</f>
        <v>0.10666666666666667</v>
      </c>
      <c r="E14" s="63" t="s">
        <v>80</v>
      </c>
      <c r="F14" s="60" t="s">
        <v>34</v>
      </c>
      <c r="G14" s="47">
        <v>1</v>
      </c>
      <c r="H14" s="137">
        <f>IF(B$27=0,0,G14/B$27)</f>
        <v>5.2631578947368418E-2</v>
      </c>
      <c r="I14" s="98">
        <v>2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</v>
      </c>
      <c r="C15" s="37">
        <f>IF(B$13=0,0,B15/B$13)</f>
        <v>0.55555555555555558</v>
      </c>
      <c r="E15" s="63" t="s">
        <v>86</v>
      </c>
      <c r="F15" s="60" t="s">
        <v>40</v>
      </c>
      <c r="G15" s="47">
        <v>1</v>
      </c>
      <c r="H15" s="137">
        <f>IF(B$27=0,0,G15/B$27)</f>
        <v>5.2631578947368418E-2</v>
      </c>
      <c r="I15" s="98">
        <v>4</v>
      </c>
      <c r="N15" s="118" t="s">
        <v>132</v>
      </c>
      <c r="O15" s="128">
        <f>IF(P15=0,0,Q15/P15)</f>
        <v>15.299999999999997</v>
      </c>
      <c r="P15" s="122">
        <v>6</v>
      </c>
      <c r="Q15" s="110">
        <v>91.799999999999983</v>
      </c>
    </row>
    <row r="16" spans="1:17" x14ac:dyDescent="0.4">
      <c r="A16" s="54" t="s">
        <v>129</v>
      </c>
      <c r="B16" s="46">
        <v>3</v>
      </c>
      <c r="C16" s="37">
        <f>IF(B$14=0,0,B16/B$14)</f>
        <v>0.375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13.95</v>
      </c>
      <c r="P16" s="123">
        <v>2</v>
      </c>
      <c r="Q16" s="111">
        <v>27.9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0.25333333333333335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131</v>
      </c>
      <c r="O17" s="129">
        <f>IF(P17=0,0,Q17/P17)</f>
        <v>-32.857142857142854</v>
      </c>
      <c r="P17" s="123">
        <v>7</v>
      </c>
      <c r="Q17" s="111">
        <v>-230</v>
      </c>
    </row>
    <row r="18" spans="1:17" x14ac:dyDescent="0.4">
      <c r="A18" s="55" t="s">
        <v>12</v>
      </c>
      <c r="B18" s="47">
        <v>6</v>
      </c>
      <c r="C18" s="39">
        <f>IF(B$17=0,0,B18/B$17)</f>
        <v>0.31578947368421051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13</v>
      </c>
      <c r="C19" s="39">
        <f>IF(B$17=0,0,B19/B$17)</f>
        <v>0.68421052631578949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179</v>
      </c>
      <c r="O19" s="129">
        <f>IF(P19=0,0,Q19/P19)</f>
        <v>-102.35</v>
      </c>
      <c r="P19" s="123">
        <v>2</v>
      </c>
      <c r="Q19" s="111">
        <v>-204.7</v>
      </c>
    </row>
    <row r="20" spans="1:17" x14ac:dyDescent="0.4">
      <c r="A20" s="55" t="s">
        <v>13</v>
      </c>
      <c r="B20" s="47">
        <v>18</v>
      </c>
      <c r="C20" s="39">
        <f>IF(B$3=0,0,B20/B$3)</f>
        <v>0.24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7710.5263157894733</v>
      </c>
      <c r="C21" s="41">
        <v>146500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17" x14ac:dyDescent="0.4">
      <c r="A22" s="57" t="s">
        <v>14</v>
      </c>
      <c r="B22" s="52">
        <f>IF(B$20=0,0,C22/B$20)</f>
        <v>-9244.4444444444453</v>
      </c>
      <c r="C22" s="45">
        <v>-166400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75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19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94F3E-7D11-4D83-8ED4-16ED4FF9ED9C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14</v>
      </c>
      <c r="C2" s="148"/>
      <c r="E2" s="62" t="s">
        <v>68</v>
      </c>
      <c r="F2" s="59" t="s">
        <v>23</v>
      </c>
      <c r="G2" s="46">
        <v>24</v>
      </c>
      <c r="H2" s="136">
        <f>IF(B$27=0,0,G2/B$27)</f>
        <v>0.82758620689655171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-2285.7142857142858</v>
      </c>
      <c r="P2" s="122">
        <v>14</v>
      </c>
      <c r="Q2" s="106">
        <v>-32000</v>
      </c>
    </row>
    <row r="3" spans="1:17" x14ac:dyDescent="0.4">
      <c r="A3" s="55" t="s">
        <v>8</v>
      </c>
      <c r="B3" s="153">
        <v>124</v>
      </c>
      <c r="C3" s="154"/>
      <c r="E3" s="63" t="s">
        <v>74</v>
      </c>
      <c r="F3" s="60" t="s">
        <v>28</v>
      </c>
      <c r="G3" s="47">
        <v>18</v>
      </c>
      <c r="H3" s="137">
        <f>IF(B$27=0,0,G3/B$27)</f>
        <v>0.62068965517241381</v>
      </c>
      <c r="I3" s="98">
        <v>3</v>
      </c>
      <c r="K3" s="38">
        <v>1</v>
      </c>
      <c r="L3" s="103">
        <v>-51.2</v>
      </c>
      <c r="N3" s="119" t="s">
        <v>137</v>
      </c>
      <c r="O3" s="126">
        <f t="shared" si="0"/>
        <v>1735.7142857142858</v>
      </c>
      <c r="P3" s="123">
        <v>14</v>
      </c>
      <c r="Q3" s="107">
        <v>24300</v>
      </c>
    </row>
    <row r="4" spans="1:17" x14ac:dyDescent="0.4">
      <c r="A4" s="55" t="s">
        <v>6</v>
      </c>
      <c r="B4" s="155">
        <v>-29.400000000000002</v>
      </c>
      <c r="C4" s="156"/>
      <c r="E4" s="63" t="s">
        <v>66</v>
      </c>
      <c r="F4" s="60" t="s">
        <v>21</v>
      </c>
      <c r="G4" s="47">
        <v>13</v>
      </c>
      <c r="H4" s="137">
        <f>IF(B$27=0,0,G4/B$27)</f>
        <v>0.44827586206896552</v>
      </c>
      <c r="I4" s="98">
        <v>7</v>
      </c>
      <c r="K4" s="38">
        <v>2</v>
      </c>
      <c r="L4" s="103">
        <v>-93.300000000000011</v>
      </c>
      <c r="N4" s="119" t="s">
        <v>138</v>
      </c>
      <c r="O4" s="126">
        <f t="shared" si="0"/>
        <v>-138.46153846153845</v>
      </c>
      <c r="P4" s="123">
        <v>13</v>
      </c>
      <c r="Q4" s="107">
        <v>-1800</v>
      </c>
    </row>
    <row r="5" spans="1:17" x14ac:dyDescent="0.4">
      <c r="A5" s="55" t="s">
        <v>7</v>
      </c>
      <c r="B5" s="157">
        <f>IF(B$2=0,0,B$4/B$2)</f>
        <v>-2.1</v>
      </c>
      <c r="C5" s="158"/>
      <c r="E5" s="63" t="s">
        <v>189</v>
      </c>
      <c r="F5" s="60" t="s">
        <v>190</v>
      </c>
      <c r="G5" s="47">
        <v>9</v>
      </c>
      <c r="H5" s="137">
        <f>IF(B$27=0,0,G5/B$27)</f>
        <v>0.31034482758620691</v>
      </c>
      <c r="I5" s="98">
        <v>7</v>
      </c>
      <c r="K5" s="38">
        <v>3</v>
      </c>
      <c r="L5" s="103">
        <v>-60.100000000000009</v>
      </c>
      <c r="N5" s="119" t="s">
        <v>139</v>
      </c>
      <c r="O5" s="126">
        <f t="shared" si="0"/>
        <v>-5016.666666666667</v>
      </c>
      <c r="P5" s="123">
        <v>12</v>
      </c>
      <c r="Q5" s="107">
        <v>-60200</v>
      </c>
    </row>
    <row r="6" spans="1:17" x14ac:dyDescent="0.4">
      <c r="A6" s="55" t="s">
        <v>1</v>
      </c>
      <c r="B6" s="145">
        <f>IF(B$2=0,0,(B$7*1+B$8*2+B$9*3)/B$2)</f>
        <v>1.9285714285714286</v>
      </c>
      <c r="C6" s="146"/>
      <c r="E6" s="63" t="s">
        <v>71</v>
      </c>
      <c r="F6" s="60" t="s">
        <v>25</v>
      </c>
      <c r="G6" s="47">
        <v>8</v>
      </c>
      <c r="H6" s="137">
        <f>IF(B$27=0,0,G6/B$27)</f>
        <v>0.27586206896551724</v>
      </c>
      <c r="I6" s="98">
        <v>3</v>
      </c>
      <c r="K6" s="38">
        <v>4</v>
      </c>
      <c r="L6" s="103">
        <v>-11.300000000000011</v>
      </c>
      <c r="N6" s="119" t="s">
        <v>140</v>
      </c>
      <c r="O6" s="126">
        <f t="shared" si="0"/>
        <v>1681.8181818181818</v>
      </c>
      <c r="P6" s="123">
        <v>11</v>
      </c>
      <c r="Q6" s="107">
        <v>18500</v>
      </c>
    </row>
    <row r="7" spans="1:17" x14ac:dyDescent="0.4">
      <c r="A7" s="55" t="s">
        <v>2</v>
      </c>
      <c r="B7" s="47">
        <v>6</v>
      </c>
      <c r="C7" s="39">
        <f>IF(B$2=0,0,B7/B$2)</f>
        <v>0.42857142857142855</v>
      </c>
      <c r="E7" s="63" t="s">
        <v>70</v>
      </c>
      <c r="F7" s="60" t="s">
        <v>12</v>
      </c>
      <c r="G7" s="47">
        <v>5</v>
      </c>
      <c r="H7" s="137">
        <f>IF(B$27=0,0,G7/B$27)</f>
        <v>0.17241379310344829</v>
      </c>
      <c r="I7" s="98">
        <v>9</v>
      </c>
      <c r="K7" s="38">
        <v>5</v>
      </c>
      <c r="L7" s="103">
        <v>-36.100000000000009</v>
      </c>
      <c r="N7" s="120" t="s">
        <v>141</v>
      </c>
      <c r="O7" s="127">
        <f t="shared" si="0"/>
        <v>1088.8888888888889</v>
      </c>
      <c r="P7" s="124">
        <v>9</v>
      </c>
      <c r="Q7" s="108">
        <v>9800</v>
      </c>
    </row>
    <row r="8" spans="1:17" x14ac:dyDescent="0.4">
      <c r="A8" s="55" t="s">
        <v>3</v>
      </c>
      <c r="B8" s="47">
        <v>3</v>
      </c>
      <c r="C8" s="39">
        <f>IF(B$2=0,0,B8/B$2)</f>
        <v>0.21428571428571427</v>
      </c>
      <c r="E8" s="63" t="s">
        <v>92</v>
      </c>
      <c r="F8" s="60" t="s">
        <v>46</v>
      </c>
      <c r="G8" s="47">
        <v>5</v>
      </c>
      <c r="H8" s="137">
        <f>IF(B$27=0,0,G8/B$27)</f>
        <v>0.17241379310344829</v>
      </c>
      <c r="I8" s="98">
        <v>4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0.35714285714285715</v>
      </c>
      <c r="E9" s="63" t="s">
        <v>69</v>
      </c>
      <c r="F9" s="60" t="s">
        <v>24</v>
      </c>
      <c r="G9" s="47">
        <v>4</v>
      </c>
      <c r="H9" s="137">
        <f>IF(B$27=0,0,G9/B$27)</f>
        <v>0.13793103448275862</v>
      </c>
      <c r="I9" s="98">
        <v>8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7.1428571428571425E-2</v>
      </c>
      <c r="E10" s="63" t="s">
        <v>72</v>
      </c>
      <c r="F10" s="60" t="s">
        <v>26</v>
      </c>
      <c r="G10" s="47">
        <v>4</v>
      </c>
      <c r="H10" s="137">
        <f>IF(B$27=0,0,G10/B$27)</f>
        <v>0.13793103448275862</v>
      </c>
      <c r="I10" s="98">
        <v>1</v>
      </c>
      <c r="K10" s="38">
        <v>8</v>
      </c>
      <c r="L10" s="103">
        <v>-1.7000000000000028</v>
      </c>
      <c r="N10" s="118" t="s">
        <v>172</v>
      </c>
      <c r="O10" s="128">
        <f>IF(P10=0,0,Q10/P10)</f>
        <v>-13.260000000000002</v>
      </c>
      <c r="P10" s="122">
        <v>5</v>
      </c>
      <c r="Q10" s="110">
        <v>-66.300000000000011</v>
      </c>
    </row>
    <row r="11" spans="1:17" x14ac:dyDescent="0.4">
      <c r="A11" s="56" t="s">
        <v>144</v>
      </c>
      <c r="B11" s="48">
        <v>1</v>
      </c>
      <c r="C11" s="40">
        <f>IF(B$2=0,0,B11/B$2)</f>
        <v>7.1428571428571425E-2</v>
      </c>
      <c r="E11" s="63" t="s">
        <v>67</v>
      </c>
      <c r="F11" s="60" t="s">
        <v>22</v>
      </c>
      <c r="G11" s="47">
        <v>3</v>
      </c>
      <c r="H11" s="137">
        <f>IF(B$27=0,0,G11/B$27)</f>
        <v>0.10344827586206896</v>
      </c>
      <c r="I11" s="98">
        <v>6</v>
      </c>
      <c r="K11" s="38">
        <v>9</v>
      </c>
      <c r="L11" s="103">
        <v>-5.8000000000000025</v>
      </c>
      <c r="N11" s="119" t="s">
        <v>173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165</v>
      </c>
      <c r="B12" s="49">
        <v>2</v>
      </c>
      <c r="C12" s="42">
        <f>IF(B$2=0,0,B12/B$2)</f>
        <v>0.14285714285714285</v>
      </c>
      <c r="E12" s="63" t="s">
        <v>77</v>
      </c>
      <c r="F12" s="60" t="s">
        <v>31</v>
      </c>
      <c r="G12" s="47">
        <v>1</v>
      </c>
      <c r="H12" s="137">
        <f>IF(B$27=0,0,G12/B$27)</f>
        <v>3.4482758620689655E-2</v>
      </c>
      <c r="I12" s="98">
        <v>2</v>
      </c>
      <c r="K12" s="38">
        <v>10</v>
      </c>
      <c r="L12" s="103">
        <v>-56.500000000000007</v>
      </c>
      <c r="N12" s="120" t="s">
        <v>174</v>
      </c>
      <c r="O12" s="130">
        <f>IF(P12=0,0,Q12/P12)</f>
        <v>-2.1333333333333329</v>
      </c>
      <c r="P12" s="124">
        <v>6</v>
      </c>
      <c r="Q12" s="112">
        <v>-12.799999999999997</v>
      </c>
    </row>
    <row r="13" spans="1:17" x14ac:dyDescent="0.4">
      <c r="A13" s="58" t="s">
        <v>126</v>
      </c>
      <c r="B13" s="50">
        <v>28</v>
      </c>
      <c r="C13" s="44">
        <f>IF(B$26=0,0,B13/B$26)</f>
        <v>0.24561403508771928</v>
      </c>
      <c r="E13" s="63" t="s">
        <v>86</v>
      </c>
      <c r="F13" s="60" t="s">
        <v>40</v>
      </c>
      <c r="G13" s="47">
        <v>1</v>
      </c>
      <c r="H13" s="137">
        <f>IF(B$27=0,0,G13/B$27)</f>
        <v>3.4482758620689655E-2</v>
      </c>
      <c r="I13" s="98">
        <v>7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29</v>
      </c>
      <c r="C14" s="39">
        <f>IF(B$26=0,0,B14/B$26)</f>
        <v>0.25438596491228072</v>
      </c>
      <c r="E14" s="63" t="s">
        <v>95</v>
      </c>
      <c r="F14" s="60" t="s">
        <v>49</v>
      </c>
      <c r="G14" s="47">
        <v>1</v>
      </c>
      <c r="H14" s="137">
        <f>IF(B$27=0,0,G14/B$27)</f>
        <v>3.4482758620689655E-2</v>
      </c>
      <c r="I14" s="98">
        <v>1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13</v>
      </c>
      <c r="C15" s="37">
        <f>IF(B$13=0,0,B15/B$13)</f>
        <v>0.4642857142857143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7</v>
      </c>
      <c r="K15" s="38">
        <v>13</v>
      </c>
      <c r="L15" s="103">
        <v>-58.7</v>
      </c>
      <c r="N15" s="118" t="s">
        <v>133</v>
      </c>
      <c r="O15" s="128">
        <f>IF(P15=0,0,Q15/P15)</f>
        <v>102.35</v>
      </c>
      <c r="P15" s="122">
        <v>2</v>
      </c>
      <c r="Q15" s="110">
        <v>204.7</v>
      </c>
    </row>
    <row r="16" spans="1:17" x14ac:dyDescent="0.4">
      <c r="A16" s="54" t="s">
        <v>129</v>
      </c>
      <c r="B16" s="46">
        <v>10</v>
      </c>
      <c r="C16" s="37">
        <f>IF(B$14=0,0,B16/B$14)</f>
        <v>0.34482758620689657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K16" s="38">
        <v>14</v>
      </c>
      <c r="L16" s="103">
        <v>-29.400000000000002</v>
      </c>
      <c r="N16" s="119" t="s">
        <v>185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0.23387096774193547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33.24285714285714</v>
      </c>
      <c r="P17" s="123">
        <v>7</v>
      </c>
      <c r="Q17" s="111">
        <v>232.7</v>
      </c>
    </row>
    <row r="18" spans="1:17" x14ac:dyDescent="0.4">
      <c r="A18" s="55" t="s">
        <v>12</v>
      </c>
      <c r="B18" s="47">
        <v>9</v>
      </c>
      <c r="C18" s="39">
        <f>IF(B$17=0,0,B18/B$17)</f>
        <v>0.31034482758620691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180</v>
      </c>
      <c r="O18" s="129">
        <f>IF(P18=0,0,Q18/P18)</f>
        <v>2.7999999999999976</v>
      </c>
      <c r="P18" s="123">
        <v>6</v>
      </c>
      <c r="Q18" s="111">
        <v>16.799999999999986</v>
      </c>
    </row>
    <row r="19" spans="1:17" x14ac:dyDescent="0.4">
      <c r="A19" s="55" t="s">
        <v>11</v>
      </c>
      <c r="B19" s="47">
        <v>20</v>
      </c>
      <c r="C19" s="39">
        <f>IF(B$17=0,0,B19/B$17)</f>
        <v>0.68965517241379315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-27.616666666666664</v>
      </c>
      <c r="P19" s="123">
        <v>6</v>
      </c>
      <c r="Q19" s="111">
        <v>-165.7</v>
      </c>
    </row>
    <row r="20" spans="1:17" x14ac:dyDescent="0.4">
      <c r="A20" s="55" t="s">
        <v>13</v>
      </c>
      <c r="B20" s="47">
        <v>24</v>
      </c>
      <c r="C20" s="39">
        <f>IF(B$3=0,0,B20/B$3)</f>
        <v>0.19354838709677419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  <c r="N20" s="119" t="s">
        <v>131</v>
      </c>
      <c r="O20" s="129">
        <f>IF(P20=0,0,Q20/P20)</f>
        <v>-68.63333333333334</v>
      </c>
      <c r="P20" s="123">
        <v>6</v>
      </c>
      <c r="Q20" s="111">
        <v>-411.8</v>
      </c>
    </row>
    <row r="21" spans="1:17" x14ac:dyDescent="0.4">
      <c r="A21" s="55" t="s">
        <v>5</v>
      </c>
      <c r="B21" s="51">
        <f>IF(B$17=0,0,C21/B$17)</f>
        <v>7686.2068965517237</v>
      </c>
      <c r="C21" s="41">
        <v>222900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17" x14ac:dyDescent="0.4">
      <c r="A22" s="57" t="s">
        <v>14</v>
      </c>
      <c r="B22" s="52">
        <f>IF(B$20=0,0,C22/B$20)</f>
        <v>-6895.833333333333</v>
      </c>
      <c r="C22" s="45">
        <v>-165500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64600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5</v>
      </c>
    </row>
    <row r="25" spans="1:17" x14ac:dyDescent="0.4">
      <c r="A25" s="57" t="s">
        <v>147</v>
      </c>
      <c r="B25" s="65">
        <v>1</v>
      </c>
      <c r="C25" s="42">
        <f>IF(B$3=0,0,B25/B$3)</f>
        <v>8.0645161290322578E-3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114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29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7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D51D-6EB9-4BAD-B590-67FF6365CED0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3">
        <v>61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2</v>
      </c>
      <c r="K3" s="38">
        <v>1</v>
      </c>
      <c r="L3" s="103">
        <v>11.1</v>
      </c>
      <c r="N3" s="119" t="s">
        <v>137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5">
        <v>-29.5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8</v>
      </c>
      <c r="K4" s="38">
        <v>2</v>
      </c>
      <c r="L4" s="103">
        <v>-7.7000000000000011</v>
      </c>
      <c r="N4" s="119" t="s">
        <v>138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7">
        <f>IF(B$2=0,0,B$4/B$2)</f>
        <v>-3.6875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8</v>
      </c>
      <c r="K5" s="38">
        <v>3</v>
      </c>
      <c r="L5" s="103">
        <v>1.7999999999999989</v>
      </c>
      <c r="N5" s="119" t="s">
        <v>139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5">
        <f>IF(B$2=0,0,(B$7*1+B$8*2+B$9*3)/B$2)</f>
        <v>2.125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3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8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10</v>
      </c>
      <c r="K10" s="38">
        <v>8</v>
      </c>
      <c r="L10" s="103">
        <v>-29.5</v>
      </c>
      <c r="N10" s="118" t="s">
        <v>172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3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11</v>
      </c>
      <c r="C13" s="44">
        <f>IF(B$26=0,0,B13/B$26)</f>
        <v>0.18032786885245902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IF(B$26=0,0,B14/B$26)</f>
        <v>0.34426229508196721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7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179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-7190</v>
      </c>
      <c r="C22" s="45">
        <v>-71900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61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DE08-1B47-422D-A7BE-CCCABF861211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11</v>
      </c>
      <c r="C2" s="148"/>
      <c r="E2" s="62" t="s">
        <v>68</v>
      </c>
      <c r="F2" s="59" t="s">
        <v>23</v>
      </c>
      <c r="G2" s="46">
        <v>21</v>
      </c>
      <c r="H2" s="136">
        <f>IF(B$27=0,0,G2/B$27)</f>
        <v>0.80769230769230771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-3272.7272727272725</v>
      </c>
      <c r="P2" s="122">
        <v>11</v>
      </c>
      <c r="Q2" s="106">
        <v>-36000</v>
      </c>
    </row>
    <row r="3" spans="1:17" x14ac:dyDescent="0.4">
      <c r="A3" s="55" t="s">
        <v>8</v>
      </c>
      <c r="B3" s="153">
        <v>103</v>
      </c>
      <c r="C3" s="154"/>
      <c r="E3" s="63" t="s">
        <v>74</v>
      </c>
      <c r="F3" s="60" t="s">
        <v>28</v>
      </c>
      <c r="G3" s="47">
        <v>15</v>
      </c>
      <c r="H3" s="137">
        <f>IF(B$27=0,0,G3/B$27)</f>
        <v>0.57692307692307687</v>
      </c>
      <c r="I3" s="98">
        <v>5</v>
      </c>
      <c r="K3" s="38">
        <v>1</v>
      </c>
      <c r="L3" s="103">
        <v>-82.6</v>
      </c>
      <c r="N3" s="119" t="s">
        <v>137</v>
      </c>
      <c r="O3" s="126">
        <f t="shared" si="0"/>
        <v>-4881.818181818182</v>
      </c>
      <c r="P3" s="123">
        <v>11</v>
      </c>
      <c r="Q3" s="107">
        <v>-53700</v>
      </c>
    </row>
    <row r="4" spans="1:17" x14ac:dyDescent="0.4">
      <c r="A4" s="55" t="s">
        <v>6</v>
      </c>
      <c r="B4" s="155">
        <v>-325.39999999999998</v>
      </c>
      <c r="C4" s="156"/>
      <c r="E4" s="63" t="s">
        <v>70</v>
      </c>
      <c r="F4" s="60" t="s">
        <v>12</v>
      </c>
      <c r="G4" s="47">
        <v>9</v>
      </c>
      <c r="H4" s="137">
        <f>IF(B$27=0,0,G4/B$27)</f>
        <v>0.34615384615384615</v>
      </c>
      <c r="I4" s="98">
        <v>2</v>
      </c>
      <c r="K4" s="38">
        <v>2</v>
      </c>
      <c r="L4" s="103">
        <v>-122.3</v>
      </c>
      <c r="N4" s="119" t="s">
        <v>138</v>
      </c>
      <c r="O4" s="126">
        <f t="shared" si="0"/>
        <v>-500</v>
      </c>
      <c r="P4" s="123">
        <v>10</v>
      </c>
      <c r="Q4" s="107">
        <v>-5000</v>
      </c>
    </row>
    <row r="5" spans="1:17" x14ac:dyDescent="0.4">
      <c r="A5" s="55" t="s">
        <v>7</v>
      </c>
      <c r="B5" s="157">
        <f>IF(B$2=0,0,B$4/B$2)</f>
        <v>-29.581818181818178</v>
      </c>
      <c r="C5" s="158"/>
      <c r="E5" s="63" t="s">
        <v>66</v>
      </c>
      <c r="F5" s="60" t="s">
        <v>21</v>
      </c>
      <c r="G5" s="47">
        <v>6</v>
      </c>
      <c r="H5" s="137">
        <f>IF(B$27=0,0,G5/B$27)</f>
        <v>0.23076923076923078</v>
      </c>
      <c r="I5" s="98">
        <v>10</v>
      </c>
      <c r="K5" s="38">
        <v>3</v>
      </c>
      <c r="L5" s="103">
        <v>-149</v>
      </c>
      <c r="N5" s="119" t="s">
        <v>139</v>
      </c>
      <c r="O5" s="126">
        <f t="shared" si="0"/>
        <v>-8177.7777777777774</v>
      </c>
      <c r="P5" s="123">
        <v>9</v>
      </c>
      <c r="Q5" s="107">
        <v>-73600</v>
      </c>
    </row>
    <row r="6" spans="1:17" x14ac:dyDescent="0.4">
      <c r="A6" s="55" t="s">
        <v>1</v>
      </c>
      <c r="B6" s="145">
        <f>IF(B$2=0,0,(B$7*1+B$8*2+B$9*3)/B$2)</f>
        <v>2.5454545454545454</v>
      </c>
      <c r="C6" s="146"/>
      <c r="E6" s="63" t="s">
        <v>189</v>
      </c>
      <c r="F6" s="60" t="s">
        <v>190</v>
      </c>
      <c r="G6" s="47">
        <v>6</v>
      </c>
      <c r="H6" s="137">
        <f>IF(B$27=0,0,G6/B$27)</f>
        <v>0.23076923076923078</v>
      </c>
      <c r="I6" s="98">
        <v>9</v>
      </c>
      <c r="K6" s="38">
        <v>4</v>
      </c>
      <c r="L6" s="103">
        <v>-150.6</v>
      </c>
      <c r="N6" s="119" t="s">
        <v>140</v>
      </c>
      <c r="O6" s="126">
        <f t="shared" si="0"/>
        <v>-3850</v>
      </c>
      <c r="P6" s="123">
        <v>8</v>
      </c>
      <c r="Q6" s="107">
        <v>-30800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3</v>
      </c>
      <c r="H7" s="137">
        <f>IF(B$27=0,0,G7/B$27)</f>
        <v>0.11538461538461539</v>
      </c>
      <c r="I7" s="98">
        <v>8</v>
      </c>
      <c r="K7" s="38">
        <v>5</v>
      </c>
      <c r="L7" s="103">
        <v>-184.89999999999998</v>
      </c>
      <c r="N7" s="120" t="s">
        <v>141</v>
      </c>
      <c r="O7" s="127">
        <f t="shared" si="0"/>
        <v>-900</v>
      </c>
      <c r="P7" s="124">
        <v>7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0.45454545454545453</v>
      </c>
      <c r="E8" s="63" t="s">
        <v>72</v>
      </c>
      <c r="F8" s="60" t="s">
        <v>26</v>
      </c>
      <c r="G8" s="47">
        <v>3</v>
      </c>
      <c r="H8" s="137">
        <f>IF(B$27=0,0,G8/B$27)</f>
        <v>0.11538461538461539</v>
      </c>
      <c r="I8" s="98">
        <v>3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92</v>
      </c>
      <c r="F9" s="60" t="s">
        <v>46</v>
      </c>
      <c r="G9" s="47">
        <v>3</v>
      </c>
      <c r="H9" s="137">
        <f>IF(B$27=0,0,G9/B$27)</f>
        <v>0.11538461538461539</v>
      </c>
      <c r="I9" s="98">
        <v>9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69</v>
      </c>
      <c r="F10" s="60" t="s">
        <v>24</v>
      </c>
      <c r="G10" s="47">
        <v>2</v>
      </c>
      <c r="H10" s="137">
        <f>IF(B$27=0,0,G10/B$27)</f>
        <v>7.6923076923076927E-2</v>
      </c>
      <c r="I10" s="98">
        <v>9</v>
      </c>
      <c r="K10" s="38">
        <v>8</v>
      </c>
      <c r="L10" s="103">
        <v>-219.59999999999997</v>
      </c>
      <c r="N10" s="118" t="s">
        <v>172</v>
      </c>
      <c r="O10" s="128">
        <f>IF(P10=0,0,Q10/P10)</f>
        <v>-25.066666666666666</v>
      </c>
      <c r="P10" s="122">
        <v>3</v>
      </c>
      <c r="Q10" s="110">
        <v>-75.2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2</v>
      </c>
      <c r="H11" s="137">
        <f>IF(B$27=0,0,G11/B$27)</f>
        <v>7.6923076923076927E-2</v>
      </c>
      <c r="I11" s="98">
        <v>1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1</v>
      </c>
      <c r="H12" s="137">
        <f>IF(B$27=0,0,G12/B$27)</f>
        <v>3.8461538461538464E-2</v>
      </c>
      <c r="I12" s="98">
        <v>3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14</v>
      </c>
      <c r="C13" s="44">
        <f>IF(B$26=0,0,B13/B$26)</f>
        <v>0.15053763440860216</v>
      </c>
      <c r="E13" s="63" t="s">
        <v>81</v>
      </c>
      <c r="F13" s="60" t="s">
        <v>35</v>
      </c>
      <c r="G13" s="47">
        <v>1</v>
      </c>
      <c r="H13" s="137">
        <f>IF(B$27=0,0,G13/B$27)</f>
        <v>3.8461538461538464E-2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IF(B$26=0,0,B14/B$26)</f>
        <v>0.27956989247311825</v>
      </c>
      <c r="E14" s="63" t="s">
        <v>67</v>
      </c>
      <c r="F14" s="60" t="s">
        <v>22</v>
      </c>
      <c r="G14" s="47">
        <v>0</v>
      </c>
      <c r="H14" s="137">
        <f>IF(B$27=0,0,G14/B$27)</f>
        <v>0</v>
      </c>
      <c r="I14" s="98">
        <v>8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6</v>
      </c>
      <c r="C15" s="37">
        <f>IF(B$13=0,0,B15/B$13)</f>
        <v>0.42857142857142855</v>
      </c>
      <c r="E15" s="63" t="s">
        <v>75</v>
      </c>
      <c r="F15" s="60" t="s">
        <v>29</v>
      </c>
      <c r="G15" s="47">
        <v>0</v>
      </c>
      <c r="H15" s="137">
        <f>IF(B$27=0,0,G15/B$27)</f>
        <v>0</v>
      </c>
      <c r="I15" s="98">
        <v>3</v>
      </c>
      <c r="N15" s="118" t="s">
        <v>180</v>
      </c>
      <c r="O15" s="128">
        <f>IF(P15=0,0,Q15/P15)</f>
        <v>-5.9000000000000021</v>
      </c>
      <c r="P15" s="122">
        <v>2</v>
      </c>
      <c r="Q15" s="110">
        <v>-11.800000000000004</v>
      </c>
    </row>
    <row r="16" spans="1:17" x14ac:dyDescent="0.4">
      <c r="A16" s="54" t="s">
        <v>129</v>
      </c>
      <c r="B16" s="46">
        <v>10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7">
        <f>IF(B$27=0,0,G16/B$27)</f>
        <v>0</v>
      </c>
      <c r="I16" s="98">
        <v>1</v>
      </c>
      <c r="N16" s="119" t="s">
        <v>133</v>
      </c>
      <c r="O16" s="129">
        <f>IF(P16=0,0,Q16/P16)</f>
        <v>-13.949999999999996</v>
      </c>
      <c r="P16" s="123">
        <v>2</v>
      </c>
      <c r="Q16" s="111">
        <v>-27.899999999999991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0.27184466019417475</v>
      </c>
      <c r="E17" s="63" t="s">
        <v>77</v>
      </c>
      <c r="F17" s="60" t="s">
        <v>31</v>
      </c>
      <c r="G17" s="47">
        <v>0</v>
      </c>
      <c r="H17" s="137">
        <f>IF(B$27=0,0,G17/B$27)</f>
        <v>0</v>
      </c>
      <c r="I17" s="98">
        <v>5</v>
      </c>
      <c r="N17" s="119" t="s">
        <v>185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-33.24285714285714</v>
      </c>
      <c r="P18" s="123">
        <v>7</v>
      </c>
      <c r="Q18" s="111">
        <v>-232.7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25</v>
      </c>
      <c r="C20" s="39">
        <f>IF(B$3=0,0,B20/B$3)</f>
        <v>0.24271844660194175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  <c r="N20" s="119" t="s">
        <v>132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5</v>
      </c>
      <c r="B21" s="51">
        <f>IF(B$17=0,0,C21/B$17)</f>
        <v>4528.5714285714284</v>
      </c>
      <c r="C21" s="41">
        <v>126800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  <c r="N21" s="119" t="s">
        <v>131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7" t="s">
        <v>14</v>
      </c>
      <c r="B22" s="52">
        <f>IF(B$20=0,0,C22/B$20)</f>
        <v>-9204</v>
      </c>
      <c r="C22" s="45">
        <v>-230100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6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5</v>
      </c>
    </row>
    <row r="24" spans="1:17" x14ac:dyDescent="0.4">
      <c r="A24" s="58" t="s">
        <v>157</v>
      </c>
      <c r="B24" s="141">
        <v>33400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93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26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7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A2E2-77BA-4396-82C1-F1DECE3CFA31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6</v>
      </c>
      <c r="C2" s="148"/>
      <c r="E2" s="62" t="s">
        <v>66</v>
      </c>
      <c r="F2" s="59" t="s">
        <v>21</v>
      </c>
      <c r="G2" s="46">
        <v>8</v>
      </c>
      <c r="H2" s="136">
        <f>IF(B$27=0,0,G2/B$27)</f>
        <v>0.5714285714285714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-1133.3333333333333</v>
      </c>
      <c r="P2" s="122">
        <v>6</v>
      </c>
      <c r="Q2" s="106">
        <v>-6800</v>
      </c>
    </row>
    <row r="3" spans="1:17" x14ac:dyDescent="0.4">
      <c r="A3" s="55" t="s">
        <v>8</v>
      </c>
      <c r="B3" s="153">
        <v>45</v>
      </c>
      <c r="C3" s="154"/>
      <c r="E3" s="63" t="s">
        <v>74</v>
      </c>
      <c r="F3" s="60" t="s">
        <v>28</v>
      </c>
      <c r="G3" s="47">
        <v>7</v>
      </c>
      <c r="H3" s="137">
        <f>IF(B$27=0,0,G3/B$27)</f>
        <v>0.5</v>
      </c>
      <c r="I3" s="98">
        <v>7</v>
      </c>
      <c r="K3" s="38">
        <v>1</v>
      </c>
      <c r="L3" s="103">
        <v>-1.9</v>
      </c>
      <c r="N3" s="119" t="s">
        <v>137</v>
      </c>
      <c r="O3" s="126">
        <f t="shared" si="0"/>
        <v>-2716.6666666666665</v>
      </c>
      <c r="P3" s="123">
        <v>6</v>
      </c>
      <c r="Q3" s="107">
        <v>-16300</v>
      </c>
    </row>
    <row r="4" spans="1:17" x14ac:dyDescent="0.4">
      <c r="A4" s="55" t="s">
        <v>6</v>
      </c>
      <c r="B4" s="155">
        <v>3.8999999999999986</v>
      </c>
      <c r="C4" s="156"/>
      <c r="E4" s="63" t="s">
        <v>68</v>
      </c>
      <c r="F4" s="60" t="s">
        <v>23</v>
      </c>
      <c r="G4" s="47">
        <v>5</v>
      </c>
      <c r="H4" s="137">
        <f>IF(B$27=0,0,G4/B$27)</f>
        <v>0.35714285714285715</v>
      </c>
      <c r="I4" s="98">
        <v>9</v>
      </c>
      <c r="K4" s="38">
        <v>2</v>
      </c>
      <c r="L4" s="103">
        <v>30</v>
      </c>
      <c r="N4" s="119" t="s">
        <v>138</v>
      </c>
      <c r="O4" s="126">
        <f t="shared" si="0"/>
        <v>2133.3333333333335</v>
      </c>
      <c r="P4" s="123">
        <v>6</v>
      </c>
      <c r="Q4" s="107">
        <v>12800</v>
      </c>
    </row>
    <row r="5" spans="1:17" x14ac:dyDescent="0.4">
      <c r="A5" s="55" t="s">
        <v>7</v>
      </c>
      <c r="B5" s="157">
        <f>IF(B$2=0,0,B$4/B$2)</f>
        <v>0.6499999999999998</v>
      </c>
      <c r="C5" s="158"/>
      <c r="E5" s="63" t="s">
        <v>69</v>
      </c>
      <c r="F5" s="60" t="s">
        <v>24</v>
      </c>
      <c r="G5" s="47">
        <v>3</v>
      </c>
      <c r="H5" s="137">
        <f>IF(B$27=0,0,G5/B$27)</f>
        <v>0.21428571428571427</v>
      </c>
      <c r="I5" s="98">
        <v>6</v>
      </c>
      <c r="K5" s="38">
        <v>3</v>
      </c>
      <c r="L5" s="103">
        <v>-10</v>
      </c>
      <c r="N5" s="119" t="s">
        <v>139</v>
      </c>
      <c r="O5" s="126">
        <f t="shared" si="0"/>
        <v>483.33333333333331</v>
      </c>
      <c r="P5" s="123">
        <v>6</v>
      </c>
      <c r="Q5" s="107">
        <v>2900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70</v>
      </c>
      <c r="F6" s="60" t="s">
        <v>12</v>
      </c>
      <c r="G6" s="47">
        <v>3</v>
      </c>
      <c r="H6" s="137">
        <f>IF(B$27=0,0,G6/B$27)</f>
        <v>0.21428571428571427</v>
      </c>
      <c r="I6" s="98">
        <v>5</v>
      </c>
      <c r="K6" s="38">
        <v>4</v>
      </c>
      <c r="L6" s="103">
        <v>40</v>
      </c>
      <c r="N6" s="119" t="s">
        <v>140</v>
      </c>
      <c r="O6" s="126">
        <f t="shared" si="0"/>
        <v>-2366.6666666666665</v>
      </c>
      <c r="P6" s="123">
        <v>6</v>
      </c>
      <c r="Q6" s="107">
        <v>-14200</v>
      </c>
    </row>
    <row r="7" spans="1:17" x14ac:dyDescent="0.4">
      <c r="A7" s="55" t="s">
        <v>2</v>
      </c>
      <c r="B7" s="47">
        <v>2</v>
      </c>
      <c r="C7" s="39">
        <f>IF(B$2=0,0,B7/B$2)</f>
        <v>0.33333333333333331</v>
      </c>
      <c r="E7" s="63" t="s">
        <v>189</v>
      </c>
      <c r="F7" s="60" t="s">
        <v>190</v>
      </c>
      <c r="G7" s="47">
        <v>3</v>
      </c>
      <c r="H7" s="137">
        <f>IF(B$27=0,0,G7/B$27)</f>
        <v>0.21428571428571427</v>
      </c>
      <c r="I7" s="98">
        <v>10</v>
      </c>
      <c r="K7" s="38">
        <v>5</v>
      </c>
      <c r="L7" s="103">
        <v>35.4</v>
      </c>
      <c r="N7" s="120" t="s">
        <v>141</v>
      </c>
      <c r="O7" s="127">
        <f t="shared" si="0"/>
        <v>4250</v>
      </c>
      <c r="P7" s="124">
        <v>6</v>
      </c>
      <c r="Q7" s="108">
        <v>25500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67</v>
      </c>
      <c r="F8" s="60" t="s">
        <v>22</v>
      </c>
      <c r="G8" s="47">
        <v>2</v>
      </c>
      <c r="H8" s="137">
        <f>IF(B$27=0,0,G8/B$27)</f>
        <v>0.14285714285714285</v>
      </c>
      <c r="I8" s="98">
        <v>2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71</v>
      </c>
      <c r="F9" s="60" t="s">
        <v>25</v>
      </c>
      <c r="G9" s="47">
        <v>2</v>
      </c>
      <c r="H9" s="137">
        <f>IF(B$27=0,0,G9/B$27)</f>
        <v>0.14285714285714285</v>
      </c>
      <c r="I9" s="98">
        <v>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92</v>
      </c>
      <c r="F10" s="60" t="s">
        <v>46</v>
      </c>
      <c r="G10" s="47">
        <v>2</v>
      </c>
      <c r="H10" s="137">
        <f>IF(B$27=0,0,G10/B$27)</f>
        <v>0.14285714285714285</v>
      </c>
      <c r="I10" s="98">
        <v>7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IF(B$27=0,0,G11/B$27)</f>
        <v>7.1428571428571425E-2</v>
      </c>
      <c r="I11" s="98">
        <v>1</v>
      </c>
      <c r="N11" s="119" t="s">
        <v>173</v>
      </c>
      <c r="O11" s="129">
        <f>IF(P11=0,0,Q11/P11)</f>
        <v>-25.366666666666664</v>
      </c>
      <c r="P11" s="123">
        <v>3</v>
      </c>
      <c r="Q11" s="111">
        <v>-76.099999999999994</v>
      </c>
    </row>
    <row r="12" spans="1:17" x14ac:dyDescent="0.4">
      <c r="A12" s="57" t="s">
        <v>165</v>
      </c>
      <c r="B12" s="49">
        <v>1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7">
        <f>IF(B$27=0,0,G12/B$27)</f>
        <v>7.1428571428571425E-2</v>
      </c>
      <c r="I12" s="98">
        <v>2</v>
      </c>
      <c r="N12" s="120" t="s">
        <v>174</v>
      </c>
      <c r="O12" s="130">
        <f>IF(P12=0,0,Q12/P12)</f>
        <v>40.950000000000003</v>
      </c>
      <c r="P12" s="124">
        <v>2</v>
      </c>
      <c r="Q12" s="112">
        <v>81.900000000000006</v>
      </c>
    </row>
    <row r="13" spans="1:17" x14ac:dyDescent="0.4">
      <c r="A13" s="58" t="s">
        <v>126</v>
      </c>
      <c r="B13" s="50">
        <v>12</v>
      </c>
      <c r="C13" s="44">
        <f>IF(B$26=0,0,B13/B$26)</f>
        <v>0.26666666666666666</v>
      </c>
      <c r="E13" s="63" t="s">
        <v>88</v>
      </c>
      <c r="F13" s="60" t="s">
        <v>42</v>
      </c>
      <c r="G13" s="47">
        <v>1</v>
      </c>
      <c r="H13" s="137">
        <f>IF(B$27=0,0,G13/B$27)</f>
        <v>7.1428571428571425E-2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0.26666666666666666</v>
      </c>
      <c r="E14" s="63" t="s">
        <v>94</v>
      </c>
      <c r="F14" s="60" t="s">
        <v>48</v>
      </c>
      <c r="G14" s="47">
        <v>1</v>
      </c>
      <c r="H14" s="137">
        <f>IF(B$27=0,0,G14/B$27)</f>
        <v>7.1428571428571425E-2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8</v>
      </c>
      <c r="C15" s="37">
        <f>IF(B$13=0,0,B15/B$13)</f>
        <v>0.66666666666666663</v>
      </c>
      <c r="E15" s="63" t="s">
        <v>72</v>
      </c>
      <c r="F15" s="60" t="s">
        <v>26</v>
      </c>
      <c r="G15" s="47">
        <v>0</v>
      </c>
      <c r="H15" s="137">
        <f>IF(B$27=0,0,G15/B$27)</f>
        <v>0</v>
      </c>
      <c r="I15" s="98">
        <v>7</v>
      </c>
      <c r="N15" s="118" t="s">
        <v>194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7">
        <f>IF(B$27=0,0,G16/B$27)</f>
        <v>0</v>
      </c>
      <c r="I16" s="98">
        <v>7</v>
      </c>
      <c r="N16" s="119" t="s">
        <v>132</v>
      </c>
      <c r="O16" s="129">
        <f>IF(P16=0,0,Q16/P16)</f>
        <v>40.333333333333336</v>
      </c>
      <c r="P16" s="123">
        <v>3</v>
      </c>
      <c r="Q16" s="111">
        <v>121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0.31111111111111112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181</v>
      </c>
      <c r="O17" s="129">
        <f>IF(P17=0,0,Q17/P17)</f>
        <v>17.95</v>
      </c>
      <c r="P17" s="123">
        <v>2</v>
      </c>
      <c r="Q17" s="111">
        <v>35.9</v>
      </c>
    </row>
    <row r="18" spans="1:17" x14ac:dyDescent="0.4">
      <c r="A18" s="55" t="s">
        <v>12</v>
      </c>
      <c r="B18" s="47">
        <v>4</v>
      </c>
      <c r="C18" s="39">
        <f>IF(B$17=0,0,B18/B$17)</f>
        <v>0.2857142857142857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10</v>
      </c>
      <c r="C19" s="39">
        <f>IF(B$17=0,0,B19/B$17)</f>
        <v>0.7142857142857143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-94.6</v>
      </c>
      <c r="P20" s="123">
        <v>1</v>
      </c>
      <c r="Q20" s="111">
        <v>-94.6</v>
      </c>
    </row>
    <row r="21" spans="1:17" x14ac:dyDescent="0.4">
      <c r="A21" s="55" t="s">
        <v>5</v>
      </c>
      <c r="B21" s="51">
        <f>IF(B$17=0,0,C21/B$17)</f>
        <v>6414.2857142857147</v>
      </c>
      <c r="C21" s="41">
        <v>89800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-5400</v>
      </c>
      <c r="C22" s="45">
        <v>-48600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65000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84</v>
      </c>
      <c r="F25" s="60" t="s">
        <v>38</v>
      </c>
      <c r="G25" s="47">
        <v>0</v>
      </c>
      <c r="H25" s="137">
        <f>IF(B$27=0,0,G25/B$27)</f>
        <v>0</v>
      </c>
      <c r="I25" s="98">
        <v>5</v>
      </c>
    </row>
    <row r="26" spans="1:17" x14ac:dyDescent="0.4">
      <c r="A26" s="54" t="s">
        <v>124</v>
      </c>
      <c r="B26" s="147">
        <v>45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14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7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65AB-E962-41A3-953B-827E2E63ABB4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3">
        <v>19</v>
      </c>
      <c r="C3" s="154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6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5">
        <v>61</v>
      </c>
      <c r="C4" s="156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4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7">
        <f>IF(B$2=0,0,B$4/B$2)</f>
        <v>20.333333333333332</v>
      </c>
      <c r="C5" s="158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5">
        <f>IF(B$2=0,0,(B$7*1+B$8*2+B$9*3)/B$2)</f>
        <v>1.3333333333333333</v>
      </c>
      <c r="C6" s="146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1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6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6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1</v>
      </c>
      <c r="N15" s="118" t="s">
        <v>194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3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5</v>
      </c>
    </row>
    <row r="24" spans="1:17" x14ac:dyDescent="0.4">
      <c r="A24" s="58" t="s">
        <v>157</v>
      </c>
      <c r="B24" s="141">
        <v>53500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9</v>
      </c>
    </row>
    <row r="26" spans="1:17" x14ac:dyDescent="0.4">
      <c r="A26" s="54" t="s">
        <v>124</v>
      </c>
      <c r="B26" s="147">
        <v>19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DB85-3B34-4FD1-95D6-D478EE4460C8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194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</v>
      </c>
      <c r="C2" s="148"/>
      <c r="E2" s="62" t="s">
        <v>66</v>
      </c>
      <c r="F2" s="59" t="s">
        <v>21</v>
      </c>
      <c r="G2" s="46">
        <v>2</v>
      </c>
      <c r="H2" s="136">
        <f>IF(B$27=0,0,G2/B$27)</f>
        <v>0.66666666666666663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350</v>
      </c>
      <c r="P2" s="122">
        <v>2</v>
      </c>
      <c r="Q2" s="106">
        <v>700</v>
      </c>
    </row>
    <row r="3" spans="1:17" x14ac:dyDescent="0.4">
      <c r="A3" s="55" t="s">
        <v>8</v>
      </c>
      <c r="B3" s="153">
        <v>15</v>
      </c>
      <c r="C3" s="154"/>
      <c r="E3" s="63" t="s">
        <v>71</v>
      </c>
      <c r="F3" s="60" t="s">
        <v>25</v>
      </c>
      <c r="G3" s="47">
        <v>2</v>
      </c>
      <c r="H3" s="137">
        <f>IF(B$27=0,0,G3/B$27)</f>
        <v>0.66666666666666663</v>
      </c>
      <c r="I3" s="98">
        <v>1</v>
      </c>
      <c r="K3" s="38">
        <v>1</v>
      </c>
      <c r="L3" s="103">
        <v>-43.7</v>
      </c>
      <c r="N3" s="119" t="s">
        <v>137</v>
      </c>
      <c r="O3" s="126">
        <f t="shared" si="0"/>
        <v>-5500</v>
      </c>
      <c r="P3" s="123">
        <v>2</v>
      </c>
      <c r="Q3" s="107">
        <v>-11000</v>
      </c>
    </row>
    <row r="4" spans="1:17" x14ac:dyDescent="0.4">
      <c r="A4" s="55" t="s">
        <v>6</v>
      </c>
      <c r="B4" s="155">
        <v>-76.2</v>
      </c>
      <c r="C4" s="156"/>
      <c r="E4" s="63" t="s">
        <v>74</v>
      </c>
      <c r="F4" s="60" t="s">
        <v>28</v>
      </c>
      <c r="G4" s="47">
        <v>1</v>
      </c>
      <c r="H4" s="137">
        <f>IF(B$27=0,0,G4/B$27)</f>
        <v>0.33333333333333331</v>
      </c>
      <c r="I4" s="98">
        <v>9</v>
      </c>
      <c r="K4" s="38">
        <v>2</v>
      </c>
      <c r="L4" s="103">
        <v>-76.2</v>
      </c>
      <c r="N4" s="119" t="s">
        <v>138</v>
      </c>
      <c r="O4" s="126">
        <f t="shared" si="0"/>
        <v>700</v>
      </c>
      <c r="P4" s="123">
        <v>2</v>
      </c>
      <c r="Q4" s="107">
        <v>1400</v>
      </c>
    </row>
    <row r="5" spans="1:17" x14ac:dyDescent="0.4">
      <c r="A5" s="55" t="s">
        <v>7</v>
      </c>
      <c r="B5" s="157">
        <f>IF(B$2=0,0,B$4/B$2)</f>
        <v>-38.1</v>
      </c>
      <c r="C5" s="158"/>
      <c r="E5" s="63" t="s">
        <v>92</v>
      </c>
      <c r="F5" s="60" t="s">
        <v>46</v>
      </c>
      <c r="G5" s="47">
        <v>1</v>
      </c>
      <c r="H5" s="137">
        <f>IF(B$27=0,0,G5/B$27)</f>
        <v>0.33333333333333331</v>
      </c>
      <c r="I5" s="98">
        <v>2</v>
      </c>
      <c r="N5" s="119" t="s">
        <v>139</v>
      </c>
      <c r="O5" s="126">
        <f t="shared" si="0"/>
        <v>-10400</v>
      </c>
      <c r="P5" s="123">
        <v>2</v>
      </c>
      <c r="Q5" s="107">
        <v>-20800</v>
      </c>
    </row>
    <row r="6" spans="1:17" x14ac:dyDescent="0.4">
      <c r="A6" s="55" t="s">
        <v>1</v>
      </c>
      <c r="B6" s="145">
        <f>IF(B$2=0,0,(B$7*1+B$8*2+B$9*3)/B$2)</f>
        <v>3</v>
      </c>
      <c r="C6" s="146"/>
      <c r="E6" s="63" t="s">
        <v>189</v>
      </c>
      <c r="F6" s="60" t="s">
        <v>190</v>
      </c>
      <c r="G6" s="47">
        <v>1</v>
      </c>
      <c r="H6" s="137">
        <f>IF(B$27=0,0,G6/B$27)</f>
        <v>0.33333333333333331</v>
      </c>
      <c r="I6" s="98">
        <v>6</v>
      </c>
      <c r="N6" s="119" t="s">
        <v>140</v>
      </c>
      <c r="O6" s="126">
        <f t="shared" si="0"/>
        <v>-1000</v>
      </c>
      <c r="P6" s="123">
        <v>2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67</v>
      </c>
      <c r="F7" s="60" t="s">
        <v>22</v>
      </c>
      <c r="G7" s="47">
        <v>0</v>
      </c>
      <c r="H7" s="137">
        <f>IF(B$27=0,0,G7/B$27)</f>
        <v>0</v>
      </c>
      <c r="I7" s="98">
        <v>8</v>
      </c>
      <c r="N7" s="120" t="s">
        <v>141</v>
      </c>
      <c r="O7" s="127">
        <f t="shared" si="0"/>
        <v>-2250</v>
      </c>
      <c r="P7" s="124">
        <v>2</v>
      </c>
      <c r="Q7" s="108">
        <v>-4500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68</v>
      </c>
      <c r="F8" s="60" t="s">
        <v>23</v>
      </c>
      <c r="G8" s="47">
        <v>0</v>
      </c>
      <c r="H8" s="137">
        <f>IF(B$27=0,0,G8/B$27)</f>
        <v>0</v>
      </c>
      <c r="I8" s="98">
        <v>10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1</v>
      </c>
      <c r="E9" s="63" t="s">
        <v>69</v>
      </c>
      <c r="F9" s="60" t="s">
        <v>24</v>
      </c>
      <c r="G9" s="47">
        <v>0</v>
      </c>
      <c r="H9" s="137">
        <f>IF(B$27=0,0,G9/B$27)</f>
        <v>0</v>
      </c>
      <c r="I9" s="98">
        <v>10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IF(B$27=0,0,G10/B$27)</f>
        <v>0</v>
      </c>
      <c r="I10" s="98">
        <v>10</v>
      </c>
      <c r="N10" s="118" t="s">
        <v>172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IF(B$27=0,0,G11/B$27)</f>
        <v>0</v>
      </c>
      <c r="I11" s="98">
        <v>7</v>
      </c>
      <c r="N11" s="119" t="s">
        <v>173</v>
      </c>
      <c r="O11" s="129">
        <f>IF(P11=0,0,Q11/P11)</f>
        <v>-43.7</v>
      </c>
      <c r="P11" s="123">
        <v>1</v>
      </c>
      <c r="Q11" s="111">
        <v>-43.7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IF(B$27=0,0,G12/B$27)</f>
        <v>0</v>
      </c>
      <c r="I12" s="98">
        <v>7</v>
      </c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126</v>
      </c>
      <c r="B13" s="50">
        <v>1</v>
      </c>
      <c r="C13" s="44">
        <f>IF(B$26=0,0,B13/B$26)</f>
        <v>6.6666666666666666E-2</v>
      </c>
      <c r="E13" s="63" t="s">
        <v>75</v>
      </c>
      <c r="F13" s="60" t="s">
        <v>29</v>
      </c>
      <c r="G13" s="47">
        <v>0</v>
      </c>
      <c r="H13" s="137">
        <f>IF(B$27=0,0,G13/B$27)</f>
        <v>0</v>
      </c>
      <c r="I13" s="98">
        <v>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</v>
      </c>
      <c r="C14" s="39">
        <f>IF(B$26=0,0,B14/B$26)</f>
        <v>6.6666666666666666E-2</v>
      </c>
      <c r="E14" s="63" t="s">
        <v>76</v>
      </c>
      <c r="F14" s="60" t="s">
        <v>30</v>
      </c>
      <c r="G14" s="47">
        <v>0</v>
      </c>
      <c r="H14" s="137">
        <f>IF(B$27=0,0,G14/B$27)</f>
        <v>0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IF(B$27=0,0,G15/B$27)</f>
        <v>0</v>
      </c>
      <c r="I15" s="98">
        <v>5</v>
      </c>
      <c r="N15" s="118" t="s">
        <v>132</v>
      </c>
      <c r="O15" s="128">
        <f>IF(P15=0,0,Q15/P15)</f>
        <v>-37.400000000000006</v>
      </c>
      <c r="P15" s="122">
        <v>1</v>
      </c>
      <c r="Q15" s="110">
        <v>-37.400000000000006</v>
      </c>
    </row>
    <row r="16" spans="1:17" x14ac:dyDescent="0.4">
      <c r="A16" s="54" t="s">
        <v>129</v>
      </c>
      <c r="B16" s="46">
        <v>1</v>
      </c>
      <c r="C16" s="37">
        <f>IF(B$14=0,0,B16/B$14)</f>
        <v>1</v>
      </c>
      <c r="E16" s="63" t="s">
        <v>78</v>
      </c>
      <c r="F16" s="60" t="s">
        <v>32</v>
      </c>
      <c r="G16" s="47">
        <v>0</v>
      </c>
      <c r="H16" s="137">
        <f>IF(B$27=0,0,G16/B$27)</f>
        <v>0</v>
      </c>
      <c r="I16" s="98">
        <v>1</v>
      </c>
      <c r="N16" s="119" t="s">
        <v>185</v>
      </c>
      <c r="O16" s="129">
        <f>IF(P16=0,0,Q16/P16)</f>
        <v>-60.800000000000004</v>
      </c>
      <c r="P16" s="123">
        <v>2</v>
      </c>
      <c r="Q16" s="111">
        <v>-121.60000000000001</v>
      </c>
    </row>
    <row r="17" spans="1:17" x14ac:dyDescent="0.4">
      <c r="A17" s="54" t="s">
        <v>10</v>
      </c>
      <c r="B17" s="46">
        <f>B19+B18</f>
        <v>3</v>
      </c>
      <c r="C17" s="37">
        <f>IF(B$3=0,0,B17/B$3)</f>
        <v>0.2</v>
      </c>
      <c r="E17" s="63" t="s">
        <v>79</v>
      </c>
      <c r="F17" s="60" t="s">
        <v>33</v>
      </c>
      <c r="G17" s="47">
        <v>0</v>
      </c>
      <c r="H17" s="137">
        <f>IF(B$27=0,0,G17/B$27)</f>
        <v>0</v>
      </c>
      <c r="I17" s="98">
        <v>1</v>
      </c>
      <c r="N17" s="119" t="s">
        <v>193</v>
      </c>
      <c r="O17" s="129">
        <f>IF(P17=0,0,Q17/P17)</f>
        <v>-69.599999999999994</v>
      </c>
      <c r="P17" s="123">
        <v>1</v>
      </c>
      <c r="Q17" s="111">
        <v>-69.599999999999994</v>
      </c>
    </row>
    <row r="18" spans="1:17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80</v>
      </c>
      <c r="F18" s="60" t="s">
        <v>34</v>
      </c>
      <c r="G18" s="47">
        <v>0</v>
      </c>
      <c r="H18" s="137">
        <f>IF(B$27=0,0,G18/B$27)</f>
        <v>0</v>
      </c>
      <c r="I18" s="98">
        <v>4</v>
      </c>
    </row>
    <row r="19" spans="1:17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81</v>
      </c>
      <c r="F19" s="60" t="s">
        <v>35</v>
      </c>
      <c r="G19" s="47">
        <v>0</v>
      </c>
      <c r="H19" s="137">
        <f>IF(B$27=0,0,G19/B$27)</f>
        <v>0</v>
      </c>
      <c r="I19" s="98">
        <v>3</v>
      </c>
    </row>
    <row r="20" spans="1:17" x14ac:dyDescent="0.4">
      <c r="A20" s="55" t="s">
        <v>13</v>
      </c>
      <c r="B20" s="47">
        <v>5</v>
      </c>
      <c r="C20" s="39">
        <f>IF(B$3=0,0,B20/B$3)</f>
        <v>0.33333333333333331</v>
      </c>
      <c r="E20" s="63" t="s">
        <v>82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3366.6666666666665</v>
      </c>
      <c r="C21" s="41">
        <v>10100</v>
      </c>
      <c r="E21" s="63" t="s">
        <v>83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-6940</v>
      </c>
      <c r="C22" s="45">
        <v>-34700</v>
      </c>
      <c r="E22" s="63" t="s">
        <v>84</v>
      </c>
      <c r="F22" s="60" t="s">
        <v>38</v>
      </c>
      <c r="G22" s="47">
        <v>0</v>
      </c>
      <c r="H22" s="137">
        <f>IF(B$27=0,0,G22/B$27)</f>
        <v>0</v>
      </c>
      <c r="I22" s="98">
        <v>5</v>
      </c>
    </row>
    <row r="23" spans="1:17" x14ac:dyDescent="0.4">
      <c r="A23" s="94" t="s">
        <v>146</v>
      </c>
      <c r="B23" s="143">
        <v>1</v>
      </c>
      <c r="C23" s="144"/>
      <c r="E23" s="63" t="s">
        <v>85</v>
      </c>
      <c r="F23" s="60" t="s">
        <v>39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22500</v>
      </c>
      <c r="C24" s="142"/>
      <c r="E24" s="63" t="s">
        <v>86</v>
      </c>
      <c r="F24" s="60" t="s">
        <v>40</v>
      </c>
      <c r="G24" s="47">
        <v>0</v>
      </c>
      <c r="H24" s="137">
        <f>IF(B$27=0,0,G24/B$27)</f>
        <v>0</v>
      </c>
      <c r="I24" s="98">
        <v>9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15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3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7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2543F-7790-46F6-B4B8-F507F080A763}">
  <sheetPr codeName="Sheet2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46954-3E7A-400C-8A72-B56A9FFF973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193</v>
      </c>
      <c r="B1" s="70" t="s">
        <v>193</v>
      </c>
      <c r="C1" s="70" t="s">
        <v>193</v>
      </c>
      <c r="D1" s="71" t="s">
        <v>193</v>
      </c>
      <c r="E1" s="70" t="s">
        <v>193</v>
      </c>
      <c r="F1" s="70" t="s">
        <v>193</v>
      </c>
      <c r="G1" s="70" t="s">
        <v>193</v>
      </c>
      <c r="H1" s="70" t="s">
        <v>193</v>
      </c>
      <c r="I1" s="70" t="s">
        <v>193</v>
      </c>
      <c r="J1" s="70" t="s">
        <v>193</v>
      </c>
      <c r="K1" s="70" t="s">
        <v>193</v>
      </c>
      <c r="L1" s="70" t="s">
        <v>193</v>
      </c>
      <c r="M1" s="70" t="s">
        <v>193</v>
      </c>
      <c r="N1" s="70" t="s">
        <v>193</v>
      </c>
      <c r="O1" s="70" t="s">
        <v>193</v>
      </c>
      <c r="P1" s="70" t="s">
        <v>193</v>
      </c>
      <c r="Q1" s="70" t="s">
        <v>193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3C724-DA52-4119-A07D-F144ED7FCEF7}">
  <sheetPr codeName="Sheet2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A6FC-4996-446A-9D79-545FD23A8E01}">
  <sheetPr codeName="Sheet18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40285-2522-4C29-97C0-4054D91620F7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7FBE-B61A-407E-8502-CF891F895D18}">
  <sheetPr codeName="Sheet1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E7013-70E4-4AE6-BEBE-FE2A983944AE}">
  <sheetPr codeName="Sheet12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CC95-41B1-48C9-98CC-4AFC9FC069DC}">
  <sheetPr codeName="Sheet10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0.34814814814814815</v>
      </c>
      <c r="N19" s="67">
        <v>0.22962962962962963</v>
      </c>
      <c r="O19" s="67">
        <v>0.63829787234042556</v>
      </c>
      <c r="P19" s="67">
        <v>0.29032258064516131</v>
      </c>
      <c r="Q19" s="67">
        <v>0.40425531914893614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1E8E-336C-4DFC-B0DB-C375BD99160E}">
  <sheetPr codeName="Sheet8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B6D24-97D2-44E4-8892-7AD3F045CA1B}">
  <sheetPr codeName="Sheet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0.27303182579564489</v>
      </c>
      <c r="N27" s="67">
        <v>0.24120603015075376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0.27083333333333331</v>
      </c>
      <c r="N28" s="67">
        <v>0.24038461538461539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0.26947040498442365</v>
      </c>
      <c r="N29" s="67">
        <v>0.23987538940809969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0.26818181818181819</v>
      </c>
      <c r="N30" s="67">
        <v>0.24242424242424243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0.26548672566371684</v>
      </c>
      <c r="N31" s="67">
        <v>0.24188790560471976</v>
      </c>
      <c r="O31" s="67">
        <v>0.56666666666666665</v>
      </c>
      <c r="P31" s="67">
        <v>0.41463414634146339</v>
      </c>
      <c r="Q31" s="67">
        <v>0.3669724770642202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2019-04-07T00:14:55Z</dcterms:modified>
</cp:coreProperties>
</file>