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057AC170-9664-4E1E-8A45-5839FA135536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161" r:id="rId6"/>
    <sheet name="だいち" sheetId="5163" r:id="rId7"/>
    <sheet name="りくと" sheetId="5165" r:id="rId8"/>
    <sheet name="ただ" sheetId="5167" r:id="rId9"/>
    <sheet name="れんたろう" sheetId="5169" r:id="rId10"/>
    <sheet name="たかの" sheetId="5171" r:id="rId11"/>
    <sheet name="ぱぱ" sheetId="5173" r:id="rId12"/>
    <sheet name="まっつん" sheetId="5175" r:id="rId13"/>
    <sheet name="あさひ" sheetId="5177" r:id="rId14"/>
    <sheet name="いっしー" sheetId="5179" r:id="rId15"/>
    <sheet name="ほたに" sheetId="5181" r:id="rId16"/>
    <sheet name="かわたつ" sheetId="5183" r:id="rId17"/>
    <sheet name="やがさき" sheetId="5185" r:id="rId18"/>
    <sheet name="やがさき2" sheetId="5186" state="hidden" r:id="rId19"/>
    <sheet name="かわたつ2" sheetId="5184" state="hidden" r:id="rId20"/>
    <sheet name="ほたに2" sheetId="5182" state="hidden" r:id="rId21"/>
    <sheet name="いっしー2" sheetId="5180" state="hidden" r:id="rId22"/>
    <sheet name="あさひ2" sheetId="5178" state="hidden" r:id="rId23"/>
    <sheet name="まっつん2" sheetId="5176" state="hidden" r:id="rId24"/>
    <sheet name="ぱぱ2" sheetId="5174" state="hidden" r:id="rId25"/>
    <sheet name="たかの2" sheetId="5172" state="hidden" r:id="rId26"/>
    <sheet name="れんたろう2" sheetId="5170" state="hidden" r:id="rId27"/>
    <sheet name="ただ2" sheetId="5168" state="hidden" r:id="rId28"/>
    <sheet name="りくと2" sheetId="5166" state="hidden" r:id="rId29"/>
    <sheet name="だいち2" sheetId="5164" state="hidden" r:id="rId30"/>
    <sheet name="全体2" sheetId="5162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167" l="1"/>
  <c r="O16" i="5171"/>
  <c r="O15" i="5161"/>
  <c r="O16" i="5185"/>
  <c r="O15" i="5185"/>
  <c r="C27" i="5185"/>
  <c r="B24" i="5185"/>
  <c r="C20" i="5185"/>
  <c r="B17" i="5185"/>
  <c r="H50" i="5185" s="1"/>
  <c r="C16" i="5185"/>
  <c r="C15" i="5185"/>
  <c r="C14" i="5185"/>
  <c r="C13" i="5185"/>
  <c r="O12" i="5185"/>
  <c r="C12" i="5185"/>
  <c r="O11" i="5185"/>
  <c r="C11" i="5185"/>
  <c r="O10" i="5185"/>
  <c r="C10" i="5185"/>
  <c r="C9" i="5185"/>
  <c r="C8" i="5185"/>
  <c r="O7" i="5185"/>
  <c r="C7" i="5185"/>
  <c r="O6" i="5185"/>
  <c r="B6" i="5185"/>
  <c r="O5" i="5185"/>
  <c r="B5" i="5185"/>
  <c r="O4" i="5185"/>
  <c r="O3" i="5185"/>
  <c r="O2" i="5185"/>
  <c r="O15" i="5183"/>
  <c r="O16" i="5183"/>
  <c r="H35" i="5183"/>
  <c r="H28" i="5183"/>
  <c r="C27" i="5183"/>
  <c r="H26" i="5183"/>
  <c r="B24" i="5183"/>
  <c r="C20" i="5183"/>
  <c r="B17" i="5183"/>
  <c r="H50" i="5183" s="1"/>
  <c r="H18" i="5183"/>
  <c r="C16" i="5183"/>
  <c r="C15" i="5183"/>
  <c r="C14" i="5183"/>
  <c r="C13" i="5183"/>
  <c r="O12" i="5183"/>
  <c r="C12" i="5183"/>
  <c r="O11" i="5183"/>
  <c r="C11" i="5183"/>
  <c r="O10" i="5183"/>
  <c r="C10" i="5183"/>
  <c r="H11" i="5183"/>
  <c r="C9" i="5183"/>
  <c r="C8" i="5183"/>
  <c r="O7" i="5183"/>
  <c r="C7" i="5183"/>
  <c r="O6" i="5183"/>
  <c r="H5" i="5183"/>
  <c r="B6" i="5183"/>
  <c r="O5" i="5183"/>
  <c r="B5" i="5183"/>
  <c r="O4" i="5183"/>
  <c r="O3" i="5183"/>
  <c r="H8" i="5183"/>
  <c r="O2" i="5183"/>
  <c r="O23" i="5169"/>
  <c r="O19" i="5163"/>
  <c r="O24" i="5161"/>
  <c r="H9" i="5185" l="1"/>
  <c r="H35" i="5185"/>
  <c r="H6" i="5185"/>
  <c r="H27" i="5185"/>
  <c r="H13" i="5185"/>
  <c r="H4" i="5185"/>
  <c r="H36" i="5185"/>
  <c r="H44" i="5185"/>
  <c r="H15" i="5185"/>
  <c r="H21" i="5185"/>
  <c r="H45" i="5185"/>
  <c r="H10" i="5185"/>
  <c r="H46" i="5185"/>
  <c r="C17" i="5185"/>
  <c r="H38" i="5185"/>
  <c r="H47" i="5185"/>
  <c r="H5" i="5185"/>
  <c r="H30" i="5185"/>
  <c r="H23" i="5185"/>
  <c r="H16" i="5185"/>
  <c r="B23" i="5185"/>
  <c r="H40" i="5185"/>
  <c r="H7" i="5185"/>
  <c r="H24" i="5185"/>
  <c r="H48" i="5185"/>
  <c r="H14" i="5185"/>
  <c r="H17" i="5185"/>
  <c r="H31" i="5185"/>
  <c r="H2" i="5185"/>
  <c r="H12" i="5185"/>
  <c r="H20" i="5185"/>
  <c r="H32" i="5185"/>
  <c r="H41" i="5185"/>
  <c r="H51" i="5185"/>
  <c r="H37" i="5185"/>
  <c r="H11" i="5185"/>
  <c r="H29" i="5185"/>
  <c r="H19" i="5185"/>
  <c r="H39" i="5185"/>
  <c r="H3" i="5185"/>
  <c r="C18" i="5185"/>
  <c r="H25" i="5185"/>
  <c r="H49" i="5185"/>
  <c r="H18" i="5185"/>
  <c r="C19" i="5185"/>
  <c r="H26" i="5185"/>
  <c r="H33" i="5185"/>
  <c r="H43" i="5185"/>
  <c r="H8" i="5185"/>
  <c r="H22" i="5185"/>
  <c r="H28" i="5185"/>
  <c r="H34" i="5185"/>
  <c r="H42" i="5185"/>
  <c r="H6" i="5183"/>
  <c r="H36" i="5183"/>
  <c r="H14" i="5183"/>
  <c r="H44" i="5183"/>
  <c r="H45" i="5183"/>
  <c r="H9" i="5183"/>
  <c r="H12" i="5183"/>
  <c r="H22" i="5183"/>
  <c r="H46" i="5183"/>
  <c r="H23" i="5183"/>
  <c r="H47" i="5183"/>
  <c r="H19" i="5183"/>
  <c r="H39" i="5183"/>
  <c r="C18" i="5183"/>
  <c r="H31" i="5183"/>
  <c r="H40" i="5183"/>
  <c r="H49" i="5183"/>
  <c r="C17" i="5183"/>
  <c r="H38" i="5183"/>
  <c r="B23" i="5183"/>
  <c r="H48" i="5183"/>
  <c r="H13" i="5183"/>
  <c r="H24" i="5183"/>
  <c r="H20" i="5183"/>
  <c r="H32" i="5183"/>
  <c r="H51" i="5183"/>
  <c r="H2" i="5183"/>
  <c r="H37" i="5183"/>
  <c r="H15" i="5183"/>
  <c r="H29" i="5183"/>
  <c r="H30" i="5183"/>
  <c r="H4" i="5183"/>
  <c r="H16" i="5183"/>
  <c r="H3" i="5183"/>
  <c r="H10" i="5183"/>
  <c r="H41" i="5183"/>
  <c r="H17" i="5183"/>
  <c r="C19" i="5183"/>
  <c r="H25" i="5183"/>
  <c r="H33" i="5183"/>
  <c r="H43" i="5183"/>
  <c r="H7" i="5183"/>
  <c r="H21" i="5183"/>
  <c r="H27" i="5183"/>
  <c r="H34" i="5183"/>
  <c r="H42" i="5183"/>
  <c r="O18" i="5171" l="1"/>
  <c r="O16" i="5179"/>
  <c r="O20" i="5181" l="1"/>
  <c r="O17" i="5181"/>
  <c r="O17" i="5175"/>
  <c r="O20" i="5165"/>
  <c r="O20" i="5163" l="1"/>
  <c r="O19" i="5181"/>
  <c r="O21" i="5173"/>
  <c r="O16" i="5181"/>
  <c r="O15" i="5181" l="1"/>
  <c r="O18" i="5181"/>
  <c r="H36" i="5181"/>
  <c r="H35" i="5181"/>
  <c r="C27" i="5181"/>
  <c r="H27" i="5181"/>
  <c r="B24" i="5181"/>
  <c r="C20" i="5181"/>
  <c r="B17" i="5181"/>
  <c r="H50" i="5181" s="1"/>
  <c r="H10" i="5181"/>
  <c r="C16" i="5181"/>
  <c r="C15" i="5181"/>
  <c r="C14" i="5181"/>
  <c r="C13" i="5181"/>
  <c r="O12" i="5181"/>
  <c r="C12" i="5181"/>
  <c r="O11" i="5181"/>
  <c r="C11" i="5181"/>
  <c r="O10" i="5181"/>
  <c r="H3" i="5181"/>
  <c r="C10" i="5181"/>
  <c r="C9" i="5181"/>
  <c r="C8" i="5181"/>
  <c r="O7" i="5181"/>
  <c r="C7" i="5181"/>
  <c r="O6" i="5181"/>
  <c r="H6" i="5181"/>
  <c r="B6" i="5181"/>
  <c r="O5" i="5181"/>
  <c r="B5" i="5181"/>
  <c r="O4" i="5181"/>
  <c r="H4" i="5181"/>
  <c r="O3" i="5181"/>
  <c r="H11" i="5181"/>
  <c r="O2" i="5181"/>
  <c r="O21" i="5169"/>
  <c r="O19" i="5171"/>
  <c r="O20" i="5161"/>
  <c r="H44" i="5181" l="1"/>
  <c r="H16" i="5181"/>
  <c r="H22" i="5181"/>
  <c r="H45" i="5181"/>
  <c r="H14" i="5181"/>
  <c r="H46" i="5181"/>
  <c r="C17" i="5181"/>
  <c r="H24" i="5181"/>
  <c r="H17" i="5181"/>
  <c r="H38" i="5181"/>
  <c r="H30" i="5181"/>
  <c r="H5" i="5181"/>
  <c r="C18" i="5181"/>
  <c r="H40" i="5181"/>
  <c r="H49" i="5181"/>
  <c r="H37" i="5181"/>
  <c r="H25" i="5181"/>
  <c r="H47" i="5181"/>
  <c r="H20" i="5181"/>
  <c r="H48" i="5181"/>
  <c r="H26" i="5181"/>
  <c r="H2" i="5181"/>
  <c r="H32" i="5181"/>
  <c r="H51" i="5181"/>
  <c r="H9" i="5181"/>
  <c r="H8" i="5181"/>
  <c r="H29" i="5181"/>
  <c r="B23" i="5181"/>
  <c r="H39" i="5181"/>
  <c r="H15" i="5181"/>
  <c r="H18" i="5181"/>
  <c r="H31" i="5181"/>
  <c r="H13" i="5181"/>
  <c r="H21" i="5181"/>
  <c r="H41" i="5181"/>
  <c r="H19" i="5181"/>
  <c r="C19" i="5181"/>
  <c r="H12" i="5181"/>
  <c r="H33" i="5181"/>
  <c r="H43" i="5181"/>
  <c r="H7" i="5181"/>
  <c r="H23" i="5181"/>
  <c r="H28" i="5181"/>
  <c r="H34" i="5181"/>
  <c r="H42" i="5181"/>
  <c r="O17" i="5171" l="1"/>
  <c r="O16" i="5167"/>
  <c r="O21" i="5175"/>
  <c r="O20" i="5175"/>
  <c r="O17" i="5163" l="1"/>
  <c r="O19" i="5179"/>
  <c r="O18" i="5179" l="1"/>
  <c r="O15" i="5179"/>
  <c r="O16" i="5169"/>
  <c r="O22" i="5167"/>
  <c r="O17" i="5177" l="1"/>
  <c r="O22" i="5173"/>
  <c r="O15" i="5177"/>
  <c r="O21" i="5179"/>
  <c r="O15" i="5165"/>
  <c r="O16" i="5175"/>
  <c r="O16" i="5161"/>
  <c r="O17" i="5179"/>
  <c r="O20" i="5179"/>
  <c r="C27" i="5179"/>
  <c r="B24" i="5179"/>
  <c r="C20" i="5179"/>
  <c r="B17" i="5179"/>
  <c r="H50" i="5179" s="1"/>
  <c r="C16" i="5179"/>
  <c r="C15" i="5179"/>
  <c r="C14" i="5179"/>
  <c r="C13" i="5179"/>
  <c r="O12" i="5179"/>
  <c r="C12" i="5179"/>
  <c r="O11" i="5179"/>
  <c r="C11" i="5179"/>
  <c r="O10" i="5179"/>
  <c r="C10" i="5179"/>
  <c r="C9" i="5179"/>
  <c r="C8" i="5179"/>
  <c r="O7" i="5179"/>
  <c r="C7" i="5179"/>
  <c r="O6" i="5179"/>
  <c r="B6" i="5179"/>
  <c r="O5" i="5179"/>
  <c r="B5" i="5179"/>
  <c r="O4" i="5179"/>
  <c r="O3" i="5179"/>
  <c r="O2" i="5179"/>
  <c r="O16" i="5177"/>
  <c r="O18" i="5177"/>
  <c r="C27" i="5177"/>
  <c r="B24" i="5177"/>
  <c r="C20" i="5177"/>
  <c r="B17" i="5177"/>
  <c r="H50" i="5177" s="1"/>
  <c r="C16" i="5177"/>
  <c r="C15" i="5177"/>
  <c r="C14" i="5177"/>
  <c r="C13" i="5177"/>
  <c r="O12" i="5177"/>
  <c r="C12" i="5177"/>
  <c r="O11" i="5177"/>
  <c r="C11" i="5177"/>
  <c r="O10" i="5177"/>
  <c r="C10" i="5177"/>
  <c r="C9" i="5177"/>
  <c r="C8" i="5177"/>
  <c r="O7" i="5177"/>
  <c r="C7" i="5177"/>
  <c r="O6" i="5177"/>
  <c r="B6" i="5177"/>
  <c r="O5" i="5177"/>
  <c r="B5" i="5177"/>
  <c r="O4" i="5177"/>
  <c r="O3" i="5177"/>
  <c r="O2" i="5177"/>
  <c r="O22" i="5175"/>
  <c r="O23" i="5175"/>
  <c r="O15" i="5163"/>
  <c r="O18" i="5163"/>
  <c r="O26" i="5161"/>
  <c r="H16" i="5179" l="1"/>
  <c r="H43" i="5179"/>
  <c r="H18" i="5179"/>
  <c r="H26" i="5179"/>
  <c r="H44" i="5179"/>
  <c r="H17" i="5179"/>
  <c r="H4" i="5179"/>
  <c r="H21" i="5179"/>
  <c r="H19" i="5177"/>
  <c r="H36" i="5177"/>
  <c r="H3" i="5177"/>
  <c r="H4" i="5177"/>
  <c r="H45" i="5177"/>
  <c r="H47" i="5177"/>
  <c r="H46" i="5177"/>
  <c r="H16" i="5177"/>
  <c r="H25" i="5177"/>
  <c r="H38" i="5177"/>
  <c r="H20" i="5177"/>
  <c r="H48" i="5177"/>
  <c r="H6" i="5177"/>
  <c r="H9" i="5177"/>
  <c r="H31" i="5177"/>
  <c r="H37" i="5177"/>
  <c r="H30" i="5177"/>
  <c r="H5" i="5177"/>
  <c r="H17" i="5177"/>
  <c r="C18" i="5177"/>
  <c r="H40" i="5177"/>
  <c r="H2" i="5177"/>
  <c r="H21" i="5177"/>
  <c r="H41" i="5177"/>
  <c r="C19" i="5177"/>
  <c r="H7" i="5177"/>
  <c r="H24" i="5177"/>
  <c r="C17" i="5177"/>
  <c r="H29" i="5177"/>
  <c r="B23" i="5177"/>
  <c r="H39" i="5177"/>
  <c r="H14" i="5177"/>
  <c r="H26" i="5177"/>
  <c r="H49" i="5177"/>
  <c r="H13" i="5177"/>
  <c r="H32" i="5177"/>
  <c r="H51" i="5177"/>
  <c r="H18" i="5177"/>
  <c r="H11" i="5177"/>
  <c r="H33" i="5177"/>
  <c r="H43" i="5177"/>
  <c r="H12" i="5177"/>
  <c r="H8" i="5177"/>
  <c r="H10" i="5177"/>
  <c r="H15" i="5177"/>
  <c r="H22" i="5177"/>
  <c r="H27" i="5177"/>
  <c r="H35" i="5177"/>
  <c r="H44" i="5177"/>
  <c r="H3" i="5179"/>
  <c r="H5" i="5179"/>
  <c r="H45" i="5179"/>
  <c r="H2" i="5179"/>
  <c r="H22" i="5179"/>
  <c r="H19" i="5179"/>
  <c r="C19" i="5179"/>
  <c r="H32" i="5179"/>
  <c r="H30" i="5179"/>
  <c r="H31" i="5179"/>
  <c r="H13" i="5179"/>
  <c r="H37" i="5179"/>
  <c r="C18" i="5179"/>
  <c r="H15" i="5179"/>
  <c r="H9" i="5179"/>
  <c r="H11" i="5179"/>
  <c r="H20" i="5179"/>
  <c r="H40" i="5179"/>
  <c r="H46" i="5179"/>
  <c r="H14" i="5179"/>
  <c r="H47" i="5179"/>
  <c r="H24" i="5179"/>
  <c r="H10" i="5179"/>
  <c r="C17" i="5179"/>
  <c r="B23" i="5179"/>
  <c r="H35" i="5179"/>
  <c r="H12" i="5179"/>
  <c r="H25" i="5179"/>
  <c r="H36" i="5179"/>
  <c r="H6" i="5179"/>
  <c r="H7" i="5179"/>
  <c r="H38" i="5179"/>
  <c r="H48" i="5179"/>
  <c r="H8" i="5179"/>
  <c r="H29" i="5179"/>
  <c r="H39" i="5179"/>
  <c r="H51" i="5179"/>
  <c r="H27" i="5179"/>
  <c r="H33" i="5179"/>
  <c r="H41" i="5179"/>
  <c r="H49" i="5179"/>
  <c r="H23" i="5179"/>
  <c r="H28" i="5179"/>
  <c r="H34" i="5179"/>
  <c r="H42" i="5179"/>
  <c r="H23" i="5177"/>
  <c r="H28" i="5177"/>
  <c r="H34" i="5177"/>
  <c r="H42" i="5177"/>
  <c r="O18" i="5175" l="1"/>
  <c r="O20" i="5173"/>
  <c r="O16" i="5173"/>
  <c r="O19" i="5165"/>
  <c r="O20" i="5171" l="1"/>
  <c r="O17" i="5169"/>
  <c r="O17" i="5173"/>
  <c r="O18" i="5173"/>
  <c r="O15" i="5171" l="1"/>
  <c r="O15" i="5169"/>
  <c r="O21" i="5167"/>
  <c r="O19" i="5167"/>
  <c r="O15" i="5175"/>
  <c r="O19" i="5175"/>
  <c r="H36" i="5175"/>
  <c r="H13" i="5175"/>
  <c r="C27" i="5175"/>
  <c r="B24" i="5175"/>
  <c r="C20" i="5175"/>
  <c r="B17" i="5175"/>
  <c r="H51" i="5175" s="1"/>
  <c r="C16" i="5175"/>
  <c r="C15" i="5175"/>
  <c r="C14" i="5175"/>
  <c r="C13" i="5175"/>
  <c r="O12" i="5175"/>
  <c r="C12" i="5175"/>
  <c r="O11" i="5175"/>
  <c r="H21" i="5175"/>
  <c r="C11" i="5175"/>
  <c r="O10" i="5175"/>
  <c r="C10" i="5175"/>
  <c r="C9" i="5175"/>
  <c r="C8" i="5175"/>
  <c r="O7" i="5175"/>
  <c r="C7" i="5175"/>
  <c r="O6" i="5175"/>
  <c r="B6" i="5175"/>
  <c r="O5" i="5175"/>
  <c r="B5" i="5175"/>
  <c r="O4" i="5175"/>
  <c r="O3" i="5175"/>
  <c r="O2" i="5175"/>
  <c r="O22" i="5169"/>
  <c r="O21" i="5165"/>
  <c r="O21" i="5161"/>
  <c r="B23" i="5175" l="1"/>
  <c r="H3" i="5175"/>
  <c r="H27" i="5175"/>
  <c r="H22" i="5175"/>
  <c r="H37" i="5175"/>
  <c r="H38" i="5175"/>
  <c r="H45" i="5175"/>
  <c r="H16" i="5175"/>
  <c r="H14" i="5175"/>
  <c r="H44" i="5175"/>
  <c r="H46" i="5175"/>
  <c r="C17" i="5175"/>
  <c r="H6" i="5175"/>
  <c r="H24" i="5175"/>
  <c r="C18" i="5175"/>
  <c r="H8" i="5175"/>
  <c r="H4" i="5175"/>
  <c r="H2" i="5175"/>
  <c r="H25" i="5175"/>
  <c r="H30" i="5175"/>
  <c r="H5" i="5175"/>
  <c r="H23" i="5175"/>
  <c r="C19" i="5175"/>
  <c r="H31" i="5175"/>
  <c r="H39" i="5175"/>
  <c r="H47" i="5175"/>
  <c r="H10" i="5175"/>
  <c r="H7" i="5175"/>
  <c r="H15" i="5175"/>
  <c r="H17" i="5175"/>
  <c r="H12" i="5175"/>
  <c r="H20" i="5175"/>
  <c r="H32" i="5175"/>
  <c r="H40" i="5175"/>
  <c r="H48" i="5175"/>
  <c r="H19" i="5175"/>
  <c r="H28" i="5175"/>
  <c r="H33" i="5175"/>
  <c r="H41" i="5175"/>
  <c r="H49" i="5175"/>
  <c r="H26" i="5175"/>
  <c r="H29" i="5175"/>
  <c r="H34" i="5175"/>
  <c r="H42" i="5175"/>
  <c r="H50" i="5175"/>
  <c r="H9" i="5175"/>
  <c r="H18" i="5175"/>
  <c r="H11" i="5175"/>
  <c r="H35" i="5175"/>
  <c r="H43" i="5175"/>
  <c r="O18" i="5167" l="1"/>
  <c r="O19" i="5173"/>
  <c r="O15" i="5173"/>
  <c r="C27" i="5173"/>
  <c r="B24" i="5173"/>
  <c r="C20" i="5173"/>
  <c r="B17" i="5173"/>
  <c r="H51" i="5173" s="1"/>
  <c r="C16" i="5173"/>
  <c r="C15" i="5173"/>
  <c r="C14" i="5173"/>
  <c r="C13" i="5173"/>
  <c r="O12" i="5173"/>
  <c r="C12" i="5173"/>
  <c r="O11" i="5173"/>
  <c r="C11" i="5173"/>
  <c r="O10" i="5173"/>
  <c r="C10" i="5173"/>
  <c r="C9" i="5173"/>
  <c r="C8" i="5173"/>
  <c r="O7" i="5173"/>
  <c r="C7" i="5173"/>
  <c r="O6" i="5173"/>
  <c r="B6" i="5173"/>
  <c r="O5" i="5173"/>
  <c r="B5" i="5173"/>
  <c r="O4" i="5173"/>
  <c r="O3" i="5173"/>
  <c r="O2" i="5173"/>
  <c r="O21" i="5163"/>
  <c r="O18" i="5161"/>
  <c r="O22" i="5171"/>
  <c r="O18" i="5165"/>
  <c r="O17" i="5165"/>
  <c r="O18" i="5169"/>
  <c r="O21" i="5171"/>
  <c r="O23" i="5171"/>
  <c r="C27" i="5171"/>
  <c r="B24" i="5171"/>
  <c r="C20" i="5171"/>
  <c r="B17" i="5171"/>
  <c r="H50" i="5171" s="1"/>
  <c r="C16" i="5171"/>
  <c r="C15" i="5171"/>
  <c r="C14" i="5171"/>
  <c r="C13" i="5171"/>
  <c r="O12" i="5171"/>
  <c r="C12" i="5171"/>
  <c r="O11" i="5171"/>
  <c r="C11" i="5171"/>
  <c r="O10" i="5171"/>
  <c r="C10" i="5171"/>
  <c r="C9" i="5171"/>
  <c r="C8" i="5171"/>
  <c r="O7" i="5171"/>
  <c r="C7" i="5171"/>
  <c r="O6" i="5171"/>
  <c r="B6" i="5171"/>
  <c r="O5" i="5171"/>
  <c r="B5" i="5171"/>
  <c r="O4" i="5171"/>
  <c r="O3" i="5171"/>
  <c r="O2" i="5171"/>
  <c r="O20" i="5169"/>
  <c r="O19" i="5169"/>
  <c r="C27" i="5169"/>
  <c r="B24" i="5169"/>
  <c r="C20" i="5169"/>
  <c r="B17" i="5169"/>
  <c r="H19" i="5169" s="1"/>
  <c r="C16" i="5169"/>
  <c r="C15" i="5169"/>
  <c r="C14" i="5169"/>
  <c r="C13" i="5169"/>
  <c r="O12" i="5169"/>
  <c r="C12" i="5169"/>
  <c r="O11" i="5169"/>
  <c r="C11" i="5169"/>
  <c r="O10" i="5169"/>
  <c r="C10" i="5169"/>
  <c r="C9" i="5169"/>
  <c r="C8" i="5169"/>
  <c r="O7" i="5169"/>
  <c r="C7" i="5169"/>
  <c r="O6" i="5169"/>
  <c r="B6" i="5169"/>
  <c r="O5" i="5169"/>
  <c r="B5" i="5169"/>
  <c r="O4" i="5169"/>
  <c r="O3" i="5169"/>
  <c r="O2" i="5169"/>
  <c r="O22" i="5163"/>
  <c r="O24" i="5163"/>
  <c r="O23" i="5161"/>
  <c r="O22" i="5161"/>
  <c r="H12" i="5173" l="1"/>
  <c r="H11" i="5173"/>
  <c r="H39" i="5173"/>
  <c r="H6" i="5173"/>
  <c r="H5" i="5173"/>
  <c r="H15" i="5173"/>
  <c r="H32" i="5171"/>
  <c r="H20" i="5173"/>
  <c r="H25" i="5173"/>
  <c r="H40" i="5169"/>
  <c r="H42" i="5169"/>
  <c r="H12" i="5171"/>
  <c r="H44" i="5171"/>
  <c r="H7" i="5171"/>
  <c r="H15" i="5171"/>
  <c r="H11" i="5171"/>
  <c r="C19" i="5171"/>
  <c r="H46" i="5171"/>
  <c r="H5" i="5171"/>
  <c r="H24" i="5171"/>
  <c r="H20" i="5171"/>
  <c r="H31" i="5171"/>
  <c r="H15" i="5169"/>
  <c r="H9" i="5173"/>
  <c r="H41" i="5173"/>
  <c r="H3" i="5173"/>
  <c r="H31" i="5173"/>
  <c r="H44" i="5173"/>
  <c r="C17" i="5173"/>
  <c r="H27" i="5173"/>
  <c r="H18" i="5173"/>
  <c r="H45" i="5173"/>
  <c r="H2" i="5173"/>
  <c r="H36" i="5173"/>
  <c r="H10" i="5173"/>
  <c r="B23" i="5173"/>
  <c r="H46" i="5173"/>
  <c r="H14" i="5173"/>
  <c r="H28" i="5173"/>
  <c r="H4" i="5173"/>
  <c r="H8" i="5173"/>
  <c r="H24" i="5173"/>
  <c r="H37" i="5173"/>
  <c r="H49" i="5173"/>
  <c r="H17" i="5173"/>
  <c r="H21" i="5173"/>
  <c r="H16" i="5173"/>
  <c r="H33" i="5173"/>
  <c r="H7" i="5173"/>
  <c r="H22" i="5173"/>
  <c r="C18" i="5173"/>
  <c r="H47" i="5173"/>
  <c r="H23" i="5173"/>
  <c r="C19" i="5173"/>
  <c r="H13" i="5173"/>
  <c r="H38" i="5173"/>
  <c r="H19" i="5173"/>
  <c r="H32" i="5173"/>
  <c r="H40" i="5173"/>
  <c r="H48" i="5173"/>
  <c r="H29" i="5173"/>
  <c r="H34" i="5173"/>
  <c r="H42" i="5173"/>
  <c r="H50" i="5173"/>
  <c r="H26" i="5173"/>
  <c r="H30" i="5173"/>
  <c r="H35" i="5173"/>
  <c r="H43" i="5173"/>
  <c r="H45" i="5171"/>
  <c r="H10" i="5171"/>
  <c r="H21" i="5171"/>
  <c r="H16" i="5171"/>
  <c r="B23" i="5171"/>
  <c r="H35" i="5171"/>
  <c r="H47" i="5171"/>
  <c r="H36" i="5171"/>
  <c r="H9" i="5171"/>
  <c r="H6" i="5171"/>
  <c r="H37" i="5171"/>
  <c r="H28" i="5171"/>
  <c r="H3" i="5171"/>
  <c r="H17" i="5171"/>
  <c r="H2" i="5171"/>
  <c r="C18" i="5171"/>
  <c r="H14" i="5171"/>
  <c r="H38" i="5171"/>
  <c r="H23" i="5171"/>
  <c r="H25" i="5171"/>
  <c r="H43" i="5171"/>
  <c r="H2" i="5169"/>
  <c r="H13" i="5169"/>
  <c r="H9" i="5169"/>
  <c r="H23" i="5169"/>
  <c r="H14" i="5169"/>
  <c r="H7" i="5169"/>
  <c r="H11" i="5169"/>
  <c r="H32" i="5169"/>
  <c r="H48" i="5171"/>
  <c r="H30" i="5171"/>
  <c r="H39" i="5171"/>
  <c r="H51" i="5171"/>
  <c r="H13" i="5171"/>
  <c r="H8" i="5171"/>
  <c r="H22" i="5171"/>
  <c r="C17" i="5171"/>
  <c r="H27" i="5171"/>
  <c r="H18" i="5171"/>
  <c r="H40" i="5171"/>
  <c r="H4" i="5171"/>
  <c r="H19" i="5171"/>
  <c r="H33" i="5171"/>
  <c r="H41" i="5171"/>
  <c r="H49" i="5171"/>
  <c r="H26" i="5171"/>
  <c r="H29" i="5171"/>
  <c r="H34" i="5171"/>
  <c r="H42" i="5171"/>
  <c r="H29" i="5169"/>
  <c r="H8" i="5169"/>
  <c r="H4" i="5169"/>
  <c r="H45" i="5169"/>
  <c r="H46" i="5169"/>
  <c r="H34" i="5169"/>
  <c r="H5" i="5169"/>
  <c r="H22" i="5169"/>
  <c r="H37" i="5169"/>
  <c r="H48" i="5169"/>
  <c r="C17" i="5169"/>
  <c r="H18" i="5169"/>
  <c r="H30" i="5169"/>
  <c r="H24" i="5169"/>
  <c r="H3" i="5169"/>
  <c r="H27" i="5169"/>
  <c r="H20" i="5169"/>
  <c r="H38" i="5169"/>
  <c r="H50" i="5169"/>
  <c r="H21" i="5169"/>
  <c r="H17" i="5169"/>
  <c r="B23" i="5169"/>
  <c r="H26" i="5169"/>
  <c r="H47" i="5169"/>
  <c r="C18" i="5169"/>
  <c r="H10" i="5169"/>
  <c r="H25" i="5169"/>
  <c r="C19" i="5169"/>
  <c r="H39" i="5169"/>
  <c r="H6" i="5169"/>
  <c r="H16" i="5169"/>
  <c r="H12" i="5169"/>
  <c r="H33" i="5169"/>
  <c r="H41" i="5169"/>
  <c r="H49" i="5169"/>
  <c r="H28" i="5169"/>
  <c r="H31" i="5169"/>
  <c r="H35" i="5169"/>
  <c r="H43" i="5169"/>
  <c r="H51" i="5169"/>
  <c r="H36" i="5169"/>
  <c r="H44" i="5169"/>
  <c r="O17" i="5167" l="1"/>
  <c r="O20" i="5167"/>
  <c r="C27" i="5167"/>
  <c r="B24" i="5167"/>
  <c r="C20" i="5167"/>
  <c r="B17" i="5167"/>
  <c r="H51" i="5167" s="1"/>
  <c r="C16" i="5167"/>
  <c r="C15" i="5167"/>
  <c r="C14" i="5167"/>
  <c r="C13" i="5167"/>
  <c r="O12" i="5167"/>
  <c r="C12" i="5167"/>
  <c r="O11" i="5167"/>
  <c r="C11" i="5167"/>
  <c r="O10" i="5167"/>
  <c r="C10" i="5167"/>
  <c r="C9" i="5167"/>
  <c r="C8" i="5167"/>
  <c r="O7" i="5167"/>
  <c r="C7" i="5167"/>
  <c r="O6" i="5167"/>
  <c r="B6" i="5167"/>
  <c r="O5" i="5167"/>
  <c r="B5" i="5167"/>
  <c r="O4" i="5167"/>
  <c r="O3" i="5167"/>
  <c r="O2" i="5167"/>
  <c r="O22" i="5165"/>
  <c r="O16" i="5165"/>
  <c r="C27" i="5165"/>
  <c r="B24" i="5165"/>
  <c r="C20" i="5165"/>
  <c r="B17" i="5165"/>
  <c r="H51" i="5165" s="1"/>
  <c r="C16" i="5165"/>
  <c r="C15" i="5165"/>
  <c r="C14" i="5165"/>
  <c r="C13" i="5165"/>
  <c r="O12" i="5165"/>
  <c r="C12" i="5165"/>
  <c r="O11" i="5165"/>
  <c r="C11" i="5165"/>
  <c r="O10" i="5165"/>
  <c r="C10" i="5165"/>
  <c r="C9" i="5165"/>
  <c r="C8" i="5165"/>
  <c r="O7" i="5165"/>
  <c r="C7" i="5165"/>
  <c r="O6" i="5165"/>
  <c r="B6" i="5165"/>
  <c r="O5" i="5165"/>
  <c r="B5" i="5165"/>
  <c r="O4" i="5165"/>
  <c r="O3" i="5165"/>
  <c r="O2" i="5165"/>
  <c r="O25" i="5161"/>
  <c r="O16" i="5163"/>
  <c r="O23" i="5163"/>
  <c r="C27" i="5163"/>
  <c r="B24" i="5163"/>
  <c r="C20" i="5163"/>
  <c r="B17" i="5163"/>
  <c r="H51" i="5163" s="1"/>
  <c r="C16" i="5163"/>
  <c r="C15" i="5163"/>
  <c r="C14" i="5163"/>
  <c r="C13" i="5163"/>
  <c r="O12" i="5163"/>
  <c r="C12" i="5163"/>
  <c r="O11" i="5163"/>
  <c r="C11" i="5163"/>
  <c r="O10" i="5163"/>
  <c r="C10" i="5163"/>
  <c r="C9" i="5163"/>
  <c r="C8" i="5163"/>
  <c r="O7" i="5163"/>
  <c r="C7" i="5163"/>
  <c r="O6" i="5163"/>
  <c r="B6" i="5163"/>
  <c r="O5" i="5163"/>
  <c r="B5" i="5163"/>
  <c r="O4" i="5163"/>
  <c r="O3" i="5163"/>
  <c r="O2" i="5163"/>
  <c r="O17" i="5161"/>
  <c r="O19" i="5161"/>
  <c r="C27" i="5161"/>
  <c r="B24" i="5161"/>
  <c r="C20" i="5161"/>
  <c r="B17" i="5161"/>
  <c r="H51" i="5161" s="1"/>
  <c r="C16" i="5161"/>
  <c r="C15" i="5161"/>
  <c r="C14" i="5161"/>
  <c r="C13" i="5161"/>
  <c r="O12" i="5161"/>
  <c r="C12" i="5161"/>
  <c r="O11" i="5161"/>
  <c r="C11" i="5161"/>
  <c r="O10" i="5161"/>
  <c r="C10" i="5161"/>
  <c r="C9" i="5161"/>
  <c r="C8" i="5161"/>
  <c r="O7" i="5161"/>
  <c r="C7" i="5161"/>
  <c r="O6" i="5161"/>
  <c r="B6" i="5161"/>
  <c r="O5" i="5161"/>
  <c r="B5" i="5161"/>
  <c r="O4" i="5161"/>
  <c r="O3" i="5161"/>
  <c r="O2" i="5161"/>
  <c r="H12" i="5167" l="1"/>
  <c r="H10" i="5167"/>
  <c r="H11" i="5167"/>
  <c r="H31" i="5167"/>
  <c r="H5" i="5167"/>
  <c r="H39" i="5167"/>
  <c r="H15" i="5167"/>
  <c r="H17" i="5163"/>
  <c r="H45" i="5163"/>
  <c r="H46" i="5163"/>
  <c r="H47" i="5163"/>
  <c r="H41" i="5167"/>
  <c r="H24" i="5167"/>
  <c r="H18" i="5167"/>
  <c r="H22" i="5165"/>
  <c r="H16" i="5161"/>
  <c r="H28" i="5163"/>
  <c r="B23" i="5163"/>
  <c r="H11" i="5163"/>
  <c r="H6" i="5163"/>
  <c r="H9" i="5163"/>
  <c r="H13" i="5163"/>
  <c r="C18" i="5163"/>
  <c r="H48" i="5163"/>
  <c r="H25" i="5163"/>
  <c r="C19" i="5163"/>
  <c r="H36" i="5163"/>
  <c r="H4" i="5163"/>
  <c r="H30" i="5163"/>
  <c r="H29" i="5163"/>
  <c r="H26" i="5163"/>
  <c r="H2" i="5163"/>
  <c r="H20" i="5163"/>
  <c r="H15" i="5163"/>
  <c r="H22" i="5163"/>
  <c r="H38" i="5163"/>
  <c r="H39" i="5163"/>
  <c r="H10" i="5163"/>
  <c r="H7" i="5163"/>
  <c r="H3" i="5163"/>
  <c r="H18" i="5163"/>
  <c r="H12" i="5163"/>
  <c r="H44" i="5163"/>
  <c r="H29" i="5167"/>
  <c r="H21" i="5167"/>
  <c r="H44" i="5167"/>
  <c r="H7" i="5167"/>
  <c r="C17" i="5167"/>
  <c r="B23" i="5167"/>
  <c r="H32" i="5167"/>
  <c r="H45" i="5167"/>
  <c r="H46" i="5167"/>
  <c r="H2" i="5167"/>
  <c r="H8" i="5167"/>
  <c r="H47" i="5167"/>
  <c r="H30" i="5167"/>
  <c r="H4" i="5167"/>
  <c r="H26" i="5167"/>
  <c r="H3" i="5167"/>
  <c r="H9" i="5167"/>
  <c r="H19" i="5167"/>
  <c r="H37" i="5167"/>
  <c r="H49" i="5167"/>
  <c r="H25" i="5167"/>
  <c r="H16" i="5167"/>
  <c r="H33" i="5167"/>
  <c r="H23" i="5167"/>
  <c r="C18" i="5167"/>
  <c r="H36" i="5167"/>
  <c r="H27" i="5167"/>
  <c r="H14" i="5167"/>
  <c r="C19" i="5167"/>
  <c r="H38" i="5167"/>
  <c r="H6" i="5167"/>
  <c r="H17" i="5167"/>
  <c r="H13" i="5167"/>
  <c r="H22" i="5167"/>
  <c r="H40" i="5167"/>
  <c r="H48" i="5167"/>
  <c r="H28" i="5167"/>
  <c r="H20" i="5167"/>
  <c r="H34" i="5167"/>
  <c r="H42" i="5167"/>
  <c r="H50" i="5167"/>
  <c r="H35" i="5167"/>
  <c r="H43" i="5167"/>
  <c r="H6" i="5161"/>
  <c r="H11" i="5161"/>
  <c r="H23" i="5161"/>
  <c r="H13" i="5165"/>
  <c r="H9" i="5165"/>
  <c r="H36" i="5165"/>
  <c r="H33" i="5165"/>
  <c r="H7" i="5165"/>
  <c r="H37" i="5165"/>
  <c r="H45" i="5165"/>
  <c r="H20" i="5165"/>
  <c r="H14" i="5165"/>
  <c r="H46" i="5165"/>
  <c r="H47" i="5165"/>
  <c r="C17" i="5165"/>
  <c r="H48" i="5165"/>
  <c r="B23" i="5165"/>
  <c r="H15" i="5165"/>
  <c r="H39" i="5165"/>
  <c r="H16" i="5165"/>
  <c r="H6" i="5165"/>
  <c r="H29" i="5165"/>
  <c r="C18" i="5165"/>
  <c r="H32" i="5165"/>
  <c r="H26" i="5165"/>
  <c r="H41" i="5165"/>
  <c r="H50" i="5165"/>
  <c r="H4" i="5165"/>
  <c r="H38" i="5165"/>
  <c r="H8" i="5165"/>
  <c r="H24" i="5165"/>
  <c r="H49" i="5165"/>
  <c r="H3" i="5165"/>
  <c r="H30" i="5165"/>
  <c r="H27" i="5165"/>
  <c r="H42" i="5165"/>
  <c r="H18" i="5165"/>
  <c r="H2" i="5165"/>
  <c r="H11" i="5165"/>
  <c r="H21" i="5165"/>
  <c r="H34" i="5165"/>
  <c r="H17" i="5165"/>
  <c r="H40" i="5165"/>
  <c r="H19" i="5165"/>
  <c r="H10" i="5165"/>
  <c r="H23" i="5165"/>
  <c r="C19" i="5165"/>
  <c r="H12" i="5165"/>
  <c r="H35" i="5165"/>
  <c r="H44" i="5165"/>
  <c r="H5" i="5165"/>
  <c r="H31" i="5165"/>
  <c r="H25" i="5165"/>
  <c r="H28" i="5165"/>
  <c r="H43" i="5165"/>
  <c r="H24" i="5161"/>
  <c r="H15" i="5161"/>
  <c r="H14" i="5161"/>
  <c r="H37" i="5161"/>
  <c r="H12" i="5161"/>
  <c r="H7" i="5161"/>
  <c r="H10" i="5161"/>
  <c r="H25" i="5161"/>
  <c r="H3" i="5161"/>
  <c r="H40" i="5161"/>
  <c r="H41" i="5161"/>
  <c r="H20" i="5161"/>
  <c r="H13" i="5161"/>
  <c r="H33" i="5163"/>
  <c r="H37" i="5163"/>
  <c r="H49" i="5163"/>
  <c r="H14" i="5163"/>
  <c r="H24" i="5163"/>
  <c r="H40" i="5163"/>
  <c r="H16" i="5163"/>
  <c r="H8" i="5163"/>
  <c r="H21" i="5163"/>
  <c r="C17" i="5163"/>
  <c r="H32" i="5163"/>
  <c r="H19" i="5163"/>
  <c r="H41" i="5163"/>
  <c r="H5" i="5163"/>
  <c r="H23" i="5163"/>
  <c r="H35" i="5163"/>
  <c r="H42" i="5163"/>
  <c r="H50" i="5163"/>
  <c r="H31" i="5163"/>
  <c r="H34" i="5163"/>
  <c r="H27" i="5163"/>
  <c r="H43" i="5163"/>
  <c r="H44" i="5161"/>
  <c r="H2" i="5161"/>
  <c r="H4" i="5161"/>
  <c r="H19" i="5161"/>
  <c r="H45" i="5161"/>
  <c r="H8" i="5161"/>
  <c r="C18" i="5161"/>
  <c r="H9" i="5161"/>
  <c r="H48" i="5161"/>
  <c r="H32" i="5161"/>
  <c r="C19" i="5161"/>
  <c r="H31" i="5161"/>
  <c r="H5" i="5161"/>
  <c r="H30" i="5161"/>
  <c r="H26" i="5161"/>
  <c r="H49" i="5161"/>
  <c r="H21" i="5161"/>
  <c r="C17" i="5161"/>
  <c r="B23" i="5161"/>
  <c r="H36" i="5161"/>
  <c r="H18" i="5161"/>
  <c r="H38" i="5161"/>
  <c r="H46" i="5161"/>
  <c r="H33" i="5161"/>
  <c r="H27" i="5161"/>
  <c r="H17" i="5161"/>
  <c r="H39" i="5161"/>
  <c r="H47" i="5161"/>
  <c r="H22" i="5161"/>
  <c r="H35" i="5161"/>
  <c r="H42" i="5161"/>
  <c r="H50" i="5161"/>
  <c r="H34" i="5161"/>
  <c r="H28" i="5161"/>
  <c r="H29" i="5161"/>
  <c r="H43" i="5161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<sst xmlns="http://schemas.openxmlformats.org/spreadsheetml/2006/main" count="3175" uniqueCount="228">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</sst>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全体!$K$2:$K$446</c:f>
              <c:numCache>
                <c:formatCode>General</c:formatCode>
                <c:ptCount val="4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</c:numCache>
            </c:numRef>
          </c:xVal>
          <c:yVal>
            <c:numRef>
              <c:f>全体!$L$2:$L$446</c:f>
              <c:numCache>
                <c:formatCode>\+0.0;\-0.0;\±0</c:formatCode>
                <c:ptCount val="445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0F-45B6-997B-D72D7DD11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-13.513513513513514</c:v>
                </c:pt>
                <c:pt idx="1">
                  <c:v>-9.1324200913242013</c:v>
                </c:pt>
                <c:pt idx="2">
                  <c:v>9.5923261390887298</c:v>
                </c:pt>
                <c:pt idx="3">
                  <c:v>13.227513227513228</c:v>
                </c:pt>
                <c:pt idx="4">
                  <c:v>-14.492753623188406</c:v>
                </c:pt>
                <c:pt idx="5">
                  <c:v>18.867924528301888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B-4D91-A865-48618CEDB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だいち!$L$2:$L$102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17-45A4-9DEE-E7891FF77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2337</c:v>
                </c:pt>
                <c:pt idx="1">
                  <c:v>2200</c:v>
                </c:pt>
                <c:pt idx="2">
                  <c:v>2406.3157894736842</c:v>
                </c:pt>
                <c:pt idx="3">
                  <c:v>2695.3488372093025</c:v>
                </c:pt>
                <c:pt idx="4">
                  <c:v>133.76623376623377</c:v>
                </c:pt>
                <c:pt idx="5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8-449B-8038-CABEC92F6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りくと!$L$2:$L$105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2F-42AA-83AD-96358397F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466.01941747572818</c:v>
                </c:pt>
                <c:pt idx="1">
                  <c:v>-2807.9207920792078</c:v>
                </c:pt>
                <c:pt idx="2">
                  <c:v>-736.73469387755097</c:v>
                </c:pt>
                <c:pt idx="3">
                  <c:v>561.36363636363637</c:v>
                </c:pt>
                <c:pt idx="4">
                  <c:v>43.75</c:v>
                </c:pt>
                <c:pt idx="5">
                  <c:v>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4F-44CA-A796-F529DDCB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B4-4350-A918-B1987FB13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-2462.2222222222222</c:v>
                </c:pt>
                <c:pt idx="1">
                  <c:v>-2724.4444444444443</c:v>
                </c:pt>
                <c:pt idx="2">
                  <c:v>-407.14285714285717</c:v>
                </c:pt>
                <c:pt idx="3">
                  <c:v>-5472.2222222222226</c:v>
                </c:pt>
                <c:pt idx="4">
                  <c:v>-737.5</c:v>
                </c:pt>
                <c:pt idx="5">
                  <c:v>-1563.3333333333333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5-4551-8D02-4D7D971EC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れんたろう!$L$2:$L$58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0F-4C4A-8B10-4DA4A94E2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-1628.5714285714287</c:v>
                </c:pt>
                <c:pt idx="1">
                  <c:v>1434.5454545454545</c:v>
                </c:pt>
                <c:pt idx="2">
                  <c:v>-22.641509433962263</c:v>
                </c:pt>
                <c:pt idx="3">
                  <c:v>2186.6666666666665</c:v>
                </c:pt>
                <c:pt idx="4">
                  <c:v>-1702.439024390244</c:v>
                </c:pt>
                <c:pt idx="5">
                  <c:v>1221.0526315789473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7D-4125-9029-6F0FC6C89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たかの!$L$2:$L$55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C6-4A13-8B19-9D13C79AD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505.66037735849056</c:v>
                </c:pt>
                <c:pt idx="1">
                  <c:v>226.41509433962264</c:v>
                </c:pt>
                <c:pt idx="2">
                  <c:v>-358.33333333333331</c:v>
                </c:pt>
                <c:pt idx="3">
                  <c:v>262.22222222222223</c:v>
                </c:pt>
                <c:pt idx="4">
                  <c:v>1381.8181818181818</c:v>
                </c:pt>
                <c:pt idx="5">
                  <c:v>-1105.1282051282051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9A-4D9F-A44B-C5683BF25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C1-41A8-92CB-51A8CDF1F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-2487.1794871794873</c:v>
                </c:pt>
                <c:pt idx="1">
                  <c:v>1597.4358974358975</c:v>
                </c:pt>
                <c:pt idx="2">
                  <c:v>-716.21621621621625</c:v>
                </c:pt>
                <c:pt idx="3">
                  <c:v>-4045.7142857142858</c:v>
                </c:pt>
                <c:pt idx="4">
                  <c:v>145.16129032258064</c:v>
                </c:pt>
                <c:pt idx="5">
                  <c:v>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86-4275-8270-E2FCB0306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まっつん!$L$2:$L$29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3-4E30-9899-0FC50E046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614.81481481481478</c:v>
                </c:pt>
                <c:pt idx="1">
                  <c:v>1072</c:v>
                </c:pt>
                <c:pt idx="2">
                  <c:v>-1213.0434782608695</c:v>
                </c:pt>
                <c:pt idx="3">
                  <c:v>-147.82608695652175</c:v>
                </c:pt>
                <c:pt idx="4">
                  <c:v>-1047.6190476190477</c:v>
                </c:pt>
                <c:pt idx="5">
                  <c:v>55.555555555555557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0A-4F21-B586-B7B32B3B1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A3-4470-9A01-A4E31718C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61-4790-BB89-B910AAA51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いっしー!$L$2:$L$12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BB-4DC3-92DE-564AAD57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-1860</c:v>
                </c:pt>
                <c:pt idx="1">
                  <c:v>-2160</c:v>
                </c:pt>
                <c:pt idx="2">
                  <c:v>-990</c:v>
                </c:pt>
                <c:pt idx="3">
                  <c:v>-5388.8888888888887</c:v>
                </c:pt>
                <c:pt idx="4">
                  <c:v>1077.7777777777778</c:v>
                </c:pt>
                <c:pt idx="5">
                  <c:v>-5400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E4-451F-9C88-E59A4255D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ほたに!$L$2:$L$8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F7-4F8E-A5BF-1C5263763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-4333.333333333333</c:v>
                </c:pt>
                <c:pt idx="1">
                  <c:v>2466.6666666666665</c:v>
                </c:pt>
                <c:pt idx="2">
                  <c:v>-4433.333333333333</c:v>
                </c:pt>
                <c:pt idx="3">
                  <c:v>-1633.3333333333333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8A-4B5D-9C36-C9EABD4CE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B7-4ECC-831E-B78E1AC97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65-4026-BDA8-841FE3A9D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61-4E3E-8245-F274AB4C6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5A-4F3E-8761-2B6EC00DB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やがさき2!$B$1:$B$2</c:f>
              <c:strCache>
                <c:ptCount val="2"/>
                <c:pt idx="0">
                  <c:v>やがさき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842170943040400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やがさき2!$C$1:$C$2</c:f>
              <c:strCache>
                <c:ptCount val="2"/>
                <c:pt idx="0">
                  <c:v>やがさき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やがさき2!$C$3:$C$4</c:f>
              <c:numCache>
                <c:formatCode>\+0.0;\-0.0;\±0</c:formatCode>
                <c:ptCount val="2"/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401285907748650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やがさき2!$D$1:$D$2</c:f>
              <c:strCache>
                <c:ptCount val="2"/>
                <c:pt idx="0">
                  <c:v>やがさき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やがさき2!$D$3:$D$4</c:f>
              <c:numCache>
                <c:formatCode>0.00\ "位"</c:formatCode>
                <c:ptCount val="2"/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やがさき2!$E$1:$E$2</c:f>
              <c:strCache>
                <c:ptCount val="2"/>
                <c:pt idx="0">
                  <c:v>やがさき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やがさき2!$F$1:$F$2</c:f>
              <c:strCache>
                <c:ptCount val="2"/>
                <c:pt idx="0">
                  <c:v>やがさき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やがさき2!$F$3:$F$4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やがさき2!$G$1:$G$2</c:f>
              <c:strCache>
                <c:ptCount val="2"/>
                <c:pt idx="0">
                  <c:v>やがさき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やがさき2!$G$3:$G$4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80544327674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やがさき2!$H$1:$H$2</c:f>
              <c:strCache>
                <c:ptCount val="2"/>
                <c:pt idx="0">
                  <c:v>やがさき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やがさき2!$H$3:$H$4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8148746968472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やがさき2!$I$1:$I$2</c:f>
              <c:strCache>
                <c:ptCount val="2"/>
                <c:pt idx="0">
                  <c:v>やがさき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やがさき2!$I$3:$I$4</c:f>
              <c:numCache>
                <c:formatCode>0</c:formatCode>
                <c:ptCount val="2"/>
                <c:pt idx="1">
                  <c:v>8666.6666666666661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11.78571428571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やがさき2!$J$1:$J$2</c:f>
              <c:strCache>
                <c:ptCount val="2"/>
                <c:pt idx="0">
                  <c:v>やがさき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やがさき2!$J$3:$J$4</c:f>
              <c:numCache>
                <c:formatCode>0</c:formatCode>
                <c:ptCount val="2"/>
                <c:pt idx="1">
                  <c:v>-14000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67.46794871794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やがさき2!$K$1:$K$2</c:f>
              <c:strCache>
                <c:ptCount val="2"/>
                <c:pt idx="0">
                  <c:v>やがさき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360360360360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やがさき2!$L$1:$L$2</c:f>
              <c:strCache>
                <c:ptCount val="2"/>
                <c:pt idx="0">
                  <c:v>やがさき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360360360360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やがさき2!$M$1:$M$2</c:f>
              <c:strCache>
                <c:ptCount val="2"/>
                <c:pt idx="0">
                  <c:v>やがさき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やがさき2!$M$3:$M$4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2702775532201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やがさき2!$N$1:$N$2</c:f>
              <c:strCache>
                <c:ptCount val="2"/>
                <c:pt idx="0">
                  <c:v>やがさき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やがさき2!$N$3:$N$4</c:f>
              <c:numCache>
                <c:formatCode>0.0%</c:formatCode>
                <c:ptCount val="2"/>
                <c:pt idx="1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2341686876852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やがさき2!$O$1:$O$2</c:f>
              <c:strCache>
                <c:ptCount val="2"/>
                <c:pt idx="0">
                  <c:v>やがさき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やがさき2!$O$3:$O$4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6837944664031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やがさき2!$P$1:$P$2</c:f>
              <c:strCache>
                <c:ptCount val="2"/>
                <c:pt idx="0">
                  <c:v>やがさき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やがさき2!$P$3:$P$4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3248730964466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やがさき2!$Q$1:$Q$2</c:f>
              <c:strCache>
                <c:ptCount val="2"/>
                <c:pt idx="0">
                  <c:v>やがさき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やがさき2!$Q$3:$Q$4</c:f>
              <c:numCache>
                <c:formatCode>0.0%</c:formatCode>
                <c:ptCount val="2"/>
                <c:pt idx="1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5714285714285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6501E40-DE86-4E7C-A981-9A7ACF7893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E41D524-7EF8-4DE5-A6DC-2A4CF9B575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45A0C2B-D24B-477E-9591-BFD2166220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ACCB2DD-95E8-4138-8DEB-56D629D8F3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E1081A6-5C1B-42A3-BBF1-15FC8ECA1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0CBF2D8-F888-4653-A3AC-993865BE36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3A91B97-8540-4D6D-8661-576BA4E8C6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4C48A6B-0220-4528-BC11-046B94ED2D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7228B7F-BCB2-49B6-9A94-A1293C081D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1AE32FD-0F74-4B48-B44E-16A7072759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698FE95-BDEA-4F07-B7AC-C146A917B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804F8D1-B915-446E-BBB2-B3DFC6A56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D6FAEE5-6348-4D81-92B6-B4821FB52D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A8299B0-0448-421C-AFA2-E621ACFD70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C1C56CC-F7BB-4B84-BD9D-50FD9830F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C383598-CEF6-4A2A-8485-B53BC8EC1D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409E47F-476B-49D7-A8E7-074D05014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D064A75-FE6E-4328-8D8D-15E18DE934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7E7B87B-B3A4-4967-81FF-CDD3C541E3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A0D43CD-B72F-4597-86B0-4E6EB460C0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1BB33FC-821B-4D68-BB47-927CA12FBF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0418684-948D-4FB0-B704-2D8E903523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27F6381-7DBD-49D6-B6CE-F1BAA06884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C08755D-6E3A-42B2-9679-23ADBD0D61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47C5EB8-17DA-4F30-95F9-E9706A89E6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D339199-140B-432F-BEC8-292E5FB64C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40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43595.036122685182</v>
      </c>
      <c r="C32" s="30" t="s">
        <v>130</v>
      </c>
      <c r="D32" s="30" t="s">
        <v>131</v>
      </c>
    </row>
    <row r="33" spans="1:7" x14ac:dyDescent="0.4">
      <c r="A33" s="30" t="s">
        <v>218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7" x14ac:dyDescent="0.4">
      <c r="A34" s="30" t="s">
        <v>219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7" x14ac:dyDescent="0.4">
      <c r="A35" s="30" t="s">
        <v>220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7" x14ac:dyDescent="0.4">
      <c r="A36" s="30" t="s">
        <v>221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7" x14ac:dyDescent="0.4">
      <c r="A37" s="30" t="s">
        <v>222</v>
      </c>
      <c r="B37" s="31">
        <v>43599.989502314813</v>
      </c>
      <c r="C37" s="30" t="s">
        <v>130</v>
      </c>
      <c r="D37" s="30" t="s">
        <v>131</v>
      </c>
    </row>
    <row r="38" spans="1:7" x14ac:dyDescent="0.4">
      <c r="A38" s="30" t="s">
        <v>223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7" x14ac:dyDescent="0.4">
      <c r="A39" s="30" t="s">
        <v>226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7" x14ac:dyDescent="0.4">
      <c r="A40" s="30" t="s">
        <v>227</v>
      </c>
      <c r="B40" s="31">
        <v>43603.060069444444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  <row r="12" spans="1:1" x14ac:dyDescent="0.4">
      <c r="A12" t="s">
        <v>224</v>
      </c>
    </row>
    <row r="13" spans="1:1" x14ac:dyDescent="0.4">
      <c r="A13" t="s">
        <v>225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0.61446393014453837</v>
      </c>
      <c r="G2" s="159"/>
      <c r="H2" s="158">
        <v>0.51277752284577849</v>
      </c>
      <c r="I2" s="159"/>
      <c r="J2" s="158">
        <v>0.57846358594274361</v>
      </c>
      <c r="K2" s="159"/>
      <c r="L2" s="158">
        <v>0.3945733948668631</v>
      </c>
      <c r="M2" s="159"/>
      <c r="N2" s="158">
        <v>0.46696218713912019</v>
      </c>
      <c r="O2" s="159"/>
      <c r="P2" s="158">
        <v>0.56829603745764323</v>
      </c>
      <c r="Q2" s="159"/>
      <c r="R2" s="158">
        <v>8.95701336115611E-3</v>
      </c>
      <c r="S2" s="159"/>
      <c r="T2" s="158">
        <v>0.3472743417783633</v>
      </c>
      <c r="U2" s="159"/>
      <c r="V2" s="158">
        <v>0.67782720552881748</v>
      </c>
      <c r="W2" s="159"/>
      <c r="X2" s="158">
        <v>0.9149260228996603</v>
      </c>
      <c r="Y2" s="159"/>
      <c r="Z2" s="158">
        <v>-0.13921931132812274</v>
      </c>
      <c r="AA2" s="159"/>
      <c r="AB2" s="158">
        <v>5.4587156499945992E-2</v>
      </c>
      <c r="AC2" s="159"/>
      <c r="AD2" s="158">
        <v>3.2290301748262099E-2</v>
      </c>
      <c r="AE2" s="159"/>
      <c r="AF2" s="158">
        <v>-0.38425615305705629</v>
      </c>
      <c r="AG2" s="159"/>
      <c r="AH2" s="158">
        <v>0.67319888147781959</v>
      </c>
      <c r="AI2" s="159"/>
    </row>
    <row r="3" spans="1:35" x14ac:dyDescent="0.4">
      <c r="A3" s="74">
        <v>1</v>
      </c>
      <c r="B3" s="75" t="s">
        <v>127</v>
      </c>
      <c r="C3" s="76">
        <v>1622.2000000000012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0.18</v>
      </c>
      <c r="X3" s="77" t="s">
        <v>225</v>
      </c>
      <c r="Y3" s="80">
        <v>0.375</v>
      </c>
      <c r="Z3" s="77" t="s">
        <v>172</v>
      </c>
      <c r="AA3" s="80">
        <v>0.29912663755458513</v>
      </c>
      <c r="AB3" s="77" t="s">
        <v>225</v>
      </c>
      <c r="AC3" s="80">
        <v>1</v>
      </c>
      <c r="AD3" s="77" t="s">
        <v>127</v>
      </c>
      <c r="AE3" s="80">
        <v>0.52173913043478259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172</v>
      </c>
      <c r="C4" s="84">
        <v>65.199999999999989</v>
      </c>
      <c r="D4" s="85" t="s">
        <v>127</v>
      </c>
      <c r="E4" s="97">
        <v>16.222000000000012</v>
      </c>
      <c r="F4" s="85" t="s">
        <v>127</v>
      </c>
      <c r="G4" s="86">
        <v>1.67</v>
      </c>
      <c r="H4" s="85" t="s">
        <v>127</v>
      </c>
      <c r="I4" s="87">
        <v>0.53</v>
      </c>
      <c r="J4" s="85" t="s">
        <v>224</v>
      </c>
      <c r="K4" s="87">
        <v>0</v>
      </c>
      <c r="L4" s="85" t="s">
        <v>127</v>
      </c>
      <c r="M4" s="88">
        <v>0.37132352941176472</v>
      </c>
      <c r="N4" s="85" t="s">
        <v>185</v>
      </c>
      <c r="O4" s="88">
        <v>0.10526315789473684</v>
      </c>
      <c r="P4" s="85" t="s">
        <v>171</v>
      </c>
      <c r="Q4" s="89">
        <v>9560.6557377049176</v>
      </c>
      <c r="R4" s="85" t="s">
        <v>202</v>
      </c>
      <c r="S4" s="89">
        <v>-6563.636363636364</v>
      </c>
      <c r="T4" s="85" t="s">
        <v>202</v>
      </c>
      <c r="U4" s="87">
        <v>0</v>
      </c>
      <c r="V4" s="85" t="s">
        <v>171</v>
      </c>
      <c r="W4" s="87">
        <v>0.125</v>
      </c>
      <c r="X4" s="85" t="s">
        <v>127</v>
      </c>
      <c r="Y4" s="88">
        <v>0.32965686274509803</v>
      </c>
      <c r="Z4" s="85" t="s">
        <v>173</v>
      </c>
      <c r="AA4" s="88">
        <v>0.24853801169590642</v>
      </c>
      <c r="AB4" s="85" t="s">
        <v>177</v>
      </c>
      <c r="AC4" s="88">
        <v>0.6875</v>
      </c>
      <c r="AD4" s="85" t="s">
        <v>185</v>
      </c>
      <c r="AE4" s="88">
        <v>0.5</v>
      </c>
      <c r="AF4" s="85" t="s">
        <v>202</v>
      </c>
      <c r="AG4" s="88">
        <v>0.5625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224</v>
      </c>
      <c r="E5" s="97">
        <v>13.3</v>
      </c>
      <c r="F5" s="85" t="s">
        <v>177</v>
      </c>
      <c r="G5" s="86">
        <v>1.962962962962963</v>
      </c>
      <c r="H5" s="85" t="s">
        <v>177</v>
      </c>
      <c r="I5" s="87">
        <v>0.37037037037037035</v>
      </c>
      <c r="J5" s="85" t="s">
        <v>202</v>
      </c>
      <c r="K5" s="87">
        <v>0.16666666666666666</v>
      </c>
      <c r="L5" s="85" t="s">
        <v>172</v>
      </c>
      <c r="M5" s="88">
        <v>0.36899563318777295</v>
      </c>
      <c r="N5" s="85" t="s">
        <v>172</v>
      </c>
      <c r="O5" s="88">
        <v>0.1331877729257642</v>
      </c>
      <c r="P5" s="85" t="s">
        <v>128</v>
      </c>
      <c r="Q5" s="89">
        <v>9169.2307692307695</v>
      </c>
      <c r="R5" s="85" t="s">
        <v>177</v>
      </c>
      <c r="S5" s="89">
        <v>-7292.3076923076924</v>
      </c>
      <c r="T5" s="85" t="s">
        <v>224</v>
      </c>
      <c r="U5" s="87">
        <v>0</v>
      </c>
      <c r="V5" s="85" t="s">
        <v>172</v>
      </c>
      <c r="W5" s="87">
        <v>0.11320754716981132</v>
      </c>
      <c r="X5" s="85" t="s">
        <v>128</v>
      </c>
      <c r="Y5" s="88">
        <v>0.28919860627177701</v>
      </c>
      <c r="Z5" s="85" t="s">
        <v>202</v>
      </c>
      <c r="AA5" s="88">
        <v>0.24590163934426229</v>
      </c>
      <c r="AB5" s="85" t="s">
        <v>202</v>
      </c>
      <c r="AC5" s="88">
        <v>0.66666666666666663</v>
      </c>
      <c r="AD5" s="85" t="s">
        <v>186</v>
      </c>
      <c r="AE5" s="88">
        <v>0.47058823529411764</v>
      </c>
      <c r="AF5" s="85" t="s">
        <v>186</v>
      </c>
      <c r="AG5" s="88">
        <v>0.55000000000000004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224</v>
      </c>
      <c r="C6" s="84">
        <v>13.3</v>
      </c>
      <c r="D6" s="85" t="s">
        <v>172</v>
      </c>
      <c r="E6" s="97">
        <v>1.2301886792452827</v>
      </c>
      <c r="F6" s="85" t="s">
        <v>145</v>
      </c>
      <c r="G6" s="86">
        <v>2</v>
      </c>
      <c r="H6" s="85" t="s">
        <v>145</v>
      </c>
      <c r="I6" s="87">
        <v>0.33333333333333331</v>
      </c>
      <c r="J6" s="85" t="s">
        <v>127</v>
      </c>
      <c r="K6" s="87">
        <v>0.2</v>
      </c>
      <c r="L6" s="85" t="s">
        <v>145</v>
      </c>
      <c r="M6" s="88">
        <v>0.3018054432767448</v>
      </c>
      <c r="N6" s="85" t="s">
        <v>127</v>
      </c>
      <c r="O6" s="88">
        <v>0.14950980392156862</v>
      </c>
      <c r="P6" s="85" t="s">
        <v>127</v>
      </c>
      <c r="Q6" s="89">
        <v>9000.6600660066015</v>
      </c>
      <c r="R6" s="85" t="s">
        <v>186</v>
      </c>
      <c r="S6" s="89">
        <v>-7686.95652173913</v>
      </c>
      <c r="T6" s="85" t="s">
        <v>225</v>
      </c>
      <c r="U6" s="87">
        <v>0</v>
      </c>
      <c r="V6" s="85" t="s">
        <v>145</v>
      </c>
      <c r="W6" s="87">
        <v>0.1036036036036036</v>
      </c>
      <c r="X6" s="85" t="s">
        <v>171</v>
      </c>
      <c r="Y6" s="88">
        <v>0.27505330490405117</v>
      </c>
      <c r="Z6" s="85" t="s">
        <v>127</v>
      </c>
      <c r="AA6" s="88">
        <v>0.22549019607843138</v>
      </c>
      <c r="AB6" s="85" t="s">
        <v>127</v>
      </c>
      <c r="AC6" s="88">
        <v>0.60966542750929364</v>
      </c>
      <c r="AD6" s="85" t="s">
        <v>172</v>
      </c>
      <c r="AE6" s="88">
        <v>0.43065693430656932</v>
      </c>
      <c r="AF6" s="85" t="s">
        <v>173</v>
      </c>
      <c r="AG6" s="88">
        <v>0.5145631067961165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145</v>
      </c>
      <c r="C7" s="84">
        <v>2.8421709430404007E-14</v>
      </c>
      <c r="D7" s="85" t="s">
        <v>145</v>
      </c>
      <c r="E7" s="97">
        <v>6.4012859077486503E-17</v>
      </c>
      <c r="F7" s="85" t="s">
        <v>202</v>
      </c>
      <c r="G7" s="86">
        <v>2</v>
      </c>
      <c r="H7" s="85" t="s">
        <v>186</v>
      </c>
      <c r="I7" s="87">
        <v>0.3</v>
      </c>
      <c r="J7" s="85" t="s">
        <v>172</v>
      </c>
      <c r="K7" s="87">
        <v>0.32075471698113206</v>
      </c>
      <c r="L7" s="85" t="s">
        <v>173</v>
      </c>
      <c r="M7" s="88">
        <v>0.30116959064327486</v>
      </c>
      <c r="N7" s="85" t="s">
        <v>171</v>
      </c>
      <c r="O7" s="88">
        <v>0.15991471215351813</v>
      </c>
      <c r="P7" s="85" t="s">
        <v>129</v>
      </c>
      <c r="Q7" s="89">
        <v>8865.8227848101269</v>
      </c>
      <c r="R7" s="85" t="s">
        <v>128</v>
      </c>
      <c r="S7" s="89">
        <v>-7688.666666666667</v>
      </c>
      <c r="T7" s="85" t="s">
        <v>171</v>
      </c>
      <c r="U7" s="87">
        <v>5.3571428571428568E-2</v>
      </c>
      <c r="V7" s="85" t="s">
        <v>129</v>
      </c>
      <c r="W7" s="87">
        <v>8.8888888888888892E-2</v>
      </c>
      <c r="X7" s="85" t="s">
        <v>145</v>
      </c>
      <c r="Y7" s="88">
        <v>0.27270277553220157</v>
      </c>
      <c r="Z7" s="85" t="s">
        <v>177</v>
      </c>
      <c r="AA7" s="88">
        <v>0.22374429223744291</v>
      </c>
      <c r="AB7" s="85" t="s">
        <v>173</v>
      </c>
      <c r="AC7" s="88">
        <v>0.6</v>
      </c>
      <c r="AD7" s="85" t="s">
        <v>177</v>
      </c>
      <c r="AE7" s="88">
        <v>0.42857142857142855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202</v>
      </c>
      <c r="C8" s="84">
        <v>-16.300000000000004</v>
      </c>
      <c r="D8" s="85" t="s">
        <v>171</v>
      </c>
      <c r="E8" s="97">
        <v>-0.83035714285714302</v>
      </c>
      <c r="F8" s="85" t="s">
        <v>224</v>
      </c>
      <c r="G8" s="86">
        <v>2</v>
      </c>
      <c r="H8" s="85" t="s">
        <v>172</v>
      </c>
      <c r="I8" s="87">
        <v>0.28301886792452829</v>
      </c>
      <c r="J8" s="85" t="s">
        <v>173</v>
      </c>
      <c r="K8" s="87">
        <v>0.33333333333333331</v>
      </c>
      <c r="L8" s="85" t="s">
        <v>177</v>
      </c>
      <c r="M8" s="88">
        <v>0.29223744292237441</v>
      </c>
      <c r="N8" s="85" t="s">
        <v>145</v>
      </c>
      <c r="O8" s="88">
        <v>0.16814874696847212</v>
      </c>
      <c r="P8" s="85" t="s">
        <v>225</v>
      </c>
      <c r="Q8" s="89">
        <v>8666.6666666666661</v>
      </c>
      <c r="R8" s="85" t="s">
        <v>173</v>
      </c>
      <c r="S8" s="89">
        <v>-7690.7692307692305</v>
      </c>
      <c r="T8" s="85" t="s">
        <v>172</v>
      </c>
      <c r="U8" s="87">
        <v>5.6603773584905662E-2</v>
      </c>
      <c r="V8" s="85" t="s">
        <v>128</v>
      </c>
      <c r="W8" s="87">
        <v>7.7669902912621352E-2</v>
      </c>
      <c r="X8" s="85" t="s">
        <v>185</v>
      </c>
      <c r="Y8" s="88">
        <v>0.26315789473684209</v>
      </c>
      <c r="Z8" s="85" t="s">
        <v>145</v>
      </c>
      <c r="AA8" s="88">
        <v>0.21234168687685259</v>
      </c>
      <c r="AB8" s="85" t="s">
        <v>185</v>
      </c>
      <c r="AC8" s="88">
        <v>0.6</v>
      </c>
      <c r="AD8" s="85" t="s">
        <v>145</v>
      </c>
      <c r="AE8" s="88">
        <v>0.38324873096446699</v>
      </c>
      <c r="AF8" s="85" t="s">
        <v>129</v>
      </c>
      <c r="AG8" s="88">
        <v>0.49367088607594939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177</v>
      </c>
      <c r="C9" s="84">
        <v>-27.099999999999994</v>
      </c>
      <c r="D9" s="85" t="s">
        <v>177</v>
      </c>
      <c r="E9" s="97">
        <v>-1.0037037037037035</v>
      </c>
      <c r="F9" s="85" t="s">
        <v>172</v>
      </c>
      <c r="G9" s="86">
        <v>2.0377358490566038</v>
      </c>
      <c r="H9" s="85" t="s">
        <v>173</v>
      </c>
      <c r="I9" s="87">
        <v>0.28205128205128205</v>
      </c>
      <c r="J9" s="85" t="s">
        <v>177</v>
      </c>
      <c r="K9" s="87">
        <v>0.33333333333333331</v>
      </c>
      <c r="L9" s="85" t="s">
        <v>128</v>
      </c>
      <c r="M9" s="88">
        <v>0.27177700348432055</v>
      </c>
      <c r="N9" s="85" t="s">
        <v>128</v>
      </c>
      <c r="O9" s="88">
        <v>0.17421602787456447</v>
      </c>
      <c r="P9" s="85" t="s">
        <v>145</v>
      </c>
      <c r="Q9" s="89">
        <v>8411.7857142857138</v>
      </c>
      <c r="R9" s="85" t="s">
        <v>171</v>
      </c>
      <c r="S9" s="89">
        <v>-7709.333333333333</v>
      </c>
      <c r="T9" s="85" t="s">
        <v>127</v>
      </c>
      <c r="U9" s="87">
        <v>7.0000000000000007E-2</v>
      </c>
      <c r="V9" s="85" t="s">
        <v>173</v>
      </c>
      <c r="W9" s="87">
        <v>5.128205128205128E-2</v>
      </c>
      <c r="X9" s="85" t="s">
        <v>129</v>
      </c>
      <c r="Y9" s="88">
        <v>0.25555555555555554</v>
      </c>
      <c r="Z9" s="85" t="s">
        <v>185</v>
      </c>
      <c r="AA9" s="88">
        <v>0.21052631578947367</v>
      </c>
      <c r="AB9" s="85" t="s">
        <v>145</v>
      </c>
      <c r="AC9" s="88">
        <v>0.59683794466403162</v>
      </c>
      <c r="AD9" s="85" t="s">
        <v>173</v>
      </c>
      <c r="AE9" s="88">
        <v>0.3411764705882353</v>
      </c>
      <c r="AF9" s="85" t="s">
        <v>145</v>
      </c>
      <c r="AG9" s="88">
        <v>0.43571428571428572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225</v>
      </c>
      <c r="C10" s="84">
        <v>-37</v>
      </c>
      <c r="D10" s="85" t="s">
        <v>202</v>
      </c>
      <c r="E10" s="97">
        <v>-2.7166666666666672</v>
      </c>
      <c r="F10" s="85" t="s">
        <v>173</v>
      </c>
      <c r="G10" s="86">
        <v>2.0512820512820511</v>
      </c>
      <c r="H10" s="85" t="s">
        <v>171</v>
      </c>
      <c r="I10" s="87">
        <v>0.26785714285714285</v>
      </c>
      <c r="J10" s="85" t="s">
        <v>145</v>
      </c>
      <c r="K10" s="87">
        <v>0.33333333333333331</v>
      </c>
      <c r="L10" s="85" t="s">
        <v>185</v>
      </c>
      <c r="M10" s="88">
        <v>0.26315789473684209</v>
      </c>
      <c r="N10" s="85" t="s">
        <v>177</v>
      </c>
      <c r="O10" s="88">
        <v>0.17808219178082191</v>
      </c>
      <c r="P10" s="85" t="s">
        <v>202</v>
      </c>
      <c r="Q10" s="89">
        <v>8043.75</v>
      </c>
      <c r="R10" s="85" t="s">
        <v>127</v>
      </c>
      <c r="S10" s="89">
        <v>-8029.5081967213118</v>
      </c>
      <c r="T10" s="85" t="s">
        <v>173</v>
      </c>
      <c r="U10" s="87">
        <v>0.10256410256410256</v>
      </c>
      <c r="V10" s="85" t="s">
        <v>177</v>
      </c>
      <c r="W10" s="87">
        <v>3.7037037037037035E-2</v>
      </c>
      <c r="X10" s="85" t="s">
        <v>202</v>
      </c>
      <c r="Y10" s="88">
        <v>0.24590163934426229</v>
      </c>
      <c r="Z10" s="85" t="s">
        <v>186</v>
      </c>
      <c r="AA10" s="88">
        <v>0.2</v>
      </c>
      <c r="AB10" s="85" t="s">
        <v>128</v>
      </c>
      <c r="AC10" s="88">
        <v>0.59437751004016059</v>
      </c>
      <c r="AD10" s="85" t="s">
        <v>171</v>
      </c>
      <c r="AE10" s="88">
        <v>0.33333333333333331</v>
      </c>
      <c r="AF10" s="85" t="s">
        <v>128</v>
      </c>
      <c r="AG10" s="88">
        <v>0.43162393162393164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171</v>
      </c>
      <c r="C11" s="84">
        <v>-46.500000000000007</v>
      </c>
      <c r="D11" s="85" t="s">
        <v>128</v>
      </c>
      <c r="E11" s="97">
        <v>-4.1601941747572821</v>
      </c>
      <c r="F11" s="85" t="s">
        <v>171</v>
      </c>
      <c r="G11" s="86">
        <v>2.0892857142857144</v>
      </c>
      <c r="H11" s="85" t="s">
        <v>128</v>
      </c>
      <c r="I11" s="87">
        <v>0.26213592233009708</v>
      </c>
      <c r="J11" s="85" t="s">
        <v>171</v>
      </c>
      <c r="K11" s="87">
        <v>0.35714285714285715</v>
      </c>
      <c r="L11" s="85" t="s">
        <v>202</v>
      </c>
      <c r="M11" s="88">
        <v>0.26229508196721313</v>
      </c>
      <c r="N11" s="85" t="s">
        <v>202</v>
      </c>
      <c r="O11" s="88">
        <v>0.18032786885245902</v>
      </c>
      <c r="P11" s="85" t="s">
        <v>177</v>
      </c>
      <c r="Q11" s="89">
        <v>7904.6875</v>
      </c>
      <c r="R11" s="85" t="s">
        <v>145</v>
      </c>
      <c r="S11" s="89">
        <v>-8067.4679487179483</v>
      </c>
      <c r="T11" s="85" t="s">
        <v>145</v>
      </c>
      <c r="U11" s="87">
        <v>0.1036036036036036</v>
      </c>
      <c r="V11" s="85" t="s">
        <v>186</v>
      </c>
      <c r="W11" s="87">
        <v>0</v>
      </c>
      <c r="X11" s="85" t="s">
        <v>173</v>
      </c>
      <c r="Y11" s="88">
        <v>0.23391812865497075</v>
      </c>
      <c r="Z11" s="85" t="s">
        <v>128</v>
      </c>
      <c r="AA11" s="88">
        <v>0.18234610917537747</v>
      </c>
      <c r="AB11" s="85" t="s">
        <v>172</v>
      </c>
      <c r="AC11" s="88">
        <v>0.59405940594059403</v>
      </c>
      <c r="AD11" s="85" t="s">
        <v>202</v>
      </c>
      <c r="AE11" s="88">
        <v>0.33333333333333331</v>
      </c>
      <c r="AF11" s="85" t="s">
        <v>172</v>
      </c>
      <c r="AG11" s="88">
        <v>0.42011834319526625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-197.5</v>
      </c>
      <c r="D12" s="85" t="s">
        <v>173</v>
      </c>
      <c r="E12" s="97">
        <v>-5.7410256410256411</v>
      </c>
      <c r="F12" s="85" t="s">
        <v>128</v>
      </c>
      <c r="G12" s="86">
        <v>2.0970873786407767</v>
      </c>
      <c r="H12" s="85" t="s">
        <v>129</v>
      </c>
      <c r="I12" s="87">
        <v>0.24444444444444444</v>
      </c>
      <c r="J12" s="85" t="s">
        <v>128</v>
      </c>
      <c r="K12" s="87">
        <v>0.35922330097087379</v>
      </c>
      <c r="L12" s="85" t="s">
        <v>171</v>
      </c>
      <c r="M12" s="88">
        <v>0.26012793176972282</v>
      </c>
      <c r="N12" s="85" t="s">
        <v>173</v>
      </c>
      <c r="O12" s="88">
        <v>0.19005847953216373</v>
      </c>
      <c r="P12" s="85" t="s">
        <v>185</v>
      </c>
      <c r="Q12" s="89">
        <v>7860</v>
      </c>
      <c r="R12" s="85" t="s">
        <v>172</v>
      </c>
      <c r="S12" s="89">
        <v>-9157.377049180328</v>
      </c>
      <c r="T12" s="85" t="s">
        <v>128</v>
      </c>
      <c r="U12" s="87">
        <v>0.13592233009708737</v>
      </c>
      <c r="V12" s="85" t="s">
        <v>185</v>
      </c>
      <c r="W12" s="87">
        <v>0</v>
      </c>
      <c r="X12" s="85" t="s">
        <v>224</v>
      </c>
      <c r="Y12" s="88">
        <v>0.23076923076923078</v>
      </c>
      <c r="Z12" s="85" t="s">
        <v>171</v>
      </c>
      <c r="AA12" s="88">
        <v>0.17270788912579957</v>
      </c>
      <c r="AB12" s="85" t="s">
        <v>171</v>
      </c>
      <c r="AC12" s="88">
        <v>0.58139534883720934</v>
      </c>
      <c r="AD12" s="85" t="s">
        <v>128</v>
      </c>
      <c r="AE12" s="88">
        <v>0.28025477707006369</v>
      </c>
      <c r="AF12" s="85" t="s">
        <v>127</v>
      </c>
      <c r="AG12" s="88">
        <v>0.41584158415841582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-223.9</v>
      </c>
      <c r="D13" s="85" t="s">
        <v>129</v>
      </c>
      <c r="E13" s="97">
        <v>-17.442222222222217</v>
      </c>
      <c r="F13" s="85" t="s">
        <v>129</v>
      </c>
      <c r="G13" s="86">
        <v>2.2888888888888888</v>
      </c>
      <c r="H13" s="85" t="s">
        <v>202</v>
      </c>
      <c r="I13" s="87">
        <v>0.16666666666666666</v>
      </c>
      <c r="J13" s="85" t="s">
        <v>129</v>
      </c>
      <c r="K13" s="87">
        <v>0.53333333333333333</v>
      </c>
      <c r="L13" s="85" t="s">
        <v>186</v>
      </c>
      <c r="M13" s="88">
        <v>0.23529411764705882</v>
      </c>
      <c r="N13" s="85" t="s">
        <v>129</v>
      </c>
      <c r="O13" s="88">
        <v>0.2</v>
      </c>
      <c r="P13" s="85" t="s">
        <v>186</v>
      </c>
      <c r="Q13" s="89">
        <v>7365</v>
      </c>
      <c r="R13" s="85" t="s">
        <v>129</v>
      </c>
      <c r="S13" s="89">
        <v>-9261.1111111111113</v>
      </c>
      <c r="T13" s="85" t="s">
        <v>129</v>
      </c>
      <c r="U13" s="87">
        <v>0.17777777777777778</v>
      </c>
      <c r="V13" s="85" t="s">
        <v>202</v>
      </c>
      <c r="W13" s="87">
        <v>0</v>
      </c>
      <c r="X13" s="85" t="s">
        <v>172</v>
      </c>
      <c r="Y13" s="88">
        <v>0.2205240174672489</v>
      </c>
      <c r="Z13" s="85" t="s">
        <v>129</v>
      </c>
      <c r="AA13" s="88">
        <v>0.15833333333333333</v>
      </c>
      <c r="AB13" s="85" t="s">
        <v>186</v>
      </c>
      <c r="AC13" s="88">
        <v>0.55555555555555558</v>
      </c>
      <c r="AD13" s="85" t="s">
        <v>129</v>
      </c>
      <c r="AE13" s="88">
        <v>0.19298245614035087</v>
      </c>
      <c r="AF13" s="85" t="s">
        <v>171</v>
      </c>
      <c r="AG13" s="88">
        <v>0.40163934426229508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-428.50000000000006</v>
      </c>
      <c r="D14" s="85" t="s">
        <v>186</v>
      </c>
      <c r="E14" s="97">
        <v>-19.75</v>
      </c>
      <c r="F14" s="85" t="s">
        <v>186</v>
      </c>
      <c r="G14" s="86">
        <v>2.2999999999999998</v>
      </c>
      <c r="H14" s="85" t="s">
        <v>224</v>
      </c>
      <c r="I14" s="87">
        <v>0</v>
      </c>
      <c r="J14" s="85" t="s">
        <v>186</v>
      </c>
      <c r="K14" s="87">
        <v>0.6</v>
      </c>
      <c r="L14" s="85" t="s">
        <v>129</v>
      </c>
      <c r="M14" s="88">
        <v>0.21944444444444444</v>
      </c>
      <c r="N14" s="85" t="s">
        <v>186</v>
      </c>
      <c r="O14" s="88">
        <v>0.27058823529411763</v>
      </c>
      <c r="P14" s="85" t="s">
        <v>173</v>
      </c>
      <c r="Q14" s="89">
        <v>6838.8349514563106</v>
      </c>
      <c r="R14" s="85" t="s">
        <v>224</v>
      </c>
      <c r="S14" s="89">
        <v>-12000</v>
      </c>
      <c r="T14" s="85" t="s">
        <v>177</v>
      </c>
      <c r="U14" s="87">
        <v>0.18518518518518517</v>
      </c>
      <c r="V14" s="85" t="s">
        <v>224</v>
      </c>
      <c r="W14" s="87">
        <v>0</v>
      </c>
      <c r="X14" s="85" t="s">
        <v>177</v>
      </c>
      <c r="Y14" s="88">
        <v>0.21917808219178081</v>
      </c>
      <c r="Z14" s="85" t="s">
        <v>225</v>
      </c>
      <c r="AA14" s="88">
        <v>0.125</v>
      </c>
      <c r="AB14" s="85" t="s">
        <v>129</v>
      </c>
      <c r="AC14" s="88">
        <v>0.53260869565217395</v>
      </c>
      <c r="AD14" s="85" t="s">
        <v>224</v>
      </c>
      <c r="AE14" s="88">
        <v>0</v>
      </c>
      <c r="AF14" s="85" t="s">
        <v>177</v>
      </c>
      <c r="AG14" s="88">
        <v>0.390625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-784.89999999999975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6523.0769230769229</v>
      </c>
      <c r="R15" s="85" t="s">
        <v>225</v>
      </c>
      <c r="S15" s="89">
        <v>-14000</v>
      </c>
      <c r="T15" s="85" t="s">
        <v>186</v>
      </c>
      <c r="U15" s="87">
        <v>0.2</v>
      </c>
      <c r="V15" s="85" t="s">
        <v>225</v>
      </c>
      <c r="W15" s="87">
        <v>0</v>
      </c>
      <c r="X15" s="85" t="s">
        <v>186</v>
      </c>
      <c r="Y15" s="88">
        <v>0.21176470588235294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D82A3-F196-4738-86EA-CE27EA9D69B4}">
  <sheetPr codeName="Sheet4"/>
  <dimension ref="A1:Q44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444</v>
      </c>
      <c r="C2" s="147"/>
      <c r="E2" s="62" t="s">
        <v>67</v>
      </c>
      <c r="F2" s="59" t="s">
        <v>23</v>
      </c>
      <c r="G2" s="46">
        <v>814</v>
      </c>
      <c r="H2" s="132">
        <f>IF(B$17=0,0,G2/B$17)</f>
        <v>0.72678571428571426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-13.513513513513514</v>
      </c>
      <c r="P2" s="118">
        <v>444</v>
      </c>
      <c r="Q2" s="102">
        <v>-6000</v>
      </c>
    </row>
    <row r="3" spans="1:17" x14ac:dyDescent="0.4">
      <c r="A3" s="55" t="s">
        <v>8</v>
      </c>
      <c r="B3" s="148">
        <v>3711</v>
      </c>
      <c r="C3" s="149"/>
      <c r="E3" s="63" t="s">
        <v>65</v>
      </c>
      <c r="F3" s="60" t="s">
        <v>21</v>
      </c>
      <c r="G3" s="47">
        <v>578</v>
      </c>
      <c r="H3" s="133">
        <f>IF(B$17=0,0,G3/B$17)</f>
        <v>0.51607142857142863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-9.1324200913242013</v>
      </c>
      <c r="P3" s="119">
        <v>438</v>
      </c>
      <c r="Q3" s="103">
        <v>-4000</v>
      </c>
    </row>
    <row r="4" spans="1:17" x14ac:dyDescent="0.4">
      <c r="A4" s="55" t="s">
        <v>6</v>
      </c>
      <c r="B4" s="150">
        <v>2.8421709430404007E-14</v>
      </c>
      <c r="C4" s="151"/>
      <c r="E4" s="63" t="s">
        <v>73</v>
      </c>
      <c r="F4" s="60" t="s">
        <v>28</v>
      </c>
      <c r="G4" s="47">
        <v>567</v>
      </c>
      <c r="H4" s="133">
        <f>IF(B$17=0,0,G4/B$17)</f>
        <v>0.50624999999999998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9.5923261390887298</v>
      </c>
      <c r="P4" s="119">
        <v>417</v>
      </c>
      <c r="Q4" s="103">
        <v>4000</v>
      </c>
    </row>
    <row r="5" spans="1:17" x14ac:dyDescent="0.4">
      <c r="A5" s="55" t="s">
        <v>7</v>
      </c>
      <c r="B5" s="152">
        <f>IF(B$2=0,0,B$4/B$2)</f>
        <v>6.4012859077486503E-17</v>
      </c>
      <c r="C5" s="153"/>
      <c r="E5" s="63" t="s">
        <v>181</v>
      </c>
      <c r="F5" s="60" t="s">
        <v>182</v>
      </c>
      <c r="G5" s="47">
        <v>449</v>
      </c>
      <c r="H5" s="133">
        <f>IF(B$17=0,0,G5/B$17)</f>
        <v>0.40089285714285716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13.227513227513228</v>
      </c>
      <c r="P5" s="119">
        <v>378</v>
      </c>
      <c r="Q5" s="103">
        <v>5000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68</v>
      </c>
      <c r="F6" s="60" t="s">
        <v>24</v>
      </c>
      <c r="G6" s="47">
        <v>349</v>
      </c>
      <c r="H6" s="133">
        <f>IF(B$17=0,0,G6/B$17)</f>
        <v>0.31160714285714286</v>
      </c>
      <c r="I6" s="94">
        <v>9</v>
      </c>
      <c r="K6" s="38">
        <v>4</v>
      </c>
      <c r="L6" s="99">
        <v>2.2000000000000002</v>
      </c>
      <c r="N6" s="115" t="s">
        <v>136</v>
      </c>
      <c r="O6" s="122">
        <f t="shared" si="0"/>
        <v>-14.492753623188406</v>
      </c>
      <c r="P6" s="119">
        <v>345</v>
      </c>
      <c r="Q6" s="103">
        <v>-5000</v>
      </c>
    </row>
    <row r="7" spans="1:17" x14ac:dyDescent="0.4">
      <c r="A7" s="55" t="s">
        <v>2</v>
      </c>
      <c r="B7" s="47">
        <v>148</v>
      </c>
      <c r="C7" s="39">
        <f>IF(B$2=0,0,B7/B$2)</f>
        <v>0.33333333333333331</v>
      </c>
      <c r="E7" s="63" t="s">
        <v>69</v>
      </c>
      <c r="F7" s="60" t="s">
        <v>12</v>
      </c>
      <c r="G7" s="47">
        <v>344</v>
      </c>
      <c r="H7" s="133">
        <f>IF(B$17=0,0,G7/B$17)</f>
        <v>0.30714285714285716</v>
      </c>
      <c r="I7" s="94">
        <v>7</v>
      </c>
      <c r="K7" s="38">
        <v>5</v>
      </c>
      <c r="L7" s="99">
        <v>-37</v>
      </c>
      <c r="N7" s="116" t="s">
        <v>137</v>
      </c>
      <c r="O7" s="123">
        <f t="shared" si="0"/>
        <v>18.867924528301888</v>
      </c>
      <c r="P7" s="120">
        <v>318</v>
      </c>
      <c r="Q7" s="104">
        <v>6000</v>
      </c>
    </row>
    <row r="8" spans="1:17" x14ac:dyDescent="0.4">
      <c r="A8" s="55" t="s">
        <v>3</v>
      </c>
      <c r="B8" s="47">
        <v>148</v>
      </c>
      <c r="C8" s="39">
        <f>IF(B$2=0,0,B8/B$2)</f>
        <v>0.33333333333333331</v>
      </c>
      <c r="E8" s="63" t="s">
        <v>70</v>
      </c>
      <c r="F8" s="60" t="s">
        <v>25</v>
      </c>
      <c r="G8" s="47">
        <v>208</v>
      </c>
      <c r="H8" s="133">
        <f>IF(B$17=0,0,G8/B$17)</f>
        <v>0.18571428571428572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148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139</v>
      </c>
      <c r="H9" s="133">
        <f>IF(B$17=0,0,G9/B$17)</f>
        <v>0.12410714285714286</v>
      </c>
      <c r="I9" s="94">
        <v>8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46</v>
      </c>
      <c r="C10" s="40">
        <f>IF(B$2=0,0,B10/B$2)</f>
        <v>0.1036036036036036</v>
      </c>
      <c r="E10" s="63" t="s">
        <v>66</v>
      </c>
      <c r="F10" s="60" t="s">
        <v>22</v>
      </c>
      <c r="G10" s="47">
        <v>136</v>
      </c>
      <c r="H10" s="133">
        <f>IF(B$17=0,0,G10/B$17)</f>
        <v>0.12142857142857143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-2.8054054054054056</v>
      </c>
      <c r="P10" s="118">
        <v>148</v>
      </c>
      <c r="Q10" s="106">
        <v>-415.20000000000005</v>
      </c>
    </row>
    <row r="11" spans="1:17" x14ac:dyDescent="0.4">
      <c r="A11" s="56" t="s">
        <v>140</v>
      </c>
      <c r="B11" s="48">
        <v>46</v>
      </c>
      <c r="C11" s="40">
        <f>IF(B$2=0,0,B11/B$2)</f>
        <v>0.1036036036036036</v>
      </c>
      <c r="E11" s="63" t="s">
        <v>71</v>
      </c>
      <c r="F11" s="60" t="s">
        <v>26</v>
      </c>
      <c r="G11" s="47">
        <v>119</v>
      </c>
      <c r="H11" s="133">
        <f>IF(B$17=0,0,G11/B$17)</f>
        <v>0.10625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-1.1655405405405415</v>
      </c>
      <c r="P11" s="119">
        <v>148</v>
      </c>
      <c r="Q11" s="107">
        <v>-172.50000000000014</v>
      </c>
    </row>
    <row r="12" spans="1:17" x14ac:dyDescent="0.4">
      <c r="A12" s="57" t="s">
        <v>160</v>
      </c>
      <c r="B12" s="49">
        <v>38</v>
      </c>
      <c r="C12" s="42">
        <f>IF(B$2=0,0,B12/B$2)</f>
        <v>8.5585585585585586E-2</v>
      </c>
      <c r="E12" s="63" t="s">
        <v>72</v>
      </c>
      <c r="F12" s="60" t="s">
        <v>27</v>
      </c>
      <c r="G12" s="47">
        <v>71</v>
      </c>
      <c r="H12" s="133">
        <f>IF(B$17=0,0,G12/B$17)</f>
        <v>6.339285714285714E-2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3.9709459459459464</v>
      </c>
      <c r="P12" s="120">
        <v>148</v>
      </c>
      <c r="Q12" s="108">
        <v>587.70000000000005</v>
      </c>
    </row>
    <row r="13" spans="1:17" x14ac:dyDescent="0.4">
      <c r="A13" s="58" t="s">
        <v>122</v>
      </c>
      <c r="B13" s="50">
        <v>1012</v>
      </c>
      <c r="C13" s="44">
        <f>IF(B$3=0,0,B13/B$3)</f>
        <v>0.27270277553220157</v>
      </c>
      <c r="E13" s="63" t="s">
        <v>87</v>
      </c>
      <c r="F13" s="60" t="s">
        <v>42</v>
      </c>
      <c r="G13" s="47">
        <v>67</v>
      </c>
      <c r="H13" s="133">
        <f>IF(B$17=0,0,G13/B$17)</f>
        <v>5.9821428571428574E-2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788</v>
      </c>
      <c r="C14" s="39">
        <f>IF(B$3=0,0,B14/B$3)</f>
        <v>0.21234168687685259</v>
      </c>
      <c r="E14" s="63" t="s">
        <v>84</v>
      </c>
      <c r="F14" s="60" t="s">
        <v>39</v>
      </c>
      <c r="G14" s="47">
        <v>47</v>
      </c>
      <c r="H14" s="133">
        <f>IF(B$17=0,0,G14/B$17)</f>
        <v>4.1964285714285711E-2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604</v>
      </c>
      <c r="C15" s="37">
        <f>IF(B$13=0,0,B15/B$13)</f>
        <v>0.59683794466403162</v>
      </c>
      <c r="E15" s="63" t="s">
        <v>82</v>
      </c>
      <c r="F15" s="60" t="s">
        <v>37</v>
      </c>
      <c r="G15" s="47">
        <v>34</v>
      </c>
      <c r="H15" s="133">
        <f>IF(B$17=0,0,G15/B$17)</f>
        <v>3.0357142857142857E-2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302</v>
      </c>
      <c r="C16" s="37">
        <f>IF(B$14=0,0,B16/B$14)</f>
        <v>0.38324873096446699</v>
      </c>
      <c r="E16" s="63" t="s">
        <v>79</v>
      </c>
      <c r="F16" s="60" t="s">
        <v>34</v>
      </c>
      <c r="G16" s="47">
        <v>21</v>
      </c>
      <c r="H16" s="133">
        <f>IF(B$17=0,0,G16/B$17)</f>
        <v>1.8749999999999999E-2</v>
      </c>
      <c r="I16" s="94">
        <v>5</v>
      </c>
      <c r="K16" s="38">
        <v>14</v>
      </c>
      <c r="L16" s="99">
        <v>18.79999999999999</v>
      </c>
      <c r="N16" s="115" t="s">
        <v>186</v>
      </c>
      <c r="O16" s="125">
        <f>IF(P16=0,0,Q16/P16)</f>
        <v>29.625</v>
      </c>
      <c r="P16" s="119">
        <v>20</v>
      </c>
      <c r="Q16" s="107">
        <v>592.5</v>
      </c>
    </row>
    <row r="17" spans="1:17" x14ac:dyDescent="0.4">
      <c r="A17" s="54" t="s">
        <v>10</v>
      </c>
      <c r="B17" s="46">
        <f>B19+B18</f>
        <v>1120</v>
      </c>
      <c r="C17" s="37">
        <f>IF(B$3=0,0,B17/B$3)</f>
        <v>0.3018054432767448</v>
      </c>
      <c r="E17" s="63" t="s">
        <v>92</v>
      </c>
      <c r="F17" s="60" t="s">
        <v>47</v>
      </c>
      <c r="G17" s="47">
        <v>18</v>
      </c>
      <c r="H17" s="133">
        <f>IF(B$17=0,0,G17/B$17)</f>
        <v>1.607142857142857E-2</v>
      </c>
      <c r="I17" s="94">
        <v>3</v>
      </c>
      <c r="K17" s="38">
        <v>15</v>
      </c>
      <c r="L17" s="99">
        <v>-1.0658141036401503E-14</v>
      </c>
      <c r="N17" s="115" t="s">
        <v>129</v>
      </c>
      <c r="O17" s="125">
        <f>IF(P17=0,0,Q17/P17)</f>
        <v>26.163333333333341</v>
      </c>
      <c r="P17" s="119">
        <v>90</v>
      </c>
      <c r="Q17" s="107">
        <v>2354.7000000000007</v>
      </c>
    </row>
    <row r="18" spans="1:17" x14ac:dyDescent="0.4">
      <c r="A18" s="55" t="s">
        <v>12</v>
      </c>
      <c r="B18" s="47">
        <v>488</v>
      </c>
      <c r="C18" s="39">
        <f>IF(B$17=0,0,B18/B$17)</f>
        <v>0.43571428571428572</v>
      </c>
      <c r="E18" s="63" t="s">
        <v>180</v>
      </c>
      <c r="F18" s="60" t="s">
        <v>183</v>
      </c>
      <c r="G18" s="47">
        <v>17</v>
      </c>
      <c r="H18" s="133">
        <f>IF(B$17=0,0,G18/B$17)</f>
        <v>1.5178571428571428E-2</v>
      </c>
      <c r="I18" s="94">
        <v>4</v>
      </c>
      <c r="K18" s="38">
        <v>16</v>
      </c>
      <c r="L18" s="99">
        <v>90.899999999999991</v>
      </c>
      <c r="N18" s="115" t="s">
        <v>173</v>
      </c>
      <c r="O18" s="125">
        <f>IF(P18=0,0,Q18/P18)</f>
        <v>8.6115384615384585</v>
      </c>
      <c r="P18" s="119">
        <v>78</v>
      </c>
      <c r="Q18" s="107">
        <v>671.69999999999982</v>
      </c>
    </row>
    <row r="19" spans="1:17" x14ac:dyDescent="0.4">
      <c r="A19" s="55" t="s">
        <v>11</v>
      </c>
      <c r="B19" s="47">
        <v>632</v>
      </c>
      <c r="C19" s="39">
        <f>IF(B$17=0,0,B19/B$17)</f>
        <v>0.56428571428571428</v>
      </c>
      <c r="E19" s="63" t="s">
        <v>80</v>
      </c>
      <c r="F19" s="60" t="s">
        <v>35</v>
      </c>
      <c r="G19" s="47">
        <v>15</v>
      </c>
      <c r="H19" s="133">
        <f>IF(B$17=0,0,G19/B$17)</f>
        <v>1.3392857142857142E-2</v>
      </c>
      <c r="I19" s="94">
        <v>4</v>
      </c>
      <c r="K19" s="38">
        <v>17</v>
      </c>
      <c r="L19" s="99">
        <v>8.2999999999999972</v>
      </c>
      <c r="N19" s="115" t="s">
        <v>128</v>
      </c>
      <c r="O19" s="125">
        <f>IF(P19=0,0,Q19/P19)</f>
        <v>6.2402912621359219</v>
      </c>
      <c r="P19" s="119">
        <v>206</v>
      </c>
      <c r="Q19" s="107">
        <v>1285.5</v>
      </c>
    </row>
    <row r="20" spans="1:17" x14ac:dyDescent="0.4">
      <c r="A20" s="55" t="s">
        <v>13</v>
      </c>
      <c r="B20" s="47">
        <v>624</v>
      </c>
      <c r="C20" s="39">
        <f>IF(B$3=0,0,B20/B$3)</f>
        <v>0.16814874696847212</v>
      </c>
      <c r="E20" s="63" t="s">
        <v>74</v>
      </c>
      <c r="F20" s="60" t="s">
        <v>29</v>
      </c>
      <c r="G20" s="47">
        <v>7</v>
      </c>
      <c r="H20" s="133">
        <f>IF(B$17=0,0,G20/B$17)</f>
        <v>6.2500000000000003E-3</v>
      </c>
      <c r="I20" s="94">
        <v>5</v>
      </c>
      <c r="K20" s="38">
        <v>18</v>
      </c>
      <c r="L20" s="99">
        <v>-3.5527136788005009E-15</v>
      </c>
      <c r="N20" s="115" t="s">
        <v>202</v>
      </c>
      <c r="O20" s="125">
        <f>IF(P20=0,0,Q20/P20)</f>
        <v>4.0749999999999984</v>
      </c>
      <c r="P20" s="119">
        <v>12</v>
      </c>
      <c r="Q20" s="107">
        <v>48.899999999999977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7</v>
      </c>
      <c r="H21" s="133">
        <f>IF(B$17=0,0,G21/B$17)</f>
        <v>6.2500000000000003E-3</v>
      </c>
      <c r="I21" s="94">
        <v>5</v>
      </c>
      <c r="K21" s="38">
        <v>19</v>
      </c>
      <c r="L21" s="99">
        <v>30.999999999999996</v>
      </c>
      <c r="N21" s="115" t="s">
        <v>177</v>
      </c>
      <c r="O21" s="125">
        <f>IF(P21=0,0,Q21/P21)</f>
        <v>1.5055555555555526</v>
      </c>
      <c r="P21" s="119">
        <v>54</v>
      </c>
      <c r="Q21" s="107">
        <v>81.299999999999841</v>
      </c>
    </row>
    <row r="22" spans="1:17" x14ac:dyDescent="0.4">
      <c r="A22" s="55" t="s">
        <v>194</v>
      </c>
      <c r="B22" s="47">
        <v>31</v>
      </c>
      <c r="C22" s="135">
        <v>0</v>
      </c>
      <c r="E22" s="63" t="s">
        <v>88</v>
      </c>
      <c r="F22" s="60" t="s">
        <v>43</v>
      </c>
      <c r="G22" s="47">
        <v>4</v>
      </c>
      <c r="H22" s="133">
        <f>IF(B$17=0,0,G22/B$17)</f>
        <v>3.5714285714285713E-3</v>
      </c>
      <c r="I22" s="94">
        <v>4</v>
      </c>
      <c r="K22" s="38">
        <v>20</v>
      </c>
      <c r="L22" s="99">
        <v>0.79999999999999716</v>
      </c>
      <c r="N22" s="115" t="s">
        <v>171</v>
      </c>
      <c r="O22" s="125">
        <f>IF(P22=0,0,Q22/P22)</f>
        <v>1.245535714285716</v>
      </c>
      <c r="P22" s="119">
        <v>112</v>
      </c>
      <c r="Q22" s="107">
        <v>139.5000000000002</v>
      </c>
    </row>
    <row r="23" spans="1:17" x14ac:dyDescent="0.4">
      <c r="A23" s="55" t="s">
        <v>5</v>
      </c>
      <c r="B23" s="51">
        <f>IF(B$17=0,0,C23/B$17)</f>
        <v>8411.7857142857138</v>
      </c>
      <c r="C23" s="41">
        <v>9421200</v>
      </c>
      <c r="E23" s="63" t="s">
        <v>93</v>
      </c>
      <c r="F23" s="60" t="s">
        <v>48</v>
      </c>
      <c r="G23" s="47">
        <v>4</v>
      </c>
      <c r="H23" s="133">
        <f>IF(B$17=0,0,G23/B$17)</f>
        <v>3.5714285714285713E-3</v>
      </c>
      <c r="I23" s="94">
        <v>3</v>
      </c>
      <c r="K23" s="38">
        <v>21</v>
      </c>
      <c r="L23" s="99">
        <v>-2.886579864025407E-15</v>
      </c>
      <c r="N23" s="115" t="s">
        <v>172</v>
      </c>
      <c r="O23" s="125">
        <f>IF(P23=0,0,Q23/P23)</f>
        <v>-1.8452830188679263</v>
      </c>
      <c r="P23" s="119">
        <v>106</v>
      </c>
      <c r="Q23" s="107">
        <v>-195.60000000000019</v>
      </c>
    </row>
    <row r="24" spans="1:17" x14ac:dyDescent="0.4">
      <c r="A24" s="57" t="s">
        <v>14</v>
      </c>
      <c r="B24" s="52">
        <f>IF(B$20=0,0,C24/B$20)</f>
        <v>-8067.4679487179483</v>
      </c>
      <c r="C24" s="45">
        <v>-5034100</v>
      </c>
      <c r="E24" s="63" t="s">
        <v>75</v>
      </c>
      <c r="F24" s="60" t="s">
        <v>30</v>
      </c>
      <c r="G24" s="47">
        <v>3</v>
      </c>
      <c r="H24" s="133">
        <f>IF(B$17=0,0,G24/B$17)</f>
        <v>2.6785714285714286E-3</v>
      </c>
      <c r="I24" s="94">
        <v>3</v>
      </c>
      <c r="K24" s="38">
        <v>22</v>
      </c>
      <c r="L24" s="99">
        <v>23.699999999999996</v>
      </c>
      <c r="N24" s="115" t="s">
        <v>224</v>
      </c>
      <c r="O24" s="125">
        <f>IF(P24=0,0,Q24/P24)</f>
        <v>-19.950000000000003</v>
      </c>
      <c r="P24" s="119">
        <v>2</v>
      </c>
      <c r="Q24" s="107">
        <v>-39.900000000000006</v>
      </c>
    </row>
    <row r="25" spans="1:17" x14ac:dyDescent="0.4">
      <c r="A25" s="90" t="s">
        <v>142</v>
      </c>
      <c r="B25" s="140">
        <v>7</v>
      </c>
      <c r="C25" s="141"/>
      <c r="E25" s="63" t="s">
        <v>78</v>
      </c>
      <c r="F25" s="60" t="s">
        <v>33</v>
      </c>
      <c r="G25" s="47">
        <v>3</v>
      </c>
      <c r="H25" s="133">
        <f>IF(B$17=0,0,G25/B$17)</f>
        <v>2.6785714285714286E-3</v>
      </c>
      <c r="I25" s="94">
        <v>4</v>
      </c>
      <c r="K25" s="38">
        <v>23</v>
      </c>
      <c r="L25" s="99">
        <v>26.299999999999997</v>
      </c>
      <c r="N25" s="115" t="s">
        <v>127</v>
      </c>
      <c r="O25" s="125">
        <f>IF(P25=0,0,Q25/P25)</f>
        <v>-24.332999999999966</v>
      </c>
      <c r="P25" s="119">
        <v>200</v>
      </c>
      <c r="Q25" s="107">
        <v>-4866.5999999999931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3</v>
      </c>
      <c r="H26" s="133">
        <f>IF(B$17=0,0,G26/B$17)</f>
        <v>2.6785714285714286E-3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12</v>
      </c>
      <c r="C27" s="42">
        <f>IF(B$3=0,0,B27/B$3)</f>
        <v>3.2336297493936943E-3</v>
      </c>
      <c r="E27" s="63" t="s">
        <v>86</v>
      </c>
      <c r="F27" s="60" t="s">
        <v>41</v>
      </c>
      <c r="G27" s="47">
        <v>2</v>
      </c>
      <c r="H27" s="133">
        <f>IF(B$17=0,0,G27/B$17)</f>
        <v>1.7857142857142857E-3</v>
      </c>
      <c r="I27" s="94">
        <v>2</v>
      </c>
      <c r="K27" s="38">
        <v>25</v>
      </c>
      <c r="L27" s="99">
        <v>-31.300000000000004</v>
      </c>
    </row>
    <row r="28" spans="1:17" x14ac:dyDescent="0.4">
      <c r="E28" s="63" t="s">
        <v>89</v>
      </c>
      <c r="F28" s="60" t="s">
        <v>44</v>
      </c>
      <c r="G28" s="47">
        <v>2</v>
      </c>
      <c r="H28" s="133">
        <f>IF(B$17=0,0,G28/B$17)</f>
        <v>1.7857142857142857E-3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96</v>
      </c>
      <c r="F29" s="60" t="s">
        <v>51</v>
      </c>
      <c r="G29" s="47">
        <v>2</v>
      </c>
      <c r="H29" s="133">
        <f>IF(B$17=0,0,G29/B$17)</f>
        <v>1.7857142857142857E-3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85</v>
      </c>
      <c r="F30" s="60" t="s">
        <v>40</v>
      </c>
      <c r="G30" s="47">
        <v>1</v>
      </c>
      <c r="H30" s="133">
        <f>IF(B$17=0,0,G30/B$17)</f>
        <v>8.9285714285714283E-4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91</v>
      </c>
      <c r="F31" s="60" t="s">
        <v>46</v>
      </c>
      <c r="G31" s="47">
        <v>1</v>
      </c>
      <c r="H31" s="133">
        <f>IF(B$17=0,0,G31/B$17)</f>
        <v>8.9285714285714283E-4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0F10D-B997-4E07-A82F-B542ED4DF329}">
  <sheetPr codeName="Sheet7"/>
  <dimension ref="A1:Q10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100</v>
      </c>
      <c r="C2" s="147"/>
      <c r="E2" s="62" t="s">
        <v>67</v>
      </c>
      <c r="F2" s="59" t="s">
        <v>23</v>
      </c>
      <c r="G2" s="46">
        <v>220</v>
      </c>
      <c r="H2" s="132">
        <f>IF(B$17=0,0,G2/B$17)</f>
        <v>0.72607260726072609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2337</v>
      </c>
      <c r="P2" s="118">
        <v>100</v>
      </c>
      <c r="Q2" s="102">
        <v>233700</v>
      </c>
    </row>
    <row r="3" spans="1:17" x14ac:dyDescent="0.4">
      <c r="A3" s="55" t="s">
        <v>8</v>
      </c>
      <c r="B3" s="148">
        <v>816</v>
      </c>
      <c r="C3" s="149"/>
      <c r="E3" s="63" t="s">
        <v>73</v>
      </c>
      <c r="F3" s="60" t="s">
        <v>28</v>
      </c>
      <c r="G3" s="47">
        <v>161</v>
      </c>
      <c r="H3" s="133">
        <f>IF(B$17=0,0,G3/B$17)</f>
        <v>0.53135313531353134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2200</v>
      </c>
      <c r="P3" s="119">
        <v>99</v>
      </c>
      <c r="Q3" s="103">
        <v>217800</v>
      </c>
    </row>
    <row r="4" spans="1:17" x14ac:dyDescent="0.4">
      <c r="A4" s="55" t="s">
        <v>6</v>
      </c>
      <c r="B4" s="150">
        <v>1622.2000000000012</v>
      </c>
      <c r="C4" s="151"/>
      <c r="E4" s="63" t="s">
        <v>65</v>
      </c>
      <c r="F4" s="60" t="s">
        <v>21</v>
      </c>
      <c r="G4" s="47">
        <v>152</v>
      </c>
      <c r="H4" s="133">
        <f>IF(B$17=0,0,G4/B$17)</f>
        <v>0.50165016501650161</v>
      </c>
      <c r="I4" s="94">
        <v>9</v>
      </c>
      <c r="K4" s="38">
        <v>2</v>
      </c>
      <c r="L4" s="99">
        <v>-2.8999999999999995</v>
      </c>
      <c r="N4" s="115" t="s">
        <v>134</v>
      </c>
      <c r="O4" s="122">
        <f t="shared" si="0"/>
        <v>2406.3157894736842</v>
      </c>
      <c r="P4" s="119">
        <v>95</v>
      </c>
      <c r="Q4" s="103">
        <v>228600</v>
      </c>
    </row>
    <row r="5" spans="1:17" x14ac:dyDescent="0.4">
      <c r="A5" s="55" t="s">
        <v>7</v>
      </c>
      <c r="B5" s="152">
        <f>IF(B$2=0,0,B$4/B$2)</f>
        <v>16.222000000000012</v>
      </c>
      <c r="C5" s="153"/>
      <c r="E5" s="63" t="s">
        <v>181</v>
      </c>
      <c r="F5" s="60" t="s">
        <v>182</v>
      </c>
      <c r="G5" s="47">
        <v>128</v>
      </c>
      <c r="H5" s="133">
        <f>IF(B$17=0,0,G5/B$17)</f>
        <v>0.42244224422442245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2695.3488372093025</v>
      </c>
      <c r="P5" s="119">
        <v>86</v>
      </c>
      <c r="Q5" s="103">
        <v>231800</v>
      </c>
    </row>
    <row r="6" spans="1:17" x14ac:dyDescent="0.4">
      <c r="A6" s="55" t="s">
        <v>1</v>
      </c>
      <c r="B6" s="142">
        <f>IF(B$2=0,0,(B$7*1+B$8*2+B$9*3)/B$2)</f>
        <v>1.67</v>
      </c>
      <c r="C6" s="143"/>
      <c r="E6" s="63" t="s">
        <v>68</v>
      </c>
      <c r="F6" s="60" t="s">
        <v>24</v>
      </c>
      <c r="G6" s="47">
        <v>95</v>
      </c>
      <c r="H6" s="133">
        <f>IF(B$17=0,0,G6/B$17)</f>
        <v>0.31353135313531355</v>
      </c>
      <c r="I6" s="94">
        <v>8</v>
      </c>
      <c r="K6" s="38">
        <v>4</v>
      </c>
      <c r="L6" s="99">
        <v>110.5</v>
      </c>
      <c r="N6" s="115" t="s">
        <v>136</v>
      </c>
      <c r="O6" s="122">
        <f t="shared" si="0"/>
        <v>133.76623376623377</v>
      </c>
      <c r="P6" s="119">
        <v>77</v>
      </c>
      <c r="Q6" s="103">
        <v>10300</v>
      </c>
    </row>
    <row r="7" spans="1:17" x14ac:dyDescent="0.4">
      <c r="A7" s="55" t="s">
        <v>2</v>
      </c>
      <c r="B7" s="47">
        <v>53</v>
      </c>
      <c r="C7" s="39">
        <f>IF(B$2=0,0,B7/B$2)</f>
        <v>0.53</v>
      </c>
      <c r="E7" s="63" t="s">
        <v>69</v>
      </c>
      <c r="F7" s="60" t="s">
        <v>12</v>
      </c>
      <c r="G7" s="47">
        <v>79</v>
      </c>
      <c r="H7" s="133">
        <f>IF(B$17=0,0,G7/B$17)</f>
        <v>0.26072607260726072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500</v>
      </c>
      <c r="P7" s="120">
        <v>70</v>
      </c>
      <c r="Q7" s="104">
        <v>35000</v>
      </c>
    </row>
    <row r="8" spans="1:17" x14ac:dyDescent="0.4">
      <c r="A8" s="55" t="s">
        <v>3</v>
      </c>
      <c r="B8" s="47">
        <v>27</v>
      </c>
      <c r="C8" s="39">
        <f>IF(B$2=0,0,B8/B$2)</f>
        <v>0.27</v>
      </c>
      <c r="E8" s="63" t="s">
        <v>70</v>
      </c>
      <c r="F8" s="60" t="s">
        <v>25</v>
      </c>
      <c r="G8" s="47">
        <v>56</v>
      </c>
      <c r="H8" s="133">
        <f>IF(B$17=0,0,G8/B$17)</f>
        <v>0.18481848184818481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20</v>
      </c>
      <c r="C9" s="40">
        <f t="shared" ref="C9" si="1">IF(B$2=0,0,B9/B$2)</f>
        <v>0.2</v>
      </c>
      <c r="E9" s="63" t="s">
        <v>90</v>
      </c>
      <c r="F9" s="60" t="s">
        <v>45</v>
      </c>
      <c r="G9" s="47">
        <v>49</v>
      </c>
      <c r="H9" s="133">
        <f>IF(B$17=0,0,G9/B$17)</f>
        <v>0.1617161716171617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7.0000000000000007E-2</v>
      </c>
      <c r="E10" s="63" t="s">
        <v>66</v>
      </c>
      <c r="F10" s="60" t="s">
        <v>22</v>
      </c>
      <c r="G10" s="47">
        <v>46</v>
      </c>
      <c r="H10" s="133">
        <f>IF(B$17=0,0,G10/B$17)</f>
        <v>0.15181518151815182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20.062068965517245</v>
      </c>
      <c r="P10" s="118">
        <v>29</v>
      </c>
      <c r="Q10" s="106">
        <v>581.80000000000007</v>
      </c>
    </row>
    <row r="11" spans="1:17" x14ac:dyDescent="0.4">
      <c r="A11" s="56" t="s">
        <v>140</v>
      </c>
      <c r="B11" s="48">
        <v>18</v>
      </c>
      <c r="C11" s="40">
        <f>IF(B$2=0,0,B11/B$2)</f>
        <v>0.18</v>
      </c>
      <c r="E11" s="63" t="s">
        <v>71</v>
      </c>
      <c r="F11" s="60" t="s">
        <v>26</v>
      </c>
      <c r="G11" s="47">
        <v>32</v>
      </c>
      <c r="H11" s="133">
        <f>IF(B$17=0,0,G11/B$17)</f>
        <v>0.10561056105610561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12.603225806451611</v>
      </c>
      <c r="P11" s="119">
        <v>31</v>
      </c>
      <c r="Q11" s="107">
        <v>390.69999999999993</v>
      </c>
    </row>
    <row r="12" spans="1:17" x14ac:dyDescent="0.4">
      <c r="A12" s="57" t="s">
        <v>160</v>
      </c>
      <c r="B12" s="49">
        <v>17</v>
      </c>
      <c r="C12" s="42">
        <f>IF(B$2=0,0,B12/B$2)</f>
        <v>0.17</v>
      </c>
      <c r="E12" s="63" t="s">
        <v>87</v>
      </c>
      <c r="F12" s="60" t="s">
        <v>42</v>
      </c>
      <c r="G12" s="47">
        <v>21</v>
      </c>
      <c r="H12" s="133">
        <f>IF(B$17=0,0,G12/B$17)</f>
        <v>6.9306930693069313E-2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16.242500000000003</v>
      </c>
      <c r="P12" s="120">
        <v>40</v>
      </c>
      <c r="Q12" s="108">
        <v>649.70000000000016</v>
      </c>
    </row>
    <row r="13" spans="1:17" x14ac:dyDescent="0.4">
      <c r="A13" s="58" t="s">
        <v>122</v>
      </c>
      <c r="B13" s="50">
        <v>269</v>
      </c>
      <c r="C13" s="44">
        <f>IF(B$3=0,0,B13/B$3)</f>
        <v>0.32965686274509803</v>
      </c>
      <c r="E13" s="63" t="s">
        <v>72</v>
      </c>
      <c r="F13" s="60" t="s">
        <v>27</v>
      </c>
      <c r="G13" s="47">
        <v>19</v>
      </c>
      <c r="H13" s="133">
        <f>IF(B$17=0,0,G13/B$17)</f>
        <v>6.2706270627062702E-2</v>
      </c>
      <c r="I13" s="94">
        <v>6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184</v>
      </c>
      <c r="C14" s="39">
        <f>IF(B$3=0,0,B14/B$3)</f>
        <v>0.22549019607843138</v>
      </c>
      <c r="E14" s="63" t="s">
        <v>84</v>
      </c>
      <c r="F14" s="60" t="s">
        <v>39</v>
      </c>
      <c r="G14" s="47">
        <v>15</v>
      </c>
      <c r="H14" s="133">
        <f>IF(B$17=0,0,G14/B$17)</f>
        <v>4.9504950495049507E-2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164</v>
      </c>
      <c r="C15" s="37">
        <f>IF(B$13=0,0,B15/B$13)</f>
        <v>0.60966542750929364</v>
      </c>
      <c r="E15" s="63" t="s">
        <v>82</v>
      </c>
      <c r="F15" s="60" t="s">
        <v>37</v>
      </c>
      <c r="G15" s="47">
        <v>10</v>
      </c>
      <c r="H15" s="133">
        <f>IF(B$17=0,0,G15/B$17)</f>
        <v>3.3003300330033E-2</v>
      </c>
      <c r="I15" s="94">
        <v>6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96</v>
      </c>
      <c r="C16" s="37">
        <f>IF(B$14=0,0,B16/B$14)</f>
        <v>0.52173913043478259</v>
      </c>
      <c r="E16" s="63" t="s">
        <v>180</v>
      </c>
      <c r="F16" s="60" t="s">
        <v>183</v>
      </c>
      <c r="G16" s="47">
        <v>10</v>
      </c>
      <c r="H16" s="133">
        <f>IF(B$17=0,0,G16/B$17)</f>
        <v>3.3003300330033E-2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43.362962962962975</v>
      </c>
      <c r="P16" s="119">
        <v>27</v>
      </c>
      <c r="Q16" s="107">
        <v>1170.8000000000004</v>
      </c>
    </row>
    <row r="17" spans="1:17" x14ac:dyDescent="0.4">
      <c r="A17" s="54" t="s">
        <v>10</v>
      </c>
      <c r="B17" s="46">
        <f>B19+B18</f>
        <v>303</v>
      </c>
      <c r="C17" s="37">
        <f>IF(B$3=0,0,B17/B$3)</f>
        <v>0.37132352941176472</v>
      </c>
      <c r="E17" s="63" t="s">
        <v>79</v>
      </c>
      <c r="F17" s="60" t="s">
        <v>34</v>
      </c>
      <c r="G17" s="47">
        <v>5</v>
      </c>
      <c r="H17" s="133">
        <f>IF(B$17=0,0,G17/B$17)</f>
        <v>1.65016501650165E-2</v>
      </c>
      <c r="I17" s="94">
        <v>6</v>
      </c>
      <c r="K17" s="38">
        <v>15</v>
      </c>
      <c r="L17" s="99">
        <v>481.50000000000006</v>
      </c>
      <c r="N17" s="115" t="s">
        <v>186</v>
      </c>
      <c r="O17" s="125">
        <f>IF(P17=0,0,Q17/P17)</f>
        <v>42.43333333333333</v>
      </c>
      <c r="P17" s="119">
        <v>6</v>
      </c>
      <c r="Q17" s="107">
        <v>254.59999999999997</v>
      </c>
    </row>
    <row r="18" spans="1:17" x14ac:dyDescent="0.4">
      <c r="A18" s="55" t="s">
        <v>12</v>
      </c>
      <c r="B18" s="47">
        <v>126</v>
      </c>
      <c r="C18" s="39">
        <f>IF(B$17=0,0,B18/B$17)</f>
        <v>0.41584158415841582</v>
      </c>
      <c r="E18" s="63" t="s">
        <v>80</v>
      </c>
      <c r="F18" s="60" t="s">
        <v>35</v>
      </c>
      <c r="G18" s="47">
        <v>4</v>
      </c>
      <c r="H18" s="133">
        <f>IF(B$17=0,0,G18/B$17)</f>
        <v>1.3201320132013201E-2</v>
      </c>
      <c r="I18" s="94">
        <v>5</v>
      </c>
      <c r="K18" s="38">
        <v>16</v>
      </c>
      <c r="L18" s="99">
        <v>425.50000000000006</v>
      </c>
      <c r="N18" s="115" t="s">
        <v>177</v>
      </c>
      <c r="O18" s="125">
        <f>IF(P18=0,0,Q18/P18)</f>
        <v>41.15</v>
      </c>
      <c r="P18" s="119">
        <v>10</v>
      </c>
      <c r="Q18" s="107">
        <v>411.5</v>
      </c>
    </row>
    <row r="19" spans="1:17" x14ac:dyDescent="0.4">
      <c r="A19" s="55" t="s">
        <v>11</v>
      </c>
      <c r="B19" s="47">
        <v>177</v>
      </c>
      <c r="C19" s="39">
        <f>IF(B$17=0,0,B19/B$17)</f>
        <v>0.58415841584158412</v>
      </c>
      <c r="E19" s="63" t="s">
        <v>92</v>
      </c>
      <c r="F19" s="60" t="s">
        <v>47</v>
      </c>
      <c r="G19" s="47">
        <v>4</v>
      </c>
      <c r="H19" s="133">
        <f>IF(B$17=0,0,G19/B$17)</f>
        <v>1.3201320132013201E-2</v>
      </c>
      <c r="I19" s="94">
        <v>4</v>
      </c>
      <c r="K19" s="38">
        <v>17</v>
      </c>
      <c r="L19" s="99">
        <v>427.40000000000003</v>
      </c>
      <c r="N19" s="115" t="s">
        <v>224</v>
      </c>
      <c r="O19" s="125">
        <f>IF(P19=0,0,Q19/P19)</f>
        <v>29.599999999999998</v>
      </c>
      <c r="P19" s="119">
        <v>1</v>
      </c>
      <c r="Q19" s="107">
        <v>29.599999999999998</v>
      </c>
    </row>
    <row r="20" spans="1:17" x14ac:dyDescent="0.4">
      <c r="A20" s="55" t="s">
        <v>13</v>
      </c>
      <c r="B20" s="47">
        <v>122</v>
      </c>
      <c r="C20" s="39">
        <f>IF(B$3=0,0,B20/B$3)</f>
        <v>0.14950980392156862</v>
      </c>
      <c r="E20" s="63" t="s">
        <v>74</v>
      </c>
      <c r="F20" s="60" t="s">
        <v>29</v>
      </c>
      <c r="G20" s="47">
        <v>2</v>
      </c>
      <c r="H20" s="133">
        <f>IF(B$17=0,0,G20/B$17)</f>
        <v>6.6006600660066007E-3</v>
      </c>
      <c r="I20" s="94">
        <v>4</v>
      </c>
      <c r="K20" s="38">
        <v>18</v>
      </c>
      <c r="L20" s="99">
        <v>429.3</v>
      </c>
      <c r="N20" s="115" t="s">
        <v>202</v>
      </c>
      <c r="O20" s="125">
        <f>IF(P20=0,0,Q20/P20)</f>
        <v>23.1</v>
      </c>
      <c r="P20" s="119">
        <v>1</v>
      </c>
      <c r="Q20" s="107">
        <v>23.1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3.3003300330033004E-3</v>
      </c>
      <c r="I21" s="94">
        <v>6</v>
      </c>
      <c r="K21" s="38">
        <v>19</v>
      </c>
      <c r="L21" s="99">
        <v>405.40000000000003</v>
      </c>
      <c r="N21" s="115" t="s">
        <v>173</v>
      </c>
      <c r="O21" s="125">
        <f>IF(P21=0,0,Q21/P21)</f>
        <v>22.754999999999999</v>
      </c>
      <c r="P21" s="119">
        <v>20</v>
      </c>
      <c r="Q21" s="107">
        <v>455.09999999999997</v>
      </c>
    </row>
    <row r="22" spans="1:17" x14ac:dyDescent="0.4">
      <c r="A22" s="55" t="s">
        <v>194</v>
      </c>
      <c r="B22" s="47">
        <v>39</v>
      </c>
      <c r="C22" s="135">
        <v>0</v>
      </c>
      <c r="E22" s="63" t="s">
        <v>78</v>
      </c>
      <c r="F22" s="60" t="s">
        <v>33</v>
      </c>
      <c r="G22" s="47">
        <v>1</v>
      </c>
      <c r="H22" s="133">
        <f>IF(B$17=0,0,G22/B$17)</f>
        <v>3.3003300330033004E-3</v>
      </c>
      <c r="I22" s="94">
        <v>3</v>
      </c>
      <c r="K22" s="38">
        <v>20</v>
      </c>
      <c r="L22" s="99">
        <v>469.6</v>
      </c>
      <c r="N22" s="115" t="s">
        <v>172</v>
      </c>
      <c r="O22" s="125">
        <f>IF(P22=0,0,Q22/P22)</f>
        <v>21.879310344827591</v>
      </c>
      <c r="P22" s="119">
        <v>29</v>
      </c>
      <c r="Q22" s="107">
        <v>634.50000000000011</v>
      </c>
    </row>
    <row r="23" spans="1:17" x14ac:dyDescent="0.4">
      <c r="A23" s="55" t="s">
        <v>5</v>
      </c>
      <c r="B23" s="51">
        <f>IF(B$17=0,0,C23/B$17)</f>
        <v>9000.6600660066015</v>
      </c>
      <c r="C23" s="41">
        <v>2727200</v>
      </c>
      <c r="E23" s="63" t="s">
        <v>88</v>
      </c>
      <c r="F23" s="60" t="s">
        <v>43</v>
      </c>
      <c r="G23" s="47">
        <v>1</v>
      </c>
      <c r="H23" s="133">
        <f>IF(B$17=0,0,G23/B$17)</f>
        <v>3.3003300330033004E-3</v>
      </c>
      <c r="I23" s="94">
        <v>5</v>
      </c>
      <c r="K23" s="38">
        <v>21</v>
      </c>
      <c r="L23" s="99">
        <v>468.3</v>
      </c>
      <c r="N23" s="115" t="s">
        <v>128</v>
      </c>
      <c r="O23" s="125">
        <f>IF(P23=0,0,Q23/P23)</f>
        <v>20.351428571428581</v>
      </c>
      <c r="P23" s="119">
        <v>70</v>
      </c>
      <c r="Q23" s="107">
        <v>1424.6000000000006</v>
      </c>
    </row>
    <row r="24" spans="1:17" x14ac:dyDescent="0.4">
      <c r="A24" s="57" t="s">
        <v>14</v>
      </c>
      <c r="B24" s="52">
        <f>IF(B$20=0,0,C24/B$20)</f>
        <v>-8029.5081967213118</v>
      </c>
      <c r="C24" s="45">
        <v>-979600</v>
      </c>
      <c r="E24" s="63" t="s">
        <v>91</v>
      </c>
      <c r="F24" s="60" t="s">
        <v>46</v>
      </c>
      <c r="G24" s="47">
        <v>1</v>
      </c>
      <c r="H24" s="133">
        <f>IF(B$17=0,0,G24/B$17)</f>
        <v>3.3003300330033004E-3</v>
      </c>
      <c r="I24" s="94">
        <v>1</v>
      </c>
      <c r="K24" s="38">
        <v>22</v>
      </c>
      <c r="L24" s="99">
        <v>519.20000000000005</v>
      </c>
      <c r="N24" s="115" t="s">
        <v>171</v>
      </c>
      <c r="O24" s="125">
        <f>IF(P24=0,0,Q24/P24)</f>
        <v>11.24571428571428</v>
      </c>
      <c r="P24" s="119">
        <v>35</v>
      </c>
      <c r="Q24" s="107">
        <v>393.5999999999998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3.3003300330033004E-3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3.3003300330033004E-3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3.3003300330033004E-3</v>
      </c>
      <c r="I27" s="94">
        <v>2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9764E-8D87-46A1-A1E6-921046783E69}">
  <sheetPr codeName="Sheet9"/>
  <dimension ref="A1:Q10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103</v>
      </c>
      <c r="C2" s="147"/>
      <c r="E2" s="62" t="s">
        <v>67</v>
      </c>
      <c r="F2" s="59" t="s">
        <v>23</v>
      </c>
      <c r="G2" s="46">
        <v>177</v>
      </c>
      <c r="H2" s="132">
        <f>IF(B$17=0,0,G2/B$17)</f>
        <v>0.75641025641025639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466.01941747572818</v>
      </c>
      <c r="P2" s="118">
        <v>103</v>
      </c>
      <c r="Q2" s="102">
        <v>48000</v>
      </c>
    </row>
    <row r="3" spans="1:17" x14ac:dyDescent="0.4">
      <c r="A3" s="55" t="s">
        <v>8</v>
      </c>
      <c r="B3" s="148">
        <v>861</v>
      </c>
      <c r="C3" s="149"/>
      <c r="E3" s="63" t="s">
        <v>65</v>
      </c>
      <c r="F3" s="60" t="s">
        <v>21</v>
      </c>
      <c r="G3" s="47">
        <v>140</v>
      </c>
      <c r="H3" s="133">
        <f>IF(B$17=0,0,G3/B$17)</f>
        <v>0.59829059829059827</v>
      </c>
      <c r="I3" s="94">
        <v>4</v>
      </c>
      <c r="K3" s="38">
        <v>1</v>
      </c>
      <c r="L3" s="99">
        <v>45.5</v>
      </c>
      <c r="N3" s="115" t="s">
        <v>133</v>
      </c>
      <c r="O3" s="122">
        <f t="shared" si="0"/>
        <v>-2807.9207920792078</v>
      </c>
      <c r="P3" s="119">
        <v>101</v>
      </c>
      <c r="Q3" s="103">
        <v>-283600</v>
      </c>
    </row>
    <row r="4" spans="1:17" x14ac:dyDescent="0.4">
      <c r="A4" s="55" t="s">
        <v>6</v>
      </c>
      <c r="B4" s="150">
        <v>-428.50000000000006</v>
      </c>
      <c r="C4" s="151"/>
      <c r="E4" s="63" t="s">
        <v>73</v>
      </c>
      <c r="F4" s="60" t="s">
        <v>28</v>
      </c>
      <c r="G4" s="47">
        <v>104</v>
      </c>
      <c r="H4" s="133">
        <f>IF(B$17=0,0,G4/B$17)</f>
        <v>0.44444444444444442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-736.73469387755097</v>
      </c>
      <c r="P4" s="119">
        <v>98</v>
      </c>
      <c r="Q4" s="103">
        <v>-72200</v>
      </c>
    </row>
    <row r="5" spans="1:17" x14ac:dyDescent="0.4">
      <c r="A5" s="55" t="s">
        <v>7</v>
      </c>
      <c r="B5" s="152">
        <f>IF(B$2=0,0,B$4/B$2)</f>
        <v>-4.1601941747572821</v>
      </c>
      <c r="C5" s="153"/>
      <c r="E5" s="63" t="s">
        <v>181</v>
      </c>
      <c r="F5" s="60" t="s">
        <v>182</v>
      </c>
      <c r="G5" s="47">
        <v>101</v>
      </c>
      <c r="H5" s="133">
        <f>IF(B$17=0,0,G5/B$17)</f>
        <v>0.43162393162393164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561.36363636363637</v>
      </c>
      <c r="P5" s="119">
        <v>88</v>
      </c>
      <c r="Q5" s="103">
        <v>49400</v>
      </c>
    </row>
    <row r="6" spans="1:17" x14ac:dyDescent="0.4">
      <c r="A6" s="55" t="s">
        <v>1</v>
      </c>
      <c r="B6" s="142">
        <f>IF(B$2=0,0,(B$7*1+B$8*2+B$9*3)/B$2)</f>
        <v>2.0970873786407767</v>
      </c>
      <c r="C6" s="143"/>
      <c r="E6" s="63" t="s">
        <v>68</v>
      </c>
      <c r="F6" s="60" t="s">
        <v>24</v>
      </c>
      <c r="G6" s="47">
        <v>84</v>
      </c>
      <c r="H6" s="133">
        <f>IF(B$17=0,0,G6/B$17)</f>
        <v>0.35897435897435898</v>
      </c>
      <c r="I6" s="94">
        <v>7</v>
      </c>
      <c r="K6" s="38">
        <v>4</v>
      </c>
      <c r="L6" s="99">
        <v>13.599999999999994</v>
      </c>
      <c r="N6" s="115" t="s">
        <v>136</v>
      </c>
      <c r="O6" s="122">
        <f t="shared" si="0"/>
        <v>43.75</v>
      </c>
      <c r="P6" s="119">
        <v>80</v>
      </c>
      <c r="Q6" s="103">
        <v>3500</v>
      </c>
    </row>
    <row r="7" spans="1:17" x14ac:dyDescent="0.4">
      <c r="A7" s="55" t="s">
        <v>2</v>
      </c>
      <c r="B7" s="47">
        <v>27</v>
      </c>
      <c r="C7" s="39">
        <f>IF(B$2=0,0,B7/B$2)</f>
        <v>0.26213592233009708</v>
      </c>
      <c r="E7" s="63" t="s">
        <v>69</v>
      </c>
      <c r="F7" s="60" t="s">
        <v>12</v>
      </c>
      <c r="G7" s="47">
        <v>80</v>
      </c>
      <c r="H7" s="133">
        <f>IF(B$17=0,0,G7/B$17)</f>
        <v>0.34188034188034189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0"/>
        <v>352</v>
      </c>
      <c r="P7" s="120">
        <v>75</v>
      </c>
      <c r="Q7" s="104">
        <v>26400</v>
      </c>
    </row>
    <row r="8" spans="1:17" x14ac:dyDescent="0.4">
      <c r="A8" s="55" t="s">
        <v>3</v>
      </c>
      <c r="B8" s="47">
        <v>39</v>
      </c>
      <c r="C8" s="39">
        <f>IF(B$2=0,0,B8/B$2)</f>
        <v>0.37864077669902912</v>
      </c>
      <c r="E8" s="63" t="s">
        <v>70</v>
      </c>
      <c r="F8" s="60" t="s">
        <v>25</v>
      </c>
      <c r="G8" s="47">
        <v>53</v>
      </c>
      <c r="H8" s="133">
        <f>IF(B$17=0,0,G8/B$17)</f>
        <v>0.2264957264957265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37</v>
      </c>
      <c r="C9" s="40">
        <f t="shared" ref="C9" si="1">IF(B$2=0,0,B9/B$2)</f>
        <v>0.35922330097087379</v>
      </c>
      <c r="E9" s="63" t="s">
        <v>66</v>
      </c>
      <c r="F9" s="60" t="s">
        <v>22</v>
      </c>
      <c r="G9" s="47">
        <v>39</v>
      </c>
      <c r="H9" s="133">
        <f>IF(B$17=0,0,G9/B$17)</f>
        <v>0.16666666666666666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0.13592233009708737</v>
      </c>
      <c r="E10" s="63" t="s">
        <v>71</v>
      </c>
      <c r="F10" s="60" t="s">
        <v>26</v>
      </c>
      <c r="G10" s="47">
        <v>28</v>
      </c>
      <c r="H10" s="133">
        <f>IF(B$17=0,0,G10/B$17)</f>
        <v>0.11965811965811966</v>
      </c>
      <c r="I10" s="94">
        <v>4</v>
      </c>
      <c r="K10" s="38">
        <v>8</v>
      </c>
      <c r="L10" s="99">
        <v>-49.6</v>
      </c>
      <c r="N10" s="114" t="s">
        <v>164</v>
      </c>
      <c r="O10" s="124">
        <f>IF(P10=0,0,Q10/P10)</f>
        <v>-6.4000000000000012</v>
      </c>
      <c r="P10" s="118">
        <v>55</v>
      </c>
      <c r="Q10" s="106">
        <v>-352.00000000000006</v>
      </c>
    </row>
    <row r="11" spans="1:17" x14ac:dyDescent="0.4">
      <c r="A11" s="56" t="s">
        <v>140</v>
      </c>
      <c r="B11" s="48">
        <v>8</v>
      </c>
      <c r="C11" s="40">
        <f>IF(B$2=0,0,B11/B$2)</f>
        <v>7.7669902912621352E-2</v>
      </c>
      <c r="E11" s="63" t="s">
        <v>90</v>
      </c>
      <c r="F11" s="60" t="s">
        <v>45</v>
      </c>
      <c r="G11" s="47">
        <v>22</v>
      </c>
      <c r="H11" s="133">
        <f>IF(B$17=0,0,G11/B$17)</f>
        <v>9.4017094017094016E-2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-8.1363636363636331</v>
      </c>
      <c r="P11" s="119">
        <v>22</v>
      </c>
      <c r="Q11" s="107">
        <v>-178.99999999999994</v>
      </c>
    </row>
    <row r="12" spans="1:17" x14ac:dyDescent="0.4">
      <c r="A12" s="57" t="s">
        <v>160</v>
      </c>
      <c r="B12" s="49">
        <v>7</v>
      </c>
      <c r="C12" s="42">
        <f>IF(B$2=0,0,B12/B$2)</f>
        <v>6.7961165048543687E-2</v>
      </c>
      <c r="E12" s="63" t="s">
        <v>87</v>
      </c>
      <c r="F12" s="60" t="s">
        <v>42</v>
      </c>
      <c r="G12" s="47">
        <v>13</v>
      </c>
      <c r="H12" s="133">
        <f>IF(B$17=0,0,G12/B$17)</f>
        <v>5.5555555555555552E-2</v>
      </c>
      <c r="I12" s="94">
        <v>7</v>
      </c>
      <c r="K12" s="38">
        <v>10</v>
      </c>
      <c r="L12" s="99">
        <v>-80.900000000000006</v>
      </c>
      <c r="N12" s="116" t="s">
        <v>166</v>
      </c>
      <c r="O12" s="126">
        <f>IF(P12=0,0,Q12/P12)</f>
        <v>3.9423076923076925</v>
      </c>
      <c r="P12" s="120">
        <v>26</v>
      </c>
      <c r="Q12" s="108">
        <v>102.5</v>
      </c>
    </row>
    <row r="13" spans="1:17" x14ac:dyDescent="0.4">
      <c r="A13" s="58" t="s">
        <v>122</v>
      </c>
      <c r="B13" s="50">
        <v>249</v>
      </c>
      <c r="C13" s="44">
        <f>IF(B$3=0,0,B13/B$3)</f>
        <v>0.28919860627177701</v>
      </c>
      <c r="E13" s="63" t="s">
        <v>72</v>
      </c>
      <c r="F13" s="60" t="s">
        <v>27</v>
      </c>
      <c r="G13" s="47">
        <v>12</v>
      </c>
      <c r="H13" s="133">
        <f>IF(B$17=0,0,G13/B$17)</f>
        <v>5.128205128205128E-2</v>
      </c>
      <c r="I13" s="94">
        <v>8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157</v>
      </c>
      <c r="C14" s="39">
        <f>IF(B$3=0,0,B14/B$3)</f>
        <v>0.18234610917537747</v>
      </c>
      <c r="E14" s="63" t="s">
        <v>82</v>
      </c>
      <c r="F14" s="60" t="s">
        <v>37</v>
      </c>
      <c r="G14" s="47">
        <v>8</v>
      </c>
      <c r="H14" s="133">
        <f>IF(B$17=0,0,G14/B$17)</f>
        <v>3.4188034188034191E-2</v>
      </c>
      <c r="I14" s="94">
        <v>5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148</v>
      </c>
      <c r="C15" s="37">
        <f>IF(B$13=0,0,B15/B$13)</f>
        <v>0.59437751004016059</v>
      </c>
      <c r="E15" s="63" t="s">
        <v>84</v>
      </c>
      <c r="F15" s="60" t="s">
        <v>39</v>
      </c>
      <c r="G15" s="47">
        <v>7</v>
      </c>
      <c r="H15" s="133">
        <f>IF(B$17=0,0,G15/B$17)</f>
        <v>2.9914529914529916E-2</v>
      </c>
      <c r="I15" s="94">
        <v>7</v>
      </c>
      <c r="K15" s="38">
        <v>13</v>
      </c>
      <c r="L15" s="99">
        <v>-81.900000000000006</v>
      </c>
      <c r="N15" s="114" t="s">
        <v>186</v>
      </c>
      <c r="O15" s="124">
        <f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44</v>
      </c>
      <c r="C16" s="37">
        <f>IF(B$14=0,0,B16/B$14)</f>
        <v>0.28025477707006369</v>
      </c>
      <c r="E16" s="63" t="s">
        <v>92</v>
      </c>
      <c r="F16" s="60" t="s">
        <v>47</v>
      </c>
      <c r="G16" s="47">
        <v>6</v>
      </c>
      <c r="H16" s="133">
        <f>IF(B$17=0,0,G16/B$17)</f>
        <v>2.564102564102564E-2</v>
      </c>
      <c r="I16" s="94">
        <v>2</v>
      </c>
      <c r="K16" s="38">
        <v>14</v>
      </c>
      <c r="L16" s="99">
        <v>-25.600000000000009</v>
      </c>
      <c r="N16" s="115" t="s">
        <v>129</v>
      </c>
      <c r="O16" s="125">
        <f>IF(P16=0,0,Q16/P16)</f>
        <v>8.0821428571428537</v>
      </c>
      <c r="P16" s="119">
        <v>28</v>
      </c>
      <c r="Q16" s="107">
        <v>226.2999999999999</v>
      </c>
    </row>
    <row r="17" spans="1:17" x14ac:dyDescent="0.4">
      <c r="A17" s="54" t="s">
        <v>10</v>
      </c>
      <c r="B17" s="46">
        <f>B19+B18</f>
        <v>234</v>
      </c>
      <c r="C17" s="37">
        <f>IF(B$3=0,0,B17/B$3)</f>
        <v>0.27177700348432055</v>
      </c>
      <c r="E17" s="63" t="s">
        <v>80</v>
      </c>
      <c r="F17" s="60" t="s">
        <v>35</v>
      </c>
      <c r="G17" s="47">
        <v>4</v>
      </c>
      <c r="H17" s="133">
        <f>IF(B$17=0,0,G17/B$17)</f>
        <v>1.7094017094017096E-2</v>
      </c>
      <c r="I17" s="94">
        <v>3</v>
      </c>
      <c r="K17" s="38">
        <v>15</v>
      </c>
      <c r="L17" s="99">
        <v>47.999999999999986</v>
      </c>
      <c r="N17" s="115" t="s">
        <v>172</v>
      </c>
      <c r="O17" s="125">
        <f>IF(P17=0,0,Q17/P17)</f>
        <v>1.070000000000001</v>
      </c>
      <c r="P17" s="119">
        <v>30</v>
      </c>
      <c r="Q17" s="107">
        <v>32.10000000000003</v>
      </c>
    </row>
    <row r="18" spans="1:17" x14ac:dyDescent="0.4">
      <c r="A18" s="55" t="s">
        <v>12</v>
      </c>
      <c r="B18" s="47">
        <v>101</v>
      </c>
      <c r="C18" s="39">
        <f>IF(B$17=0,0,B18/B$17)</f>
        <v>0.43162393162393164</v>
      </c>
      <c r="E18" s="63" t="s">
        <v>180</v>
      </c>
      <c r="F18" s="60" t="s">
        <v>183</v>
      </c>
      <c r="G18" s="47">
        <v>4</v>
      </c>
      <c r="H18" s="133">
        <f>IF(B$17=0,0,G18/B$17)</f>
        <v>1.7094017094017096E-2</v>
      </c>
      <c r="I18" s="94">
        <v>2</v>
      </c>
      <c r="K18" s="38">
        <v>16</v>
      </c>
      <c r="L18" s="99">
        <v>41.699999999999989</v>
      </c>
      <c r="N18" s="115" t="s">
        <v>171</v>
      </c>
      <c r="O18" s="125">
        <f>IF(P18=0,0,Q18/P18)</f>
        <v>-1.2333333333333267</v>
      </c>
      <c r="P18" s="119">
        <v>30</v>
      </c>
      <c r="Q18" s="107">
        <v>-36.999999999999801</v>
      </c>
    </row>
    <row r="19" spans="1:17" x14ac:dyDescent="0.4">
      <c r="A19" s="55" t="s">
        <v>11</v>
      </c>
      <c r="B19" s="47">
        <v>133</v>
      </c>
      <c r="C19" s="39">
        <f>IF(B$17=0,0,B19/B$17)</f>
        <v>0.56837606837606836</v>
      </c>
      <c r="E19" s="63" t="s">
        <v>74</v>
      </c>
      <c r="F19" s="60" t="s">
        <v>29</v>
      </c>
      <c r="G19" s="47">
        <v>2</v>
      </c>
      <c r="H19" s="133">
        <f>IF(B$17=0,0,G19/B$17)</f>
        <v>8.5470085470085479E-3</v>
      </c>
      <c r="I19" s="94">
        <v>3</v>
      </c>
      <c r="K19" s="38">
        <v>17</v>
      </c>
      <c r="L19" s="99">
        <v>94.6</v>
      </c>
      <c r="N19" s="115" t="s">
        <v>173</v>
      </c>
      <c r="O19" s="125">
        <f>IF(P19=0,0,Q19/P19)</f>
        <v>-3.6750000000000007</v>
      </c>
      <c r="P19" s="119">
        <v>20</v>
      </c>
      <c r="Q19" s="107">
        <v>-73.500000000000014</v>
      </c>
    </row>
    <row r="20" spans="1:17" x14ac:dyDescent="0.4">
      <c r="A20" s="55" t="s">
        <v>13</v>
      </c>
      <c r="B20" s="47">
        <v>150</v>
      </c>
      <c r="C20" s="39">
        <f>IF(B$3=0,0,B20/B$3)</f>
        <v>0.17421602787456447</v>
      </c>
      <c r="E20" s="63" t="s">
        <v>75</v>
      </c>
      <c r="F20" s="60" t="s">
        <v>30</v>
      </c>
      <c r="G20" s="47">
        <v>2</v>
      </c>
      <c r="H20" s="133">
        <f>IF(B$17=0,0,G20/B$17)</f>
        <v>8.5470085470085479E-3</v>
      </c>
      <c r="I20" s="94">
        <v>2</v>
      </c>
      <c r="K20" s="38">
        <v>18</v>
      </c>
      <c r="L20" s="99">
        <v>116.69999999999999</v>
      </c>
      <c r="N20" s="115" t="s">
        <v>202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76</v>
      </c>
      <c r="F21" s="60" t="s">
        <v>31</v>
      </c>
      <c r="G21" s="47">
        <v>2</v>
      </c>
      <c r="H21" s="133">
        <f>IF(B$17=0,0,G21/B$17)</f>
        <v>8.5470085470085479E-3</v>
      </c>
      <c r="I21" s="94">
        <v>4</v>
      </c>
      <c r="K21" s="38">
        <v>19</v>
      </c>
      <c r="L21" s="99">
        <v>138.79999999999998</v>
      </c>
      <c r="N21" s="115" t="s">
        <v>177</v>
      </c>
      <c r="O21" s="125">
        <f>IF(P21=0,0,Q21/P21)</f>
        <v>-6.5650000000000004</v>
      </c>
      <c r="P21" s="119">
        <v>20</v>
      </c>
      <c r="Q21" s="107">
        <v>-131.30000000000001</v>
      </c>
    </row>
    <row r="22" spans="1:17" x14ac:dyDescent="0.4">
      <c r="A22" s="55" t="s">
        <v>194</v>
      </c>
      <c r="B22" s="47">
        <v>24</v>
      </c>
      <c r="C22" s="135">
        <v>6</v>
      </c>
      <c r="E22" s="63" t="s">
        <v>79</v>
      </c>
      <c r="F22" s="60" t="s">
        <v>34</v>
      </c>
      <c r="G22" s="47">
        <v>2</v>
      </c>
      <c r="H22" s="133">
        <f>IF(B$17=0,0,G22/B$17)</f>
        <v>8.5470085470085479E-3</v>
      </c>
      <c r="I22" s="94">
        <v>10</v>
      </c>
      <c r="K22" s="38">
        <v>20</v>
      </c>
      <c r="L22" s="99">
        <v>164.49999999999997</v>
      </c>
      <c r="N22" s="115" t="s">
        <v>127</v>
      </c>
      <c r="O22" s="125">
        <f>IF(P22=0,0,Q22/P22)</f>
        <v>-20.351428571428581</v>
      </c>
      <c r="P22" s="119">
        <v>70</v>
      </c>
      <c r="Q22" s="107">
        <v>-1424.6000000000006</v>
      </c>
    </row>
    <row r="23" spans="1:17" x14ac:dyDescent="0.4">
      <c r="A23" s="55" t="s">
        <v>5</v>
      </c>
      <c r="B23" s="51">
        <f>IF(B$17=0,0,C23/B$17)</f>
        <v>9169.2307692307695</v>
      </c>
      <c r="C23" s="41">
        <v>2145600</v>
      </c>
      <c r="E23" s="63" t="s">
        <v>78</v>
      </c>
      <c r="F23" s="60" t="s">
        <v>33</v>
      </c>
      <c r="G23" s="47">
        <v>1</v>
      </c>
      <c r="H23" s="133">
        <f>IF(B$17=0,0,G23/B$17)</f>
        <v>4.2735042735042739E-3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-7688.666666666667</v>
      </c>
      <c r="C24" s="45">
        <v>-1153300</v>
      </c>
      <c r="E24" s="63" t="s">
        <v>85</v>
      </c>
      <c r="F24" s="60" t="s">
        <v>40</v>
      </c>
      <c r="G24" s="47">
        <v>1</v>
      </c>
      <c r="H24" s="133">
        <f>IF(B$17=0,0,G24/B$17)</f>
        <v>4.2735042735042739E-3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4.2735042735042739E-3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4.2735042735042739E-3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5.8072009291521487E-3</v>
      </c>
      <c r="E27" s="63" t="s">
        <v>94</v>
      </c>
      <c r="F27" s="60" t="s">
        <v>49</v>
      </c>
      <c r="G27" s="47">
        <v>1</v>
      </c>
      <c r="H27" s="133">
        <f>IF(B$17=0,0,G27/B$17)</f>
        <v>4.2735042735042739E-3</v>
      </c>
      <c r="I27" s="94">
        <v>2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4.2735042735042739E-3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23613-81DB-484A-A307-027175D1520D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45</v>
      </c>
      <c r="C2" s="147"/>
      <c r="E2" s="62" t="s">
        <v>67</v>
      </c>
      <c r="F2" s="59" t="s">
        <v>23</v>
      </c>
      <c r="G2" s="46">
        <v>66</v>
      </c>
      <c r="H2" s="132">
        <f>IF(B$17=0,0,G2/B$17)</f>
        <v>0.83544303797468356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-2462.2222222222222</v>
      </c>
      <c r="P2" s="118">
        <v>45</v>
      </c>
      <c r="Q2" s="102">
        <v>-110800</v>
      </c>
    </row>
    <row r="3" spans="1:17" x14ac:dyDescent="0.4">
      <c r="A3" s="55" t="s">
        <v>8</v>
      </c>
      <c r="B3" s="148">
        <v>360</v>
      </c>
      <c r="C3" s="149"/>
      <c r="E3" s="63" t="s">
        <v>65</v>
      </c>
      <c r="F3" s="60" t="s">
        <v>21</v>
      </c>
      <c r="G3" s="47">
        <v>47</v>
      </c>
      <c r="H3" s="133">
        <f>IF(B$17=0,0,G3/B$17)</f>
        <v>0.59493670886075944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-2724.4444444444443</v>
      </c>
      <c r="P3" s="119">
        <v>45</v>
      </c>
      <c r="Q3" s="103">
        <v>-122600</v>
      </c>
    </row>
    <row r="4" spans="1:17" x14ac:dyDescent="0.4">
      <c r="A4" s="55" t="s">
        <v>6</v>
      </c>
      <c r="B4" s="150">
        <v>-784.89999999999975</v>
      </c>
      <c r="C4" s="151"/>
      <c r="E4" s="63" t="s">
        <v>68</v>
      </c>
      <c r="F4" s="60" t="s">
        <v>24</v>
      </c>
      <c r="G4" s="47">
        <v>37</v>
      </c>
      <c r="H4" s="133">
        <f>IF(B$17=0,0,G4/B$17)</f>
        <v>0.46835443037974683</v>
      </c>
      <c r="I4" s="94">
        <v>4</v>
      </c>
      <c r="K4" s="38">
        <v>2</v>
      </c>
      <c r="L4" s="99">
        <v>-3.3999999999999986</v>
      </c>
      <c r="N4" s="115" t="s">
        <v>134</v>
      </c>
      <c r="O4" s="122">
        <f t="shared" si="0"/>
        <v>-407.14285714285717</v>
      </c>
      <c r="P4" s="119">
        <v>42</v>
      </c>
      <c r="Q4" s="103">
        <v>-17100</v>
      </c>
    </row>
    <row r="5" spans="1:17" x14ac:dyDescent="0.4">
      <c r="A5" s="55" t="s">
        <v>7</v>
      </c>
      <c r="B5" s="152">
        <f>IF(B$2=0,0,B$4/B$2)</f>
        <v>-17.442222222222217</v>
      </c>
      <c r="C5" s="153"/>
      <c r="E5" s="63" t="s">
        <v>69</v>
      </c>
      <c r="F5" s="60" t="s">
        <v>12</v>
      </c>
      <c r="G5" s="47">
        <v>32</v>
      </c>
      <c r="H5" s="133">
        <f>IF(B$17=0,0,G5/B$17)</f>
        <v>0.4050632911392405</v>
      </c>
      <c r="I5" s="94">
        <v>4</v>
      </c>
      <c r="K5" s="38">
        <v>3</v>
      </c>
      <c r="L5" s="99">
        <v>-23.099999999999998</v>
      </c>
      <c r="N5" s="115" t="s">
        <v>135</v>
      </c>
      <c r="O5" s="122">
        <f t="shared" si="0"/>
        <v>-5472.2222222222226</v>
      </c>
      <c r="P5" s="119">
        <v>36</v>
      </c>
      <c r="Q5" s="103">
        <v>-197000</v>
      </c>
    </row>
    <row r="6" spans="1:17" x14ac:dyDescent="0.4">
      <c r="A6" s="55" t="s">
        <v>1</v>
      </c>
      <c r="B6" s="142">
        <f>IF(B$2=0,0,(B$7*1+B$8*2+B$9*3)/B$2)</f>
        <v>2.2888888888888888</v>
      </c>
      <c r="C6" s="143"/>
      <c r="E6" s="63" t="s">
        <v>181</v>
      </c>
      <c r="F6" s="60" t="s">
        <v>182</v>
      </c>
      <c r="G6" s="47">
        <v>32</v>
      </c>
      <c r="H6" s="133">
        <f>IF(B$17=0,0,G6/B$17)</f>
        <v>0.4050632911392405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-737.5</v>
      </c>
      <c r="P6" s="119">
        <v>32</v>
      </c>
      <c r="Q6" s="103">
        <v>-23600</v>
      </c>
    </row>
    <row r="7" spans="1:17" x14ac:dyDescent="0.4">
      <c r="A7" s="55" t="s">
        <v>2</v>
      </c>
      <c r="B7" s="47">
        <v>11</v>
      </c>
      <c r="C7" s="39">
        <f>IF(B$2=0,0,B7/B$2)</f>
        <v>0.24444444444444444</v>
      </c>
      <c r="E7" s="63" t="s">
        <v>73</v>
      </c>
      <c r="F7" s="60" t="s">
        <v>28</v>
      </c>
      <c r="G7" s="47">
        <v>24</v>
      </c>
      <c r="H7" s="133">
        <f>IF(B$17=0,0,G7/B$17)</f>
        <v>0.30379746835443039</v>
      </c>
      <c r="I7" s="94">
        <v>12</v>
      </c>
      <c r="K7" s="38">
        <v>5</v>
      </c>
      <c r="L7" s="99">
        <v>-32.199999999999996</v>
      </c>
      <c r="N7" s="116" t="s">
        <v>137</v>
      </c>
      <c r="O7" s="123">
        <f t="shared" si="0"/>
        <v>-1563.3333333333333</v>
      </c>
      <c r="P7" s="120">
        <v>30</v>
      </c>
      <c r="Q7" s="104">
        <v>-46900</v>
      </c>
    </row>
    <row r="8" spans="1:17" x14ac:dyDescent="0.4">
      <c r="A8" s="55" t="s">
        <v>3</v>
      </c>
      <c r="B8" s="47">
        <v>10</v>
      </c>
      <c r="C8" s="39">
        <f>IF(B$2=0,0,B8/B$2)</f>
        <v>0.22222222222222221</v>
      </c>
      <c r="E8" s="63" t="s">
        <v>70</v>
      </c>
      <c r="F8" s="60" t="s">
        <v>25</v>
      </c>
      <c r="G8" s="47">
        <v>20</v>
      </c>
      <c r="H8" s="133">
        <f>IF(B$17=0,0,G8/B$17)</f>
        <v>0.25316455696202533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24</v>
      </c>
      <c r="C9" s="40">
        <f t="shared" ref="C9" si="1">IF(B$2=0,0,B9/B$2)</f>
        <v>0.53333333333333333</v>
      </c>
      <c r="E9" s="63" t="s">
        <v>71</v>
      </c>
      <c r="F9" s="60" t="s">
        <v>26</v>
      </c>
      <c r="G9" s="47">
        <v>16</v>
      </c>
      <c r="H9" s="133">
        <f>IF(B$17=0,0,G9/B$17)</f>
        <v>0.20253164556962025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0.17777777777777778</v>
      </c>
      <c r="E10" s="63" t="s">
        <v>72</v>
      </c>
      <c r="F10" s="60" t="s">
        <v>27</v>
      </c>
      <c r="G10" s="47">
        <v>10</v>
      </c>
      <c r="H10" s="133">
        <f>IF(B$17=0,0,G10/B$17)</f>
        <v>0.12658227848101267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-22.106249999999996</v>
      </c>
      <c r="P10" s="118">
        <v>16</v>
      </c>
      <c r="Q10" s="106">
        <v>-353.69999999999993</v>
      </c>
    </row>
    <row r="11" spans="1:17" x14ac:dyDescent="0.4">
      <c r="A11" s="56" t="s">
        <v>140</v>
      </c>
      <c r="B11" s="48">
        <v>4</v>
      </c>
      <c r="C11" s="40">
        <f>IF(B$2=0,0,B11/B$2)</f>
        <v>8.8888888888888892E-2</v>
      </c>
      <c r="E11" s="63" t="s">
        <v>90</v>
      </c>
      <c r="F11" s="60" t="s">
        <v>45</v>
      </c>
      <c r="G11" s="47">
        <v>7</v>
      </c>
      <c r="H11" s="133">
        <f>IF(B$17=0,0,G11/B$17)</f>
        <v>8.8607594936708861E-2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-16.200000000000006</v>
      </c>
      <c r="P11" s="119">
        <v>17</v>
      </c>
      <c r="Q11" s="107">
        <v>-275.40000000000009</v>
      </c>
    </row>
    <row r="12" spans="1:17" x14ac:dyDescent="0.4">
      <c r="A12" s="57" t="s">
        <v>160</v>
      </c>
      <c r="B12" s="49">
        <v>4</v>
      </c>
      <c r="C12" s="42">
        <f>IF(B$2=0,0,B12/B$2)</f>
        <v>8.8888888888888892E-2</v>
      </c>
      <c r="E12" s="63" t="s">
        <v>66</v>
      </c>
      <c r="F12" s="60" t="s">
        <v>22</v>
      </c>
      <c r="G12" s="47">
        <v>6</v>
      </c>
      <c r="H12" s="133">
        <f>IF(B$17=0,0,G12/B$17)</f>
        <v>7.5949367088607597E-2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-12.983333333333333</v>
      </c>
      <c r="P12" s="120">
        <v>12</v>
      </c>
      <c r="Q12" s="108">
        <v>-155.79999999999998</v>
      </c>
    </row>
    <row r="13" spans="1:17" x14ac:dyDescent="0.4">
      <c r="A13" s="58" t="s">
        <v>122</v>
      </c>
      <c r="B13" s="50">
        <v>92</v>
      </c>
      <c r="C13" s="44">
        <f>IF(B$3=0,0,B13/B$3)</f>
        <v>0.25555555555555554</v>
      </c>
      <c r="E13" s="63" t="s">
        <v>87</v>
      </c>
      <c r="F13" s="60" t="s">
        <v>42</v>
      </c>
      <c r="G13" s="47">
        <v>6</v>
      </c>
      <c r="H13" s="133">
        <f>IF(B$17=0,0,G13/B$17)</f>
        <v>7.5949367088607597E-2</v>
      </c>
      <c r="I13" s="94">
        <v>3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57</v>
      </c>
      <c r="C14" s="39">
        <f>IF(B$3=0,0,B14/B$3)</f>
        <v>0.15833333333333333</v>
      </c>
      <c r="E14" s="63" t="s">
        <v>78</v>
      </c>
      <c r="F14" s="60" t="s">
        <v>33</v>
      </c>
      <c r="G14" s="47">
        <v>1</v>
      </c>
      <c r="H14" s="133">
        <f>IF(B$17=0,0,G14/B$17)</f>
        <v>1.2658227848101266E-2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49</v>
      </c>
      <c r="C15" s="37">
        <f>IF(B$13=0,0,B15/B$13)</f>
        <v>0.53260869565217395</v>
      </c>
      <c r="E15" s="63" t="s">
        <v>79</v>
      </c>
      <c r="F15" s="60" t="s">
        <v>34</v>
      </c>
      <c r="G15" s="47">
        <v>1</v>
      </c>
      <c r="H15" s="133">
        <f>IF(B$17=0,0,G15/B$17)</f>
        <v>1.2658227848101266E-2</v>
      </c>
      <c r="I15" s="94">
        <v>8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11</v>
      </c>
      <c r="C16" s="37">
        <f>IF(B$14=0,0,B16/B$14)</f>
        <v>0.19298245614035087</v>
      </c>
      <c r="E16" s="63" t="s">
        <v>80</v>
      </c>
      <c r="F16" s="60" t="s">
        <v>35</v>
      </c>
      <c r="G16" s="47">
        <v>1</v>
      </c>
      <c r="H16" s="133">
        <f>IF(B$17=0,0,G16/B$17)</f>
        <v>1.2658227848101266E-2</v>
      </c>
      <c r="I16" s="94">
        <v>6</v>
      </c>
      <c r="K16" s="38">
        <v>14</v>
      </c>
      <c r="L16" s="99">
        <v>-394.6</v>
      </c>
      <c r="N16" s="115" t="s">
        <v>177</v>
      </c>
      <c r="O16" s="125">
        <f>IF(P16=0,0,Q16/P16)</f>
        <v>15.580000000000002</v>
      </c>
      <c r="P16" s="119">
        <v>5</v>
      </c>
      <c r="Q16" s="107">
        <v>77.900000000000006</v>
      </c>
    </row>
    <row r="17" spans="1:17" x14ac:dyDescent="0.4">
      <c r="A17" s="54" t="s">
        <v>10</v>
      </c>
      <c r="B17" s="46">
        <f>B19+B18</f>
        <v>79</v>
      </c>
      <c r="C17" s="37">
        <f>IF(B$3=0,0,B17/B$3)</f>
        <v>0.21944444444444444</v>
      </c>
      <c r="E17" s="63" t="s">
        <v>82</v>
      </c>
      <c r="F17" s="60" t="s">
        <v>37</v>
      </c>
      <c r="G17" s="47">
        <v>1</v>
      </c>
      <c r="H17" s="133">
        <f>IF(B$17=0,0,G17/B$17)</f>
        <v>1.2658227848101266E-2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-8.082142857142852</v>
      </c>
      <c r="P17" s="119">
        <v>28</v>
      </c>
      <c r="Q17" s="107">
        <v>-226.29999999999984</v>
      </c>
    </row>
    <row r="18" spans="1:17" x14ac:dyDescent="0.4">
      <c r="A18" s="55" t="s">
        <v>12</v>
      </c>
      <c r="B18" s="47">
        <v>39</v>
      </c>
      <c r="C18" s="39">
        <f>IF(B$17=0,0,B18/B$17)</f>
        <v>0.49367088607594939</v>
      </c>
      <c r="E18" s="63" t="s">
        <v>84</v>
      </c>
      <c r="F18" s="60" t="s">
        <v>39</v>
      </c>
      <c r="G18" s="47">
        <v>1</v>
      </c>
      <c r="H18" s="133">
        <f>IF(B$17=0,0,G18/B$17)</f>
        <v>1.2658227848101266E-2</v>
      </c>
      <c r="I18" s="94">
        <v>9</v>
      </c>
      <c r="K18" s="38">
        <v>16</v>
      </c>
      <c r="L18" s="99">
        <v>-472</v>
      </c>
      <c r="N18" s="115" t="s">
        <v>173</v>
      </c>
      <c r="O18" s="125">
        <f>IF(P18=0,0,Q18/P18)</f>
        <v>-30.299999999999994</v>
      </c>
      <c r="P18" s="119">
        <v>7</v>
      </c>
      <c r="Q18" s="107">
        <v>-212.09999999999997</v>
      </c>
    </row>
    <row r="19" spans="1:17" x14ac:dyDescent="0.4">
      <c r="A19" s="55" t="s">
        <v>11</v>
      </c>
      <c r="B19" s="47">
        <v>40</v>
      </c>
      <c r="C19" s="39">
        <f>IF(B$17=0,0,B19/B$17)</f>
        <v>0.50632911392405067</v>
      </c>
      <c r="E19" s="63" t="s">
        <v>88</v>
      </c>
      <c r="F19" s="60" t="s">
        <v>43</v>
      </c>
      <c r="G19" s="47">
        <v>1</v>
      </c>
      <c r="H19" s="133">
        <f>IF(B$17=0,0,G19/B$17)</f>
        <v>1.2658227848101266E-2</v>
      </c>
      <c r="I19" s="94">
        <v>1</v>
      </c>
      <c r="K19" s="38">
        <v>17</v>
      </c>
      <c r="L19" s="99">
        <v>-538.29999999999995</v>
      </c>
      <c r="N19" s="115" t="s">
        <v>171</v>
      </c>
      <c r="O19" s="125">
        <f>IF(P19=0,0,Q19/P19)</f>
        <v>-31.939999999999998</v>
      </c>
      <c r="P19" s="119">
        <v>10</v>
      </c>
      <c r="Q19" s="107">
        <v>-319.39999999999998</v>
      </c>
    </row>
    <row r="20" spans="1:17" x14ac:dyDescent="0.4">
      <c r="A20" s="55" t="s">
        <v>13</v>
      </c>
      <c r="B20" s="47">
        <v>72</v>
      </c>
      <c r="C20" s="39">
        <f>IF(B$3=0,0,B20/B$3)</f>
        <v>0.2</v>
      </c>
      <c r="E20" s="63" t="s">
        <v>89</v>
      </c>
      <c r="F20" s="60" t="s">
        <v>44</v>
      </c>
      <c r="G20" s="47">
        <v>1</v>
      </c>
      <c r="H20" s="133">
        <f>IF(B$17=0,0,G20/B$17)</f>
        <v>1.2658227848101266E-2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>IF(P20=0,0,Q20/P20)</f>
        <v>-43.362962962962989</v>
      </c>
      <c r="P20" s="119">
        <v>27</v>
      </c>
      <c r="Q20" s="107">
        <v>-1170.8000000000006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92</v>
      </c>
      <c r="F21" s="60" t="s">
        <v>47</v>
      </c>
      <c r="G21" s="47">
        <v>1</v>
      </c>
      <c r="H21" s="133">
        <f>IF(B$17=0,0,G21/B$17)</f>
        <v>1.2658227848101266E-2</v>
      </c>
      <c r="I21" s="94">
        <v>5</v>
      </c>
      <c r="K21" s="38">
        <v>19</v>
      </c>
      <c r="L21" s="99">
        <v>-569.49999999999989</v>
      </c>
      <c r="N21" s="115" t="s">
        <v>172</v>
      </c>
      <c r="O21" s="125">
        <f>IF(P21=0,0,Q21/P21)</f>
        <v>-46.581818181818171</v>
      </c>
      <c r="P21" s="119">
        <v>11</v>
      </c>
      <c r="Q21" s="107">
        <v>-512.39999999999986</v>
      </c>
    </row>
    <row r="22" spans="1:17" x14ac:dyDescent="0.4">
      <c r="A22" s="55" t="s">
        <v>194</v>
      </c>
      <c r="B22" s="47">
        <v>31</v>
      </c>
      <c r="C22" s="135">
        <v>2</v>
      </c>
      <c r="E22" s="63" t="s">
        <v>94</v>
      </c>
      <c r="F22" s="60" t="s">
        <v>49</v>
      </c>
      <c r="G22" s="47">
        <v>1</v>
      </c>
      <c r="H22" s="133">
        <f>IF(B$17=0,0,G22/B$17)</f>
        <v>1.2658227848101266E-2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>IF(P22=0,0,Q22/P22)</f>
        <v>-72.3</v>
      </c>
      <c r="P22" s="119">
        <v>1</v>
      </c>
      <c r="Q22" s="107">
        <v>-72.3</v>
      </c>
    </row>
    <row r="23" spans="1:17" x14ac:dyDescent="0.4">
      <c r="A23" s="55" t="s">
        <v>5</v>
      </c>
      <c r="B23" s="51">
        <f>IF(B$17=0,0,C23/B$17)</f>
        <v>8865.8227848101269</v>
      </c>
      <c r="C23" s="41">
        <v>700400</v>
      </c>
      <c r="E23" s="63" t="s">
        <v>74</v>
      </c>
      <c r="F23" s="60" t="s">
        <v>29</v>
      </c>
      <c r="G23" s="47">
        <v>0</v>
      </c>
      <c r="H23" s="133">
        <f>IF(B$17=0,0,G23/B$17)</f>
        <v>0</v>
      </c>
      <c r="I23" s="94">
        <v>6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-9261.1111111111113</v>
      </c>
      <c r="C24" s="45">
        <v>-666800</v>
      </c>
      <c r="E24" s="63" t="s">
        <v>75</v>
      </c>
      <c r="F24" s="60" t="s">
        <v>30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2.7777777777777779E-3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74144-109C-40C0-907C-AD4BE1F87313}">
  <sheetPr codeName="Sheet13"/>
  <dimension ref="A1:Q5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56</v>
      </c>
      <c r="C2" s="147"/>
      <c r="E2" s="62" t="s">
        <v>67</v>
      </c>
      <c r="F2" s="59" t="s">
        <v>23</v>
      </c>
      <c r="G2" s="46">
        <v>94</v>
      </c>
      <c r="H2" s="132">
        <f>IF(B$17=0,0,G2/B$17)</f>
        <v>0.77049180327868849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-1628.5714285714287</v>
      </c>
      <c r="P2" s="118">
        <v>56</v>
      </c>
      <c r="Q2" s="102">
        <v>-91200</v>
      </c>
    </row>
    <row r="3" spans="1:17" x14ac:dyDescent="0.4">
      <c r="A3" s="55" t="s">
        <v>8</v>
      </c>
      <c r="B3" s="148">
        <v>469</v>
      </c>
      <c r="C3" s="149"/>
      <c r="E3" s="63" t="s">
        <v>65</v>
      </c>
      <c r="F3" s="60" t="s">
        <v>21</v>
      </c>
      <c r="G3" s="47">
        <v>71</v>
      </c>
      <c r="H3" s="133">
        <f>IF(B$17=0,0,G3/B$17)</f>
        <v>0.58196721311475408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0"/>
        <v>1434.5454545454545</v>
      </c>
      <c r="P3" s="119">
        <v>55</v>
      </c>
      <c r="Q3" s="103">
        <v>78900</v>
      </c>
    </row>
    <row r="4" spans="1:17" x14ac:dyDescent="0.4">
      <c r="A4" s="55" t="s">
        <v>6</v>
      </c>
      <c r="B4" s="150">
        <v>-46.500000000000007</v>
      </c>
      <c r="C4" s="151"/>
      <c r="E4" s="63" t="s">
        <v>73</v>
      </c>
      <c r="F4" s="60" t="s">
        <v>28</v>
      </c>
      <c r="G4" s="47">
        <v>56</v>
      </c>
      <c r="H4" s="133">
        <f>IF(B$17=0,0,G4/B$17)</f>
        <v>0.45901639344262296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-22.641509433962263</v>
      </c>
      <c r="P4" s="119">
        <v>53</v>
      </c>
      <c r="Q4" s="103">
        <v>-1200</v>
      </c>
    </row>
    <row r="5" spans="1:17" x14ac:dyDescent="0.4">
      <c r="A5" s="55" t="s">
        <v>7</v>
      </c>
      <c r="B5" s="152">
        <f>IF(B$2=0,0,B$4/B$2)</f>
        <v>-0.83035714285714302</v>
      </c>
      <c r="C5" s="153"/>
      <c r="E5" s="63" t="s">
        <v>68</v>
      </c>
      <c r="F5" s="60" t="s">
        <v>24</v>
      </c>
      <c r="G5" s="47">
        <v>44</v>
      </c>
      <c r="H5" s="133">
        <f>IF(B$17=0,0,G5/B$17)</f>
        <v>0.36065573770491804</v>
      </c>
      <c r="I5" s="94">
        <v>6</v>
      </c>
      <c r="K5" s="38">
        <v>3</v>
      </c>
      <c r="L5" s="99">
        <v>-60.100000000000009</v>
      </c>
      <c r="N5" s="115" t="s">
        <v>135</v>
      </c>
      <c r="O5" s="122">
        <f t="shared" si="0"/>
        <v>2186.6666666666665</v>
      </c>
      <c r="P5" s="119">
        <v>45</v>
      </c>
      <c r="Q5" s="103">
        <v>98400</v>
      </c>
    </row>
    <row r="6" spans="1:17" x14ac:dyDescent="0.4">
      <c r="A6" s="55" t="s">
        <v>1</v>
      </c>
      <c r="B6" s="142">
        <f>IF(B$2=0,0,(B$7*1+B$8*2+B$9*3)/B$2)</f>
        <v>2.0892857142857144</v>
      </c>
      <c r="C6" s="143"/>
      <c r="E6" s="63" t="s">
        <v>181</v>
      </c>
      <c r="F6" s="60" t="s">
        <v>182</v>
      </c>
      <c r="G6" s="47">
        <v>44</v>
      </c>
      <c r="H6" s="133">
        <f>IF(B$17=0,0,G6/B$17)</f>
        <v>0.36065573770491804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-1702.439024390244</v>
      </c>
      <c r="P6" s="119">
        <v>41</v>
      </c>
      <c r="Q6" s="103">
        <v>-69800</v>
      </c>
    </row>
    <row r="7" spans="1:17" x14ac:dyDescent="0.4">
      <c r="A7" s="55" t="s">
        <v>2</v>
      </c>
      <c r="B7" s="47">
        <v>15</v>
      </c>
      <c r="C7" s="39">
        <f>IF(B$2=0,0,B7/B$2)</f>
        <v>0.26785714285714285</v>
      </c>
      <c r="E7" s="63" t="s">
        <v>69</v>
      </c>
      <c r="F7" s="60" t="s">
        <v>12</v>
      </c>
      <c r="G7" s="47">
        <v>36</v>
      </c>
      <c r="H7" s="133">
        <f>IF(B$17=0,0,G7/B$17)</f>
        <v>0.29508196721311475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0"/>
        <v>1221.0526315789473</v>
      </c>
      <c r="P7" s="120">
        <v>38</v>
      </c>
      <c r="Q7" s="104">
        <v>46400</v>
      </c>
    </row>
    <row r="8" spans="1:17" x14ac:dyDescent="0.4">
      <c r="A8" s="55" t="s">
        <v>3</v>
      </c>
      <c r="B8" s="47">
        <v>21</v>
      </c>
      <c r="C8" s="39">
        <f>IF(B$2=0,0,B8/B$2)</f>
        <v>0.375</v>
      </c>
      <c r="E8" s="63" t="s">
        <v>70</v>
      </c>
      <c r="F8" s="60" t="s">
        <v>25</v>
      </c>
      <c r="G8" s="47">
        <v>27</v>
      </c>
      <c r="H8" s="133">
        <f>IF(B$17=0,0,G8/B$17)</f>
        <v>0.22131147540983606</v>
      </c>
      <c r="I8" s="94">
        <v>4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20</v>
      </c>
      <c r="C9" s="40">
        <f t="shared" ref="C9" si="1">IF(B$2=0,0,B9/B$2)</f>
        <v>0.35714285714285715</v>
      </c>
      <c r="E9" s="63" t="s">
        <v>90</v>
      </c>
      <c r="F9" s="60" t="s">
        <v>45</v>
      </c>
      <c r="G9" s="47">
        <v>17</v>
      </c>
      <c r="H9" s="133">
        <f>IF(B$17=0,0,G9/B$17)</f>
        <v>0.13934426229508196</v>
      </c>
      <c r="I9" s="94">
        <v>7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5.3571428571428568E-2</v>
      </c>
      <c r="E10" s="63" t="s">
        <v>71</v>
      </c>
      <c r="F10" s="60" t="s">
        <v>26</v>
      </c>
      <c r="G10" s="47">
        <v>16</v>
      </c>
      <c r="H10" s="133">
        <f>IF(B$17=0,0,G10/B$17)</f>
        <v>0.13114754098360656</v>
      </c>
      <c r="I10" s="94">
        <v>2</v>
      </c>
      <c r="K10" s="38">
        <v>8</v>
      </c>
      <c r="L10" s="99">
        <v>-1.7000000000000028</v>
      </c>
      <c r="N10" s="114" t="s">
        <v>164</v>
      </c>
      <c r="O10" s="124">
        <f>IF(P10=0,0,Q10/P10)</f>
        <v>2.33076923076923</v>
      </c>
      <c r="P10" s="118">
        <v>13</v>
      </c>
      <c r="Q10" s="106">
        <v>30.29999999999999</v>
      </c>
    </row>
    <row r="11" spans="1:17" x14ac:dyDescent="0.4">
      <c r="A11" s="56" t="s">
        <v>140</v>
      </c>
      <c r="B11" s="48">
        <v>7</v>
      </c>
      <c r="C11" s="40">
        <f>IF(B$2=0,0,B11/B$2)</f>
        <v>0.125</v>
      </c>
      <c r="E11" s="63" t="s">
        <v>66</v>
      </c>
      <c r="F11" s="60" t="s">
        <v>22</v>
      </c>
      <c r="G11" s="47">
        <v>15</v>
      </c>
      <c r="H11" s="133">
        <f>IF(B$17=0,0,G11/B$17)</f>
        <v>0.12295081967213115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-3.4639999999999986</v>
      </c>
      <c r="P11" s="119">
        <v>25</v>
      </c>
      <c r="Q11" s="107">
        <v>-86.599999999999966</v>
      </c>
    </row>
    <row r="12" spans="1:17" x14ac:dyDescent="0.4">
      <c r="A12" s="57" t="s">
        <v>160</v>
      </c>
      <c r="B12" s="49">
        <v>5</v>
      </c>
      <c r="C12" s="42">
        <f>IF(B$2=0,0,B12/B$2)</f>
        <v>8.9285714285714288E-2</v>
      </c>
      <c r="E12" s="63" t="s">
        <v>87</v>
      </c>
      <c r="F12" s="60" t="s">
        <v>42</v>
      </c>
      <c r="G12" s="47">
        <v>12</v>
      </c>
      <c r="H12" s="133">
        <f>IF(B$17=0,0,G12/B$17)</f>
        <v>9.8360655737704916E-2</v>
      </c>
      <c r="I12" s="94">
        <v>2</v>
      </c>
      <c r="K12" s="38">
        <v>10</v>
      </c>
      <c r="L12" s="99">
        <v>-56.500000000000007</v>
      </c>
      <c r="N12" s="116" t="s">
        <v>166</v>
      </c>
      <c r="O12" s="126">
        <f>IF(P12=0,0,Q12/P12)</f>
        <v>0.5444444444444444</v>
      </c>
      <c r="P12" s="120">
        <v>18</v>
      </c>
      <c r="Q12" s="108">
        <v>9.7999999999999989</v>
      </c>
    </row>
    <row r="13" spans="1:17" x14ac:dyDescent="0.4">
      <c r="A13" s="58" t="s">
        <v>122</v>
      </c>
      <c r="B13" s="50">
        <v>129</v>
      </c>
      <c r="C13" s="44">
        <f>IF(B$3=0,0,B13/B$3)</f>
        <v>0.27505330490405117</v>
      </c>
      <c r="E13" s="63" t="s">
        <v>72</v>
      </c>
      <c r="F13" s="60" t="s">
        <v>27</v>
      </c>
      <c r="G13" s="47">
        <v>9</v>
      </c>
      <c r="H13" s="133">
        <f>IF(B$17=0,0,G13/B$17)</f>
        <v>7.3770491803278687E-2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81</v>
      </c>
      <c r="C14" s="39">
        <f>IF(B$3=0,0,B14/B$3)</f>
        <v>0.17270788912579957</v>
      </c>
      <c r="E14" s="63" t="s">
        <v>84</v>
      </c>
      <c r="F14" s="60" t="s">
        <v>39</v>
      </c>
      <c r="G14" s="47">
        <v>7</v>
      </c>
      <c r="H14" s="133">
        <f>IF(B$17=0,0,G14/B$17)</f>
        <v>5.737704918032787E-2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75</v>
      </c>
      <c r="C15" s="37">
        <f>IF(B$13=0,0,B15/B$13)</f>
        <v>0.58139534883720934</v>
      </c>
      <c r="E15" s="63" t="s">
        <v>79</v>
      </c>
      <c r="F15" s="60" t="s">
        <v>34</v>
      </c>
      <c r="G15" s="47">
        <v>5</v>
      </c>
      <c r="H15" s="133">
        <f>IF(B$17=0,0,G15/B$17)</f>
        <v>4.0983606557377046E-2</v>
      </c>
      <c r="I15" s="94">
        <v>3</v>
      </c>
      <c r="K15" s="38">
        <v>13</v>
      </c>
      <c r="L15" s="99">
        <v>-58.7</v>
      </c>
      <c r="N15" s="114" t="s">
        <v>129</v>
      </c>
      <c r="O15" s="124">
        <f>IF(P15=0,0,Q15/P15)</f>
        <v>31.939999999999998</v>
      </c>
      <c r="P15" s="118">
        <v>10</v>
      </c>
      <c r="Q15" s="106">
        <v>319.39999999999998</v>
      </c>
    </row>
    <row r="16" spans="1:17" x14ac:dyDescent="0.4">
      <c r="A16" s="54" t="s">
        <v>125</v>
      </c>
      <c r="B16" s="46">
        <v>27</v>
      </c>
      <c r="C16" s="37">
        <f>IF(B$14=0,0,B16/B$14)</f>
        <v>0.33333333333333331</v>
      </c>
      <c r="E16" s="63" t="s">
        <v>82</v>
      </c>
      <c r="F16" s="60" t="s">
        <v>37</v>
      </c>
      <c r="G16" s="47">
        <v>5</v>
      </c>
      <c r="H16" s="133">
        <f>IF(B$17=0,0,G16/B$17)</f>
        <v>4.0983606557377046E-2</v>
      </c>
      <c r="I16" s="94">
        <v>4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122</v>
      </c>
      <c r="C17" s="37">
        <f>IF(B$3=0,0,B17/B$3)</f>
        <v>0.26012793176972282</v>
      </c>
      <c r="E17" s="63" t="s">
        <v>76</v>
      </c>
      <c r="F17" s="60" t="s">
        <v>31</v>
      </c>
      <c r="G17" s="47">
        <v>2</v>
      </c>
      <c r="H17" s="133">
        <f>IF(B$17=0,0,G17/B$17)</f>
        <v>1.6393442622950821E-2</v>
      </c>
      <c r="I17" s="94">
        <v>2</v>
      </c>
      <c r="K17" s="38">
        <v>15</v>
      </c>
      <c r="L17" s="99">
        <v>-26.3</v>
      </c>
      <c r="N17" s="115" t="s">
        <v>173</v>
      </c>
      <c r="O17" s="125">
        <f>IF(P17=0,0,Q17/P17)</f>
        <v>13.774999999999999</v>
      </c>
      <c r="P17" s="119">
        <v>16</v>
      </c>
      <c r="Q17" s="107">
        <v>220.39999999999998</v>
      </c>
    </row>
    <row r="18" spans="1:17" x14ac:dyDescent="0.4">
      <c r="A18" s="55" t="s">
        <v>12</v>
      </c>
      <c r="B18" s="47">
        <v>49</v>
      </c>
      <c r="C18" s="39">
        <f>IF(B$17=0,0,B18/B$17)</f>
        <v>0.40163934426229508</v>
      </c>
      <c r="E18" s="63" t="s">
        <v>93</v>
      </c>
      <c r="F18" s="60" t="s">
        <v>48</v>
      </c>
      <c r="G18" s="47">
        <v>2</v>
      </c>
      <c r="H18" s="133">
        <f>IF(B$17=0,0,G18/B$17)</f>
        <v>1.6393442622950821E-2</v>
      </c>
      <c r="I18" s="94">
        <v>1</v>
      </c>
      <c r="K18" s="38">
        <v>16</v>
      </c>
      <c r="L18" s="99">
        <v>-50.3</v>
      </c>
      <c r="N18" s="115" t="s">
        <v>128</v>
      </c>
      <c r="O18" s="125">
        <f>IF(P18=0,0,Q18/P18)</f>
        <v>1.2333333333333267</v>
      </c>
      <c r="P18" s="119">
        <v>30</v>
      </c>
      <c r="Q18" s="107">
        <v>36.999999999999801</v>
      </c>
    </row>
    <row r="19" spans="1:17" x14ac:dyDescent="0.4">
      <c r="A19" s="55" t="s">
        <v>11</v>
      </c>
      <c r="B19" s="47">
        <v>73</v>
      </c>
      <c r="C19" s="39">
        <f>IF(B$17=0,0,B19/B$17)</f>
        <v>0.59836065573770492</v>
      </c>
      <c r="E19" s="63" t="s">
        <v>180</v>
      </c>
      <c r="F19" s="60" t="s">
        <v>183</v>
      </c>
      <c r="G19" s="47">
        <v>2</v>
      </c>
      <c r="H19" s="133">
        <f>IF(B$17=0,0,G19/B$17)</f>
        <v>1.6393442622950821E-2</v>
      </c>
      <c r="I19" s="94">
        <v>3</v>
      </c>
      <c r="K19" s="38">
        <v>17</v>
      </c>
      <c r="L19" s="99">
        <v>-74.3</v>
      </c>
      <c r="N19" s="115" t="s">
        <v>172</v>
      </c>
      <c r="O19" s="125">
        <f>IF(P19=0,0,Q19/P19)</f>
        <v>-1.0923076923076933</v>
      </c>
      <c r="P19" s="119">
        <v>13</v>
      </c>
      <c r="Q19" s="107">
        <v>-14.200000000000012</v>
      </c>
    </row>
    <row r="20" spans="1:17" x14ac:dyDescent="0.4">
      <c r="A20" s="55" t="s">
        <v>13</v>
      </c>
      <c r="B20" s="47">
        <v>75</v>
      </c>
      <c r="C20" s="39">
        <f>IF(B$3=0,0,B20/B$3)</f>
        <v>0.15991471215351813</v>
      </c>
      <c r="E20" s="63" t="s">
        <v>88</v>
      </c>
      <c r="F20" s="60" t="s">
        <v>43</v>
      </c>
      <c r="G20" s="47">
        <v>1</v>
      </c>
      <c r="H20" s="133">
        <f>IF(B$17=0,0,G20/B$17)</f>
        <v>8.1967213114754103E-3</v>
      </c>
      <c r="I20" s="94">
        <v>2</v>
      </c>
      <c r="K20" s="38">
        <v>18</v>
      </c>
      <c r="L20" s="99">
        <v>-76.099999999999994</v>
      </c>
      <c r="N20" s="115" t="s">
        <v>127</v>
      </c>
      <c r="O20" s="125">
        <f>IF(P20=0,0,Q20/P20)</f>
        <v>-11.245714285714278</v>
      </c>
      <c r="P20" s="119">
        <v>35</v>
      </c>
      <c r="Q20" s="107">
        <v>-393.59999999999974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92</v>
      </c>
      <c r="F21" s="60" t="s">
        <v>47</v>
      </c>
      <c r="G21" s="47">
        <v>1</v>
      </c>
      <c r="H21" s="133">
        <f>IF(B$17=0,0,G21/B$17)</f>
        <v>8.1967213114754103E-3</v>
      </c>
      <c r="I21" s="94">
        <v>8</v>
      </c>
      <c r="K21" s="38">
        <v>19</v>
      </c>
      <c r="L21" s="99">
        <v>0.60000000000000853</v>
      </c>
      <c r="N21" s="115" t="s">
        <v>202</v>
      </c>
      <c r="O21" s="125">
        <f>IF(P21=0,0,Q21/P21)</f>
        <v>-51.999999999999993</v>
      </c>
      <c r="P21" s="119">
        <v>2</v>
      </c>
      <c r="Q21" s="107">
        <v>-103.99999999999999</v>
      </c>
    </row>
    <row r="22" spans="1:17" x14ac:dyDescent="0.4">
      <c r="A22" s="55" t="s">
        <v>194</v>
      </c>
      <c r="B22" s="47">
        <v>20</v>
      </c>
      <c r="C22" s="135">
        <v>0</v>
      </c>
      <c r="E22" s="63" t="s">
        <v>74</v>
      </c>
      <c r="F22" s="60" t="s">
        <v>29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-3.5999999999999917</v>
      </c>
      <c r="N22" s="115" t="s">
        <v>177</v>
      </c>
      <c r="O22" s="125">
        <f>IF(P22=0,0,Q22/P22)</f>
        <v>-61.933333333333337</v>
      </c>
      <c r="P22" s="119">
        <v>3</v>
      </c>
      <c r="Q22" s="107">
        <v>-185.8</v>
      </c>
    </row>
    <row r="23" spans="1:17" x14ac:dyDescent="0.4">
      <c r="A23" s="55" t="s">
        <v>5</v>
      </c>
      <c r="B23" s="51">
        <f>IF(B$17=0,0,C23/B$17)</f>
        <v>9560.6557377049176</v>
      </c>
      <c r="C23" s="41">
        <v>1166400</v>
      </c>
      <c r="E23" s="63" t="s">
        <v>75</v>
      </c>
      <c r="F23" s="60" t="s">
        <v>30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-7709.333333333333</v>
      </c>
      <c r="C24" s="45">
        <v>-578200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7</v>
      </c>
      <c r="C25" s="141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5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80</v>
      </c>
      <c r="F26" s="60" t="s">
        <v>35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2.1321961620469083E-3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-116.49999999999999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171DA-AD52-4F6E-8767-5229D03C324A}">
  <sheetPr codeName="Sheet15"/>
  <dimension ref="A1:Q5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53</v>
      </c>
      <c r="C2" s="147"/>
      <c r="E2" s="62" t="s">
        <v>67</v>
      </c>
      <c r="F2" s="59" t="s">
        <v>23</v>
      </c>
      <c r="G2" s="46">
        <v>116</v>
      </c>
      <c r="H2" s="132">
        <f>IF(B$17=0,0,G2/B$17)</f>
        <v>0.68639053254437865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505.66037735849056</v>
      </c>
      <c r="P2" s="118">
        <v>53</v>
      </c>
      <c r="Q2" s="102">
        <v>26800</v>
      </c>
    </row>
    <row r="3" spans="1:17" x14ac:dyDescent="0.4">
      <c r="A3" s="55" t="s">
        <v>8</v>
      </c>
      <c r="B3" s="148">
        <v>458</v>
      </c>
      <c r="C3" s="149"/>
      <c r="E3" s="63" t="s">
        <v>73</v>
      </c>
      <c r="F3" s="60" t="s">
        <v>28</v>
      </c>
      <c r="G3" s="47">
        <v>100</v>
      </c>
      <c r="H3" s="133">
        <f>IF(B$17=0,0,G3/B$17)</f>
        <v>0.59171597633136097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226.41509433962264</v>
      </c>
      <c r="P3" s="119">
        <v>53</v>
      </c>
      <c r="Q3" s="103">
        <v>12000</v>
      </c>
    </row>
    <row r="4" spans="1:17" x14ac:dyDescent="0.4">
      <c r="A4" s="55" t="s">
        <v>6</v>
      </c>
      <c r="B4" s="150">
        <v>65.199999999999989</v>
      </c>
      <c r="C4" s="151"/>
      <c r="E4" s="63" t="s">
        <v>181</v>
      </c>
      <c r="F4" s="60" t="s">
        <v>182</v>
      </c>
      <c r="G4" s="47">
        <v>70</v>
      </c>
      <c r="H4" s="133">
        <f>IF(B$17=0,0,G4/B$17)</f>
        <v>0.41420118343195267</v>
      </c>
      <c r="I4" s="94">
        <v>4</v>
      </c>
      <c r="K4" s="38">
        <v>2</v>
      </c>
      <c r="L4" s="99">
        <v>-7.7000000000000011</v>
      </c>
      <c r="N4" s="115" t="s">
        <v>134</v>
      </c>
      <c r="O4" s="122">
        <f t="shared" si="0"/>
        <v>-358.33333333333331</v>
      </c>
      <c r="P4" s="119">
        <v>48</v>
      </c>
      <c r="Q4" s="103">
        <v>-17200</v>
      </c>
    </row>
    <row r="5" spans="1:17" x14ac:dyDescent="0.4">
      <c r="A5" s="55" t="s">
        <v>7</v>
      </c>
      <c r="B5" s="152">
        <f>IF(B$2=0,0,B$4/B$2)</f>
        <v>1.2301886792452827</v>
      </c>
      <c r="C5" s="153"/>
      <c r="E5" s="63" t="s">
        <v>65</v>
      </c>
      <c r="F5" s="60" t="s">
        <v>21</v>
      </c>
      <c r="G5" s="47">
        <v>60</v>
      </c>
      <c r="H5" s="133">
        <f>IF(B$17=0,0,G5/B$17)</f>
        <v>0.35502958579881655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262.22222222222223</v>
      </c>
      <c r="P5" s="119">
        <v>45</v>
      </c>
      <c r="Q5" s="103">
        <v>11800</v>
      </c>
    </row>
    <row r="6" spans="1:17" x14ac:dyDescent="0.4">
      <c r="A6" s="55" t="s">
        <v>1</v>
      </c>
      <c r="B6" s="142">
        <f>IF(B$2=0,0,(B$7*1+B$8*2+B$9*3)/B$2)</f>
        <v>2.0377358490566038</v>
      </c>
      <c r="C6" s="143"/>
      <c r="E6" s="63" t="s">
        <v>69</v>
      </c>
      <c r="F6" s="60" t="s">
        <v>12</v>
      </c>
      <c r="G6" s="47">
        <v>45</v>
      </c>
      <c r="H6" s="133">
        <f>IF(B$17=0,0,G6/B$17)</f>
        <v>0.26627218934911245</v>
      </c>
      <c r="I6" s="94">
        <v>10</v>
      </c>
      <c r="K6" s="38">
        <v>4</v>
      </c>
      <c r="L6" s="99">
        <v>34.9</v>
      </c>
      <c r="N6" s="115" t="s">
        <v>136</v>
      </c>
      <c r="O6" s="122">
        <f t="shared" si="0"/>
        <v>1381.8181818181818</v>
      </c>
      <c r="P6" s="119">
        <v>44</v>
      </c>
      <c r="Q6" s="103">
        <v>60800</v>
      </c>
    </row>
    <row r="7" spans="1:17" x14ac:dyDescent="0.4">
      <c r="A7" s="55" t="s">
        <v>2</v>
      </c>
      <c r="B7" s="47">
        <v>15</v>
      </c>
      <c r="C7" s="39">
        <f>IF(B$2=0,0,B7/B$2)</f>
        <v>0.28301886792452829</v>
      </c>
      <c r="E7" s="63" t="s">
        <v>68</v>
      </c>
      <c r="F7" s="60" t="s">
        <v>24</v>
      </c>
      <c r="G7" s="47">
        <v>29</v>
      </c>
      <c r="H7" s="133">
        <f>IF(B$17=0,0,G7/B$17)</f>
        <v>0.17159763313609466</v>
      </c>
      <c r="I7" s="94">
        <v>12</v>
      </c>
      <c r="K7" s="38">
        <v>5</v>
      </c>
      <c r="L7" s="99">
        <v>29.4</v>
      </c>
      <c r="N7" s="116" t="s">
        <v>137</v>
      </c>
      <c r="O7" s="123">
        <f t="shared" si="0"/>
        <v>-1105.1282051282051</v>
      </c>
      <c r="P7" s="120">
        <v>39</v>
      </c>
      <c r="Q7" s="104">
        <v>-43100</v>
      </c>
    </row>
    <row r="8" spans="1:17" x14ac:dyDescent="0.4">
      <c r="A8" s="55" t="s">
        <v>3</v>
      </c>
      <c r="B8" s="47">
        <v>21</v>
      </c>
      <c r="C8" s="39">
        <f>IF(B$2=0,0,B8/B$2)</f>
        <v>0.39622641509433965</v>
      </c>
      <c r="E8" s="63" t="s">
        <v>70</v>
      </c>
      <c r="F8" s="60" t="s">
        <v>25</v>
      </c>
      <c r="G8" s="47">
        <v>24</v>
      </c>
      <c r="H8" s="133">
        <f>IF(B$17=0,0,G8/B$17)</f>
        <v>0.14201183431952663</v>
      </c>
      <c r="I8" s="94">
        <v>8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0.32075471698113206</v>
      </c>
      <c r="E9" s="63" t="s">
        <v>66</v>
      </c>
      <c r="F9" s="60" t="s">
        <v>22</v>
      </c>
      <c r="G9" s="47">
        <v>17</v>
      </c>
      <c r="H9" s="133">
        <f>IF(B$17=0,0,G9/B$17)</f>
        <v>0.10059171597633136</v>
      </c>
      <c r="I9" s="94">
        <v>5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5.6603773584905662E-2</v>
      </c>
      <c r="E10" s="63" t="s">
        <v>72</v>
      </c>
      <c r="F10" s="60" t="s">
        <v>27</v>
      </c>
      <c r="G10" s="47">
        <v>12</v>
      </c>
      <c r="H10" s="133">
        <f>IF(B$17=0,0,G10/B$17)</f>
        <v>7.1005917159763315E-2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-9.6466666666666701</v>
      </c>
      <c r="P10" s="118">
        <v>15</v>
      </c>
      <c r="Q10" s="106">
        <v>-144.70000000000005</v>
      </c>
    </row>
    <row r="11" spans="1:17" x14ac:dyDescent="0.4">
      <c r="A11" s="56" t="s">
        <v>140</v>
      </c>
      <c r="B11" s="48">
        <v>6</v>
      </c>
      <c r="C11" s="40">
        <f>IF(B$2=0,0,B11/B$2)</f>
        <v>0.11320754716981132</v>
      </c>
      <c r="E11" s="63" t="s">
        <v>90</v>
      </c>
      <c r="F11" s="60" t="s">
        <v>45</v>
      </c>
      <c r="G11" s="47">
        <v>11</v>
      </c>
      <c r="H11" s="133">
        <f>IF(B$17=0,0,G11/B$17)</f>
        <v>6.5088757396449703E-2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6.7947368421052632</v>
      </c>
      <c r="P11" s="119">
        <v>19</v>
      </c>
      <c r="Q11" s="107">
        <v>129.1</v>
      </c>
    </row>
    <row r="12" spans="1:17" x14ac:dyDescent="0.4">
      <c r="A12" s="57" t="s">
        <v>160</v>
      </c>
      <c r="B12" s="49">
        <v>2</v>
      </c>
      <c r="C12" s="42">
        <f>IF(B$2=0,0,B12/B$2)</f>
        <v>3.7735849056603772E-2</v>
      </c>
      <c r="E12" s="63" t="s">
        <v>71</v>
      </c>
      <c r="F12" s="60" t="s">
        <v>26</v>
      </c>
      <c r="G12" s="47">
        <v>10</v>
      </c>
      <c r="H12" s="133">
        <f>IF(B$17=0,0,G12/B$17)</f>
        <v>5.9171597633136092E-2</v>
      </c>
      <c r="I12" s="94">
        <v>8</v>
      </c>
      <c r="K12" s="38">
        <v>10</v>
      </c>
      <c r="L12" s="99">
        <v>24.200000000000003</v>
      </c>
      <c r="N12" s="116" t="s">
        <v>166</v>
      </c>
      <c r="O12" s="126">
        <f>IF(P12=0,0,Q12/P12)</f>
        <v>4.2526315789473692</v>
      </c>
      <c r="P12" s="120">
        <v>19</v>
      </c>
      <c r="Q12" s="108">
        <v>80.800000000000011</v>
      </c>
    </row>
    <row r="13" spans="1:17" x14ac:dyDescent="0.4">
      <c r="A13" s="58" t="s">
        <v>122</v>
      </c>
      <c r="B13" s="50">
        <v>101</v>
      </c>
      <c r="C13" s="44">
        <f>IF(B$3=0,0,B13/B$3)</f>
        <v>0.2205240174672489</v>
      </c>
      <c r="E13" s="63" t="s">
        <v>84</v>
      </c>
      <c r="F13" s="60" t="s">
        <v>39</v>
      </c>
      <c r="G13" s="47">
        <v>8</v>
      </c>
      <c r="H13" s="133">
        <f>IF(B$17=0,0,G13/B$17)</f>
        <v>4.7337278106508875E-2</v>
      </c>
      <c r="I13" s="94">
        <v>5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137</v>
      </c>
      <c r="C14" s="39">
        <f>IF(B$3=0,0,B14/B$3)</f>
        <v>0.29912663755458513</v>
      </c>
      <c r="E14" s="63" t="s">
        <v>87</v>
      </c>
      <c r="F14" s="60" t="s">
        <v>42</v>
      </c>
      <c r="G14" s="47">
        <v>8</v>
      </c>
      <c r="H14" s="133">
        <f>IF(B$17=0,0,G14/B$17)</f>
        <v>4.7337278106508875E-2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60</v>
      </c>
      <c r="C15" s="37">
        <f>IF(B$13=0,0,B15/B$13)</f>
        <v>0.59405940594059403</v>
      </c>
      <c r="E15" s="63" t="s">
        <v>82</v>
      </c>
      <c r="F15" s="60" t="s">
        <v>37</v>
      </c>
      <c r="G15" s="47">
        <v>5</v>
      </c>
      <c r="H15" s="133">
        <f>IF(B$17=0,0,G15/B$17)</f>
        <v>2.9585798816568046E-2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46.581818181818157</v>
      </c>
      <c r="P15" s="118">
        <v>11</v>
      </c>
      <c r="Q15" s="106">
        <v>512.39999999999975</v>
      </c>
    </row>
    <row r="16" spans="1:17" x14ac:dyDescent="0.4">
      <c r="A16" s="54" t="s">
        <v>125</v>
      </c>
      <c r="B16" s="46">
        <v>59</v>
      </c>
      <c r="C16" s="37">
        <f>IF(B$14=0,0,B16/B$14)</f>
        <v>0.43065693430656932</v>
      </c>
      <c r="E16" s="63" t="s">
        <v>79</v>
      </c>
      <c r="F16" s="60" t="s">
        <v>34</v>
      </c>
      <c r="G16" s="47">
        <v>2</v>
      </c>
      <c r="H16" s="133">
        <f>IF(B$17=0,0,G16/B$17)</f>
        <v>1.1834319526627219E-2</v>
      </c>
      <c r="I16" s="94">
        <v>9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169</v>
      </c>
      <c r="C17" s="37">
        <f>IF(B$3=0,0,B17/B$3)</f>
        <v>0.36899563318777295</v>
      </c>
      <c r="E17" s="63" t="s">
        <v>80</v>
      </c>
      <c r="F17" s="60" t="s">
        <v>35</v>
      </c>
      <c r="G17" s="47">
        <v>2</v>
      </c>
      <c r="H17" s="133">
        <f>IF(B$17=0,0,G17/B$17)</f>
        <v>1.1834319526627219E-2</v>
      </c>
      <c r="I17" s="94">
        <v>7</v>
      </c>
      <c r="K17" s="38">
        <v>15</v>
      </c>
      <c r="L17" s="99">
        <v>-80.3</v>
      </c>
      <c r="N17" s="115" t="s">
        <v>177</v>
      </c>
      <c r="O17" s="125">
        <f>IF(P17=0,0,Q17/P17)</f>
        <v>18.733333333333334</v>
      </c>
      <c r="P17" s="119">
        <v>6</v>
      </c>
      <c r="Q17" s="107">
        <v>112.4</v>
      </c>
    </row>
    <row r="18" spans="1:17" x14ac:dyDescent="0.4">
      <c r="A18" s="55" t="s">
        <v>12</v>
      </c>
      <c r="B18" s="47">
        <v>71</v>
      </c>
      <c r="C18" s="39">
        <f>IF(B$17=0,0,B18/B$17)</f>
        <v>0.42011834319526625</v>
      </c>
      <c r="E18" s="63" t="s">
        <v>92</v>
      </c>
      <c r="F18" s="60" t="s">
        <v>47</v>
      </c>
      <c r="G18" s="47">
        <v>2</v>
      </c>
      <c r="H18" s="133">
        <f>IF(B$17=0,0,G18/B$17)</f>
        <v>1.1834319526627219E-2</v>
      </c>
      <c r="I18" s="94">
        <v>6</v>
      </c>
      <c r="K18" s="38">
        <v>16</v>
      </c>
      <c r="L18" s="99">
        <v>-87.6</v>
      </c>
      <c r="N18" s="115" t="s">
        <v>186</v>
      </c>
      <c r="O18" s="125">
        <f>IF(P18=0,0,Q18/P18)</f>
        <v>17.349999999999998</v>
      </c>
      <c r="P18" s="119">
        <v>2</v>
      </c>
      <c r="Q18" s="107">
        <v>34.699999999999996</v>
      </c>
    </row>
    <row r="19" spans="1:17" x14ac:dyDescent="0.4">
      <c r="A19" s="55" t="s">
        <v>11</v>
      </c>
      <c r="B19" s="47">
        <v>98</v>
      </c>
      <c r="C19" s="39">
        <f>IF(B$17=0,0,B19/B$17)</f>
        <v>0.57988165680473369</v>
      </c>
      <c r="E19" s="63" t="s">
        <v>88</v>
      </c>
      <c r="F19" s="60" t="s">
        <v>43</v>
      </c>
      <c r="G19" s="47">
        <v>1</v>
      </c>
      <c r="H19" s="133">
        <f>IF(B$17=0,0,G19/B$17)</f>
        <v>5.9171597633136093E-3</v>
      </c>
      <c r="I19" s="94">
        <v>3</v>
      </c>
      <c r="K19" s="38">
        <v>17</v>
      </c>
      <c r="L19" s="99">
        <v>-55.099999999999994</v>
      </c>
      <c r="N19" s="115" t="s">
        <v>202</v>
      </c>
      <c r="O19" s="125">
        <f>IF(P19=0,0,Q19/P19)</f>
        <v>16.449999999999996</v>
      </c>
      <c r="P19" s="119">
        <v>4</v>
      </c>
      <c r="Q19" s="107">
        <v>65.799999999999983</v>
      </c>
    </row>
    <row r="20" spans="1:17" x14ac:dyDescent="0.4">
      <c r="A20" s="55" t="s">
        <v>13</v>
      </c>
      <c r="B20" s="47">
        <v>61</v>
      </c>
      <c r="C20" s="39">
        <f>IF(B$3=0,0,B20/B$3)</f>
        <v>0.1331877729257642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-28.199999999999996</v>
      </c>
      <c r="N20" s="115" t="s">
        <v>173</v>
      </c>
      <c r="O20" s="125">
        <f>IF(P20=0,0,Q20/P20)</f>
        <v>9.2399999999999984</v>
      </c>
      <c r="P20" s="119">
        <v>10</v>
      </c>
      <c r="Q20" s="107">
        <v>92.399999999999977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29.200000000000003</v>
      </c>
      <c r="N21" s="115" t="s">
        <v>171</v>
      </c>
      <c r="O21" s="125">
        <f>IF(P21=0,0,Q21/P21)</f>
        <v>1.0923076923076911</v>
      </c>
      <c r="P21" s="119">
        <v>13</v>
      </c>
      <c r="Q21" s="107">
        <v>14.199999999999983</v>
      </c>
    </row>
    <row r="22" spans="1:17" x14ac:dyDescent="0.4">
      <c r="A22" s="55" t="s">
        <v>194</v>
      </c>
      <c r="B22" s="47">
        <v>23</v>
      </c>
      <c r="C22" s="135">
        <v>3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7</v>
      </c>
      <c r="K22" s="38">
        <v>20</v>
      </c>
      <c r="L22" s="99">
        <v>43</v>
      </c>
      <c r="N22" s="115" t="s">
        <v>128</v>
      </c>
      <c r="O22" s="125">
        <f>IF(P22=0,0,Q22/P22)</f>
        <v>-1.0700000000000003</v>
      </c>
      <c r="P22" s="119">
        <v>30</v>
      </c>
      <c r="Q22" s="107">
        <v>-32.100000000000009</v>
      </c>
    </row>
    <row r="23" spans="1:17" x14ac:dyDescent="0.4">
      <c r="A23" s="55" t="s">
        <v>5</v>
      </c>
      <c r="B23" s="51">
        <f>IF(B$17=0,0,C23/B$17)</f>
        <v>6523.0769230769229</v>
      </c>
      <c r="C23" s="41">
        <v>1102400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89.9</v>
      </c>
      <c r="N23" s="115" t="s">
        <v>127</v>
      </c>
      <c r="O23" s="125">
        <f>IF(P23=0,0,Q23/P23)</f>
        <v>-21.879310344827591</v>
      </c>
      <c r="P23" s="119">
        <v>29</v>
      </c>
      <c r="Q23" s="107">
        <v>-634.50000000000011</v>
      </c>
    </row>
    <row r="24" spans="1:17" x14ac:dyDescent="0.4">
      <c r="A24" s="57" t="s">
        <v>14</v>
      </c>
      <c r="B24" s="52">
        <f>IF(B$20=0,0,C24/B$20)</f>
        <v>-9157.377049180328</v>
      </c>
      <c r="C24" s="45">
        <v>-558600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2.1834061135371178E-3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ED329-DEC4-4EC5-9E1D-9D76C85EB944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39</v>
      </c>
      <c r="C2" s="147"/>
      <c r="E2" s="62" t="s">
        <v>67</v>
      </c>
      <c r="F2" s="59" t="s">
        <v>23</v>
      </c>
      <c r="G2" s="46">
        <v>73</v>
      </c>
      <c r="H2" s="132">
        <f>IF(B$17=0,0,G2/B$17)</f>
        <v>0.70873786407766992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-2487.1794871794873</v>
      </c>
      <c r="P2" s="118">
        <v>39</v>
      </c>
      <c r="Q2" s="102">
        <v>-97000</v>
      </c>
    </row>
    <row r="3" spans="1:17" x14ac:dyDescent="0.4">
      <c r="A3" s="55" t="s">
        <v>8</v>
      </c>
      <c r="B3" s="148">
        <v>342</v>
      </c>
      <c r="C3" s="149"/>
      <c r="E3" s="63" t="s">
        <v>73</v>
      </c>
      <c r="F3" s="60" t="s">
        <v>28</v>
      </c>
      <c r="G3" s="47">
        <v>53</v>
      </c>
      <c r="H3" s="133">
        <f>IF(B$17=0,0,G3/B$17)</f>
        <v>0.5145631067961165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1597.4358974358975</v>
      </c>
      <c r="P3" s="119">
        <v>39</v>
      </c>
      <c r="Q3" s="103">
        <v>62300</v>
      </c>
    </row>
    <row r="4" spans="1:17" x14ac:dyDescent="0.4">
      <c r="A4" s="55" t="s">
        <v>6</v>
      </c>
      <c r="B4" s="150">
        <v>-223.9</v>
      </c>
      <c r="C4" s="151"/>
      <c r="E4" s="63" t="s">
        <v>65</v>
      </c>
      <c r="F4" s="60" t="s">
        <v>21</v>
      </c>
      <c r="G4" s="47">
        <v>47</v>
      </c>
      <c r="H4" s="133">
        <f>IF(B$17=0,0,G4/B$17)</f>
        <v>0.4563106796116505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-716.21621621621625</v>
      </c>
      <c r="P4" s="119">
        <v>37</v>
      </c>
      <c r="Q4" s="103">
        <v>-26500</v>
      </c>
    </row>
    <row r="5" spans="1:17" x14ac:dyDescent="0.4">
      <c r="A5" s="55" t="s">
        <v>7</v>
      </c>
      <c r="B5" s="152">
        <f>IF(B$2=0,0,B$4/B$2)</f>
        <v>-5.7410256410256411</v>
      </c>
      <c r="C5" s="153"/>
      <c r="E5" s="63" t="s">
        <v>69</v>
      </c>
      <c r="F5" s="60" t="s">
        <v>12</v>
      </c>
      <c r="G5" s="47">
        <v>40</v>
      </c>
      <c r="H5" s="133">
        <f>IF(B$17=0,0,G5/B$17)</f>
        <v>0.38834951456310679</v>
      </c>
      <c r="I5" s="94">
        <v>5</v>
      </c>
      <c r="K5" s="38">
        <v>3</v>
      </c>
      <c r="L5" s="99">
        <v>-149</v>
      </c>
      <c r="N5" s="115" t="s">
        <v>135</v>
      </c>
      <c r="O5" s="122">
        <f t="shared" si="0"/>
        <v>-4045.7142857142858</v>
      </c>
      <c r="P5" s="119">
        <v>35</v>
      </c>
      <c r="Q5" s="103">
        <v>-141600</v>
      </c>
    </row>
    <row r="6" spans="1:17" x14ac:dyDescent="0.4">
      <c r="A6" s="55" t="s">
        <v>1</v>
      </c>
      <c r="B6" s="142">
        <f>IF(B$2=0,0,(B$7*1+B$8*2+B$9*3)/B$2)</f>
        <v>2.0512820512820511</v>
      </c>
      <c r="C6" s="143"/>
      <c r="E6" s="63" t="s">
        <v>181</v>
      </c>
      <c r="F6" s="60" t="s">
        <v>182</v>
      </c>
      <c r="G6" s="47">
        <v>38</v>
      </c>
      <c r="H6" s="133">
        <f>IF(B$17=0,0,G6/B$17)</f>
        <v>0.36893203883495146</v>
      </c>
      <c r="I6" s="94">
        <v>9</v>
      </c>
      <c r="K6" s="38">
        <v>4</v>
      </c>
      <c r="L6" s="99">
        <v>-150.6</v>
      </c>
      <c r="N6" s="115" t="s">
        <v>136</v>
      </c>
      <c r="O6" s="122">
        <f t="shared" si="0"/>
        <v>145.16129032258064</v>
      </c>
      <c r="P6" s="119">
        <v>31</v>
      </c>
      <c r="Q6" s="103">
        <v>4500</v>
      </c>
    </row>
    <row r="7" spans="1:17" x14ac:dyDescent="0.4">
      <c r="A7" s="55" t="s">
        <v>2</v>
      </c>
      <c r="B7" s="47">
        <v>11</v>
      </c>
      <c r="C7" s="39">
        <f>IF(B$2=0,0,B7/B$2)</f>
        <v>0.28205128205128205</v>
      </c>
      <c r="E7" s="63" t="s">
        <v>68</v>
      </c>
      <c r="F7" s="60" t="s">
        <v>24</v>
      </c>
      <c r="G7" s="47">
        <v>26</v>
      </c>
      <c r="H7" s="133">
        <f>IF(B$17=0,0,G7/B$17)</f>
        <v>0.25242718446601942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680</v>
      </c>
      <c r="P7" s="120">
        <v>30</v>
      </c>
      <c r="Q7" s="104">
        <v>20400</v>
      </c>
    </row>
    <row r="8" spans="1:17" x14ac:dyDescent="0.4">
      <c r="A8" s="55" t="s">
        <v>3</v>
      </c>
      <c r="B8" s="47">
        <v>15</v>
      </c>
      <c r="C8" s="39">
        <f>IF(B$2=0,0,B8/B$2)</f>
        <v>0.38461538461538464</v>
      </c>
      <c r="E8" s="63" t="s">
        <v>71</v>
      </c>
      <c r="F8" s="60" t="s">
        <v>26</v>
      </c>
      <c r="G8" s="47">
        <v>13</v>
      </c>
      <c r="H8" s="133">
        <f>IF(B$17=0,0,G8/B$17)</f>
        <v>0.12621359223300971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12</v>
      </c>
      <c r="H9" s="133">
        <f>IF(B$17=0,0,G9/B$17)</f>
        <v>0.11650485436893204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0.10256410256410256</v>
      </c>
      <c r="E10" s="63" t="s">
        <v>70</v>
      </c>
      <c r="F10" s="60" t="s">
        <v>25</v>
      </c>
      <c r="G10" s="47">
        <v>11</v>
      </c>
      <c r="H10" s="133">
        <f>IF(B$17=0,0,G10/B$17)</f>
        <v>0.10679611650485436</v>
      </c>
      <c r="I10" s="94">
        <v>10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5.128205128205128E-2</v>
      </c>
      <c r="E11" s="63" t="s">
        <v>66</v>
      </c>
      <c r="F11" s="60" t="s">
        <v>22</v>
      </c>
      <c r="G11" s="47">
        <v>8</v>
      </c>
      <c r="H11" s="133">
        <f>IF(B$17=0,0,G11/B$17)</f>
        <v>7.7669902912621352E-2</v>
      </c>
      <c r="I11" s="94">
        <v>6</v>
      </c>
      <c r="K11" s="38">
        <v>9</v>
      </c>
      <c r="L11" s="99">
        <v>-260.59999999999997</v>
      </c>
      <c r="N11" s="115" t="s">
        <v>165</v>
      </c>
      <c r="O11" s="125">
        <f>IF(P11=0,0,Q11/P11)</f>
        <v>-5.2111111111111104</v>
      </c>
      <c r="P11" s="119">
        <v>18</v>
      </c>
      <c r="Q11" s="107">
        <v>-93.799999999999983</v>
      </c>
    </row>
    <row r="12" spans="1:17" x14ac:dyDescent="0.4">
      <c r="A12" s="57" t="s">
        <v>160</v>
      </c>
      <c r="B12" s="49">
        <v>1</v>
      </c>
      <c r="C12" s="42">
        <f>IF(B$2=0,0,B12/B$2)</f>
        <v>2.564102564102564E-2</v>
      </c>
      <c r="E12" s="63" t="s">
        <v>72</v>
      </c>
      <c r="F12" s="60" t="s">
        <v>27</v>
      </c>
      <c r="G12" s="47">
        <v>6</v>
      </c>
      <c r="H12" s="133">
        <f>IF(B$17=0,0,G12/B$17)</f>
        <v>5.8252427184466021E-2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-5.4636363636363621</v>
      </c>
      <c r="P12" s="120">
        <v>11</v>
      </c>
      <c r="Q12" s="108">
        <v>-60.099999999999987</v>
      </c>
    </row>
    <row r="13" spans="1:17" x14ac:dyDescent="0.4">
      <c r="A13" s="58" t="s">
        <v>122</v>
      </c>
      <c r="B13" s="50">
        <v>80</v>
      </c>
      <c r="C13" s="44">
        <f>IF(B$3=0,0,B13/B$3)</f>
        <v>0.23391812865497075</v>
      </c>
      <c r="E13" s="63" t="s">
        <v>87</v>
      </c>
      <c r="F13" s="60" t="s">
        <v>42</v>
      </c>
      <c r="G13" s="47">
        <v>4</v>
      </c>
      <c r="H13" s="133">
        <f>IF(B$17=0,0,G13/B$17)</f>
        <v>3.8834951456310676E-2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85</v>
      </c>
      <c r="C14" s="39">
        <f>IF(B$3=0,0,B14/B$3)</f>
        <v>0.24853801169590642</v>
      </c>
      <c r="E14" s="63" t="s">
        <v>74</v>
      </c>
      <c r="F14" s="60" t="s">
        <v>29</v>
      </c>
      <c r="G14" s="47">
        <v>2</v>
      </c>
      <c r="H14" s="133">
        <f>IF(B$17=0,0,G14/B$17)</f>
        <v>1.9417475728155338E-2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</v>
      </c>
      <c r="E15" s="63" t="s">
        <v>79</v>
      </c>
      <c r="F15" s="60" t="s">
        <v>34</v>
      </c>
      <c r="G15" s="47">
        <v>2</v>
      </c>
      <c r="H15" s="133">
        <f>IF(B$17=0,0,G15/B$17)</f>
        <v>1.9417475728155338E-2</v>
      </c>
      <c r="I15" s="94">
        <v>4</v>
      </c>
      <c r="K15" s="38">
        <v>13</v>
      </c>
      <c r="L15" s="99">
        <v>-302.59999999999997</v>
      </c>
      <c r="N15" s="114" t="s">
        <v>129</v>
      </c>
      <c r="O15" s="124">
        <f>IF(P15=0,0,Q15/P15)</f>
        <v>30.3</v>
      </c>
      <c r="P15" s="118">
        <v>7</v>
      </c>
      <c r="Q15" s="106">
        <v>212.1</v>
      </c>
    </row>
    <row r="16" spans="1:17" x14ac:dyDescent="0.4">
      <c r="A16" s="54" t="s">
        <v>125</v>
      </c>
      <c r="B16" s="46">
        <v>29</v>
      </c>
      <c r="C16" s="37">
        <f>IF(B$14=0,0,B16/B$14)</f>
        <v>0.3411764705882353</v>
      </c>
      <c r="E16" s="63" t="s">
        <v>80</v>
      </c>
      <c r="F16" s="60" t="s">
        <v>35</v>
      </c>
      <c r="G16" s="47">
        <v>2</v>
      </c>
      <c r="H16" s="133">
        <f>IF(B$17=0,0,G16/B$17)</f>
        <v>1.9417475728155338E-2</v>
      </c>
      <c r="I16" s="94">
        <v>2</v>
      </c>
      <c r="K16" s="38">
        <v>14</v>
      </c>
      <c r="L16" s="99">
        <v>-269.99999999999994</v>
      </c>
      <c r="N16" s="115" t="s">
        <v>128</v>
      </c>
      <c r="O16" s="125">
        <f>IF(P16=0,0,Q16/P16)</f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103</v>
      </c>
      <c r="C17" s="37">
        <f>IF(B$3=0,0,B17/B$3)</f>
        <v>0.30116959064327486</v>
      </c>
      <c r="E17" s="63" t="s">
        <v>84</v>
      </c>
      <c r="F17" s="60" t="s">
        <v>39</v>
      </c>
      <c r="G17" s="47">
        <v>2</v>
      </c>
      <c r="H17" s="133">
        <f>IF(B$17=0,0,G17/B$17)</f>
        <v>1.9417475728155338E-2</v>
      </c>
      <c r="I17" s="94">
        <v>8</v>
      </c>
      <c r="K17" s="38">
        <v>15</v>
      </c>
      <c r="L17" s="99">
        <v>-264.59999999999997</v>
      </c>
      <c r="N17" s="115" t="s">
        <v>172</v>
      </c>
      <c r="O17" s="125">
        <f>IF(P17=0,0,Q17/P17)</f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53</v>
      </c>
      <c r="C18" s="39">
        <f>IF(B$17=0,0,B18/B$17)</f>
        <v>0.5145631067961165</v>
      </c>
      <c r="E18" s="63" t="s">
        <v>92</v>
      </c>
      <c r="F18" s="60" t="s">
        <v>47</v>
      </c>
      <c r="G18" s="47">
        <v>1</v>
      </c>
      <c r="H18" s="133">
        <f>IF(B$17=0,0,G18/B$17)</f>
        <v>9.7087378640776691E-3</v>
      </c>
      <c r="I18" s="94">
        <v>7</v>
      </c>
      <c r="K18" s="38">
        <v>16</v>
      </c>
      <c r="L18" s="99">
        <v>-292.79999999999995</v>
      </c>
      <c r="N18" s="115" t="s">
        <v>171</v>
      </c>
      <c r="O18" s="125">
        <f>IF(P18=0,0,Q18/P18)</f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50</v>
      </c>
      <c r="C19" s="39">
        <f>IF(B$17=0,0,B19/B$17)</f>
        <v>0.4854368932038835</v>
      </c>
      <c r="E19" s="63" t="s">
        <v>180</v>
      </c>
      <c r="F19" s="60" t="s">
        <v>183</v>
      </c>
      <c r="G19" s="47">
        <v>1</v>
      </c>
      <c r="H19" s="133">
        <f>IF(B$17=0,0,G19/B$17)</f>
        <v>9.7087378640776691E-3</v>
      </c>
      <c r="I19" s="94">
        <v>5</v>
      </c>
      <c r="K19" s="38">
        <v>17</v>
      </c>
      <c r="L19" s="99">
        <v>-248.89999999999995</v>
      </c>
      <c r="N19" s="115" t="s">
        <v>127</v>
      </c>
      <c r="O19" s="125">
        <f>IF(P19=0,0,Q19/P19)</f>
        <v>-22.754999999999995</v>
      </c>
      <c r="P19" s="119">
        <v>20</v>
      </c>
      <c r="Q19" s="107">
        <v>-455.09999999999991</v>
      </c>
    </row>
    <row r="20" spans="1:17" x14ac:dyDescent="0.4">
      <c r="A20" s="55" t="s">
        <v>13</v>
      </c>
      <c r="B20" s="47">
        <v>65</v>
      </c>
      <c r="C20" s="39">
        <f>IF(B$3=0,0,B20/B$3)</f>
        <v>0.19005847953216373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4</v>
      </c>
      <c r="K20" s="38">
        <v>18</v>
      </c>
      <c r="L20" s="99">
        <v>-218.99999999999994</v>
      </c>
      <c r="N20" s="115" t="s">
        <v>177</v>
      </c>
      <c r="O20" s="125">
        <f>IF(P20=0,0,Q20/P20)</f>
        <v>-33.6</v>
      </c>
      <c r="P20" s="119">
        <v>3</v>
      </c>
      <c r="Q20" s="107">
        <v>-100.80000000000001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6838.8349514563106</v>
      </c>
      <c r="C23" s="41">
        <v>704400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-7690.7692307692305</v>
      </c>
      <c r="C24" s="45">
        <v>-499900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10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5.8479532163742687E-3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68190-845F-4485-9174-8753D797792B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27</v>
      </c>
      <c r="C2" s="147"/>
      <c r="E2" s="62" t="s">
        <v>73</v>
      </c>
      <c r="F2" s="59" t="s">
        <v>28</v>
      </c>
      <c r="G2" s="46">
        <v>40</v>
      </c>
      <c r="H2" s="132">
        <f>IF(B$17=0,0,G2/B$17)</f>
        <v>0.625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614.81481481481478</v>
      </c>
      <c r="P2" s="118">
        <v>27</v>
      </c>
      <c r="Q2" s="102">
        <v>16600</v>
      </c>
    </row>
    <row r="3" spans="1:17" x14ac:dyDescent="0.4">
      <c r="A3" s="55" t="s">
        <v>8</v>
      </c>
      <c r="B3" s="148">
        <v>219</v>
      </c>
      <c r="C3" s="149"/>
      <c r="E3" s="63" t="s">
        <v>67</v>
      </c>
      <c r="F3" s="60" t="s">
        <v>23</v>
      </c>
      <c r="G3" s="47">
        <v>38</v>
      </c>
      <c r="H3" s="133">
        <f>IF(B$17=0,0,G3/B$17)</f>
        <v>0.59375</v>
      </c>
      <c r="I3" s="94">
        <v>11</v>
      </c>
      <c r="K3" s="38">
        <v>1</v>
      </c>
      <c r="L3" s="99">
        <v>-1.9</v>
      </c>
      <c r="N3" s="115" t="s">
        <v>133</v>
      </c>
      <c r="O3" s="122">
        <f t="shared" si="0"/>
        <v>1072</v>
      </c>
      <c r="P3" s="119">
        <v>25</v>
      </c>
      <c r="Q3" s="103">
        <v>26800</v>
      </c>
    </row>
    <row r="4" spans="1:17" x14ac:dyDescent="0.4">
      <c r="A4" s="55" t="s">
        <v>6</v>
      </c>
      <c r="B4" s="150">
        <v>-27.099999999999994</v>
      </c>
      <c r="C4" s="151"/>
      <c r="E4" s="63" t="s">
        <v>65</v>
      </c>
      <c r="F4" s="60" t="s">
        <v>21</v>
      </c>
      <c r="G4" s="47">
        <v>34</v>
      </c>
      <c r="H4" s="133">
        <f>IF(B$17=0,0,G4/B$17)</f>
        <v>0.53125</v>
      </c>
      <c r="I4" s="94">
        <v>7</v>
      </c>
      <c r="K4" s="38">
        <v>2</v>
      </c>
      <c r="L4" s="99">
        <v>30</v>
      </c>
      <c r="N4" s="115" t="s">
        <v>134</v>
      </c>
      <c r="O4" s="122">
        <f t="shared" si="0"/>
        <v>-1213.0434782608695</v>
      </c>
      <c r="P4" s="119">
        <v>23</v>
      </c>
      <c r="Q4" s="103">
        <v>-27900</v>
      </c>
    </row>
    <row r="5" spans="1:17" x14ac:dyDescent="0.4">
      <c r="A5" s="55" t="s">
        <v>7</v>
      </c>
      <c r="B5" s="152">
        <f>IF(B$2=0,0,B$4/B$2)</f>
        <v>-1.0037037037037035</v>
      </c>
      <c r="C5" s="153"/>
      <c r="E5" s="63" t="s">
        <v>181</v>
      </c>
      <c r="F5" s="60" t="s">
        <v>182</v>
      </c>
      <c r="G5" s="47">
        <v>21</v>
      </c>
      <c r="H5" s="133">
        <f>IF(B$17=0,0,G5/B$17)</f>
        <v>0.328125</v>
      </c>
      <c r="I5" s="94">
        <v>12</v>
      </c>
      <c r="K5" s="38">
        <v>3</v>
      </c>
      <c r="L5" s="99">
        <v>-10</v>
      </c>
      <c r="N5" s="115" t="s">
        <v>135</v>
      </c>
      <c r="O5" s="122">
        <f t="shared" si="0"/>
        <v>-147.82608695652175</v>
      </c>
      <c r="P5" s="119">
        <v>23</v>
      </c>
      <c r="Q5" s="103">
        <v>-3400</v>
      </c>
    </row>
    <row r="6" spans="1:17" x14ac:dyDescent="0.4">
      <c r="A6" s="55" t="s">
        <v>1</v>
      </c>
      <c r="B6" s="142">
        <f>IF(B$2=0,0,(B$7*1+B$8*2+B$9*3)/B$2)</f>
        <v>1.962962962962963</v>
      </c>
      <c r="C6" s="143"/>
      <c r="E6" s="63" t="s">
        <v>68</v>
      </c>
      <c r="F6" s="60" t="s">
        <v>24</v>
      </c>
      <c r="G6" s="47">
        <v>18</v>
      </c>
      <c r="H6" s="133">
        <f>IF(B$17=0,0,G6/B$17)</f>
        <v>0.28125</v>
      </c>
      <c r="I6" s="94">
        <v>10</v>
      </c>
      <c r="K6" s="38">
        <v>4</v>
      </c>
      <c r="L6" s="99">
        <v>40</v>
      </c>
      <c r="N6" s="115" t="s">
        <v>136</v>
      </c>
      <c r="O6" s="122">
        <f t="shared" si="0"/>
        <v>-1047.6190476190477</v>
      </c>
      <c r="P6" s="119">
        <v>21</v>
      </c>
      <c r="Q6" s="103">
        <v>-22000</v>
      </c>
    </row>
    <row r="7" spans="1:17" x14ac:dyDescent="0.4">
      <c r="A7" s="55" t="s">
        <v>2</v>
      </c>
      <c r="B7" s="47">
        <v>10</v>
      </c>
      <c r="C7" s="39">
        <f>IF(B$2=0,0,B7/B$2)</f>
        <v>0.37037037037037035</v>
      </c>
      <c r="E7" s="63" t="s">
        <v>69</v>
      </c>
      <c r="F7" s="60" t="s">
        <v>12</v>
      </c>
      <c r="G7" s="47">
        <v>15</v>
      </c>
      <c r="H7" s="133">
        <f>IF(B$17=0,0,G7/B$17)</f>
        <v>0.234375</v>
      </c>
      <c r="I7" s="94">
        <v>12</v>
      </c>
      <c r="K7" s="38">
        <v>5</v>
      </c>
      <c r="L7" s="99">
        <v>35.4</v>
      </c>
      <c r="N7" s="116" t="s">
        <v>137</v>
      </c>
      <c r="O7" s="123">
        <f t="shared" si="0"/>
        <v>55.555555555555557</v>
      </c>
      <c r="P7" s="120">
        <v>18</v>
      </c>
      <c r="Q7" s="104">
        <v>1000</v>
      </c>
    </row>
    <row r="8" spans="1:17" x14ac:dyDescent="0.4">
      <c r="A8" s="55" t="s">
        <v>3</v>
      </c>
      <c r="B8" s="47">
        <v>8</v>
      </c>
      <c r="C8" s="39">
        <f>IF(B$2=0,0,B8/B$2)</f>
        <v>0.29629629629629628</v>
      </c>
      <c r="E8" s="63" t="s">
        <v>90</v>
      </c>
      <c r="F8" s="60" t="s">
        <v>45</v>
      </c>
      <c r="G8" s="47">
        <v>10</v>
      </c>
      <c r="H8" s="133">
        <f>IF(B$17=0,0,G8/B$17)</f>
        <v>0.15625</v>
      </c>
      <c r="I8" s="94">
        <v>6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ref="C9" si="1">IF(B$2=0,0,B9/B$2)</f>
        <v>0.33333333333333331</v>
      </c>
      <c r="E9" s="63" t="s">
        <v>70</v>
      </c>
      <c r="F9" s="60" t="s">
        <v>25</v>
      </c>
      <c r="G9" s="47">
        <v>9</v>
      </c>
      <c r="H9" s="133">
        <f>IF(B$17=0,0,G9/B$17)</f>
        <v>0.140625</v>
      </c>
      <c r="I9" s="94">
        <v>9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0.18518518518518517</v>
      </c>
      <c r="E10" s="63" t="s">
        <v>66</v>
      </c>
      <c r="F10" s="60" t="s">
        <v>22</v>
      </c>
      <c r="G10" s="47">
        <v>4</v>
      </c>
      <c r="H10" s="133">
        <f>IF(B$17=0,0,G10/B$17)</f>
        <v>6.25E-2</v>
      </c>
      <c r="I10" s="94">
        <v>8</v>
      </c>
      <c r="K10" s="38">
        <v>8</v>
      </c>
      <c r="L10" s="99">
        <v>-87.1</v>
      </c>
      <c r="N10" s="114" t="s">
        <v>164</v>
      </c>
      <c r="O10" s="124">
        <f>IF(P10=0,0,Q10/P10)</f>
        <v>15.079999999999998</v>
      </c>
      <c r="P10" s="118">
        <v>5</v>
      </c>
      <c r="Q10" s="106">
        <v>75.399999999999991</v>
      </c>
    </row>
    <row r="11" spans="1:17" x14ac:dyDescent="0.4">
      <c r="A11" s="56" t="s">
        <v>140</v>
      </c>
      <c r="B11" s="48">
        <v>1</v>
      </c>
      <c r="C11" s="40">
        <f>IF(B$2=0,0,B11/B$2)</f>
        <v>3.7037037037037035E-2</v>
      </c>
      <c r="E11" s="63" t="s">
        <v>84</v>
      </c>
      <c r="F11" s="60" t="s">
        <v>39</v>
      </c>
      <c r="G11" s="47">
        <v>4</v>
      </c>
      <c r="H11" s="133">
        <f>IF(B$17=0,0,G11/B$17)</f>
        <v>6.25E-2</v>
      </c>
      <c r="I11" s="94">
        <v>2</v>
      </c>
      <c r="K11" s="38">
        <v>9</v>
      </c>
      <c r="L11" s="99">
        <v>-128.6</v>
      </c>
      <c r="N11" s="115" t="s">
        <v>165</v>
      </c>
      <c r="O11" s="125">
        <f>IF(P11=0,0,Q11/P11)</f>
        <v>-0.91000000000000014</v>
      </c>
      <c r="P11" s="119">
        <v>10</v>
      </c>
      <c r="Q11" s="107">
        <v>-9.1000000000000014</v>
      </c>
    </row>
    <row r="12" spans="1:17" x14ac:dyDescent="0.4">
      <c r="A12" s="57" t="s">
        <v>160</v>
      </c>
      <c r="B12" s="49">
        <v>2</v>
      </c>
      <c r="C12" s="42">
        <f>IF(B$2=0,0,B12/B$2)</f>
        <v>7.407407407407407E-2</v>
      </c>
      <c r="E12" s="63" t="s">
        <v>82</v>
      </c>
      <c r="F12" s="60" t="s">
        <v>37</v>
      </c>
      <c r="G12" s="47">
        <v>3</v>
      </c>
      <c r="H12" s="133">
        <f>IF(B$17=0,0,G12/B$17)</f>
        <v>4.6875E-2</v>
      </c>
      <c r="I12" s="94">
        <v>3</v>
      </c>
      <c r="K12" s="38">
        <v>10</v>
      </c>
      <c r="L12" s="99">
        <v>-183.7</v>
      </c>
      <c r="N12" s="116" t="s">
        <v>166</v>
      </c>
      <c r="O12" s="126">
        <f>IF(P12=0,0,Q12/P12)</f>
        <v>-7.7833333333333323</v>
      </c>
      <c r="P12" s="120">
        <v>12</v>
      </c>
      <c r="Q12" s="108">
        <v>-93.399999999999991</v>
      </c>
    </row>
    <row r="13" spans="1:17" x14ac:dyDescent="0.4">
      <c r="A13" s="58" t="s">
        <v>122</v>
      </c>
      <c r="B13" s="50">
        <v>48</v>
      </c>
      <c r="C13" s="44">
        <f>IF(B$3=0,0,B13/B$3)</f>
        <v>0.21917808219178081</v>
      </c>
      <c r="E13" s="63" t="s">
        <v>92</v>
      </c>
      <c r="F13" s="60" t="s">
        <v>47</v>
      </c>
      <c r="G13" s="47">
        <v>3</v>
      </c>
      <c r="H13" s="133">
        <f>IF(B$17=0,0,G13/B$17)</f>
        <v>4.6875E-2</v>
      </c>
      <c r="I13" s="94">
        <v>1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49</v>
      </c>
      <c r="C14" s="39">
        <f>IF(B$3=0,0,B14/B$3)</f>
        <v>0.22374429223744291</v>
      </c>
      <c r="E14" s="63" t="s">
        <v>71</v>
      </c>
      <c r="F14" s="60" t="s">
        <v>26</v>
      </c>
      <c r="G14" s="47">
        <v>2</v>
      </c>
      <c r="H14" s="133">
        <f>IF(B$17=0,0,G14/B$17)</f>
        <v>3.125E-2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33</v>
      </c>
      <c r="C15" s="37">
        <f>IF(B$13=0,0,B15/B$13)</f>
        <v>0.6875</v>
      </c>
      <c r="E15" s="63" t="s">
        <v>72</v>
      </c>
      <c r="F15" s="60" t="s">
        <v>27</v>
      </c>
      <c r="G15" s="47">
        <v>2</v>
      </c>
      <c r="H15" s="133">
        <f>IF(B$17=0,0,G15/B$17)</f>
        <v>3.125E-2</v>
      </c>
      <c r="I15" s="94">
        <v>9</v>
      </c>
      <c r="K15" s="38">
        <v>13</v>
      </c>
      <c r="L15" s="99">
        <v>-209.59999999999997</v>
      </c>
      <c r="N15" s="114" t="s">
        <v>171</v>
      </c>
      <c r="O15" s="124">
        <f>IF(P15=0,0,Q15/P15)</f>
        <v>61.933333333333337</v>
      </c>
      <c r="P15" s="118">
        <v>3</v>
      </c>
      <c r="Q15" s="106">
        <v>185.8</v>
      </c>
    </row>
    <row r="16" spans="1:17" x14ac:dyDescent="0.4">
      <c r="A16" s="54" t="s">
        <v>125</v>
      </c>
      <c r="B16" s="46">
        <v>21</v>
      </c>
      <c r="C16" s="37">
        <f>IF(B$14=0,0,B16/B$14)</f>
        <v>0.42857142857142855</v>
      </c>
      <c r="E16" s="63" t="s">
        <v>86</v>
      </c>
      <c r="F16" s="60" t="s">
        <v>41</v>
      </c>
      <c r="G16" s="47">
        <v>2</v>
      </c>
      <c r="H16" s="133">
        <f>IF(B$17=0,0,G16/B$17)</f>
        <v>3.125E-2</v>
      </c>
      <c r="I16" s="94">
        <v>1</v>
      </c>
      <c r="K16" s="38">
        <v>14</v>
      </c>
      <c r="L16" s="99">
        <v>-178.49999999999997</v>
      </c>
      <c r="N16" s="115" t="s">
        <v>186</v>
      </c>
      <c r="O16" s="125">
        <f>IF(P16=0,0,Q16/P16)</f>
        <v>60.800000000000004</v>
      </c>
      <c r="P16" s="119">
        <v>2</v>
      </c>
      <c r="Q16" s="107">
        <v>121.60000000000001</v>
      </c>
    </row>
    <row r="17" spans="1:17" x14ac:dyDescent="0.4">
      <c r="A17" s="54" t="s">
        <v>10</v>
      </c>
      <c r="B17" s="46">
        <f>B19+B18</f>
        <v>64</v>
      </c>
      <c r="C17" s="37">
        <f>IF(B$3=0,0,B17/B$3)</f>
        <v>0.29223744292237441</v>
      </c>
      <c r="E17" s="63" t="s">
        <v>75</v>
      </c>
      <c r="F17" s="60" t="s">
        <v>30</v>
      </c>
      <c r="G17" s="47">
        <v>1</v>
      </c>
      <c r="H17" s="133">
        <f>IF(B$17=0,0,G17/B$17)</f>
        <v>1.5625E-2</v>
      </c>
      <c r="I17" s="94">
        <v>1</v>
      </c>
      <c r="K17" s="38">
        <v>15</v>
      </c>
      <c r="L17" s="99">
        <v>-146.19999999999999</v>
      </c>
      <c r="N17" s="115" t="s">
        <v>202</v>
      </c>
      <c r="O17" s="125">
        <f>IF(P17=0,0,Q17/P17)</f>
        <v>59.050000000000004</v>
      </c>
      <c r="P17" s="119">
        <v>2</v>
      </c>
      <c r="Q17" s="107">
        <v>118.10000000000001</v>
      </c>
    </row>
    <row r="18" spans="1:17" x14ac:dyDescent="0.4">
      <c r="A18" s="55" t="s">
        <v>12</v>
      </c>
      <c r="B18" s="47">
        <v>25</v>
      </c>
      <c r="C18" s="39">
        <f>IF(B$17=0,0,B18/B$17)</f>
        <v>0.390625</v>
      </c>
      <c r="E18" s="63" t="s">
        <v>76</v>
      </c>
      <c r="F18" s="60" t="s">
        <v>31</v>
      </c>
      <c r="G18" s="47">
        <v>1</v>
      </c>
      <c r="H18" s="133">
        <f>IF(B$17=0,0,G18/B$17)</f>
        <v>1.5625E-2</v>
      </c>
      <c r="I18" s="94">
        <v>3</v>
      </c>
      <c r="K18" s="38">
        <v>16</v>
      </c>
      <c r="L18" s="99">
        <v>-153.29999999999998</v>
      </c>
      <c r="N18" s="115" t="s">
        <v>173</v>
      </c>
      <c r="O18" s="125">
        <f>IF(P18=0,0,Q18/P18)</f>
        <v>33.6</v>
      </c>
      <c r="P18" s="119">
        <v>3</v>
      </c>
      <c r="Q18" s="107">
        <v>100.80000000000001</v>
      </c>
    </row>
    <row r="19" spans="1:17" x14ac:dyDescent="0.4">
      <c r="A19" s="55" t="s">
        <v>11</v>
      </c>
      <c r="B19" s="47">
        <v>39</v>
      </c>
      <c r="C19" s="39">
        <f>IF(B$17=0,0,B19/B$17)</f>
        <v>0.609375</v>
      </c>
      <c r="E19" s="63" t="s">
        <v>79</v>
      </c>
      <c r="F19" s="60" t="s">
        <v>34</v>
      </c>
      <c r="G19" s="47">
        <v>1</v>
      </c>
      <c r="H19" s="133">
        <f>IF(B$17=0,0,G19/B$17)</f>
        <v>1.5625E-2</v>
      </c>
      <c r="I19" s="94">
        <v>7</v>
      </c>
      <c r="K19" s="38">
        <v>17</v>
      </c>
      <c r="L19" s="99">
        <v>-161.19999999999999</v>
      </c>
      <c r="N19" s="115" t="s">
        <v>128</v>
      </c>
      <c r="O19" s="125">
        <f>IF(P19=0,0,Q19/P19)</f>
        <v>6.5650000000000004</v>
      </c>
      <c r="P19" s="119">
        <v>20</v>
      </c>
      <c r="Q19" s="107">
        <v>131.30000000000001</v>
      </c>
    </row>
    <row r="20" spans="1:17" x14ac:dyDescent="0.4">
      <c r="A20" s="55" t="s">
        <v>13</v>
      </c>
      <c r="B20" s="47">
        <v>39</v>
      </c>
      <c r="C20" s="39">
        <f>IF(B$3=0,0,B20/B$3)</f>
        <v>0.17808219178082191</v>
      </c>
      <c r="E20" s="63" t="s">
        <v>87</v>
      </c>
      <c r="F20" s="60" t="s">
        <v>42</v>
      </c>
      <c r="G20" s="47">
        <v>1</v>
      </c>
      <c r="H20" s="133">
        <f>IF(B$17=0,0,G20/B$17)</f>
        <v>1.5625E-2</v>
      </c>
      <c r="I20" s="94">
        <v>10</v>
      </c>
      <c r="K20" s="38">
        <v>18</v>
      </c>
      <c r="L20" s="99">
        <v>-159</v>
      </c>
      <c r="N20" s="115" t="s">
        <v>129</v>
      </c>
      <c r="O20" s="125">
        <f>IF(P20=0,0,Q20/P20)</f>
        <v>-15.580000000000007</v>
      </c>
      <c r="P20" s="119">
        <v>5</v>
      </c>
      <c r="Q20" s="107">
        <v>-77.900000000000034</v>
      </c>
    </row>
    <row r="21" spans="1:17" x14ac:dyDescent="0.4">
      <c r="A21" s="55" t="s">
        <v>193</v>
      </c>
      <c r="B21" s="47">
        <v>4</v>
      </c>
      <c r="C21" s="135">
        <v>4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-235.6</v>
      </c>
      <c r="N21" s="115" t="s">
        <v>172</v>
      </c>
      <c r="O21" s="125">
        <f>IF(P21=0,0,Q21/P21)</f>
        <v>-18.733333333333338</v>
      </c>
      <c r="P21" s="119">
        <v>6</v>
      </c>
      <c r="Q21" s="107">
        <v>-112.40000000000002</v>
      </c>
    </row>
    <row r="22" spans="1:17" x14ac:dyDescent="0.4">
      <c r="A22" s="55" t="s">
        <v>194</v>
      </c>
      <c r="B22" s="47">
        <v>21</v>
      </c>
      <c r="C22" s="135">
        <v>4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-200.8</v>
      </c>
      <c r="N22" s="115" t="s">
        <v>127</v>
      </c>
      <c r="O22" s="125">
        <f>IF(P22=0,0,Q22/P22)</f>
        <v>-41.150000000000006</v>
      </c>
      <c r="P22" s="119">
        <v>10</v>
      </c>
      <c r="Q22" s="107">
        <v>-411.50000000000006</v>
      </c>
    </row>
    <row r="23" spans="1:17" x14ac:dyDescent="0.4">
      <c r="A23" s="55" t="s">
        <v>5</v>
      </c>
      <c r="B23" s="51">
        <f>IF(B$17=0,0,C23/B$17)</f>
        <v>7904.6875</v>
      </c>
      <c r="C23" s="41">
        <v>505900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-7292.3076923076924</v>
      </c>
      <c r="C24" s="45">
        <v>-284400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8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2</v>
      </c>
      <c r="C27" s="42">
        <f>IF(B$3=0,0,B27/B$3)</f>
        <v>9.1324200913242004E-3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-151.5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6</v>
      </c>
      <c r="K28" s="38">
        <v>26</v>
      </c>
      <c r="L28" s="99">
        <v>-115.1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-27.099999999999994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3B3E5-A839-480F-87EF-DC9ABD9BF0EF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10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3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5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7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4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9F1F-B5A2-4359-B3FE-2394E42AE259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</v>
      </c>
      <c r="C2" s="147"/>
      <c r="E2" s="62" t="s">
        <v>67</v>
      </c>
      <c r="F2" s="59" t="s">
        <v>23</v>
      </c>
      <c r="G2" s="46">
        <v>16</v>
      </c>
      <c r="H2" s="132">
        <f>IF(B$17=0,0,G2/B$17)</f>
        <v>0.8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-1860</v>
      </c>
      <c r="P2" s="118">
        <v>10</v>
      </c>
      <c r="Q2" s="102">
        <v>-18600</v>
      </c>
    </row>
    <row r="3" spans="1:17" x14ac:dyDescent="0.4">
      <c r="A3" s="55" t="s">
        <v>8</v>
      </c>
      <c r="B3" s="148">
        <v>85</v>
      </c>
      <c r="C3" s="149"/>
      <c r="E3" s="63" t="s">
        <v>73</v>
      </c>
      <c r="F3" s="60" t="s">
        <v>28</v>
      </c>
      <c r="G3" s="47">
        <v>16</v>
      </c>
      <c r="H3" s="133">
        <f>IF(B$17=0,0,G3/B$17)</f>
        <v>0.8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-2160</v>
      </c>
      <c r="P3" s="119">
        <v>10</v>
      </c>
      <c r="Q3" s="103">
        <v>-21600</v>
      </c>
    </row>
    <row r="4" spans="1:17" x14ac:dyDescent="0.4">
      <c r="A4" s="55" t="s">
        <v>6</v>
      </c>
      <c r="B4" s="150">
        <v>-197.5</v>
      </c>
      <c r="C4" s="151"/>
      <c r="E4" s="63" t="s">
        <v>65</v>
      </c>
      <c r="F4" s="60" t="s">
        <v>21</v>
      </c>
      <c r="G4" s="47">
        <v>10</v>
      </c>
      <c r="H4" s="133">
        <f>IF(B$17=0,0,G4/B$17)</f>
        <v>0.5</v>
      </c>
      <c r="I4" s="94">
        <v>10</v>
      </c>
      <c r="K4" s="38">
        <v>2</v>
      </c>
      <c r="L4" s="99">
        <v>-76.2</v>
      </c>
      <c r="N4" s="115" t="s">
        <v>134</v>
      </c>
      <c r="O4" s="122">
        <f t="shared" si="0"/>
        <v>-990</v>
      </c>
      <c r="P4" s="119">
        <v>10</v>
      </c>
      <c r="Q4" s="103">
        <v>-9900</v>
      </c>
    </row>
    <row r="5" spans="1:17" x14ac:dyDescent="0.4">
      <c r="A5" s="55" t="s">
        <v>7</v>
      </c>
      <c r="B5" s="152">
        <f>IF(B$2=0,0,B$4/B$2)</f>
        <v>-19.75</v>
      </c>
      <c r="C5" s="153"/>
      <c r="E5" s="63" t="s">
        <v>69</v>
      </c>
      <c r="F5" s="60" t="s">
        <v>12</v>
      </c>
      <c r="G5" s="47">
        <v>6</v>
      </c>
      <c r="H5" s="133">
        <f>IF(B$17=0,0,G5/B$17)</f>
        <v>0.3</v>
      </c>
      <c r="I5" s="94">
        <v>8</v>
      </c>
      <c r="K5" s="38">
        <v>3</v>
      </c>
      <c r="L5" s="99">
        <v>-78.400000000000006</v>
      </c>
      <c r="N5" s="115" t="s">
        <v>135</v>
      </c>
      <c r="O5" s="122">
        <f t="shared" si="0"/>
        <v>-5388.8888888888887</v>
      </c>
      <c r="P5" s="119">
        <v>9</v>
      </c>
      <c r="Q5" s="103">
        <v>-48500</v>
      </c>
    </row>
    <row r="6" spans="1:17" x14ac:dyDescent="0.4">
      <c r="A6" s="55" t="s">
        <v>1</v>
      </c>
      <c r="B6" s="142">
        <f>IF(B$2=0,0,(B$7*1+B$8*2+B$9*3)/B$2)</f>
        <v>2.2999999999999998</v>
      </c>
      <c r="C6" s="143"/>
      <c r="E6" s="63" t="s">
        <v>181</v>
      </c>
      <c r="F6" s="60" t="s">
        <v>182</v>
      </c>
      <c r="G6" s="47">
        <v>5</v>
      </c>
      <c r="H6" s="133">
        <f>IF(B$17=0,0,G6/B$17)</f>
        <v>0.25</v>
      </c>
      <c r="I6" s="94">
        <v>13</v>
      </c>
      <c r="K6" s="38">
        <v>4</v>
      </c>
      <c r="L6" s="99">
        <v>-49.800000000000004</v>
      </c>
      <c r="N6" s="115" t="s">
        <v>136</v>
      </c>
      <c r="O6" s="122">
        <f t="shared" si="0"/>
        <v>1077.7777777777778</v>
      </c>
      <c r="P6" s="119">
        <v>9</v>
      </c>
      <c r="Q6" s="103">
        <v>9700</v>
      </c>
    </row>
    <row r="7" spans="1:17" x14ac:dyDescent="0.4">
      <c r="A7" s="55" t="s">
        <v>2</v>
      </c>
      <c r="B7" s="47">
        <v>3</v>
      </c>
      <c r="C7" s="39">
        <f>IF(B$2=0,0,B7/B$2)</f>
        <v>0.3</v>
      </c>
      <c r="E7" s="63" t="s">
        <v>90</v>
      </c>
      <c r="F7" s="60" t="s">
        <v>45</v>
      </c>
      <c r="G7" s="47">
        <v>4</v>
      </c>
      <c r="H7" s="133">
        <f>IF(B$17=0,0,G7/B$17)</f>
        <v>0.2</v>
      </c>
      <c r="I7" s="94">
        <v>4</v>
      </c>
      <c r="K7" s="38">
        <v>5</v>
      </c>
      <c r="L7" s="99">
        <v>-121</v>
      </c>
      <c r="N7" s="116" t="s">
        <v>137</v>
      </c>
      <c r="O7" s="123">
        <f t="shared" si="0"/>
        <v>-5400</v>
      </c>
      <c r="P7" s="120">
        <v>9</v>
      </c>
      <c r="Q7" s="104">
        <v>-48600</v>
      </c>
    </row>
    <row r="8" spans="1:17" x14ac:dyDescent="0.4">
      <c r="A8" s="55" t="s">
        <v>3</v>
      </c>
      <c r="B8" s="47">
        <v>1</v>
      </c>
      <c r="C8" s="39">
        <f>IF(B$2=0,0,B8/B$2)</f>
        <v>0.1</v>
      </c>
      <c r="E8" s="63" t="s">
        <v>84</v>
      </c>
      <c r="F8" s="60" t="s">
        <v>39</v>
      </c>
      <c r="G8" s="47">
        <v>3</v>
      </c>
      <c r="H8" s="133">
        <f>IF(B$17=0,0,G8/B$17)</f>
        <v>0.15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0.6</v>
      </c>
      <c r="E9" s="63" t="s">
        <v>68</v>
      </c>
      <c r="F9" s="60" t="s">
        <v>24</v>
      </c>
      <c r="G9" s="47">
        <v>2</v>
      </c>
      <c r="H9" s="133">
        <f>IF(B$17=0,0,G9/B$17)</f>
        <v>0.1</v>
      </c>
      <c r="I9" s="94">
        <v>13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0.2</v>
      </c>
      <c r="E10" s="63" t="s">
        <v>70</v>
      </c>
      <c r="F10" s="60" t="s">
        <v>25</v>
      </c>
      <c r="G10" s="47">
        <v>2</v>
      </c>
      <c r="H10" s="133">
        <f>IF(B$17=0,0,G10/B$17)</f>
        <v>0.1</v>
      </c>
      <c r="I10" s="94">
        <v>11</v>
      </c>
      <c r="K10" s="38">
        <v>8</v>
      </c>
      <c r="L10" s="99">
        <v>-170.5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2</v>
      </c>
      <c r="H11" s="133">
        <f>IF(B$17=0,0,G11/B$17)</f>
        <v>0.1</v>
      </c>
      <c r="I11" s="94">
        <v>7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80</v>
      </c>
      <c r="F12" s="60" t="s">
        <v>35</v>
      </c>
      <c r="G12" s="47">
        <v>2</v>
      </c>
      <c r="H12" s="133">
        <f>IF(B$17=0,0,G12/B$17)</f>
        <v>0.1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18</v>
      </c>
      <c r="C13" s="44">
        <f>IF(B$3=0,0,B13/B$3)</f>
        <v>0.21176470588235294</v>
      </c>
      <c r="E13" s="63" t="s">
        <v>74</v>
      </c>
      <c r="F13" s="60" t="s">
        <v>29</v>
      </c>
      <c r="G13" s="47">
        <v>1</v>
      </c>
      <c r="H13" s="133">
        <f>IF(B$17=0,0,G13/B$17)</f>
        <v>0.05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0.2</v>
      </c>
      <c r="E14" s="63" t="s">
        <v>76</v>
      </c>
      <c r="F14" s="60" t="s">
        <v>31</v>
      </c>
      <c r="G14" s="47">
        <v>1</v>
      </c>
      <c r="H14" s="133">
        <f>IF(B$17=0,0,G14/B$17)</f>
        <v>0.05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</v>
      </c>
      <c r="C15" s="37">
        <f>IF(B$13=0,0,B15/B$13)</f>
        <v>0.55555555555555558</v>
      </c>
      <c r="E15" s="63" t="s">
        <v>82</v>
      </c>
      <c r="F15" s="60" t="s">
        <v>37</v>
      </c>
      <c r="G15" s="47">
        <v>1</v>
      </c>
      <c r="H15" s="133">
        <f>IF(B$17=0,0,G15/B$17)</f>
        <v>0.05</v>
      </c>
      <c r="I15" s="94">
        <v>2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8</v>
      </c>
      <c r="C16" s="37">
        <f>IF(B$14=0,0,B16/B$14)</f>
        <v>0.47058823529411764</v>
      </c>
      <c r="E16" s="63" t="s">
        <v>66</v>
      </c>
      <c r="F16" s="60" t="s">
        <v>22</v>
      </c>
      <c r="G16" s="47">
        <v>0</v>
      </c>
      <c r="H16" s="133">
        <f>IF(B$17=0,0,G16/B$17)</f>
        <v>0</v>
      </c>
      <c r="I16" s="94">
        <v>10</v>
      </c>
      <c r="N16" s="115" t="s">
        <v>172</v>
      </c>
      <c r="O16" s="125">
        <f>IF(P16=0,0,Q16/P16)</f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0.23529411764705882</v>
      </c>
      <c r="E17" s="63" t="s">
        <v>72</v>
      </c>
      <c r="F17" s="60" t="s">
        <v>27</v>
      </c>
      <c r="G17" s="47">
        <v>0</v>
      </c>
      <c r="H17" s="133">
        <f>IF(B$17=0,0,G17/B$17)</f>
        <v>0</v>
      </c>
      <c r="I17" s="94">
        <v>10</v>
      </c>
      <c r="N17" s="115" t="s">
        <v>128</v>
      </c>
      <c r="O17" s="125">
        <f>IF(P17=0,0,Q17/P17)</f>
        <v>-22.25</v>
      </c>
      <c r="P17" s="119">
        <v>6</v>
      </c>
      <c r="Q17" s="107">
        <v>-133.5</v>
      </c>
    </row>
    <row r="18" spans="1:17" x14ac:dyDescent="0.4">
      <c r="A18" s="55" t="s">
        <v>12</v>
      </c>
      <c r="B18" s="47">
        <v>11</v>
      </c>
      <c r="C18" s="39">
        <f>IF(B$17=0,0,B18/B$17)</f>
        <v>0.55000000000000004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4</v>
      </c>
      <c r="N18" s="115" t="s">
        <v>171</v>
      </c>
      <c r="O18" s="125">
        <f>IF(P18=0,0,Q18/P18)</f>
        <v>-25.400000000000002</v>
      </c>
      <c r="P18" s="119">
        <v>2</v>
      </c>
      <c r="Q18" s="107">
        <v>-50.800000000000004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127</v>
      </c>
      <c r="O19" s="125">
        <f>IF(P19=0,0,Q19/P19)</f>
        <v>-42.43333333333333</v>
      </c>
      <c r="P19" s="119">
        <v>6</v>
      </c>
      <c r="Q19" s="107">
        <v>-254.6</v>
      </c>
    </row>
    <row r="20" spans="1:17" x14ac:dyDescent="0.4">
      <c r="A20" s="55" t="s">
        <v>13</v>
      </c>
      <c r="B20" s="47">
        <v>23</v>
      </c>
      <c r="C20" s="39">
        <f>IF(B$3=0,0,B20/B$3)</f>
        <v>0.27058823529411763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177</v>
      </c>
      <c r="O20" s="125">
        <f>IF(P20=0,0,Q20/P20)</f>
        <v>-60.800000000000004</v>
      </c>
      <c r="P20" s="119">
        <v>2</v>
      </c>
      <c r="Q20" s="107">
        <v>-121.60000000000001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11</v>
      </c>
      <c r="N21" s="115" t="s">
        <v>185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10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7365</v>
      </c>
      <c r="C23" s="41">
        <v>147300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-7686.95652173913</v>
      </c>
      <c r="C24" s="45">
        <v>-176800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A0D12-A214-4AC0-A0B0-6ACA3BD24AE6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</v>
      </c>
      <c r="C2" s="147"/>
      <c r="E2" s="62" t="s">
        <v>65</v>
      </c>
      <c r="F2" s="59" t="s">
        <v>21</v>
      </c>
      <c r="G2" s="46">
        <v>10</v>
      </c>
      <c r="H2" s="132">
        <f>IF(B$17=0,0,G2/B$17)</f>
        <v>0.625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-4333.333333333333</v>
      </c>
      <c r="P2" s="118">
        <v>6</v>
      </c>
      <c r="Q2" s="102">
        <v>-26000</v>
      </c>
    </row>
    <row r="3" spans="1:17" x14ac:dyDescent="0.4">
      <c r="A3" s="55" t="s">
        <v>8</v>
      </c>
      <c r="B3" s="148">
        <v>61</v>
      </c>
      <c r="C3" s="149"/>
      <c r="E3" s="63" t="s">
        <v>73</v>
      </c>
      <c r="F3" s="60" t="s">
        <v>28</v>
      </c>
      <c r="G3" s="47">
        <v>9</v>
      </c>
      <c r="H3" s="133">
        <f>IF(B$17=0,0,G3/B$17)</f>
        <v>0.5625</v>
      </c>
      <c r="I3" s="94">
        <v>5</v>
      </c>
      <c r="K3" s="38">
        <v>1</v>
      </c>
      <c r="L3" s="99">
        <v>-12.5</v>
      </c>
      <c r="N3" s="115" t="s">
        <v>133</v>
      </c>
      <c r="O3" s="122">
        <f t="shared" si="0"/>
        <v>2466.6666666666665</v>
      </c>
      <c r="P3" s="119">
        <v>6</v>
      </c>
      <c r="Q3" s="103">
        <v>14800</v>
      </c>
    </row>
    <row r="4" spans="1:17" x14ac:dyDescent="0.4">
      <c r="A4" s="55" t="s">
        <v>6</v>
      </c>
      <c r="B4" s="150">
        <v>-16.300000000000004</v>
      </c>
      <c r="C4" s="151"/>
      <c r="E4" s="63" t="s">
        <v>67</v>
      </c>
      <c r="F4" s="60" t="s">
        <v>23</v>
      </c>
      <c r="G4" s="47">
        <v>8</v>
      </c>
      <c r="H4" s="133">
        <f>IF(B$17=0,0,G4/B$17)</f>
        <v>0.5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-4433.333333333333</v>
      </c>
      <c r="P4" s="119">
        <v>6</v>
      </c>
      <c r="Q4" s="103">
        <v>-26600</v>
      </c>
    </row>
    <row r="5" spans="1:17" x14ac:dyDescent="0.4">
      <c r="A5" s="55" t="s">
        <v>7</v>
      </c>
      <c r="B5" s="152">
        <f>IF(B$2=0,0,B$4/B$2)</f>
        <v>-2.7166666666666672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0.5</v>
      </c>
      <c r="I5" s="94">
        <v>2</v>
      </c>
      <c r="K5" s="38">
        <v>3</v>
      </c>
      <c r="L5" s="99">
        <v>-20.400000000000002</v>
      </c>
      <c r="N5" s="115" t="s">
        <v>135</v>
      </c>
      <c r="O5" s="122">
        <f t="shared" si="0"/>
        <v>-1633.3333333333333</v>
      </c>
      <c r="P5" s="119">
        <v>6</v>
      </c>
      <c r="Q5" s="103">
        <v>-9800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7</v>
      </c>
      <c r="H6" s="133">
        <f>IF(B$17=0,0,G6/B$17)</f>
        <v>0.4375</v>
      </c>
      <c r="I6" s="94">
        <v>3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0.16666666666666666</v>
      </c>
      <c r="E7" s="63" t="s">
        <v>181</v>
      </c>
      <c r="F7" s="60" t="s">
        <v>182</v>
      </c>
      <c r="G7" s="47">
        <v>6</v>
      </c>
      <c r="H7" s="133">
        <f>IF(B$17=0,0,G7/B$17)</f>
        <v>0.375</v>
      </c>
      <c r="I7" s="94">
        <v>8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4</v>
      </c>
      <c r="C8" s="39">
        <f>IF(B$2=0,0,B8/B$2)</f>
        <v>0.66666666666666663</v>
      </c>
      <c r="E8" s="63" t="s">
        <v>70</v>
      </c>
      <c r="F8" s="60" t="s">
        <v>25</v>
      </c>
      <c r="G8" s="47">
        <v>5</v>
      </c>
      <c r="H8" s="133">
        <f>IF(B$17=0,0,G8/B$17)</f>
        <v>0.3125</v>
      </c>
      <c r="I8" s="94">
        <v>1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0.16666666666666666</v>
      </c>
      <c r="E9" s="63" t="s">
        <v>90</v>
      </c>
      <c r="F9" s="60" t="s">
        <v>45</v>
      </c>
      <c r="G9" s="47">
        <v>4</v>
      </c>
      <c r="H9" s="133">
        <f>IF(B$17=0,0,G9/B$17)</f>
        <v>0.25</v>
      </c>
      <c r="I9" s="94">
        <v>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79</v>
      </c>
      <c r="F10" s="60" t="s">
        <v>34</v>
      </c>
      <c r="G10" s="47">
        <v>2</v>
      </c>
      <c r="H10" s="133">
        <f>IF(B$17=0,0,G10/B$17)</f>
        <v>0.125</v>
      </c>
      <c r="I10" s="94">
        <v>2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1</v>
      </c>
      <c r="H11" s="133">
        <f>IF(B$17=0,0,G11/B$17)</f>
        <v>6.25E-2</v>
      </c>
      <c r="I11" s="94">
        <v>8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6.25E-2</v>
      </c>
      <c r="I12" s="94">
        <v>5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15</v>
      </c>
      <c r="C13" s="44">
        <f>IF(B$3=0,0,B13/B$3)</f>
        <v>0.24590163934426229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0.24590163934426229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</v>
      </c>
      <c r="C15" s="37">
        <f>IF(B$13=0,0,B15/B$13)</f>
        <v>0.66666666666666663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6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5</v>
      </c>
      <c r="C16" s="37">
        <f>IF(B$14=0,0,B16/B$14)</f>
        <v>0.33333333333333331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4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0.26229508196721313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7</v>
      </c>
      <c r="N17" s="115" t="s">
        <v>128</v>
      </c>
      <c r="O17" s="125">
        <f>IF(P17=0,0,Q17/P17)</f>
        <v>5.5000000000000018</v>
      </c>
      <c r="P17" s="119">
        <v>2</v>
      </c>
      <c r="Q17" s="107">
        <v>11.000000000000004</v>
      </c>
    </row>
    <row r="18" spans="1:17" x14ac:dyDescent="0.4">
      <c r="A18" s="55" t="s">
        <v>12</v>
      </c>
      <c r="B18" s="47">
        <v>9</v>
      </c>
      <c r="C18" s="39">
        <f>IF(B$17=0,0,B18/B$17)</f>
        <v>0.5625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172</v>
      </c>
      <c r="O18" s="125">
        <f>IF(P18=0,0,Q18/P18)</f>
        <v>-16.450000000000006</v>
      </c>
      <c r="P18" s="119">
        <v>4</v>
      </c>
      <c r="Q18" s="107">
        <v>-65.800000000000026</v>
      </c>
    </row>
    <row r="19" spans="1:17" x14ac:dyDescent="0.4">
      <c r="A19" s="55" t="s">
        <v>11</v>
      </c>
      <c r="B19" s="47">
        <v>7</v>
      </c>
      <c r="C19" s="39">
        <f>IF(B$17=0,0,B19/B$17)</f>
        <v>0.4375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5</v>
      </c>
      <c r="N19" s="115" t="s">
        <v>127</v>
      </c>
      <c r="O19" s="125">
        <f>IF(P19=0,0,Q19/P19)</f>
        <v>-23.1</v>
      </c>
      <c r="P19" s="119">
        <v>1</v>
      </c>
      <c r="Q19" s="107">
        <v>-23.1</v>
      </c>
    </row>
    <row r="20" spans="1:17" x14ac:dyDescent="0.4">
      <c r="A20" s="55" t="s">
        <v>13</v>
      </c>
      <c r="B20" s="47">
        <v>11</v>
      </c>
      <c r="C20" s="39">
        <f>IF(B$3=0,0,B20/B$3)</f>
        <v>0.18032786885245902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  <c r="N20" s="115" t="s">
        <v>177</v>
      </c>
      <c r="O20" s="125">
        <f>IF(P20=0,0,Q20/P20)</f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9</v>
      </c>
      <c r="C22" s="135">
        <v>9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8043.75</v>
      </c>
      <c r="C23" s="41">
        <v>128700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-6563.636363636364</v>
      </c>
      <c r="C24" s="45">
        <v>-72200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466DE-C154-4986-856A-D93441483C19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10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2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181</v>
      </c>
      <c r="F7" s="60" t="s">
        <v>182</v>
      </c>
      <c r="G7" s="47">
        <v>1</v>
      </c>
      <c r="H7" s="133">
        <f>IF(B$17=0,0,G7/B$17)</f>
        <v>0.5</v>
      </c>
      <c r="I7" s="94">
        <v>1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10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10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13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4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7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5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8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10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142</v>
      </c>
      <c r="B25" s="140">
        <v>5</v>
      </c>
      <c r="C25" s="141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11</v>
      </c>
    </row>
    <row r="26" spans="1:9" x14ac:dyDescent="0.4">
      <c r="A26" s="58" t="s">
        <v>152</v>
      </c>
      <c r="B26" s="138">
        <v>48300</v>
      </c>
      <c r="C26" s="139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6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5AC19-4701-4FEF-8425-072BEE290248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68</v>
      </c>
      <c r="F3" s="60" t="s">
        <v>24</v>
      </c>
      <c r="G3" s="47">
        <v>3</v>
      </c>
      <c r="H3" s="133">
        <f>IF(B$17=0,0,G3/B$17)</f>
        <v>1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69</v>
      </c>
      <c r="F4" s="60" t="s">
        <v>12</v>
      </c>
      <c r="G4" s="47">
        <v>2</v>
      </c>
      <c r="H4" s="133">
        <f>IF(B$17=0,0,G4/B$17)</f>
        <v>0.66666666666666663</v>
      </c>
      <c r="I4" s="94">
        <v>1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73</v>
      </c>
      <c r="F5" s="60" t="s">
        <v>28</v>
      </c>
      <c r="G5" s="47">
        <v>1</v>
      </c>
      <c r="H5" s="133">
        <f>IF(B$17=0,0,G5/B$17)</f>
        <v>0.33333333333333331</v>
      </c>
      <c r="I5" s="94">
        <v>11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79</v>
      </c>
      <c r="F6" s="60" t="s">
        <v>34</v>
      </c>
      <c r="G6" s="47">
        <v>1</v>
      </c>
      <c r="H6" s="133">
        <f>IF(B$17=0,0,G6/B$17)</f>
        <v>0.33333333333333331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90</v>
      </c>
      <c r="F7" s="60" t="s">
        <v>45</v>
      </c>
      <c r="G7" s="47">
        <v>1</v>
      </c>
      <c r="H7" s="133">
        <f>IF(B$17=0,0,G7/B$17)</f>
        <v>0.33333333333333331</v>
      </c>
      <c r="I7" s="94">
        <v>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181</v>
      </c>
      <c r="F8" s="60" t="s">
        <v>182</v>
      </c>
      <c r="G8" s="47">
        <v>1</v>
      </c>
      <c r="H8" s="133">
        <f>IF(B$17=0,0,G8/B$17)</f>
        <v>0.33333333333333331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66</v>
      </c>
      <c r="F9" s="60" t="s">
        <v>22</v>
      </c>
      <c r="G9" s="47">
        <v>0</v>
      </c>
      <c r="H9" s="133">
        <f>IF(B$17=0,0,G9/B$17)</f>
        <v>0</v>
      </c>
      <c r="I9" s="94">
        <v>10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23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70</v>
      </c>
      <c r="F11" s="60" t="s">
        <v>25</v>
      </c>
      <c r="G11" s="47">
        <v>0</v>
      </c>
      <c r="H11" s="133">
        <f>IF(B$17=0,0,G11/B$17)</f>
        <v>0</v>
      </c>
      <c r="I11" s="94">
        <v>12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71</v>
      </c>
      <c r="F12" s="60" t="s">
        <v>26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72</v>
      </c>
      <c r="F13" s="60" t="s">
        <v>27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4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8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10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10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142</v>
      </c>
      <c r="B25" s="140">
        <v>3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9" x14ac:dyDescent="0.4">
      <c r="A26" s="58" t="s">
        <v>152</v>
      </c>
      <c r="B26" s="138">
        <v>18000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62C7C-9EC4-45DA-BA80-389A8587E545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8B18F-58BD-42EB-9E3A-0AF4D100DE7B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9271C-6F16-4627-8971-6B9FB1F2F14B}">
  <sheetPr codeName="Sheet26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D2BC8-23AC-44A8-82FA-BFDC19EBC876}">
  <sheetPr codeName="Sheet24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C26F0-CF95-4B62-AAE2-86D982196590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A3E56-3382-406D-8408-9B6D8E7340C8}">
  <sheetPr codeName="Sheet20"/>
  <dimension ref="A1:Q3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BD3A-7380-4655-8047-237DA3754DAC}">
  <sheetPr codeName="Sheet18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4195F-9AD5-4EEC-98FA-2B1497A93243}">
  <sheetPr codeName="Sheet16"/>
  <dimension ref="A1:Q5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FEE16-08D3-49C7-8EB5-57BA6FB6FFA6}">
  <sheetPr codeName="Sheet14"/>
  <dimension ref="A1:Q5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25EC3-A5CD-4AEB-BB10-DD2A252F0A86}">
  <sheetPr codeName="Sheet12"/>
  <dimension ref="A1:Q4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F89F7-2B43-4844-B7F1-011B9543878C}">
  <sheetPr codeName="Sheet10"/>
  <dimension ref="A1:Q10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DA6BD-0908-4605-AF76-03E3A52E0A21}">
  <sheetPr codeName="Sheet8"/>
  <dimension ref="A1:Q10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36C13-50DA-4189-BE52-E92E054E5F71}">
  <sheetPr codeName="Sheet6"/>
  <dimension ref="A1:Q15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2019-05-17T16:33:40Z</dcterms:modified>
</cp:coreProperties>
</file>