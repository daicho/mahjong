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D0388B0-A481-420F-837C-DDC332A8EBD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465" l="1"/>
  <c r="O15" i="5471"/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8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2" i="5463" l="1"/>
  <c r="O17" i="5459"/>
  <c r="O20" i="5467"/>
  <c r="O18" i="5467"/>
  <c r="O20" i="5455" l="1"/>
  <c r="O19" i="5471"/>
  <c r="O20" i="5471" l="1"/>
  <c r="O16" i="5471"/>
  <c r="O15" i="5461"/>
  <c r="O20" i="5459"/>
  <c r="O17" i="5469" l="1"/>
  <c r="O22" i="5465"/>
  <c r="O15" i="5469"/>
  <c r="O22" i="5471"/>
  <c r="O15" i="5457"/>
  <c r="O21" i="5467"/>
  <c r="O18" i="5453"/>
  <c r="O21" i="5471"/>
  <c r="O17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19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17" i="5467" l="1"/>
  <c r="O20" i="5465"/>
  <c r="O16" i="5465"/>
  <c r="O17" i="5457"/>
  <c r="O18" i="5463" l="1"/>
  <c r="O17" i="5461"/>
  <c r="O17" i="5465"/>
  <c r="O18" i="5465"/>
  <c r="O15" i="5463" l="1"/>
  <c r="O16" i="5461"/>
  <c r="O22" i="5459"/>
  <c r="O18" i="5459"/>
  <c r="O15" i="5467"/>
  <c r="O19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11" i="5467" l="1"/>
  <c r="H2" i="5467"/>
  <c r="C17" i="5467"/>
  <c r="H3" i="5467"/>
  <c r="H5" i="5467"/>
  <c r="H29" i="5467"/>
  <c r="H30" i="5467"/>
  <c r="H18" i="5467"/>
  <c r="H33" i="5467"/>
  <c r="H16" i="5467"/>
  <c r="H35" i="5467"/>
  <c r="H39" i="5467"/>
  <c r="H42" i="5467"/>
  <c r="H46" i="5467"/>
  <c r="H50" i="5467"/>
  <c r="H8" i="5467"/>
  <c r="H22" i="5467"/>
  <c r="H28" i="5467"/>
  <c r="C19" i="5467"/>
  <c r="H14" i="5467"/>
  <c r="H23" i="5467"/>
  <c r="H36" i="5467"/>
  <c r="H40" i="5467"/>
  <c r="H43" i="5467"/>
  <c r="H47" i="5467"/>
  <c r="H51" i="5467"/>
  <c r="H9" i="5467"/>
  <c r="H7" i="5467"/>
  <c r="H12" i="5467"/>
  <c r="H21" i="5467"/>
  <c r="H19" i="5467"/>
  <c r="H17" i="5467"/>
  <c r="H31" i="5467"/>
  <c r="H13" i="5467"/>
  <c r="H10" i="5467"/>
  <c r="H24" i="5467"/>
  <c r="H37" i="5467"/>
  <c r="H25" i="5467"/>
  <c r="H44" i="5467"/>
  <c r="H48" i="5467"/>
  <c r="H4" i="5467"/>
  <c r="H6" i="5467"/>
  <c r="H26" i="5467"/>
  <c r="H27" i="5467"/>
  <c r="H15" i="5467"/>
  <c r="C18" i="5467"/>
  <c r="B23" i="5467"/>
  <c r="H32" i="5467"/>
  <c r="H20" i="5467"/>
  <c r="H34" i="5467"/>
  <c r="H38" i="5467"/>
  <c r="H41" i="5467"/>
  <c r="H45" i="5467"/>
  <c r="H49" i="5467"/>
  <c r="O19" i="5459" l="1"/>
  <c r="O19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21" i="5455"/>
  <c r="O17" i="5453"/>
  <c r="O19" i="5463"/>
  <c r="O18" i="5457"/>
  <c r="O19" i="5457"/>
  <c r="O19" i="5461"/>
  <c r="O21" i="5463"/>
  <c r="O23" i="5463"/>
  <c r="C27" i="5463"/>
  <c r="B24" i="5463"/>
  <c r="C20" i="5463"/>
  <c r="B17" i="5463"/>
  <c r="H51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8" i="5455"/>
  <c r="O23" i="5455"/>
  <c r="O20" i="5453"/>
  <c r="O21" i="5453"/>
  <c r="C17" i="5465" l="1"/>
  <c r="H4" i="5465"/>
  <c r="H10" i="5465"/>
  <c r="H2" i="5465"/>
  <c r="H8" i="5465"/>
  <c r="H2" i="5463"/>
  <c r="H5" i="5463"/>
  <c r="H4" i="5461"/>
  <c r="H2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8" i="5463"/>
  <c r="C17" i="5463"/>
  <c r="H40" i="5463"/>
  <c r="H32" i="5463"/>
  <c r="H22" i="5463"/>
  <c r="H10" i="5463"/>
  <c r="H20" i="5463"/>
  <c r="H24" i="5463"/>
  <c r="H9" i="5463"/>
  <c r="H6" i="5463"/>
  <c r="H19" i="5463"/>
  <c r="H18" i="5463"/>
  <c r="H48" i="5463"/>
  <c r="H7" i="5463"/>
  <c r="H13" i="5463"/>
  <c r="H3" i="5463"/>
  <c r="H10" i="5461"/>
  <c r="H17" i="5463"/>
  <c r="C18" i="5463"/>
  <c r="B23" i="5463"/>
  <c r="H33" i="5463"/>
  <c r="H41" i="5463"/>
  <c r="H49" i="5463"/>
  <c r="H15" i="5463"/>
  <c r="H11" i="5463"/>
  <c r="H36" i="5463"/>
  <c r="H44" i="5463"/>
  <c r="H4" i="5463"/>
  <c r="H14" i="5463"/>
  <c r="H23" i="5463"/>
  <c r="H37" i="5463"/>
  <c r="H45" i="5463"/>
  <c r="H52" i="5463"/>
  <c r="H26" i="5463"/>
  <c r="H27" i="5463"/>
  <c r="H29" i="5463"/>
  <c r="H30" i="5463"/>
  <c r="H16" i="5463"/>
  <c r="H34" i="5463"/>
  <c r="H38" i="5463"/>
  <c r="H42" i="5463"/>
  <c r="H46" i="5463"/>
  <c r="H50" i="5463"/>
  <c r="H8" i="5463"/>
  <c r="H21" i="5463"/>
  <c r="H25" i="5463"/>
  <c r="C19" i="5463"/>
  <c r="H12" i="5463"/>
  <c r="H31" i="5463"/>
  <c r="H35" i="5463"/>
  <c r="H39" i="5463"/>
  <c r="H43" i="5463"/>
  <c r="H47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6" i="5459" l="1"/>
  <c r="O21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2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9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6" i="5457" l="1"/>
  <c r="H4" i="5457"/>
  <c r="H21" i="5457"/>
  <c r="H2" i="5457"/>
  <c r="H12" i="5459"/>
  <c r="H6" i="5459"/>
  <c r="H44" i="5459"/>
  <c r="H11" i="5459"/>
  <c r="H5" i="5459"/>
  <c r="H30" i="5459"/>
  <c r="H9" i="5459"/>
  <c r="C17" i="5459"/>
  <c r="H24" i="5455"/>
  <c r="H13" i="5455"/>
  <c r="H38" i="5455"/>
  <c r="H4" i="5455"/>
  <c r="H2" i="5455"/>
  <c r="H7" i="5455"/>
  <c r="H30" i="5455"/>
  <c r="B23" i="5455"/>
  <c r="H10" i="5455"/>
  <c r="H40" i="5459"/>
  <c r="H17" i="5459"/>
  <c r="H22" i="5459"/>
  <c r="H19" i="5459"/>
  <c r="H48" i="5459"/>
  <c r="H3" i="5459"/>
  <c r="H2" i="5459"/>
  <c r="H10" i="5459"/>
  <c r="H16" i="5459"/>
  <c r="H13" i="5459"/>
  <c r="H36" i="5459"/>
  <c r="H4" i="5459"/>
  <c r="H28" i="5459"/>
  <c r="H29" i="5459"/>
  <c r="H31" i="5459"/>
  <c r="H23" i="5459"/>
  <c r="H24" i="5459"/>
  <c r="H34" i="5459"/>
  <c r="H38" i="5459"/>
  <c r="H42" i="5459"/>
  <c r="H46" i="5459"/>
  <c r="H50" i="5459"/>
  <c r="H8" i="5459"/>
  <c r="H20" i="5459"/>
  <c r="H21" i="5459"/>
  <c r="C19" i="5459"/>
  <c r="H15" i="5459"/>
  <c r="H25" i="5459"/>
  <c r="H35" i="5459"/>
  <c r="H39" i="5459"/>
  <c r="H43" i="5459"/>
  <c r="H47" i="5459"/>
  <c r="H51" i="5459"/>
  <c r="H7" i="5459"/>
  <c r="H26" i="5459"/>
  <c r="H27" i="5459"/>
  <c r="H14" i="5459"/>
  <c r="C18" i="5459"/>
  <c r="B23" i="5459"/>
  <c r="H18" i="5459"/>
  <c r="H32" i="5459"/>
  <c r="H33" i="5459"/>
  <c r="H37" i="5459"/>
  <c r="H41" i="5459"/>
  <c r="H45" i="5459"/>
  <c r="H49" i="5459"/>
  <c r="H8" i="5457"/>
  <c r="C18" i="5457"/>
  <c r="H14" i="5457"/>
  <c r="H5" i="5457"/>
  <c r="H11" i="5457"/>
  <c r="H39" i="5457"/>
  <c r="H22" i="5457"/>
  <c r="H27" i="5457"/>
  <c r="H15" i="5457"/>
  <c r="H47" i="5457"/>
  <c r="H10" i="5457"/>
  <c r="C19" i="5457"/>
  <c r="H43" i="5457"/>
  <c r="H7" i="5457"/>
  <c r="H13" i="5457"/>
  <c r="C17" i="5457"/>
  <c r="H19" i="5457"/>
  <c r="H31" i="5457"/>
  <c r="H3" i="5457"/>
  <c r="H6" i="5457"/>
  <c r="H9" i="5457"/>
  <c r="H12" i="5457"/>
  <c r="H17" i="5457"/>
  <c r="H24" i="5457"/>
  <c r="H35" i="5457"/>
  <c r="H51" i="5457"/>
  <c r="H18" i="5457"/>
  <c r="H20" i="5457"/>
  <c r="H23" i="5457"/>
  <c r="H26" i="5457"/>
  <c r="H29" i="5457"/>
  <c r="H33" i="5457"/>
  <c r="H37" i="5457"/>
  <c r="H41" i="5457"/>
  <c r="H45" i="5457"/>
  <c r="H49" i="5457"/>
  <c r="H30" i="5457"/>
  <c r="H34" i="5457"/>
  <c r="H38" i="5457"/>
  <c r="H42" i="5457"/>
  <c r="H46" i="5457"/>
  <c r="H50" i="5457"/>
  <c r="B23" i="5457"/>
  <c r="H25" i="5457"/>
  <c r="H28" i="5457"/>
  <c r="H32" i="5457"/>
  <c r="H36" i="5457"/>
  <c r="H40" i="5457"/>
  <c r="H44" i="5457"/>
  <c r="H48" i="5457"/>
  <c r="H2" i="5453"/>
  <c r="H3" i="5453"/>
  <c r="H4" i="5453"/>
  <c r="H37" i="5453"/>
  <c r="H11" i="5453"/>
  <c r="H33" i="5453"/>
  <c r="H12" i="5453"/>
  <c r="H15" i="5453"/>
  <c r="H25" i="5453"/>
  <c r="H7" i="5453"/>
  <c r="H22" i="5453"/>
  <c r="C18" i="5453"/>
  <c r="H46" i="5455"/>
  <c r="H6" i="5455"/>
  <c r="H11" i="5455"/>
  <c r="H3" i="5455"/>
  <c r="C18" i="5455"/>
  <c r="H52" i="5455"/>
  <c r="H21" i="5455"/>
  <c r="H31" i="5455"/>
  <c r="H16" i="5455"/>
  <c r="C19" i="5455"/>
  <c r="H22" i="5455"/>
  <c r="H40" i="5455"/>
  <c r="H48" i="5455"/>
  <c r="H27" i="5455"/>
  <c r="H35" i="5455"/>
  <c r="H42" i="5455"/>
  <c r="H50" i="5455"/>
  <c r="H8" i="5455"/>
  <c r="H25" i="5455"/>
  <c r="H23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7" i="5455"/>
  <c r="H26" i="5455"/>
  <c r="H12" i="5455"/>
  <c r="H9" i="5455"/>
  <c r="H28" i="5455"/>
  <c r="H37" i="5455"/>
  <c r="H41" i="5455"/>
  <c r="H45" i="5455"/>
  <c r="H49" i="5455"/>
  <c r="H34" i="5453"/>
  <c r="H29" i="5453"/>
  <c r="H42" i="5453"/>
  <c r="H10" i="5453"/>
  <c r="H6" i="5453"/>
  <c r="H20" i="5453"/>
  <c r="H18" i="5453"/>
  <c r="B23" i="5453"/>
  <c r="H26" i="5453"/>
  <c r="H49" i="5453"/>
  <c r="H50" i="5453"/>
  <c r="H16" i="5453"/>
  <c r="H9" i="5453"/>
  <c r="H32" i="5453"/>
  <c r="H45" i="5453"/>
  <c r="H5" i="5453"/>
  <c r="C17" i="5453"/>
  <c r="H13" i="5453"/>
  <c r="H27" i="5453"/>
  <c r="H39" i="5453"/>
  <c r="H46" i="5453"/>
  <c r="H52" i="5453"/>
  <c r="H35" i="5453"/>
  <c r="H36" i="5453"/>
  <c r="H24" i="5453"/>
  <c r="H30" i="5453"/>
  <c r="H17" i="5453"/>
  <c r="H31" i="5453"/>
  <c r="H40" i="5453"/>
  <c r="H43" i="5453"/>
  <c r="H47" i="5453"/>
  <c r="H51" i="5453"/>
  <c r="H8" i="5453"/>
  <c r="H21" i="5453"/>
  <c r="H28" i="5453"/>
  <c r="C19" i="5453"/>
  <c r="H14" i="5453"/>
  <c r="H23" i="5453"/>
  <c r="H38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<sst xmlns="http://schemas.openxmlformats.org/spreadsheetml/2006/main" count="3319" uniqueCount="260">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</sst>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全体!$K$2:$K$695</c:f>
              <c:numCache>
                <c:formatCode>General</c:formatCode>
                <c:ptCount val="6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</c:numCache>
            </c:numRef>
          </c:xVal>
          <c:yVal>
            <c:numRef>
              <c:f>全体!$L$2:$L$695</c:f>
              <c:numCache>
                <c:formatCode>\+0.0;\-0.0;\±0</c:formatCode>
                <c:ptCount val="69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45.999999999999979</c:v>
                </c:pt>
                <c:pt idx="648">
                  <c:v>-1.0000000000000213</c:v>
                </c:pt>
                <c:pt idx="649">
                  <c:v>-15.300000000000022</c:v>
                </c:pt>
                <c:pt idx="650">
                  <c:v>35.09999999999998</c:v>
                </c:pt>
                <c:pt idx="651">
                  <c:v>-1.0000000000000213</c:v>
                </c:pt>
                <c:pt idx="652">
                  <c:v>-1.0000000000000213</c:v>
                </c:pt>
                <c:pt idx="653">
                  <c:v>-1.0000000000000213</c:v>
                </c:pt>
                <c:pt idx="654">
                  <c:v>-1.0000000000000213</c:v>
                </c:pt>
                <c:pt idx="655">
                  <c:v>-61.90000000000002</c:v>
                </c:pt>
                <c:pt idx="656">
                  <c:v>2.4999999999999858</c:v>
                </c:pt>
                <c:pt idx="657">
                  <c:v>-1.0000000000000142</c:v>
                </c:pt>
                <c:pt idx="658">
                  <c:v>66.799999999999983</c:v>
                </c:pt>
                <c:pt idx="659">
                  <c:v>54.899999999999984</c:v>
                </c:pt>
                <c:pt idx="660">
                  <c:v>-1.0000000000000142</c:v>
                </c:pt>
                <c:pt idx="661">
                  <c:v>-15.900000000000015</c:v>
                </c:pt>
                <c:pt idx="662">
                  <c:v>-52.300000000000011</c:v>
                </c:pt>
                <c:pt idx="663">
                  <c:v>-1.0000000000000142</c:v>
                </c:pt>
                <c:pt idx="664">
                  <c:v>-58.700000000000017</c:v>
                </c:pt>
                <c:pt idx="665">
                  <c:v>-41.100000000000016</c:v>
                </c:pt>
                <c:pt idx="666">
                  <c:v>-1.0000000000000142</c:v>
                </c:pt>
                <c:pt idx="667">
                  <c:v>-2.9000000000000141</c:v>
                </c:pt>
                <c:pt idx="668">
                  <c:v>31.79999999999999</c:v>
                </c:pt>
                <c:pt idx="669">
                  <c:v>-1.0000000000000071</c:v>
                </c:pt>
                <c:pt idx="670">
                  <c:v>10.599999999999993</c:v>
                </c:pt>
                <c:pt idx="671">
                  <c:v>-44.800000000000004</c:v>
                </c:pt>
                <c:pt idx="672">
                  <c:v>-1.0000000000000071</c:v>
                </c:pt>
                <c:pt idx="673">
                  <c:v>-2.0000000000000071</c:v>
                </c:pt>
                <c:pt idx="674">
                  <c:v>-60.000000000000007</c:v>
                </c:pt>
                <c:pt idx="675">
                  <c:v>-1.0000000000000071</c:v>
                </c:pt>
                <c:pt idx="676">
                  <c:v>-2.3000000000000069</c:v>
                </c:pt>
                <c:pt idx="677">
                  <c:v>33.699999999999996</c:v>
                </c:pt>
                <c:pt idx="678">
                  <c:v>-1.0000000000000071</c:v>
                </c:pt>
                <c:pt idx="679">
                  <c:v>-8.4000000000000075</c:v>
                </c:pt>
                <c:pt idx="680">
                  <c:v>-72.100000000000009</c:v>
                </c:pt>
                <c:pt idx="681">
                  <c:v>-1.0000000000000142</c:v>
                </c:pt>
                <c:pt idx="682">
                  <c:v>75.999999999999986</c:v>
                </c:pt>
                <c:pt idx="683">
                  <c:v>-6.0000000000000142</c:v>
                </c:pt>
                <c:pt idx="684">
                  <c:v>-1.0000000000000142</c:v>
                </c:pt>
                <c:pt idx="685">
                  <c:v>48.699999999999989</c:v>
                </c:pt>
                <c:pt idx="686">
                  <c:v>37.79999999999999</c:v>
                </c:pt>
                <c:pt idx="687">
                  <c:v>-1.0000000000000071</c:v>
                </c:pt>
                <c:pt idx="688">
                  <c:v>-29.400000000000006</c:v>
                </c:pt>
                <c:pt idx="689">
                  <c:v>56</c:v>
                </c:pt>
                <c:pt idx="690">
                  <c:v>-1</c:v>
                </c:pt>
                <c:pt idx="691">
                  <c:v>-48.7</c:v>
                </c:pt>
                <c:pt idx="692">
                  <c:v>-70.300000000000011</c:v>
                </c:pt>
                <c:pt idx="693">
                  <c:v>-1.0000000000000142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-17.391304347826086</c:v>
                </c:pt>
                <c:pt idx="1">
                  <c:v>-4.4444444444444446</c:v>
                </c:pt>
                <c:pt idx="2">
                  <c:v>9.5238095238095237</c:v>
                </c:pt>
                <c:pt idx="3">
                  <c:v>6.9808027923211169</c:v>
                </c:pt>
                <c:pt idx="4">
                  <c:v>-11.627906976744185</c:v>
                </c:pt>
                <c:pt idx="5">
                  <c:v>21.786492374727668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だいち!$L$2:$L$159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1767.0000000000009</c:v>
                </c:pt>
                <c:pt idx="148">
                  <c:v>1763.5000000000009</c:v>
                </c:pt>
                <c:pt idx="149">
                  <c:v>1727.1000000000008</c:v>
                </c:pt>
                <c:pt idx="150">
                  <c:v>1744.7000000000007</c:v>
                </c:pt>
                <c:pt idx="151">
                  <c:v>1788.5000000000007</c:v>
                </c:pt>
                <c:pt idx="152">
                  <c:v>1847.5000000000007</c:v>
                </c:pt>
                <c:pt idx="153">
                  <c:v>1812.8000000000006</c:v>
                </c:pt>
                <c:pt idx="154">
                  <c:v>1805.4000000000005</c:v>
                </c:pt>
                <c:pt idx="155">
                  <c:v>1855.1000000000006</c:v>
                </c:pt>
                <c:pt idx="156">
                  <c:v>1940.5000000000007</c:v>
                </c:pt>
                <c:pt idx="157">
                  <c:v>2009.8000000000006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2201.9230769230771</c:v>
                </c:pt>
                <c:pt idx="1">
                  <c:v>2006.578947368421</c:v>
                </c:pt>
                <c:pt idx="2">
                  <c:v>964.58333333333337</c:v>
                </c:pt>
                <c:pt idx="3">
                  <c:v>2276.5151515151515</c:v>
                </c:pt>
                <c:pt idx="4">
                  <c:v>171.7948717948718</c:v>
                </c:pt>
                <c:pt idx="5">
                  <c:v>948.51485148514848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りくと!$L$2:$L$128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144.44444444444446</c:v>
                </c:pt>
                <c:pt idx="1">
                  <c:v>-2159.8360655737706</c:v>
                </c:pt>
                <c:pt idx="2">
                  <c:v>378.81355932203388</c:v>
                </c:pt>
                <c:pt idx="3">
                  <c:v>-2.8846153846153846</c:v>
                </c:pt>
                <c:pt idx="4">
                  <c:v>187.09677419354838</c:v>
                </c:pt>
                <c:pt idx="5">
                  <c:v>330.23255813953489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ただ!$L$2:$L$95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-3084.9462365591398</c:v>
                </c:pt>
                <c:pt idx="1">
                  <c:v>-1496.7032967032967</c:v>
                </c:pt>
                <c:pt idx="2">
                  <c:v>-307.05882352941177</c:v>
                </c:pt>
                <c:pt idx="3">
                  <c:v>-4301.333333333333</c:v>
                </c:pt>
                <c:pt idx="4">
                  <c:v>-467.64705882352939</c:v>
                </c:pt>
                <c:pt idx="5">
                  <c:v>-1285.2459016393443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21.10000000000003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-684.44444444444446</c:v>
                </c:pt>
                <c:pt idx="1">
                  <c:v>219.31818181818181</c:v>
                </c:pt>
                <c:pt idx="2">
                  <c:v>1135.8024691358025</c:v>
                </c:pt>
                <c:pt idx="3">
                  <c:v>964.28571428571433</c:v>
                </c:pt>
                <c:pt idx="4">
                  <c:v>-550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たかの!$L$2:$L$82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527.5</c:v>
                </c:pt>
                <c:pt idx="1">
                  <c:v>-1382.5</c:v>
                </c:pt>
                <c:pt idx="2">
                  <c:v>-1616.9014084507041</c:v>
                </c:pt>
                <c:pt idx="3">
                  <c:v>844.77611940298505</c:v>
                </c:pt>
                <c:pt idx="4">
                  <c:v>861.90476190476193</c:v>
                </c:pt>
                <c:pt idx="5">
                  <c:v>-427.27272727272725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ぱぱ!$L$2:$L$48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-2791.304347826087</c:v>
                </c:pt>
                <c:pt idx="1">
                  <c:v>2121.7391304347825</c:v>
                </c:pt>
                <c:pt idx="2">
                  <c:v>-865.11627906976742</c:v>
                </c:pt>
                <c:pt idx="3">
                  <c:v>-3805</c:v>
                </c:pt>
                <c:pt idx="4">
                  <c:v>-205.55555555555554</c:v>
                </c:pt>
                <c:pt idx="5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  <c:pt idx="63">
                  <c:v>345.6</c:v>
                </c:pt>
                <c:pt idx="64">
                  <c:v>287.60000000000002</c:v>
                </c:pt>
                <c:pt idx="65">
                  <c:v>323.60000000000002</c:v>
                </c:pt>
                <c:pt idx="66">
                  <c:v>328.6</c:v>
                </c:pt>
                <c:pt idx="67">
                  <c:v>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1303.030303030303</c:v>
                </c:pt>
                <c:pt idx="1">
                  <c:v>988.88888888888891</c:v>
                </c:pt>
                <c:pt idx="2">
                  <c:v>-669.64285714285711</c:v>
                </c:pt>
                <c:pt idx="3">
                  <c:v>2285.1851851851852</c:v>
                </c:pt>
                <c:pt idx="4">
                  <c:v>-1072.9166666666667</c:v>
                </c:pt>
                <c:pt idx="5">
                  <c:v>137.5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  <c:pt idx="16">
                  <c:v>-140.79999999999998</c:v>
                </c:pt>
                <c:pt idx="17">
                  <c:v>-204.5</c:v>
                </c:pt>
                <c:pt idx="18">
                  <c:v>-127.5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-1016.6666666666666</c:v>
                </c:pt>
                <c:pt idx="1">
                  <c:v>-1044.4444444444443</c:v>
                </c:pt>
                <c:pt idx="2">
                  <c:v>152.94117647058823</c:v>
                </c:pt>
                <c:pt idx="3">
                  <c:v>-4237.5</c:v>
                </c:pt>
                <c:pt idx="4">
                  <c:v>-243.75</c:v>
                </c:pt>
                <c:pt idx="5">
                  <c:v>-3407.6923076923076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まっつん2!$B$3:$B$70</c:f>
              <c:numCache>
                <c:formatCode>\+0.0;\-0.0;\±0</c:formatCode>
                <c:ptCount val="6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  <c:pt idx="63">
                  <c:v>345.6</c:v>
                </c:pt>
                <c:pt idx="64">
                  <c:v>287.60000000000002</c:v>
                </c:pt>
                <c:pt idx="65">
                  <c:v>323.60000000000002</c:v>
                </c:pt>
                <c:pt idx="66">
                  <c:v>328.6</c:v>
                </c:pt>
                <c:pt idx="67">
                  <c:v>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000000000000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まっつん2!$C$3:$C$70</c:f>
              <c:numCache>
                <c:formatCode>\+0.0;\-0.0;\±0</c:formatCode>
                <c:ptCount val="68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4.916666666666667</c:v>
                </c:pt>
                <c:pt idx="61">
                  <c:v>5.8918032786885242</c:v>
                </c:pt>
                <c:pt idx="62">
                  <c:v>5.604838709677419</c:v>
                </c:pt>
                <c:pt idx="63">
                  <c:v>5.4857142857142858</c:v>
                </c:pt>
                <c:pt idx="64">
                  <c:v>4.4937500000000004</c:v>
                </c:pt>
                <c:pt idx="65">
                  <c:v>4.9784615384615387</c:v>
                </c:pt>
                <c:pt idx="66">
                  <c:v>4.9787878787878794</c:v>
                </c:pt>
                <c:pt idx="67">
                  <c:v>4.5820895522388057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430014430014636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まっつん2!$D$3:$D$70</c:f>
              <c:numCache>
                <c:formatCode>0.00\ "位"</c:formatCode>
                <c:ptCount val="68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1.8524590163934427</c:v>
                </c:pt>
                <c:pt idx="62">
                  <c:v>1.8548387096774193</c:v>
                </c:pt>
                <c:pt idx="63">
                  <c:v>1.8571428571428572</c:v>
                </c:pt>
                <c:pt idx="64">
                  <c:v>1.875</c:v>
                </c:pt>
                <c:pt idx="65">
                  <c:v>1.8615384615384616</c:v>
                </c:pt>
                <c:pt idx="66">
                  <c:v>1.8636363636363635</c:v>
                </c:pt>
                <c:pt idx="67">
                  <c:v>1.8656716417910448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670995670995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まっつん2!$E$3:$E$70</c:f>
              <c:numCache>
                <c:formatCode>0.0%</c:formatCode>
                <c:ptCount val="6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0.40909090909090912</c:v>
                </c:pt>
                <c:pt idx="67">
                  <c:v>0.40298507462686567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21933621933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まっつん2!$F$3:$F$70</c:f>
              <c:numCache>
                <c:formatCode>0.0%</c:formatCode>
                <c:ptCount val="68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0.26865671641791045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89033189033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まっつん2!$G$3:$G$70</c:f>
              <c:numCache>
                <c:formatCode>0.0%</c:formatCode>
                <c:ptCount val="68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0.30721649484536084</c:v>
                </c:pt>
                <c:pt idx="61">
                  <c:v>0.30894308943089432</c:v>
                </c:pt>
                <c:pt idx="62">
                  <c:v>0.30645161290322581</c:v>
                </c:pt>
                <c:pt idx="63">
                  <c:v>0.3061630218687873</c:v>
                </c:pt>
                <c:pt idx="64">
                  <c:v>0.30078125</c:v>
                </c:pt>
                <c:pt idx="65">
                  <c:v>0.30250481695568399</c:v>
                </c:pt>
                <c:pt idx="66">
                  <c:v>0.30285714285714288</c:v>
                </c:pt>
                <c:pt idx="67">
                  <c:v>0.29906542056074764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640167364016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まっつん2!$H$3:$H$70</c:f>
              <c:numCache>
                <c:formatCode>0.0%</c:formatCode>
                <c:ptCount val="68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0.15257731958762888</c:v>
                </c:pt>
                <c:pt idx="61">
                  <c:v>0.15040650406504066</c:v>
                </c:pt>
                <c:pt idx="62">
                  <c:v>0.14919354838709678</c:v>
                </c:pt>
                <c:pt idx="63">
                  <c:v>0.14910536779324055</c:v>
                </c:pt>
                <c:pt idx="64">
                  <c:v>0.1484375</c:v>
                </c:pt>
                <c:pt idx="65">
                  <c:v>0.14836223506743737</c:v>
                </c:pt>
                <c:pt idx="66">
                  <c:v>0.15047619047619049</c:v>
                </c:pt>
                <c:pt idx="67">
                  <c:v>0.15140186915887852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887029288702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まっつん2!$I$3:$I$70</c:f>
              <c:numCache>
                <c:formatCode>0</c:formatCode>
                <c:ptCount val="68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8833.5570469798658</c:v>
                </c:pt>
                <c:pt idx="61">
                  <c:v>8948.0263157894733</c:v>
                </c:pt>
                <c:pt idx="62">
                  <c:v>8948.0263157894733</c:v>
                </c:pt>
                <c:pt idx="63">
                  <c:v>8912.9870129870123</c:v>
                </c:pt>
                <c:pt idx="64">
                  <c:v>8912.9870129870123</c:v>
                </c:pt>
                <c:pt idx="65">
                  <c:v>8923.5668789808915</c:v>
                </c:pt>
                <c:pt idx="66">
                  <c:v>8937.1069182389929</c:v>
                </c:pt>
                <c:pt idx="67">
                  <c:v>8905.625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87.33216579100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まっつん2!$J$3:$J$70</c:f>
              <c:numCache>
                <c:formatCode>0</c:formatCode>
                <c:ptCount val="68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-7635.135135135135</c:v>
                </c:pt>
                <c:pt idx="63">
                  <c:v>-7568</c:v>
                </c:pt>
                <c:pt idx="64">
                  <c:v>-7626.3157894736842</c:v>
                </c:pt>
                <c:pt idx="65">
                  <c:v>-7553.2467532467535</c:v>
                </c:pt>
                <c:pt idx="66">
                  <c:v>-7539.2405063291135</c:v>
                </c:pt>
                <c:pt idx="67">
                  <c:v>-7460.4938271604942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01.55763239875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まっつん2!$K$3:$K$70</c:f>
              <c:numCache>
                <c:formatCode>0.0%</c:formatCode>
                <c:ptCount val="6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769119769119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まっつん2!$L$3:$L$70</c:f>
              <c:numCache>
                <c:formatCode>0.0%</c:formatCode>
                <c:ptCount val="6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0.13333333333333333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769119769119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まっつん2!$M$3:$M$70</c:f>
              <c:numCache>
                <c:formatCode>0.0%</c:formatCode>
                <c:ptCount val="68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0.2907216494845361</c:v>
                </c:pt>
                <c:pt idx="61">
                  <c:v>0.29065040650406504</c:v>
                </c:pt>
                <c:pt idx="62">
                  <c:v>0.29032258064516131</c:v>
                </c:pt>
                <c:pt idx="63">
                  <c:v>0.2922465208747515</c:v>
                </c:pt>
                <c:pt idx="64">
                  <c:v>0.29296875</c:v>
                </c:pt>
                <c:pt idx="65">
                  <c:v>0.2947976878612717</c:v>
                </c:pt>
                <c:pt idx="66">
                  <c:v>0.29523809523809524</c:v>
                </c:pt>
                <c:pt idx="67">
                  <c:v>0.29158878504672897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765690376569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まっつん2!$N$3:$N$70</c:f>
              <c:numCache>
                <c:formatCode>0.0%</c:formatCode>
                <c:ptCount val="68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0.18144329896907216</c:v>
                </c:pt>
                <c:pt idx="61">
                  <c:v>0.17886178861788618</c:v>
                </c:pt>
                <c:pt idx="62">
                  <c:v>0.18145161290322581</c:v>
                </c:pt>
                <c:pt idx="63">
                  <c:v>0.17892644135188868</c:v>
                </c:pt>
                <c:pt idx="64">
                  <c:v>0.177734375</c:v>
                </c:pt>
                <c:pt idx="65">
                  <c:v>0.17533718689788053</c:v>
                </c:pt>
                <c:pt idx="66">
                  <c:v>0.17714285714285713</c:v>
                </c:pt>
                <c:pt idx="67">
                  <c:v>0.18130841121495328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746164574616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まっつん2!$O$3:$O$70</c:f>
              <c:numCache>
                <c:formatCode>0.0%</c:formatCode>
                <c:ptCount val="68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0.65957446808510634</c:v>
                </c:pt>
                <c:pt idx="61">
                  <c:v>0.65734265734265729</c:v>
                </c:pt>
                <c:pt idx="62">
                  <c:v>0.65277777777777779</c:v>
                </c:pt>
                <c:pt idx="63">
                  <c:v>0.65306122448979587</c:v>
                </c:pt>
                <c:pt idx="64">
                  <c:v>0.64</c:v>
                </c:pt>
                <c:pt idx="65">
                  <c:v>0.64052287581699341</c:v>
                </c:pt>
                <c:pt idx="66">
                  <c:v>0.64516129032258063</c:v>
                </c:pt>
                <c:pt idx="67">
                  <c:v>0.64102564102564108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7861163227016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まっつん2!$P$3:$P$70</c:f>
              <c:numCache>
                <c:formatCode>0.0%</c:formatCode>
                <c:ptCount val="68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0.375</c:v>
                </c:pt>
                <c:pt idx="62">
                  <c:v>0.36666666666666664</c:v>
                </c:pt>
                <c:pt idx="63">
                  <c:v>0.36666666666666664</c:v>
                </c:pt>
                <c:pt idx="64">
                  <c:v>0.36263736263736263</c:v>
                </c:pt>
                <c:pt idx="65">
                  <c:v>0.36263736263736263</c:v>
                </c:pt>
                <c:pt idx="66">
                  <c:v>0.35483870967741937</c:v>
                </c:pt>
                <c:pt idx="67">
                  <c:v>0.35051546391752575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59663865546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まっつん2!$A$3:$A$70</c:f>
              <c:numCache>
                <c:formatCode>0\ "回"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まっつん2!$Q$3:$Q$70</c:f>
              <c:numCache>
                <c:formatCode>0.0%</c:formatCode>
                <c:ptCount val="68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0.44295302013422821</c:v>
                </c:pt>
                <c:pt idx="61">
                  <c:v>0.44736842105263158</c:v>
                </c:pt>
                <c:pt idx="62">
                  <c:v>0.44736842105263158</c:v>
                </c:pt>
                <c:pt idx="63">
                  <c:v>0.44805194805194803</c:v>
                </c:pt>
                <c:pt idx="64">
                  <c:v>0.44805194805194803</c:v>
                </c:pt>
                <c:pt idx="65">
                  <c:v>0.45222929936305734</c:v>
                </c:pt>
                <c:pt idx="66">
                  <c:v>0.44654088050314467</c:v>
                </c:pt>
                <c:pt idx="67">
                  <c:v>0.44374999999999998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40688849970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9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43630.960740740738</v>
      </c>
      <c r="C64" s="30" t="s">
        <v>130</v>
      </c>
      <c r="D64" s="30" t="s">
        <v>131</v>
      </c>
      <c r="E64" s="30" t="s">
        <v>169</v>
      </c>
    </row>
    <row r="65" spans="1:5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5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5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5" x14ac:dyDescent="0.4">
      <c r="A69" s="30" t="s">
        <v>259</v>
      </c>
      <c r="B69" s="31">
        <v>43635.009456018517</v>
      </c>
      <c r="C69" s="30" t="s">
        <v>130</v>
      </c>
      <c r="D69" s="30" t="s">
        <v>131</v>
      </c>
      <c r="E69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693</v>
      </c>
    </row>
    <row r="2" spans="1:2" x14ac:dyDescent="0.4">
      <c r="A2" t="s">
        <v>127</v>
      </c>
      <c r="B2">
        <v>157</v>
      </c>
    </row>
    <row r="3" spans="1:2" x14ac:dyDescent="0.4">
      <c r="A3" t="s">
        <v>128</v>
      </c>
      <c r="B3">
        <v>126</v>
      </c>
    </row>
    <row r="4" spans="1:2" x14ac:dyDescent="0.4">
      <c r="A4" t="s">
        <v>129</v>
      </c>
      <c r="B4">
        <v>93</v>
      </c>
    </row>
    <row r="5" spans="1:2" x14ac:dyDescent="0.4">
      <c r="A5" t="s">
        <v>171</v>
      </c>
      <c r="B5">
        <v>90</v>
      </c>
    </row>
    <row r="6" spans="1:2" x14ac:dyDescent="0.4">
      <c r="A6" t="s">
        <v>172</v>
      </c>
      <c r="B6">
        <v>80</v>
      </c>
    </row>
    <row r="7" spans="1:2" x14ac:dyDescent="0.4">
      <c r="A7" t="s">
        <v>173</v>
      </c>
      <c r="B7">
        <v>46</v>
      </c>
    </row>
    <row r="8" spans="1:2" x14ac:dyDescent="0.4">
      <c r="A8" t="s">
        <v>177</v>
      </c>
      <c r="B8">
        <v>67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18</v>
      </c>
    </row>
    <row r="11" spans="1:2" x14ac:dyDescent="0.4">
      <c r="A11" t="s">
        <v>200</v>
      </c>
      <c r="B11">
        <v>10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0.92767391077298123</v>
      </c>
      <c r="G2" s="159"/>
      <c r="H2" s="158">
        <v>0.72013852918086263</v>
      </c>
      <c r="I2" s="159"/>
      <c r="J2" s="158">
        <v>0.76004023763544093</v>
      </c>
      <c r="K2" s="159"/>
      <c r="L2" s="158">
        <v>0.73858961844312843</v>
      </c>
      <c r="M2" s="159"/>
      <c r="N2" s="158">
        <v>0.6007776505214909</v>
      </c>
      <c r="O2" s="159"/>
      <c r="P2" s="158">
        <v>0.18581356859998505</v>
      </c>
      <c r="Q2" s="159"/>
      <c r="R2" s="158">
        <v>0.4745334032222891</v>
      </c>
      <c r="S2" s="159"/>
      <c r="T2" s="158">
        <v>0.51523303926684316</v>
      </c>
      <c r="U2" s="159"/>
      <c r="V2" s="158">
        <v>0.43930575942038375</v>
      </c>
      <c r="W2" s="159"/>
      <c r="X2" s="158">
        <v>0.40519511848857565</v>
      </c>
      <c r="Y2" s="159"/>
      <c r="Z2" s="158">
        <v>0.16737190963481782</v>
      </c>
      <c r="AA2" s="159"/>
      <c r="AB2" s="158">
        <v>0.33562628933652194</v>
      </c>
      <c r="AC2" s="159"/>
      <c r="AD2" s="158">
        <v>0.73959739787806777</v>
      </c>
      <c r="AE2" s="159"/>
      <c r="AF2" s="158">
        <v>-8.1170200221414399E-2</v>
      </c>
      <c r="AG2" s="159"/>
      <c r="AH2" s="158">
        <v>0.2423269379588259</v>
      </c>
      <c r="AI2" s="159"/>
    </row>
    <row r="3" spans="1:35" x14ac:dyDescent="0.4">
      <c r="A3" s="74">
        <v>1</v>
      </c>
      <c r="B3" s="75" t="s">
        <v>127</v>
      </c>
      <c r="C3" s="76">
        <v>2009.8000000000006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0.34536891679748821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127</v>
      </c>
      <c r="W3" s="79">
        <v>0.17834394904458598</v>
      </c>
      <c r="X3" s="77" t="s">
        <v>127</v>
      </c>
      <c r="Y3" s="80">
        <v>0.31240188383045525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0.51624548736462095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307</v>
      </c>
      <c r="D4" s="85" t="s">
        <v>222</v>
      </c>
      <c r="E4" s="97">
        <v>13.3</v>
      </c>
      <c r="F4" s="85" t="s">
        <v>127</v>
      </c>
      <c r="G4" s="86">
        <v>1.7388535031847134</v>
      </c>
      <c r="H4" s="85" t="s">
        <v>127</v>
      </c>
      <c r="I4" s="87">
        <v>0.49044585987261147</v>
      </c>
      <c r="J4" s="85" t="s">
        <v>222</v>
      </c>
      <c r="K4" s="87">
        <v>0</v>
      </c>
      <c r="L4" s="85" t="s">
        <v>172</v>
      </c>
      <c r="M4" s="88">
        <v>0.34264705882352942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183</v>
      </c>
      <c r="U4" s="87">
        <v>0</v>
      </c>
      <c r="V4" s="85" t="s">
        <v>177</v>
      </c>
      <c r="W4" s="87">
        <v>0.13432835820895522</v>
      </c>
      <c r="X4" s="85" t="s">
        <v>128</v>
      </c>
      <c r="Y4" s="88">
        <v>0.29942418426103645</v>
      </c>
      <c r="Z4" s="85" t="s">
        <v>172</v>
      </c>
      <c r="AA4" s="88">
        <v>0.29264705882352943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12.801273885350323</v>
      </c>
      <c r="F5" s="85" t="s">
        <v>200</v>
      </c>
      <c r="G5" s="86">
        <v>1.8</v>
      </c>
      <c r="H5" s="85" t="s">
        <v>177</v>
      </c>
      <c r="I5" s="87">
        <v>0.40298507462686567</v>
      </c>
      <c r="J5" s="85" t="s">
        <v>200</v>
      </c>
      <c r="K5" s="87">
        <v>0.1</v>
      </c>
      <c r="L5" s="85" t="s">
        <v>200</v>
      </c>
      <c r="M5" s="88">
        <v>0.3411764705882353</v>
      </c>
      <c r="N5" s="85" t="s">
        <v>172</v>
      </c>
      <c r="O5" s="88">
        <v>0.13970588235294118</v>
      </c>
      <c r="P5" s="85" t="s">
        <v>171</v>
      </c>
      <c r="Q5" s="89">
        <v>9851.6431924882636</v>
      </c>
      <c r="R5" s="85" t="s">
        <v>177</v>
      </c>
      <c r="S5" s="89">
        <v>-7460.4938271604942</v>
      </c>
      <c r="T5" s="85" t="s">
        <v>222</v>
      </c>
      <c r="U5" s="87">
        <v>0</v>
      </c>
      <c r="V5" s="85" t="s">
        <v>171</v>
      </c>
      <c r="W5" s="87">
        <v>0.13333333333333333</v>
      </c>
      <c r="X5" s="85" t="s">
        <v>171</v>
      </c>
      <c r="Y5" s="88">
        <v>0.29161118508655126</v>
      </c>
      <c r="Z5" s="85" t="s">
        <v>173</v>
      </c>
      <c r="AA5" s="88">
        <v>0.25569620253164554</v>
      </c>
      <c r="AB5" s="85" t="s">
        <v>177</v>
      </c>
      <c r="AC5" s="88">
        <v>0.64102564102564108</v>
      </c>
      <c r="AD5" s="85" t="s">
        <v>200</v>
      </c>
      <c r="AE5" s="88">
        <v>0.48</v>
      </c>
      <c r="AF5" s="85" t="s">
        <v>173</v>
      </c>
      <c r="AG5" s="88">
        <v>0.50862068965517238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21.10000000000003</v>
      </c>
      <c r="D6" s="85" t="s">
        <v>177</v>
      </c>
      <c r="E6" s="97">
        <v>4.5820895522388057</v>
      </c>
      <c r="F6" s="85" t="s">
        <v>177</v>
      </c>
      <c r="G6" s="86">
        <v>1.8656716417910448</v>
      </c>
      <c r="H6" s="85" t="s">
        <v>184</v>
      </c>
      <c r="I6" s="87">
        <v>0.3888888888888889</v>
      </c>
      <c r="J6" s="85" t="s">
        <v>127</v>
      </c>
      <c r="K6" s="87">
        <v>0.22929936305732485</v>
      </c>
      <c r="L6" s="85" t="s">
        <v>177</v>
      </c>
      <c r="M6" s="88">
        <v>0.29906542056074764</v>
      </c>
      <c r="N6" s="85" t="s">
        <v>177</v>
      </c>
      <c r="O6" s="88">
        <v>0.15140186915887852</v>
      </c>
      <c r="P6" s="85" t="s">
        <v>128</v>
      </c>
      <c r="Q6" s="89">
        <v>9241.7857142857138</v>
      </c>
      <c r="R6" s="85" t="s">
        <v>128</v>
      </c>
      <c r="S6" s="89">
        <v>-7806.7415730337079</v>
      </c>
      <c r="T6" s="85" t="s">
        <v>223</v>
      </c>
      <c r="U6" s="87">
        <v>0</v>
      </c>
      <c r="V6" s="85" t="s">
        <v>145</v>
      </c>
      <c r="W6" s="87">
        <v>0.11976911976911978</v>
      </c>
      <c r="X6" s="85" t="s">
        <v>177</v>
      </c>
      <c r="Y6" s="88">
        <v>0.29158878504672897</v>
      </c>
      <c r="Z6" s="85" t="s">
        <v>223</v>
      </c>
      <c r="AA6" s="88">
        <v>0.23529411764705882</v>
      </c>
      <c r="AB6" s="85" t="s">
        <v>184</v>
      </c>
      <c r="AC6" s="88">
        <v>0.63888888888888884</v>
      </c>
      <c r="AD6" s="85" t="s">
        <v>172</v>
      </c>
      <c r="AE6" s="88">
        <v>0.42713567839195982</v>
      </c>
      <c r="AF6" s="85" t="s">
        <v>222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1.8099999999999994</v>
      </c>
      <c r="F7" s="85" t="s">
        <v>145</v>
      </c>
      <c r="G7" s="86">
        <v>1.9956709956709957</v>
      </c>
      <c r="H7" s="85" t="s">
        <v>145</v>
      </c>
      <c r="I7" s="87">
        <v>0.3362193362193362</v>
      </c>
      <c r="J7" s="85" t="s">
        <v>177</v>
      </c>
      <c r="K7" s="87">
        <v>0.26865671641791045</v>
      </c>
      <c r="L7" s="85" t="s">
        <v>145</v>
      </c>
      <c r="M7" s="88">
        <v>0.29864016736401672</v>
      </c>
      <c r="N7" s="85" t="s">
        <v>127</v>
      </c>
      <c r="O7" s="88">
        <v>0.15620094191522763</v>
      </c>
      <c r="P7" s="85" t="s">
        <v>127</v>
      </c>
      <c r="Q7" s="89">
        <v>9240.681818181818</v>
      </c>
      <c r="R7" s="85" t="s">
        <v>127</v>
      </c>
      <c r="S7" s="89">
        <v>-8216.0804020100495</v>
      </c>
      <c r="T7" s="85" t="s">
        <v>172</v>
      </c>
      <c r="U7" s="87">
        <v>0.05</v>
      </c>
      <c r="V7" s="85" t="s">
        <v>172</v>
      </c>
      <c r="W7" s="87">
        <v>0.1125</v>
      </c>
      <c r="X7" s="85" t="s">
        <v>145</v>
      </c>
      <c r="Y7" s="88">
        <v>0.27876569037656906</v>
      </c>
      <c r="Z7" s="85" t="s">
        <v>184</v>
      </c>
      <c r="AA7" s="88">
        <v>0.22448979591836735</v>
      </c>
      <c r="AB7" s="85" t="s">
        <v>183</v>
      </c>
      <c r="AC7" s="88">
        <v>0.6</v>
      </c>
      <c r="AD7" s="85" t="s">
        <v>184</v>
      </c>
      <c r="AE7" s="88">
        <v>0.42424242424242425</v>
      </c>
      <c r="AF7" s="85" t="s">
        <v>184</v>
      </c>
      <c r="AG7" s="88">
        <v>0.47619047619047616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0.23444444444444479</v>
      </c>
      <c r="F8" s="85" t="s">
        <v>222</v>
      </c>
      <c r="G8" s="86">
        <v>2</v>
      </c>
      <c r="H8" s="85" t="s">
        <v>171</v>
      </c>
      <c r="I8" s="87">
        <v>0.3</v>
      </c>
      <c r="J8" s="85" t="s">
        <v>172</v>
      </c>
      <c r="K8" s="87">
        <v>0.3125</v>
      </c>
      <c r="L8" s="85" t="s">
        <v>223</v>
      </c>
      <c r="M8" s="88">
        <v>0.29411764705882354</v>
      </c>
      <c r="N8" s="85" t="s">
        <v>200</v>
      </c>
      <c r="O8" s="88">
        <v>0.16470588235294117</v>
      </c>
      <c r="P8" s="85" t="s">
        <v>177</v>
      </c>
      <c r="Q8" s="89">
        <v>8905.625</v>
      </c>
      <c r="R8" s="85" t="s">
        <v>173</v>
      </c>
      <c r="S8" s="89">
        <v>-8300</v>
      </c>
      <c r="T8" s="85" t="s">
        <v>127</v>
      </c>
      <c r="U8" s="87">
        <v>9.5541401273885357E-2</v>
      </c>
      <c r="V8" s="85" t="s">
        <v>129</v>
      </c>
      <c r="W8" s="87">
        <v>0.10752688172043011</v>
      </c>
      <c r="X8" s="85" t="s">
        <v>129</v>
      </c>
      <c r="Y8" s="88">
        <v>0.2763496143958869</v>
      </c>
      <c r="Z8" s="85" t="s">
        <v>127</v>
      </c>
      <c r="AA8" s="88">
        <v>0.21742543171114601</v>
      </c>
      <c r="AB8" s="85" t="s">
        <v>173</v>
      </c>
      <c r="AC8" s="88">
        <v>0.5842696629213483</v>
      </c>
      <c r="AD8" s="85" t="s">
        <v>171</v>
      </c>
      <c r="AE8" s="88">
        <v>0.41134751773049644</v>
      </c>
      <c r="AF8" s="85" t="s">
        <v>177</v>
      </c>
      <c r="AG8" s="88">
        <v>0.44374999999999998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-1.0000000000000142</v>
      </c>
      <c r="D9" s="85" t="s">
        <v>145</v>
      </c>
      <c r="E9" s="97">
        <v>-1.4430014430014636E-3</v>
      </c>
      <c r="F9" s="85" t="s">
        <v>171</v>
      </c>
      <c r="G9" s="86">
        <v>2.0444444444444443</v>
      </c>
      <c r="H9" s="85" t="s">
        <v>200</v>
      </c>
      <c r="I9" s="87">
        <v>0.3</v>
      </c>
      <c r="J9" s="85" t="s">
        <v>145</v>
      </c>
      <c r="K9" s="87">
        <v>0.3318903318903319</v>
      </c>
      <c r="L9" s="85" t="s">
        <v>173</v>
      </c>
      <c r="M9" s="88">
        <v>0.29367088607594938</v>
      </c>
      <c r="N9" s="85" t="s">
        <v>145</v>
      </c>
      <c r="O9" s="88">
        <v>0.16788702928870292</v>
      </c>
      <c r="P9" s="85" t="s">
        <v>129</v>
      </c>
      <c r="Q9" s="89">
        <v>8755.3191489361707</v>
      </c>
      <c r="R9" s="85" t="s">
        <v>145</v>
      </c>
      <c r="S9" s="89">
        <v>-8301.5576323987534</v>
      </c>
      <c r="T9" s="85" t="s">
        <v>171</v>
      </c>
      <c r="U9" s="87">
        <v>0.1</v>
      </c>
      <c r="V9" s="85" t="s">
        <v>128</v>
      </c>
      <c r="W9" s="87">
        <v>8.7301587301587297E-2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0.58333333333333337</v>
      </c>
      <c r="AD9" s="85" t="s">
        <v>145</v>
      </c>
      <c r="AE9" s="88">
        <v>0.39159663865546218</v>
      </c>
      <c r="AF9" s="85" t="s">
        <v>145</v>
      </c>
      <c r="AG9" s="88">
        <v>0.4314068884997081</v>
      </c>
      <c r="AH9" s="85" t="s">
        <v>184</v>
      </c>
      <c r="AI9" s="92">
        <v>92000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-1.4337500000000003</v>
      </c>
      <c r="F10" s="85" t="s">
        <v>172</v>
      </c>
      <c r="G10" s="86">
        <v>2.0499999999999998</v>
      </c>
      <c r="H10" s="85" t="s">
        <v>173</v>
      </c>
      <c r="I10" s="87">
        <v>0.28260869565217389</v>
      </c>
      <c r="J10" s="85" t="s">
        <v>171</v>
      </c>
      <c r="K10" s="87">
        <v>0.34444444444444444</v>
      </c>
      <c r="L10" s="85" t="s">
        <v>184</v>
      </c>
      <c r="M10" s="88">
        <v>0.2857142857142857</v>
      </c>
      <c r="N10" s="85" t="s">
        <v>128</v>
      </c>
      <c r="O10" s="88">
        <v>0.17082533589251439</v>
      </c>
      <c r="P10" s="85" t="s">
        <v>145</v>
      </c>
      <c r="Q10" s="89">
        <v>8687.3321657910092</v>
      </c>
      <c r="R10" s="85" t="s">
        <v>184</v>
      </c>
      <c r="S10" s="89">
        <v>-8376.4705882352937</v>
      </c>
      <c r="T10" s="85" t="s">
        <v>145</v>
      </c>
      <c r="U10" s="87">
        <v>0.11976911976911978</v>
      </c>
      <c r="V10" s="85" t="s">
        <v>173</v>
      </c>
      <c r="W10" s="87">
        <v>6.5217391304347824E-2</v>
      </c>
      <c r="X10" s="85" t="s">
        <v>184</v>
      </c>
      <c r="Y10" s="88">
        <v>0.24489795918367346</v>
      </c>
      <c r="Z10" s="85" t="s">
        <v>145</v>
      </c>
      <c r="AA10" s="88">
        <v>0.20746164574616457</v>
      </c>
      <c r="AB10" s="85" t="s">
        <v>127</v>
      </c>
      <c r="AC10" s="88">
        <v>0.57788944723618085</v>
      </c>
      <c r="AD10" s="85" t="s">
        <v>177</v>
      </c>
      <c r="AE10" s="88">
        <v>0.35051546391752575</v>
      </c>
      <c r="AF10" s="85" t="s">
        <v>129</v>
      </c>
      <c r="AG10" s="88">
        <v>0.42553191489361702</v>
      </c>
      <c r="AH10" s="85" t="s">
        <v>171</v>
      </c>
      <c r="AI10" s="92">
        <v>91700</v>
      </c>
    </row>
    <row r="11" spans="1:35" x14ac:dyDescent="0.4">
      <c r="A11" s="82">
        <v>9</v>
      </c>
      <c r="B11" s="83" t="s">
        <v>172</v>
      </c>
      <c r="C11" s="84">
        <v>-114.70000000000002</v>
      </c>
      <c r="D11" s="85" t="s">
        <v>128</v>
      </c>
      <c r="E11" s="97">
        <v>-3.4769841269841271</v>
      </c>
      <c r="F11" s="85" t="s">
        <v>128</v>
      </c>
      <c r="G11" s="86">
        <v>2.0952380952380953</v>
      </c>
      <c r="H11" s="85" t="s">
        <v>172</v>
      </c>
      <c r="I11" s="87">
        <v>0.26250000000000001</v>
      </c>
      <c r="J11" s="85" t="s">
        <v>128</v>
      </c>
      <c r="K11" s="87">
        <v>0.35714285714285715</v>
      </c>
      <c r="L11" s="85" t="s">
        <v>171</v>
      </c>
      <c r="M11" s="88">
        <v>0.28362183754993342</v>
      </c>
      <c r="N11" s="85" t="s">
        <v>171</v>
      </c>
      <c r="O11" s="88">
        <v>0.17709720372836218</v>
      </c>
      <c r="P11" s="85" t="s">
        <v>184</v>
      </c>
      <c r="Q11" s="89">
        <v>8642.8571428571431</v>
      </c>
      <c r="R11" s="85" t="s">
        <v>171</v>
      </c>
      <c r="S11" s="89">
        <v>-8481.2030075187977</v>
      </c>
      <c r="T11" s="85" t="s">
        <v>173</v>
      </c>
      <c r="U11" s="87">
        <v>0.13043478260869565</v>
      </c>
      <c r="V11" s="85" t="s">
        <v>184</v>
      </c>
      <c r="W11" s="87">
        <v>5.5555555555555552E-2</v>
      </c>
      <c r="X11" s="85" t="s">
        <v>200</v>
      </c>
      <c r="Y11" s="88">
        <v>0.23529411764705882</v>
      </c>
      <c r="Z11" s="85" t="s">
        <v>171</v>
      </c>
      <c r="AA11" s="88">
        <v>0.1877496671105193</v>
      </c>
      <c r="AB11" s="85" t="s">
        <v>145</v>
      </c>
      <c r="AC11" s="88">
        <v>0.57786116322701686</v>
      </c>
      <c r="AD11" s="85" t="s">
        <v>173</v>
      </c>
      <c r="AE11" s="88">
        <v>0.32673267326732675</v>
      </c>
      <c r="AF11" s="85" t="s">
        <v>128</v>
      </c>
      <c r="AG11" s="88">
        <v>0.42499999999999999</v>
      </c>
      <c r="AH11" s="85" t="s">
        <v>173</v>
      </c>
      <c r="AI11" s="92">
        <v>85900</v>
      </c>
    </row>
    <row r="12" spans="1:35" x14ac:dyDescent="0.4">
      <c r="A12" s="82">
        <v>10</v>
      </c>
      <c r="B12" s="83" t="s">
        <v>184</v>
      </c>
      <c r="C12" s="84">
        <v>-127.5</v>
      </c>
      <c r="D12" s="85" t="s">
        <v>184</v>
      </c>
      <c r="E12" s="97">
        <v>-7.083333333333333</v>
      </c>
      <c r="F12" s="85" t="s">
        <v>173</v>
      </c>
      <c r="G12" s="86">
        <v>2.1086956521739131</v>
      </c>
      <c r="H12" s="85" t="s">
        <v>128</v>
      </c>
      <c r="I12" s="87">
        <v>0.26190476190476192</v>
      </c>
      <c r="J12" s="85" t="s">
        <v>173</v>
      </c>
      <c r="K12" s="87">
        <v>0.39130434782608697</v>
      </c>
      <c r="L12" s="85" t="s">
        <v>128</v>
      </c>
      <c r="M12" s="88">
        <v>0.2687140115163148</v>
      </c>
      <c r="N12" s="85" t="s">
        <v>129</v>
      </c>
      <c r="O12" s="88">
        <v>0.18894601542416453</v>
      </c>
      <c r="P12" s="85" t="s">
        <v>183</v>
      </c>
      <c r="Q12" s="89">
        <v>7860</v>
      </c>
      <c r="R12" s="85" t="s">
        <v>172</v>
      </c>
      <c r="S12" s="89">
        <v>-8538.9473684210534</v>
      </c>
      <c r="T12" s="85" t="s">
        <v>128</v>
      </c>
      <c r="U12" s="87">
        <v>0.13492063492063491</v>
      </c>
      <c r="V12" s="85" t="s">
        <v>200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0.18130841121495328</v>
      </c>
      <c r="AB12" s="85" t="s">
        <v>171</v>
      </c>
      <c r="AC12" s="88">
        <v>0.56621004566210043</v>
      </c>
      <c r="AD12" s="85" t="s">
        <v>128</v>
      </c>
      <c r="AE12" s="88">
        <v>0.28804347826086957</v>
      </c>
      <c r="AF12" s="85" t="s">
        <v>172</v>
      </c>
      <c r="AG12" s="88">
        <v>0.41630901287553645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-377.4</v>
      </c>
      <c r="D13" s="85" t="s">
        <v>173</v>
      </c>
      <c r="E13" s="97">
        <v>-8.2043478260869556</v>
      </c>
      <c r="F13" s="85" t="s">
        <v>184</v>
      </c>
      <c r="G13" s="86">
        <v>2.1111111111111112</v>
      </c>
      <c r="H13" s="85" t="s">
        <v>129</v>
      </c>
      <c r="I13" s="87">
        <v>0.24731182795698925</v>
      </c>
      <c r="J13" s="85" t="s">
        <v>129</v>
      </c>
      <c r="K13" s="87">
        <v>0.4946236559139785</v>
      </c>
      <c r="L13" s="85" t="s">
        <v>183</v>
      </c>
      <c r="M13" s="88">
        <v>0.26315789473684209</v>
      </c>
      <c r="N13" s="85" t="s">
        <v>173</v>
      </c>
      <c r="O13" s="88">
        <v>0.189873417721519</v>
      </c>
      <c r="P13" s="85" t="s">
        <v>173</v>
      </c>
      <c r="Q13" s="89">
        <v>6945.6896551724139</v>
      </c>
      <c r="R13" s="85" t="s">
        <v>129</v>
      </c>
      <c r="S13" s="89">
        <v>-9236.0544217687075</v>
      </c>
      <c r="T13" s="85" t="s">
        <v>177</v>
      </c>
      <c r="U13" s="87">
        <v>0.14925373134328357</v>
      </c>
      <c r="V13" s="85" t="s">
        <v>183</v>
      </c>
      <c r="W13" s="87">
        <v>0</v>
      </c>
      <c r="X13" s="85" t="s">
        <v>173</v>
      </c>
      <c r="Y13" s="88">
        <v>0.22531645569620254</v>
      </c>
      <c r="Z13" s="85" t="s">
        <v>128</v>
      </c>
      <c r="AA13" s="88">
        <v>0.1765834932821497</v>
      </c>
      <c r="AB13" s="85" t="s">
        <v>172</v>
      </c>
      <c r="AC13" s="88">
        <v>0.55944055944055948</v>
      </c>
      <c r="AD13" s="85" t="s">
        <v>129</v>
      </c>
      <c r="AE13" s="88">
        <v>0.25</v>
      </c>
      <c r="AF13" s="85" t="s">
        <v>127</v>
      </c>
      <c r="AG13" s="88">
        <v>0.41590909090909089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-438.1</v>
      </c>
      <c r="D14" s="85" t="s">
        <v>223</v>
      </c>
      <c r="E14" s="97">
        <v>-12.35</v>
      </c>
      <c r="F14" s="85" t="s">
        <v>129</v>
      </c>
      <c r="G14" s="86">
        <v>2.247311827956989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0.2416452442159383</v>
      </c>
      <c r="N14" s="85" t="s">
        <v>184</v>
      </c>
      <c r="O14" s="88">
        <v>0.23129251700680273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129</v>
      </c>
      <c r="U14" s="87">
        <v>0.19354838709677419</v>
      </c>
      <c r="V14" s="85" t="s">
        <v>222</v>
      </c>
      <c r="W14" s="87">
        <v>0</v>
      </c>
      <c r="X14" s="85" t="s">
        <v>172</v>
      </c>
      <c r="Y14" s="88">
        <v>0.21029411764705883</v>
      </c>
      <c r="Z14" s="85" t="s">
        <v>129</v>
      </c>
      <c r="AA14" s="88">
        <v>0.15938303341902313</v>
      </c>
      <c r="AB14" s="85" t="s">
        <v>129</v>
      </c>
      <c r="AC14" s="88">
        <v>0.52093023255813953</v>
      </c>
      <c r="AD14" s="85" t="s">
        <v>223</v>
      </c>
      <c r="AE14" s="88">
        <v>0.25</v>
      </c>
      <c r="AF14" s="85" t="s">
        <v>171</v>
      </c>
      <c r="AG14" s="88">
        <v>0.41314553990610331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-1348.9</v>
      </c>
      <c r="D15" s="85" t="s">
        <v>129</v>
      </c>
      <c r="E15" s="97">
        <v>-14.504301075268819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6754.0772532188839</v>
      </c>
      <c r="R15" s="85" t="s">
        <v>223</v>
      </c>
      <c r="S15" s="89">
        <v>-12425</v>
      </c>
      <c r="T15" s="85" t="s">
        <v>184</v>
      </c>
      <c r="U15" s="87">
        <v>0.22222222222222221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9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693</v>
      </c>
      <c r="C2" s="151"/>
      <c r="E2" s="62" t="s">
        <v>67</v>
      </c>
      <c r="F2" s="59" t="s">
        <v>23</v>
      </c>
      <c r="G2" s="46">
        <v>1254</v>
      </c>
      <c r="H2" s="132">
        <f>IF(B$17=0,0,G2/B$17)</f>
        <v>0.73204903677758315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-17.391304347826086</v>
      </c>
      <c r="P2" s="118">
        <v>690</v>
      </c>
      <c r="Q2" s="102">
        <v>-12000</v>
      </c>
    </row>
    <row r="3" spans="1:17" x14ac:dyDescent="0.4">
      <c r="A3" s="55" t="s">
        <v>8</v>
      </c>
      <c r="B3" s="152">
        <v>5736</v>
      </c>
      <c r="C3" s="153"/>
      <c r="E3" s="63" t="s">
        <v>65</v>
      </c>
      <c r="F3" s="60" t="s">
        <v>21</v>
      </c>
      <c r="G3" s="47">
        <v>882</v>
      </c>
      <c r="H3" s="133">
        <f>IF(B$17=0,0,G3/B$17)</f>
        <v>0.51488616462346759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-4.4444444444444446</v>
      </c>
      <c r="P3" s="119">
        <v>675</v>
      </c>
      <c r="Q3" s="103">
        <v>-3000</v>
      </c>
    </row>
    <row r="4" spans="1:17" x14ac:dyDescent="0.4">
      <c r="A4" s="55" t="s">
        <v>6</v>
      </c>
      <c r="B4" s="154">
        <v>-1.0000000000000142</v>
      </c>
      <c r="C4" s="155"/>
      <c r="E4" s="63" t="s">
        <v>73</v>
      </c>
      <c r="F4" s="60" t="s">
        <v>28</v>
      </c>
      <c r="G4" s="47">
        <v>866</v>
      </c>
      <c r="H4" s="133">
        <f>IF(B$17=0,0,G4/B$17)</f>
        <v>0.5055458260361938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9.5238095238095237</v>
      </c>
      <c r="P4" s="119">
        <v>630</v>
      </c>
      <c r="Q4" s="103">
        <v>6000</v>
      </c>
    </row>
    <row r="5" spans="1:17" x14ac:dyDescent="0.4">
      <c r="A5" s="55" t="s">
        <v>7</v>
      </c>
      <c r="B5" s="156">
        <f>IF(B$2=0,0,B$4/B$2)</f>
        <v>-1.4430014430014636E-3</v>
      </c>
      <c r="C5" s="157"/>
      <c r="E5" s="63" t="s">
        <v>245</v>
      </c>
      <c r="F5" s="60" t="s">
        <v>246</v>
      </c>
      <c r="G5" s="47">
        <v>701</v>
      </c>
      <c r="H5" s="133">
        <f>IF(B$17=0,0,G5/B$17)</f>
        <v>0.40922358435493289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6.9808027923211169</v>
      </c>
      <c r="P5" s="119">
        <v>573</v>
      </c>
      <c r="Q5" s="103">
        <v>4000</v>
      </c>
    </row>
    <row r="6" spans="1:17" x14ac:dyDescent="0.4">
      <c r="A6" s="55" t="s">
        <v>1</v>
      </c>
      <c r="B6" s="146">
        <f>IF(B$2=0,0,(B$7*1+B$8*2+B$9*3)/B$2)</f>
        <v>1.9956709956709957</v>
      </c>
      <c r="C6" s="147"/>
      <c r="E6" s="63" t="s">
        <v>69</v>
      </c>
      <c r="F6" s="60" t="s">
        <v>12</v>
      </c>
      <c r="G6" s="47">
        <v>533</v>
      </c>
      <c r="H6" s="133">
        <f>IF(B$17=0,0,G6/B$17)</f>
        <v>0.31115002918855811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-11.627906976744185</v>
      </c>
      <c r="P6" s="119">
        <v>516</v>
      </c>
      <c r="Q6" s="103">
        <v>-6000</v>
      </c>
    </row>
    <row r="7" spans="1:17" x14ac:dyDescent="0.4">
      <c r="A7" s="55" t="s">
        <v>2</v>
      </c>
      <c r="B7" s="47">
        <v>233</v>
      </c>
      <c r="C7" s="39">
        <f>IF(B$2=0,0,B7/B$2)</f>
        <v>0.3362193362193362</v>
      </c>
      <c r="E7" s="63" t="s">
        <v>68</v>
      </c>
      <c r="F7" s="60" t="s">
        <v>24</v>
      </c>
      <c r="G7" s="47">
        <v>520</v>
      </c>
      <c r="H7" s="133">
        <f>IF(B$17=0,0,G7/B$17)</f>
        <v>0.30356100408639813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21.786492374727668</v>
      </c>
      <c r="P7" s="120">
        <v>459</v>
      </c>
      <c r="Q7" s="104">
        <v>10000</v>
      </c>
    </row>
    <row r="8" spans="1:17" x14ac:dyDescent="0.4">
      <c r="A8" s="55" t="s">
        <v>3</v>
      </c>
      <c r="B8" s="47">
        <v>230</v>
      </c>
      <c r="C8" s="39">
        <f>IF(B$2=0,0,B8/B$2)</f>
        <v>0.3318903318903319</v>
      </c>
      <c r="E8" s="63" t="s">
        <v>70</v>
      </c>
      <c r="F8" s="60" t="s">
        <v>25</v>
      </c>
      <c r="G8" s="47">
        <v>300</v>
      </c>
      <c r="H8" s="133">
        <f>IF(B$17=0,0,G8/B$17)</f>
        <v>0.17513134851138354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230</v>
      </c>
      <c r="C9" s="40">
        <f t="shared" ref="C9" si="1">IF(B$2=0,0,B9/B$2)</f>
        <v>0.3318903318903319</v>
      </c>
      <c r="E9" s="63" t="s">
        <v>90</v>
      </c>
      <c r="F9" s="60" t="s">
        <v>45</v>
      </c>
      <c r="G9" s="47">
        <v>214</v>
      </c>
      <c r="H9" s="133">
        <f>IF(B$17=0,0,G9/B$17)</f>
        <v>0.12492702860478692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83</v>
      </c>
      <c r="C10" s="40">
        <f>IF(B$2=0,0,B10/B$2)</f>
        <v>0.11976911976911978</v>
      </c>
      <c r="E10" s="63" t="s">
        <v>66</v>
      </c>
      <c r="F10" s="60" t="s">
        <v>22</v>
      </c>
      <c r="G10" s="47">
        <v>204</v>
      </c>
      <c r="H10" s="133">
        <f>IF(B$17=0,0,G10/B$17)</f>
        <v>0.11908931698774081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-1.7917748917748908</v>
      </c>
      <c r="P10" s="118">
        <v>231</v>
      </c>
      <c r="Q10" s="106">
        <v>-413.89999999999975</v>
      </c>
    </row>
    <row r="11" spans="1:17" x14ac:dyDescent="0.4">
      <c r="A11" s="56" t="s">
        <v>140</v>
      </c>
      <c r="B11" s="48">
        <v>83</v>
      </c>
      <c r="C11" s="40">
        <f>IF(B$2=0,0,B11/B$2)</f>
        <v>0.11976911976911978</v>
      </c>
      <c r="E11" s="63" t="s">
        <v>71</v>
      </c>
      <c r="F11" s="60" t="s">
        <v>26</v>
      </c>
      <c r="G11" s="47">
        <v>171</v>
      </c>
      <c r="H11" s="133">
        <f>IF(B$17=0,0,G11/B$17)</f>
        <v>9.982486865148861E-2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0.80173160173160163</v>
      </c>
      <c r="P11" s="119">
        <v>231</v>
      </c>
      <c r="Q11" s="107">
        <v>185.2</v>
      </c>
    </row>
    <row r="12" spans="1:17" x14ac:dyDescent="0.4">
      <c r="A12" s="57" t="s">
        <v>160</v>
      </c>
      <c r="B12" s="49">
        <v>58</v>
      </c>
      <c r="C12" s="42">
        <f>IF(B$2=0,0,B12/B$2)</f>
        <v>8.3694083694083696E-2</v>
      </c>
      <c r="E12" s="63" t="s">
        <v>72</v>
      </c>
      <c r="F12" s="60" t="s">
        <v>27</v>
      </c>
      <c r="G12" s="47">
        <v>120</v>
      </c>
      <c r="H12" s="133">
        <f>IF(B$17=0,0,G12/B$17)</f>
        <v>7.0052539404553416E-2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0.98571428571428554</v>
      </c>
      <c r="P12" s="120">
        <v>231</v>
      </c>
      <c r="Q12" s="108">
        <v>227.69999999999996</v>
      </c>
    </row>
    <row r="13" spans="1:17" x14ac:dyDescent="0.4">
      <c r="A13" s="58" t="s">
        <v>122</v>
      </c>
      <c r="B13" s="50">
        <v>1599</v>
      </c>
      <c r="C13" s="44">
        <f>IF(B$3=0,0,B13/B$3)</f>
        <v>0.27876569037656906</v>
      </c>
      <c r="E13" s="63" t="s">
        <v>87</v>
      </c>
      <c r="F13" s="60" t="s">
        <v>42</v>
      </c>
      <c r="G13" s="47">
        <v>99</v>
      </c>
      <c r="H13" s="133">
        <f>IF(B$17=0,0,G13/B$17)</f>
        <v>5.7793345008756568E-2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1190</v>
      </c>
      <c r="C14" s="39">
        <f>IF(B$3=0,0,B14/B$3)</f>
        <v>0.20746164574616457</v>
      </c>
      <c r="E14" s="63" t="s">
        <v>84</v>
      </c>
      <c r="F14" s="60" t="s">
        <v>39</v>
      </c>
      <c r="G14" s="47">
        <v>85</v>
      </c>
      <c r="H14" s="133">
        <f>IF(B$17=0,0,G14/B$17)</f>
        <v>4.9620548744892003E-2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924</v>
      </c>
      <c r="C15" s="37">
        <f>IF(B$13=0,0,B15/B$13)</f>
        <v>0.57786116322701686</v>
      </c>
      <c r="E15" s="63" t="s">
        <v>79</v>
      </c>
      <c r="F15" s="60" t="s">
        <v>34</v>
      </c>
      <c r="G15" s="47">
        <v>47</v>
      </c>
      <c r="H15" s="133">
        <f>IF(B$17=0,0,G15/B$17)</f>
        <v>2.7437244600116754E-2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21.751075268817232</v>
      </c>
      <c r="P15" s="118">
        <v>186</v>
      </c>
      <c r="Q15" s="106">
        <v>4045.7000000000048</v>
      </c>
    </row>
    <row r="16" spans="1:17" x14ac:dyDescent="0.4">
      <c r="A16" s="54" t="s">
        <v>125</v>
      </c>
      <c r="B16" s="46">
        <v>466</v>
      </c>
      <c r="C16" s="37">
        <f>IF(B$14=0,0,B16/B$14)</f>
        <v>0.39159663865546218</v>
      </c>
      <c r="E16" s="63" t="s">
        <v>82</v>
      </c>
      <c r="F16" s="60" t="s">
        <v>37</v>
      </c>
      <c r="G16" s="47">
        <v>46</v>
      </c>
      <c r="H16" s="133">
        <f>IF(B$17=0,0,G16/B$17)</f>
        <v>2.6853473438412143E-2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1713</v>
      </c>
      <c r="C17" s="37">
        <f>IF(B$3=0,0,B17/B$3)</f>
        <v>0.29864016736401672</v>
      </c>
      <c r="E17" s="63" t="s">
        <v>92</v>
      </c>
      <c r="F17" s="60" t="s">
        <v>47</v>
      </c>
      <c r="G17" s="47">
        <v>34</v>
      </c>
      <c r="H17" s="133">
        <f>IF(B$17=0,0,G17/B$17)</f>
        <v>1.9848219497956801E-2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12.306521739130433</v>
      </c>
      <c r="P17" s="119">
        <v>92</v>
      </c>
      <c r="Q17" s="107">
        <v>1132.1999999999998</v>
      </c>
    </row>
    <row r="18" spans="1:17" x14ac:dyDescent="0.4">
      <c r="A18" s="55" t="s">
        <v>12</v>
      </c>
      <c r="B18" s="47">
        <v>739</v>
      </c>
      <c r="C18" s="39">
        <f>IF(B$17=0,0,B18/B$17)</f>
        <v>0.4314068884997081</v>
      </c>
      <c r="E18" s="63" t="s">
        <v>80</v>
      </c>
      <c r="F18" s="60" t="s">
        <v>35</v>
      </c>
      <c r="G18" s="47">
        <v>26</v>
      </c>
      <c r="H18" s="133">
        <f>IF(B$17=0,0,G18/B$17)</f>
        <v>1.5178050204319907E-2</v>
      </c>
      <c r="I18" s="94">
        <v>6</v>
      </c>
      <c r="K18" s="38">
        <v>16</v>
      </c>
      <c r="L18" s="99">
        <v>90.899999999999991</v>
      </c>
      <c r="N18" s="115" t="s">
        <v>184</v>
      </c>
      <c r="O18" s="125">
        <f>IF(P18=0,0,Q18/P18)</f>
        <v>10.597222222222221</v>
      </c>
      <c r="P18" s="119">
        <v>36</v>
      </c>
      <c r="Q18" s="107">
        <v>381.5</v>
      </c>
    </row>
    <row r="19" spans="1:17" x14ac:dyDescent="0.4">
      <c r="A19" s="55" t="s">
        <v>11</v>
      </c>
      <c r="B19" s="47">
        <v>974</v>
      </c>
      <c r="C19" s="39">
        <f>IF(B$17=0,0,B19/B$17)</f>
        <v>0.5685931115002919</v>
      </c>
      <c r="E19" s="63" t="s">
        <v>180</v>
      </c>
      <c r="F19" s="60" t="s">
        <v>181</v>
      </c>
      <c r="G19" s="47">
        <v>26</v>
      </c>
      <c r="H19" s="133">
        <f>IF(B$17=0,0,G19/B$17)</f>
        <v>1.5178050204319907E-2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5.2154761904761893</v>
      </c>
      <c r="P19" s="119">
        <v>252</v>
      </c>
      <c r="Q19" s="107">
        <v>1314.2999999999997</v>
      </c>
    </row>
    <row r="20" spans="1:17" x14ac:dyDescent="0.4">
      <c r="A20" s="55" t="s">
        <v>13</v>
      </c>
      <c r="B20" s="47">
        <v>963</v>
      </c>
      <c r="C20" s="39">
        <f>IF(B$3=0,0,B20/B$3)</f>
        <v>0.16788702928870292</v>
      </c>
      <c r="E20" s="63" t="s">
        <v>74</v>
      </c>
      <c r="F20" s="60" t="s">
        <v>29</v>
      </c>
      <c r="G20" s="47">
        <v>11</v>
      </c>
      <c r="H20" s="133">
        <f>IF(B$17=0,0,G20/B$17)</f>
        <v>6.4214827787507298E-3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2.1506249999999993</v>
      </c>
      <c r="P20" s="119">
        <v>160</v>
      </c>
      <c r="Q20" s="107">
        <v>344.09999999999991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10</v>
      </c>
      <c r="H21" s="133">
        <f>IF(B$17=0,0,G21/B$17)</f>
        <v>5.837711617046118E-3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-0.35166666666666407</v>
      </c>
      <c r="P21" s="119">
        <v>180</v>
      </c>
      <c r="Q21" s="107">
        <v>-63.299999999999535</v>
      </c>
    </row>
    <row r="22" spans="1:17" x14ac:dyDescent="0.4">
      <c r="A22" s="55" t="s">
        <v>192</v>
      </c>
      <c r="B22" s="47">
        <v>31</v>
      </c>
      <c r="C22" s="135">
        <v>6</v>
      </c>
      <c r="E22" s="63" t="s">
        <v>75</v>
      </c>
      <c r="F22" s="60" t="s">
        <v>30</v>
      </c>
      <c r="G22" s="47">
        <v>8</v>
      </c>
      <c r="H22" s="133">
        <f>IF(B$17=0,0,G22/B$17)</f>
        <v>4.6701692936368944E-3</v>
      </c>
      <c r="I22" s="94">
        <v>5</v>
      </c>
      <c r="K22" s="38">
        <v>20</v>
      </c>
      <c r="L22" s="99">
        <v>0.79999999999999716</v>
      </c>
      <c r="N22" s="115" t="s">
        <v>200</v>
      </c>
      <c r="O22" s="125">
        <f>IF(P22=0,0,Q22/P22)</f>
        <v>-2.7150000000000012</v>
      </c>
      <c r="P22" s="119">
        <v>20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8687.3321657910092</v>
      </c>
      <c r="C23" s="41">
        <v>14881400</v>
      </c>
      <c r="E23" s="63" t="s">
        <v>93</v>
      </c>
      <c r="F23" s="60" t="s">
        <v>48</v>
      </c>
      <c r="G23" s="47">
        <v>8</v>
      </c>
      <c r="H23" s="133">
        <f>IF(B$17=0,0,G23/B$17)</f>
        <v>4.6701692936368944E-3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-6.8731343283582094</v>
      </c>
      <c r="P23" s="119">
        <v>134</v>
      </c>
      <c r="Q23" s="107">
        <v>-921</v>
      </c>
    </row>
    <row r="24" spans="1:17" x14ac:dyDescent="0.4">
      <c r="A24" s="57" t="s">
        <v>14</v>
      </c>
      <c r="B24" s="52">
        <f>IF(B$20=0,0,C24/B$20)</f>
        <v>-8301.5576323987534</v>
      </c>
      <c r="C24" s="45">
        <v>-7994400</v>
      </c>
      <c r="E24" s="63" t="s">
        <v>86</v>
      </c>
      <c r="F24" s="60" t="s">
        <v>41</v>
      </c>
      <c r="G24" s="47">
        <v>7</v>
      </c>
      <c r="H24" s="133">
        <f>IF(B$17=0,0,G24/B$17)</f>
        <v>4.0863981319322826E-3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-19.205095541401249</v>
      </c>
      <c r="P24" s="119">
        <v>314</v>
      </c>
      <c r="Q24" s="107">
        <v>-6030.3999999999924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3.5026269702276708E-3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6</v>
      </c>
      <c r="H26" s="133">
        <f>IF(B$17=0,0,G26/B$17)</f>
        <v>3.5026269702276708E-3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2.4407252440725243E-3</v>
      </c>
      <c r="E27" s="63" t="s">
        <v>91</v>
      </c>
      <c r="F27" s="60" t="s">
        <v>46</v>
      </c>
      <c r="G27" s="47">
        <v>5</v>
      </c>
      <c r="H27" s="133">
        <f>IF(B$17=0,0,G27/B$17)</f>
        <v>2.918855808523059E-3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2.3350846468184472E-3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2.3350846468184472E-3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1.1675423234092236E-3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1.1675423234092236E-3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5.837711617046118E-4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5.837711617046118E-4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45.999999999999979</v>
      </c>
    </row>
    <row r="650" spans="11:12" x14ac:dyDescent="0.4">
      <c r="K650" s="38">
        <v>648</v>
      </c>
      <c r="L650" s="99">
        <v>-1.0000000000000213</v>
      </c>
    </row>
    <row r="651" spans="11:12" x14ac:dyDescent="0.4">
      <c r="K651" s="38">
        <v>649</v>
      </c>
      <c r="L651" s="99">
        <v>-15.300000000000022</v>
      </c>
    </row>
    <row r="652" spans="11:12" x14ac:dyDescent="0.4">
      <c r="K652" s="38">
        <v>650</v>
      </c>
      <c r="L652" s="99">
        <v>35.09999999999998</v>
      </c>
    </row>
    <row r="653" spans="11:12" x14ac:dyDescent="0.4">
      <c r="K653" s="38">
        <v>651</v>
      </c>
      <c r="L653" s="99">
        <v>-1.0000000000000213</v>
      </c>
    </row>
    <row r="654" spans="11:12" x14ac:dyDescent="0.4">
      <c r="K654" s="38">
        <v>652</v>
      </c>
      <c r="L654" s="99">
        <v>-1.0000000000000213</v>
      </c>
    </row>
    <row r="655" spans="11:12" x14ac:dyDescent="0.4">
      <c r="K655" s="38">
        <v>653</v>
      </c>
      <c r="L655" s="99">
        <v>-1.0000000000000213</v>
      </c>
    </row>
    <row r="656" spans="11:12" x14ac:dyDescent="0.4">
      <c r="K656" s="38">
        <v>654</v>
      </c>
      <c r="L656" s="99">
        <v>-1.0000000000000213</v>
      </c>
    </row>
    <row r="657" spans="11:12" x14ac:dyDescent="0.4">
      <c r="K657" s="38">
        <v>655</v>
      </c>
      <c r="L657" s="99">
        <v>-61.90000000000002</v>
      </c>
    </row>
    <row r="658" spans="11:12" x14ac:dyDescent="0.4">
      <c r="K658" s="38">
        <v>656</v>
      </c>
      <c r="L658" s="99">
        <v>2.4999999999999858</v>
      </c>
    </row>
    <row r="659" spans="11:12" x14ac:dyDescent="0.4">
      <c r="K659" s="38">
        <v>657</v>
      </c>
      <c r="L659" s="99">
        <v>-1.0000000000000142</v>
      </c>
    </row>
    <row r="660" spans="11:12" x14ac:dyDescent="0.4">
      <c r="K660" s="38">
        <v>658</v>
      </c>
      <c r="L660" s="99">
        <v>66.799999999999983</v>
      </c>
    </row>
    <row r="661" spans="11:12" x14ac:dyDescent="0.4">
      <c r="K661" s="38">
        <v>659</v>
      </c>
      <c r="L661" s="99">
        <v>54.899999999999984</v>
      </c>
    </row>
    <row r="662" spans="11:12" x14ac:dyDescent="0.4">
      <c r="K662" s="38">
        <v>660</v>
      </c>
      <c r="L662" s="99">
        <v>-1.0000000000000142</v>
      </c>
    </row>
    <row r="663" spans="11:12" x14ac:dyDescent="0.4">
      <c r="K663" s="38">
        <v>661</v>
      </c>
      <c r="L663" s="99">
        <v>-15.900000000000015</v>
      </c>
    </row>
    <row r="664" spans="11:12" x14ac:dyDescent="0.4">
      <c r="K664" s="38">
        <v>662</v>
      </c>
      <c r="L664" s="99">
        <v>-52.300000000000011</v>
      </c>
    </row>
    <row r="665" spans="11:12" x14ac:dyDescent="0.4">
      <c r="K665" s="38">
        <v>663</v>
      </c>
      <c r="L665" s="99">
        <v>-1.0000000000000142</v>
      </c>
    </row>
    <row r="666" spans="11:12" x14ac:dyDescent="0.4">
      <c r="K666" s="38">
        <v>664</v>
      </c>
      <c r="L666" s="99">
        <v>-58.700000000000017</v>
      </c>
    </row>
    <row r="667" spans="11:12" x14ac:dyDescent="0.4">
      <c r="K667" s="38">
        <v>665</v>
      </c>
      <c r="L667" s="99">
        <v>-41.100000000000016</v>
      </c>
    </row>
    <row r="668" spans="11:12" x14ac:dyDescent="0.4">
      <c r="K668" s="38">
        <v>666</v>
      </c>
      <c r="L668" s="99">
        <v>-1.0000000000000142</v>
      </c>
    </row>
    <row r="669" spans="11:12" x14ac:dyDescent="0.4">
      <c r="K669" s="38">
        <v>667</v>
      </c>
      <c r="L669" s="99">
        <v>-2.9000000000000141</v>
      </c>
    </row>
    <row r="670" spans="11:12" x14ac:dyDescent="0.4">
      <c r="K670" s="38">
        <v>668</v>
      </c>
      <c r="L670" s="99">
        <v>31.79999999999999</v>
      </c>
    </row>
    <row r="671" spans="11:12" x14ac:dyDescent="0.4">
      <c r="K671" s="38">
        <v>669</v>
      </c>
      <c r="L671" s="99">
        <v>-1.0000000000000071</v>
      </c>
    </row>
    <row r="672" spans="11:12" x14ac:dyDescent="0.4">
      <c r="K672" s="38">
        <v>670</v>
      </c>
      <c r="L672" s="99">
        <v>10.599999999999993</v>
      </c>
    </row>
    <row r="673" spans="11:12" x14ac:dyDescent="0.4">
      <c r="K673" s="38">
        <v>671</v>
      </c>
      <c r="L673" s="99">
        <v>-44.800000000000004</v>
      </c>
    </row>
    <row r="674" spans="11:12" x14ac:dyDescent="0.4">
      <c r="K674" s="38">
        <v>672</v>
      </c>
      <c r="L674" s="99">
        <v>-1.0000000000000071</v>
      </c>
    </row>
    <row r="675" spans="11:12" x14ac:dyDescent="0.4">
      <c r="K675" s="38">
        <v>673</v>
      </c>
      <c r="L675" s="99">
        <v>-2.0000000000000071</v>
      </c>
    </row>
    <row r="676" spans="11:12" x14ac:dyDescent="0.4">
      <c r="K676" s="38">
        <v>674</v>
      </c>
      <c r="L676" s="99">
        <v>-60.000000000000007</v>
      </c>
    </row>
    <row r="677" spans="11:12" x14ac:dyDescent="0.4">
      <c r="K677" s="38">
        <v>675</v>
      </c>
      <c r="L677" s="99">
        <v>-1.0000000000000071</v>
      </c>
    </row>
    <row r="678" spans="11:12" x14ac:dyDescent="0.4">
      <c r="K678" s="38">
        <v>676</v>
      </c>
      <c r="L678" s="99">
        <v>-2.3000000000000069</v>
      </c>
    </row>
    <row r="679" spans="11:12" x14ac:dyDescent="0.4">
      <c r="K679" s="38">
        <v>677</v>
      </c>
      <c r="L679" s="99">
        <v>33.699999999999996</v>
      </c>
    </row>
    <row r="680" spans="11:12" x14ac:dyDescent="0.4">
      <c r="K680" s="38">
        <v>678</v>
      </c>
      <c r="L680" s="99">
        <v>-1.0000000000000071</v>
      </c>
    </row>
    <row r="681" spans="11:12" x14ac:dyDescent="0.4">
      <c r="K681" s="38">
        <v>679</v>
      </c>
      <c r="L681" s="99">
        <v>-8.4000000000000075</v>
      </c>
    </row>
    <row r="682" spans="11:12" x14ac:dyDescent="0.4">
      <c r="K682" s="38">
        <v>680</v>
      </c>
      <c r="L682" s="99">
        <v>-72.100000000000009</v>
      </c>
    </row>
    <row r="683" spans="11:12" x14ac:dyDescent="0.4">
      <c r="K683" s="38">
        <v>681</v>
      </c>
      <c r="L683" s="99">
        <v>-1.0000000000000142</v>
      </c>
    </row>
    <row r="684" spans="11:12" x14ac:dyDescent="0.4">
      <c r="K684" s="38">
        <v>682</v>
      </c>
      <c r="L684" s="99">
        <v>75.999999999999986</v>
      </c>
    </row>
    <row r="685" spans="11:12" x14ac:dyDescent="0.4">
      <c r="K685" s="38">
        <v>683</v>
      </c>
      <c r="L685" s="99">
        <v>-6.0000000000000142</v>
      </c>
    </row>
    <row r="686" spans="11:12" x14ac:dyDescent="0.4">
      <c r="K686" s="38">
        <v>684</v>
      </c>
      <c r="L686" s="99">
        <v>-1.0000000000000142</v>
      </c>
    </row>
    <row r="687" spans="11:12" x14ac:dyDescent="0.4">
      <c r="K687" s="38">
        <v>685</v>
      </c>
      <c r="L687" s="99">
        <v>48.699999999999989</v>
      </c>
    </row>
    <row r="688" spans="11:12" x14ac:dyDescent="0.4">
      <c r="K688" s="38">
        <v>686</v>
      </c>
      <c r="L688" s="99">
        <v>37.79999999999999</v>
      </c>
    </row>
    <row r="689" spans="11:12" x14ac:dyDescent="0.4">
      <c r="K689" s="38">
        <v>687</v>
      </c>
      <c r="L689" s="99">
        <v>-1.0000000000000071</v>
      </c>
    </row>
    <row r="690" spans="11:12" x14ac:dyDescent="0.4">
      <c r="K690" s="38">
        <v>688</v>
      </c>
      <c r="L690" s="99">
        <v>-29.400000000000006</v>
      </c>
    </row>
    <row r="691" spans="11:12" x14ac:dyDescent="0.4">
      <c r="K691" s="38">
        <v>689</v>
      </c>
      <c r="L691" s="99">
        <v>56</v>
      </c>
    </row>
    <row r="692" spans="11:12" x14ac:dyDescent="0.4">
      <c r="K692" s="38">
        <v>690</v>
      </c>
      <c r="L692" s="99">
        <v>-1</v>
      </c>
    </row>
    <row r="693" spans="11:12" x14ac:dyDescent="0.4">
      <c r="K693" s="38">
        <v>691</v>
      </c>
      <c r="L693" s="99">
        <v>-48.7</v>
      </c>
    </row>
    <row r="694" spans="11:12" x14ac:dyDescent="0.4">
      <c r="K694" s="38">
        <v>692</v>
      </c>
      <c r="L694" s="99">
        <v>-70.300000000000011</v>
      </c>
    </row>
    <row r="695" spans="11:12" x14ac:dyDescent="0.4">
      <c r="K695" s="38">
        <v>693</v>
      </c>
      <c r="L695" s="99">
        <v>-1.0000000000000142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5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157</v>
      </c>
      <c r="C2" s="151"/>
      <c r="E2" s="62" t="s">
        <v>67</v>
      </c>
      <c r="F2" s="59" t="s">
        <v>23</v>
      </c>
      <c r="G2" s="46">
        <v>317</v>
      </c>
      <c r="H2" s="132">
        <f>IF(B$17=0,0,G2/B$17)</f>
        <v>0.72045454545454546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2201.9230769230771</v>
      </c>
      <c r="P2" s="118">
        <v>156</v>
      </c>
      <c r="Q2" s="102">
        <v>343500</v>
      </c>
    </row>
    <row r="3" spans="1:17" x14ac:dyDescent="0.4">
      <c r="A3" s="55" t="s">
        <v>8</v>
      </c>
      <c r="B3" s="152">
        <v>1274</v>
      </c>
      <c r="C3" s="153"/>
      <c r="E3" s="63" t="s">
        <v>73</v>
      </c>
      <c r="F3" s="60" t="s">
        <v>28</v>
      </c>
      <c r="G3" s="47">
        <v>249</v>
      </c>
      <c r="H3" s="133">
        <f>IF(B$17=0,0,G3/B$17)</f>
        <v>0.56590909090909092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2006.578947368421</v>
      </c>
      <c r="P3" s="119">
        <v>152</v>
      </c>
      <c r="Q3" s="103">
        <v>305000</v>
      </c>
    </row>
    <row r="4" spans="1:17" x14ac:dyDescent="0.4">
      <c r="A4" s="55" t="s">
        <v>6</v>
      </c>
      <c r="B4" s="154">
        <v>2009.8000000000006</v>
      </c>
      <c r="C4" s="155"/>
      <c r="E4" s="63" t="s">
        <v>65</v>
      </c>
      <c r="F4" s="60" t="s">
        <v>21</v>
      </c>
      <c r="G4" s="47">
        <v>211</v>
      </c>
      <c r="H4" s="133">
        <f>IF(B$17=0,0,G4/B$17)</f>
        <v>0.47954545454545455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964.58333333333337</v>
      </c>
      <c r="P4" s="119">
        <v>144</v>
      </c>
      <c r="Q4" s="103">
        <v>138900</v>
      </c>
    </row>
    <row r="5" spans="1:17" x14ac:dyDescent="0.4">
      <c r="A5" s="55" t="s">
        <v>7</v>
      </c>
      <c r="B5" s="156">
        <f>IF(B$2=0,0,B$4/B$2)</f>
        <v>12.801273885350323</v>
      </c>
      <c r="C5" s="157"/>
      <c r="E5" s="63" t="s">
        <v>245</v>
      </c>
      <c r="F5" s="60" t="s">
        <v>246</v>
      </c>
      <c r="G5" s="47">
        <v>184</v>
      </c>
      <c r="H5" s="133">
        <f>IF(B$17=0,0,G5/B$17)</f>
        <v>0.41818181818181815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2276.5151515151515</v>
      </c>
      <c r="P5" s="119">
        <v>132</v>
      </c>
      <c r="Q5" s="103">
        <v>300500</v>
      </c>
    </row>
    <row r="6" spans="1:17" x14ac:dyDescent="0.4">
      <c r="A6" s="55" t="s">
        <v>1</v>
      </c>
      <c r="B6" s="146">
        <f>IF(B$2=0,0,(B$7*1+B$8*2+B$9*3)/B$2)</f>
        <v>1.7388535031847134</v>
      </c>
      <c r="C6" s="147"/>
      <c r="E6" s="63" t="s">
        <v>68</v>
      </c>
      <c r="F6" s="60" t="s">
        <v>24</v>
      </c>
      <c r="G6" s="47">
        <v>125</v>
      </c>
      <c r="H6" s="133">
        <f>IF(B$17=0,0,G6/B$17)</f>
        <v>0.28409090909090912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171.7948717948718</v>
      </c>
      <c r="P6" s="119">
        <v>117</v>
      </c>
      <c r="Q6" s="103">
        <v>20100</v>
      </c>
    </row>
    <row r="7" spans="1:17" x14ac:dyDescent="0.4">
      <c r="A7" s="55" t="s">
        <v>2</v>
      </c>
      <c r="B7" s="47">
        <v>77</v>
      </c>
      <c r="C7" s="39">
        <f>IF(B$2=0,0,B7/B$2)</f>
        <v>0.49044585987261147</v>
      </c>
      <c r="E7" s="63" t="s">
        <v>69</v>
      </c>
      <c r="F7" s="60" t="s">
        <v>12</v>
      </c>
      <c r="G7" s="47">
        <v>119</v>
      </c>
      <c r="H7" s="133">
        <f>IF(B$17=0,0,G7/B$17)</f>
        <v>0.27045454545454545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948.51485148514848</v>
      </c>
      <c r="P7" s="120">
        <v>101</v>
      </c>
      <c r="Q7" s="104">
        <v>95800</v>
      </c>
    </row>
    <row r="8" spans="1:17" x14ac:dyDescent="0.4">
      <c r="A8" s="55" t="s">
        <v>3</v>
      </c>
      <c r="B8" s="47">
        <v>44</v>
      </c>
      <c r="C8" s="39">
        <f>IF(B$2=0,0,B8/B$2)</f>
        <v>0.28025477707006369</v>
      </c>
      <c r="E8" s="63" t="s">
        <v>70</v>
      </c>
      <c r="F8" s="60" t="s">
        <v>25</v>
      </c>
      <c r="G8" s="47">
        <v>71</v>
      </c>
      <c r="H8" s="133">
        <f>IF(B$17=0,0,G8/B$17)</f>
        <v>0.16136363636363638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0.22929936305732485</v>
      </c>
      <c r="E9" s="63" t="s">
        <v>90</v>
      </c>
      <c r="F9" s="60" t="s">
        <v>45</v>
      </c>
      <c r="G9" s="47">
        <v>70</v>
      </c>
      <c r="H9" s="133">
        <f>IF(B$17=0,0,G9/B$17)</f>
        <v>0.15909090909090909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9.5541401273885357E-2</v>
      </c>
      <c r="E10" s="63" t="s">
        <v>66</v>
      </c>
      <c r="F10" s="60" t="s">
        <v>22</v>
      </c>
      <c r="G10" s="47">
        <v>55</v>
      </c>
      <c r="H10" s="133">
        <f>IF(B$17=0,0,G10/B$17)</f>
        <v>0.125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15.124000000000001</v>
      </c>
      <c r="P10" s="118">
        <v>50</v>
      </c>
      <c r="Q10" s="106">
        <v>756.2</v>
      </c>
    </row>
    <row r="11" spans="1:17" x14ac:dyDescent="0.4">
      <c r="A11" s="56" t="s">
        <v>140</v>
      </c>
      <c r="B11" s="48">
        <v>28</v>
      </c>
      <c r="C11" s="40">
        <f>IF(B$2=0,0,B11/B$2)</f>
        <v>0.17834394904458598</v>
      </c>
      <c r="E11" s="63" t="s">
        <v>71</v>
      </c>
      <c r="F11" s="60" t="s">
        <v>26</v>
      </c>
      <c r="G11" s="47">
        <v>38</v>
      </c>
      <c r="H11" s="133">
        <f>IF(B$17=0,0,G11/B$17)</f>
        <v>8.6363636363636365E-2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11.904347826086957</v>
      </c>
      <c r="P11" s="119">
        <v>46</v>
      </c>
      <c r="Q11" s="107">
        <v>547.6</v>
      </c>
    </row>
    <row r="12" spans="1:17" x14ac:dyDescent="0.4">
      <c r="A12" s="57" t="s">
        <v>160</v>
      </c>
      <c r="B12" s="49">
        <v>22</v>
      </c>
      <c r="C12" s="42">
        <f>IF(B$2=0,0,B12/B$2)</f>
        <v>0.14012738853503184</v>
      </c>
      <c r="E12" s="63" t="s">
        <v>87</v>
      </c>
      <c r="F12" s="60" t="s">
        <v>42</v>
      </c>
      <c r="G12" s="47">
        <v>33</v>
      </c>
      <c r="H12" s="133">
        <f>IF(B$17=0,0,G12/B$17)</f>
        <v>7.4999999999999997E-2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11.57377049180328</v>
      </c>
      <c r="P12" s="120">
        <v>61</v>
      </c>
      <c r="Q12" s="108">
        <v>706.00000000000011</v>
      </c>
    </row>
    <row r="13" spans="1:17" x14ac:dyDescent="0.4">
      <c r="A13" s="58" t="s">
        <v>122</v>
      </c>
      <c r="B13" s="50">
        <v>398</v>
      </c>
      <c r="C13" s="44">
        <f>IF(B$3=0,0,B13/B$3)</f>
        <v>0.31240188383045525</v>
      </c>
      <c r="E13" s="63" t="s">
        <v>72</v>
      </c>
      <c r="F13" s="60" t="s">
        <v>27</v>
      </c>
      <c r="G13" s="47">
        <v>31</v>
      </c>
      <c r="H13" s="133">
        <f>IF(B$17=0,0,G13/B$17)</f>
        <v>7.045454545454545E-2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277</v>
      </c>
      <c r="C14" s="39">
        <f>IF(B$3=0,0,B14/B$3)</f>
        <v>0.21742543171114601</v>
      </c>
      <c r="E14" s="63" t="s">
        <v>84</v>
      </c>
      <c r="F14" s="60" t="s">
        <v>39</v>
      </c>
      <c r="G14" s="47">
        <v>25</v>
      </c>
      <c r="H14" s="133">
        <f>IF(B$17=0,0,G14/B$17)</f>
        <v>5.6818181818181816E-2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230</v>
      </c>
      <c r="C15" s="37">
        <f>IF(B$13=0,0,B15/B$13)</f>
        <v>0.57788944723618085</v>
      </c>
      <c r="E15" s="63" t="s">
        <v>180</v>
      </c>
      <c r="F15" s="60" t="s">
        <v>181</v>
      </c>
      <c r="G15" s="47">
        <v>15</v>
      </c>
      <c r="H15" s="133">
        <f>IF(B$17=0,0,G15/B$17)</f>
        <v>3.4090909090909088E-2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143</v>
      </c>
      <c r="C16" s="37">
        <f>IF(B$14=0,0,B16/B$14)</f>
        <v>0.51624548736462095</v>
      </c>
      <c r="E16" s="63" t="s">
        <v>79</v>
      </c>
      <c r="F16" s="60" t="s">
        <v>34</v>
      </c>
      <c r="G16" s="47">
        <v>12</v>
      </c>
      <c r="H16" s="133">
        <f>IF(B$17=0,0,G16/B$17)</f>
        <v>2.7272727272727271E-2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440</v>
      </c>
      <c r="C17" s="37">
        <f>IF(B$3=0,0,B17/B$3)</f>
        <v>0.34536891679748821</v>
      </c>
      <c r="E17" s="63" t="s">
        <v>82</v>
      </c>
      <c r="F17" s="60" t="s">
        <v>37</v>
      </c>
      <c r="G17" s="47">
        <v>12</v>
      </c>
      <c r="H17" s="133">
        <f>IF(B$17=0,0,G17/B$17)</f>
        <v>2.7272727272727271E-2</v>
      </c>
      <c r="I17" s="94">
        <v>5</v>
      </c>
      <c r="K17" s="38">
        <v>15</v>
      </c>
      <c r="L17" s="99">
        <v>481.50000000000006</v>
      </c>
      <c r="N17" s="115" t="s">
        <v>129</v>
      </c>
      <c r="O17" s="125">
        <f>IF(P17=0,0,Q17/P17)</f>
        <v>28.908474576271193</v>
      </c>
      <c r="P17" s="119">
        <v>59</v>
      </c>
      <c r="Q17" s="107">
        <v>1705.6000000000004</v>
      </c>
    </row>
    <row r="18" spans="1:17" x14ac:dyDescent="0.4">
      <c r="A18" s="55" t="s">
        <v>12</v>
      </c>
      <c r="B18" s="47">
        <v>183</v>
      </c>
      <c r="C18" s="39">
        <f>IF(B$17=0,0,B18/B$17)</f>
        <v>0.41590909090909089</v>
      </c>
      <c r="E18" s="63" t="s">
        <v>92</v>
      </c>
      <c r="F18" s="60" t="s">
        <v>47</v>
      </c>
      <c r="G18" s="47">
        <v>10</v>
      </c>
      <c r="H18" s="133">
        <f>IF(B$17=0,0,G18/B$17)</f>
        <v>2.2727272727272728E-2</v>
      </c>
      <c r="I18" s="94">
        <v>3</v>
      </c>
      <c r="K18" s="38">
        <v>16</v>
      </c>
      <c r="L18" s="99">
        <v>425.50000000000006</v>
      </c>
      <c r="N18" s="115" t="s">
        <v>172</v>
      </c>
      <c r="O18" s="125">
        <f>IF(P18=0,0,Q18/P18)</f>
        <v>25.348888888888887</v>
      </c>
      <c r="P18" s="119">
        <v>45</v>
      </c>
      <c r="Q18" s="107">
        <v>1140.6999999999998</v>
      </c>
    </row>
    <row r="19" spans="1:17" x14ac:dyDescent="0.4">
      <c r="A19" s="55" t="s">
        <v>11</v>
      </c>
      <c r="B19" s="47">
        <v>257</v>
      </c>
      <c r="C19" s="39">
        <f>IF(B$17=0,0,B19/B$17)</f>
        <v>0.58409090909090911</v>
      </c>
      <c r="E19" s="63" t="s">
        <v>80</v>
      </c>
      <c r="F19" s="60" t="s">
        <v>35</v>
      </c>
      <c r="G19" s="47">
        <v>5</v>
      </c>
      <c r="H19" s="133">
        <f>IF(B$17=0,0,G19/B$17)</f>
        <v>1.1363636363636364E-2</v>
      </c>
      <c r="I19" s="94">
        <v>9</v>
      </c>
      <c r="K19" s="38">
        <v>17</v>
      </c>
      <c r="L19" s="99">
        <v>427.40000000000003</v>
      </c>
      <c r="N19" s="115" t="s">
        <v>177</v>
      </c>
      <c r="O19" s="125">
        <f>IF(P19=0,0,Q19/P19)</f>
        <v>23.923333333333339</v>
      </c>
      <c r="P19" s="119">
        <v>30</v>
      </c>
      <c r="Q19" s="107">
        <v>717.70000000000016</v>
      </c>
    </row>
    <row r="20" spans="1:17" x14ac:dyDescent="0.4">
      <c r="A20" s="55" t="s">
        <v>13</v>
      </c>
      <c r="B20" s="47">
        <v>199</v>
      </c>
      <c r="C20" s="39">
        <f>IF(B$3=0,0,B20/B$3)</f>
        <v>0.15620094191522763</v>
      </c>
      <c r="E20" s="63" t="s">
        <v>86</v>
      </c>
      <c r="F20" s="60" t="s">
        <v>41</v>
      </c>
      <c r="G20" s="47">
        <v>4</v>
      </c>
      <c r="H20" s="133">
        <f>IF(B$17=0,0,G20/B$17)</f>
        <v>9.0909090909090905E-3</v>
      </c>
      <c r="I20" s="94">
        <v>2</v>
      </c>
      <c r="K20" s="38">
        <v>18</v>
      </c>
      <c r="L20" s="99">
        <v>429.3</v>
      </c>
      <c r="N20" s="115" t="s">
        <v>184</v>
      </c>
      <c r="O20" s="125">
        <f>IF(P20=0,0,Q20/P20)</f>
        <v>23.074999999999992</v>
      </c>
      <c r="P20" s="119">
        <v>12</v>
      </c>
      <c r="Q20" s="107">
        <v>276.89999999999992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3</v>
      </c>
      <c r="H21" s="133">
        <f>IF(B$17=0,0,G21/B$17)</f>
        <v>6.8181818181818179E-3</v>
      </c>
      <c r="I21" s="94">
        <v>5</v>
      </c>
      <c r="K21" s="38">
        <v>19</v>
      </c>
      <c r="L21" s="99">
        <v>405.40000000000003</v>
      </c>
      <c r="N21" s="115" t="s">
        <v>173</v>
      </c>
      <c r="O21" s="125">
        <f>IF(P21=0,0,Q21/P21)</f>
        <v>21.768181818181816</v>
      </c>
      <c r="P21" s="119">
        <v>22</v>
      </c>
      <c r="Q21" s="107">
        <v>478.9</v>
      </c>
    </row>
    <row r="22" spans="1:17" x14ac:dyDescent="0.4">
      <c r="A22" s="55" t="s">
        <v>192</v>
      </c>
      <c r="B22" s="47">
        <v>39</v>
      </c>
      <c r="C22" s="135">
        <v>6</v>
      </c>
      <c r="E22" s="63" t="s">
        <v>93</v>
      </c>
      <c r="F22" s="60" t="s">
        <v>48</v>
      </c>
      <c r="G22" s="47">
        <v>3</v>
      </c>
      <c r="H22" s="133">
        <f>IF(B$17=0,0,G22/B$17)</f>
        <v>6.8181818181818179E-3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18.795402298850576</v>
      </c>
      <c r="P22" s="119">
        <v>87</v>
      </c>
      <c r="Q22" s="107">
        <v>1635.2</v>
      </c>
    </row>
    <row r="23" spans="1:17" x14ac:dyDescent="0.4">
      <c r="A23" s="55" t="s">
        <v>5</v>
      </c>
      <c r="B23" s="51">
        <f>IF(B$17=0,0,C23/B$17)</f>
        <v>9240.681818181818</v>
      </c>
      <c r="C23" s="41">
        <v>4065900</v>
      </c>
      <c r="E23" s="63" t="s">
        <v>78</v>
      </c>
      <c r="F23" s="60" t="s">
        <v>33</v>
      </c>
      <c r="G23" s="47">
        <v>2</v>
      </c>
      <c r="H23" s="133">
        <f>IF(B$17=0,0,G23/B$17)</f>
        <v>4.5454545454545452E-3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1.6094339622641485</v>
      </c>
      <c r="P23" s="119">
        <v>53</v>
      </c>
      <c r="Q23" s="107">
        <v>85.299999999999869</v>
      </c>
    </row>
    <row r="24" spans="1:17" x14ac:dyDescent="0.4">
      <c r="A24" s="57" t="s">
        <v>14</v>
      </c>
      <c r="B24" s="52">
        <f>IF(B$20=0,0,C24/B$20)</f>
        <v>-8216.0804020100495</v>
      </c>
      <c r="C24" s="45">
        <v>-1635000</v>
      </c>
      <c r="E24" s="63" t="s">
        <v>91</v>
      </c>
      <c r="F24" s="60" t="s">
        <v>46</v>
      </c>
      <c r="G24" s="47">
        <v>2</v>
      </c>
      <c r="H24" s="133">
        <f>IF(B$17=0,0,G24/B$17)</f>
        <v>4.5454545454545452E-3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-8.9666666666666668</v>
      </c>
      <c r="P24" s="119">
        <v>3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2.2727272727272726E-3</v>
      </c>
      <c r="I25" s="94">
        <v>8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2.2727272727272726E-3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7.8492935635792783E-4</v>
      </c>
      <c r="E27" s="63" t="s">
        <v>88</v>
      </c>
      <c r="F27" s="60" t="s">
        <v>43</v>
      </c>
      <c r="G27" s="47">
        <v>1</v>
      </c>
      <c r="H27" s="133">
        <f>IF(B$17=0,0,G27/B$17)</f>
        <v>2.2727272727272726E-3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2.2727272727272726E-3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2.2727272727272726E-3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1767.0000000000009</v>
      </c>
    </row>
    <row r="150" spans="11:12" x14ac:dyDescent="0.4">
      <c r="K150" s="38">
        <v>148</v>
      </c>
      <c r="L150" s="99">
        <v>1763.5000000000009</v>
      </c>
    </row>
    <row r="151" spans="11:12" x14ac:dyDescent="0.4">
      <c r="K151" s="38">
        <v>149</v>
      </c>
      <c r="L151" s="99">
        <v>1727.1000000000008</v>
      </c>
    </row>
    <row r="152" spans="11:12" x14ac:dyDescent="0.4">
      <c r="K152" s="38">
        <v>150</v>
      </c>
      <c r="L152" s="99">
        <v>1744.7000000000007</v>
      </c>
    </row>
    <row r="153" spans="11:12" x14ac:dyDescent="0.4">
      <c r="K153" s="38">
        <v>151</v>
      </c>
      <c r="L153" s="99">
        <v>1788.5000000000007</v>
      </c>
    </row>
    <row r="154" spans="11:12" x14ac:dyDescent="0.4">
      <c r="K154" s="38">
        <v>152</v>
      </c>
      <c r="L154" s="99">
        <v>1847.5000000000007</v>
      </c>
    </row>
    <row r="155" spans="11:12" x14ac:dyDescent="0.4">
      <c r="K155" s="38">
        <v>153</v>
      </c>
      <c r="L155" s="99">
        <v>1812.8000000000006</v>
      </c>
    </row>
    <row r="156" spans="11:12" x14ac:dyDescent="0.4">
      <c r="K156" s="38">
        <v>154</v>
      </c>
      <c r="L156" s="99">
        <v>1805.4000000000005</v>
      </c>
    </row>
    <row r="157" spans="11:12" x14ac:dyDescent="0.4">
      <c r="K157" s="38">
        <v>155</v>
      </c>
      <c r="L157" s="99">
        <v>1855.1000000000006</v>
      </c>
    </row>
    <row r="158" spans="11:12" x14ac:dyDescent="0.4">
      <c r="K158" s="38">
        <v>156</v>
      </c>
      <c r="L158" s="99">
        <v>1940.5000000000007</v>
      </c>
    </row>
    <row r="159" spans="11:12" x14ac:dyDescent="0.4">
      <c r="K159" s="38">
        <v>157</v>
      </c>
      <c r="L159" s="99">
        <v>2009.8000000000006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126</v>
      </c>
      <c r="C2" s="151"/>
      <c r="E2" s="62" t="s">
        <v>65</v>
      </c>
      <c r="F2" s="59" t="s">
        <v>21</v>
      </c>
      <c r="G2" s="46">
        <v>173</v>
      </c>
      <c r="H2" s="132">
        <f>IF(B$17=0,0,G2/B$17)</f>
        <v>0.61785714285714288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144.44444444444446</v>
      </c>
      <c r="P2" s="118">
        <v>126</v>
      </c>
      <c r="Q2" s="102">
        <v>18200</v>
      </c>
    </row>
    <row r="3" spans="1:17" x14ac:dyDescent="0.4">
      <c r="A3" s="55" t="s">
        <v>8</v>
      </c>
      <c r="B3" s="152">
        <v>1042</v>
      </c>
      <c r="C3" s="153"/>
      <c r="E3" s="63" t="s">
        <v>66</v>
      </c>
      <c r="F3" s="60" t="s">
        <v>22</v>
      </c>
      <c r="G3" s="47">
        <v>46</v>
      </c>
      <c r="H3" s="133">
        <f>IF(B$17=0,0,G3/B$17)</f>
        <v>0.16428571428571428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-2159.8360655737706</v>
      </c>
      <c r="P3" s="119">
        <v>122</v>
      </c>
      <c r="Q3" s="103">
        <v>-263500</v>
      </c>
    </row>
    <row r="4" spans="1:17" x14ac:dyDescent="0.4">
      <c r="A4" s="55" t="s">
        <v>6</v>
      </c>
      <c r="B4" s="154">
        <v>-438.1</v>
      </c>
      <c r="C4" s="155"/>
      <c r="E4" s="63" t="s">
        <v>67</v>
      </c>
      <c r="F4" s="60" t="s">
        <v>23</v>
      </c>
      <c r="G4" s="47">
        <v>215</v>
      </c>
      <c r="H4" s="133">
        <f>IF(B$17=0,0,G4/B$17)</f>
        <v>0.7678571428571429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378.81355932203388</v>
      </c>
      <c r="P4" s="119">
        <v>118</v>
      </c>
      <c r="Q4" s="103">
        <v>44700</v>
      </c>
    </row>
    <row r="5" spans="1:17" x14ac:dyDescent="0.4">
      <c r="A5" s="55" t="s">
        <v>7</v>
      </c>
      <c r="B5" s="156">
        <f>IF(B$2=0,0,B$4/B$2)</f>
        <v>-3.4769841269841271</v>
      </c>
      <c r="C5" s="157"/>
      <c r="E5" s="63" t="s">
        <v>68</v>
      </c>
      <c r="F5" s="60" t="s">
        <v>24</v>
      </c>
      <c r="G5" s="47">
        <v>107</v>
      </c>
      <c r="H5" s="133">
        <f>IF(B$17=0,0,G5/B$17)</f>
        <v>0.38214285714285712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-2.8846153846153846</v>
      </c>
      <c r="P5" s="119">
        <v>104</v>
      </c>
      <c r="Q5" s="103">
        <v>-300</v>
      </c>
    </row>
    <row r="6" spans="1:17" x14ac:dyDescent="0.4">
      <c r="A6" s="55" t="s">
        <v>1</v>
      </c>
      <c r="B6" s="146">
        <f>IF(B$2=0,0,(B$7*1+B$8*2+B$9*3)/B$2)</f>
        <v>2.0952380952380953</v>
      </c>
      <c r="C6" s="147"/>
      <c r="E6" s="63" t="s">
        <v>69</v>
      </c>
      <c r="F6" s="60" t="s">
        <v>12</v>
      </c>
      <c r="G6" s="47">
        <v>96</v>
      </c>
      <c r="H6" s="133">
        <f>IF(B$17=0,0,G6/B$17)</f>
        <v>0.34285714285714286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187.09677419354838</v>
      </c>
      <c r="P6" s="119">
        <v>93</v>
      </c>
      <c r="Q6" s="103">
        <v>17400</v>
      </c>
    </row>
    <row r="7" spans="1:17" x14ac:dyDescent="0.4">
      <c r="A7" s="55" t="s">
        <v>2</v>
      </c>
      <c r="B7" s="47">
        <v>33</v>
      </c>
      <c r="C7" s="39">
        <f>IF(B$2=0,0,B7/B$2)</f>
        <v>0.26190476190476192</v>
      </c>
      <c r="E7" s="63" t="s">
        <v>70</v>
      </c>
      <c r="F7" s="60" t="s">
        <v>25</v>
      </c>
      <c r="G7" s="47">
        <v>62</v>
      </c>
      <c r="H7" s="133">
        <f>IF(B$17=0,0,G7/B$17)</f>
        <v>0.22142857142857142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330.23255813953489</v>
      </c>
      <c r="P7" s="120">
        <v>86</v>
      </c>
      <c r="Q7" s="104">
        <v>28400</v>
      </c>
    </row>
    <row r="8" spans="1:17" x14ac:dyDescent="0.4">
      <c r="A8" s="55" t="s">
        <v>3</v>
      </c>
      <c r="B8" s="47">
        <v>48</v>
      </c>
      <c r="C8" s="39">
        <f>IF(B$2=0,0,B8/B$2)</f>
        <v>0.38095238095238093</v>
      </c>
      <c r="E8" s="63" t="s">
        <v>71</v>
      </c>
      <c r="F8" s="60" t="s">
        <v>26</v>
      </c>
      <c r="G8" s="47">
        <v>34</v>
      </c>
      <c r="H8" s="133">
        <f>IF(B$17=0,0,G8/B$17)</f>
        <v>0.12142857142857143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0.35714285714285715</v>
      </c>
      <c r="E9" s="63" t="s">
        <v>72</v>
      </c>
      <c r="F9" s="60" t="s">
        <v>27</v>
      </c>
      <c r="G9" s="47">
        <v>17</v>
      </c>
      <c r="H9" s="133">
        <f>IF(B$17=0,0,G9/B$17)</f>
        <v>6.0714285714285714E-2</v>
      </c>
      <c r="I9" s="94">
        <v>7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0.13492063492063491</v>
      </c>
      <c r="E10" s="63" t="s">
        <v>73</v>
      </c>
      <c r="F10" s="60" t="s">
        <v>28</v>
      </c>
      <c r="G10" s="47">
        <v>127</v>
      </c>
      <c r="H10" s="133">
        <f>IF(B$17=0,0,G10/B$17)</f>
        <v>0.45357142857142857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-7.3666666666666671</v>
      </c>
      <c r="P10" s="118">
        <v>63</v>
      </c>
      <c r="Q10" s="106">
        <v>-464.1</v>
      </c>
    </row>
    <row r="11" spans="1:17" x14ac:dyDescent="0.4">
      <c r="A11" s="56" t="s">
        <v>140</v>
      </c>
      <c r="B11" s="48">
        <v>11</v>
      </c>
      <c r="C11" s="40">
        <f>IF(B$2=0,0,B11/B$2)</f>
        <v>8.7301587301587297E-2</v>
      </c>
      <c r="E11" s="63" t="s">
        <v>74</v>
      </c>
      <c r="F11" s="60" t="s">
        <v>29</v>
      </c>
      <c r="G11" s="47">
        <v>2</v>
      </c>
      <c r="H11" s="133">
        <f>IF(B$17=0,0,G11/B$17)</f>
        <v>7.1428571428571426E-3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-3.2624999999999988</v>
      </c>
      <c r="P11" s="119">
        <v>32</v>
      </c>
      <c r="Q11" s="107">
        <v>-104.39999999999996</v>
      </c>
    </row>
    <row r="12" spans="1:17" x14ac:dyDescent="0.4">
      <c r="A12" s="57" t="s">
        <v>160</v>
      </c>
      <c r="B12" s="49">
        <v>8</v>
      </c>
      <c r="C12" s="42">
        <f>IF(B$2=0,0,B12/B$2)</f>
        <v>6.3492063492063489E-2</v>
      </c>
      <c r="E12" s="63" t="s">
        <v>75</v>
      </c>
      <c r="F12" s="60" t="s">
        <v>30</v>
      </c>
      <c r="G12" s="47">
        <v>2</v>
      </c>
      <c r="H12" s="133">
        <f>IF(B$17=0,0,G12/B$17)</f>
        <v>7.1428571428571426E-3</v>
      </c>
      <c r="I12" s="94">
        <v>2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312</v>
      </c>
      <c r="C13" s="44">
        <f>IF(B$3=0,0,B13/B$3)</f>
        <v>0.29942418426103645</v>
      </c>
      <c r="E13" s="63" t="s">
        <v>76</v>
      </c>
      <c r="F13" s="60" t="s">
        <v>31</v>
      </c>
      <c r="G13" s="47">
        <v>2</v>
      </c>
      <c r="H13" s="133">
        <f>IF(B$17=0,0,G13/B$17)</f>
        <v>7.1428571428571426E-3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184</v>
      </c>
      <c r="C14" s="39">
        <f>IF(B$3=0,0,B14/B$3)</f>
        <v>0.1765834932821497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182</v>
      </c>
      <c r="C15" s="37">
        <f>IF(B$13=0,0,B15/B$13)</f>
        <v>0.58333333333333337</v>
      </c>
      <c r="E15" s="63" t="s">
        <v>78</v>
      </c>
      <c r="F15" s="60" t="s">
        <v>33</v>
      </c>
      <c r="G15" s="47">
        <v>1</v>
      </c>
      <c r="H15" s="133">
        <f>IF(B$17=0,0,G15/B$17)</f>
        <v>3.5714285714285713E-3</v>
      </c>
      <c r="I15" s="94">
        <v>3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28.642857142857146</v>
      </c>
      <c r="P15" s="118">
        <v>7</v>
      </c>
      <c r="Q15" s="106">
        <v>200.50000000000003</v>
      </c>
    </row>
    <row r="16" spans="1:17" x14ac:dyDescent="0.4">
      <c r="A16" s="54" t="s">
        <v>125</v>
      </c>
      <c r="B16" s="46">
        <v>53</v>
      </c>
      <c r="C16" s="37">
        <f>IF(B$14=0,0,B16/B$14)</f>
        <v>0.28804347826086957</v>
      </c>
      <c r="E16" s="63" t="s">
        <v>79</v>
      </c>
      <c r="F16" s="60" t="s">
        <v>34</v>
      </c>
      <c r="G16" s="47">
        <v>5</v>
      </c>
      <c r="H16" s="133">
        <f>IF(B$17=0,0,G16/B$17)</f>
        <v>1.7857142857142856E-2</v>
      </c>
      <c r="I16" s="94">
        <v>8</v>
      </c>
      <c r="K16" s="38">
        <v>14</v>
      </c>
      <c r="L16" s="99">
        <v>-25.600000000000009</v>
      </c>
      <c r="N16" s="115" t="s">
        <v>129</v>
      </c>
      <c r="O16" s="125">
        <f t="shared" si="2"/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280</v>
      </c>
      <c r="C17" s="37">
        <f>IF(B$3=0,0,B17/B$3)</f>
        <v>0.2687140115163148</v>
      </c>
      <c r="E17" s="63" t="s">
        <v>80</v>
      </c>
      <c r="F17" s="60" t="s">
        <v>35</v>
      </c>
      <c r="G17" s="47">
        <v>6</v>
      </c>
      <c r="H17" s="133">
        <f>IF(B$17=0,0,G17/B$17)</f>
        <v>2.1428571428571429E-2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5.672727272727272</v>
      </c>
      <c r="P17" s="119">
        <v>22</v>
      </c>
      <c r="Q17" s="107">
        <v>124.79999999999998</v>
      </c>
    </row>
    <row r="18" spans="1:17" x14ac:dyDescent="0.4">
      <c r="A18" s="55" t="s">
        <v>12</v>
      </c>
      <c r="B18" s="47">
        <v>119</v>
      </c>
      <c r="C18" s="39">
        <f>IF(B$17=0,0,B18/B$17)</f>
        <v>0.42499999999999999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-2.3171428571428518</v>
      </c>
      <c r="P18" s="119">
        <v>35</v>
      </c>
      <c r="Q18" s="107">
        <v>-81.09999999999981</v>
      </c>
    </row>
    <row r="19" spans="1:17" x14ac:dyDescent="0.4">
      <c r="A19" s="55" t="s">
        <v>11</v>
      </c>
      <c r="B19" s="47">
        <v>161</v>
      </c>
      <c r="C19" s="39">
        <f>IF(B$17=0,0,B19/B$17)</f>
        <v>0.57499999999999996</v>
      </c>
      <c r="E19" s="63" t="s">
        <v>82</v>
      </c>
      <c r="F19" s="60" t="s">
        <v>37</v>
      </c>
      <c r="G19" s="47">
        <v>8</v>
      </c>
      <c r="H19" s="133">
        <f>IF(B$17=0,0,G19/B$17)</f>
        <v>2.8571428571428571E-2</v>
      </c>
      <c r="I19" s="94">
        <v>4</v>
      </c>
      <c r="K19" s="38">
        <v>17</v>
      </c>
      <c r="L19" s="99">
        <v>94.6</v>
      </c>
      <c r="N19" s="115" t="s">
        <v>172</v>
      </c>
      <c r="O19" s="125">
        <f t="shared" si="2"/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178</v>
      </c>
      <c r="C20" s="39">
        <f>IF(B$3=0,0,B20/B$3)</f>
        <v>0.17082533589251439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3.5714285714285712E-2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-11.464</v>
      </c>
      <c r="P21" s="119">
        <v>25</v>
      </c>
      <c r="Q21" s="107">
        <v>-286.60000000000002</v>
      </c>
    </row>
    <row r="22" spans="1:17" x14ac:dyDescent="0.4">
      <c r="A22" s="55" t="s">
        <v>192</v>
      </c>
      <c r="B22" s="47">
        <v>24</v>
      </c>
      <c r="C22" s="135">
        <v>15</v>
      </c>
      <c r="E22" s="63" t="s">
        <v>85</v>
      </c>
      <c r="F22" s="60" t="s">
        <v>40</v>
      </c>
      <c r="G22" s="47">
        <v>1</v>
      </c>
      <c r="H22" s="133">
        <f>IF(B$17=0,0,G22/B$17)</f>
        <v>3.5714285714285713E-3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-18.795402298850576</v>
      </c>
      <c r="P22" s="119">
        <v>87</v>
      </c>
      <c r="Q22" s="107">
        <v>-1635.2</v>
      </c>
    </row>
    <row r="23" spans="1:17" x14ac:dyDescent="0.4">
      <c r="A23" s="55" t="s">
        <v>5</v>
      </c>
      <c r="B23" s="51">
        <f>IF(B$17=0,0,C23/B$17)</f>
        <v>9241.7857142857138</v>
      </c>
      <c r="C23" s="41">
        <v>2587700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-7806.7415730337079</v>
      </c>
      <c r="C24" s="45">
        <v>-1389600</v>
      </c>
      <c r="E24" s="63" t="s">
        <v>87</v>
      </c>
      <c r="F24" s="60" t="s">
        <v>42</v>
      </c>
      <c r="G24" s="47">
        <v>15</v>
      </c>
      <c r="H24" s="133">
        <f>IF(B$17=0,0,G24/B$17)</f>
        <v>5.3571428571428568E-2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3.5714285714285713E-3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4.7984644913627635E-3</v>
      </c>
      <c r="E27" s="63" t="s">
        <v>90</v>
      </c>
      <c r="F27" s="60" t="s">
        <v>45</v>
      </c>
      <c r="G27" s="47">
        <v>30</v>
      </c>
      <c r="H27" s="133">
        <f>IF(B$17=0,0,G27/B$17)</f>
        <v>0.10714285714285714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2.1428571428571429E-2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3.5714285714285713E-3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3.5714285714285713E-3</v>
      </c>
      <c r="I31" s="94">
        <v>5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3.5714285714285713E-3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1.7857142857142856E-2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8" t="s">
        <v>245</v>
      </c>
      <c r="F51" s="139" t="s">
        <v>246</v>
      </c>
      <c r="G51" s="48">
        <v>120</v>
      </c>
      <c r="H51" s="140">
        <f>IF(B$17=0,0,G51/B$17)</f>
        <v>0.42857142857142855</v>
      </c>
      <c r="I51" s="141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</sheetData>
  <sortState ref="E2:I12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93</v>
      </c>
      <c r="C2" s="151"/>
      <c r="E2" s="62" t="s">
        <v>67</v>
      </c>
      <c r="F2" s="59" t="s">
        <v>23</v>
      </c>
      <c r="G2" s="46">
        <v>156</v>
      </c>
      <c r="H2" s="132">
        <f>IF(B$17=0,0,G2/B$17)</f>
        <v>0.82978723404255317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-3084.9462365591398</v>
      </c>
      <c r="P2" s="118">
        <v>93</v>
      </c>
      <c r="Q2" s="102">
        <v>-286900</v>
      </c>
    </row>
    <row r="3" spans="1:17" x14ac:dyDescent="0.4">
      <c r="A3" s="55" t="s">
        <v>8</v>
      </c>
      <c r="B3" s="152">
        <v>778</v>
      </c>
      <c r="C3" s="153"/>
      <c r="E3" s="63" t="s">
        <v>65</v>
      </c>
      <c r="F3" s="60" t="s">
        <v>21</v>
      </c>
      <c r="G3" s="47">
        <v>109</v>
      </c>
      <c r="H3" s="133">
        <f>IF(B$17=0,0,G3/B$17)</f>
        <v>0.57978723404255317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-1496.7032967032967</v>
      </c>
      <c r="P3" s="119">
        <v>91</v>
      </c>
      <c r="Q3" s="103">
        <v>-136200</v>
      </c>
    </row>
    <row r="4" spans="1:17" x14ac:dyDescent="0.4">
      <c r="A4" s="55" t="s">
        <v>6</v>
      </c>
      <c r="B4" s="154">
        <v>-1348.9</v>
      </c>
      <c r="C4" s="155"/>
      <c r="E4" s="63" t="s">
        <v>245</v>
      </c>
      <c r="F4" s="60" t="s">
        <v>246</v>
      </c>
      <c r="G4" s="47">
        <v>73</v>
      </c>
      <c r="H4" s="133">
        <f>IF(B$17=0,0,G4/B$17)</f>
        <v>0.38829787234042551</v>
      </c>
      <c r="I4" s="94">
        <v>9</v>
      </c>
      <c r="K4" s="38">
        <v>2</v>
      </c>
      <c r="L4" s="99">
        <v>-3.3999999999999986</v>
      </c>
      <c r="N4" s="115" t="s">
        <v>134</v>
      </c>
      <c r="O4" s="122">
        <f t="shared" si="0"/>
        <v>-307.05882352941177</v>
      </c>
      <c r="P4" s="119">
        <v>85</v>
      </c>
      <c r="Q4" s="103">
        <v>-26100</v>
      </c>
    </row>
    <row r="5" spans="1:17" x14ac:dyDescent="0.4">
      <c r="A5" s="55" t="s">
        <v>7</v>
      </c>
      <c r="B5" s="156">
        <f>IF(B$2=0,0,B$4/B$2)</f>
        <v>-14.504301075268819</v>
      </c>
      <c r="C5" s="157"/>
      <c r="E5" s="63" t="s">
        <v>69</v>
      </c>
      <c r="F5" s="60" t="s">
        <v>12</v>
      </c>
      <c r="G5" s="47">
        <v>70</v>
      </c>
      <c r="H5" s="133">
        <f>IF(B$17=0,0,G5/B$17)</f>
        <v>0.37234042553191488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-4301.333333333333</v>
      </c>
      <c r="P5" s="119">
        <v>75</v>
      </c>
      <c r="Q5" s="103">
        <v>-322600</v>
      </c>
    </row>
    <row r="6" spans="1:17" x14ac:dyDescent="0.4">
      <c r="A6" s="55" t="s">
        <v>1</v>
      </c>
      <c r="B6" s="146">
        <f>IF(B$2=0,0,(B$7*1+B$8*2+B$9*3)/B$2)</f>
        <v>2.247311827956989</v>
      </c>
      <c r="C6" s="147"/>
      <c r="E6" s="63" t="s">
        <v>73</v>
      </c>
      <c r="F6" s="60" t="s">
        <v>28</v>
      </c>
      <c r="G6" s="47">
        <v>69</v>
      </c>
      <c r="H6" s="133">
        <f>IF(B$17=0,0,G6/B$17)</f>
        <v>0.36702127659574468</v>
      </c>
      <c r="I6" s="94">
        <v>12</v>
      </c>
      <c r="K6" s="38">
        <v>4</v>
      </c>
      <c r="L6" s="99">
        <v>-31.4</v>
      </c>
      <c r="N6" s="115" t="s">
        <v>136</v>
      </c>
      <c r="O6" s="122">
        <f t="shared" si="0"/>
        <v>-467.64705882352939</v>
      </c>
      <c r="P6" s="119">
        <v>68</v>
      </c>
      <c r="Q6" s="103">
        <v>-31800</v>
      </c>
    </row>
    <row r="7" spans="1:17" x14ac:dyDescent="0.4">
      <c r="A7" s="55" t="s">
        <v>2</v>
      </c>
      <c r="B7" s="47">
        <v>23</v>
      </c>
      <c r="C7" s="39">
        <f>IF(B$2=0,0,B7/B$2)</f>
        <v>0.24731182795698925</v>
      </c>
      <c r="E7" s="63" t="s">
        <v>68</v>
      </c>
      <c r="F7" s="60" t="s">
        <v>24</v>
      </c>
      <c r="G7" s="47">
        <v>63</v>
      </c>
      <c r="H7" s="133">
        <f>IF(B$17=0,0,G7/B$17)</f>
        <v>0.33510638297872342</v>
      </c>
      <c r="I7" s="94">
        <v>6</v>
      </c>
      <c r="K7" s="38">
        <v>5</v>
      </c>
      <c r="L7" s="99">
        <v>-32.199999999999996</v>
      </c>
      <c r="N7" s="116" t="s">
        <v>137</v>
      </c>
      <c r="O7" s="123">
        <f t="shared" si="0"/>
        <v>-1285.2459016393443</v>
      </c>
      <c r="P7" s="120">
        <v>61</v>
      </c>
      <c r="Q7" s="104">
        <v>-78400</v>
      </c>
    </row>
    <row r="8" spans="1:17" x14ac:dyDescent="0.4">
      <c r="A8" s="55" t="s">
        <v>3</v>
      </c>
      <c r="B8" s="47">
        <v>24</v>
      </c>
      <c r="C8" s="39">
        <f>IF(B$2=0,0,B8/B$2)</f>
        <v>0.25806451612903225</v>
      </c>
      <c r="E8" s="63" t="s">
        <v>70</v>
      </c>
      <c r="F8" s="60" t="s">
        <v>25</v>
      </c>
      <c r="G8" s="47">
        <v>37</v>
      </c>
      <c r="H8" s="133">
        <f>IF(B$17=0,0,G8/B$17)</f>
        <v>0.19680851063829788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0.4946236559139785</v>
      </c>
      <c r="E9" s="63" t="s">
        <v>71</v>
      </c>
      <c r="F9" s="60" t="s">
        <v>26</v>
      </c>
      <c r="G9" s="47">
        <v>29</v>
      </c>
      <c r="H9" s="133">
        <f>IF(B$17=0,0,G9/B$17)</f>
        <v>0.15425531914893617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0.19354838709677419</v>
      </c>
      <c r="E10" s="63" t="s">
        <v>72</v>
      </c>
      <c r="F10" s="60" t="s">
        <v>27</v>
      </c>
      <c r="G10" s="47">
        <v>20</v>
      </c>
      <c r="H10" s="133">
        <f>IF(B$17=0,0,G10/B$17)</f>
        <v>0.10638297872340426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10</v>
      </c>
      <c r="C11" s="40">
        <f>IF(B$2=0,0,B11/B$2)</f>
        <v>0.10752688172043011</v>
      </c>
      <c r="E11" s="63" t="s">
        <v>66</v>
      </c>
      <c r="F11" s="60" t="s">
        <v>22</v>
      </c>
      <c r="G11" s="47">
        <v>18</v>
      </c>
      <c r="H11" s="133">
        <f>IF(B$17=0,0,G11/B$17)</f>
        <v>9.5744680851063829E-2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-10.55675675675676</v>
      </c>
      <c r="P11" s="119">
        <v>37</v>
      </c>
      <c r="Q11" s="107">
        <v>-390.60000000000014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7.5268817204301078E-2</v>
      </c>
      <c r="E12" s="63" t="s">
        <v>90</v>
      </c>
      <c r="F12" s="60" t="s">
        <v>45</v>
      </c>
      <c r="G12" s="47">
        <v>16</v>
      </c>
      <c r="H12" s="133">
        <f>IF(B$17=0,0,G12/B$17)</f>
        <v>8.5106382978723402E-2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-16.524137931034481</v>
      </c>
      <c r="P12" s="120">
        <v>29</v>
      </c>
      <c r="Q12" s="108">
        <v>-479.19999999999993</v>
      </c>
    </row>
    <row r="13" spans="1:17" x14ac:dyDescent="0.4">
      <c r="A13" s="58" t="s">
        <v>122</v>
      </c>
      <c r="B13" s="50">
        <v>215</v>
      </c>
      <c r="C13" s="44">
        <f>IF(B$3=0,0,B13/B$3)</f>
        <v>0.2763496143958869</v>
      </c>
      <c r="E13" s="63" t="s">
        <v>87</v>
      </c>
      <c r="F13" s="60" t="s">
        <v>42</v>
      </c>
      <c r="G13" s="47">
        <v>10</v>
      </c>
      <c r="H13" s="133">
        <f>IF(B$17=0,0,G13/B$17)</f>
        <v>5.3191489361702128E-2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124</v>
      </c>
      <c r="C14" s="39">
        <f>IF(B$3=0,0,B14/B$3)</f>
        <v>0.15938303341902313</v>
      </c>
      <c r="E14" s="63" t="s">
        <v>79</v>
      </c>
      <c r="F14" s="60" t="s">
        <v>34</v>
      </c>
      <c r="G14" s="47">
        <v>8</v>
      </c>
      <c r="H14" s="133">
        <f>IF(B$17=0,0,G14/B$17)</f>
        <v>4.2553191489361701E-2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112</v>
      </c>
      <c r="C15" s="37">
        <f>IF(B$13=0,0,B15/B$13)</f>
        <v>0.52093023255813953</v>
      </c>
      <c r="E15" s="63" t="s">
        <v>84</v>
      </c>
      <c r="F15" s="60" t="s">
        <v>39</v>
      </c>
      <c r="G15" s="47">
        <v>7</v>
      </c>
      <c r="H15" s="133">
        <f>IF(B$17=0,0,G15/B$17)</f>
        <v>3.7234042553191488E-2</v>
      </c>
      <c r="I15" s="94">
        <v>8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31</v>
      </c>
      <c r="C16" s="37">
        <f>IF(B$14=0,0,B16/B$14)</f>
        <v>0.25</v>
      </c>
      <c r="E16" s="63" t="s">
        <v>82</v>
      </c>
      <c r="F16" s="60" t="s">
        <v>37</v>
      </c>
      <c r="G16" s="47">
        <v>4</v>
      </c>
      <c r="H16" s="133">
        <f>IF(B$17=0,0,G16/B$17)</f>
        <v>2.1276595744680851E-2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0.2416452442159383</v>
      </c>
      <c r="E17" s="63" t="s">
        <v>75</v>
      </c>
      <c r="F17" s="60" t="s">
        <v>30</v>
      </c>
      <c r="G17" s="47">
        <v>3</v>
      </c>
      <c r="H17" s="133">
        <f>IF(B$17=0,0,G17/B$17)</f>
        <v>1.5957446808510637E-2</v>
      </c>
      <c r="I17" s="94">
        <v>2</v>
      </c>
      <c r="K17" s="38">
        <v>15</v>
      </c>
      <c r="L17" s="99">
        <v>-424.5</v>
      </c>
      <c r="N17" s="115" t="s">
        <v>177</v>
      </c>
      <c r="O17" s="125">
        <f>IF(P17=0,0,Q17/P17)</f>
        <v>-15.755000000000001</v>
      </c>
      <c r="P17" s="119">
        <v>20</v>
      </c>
      <c r="Q17" s="107">
        <v>-315.10000000000002</v>
      </c>
    </row>
    <row r="18" spans="1:17" x14ac:dyDescent="0.4">
      <c r="A18" s="55" t="s">
        <v>12</v>
      </c>
      <c r="B18" s="47">
        <v>80</v>
      </c>
      <c r="C18" s="39">
        <f>IF(B$17=0,0,B18/B$17)</f>
        <v>0.42553191489361702</v>
      </c>
      <c r="E18" s="63" t="s">
        <v>88</v>
      </c>
      <c r="F18" s="60" t="s">
        <v>43</v>
      </c>
      <c r="G18" s="47">
        <v>2</v>
      </c>
      <c r="H18" s="133">
        <f>IF(B$17=0,0,G18/B$17)</f>
        <v>1.0638297872340425E-2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108</v>
      </c>
      <c r="C19" s="39">
        <f>IF(B$17=0,0,B19/B$17)</f>
        <v>0.57446808510638303</v>
      </c>
      <c r="E19" s="63" t="s">
        <v>94</v>
      </c>
      <c r="F19" s="60" t="s">
        <v>49</v>
      </c>
      <c r="G19" s="47">
        <v>2</v>
      </c>
      <c r="H19" s="133">
        <f>IF(B$17=0,0,G19/B$17)</f>
        <v>1.0638297872340425E-2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147</v>
      </c>
      <c r="C20" s="39">
        <f>IF(B$3=0,0,B20/B$3)</f>
        <v>0.18894601542416453</v>
      </c>
      <c r="E20" s="63" t="s">
        <v>76</v>
      </c>
      <c r="F20" s="60" t="s">
        <v>31</v>
      </c>
      <c r="G20" s="47">
        <v>1</v>
      </c>
      <c r="H20" s="133">
        <f>IF(B$17=0,0,G20/B$17)</f>
        <v>5.3191489361702126E-3</v>
      </c>
      <c r="I20" s="94">
        <v>6</v>
      </c>
      <c r="K20" s="38">
        <v>18</v>
      </c>
      <c r="L20" s="99">
        <v>-537.19999999999993</v>
      </c>
      <c r="N20" s="115" t="s">
        <v>184</v>
      </c>
      <c r="O20" s="125">
        <f>IF(P20=0,0,Q20/P20)</f>
        <v>-24.240000000000002</v>
      </c>
      <c r="P20" s="119">
        <v>5</v>
      </c>
      <c r="Q20" s="107">
        <v>-121.2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1</v>
      </c>
      <c r="H21" s="133">
        <f>IF(B$17=0,0,G21/B$17)</f>
        <v>5.3191489361702126E-3</v>
      </c>
      <c r="I21" s="94">
        <v>1</v>
      </c>
      <c r="K21" s="38">
        <v>19</v>
      </c>
      <c r="L21" s="99">
        <v>-569.49999999999989</v>
      </c>
      <c r="N21" s="115" t="s">
        <v>127</v>
      </c>
      <c r="O21" s="125">
        <f>IF(P21=0,0,Q21/P21)</f>
        <v>-28.908474576271196</v>
      </c>
      <c r="P21" s="119">
        <v>59</v>
      </c>
      <c r="Q21" s="107">
        <v>-1705.6000000000006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80</v>
      </c>
      <c r="F22" s="60" t="s">
        <v>35</v>
      </c>
      <c r="G22" s="47">
        <v>1</v>
      </c>
      <c r="H22" s="133">
        <f>IF(B$17=0,0,G22/B$17)</f>
        <v>5.3191489361702126E-3</v>
      </c>
      <c r="I22" s="94">
        <v>10</v>
      </c>
      <c r="K22" s="38">
        <v>20</v>
      </c>
      <c r="L22" s="99">
        <v>-632.99999999999989</v>
      </c>
      <c r="N22" s="115" t="s">
        <v>172</v>
      </c>
      <c r="O22" s="125">
        <f>IF(P22=0,0,Q22/P22)</f>
        <v>-31.945454545454542</v>
      </c>
      <c r="P22" s="119">
        <v>22</v>
      </c>
      <c r="Q22" s="107">
        <v>-702.8</v>
      </c>
    </row>
    <row r="23" spans="1:17" x14ac:dyDescent="0.4">
      <c r="A23" s="55" t="s">
        <v>5</v>
      </c>
      <c r="B23" s="51">
        <f>IF(B$17=0,0,C23/B$17)</f>
        <v>8755.3191489361707</v>
      </c>
      <c r="C23" s="41">
        <v>1646000</v>
      </c>
      <c r="E23" s="63" t="s">
        <v>89</v>
      </c>
      <c r="F23" s="60" t="s">
        <v>44</v>
      </c>
      <c r="G23" s="47">
        <v>1</v>
      </c>
      <c r="H23" s="133">
        <f>IF(B$17=0,0,G23/B$17)</f>
        <v>5.3191489361702126E-3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-9236.0544217687075</v>
      </c>
      <c r="C24" s="45">
        <v>-1357700</v>
      </c>
      <c r="E24" s="63" t="s">
        <v>92</v>
      </c>
      <c r="F24" s="60" t="s">
        <v>47</v>
      </c>
      <c r="G24" s="47">
        <v>1</v>
      </c>
      <c r="H24" s="133">
        <f>IF(B$17=0,0,G24/B$17)</f>
        <v>5.3191489361702126E-3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93</v>
      </c>
      <c r="F25" s="60" t="s">
        <v>48</v>
      </c>
      <c r="G25" s="47">
        <v>1</v>
      </c>
      <c r="H25" s="133">
        <f>IF(B$17=0,0,G25/B$17)</f>
        <v>5.3191489361702126E-3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1.2853470437017994E-3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90</v>
      </c>
      <c r="C2" s="151"/>
      <c r="E2" s="62" t="s">
        <v>65</v>
      </c>
      <c r="F2" s="59" t="s">
        <v>21</v>
      </c>
      <c r="G2" s="46">
        <v>116</v>
      </c>
      <c r="H2" s="132">
        <f>IF(B$17=0,0,G2/B$17)</f>
        <v>0.54460093896713613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-684.44444444444446</v>
      </c>
      <c r="P2" s="118">
        <v>90</v>
      </c>
      <c r="Q2" s="102">
        <v>-61600</v>
      </c>
    </row>
    <row r="3" spans="1:17" x14ac:dyDescent="0.4">
      <c r="A3" s="55" t="s">
        <v>8</v>
      </c>
      <c r="B3" s="152">
        <v>751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0.13145539906103287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219.31818181818181</v>
      </c>
      <c r="P3" s="119">
        <v>88</v>
      </c>
      <c r="Q3" s="103">
        <v>19300</v>
      </c>
    </row>
    <row r="4" spans="1:17" x14ac:dyDescent="0.4">
      <c r="A4" s="55" t="s">
        <v>6</v>
      </c>
      <c r="B4" s="154">
        <v>21.10000000000003</v>
      </c>
      <c r="C4" s="155"/>
      <c r="E4" s="63" t="s">
        <v>67</v>
      </c>
      <c r="F4" s="60" t="s">
        <v>23</v>
      </c>
      <c r="G4" s="47">
        <v>176</v>
      </c>
      <c r="H4" s="133">
        <f>IF(B$17=0,0,G4/B$17)</f>
        <v>0.82629107981220662</v>
      </c>
      <c r="I4" s="94">
        <v>4</v>
      </c>
      <c r="K4" s="38">
        <v>2</v>
      </c>
      <c r="L4" s="99">
        <v>-93.300000000000011</v>
      </c>
      <c r="N4" s="115" t="s">
        <v>134</v>
      </c>
      <c r="O4" s="122">
        <f t="shared" si="0"/>
        <v>1135.8024691358025</v>
      </c>
      <c r="P4" s="119">
        <v>81</v>
      </c>
      <c r="Q4" s="103">
        <v>92000</v>
      </c>
    </row>
    <row r="5" spans="1:17" x14ac:dyDescent="0.4">
      <c r="A5" s="55" t="s">
        <v>7</v>
      </c>
      <c r="B5" s="156">
        <f>IF(B$2=0,0,B$4/B$2)</f>
        <v>0.23444444444444479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0.32863849765258218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964.28571428571433</v>
      </c>
      <c r="P5" s="119">
        <v>70</v>
      </c>
      <c r="Q5" s="103">
        <v>67500</v>
      </c>
    </row>
    <row r="6" spans="1:17" x14ac:dyDescent="0.4">
      <c r="A6" s="55" t="s">
        <v>1</v>
      </c>
      <c r="B6" s="146">
        <f>IF(B$2=0,0,(B$7*1+B$8*2+B$9*3)/B$2)</f>
        <v>2.0444444444444443</v>
      </c>
      <c r="C6" s="147"/>
      <c r="E6" s="63" t="s">
        <v>69</v>
      </c>
      <c r="F6" s="60" t="s">
        <v>12</v>
      </c>
      <c r="G6" s="47">
        <v>63</v>
      </c>
      <c r="H6" s="133">
        <f>IF(B$17=0,0,G6/B$17)</f>
        <v>0.29577464788732394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-550</v>
      </c>
      <c r="P6" s="119">
        <v>62</v>
      </c>
      <c r="Q6" s="103">
        <v>-34100</v>
      </c>
    </row>
    <row r="7" spans="1:17" x14ac:dyDescent="0.4">
      <c r="A7" s="55" t="s">
        <v>2</v>
      </c>
      <c r="B7" s="47">
        <v>27</v>
      </c>
      <c r="C7" s="39">
        <f>IF(B$2=0,0,B7/B$2)</f>
        <v>0.3</v>
      </c>
      <c r="E7" s="63" t="s">
        <v>70</v>
      </c>
      <c r="F7" s="60" t="s">
        <v>25</v>
      </c>
      <c r="G7" s="47">
        <v>42</v>
      </c>
      <c r="H7" s="133">
        <f>IF(B$17=0,0,G7/B$17)</f>
        <v>0.19718309859154928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32</v>
      </c>
      <c r="C8" s="39">
        <f>IF(B$2=0,0,B8/B$2)</f>
        <v>0.35555555555555557</v>
      </c>
      <c r="E8" s="63" t="s">
        <v>71</v>
      </c>
      <c r="F8" s="60" t="s">
        <v>26</v>
      </c>
      <c r="G8" s="47">
        <v>22</v>
      </c>
      <c r="H8" s="133">
        <f>IF(B$17=0,0,G8/B$17)</f>
        <v>0.10328638497652583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0.34444444444444444</v>
      </c>
      <c r="E9" s="63" t="s">
        <v>72</v>
      </c>
      <c r="F9" s="60" t="s">
        <v>27</v>
      </c>
      <c r="G9" s="47">
        <v>14</v>
      </c>
      <c r="H9" s="133">
        <f>IF(B$17=0,0,G9/B$17)</f>
        <v>6.5727699530516437E-2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</v>
      </c>
      <c r="E10" s="63" t="s">
        <v>73</v>
      </c>
      <c r="F10" s="60" t="s">
        <v>28</v>
      </c>
      <c r="G10" s="47">
        <v>111</v>
      </c>
      <c r="H10" s="133">
        <f>IF(B$17=0,0,G10/B$17)</f>
        <v>0.52112676056338025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0.13333333333333333</v>
      </c>
      <c r="E11" s="63" t="s">
        <v>74</v>
      </c>
      <c r="F11" s="60" t="s">
        <v>29</v>
      </c>
      <c r="G11" s="47">
        <v>2</v>
      </c>
      <c r="H11" s="133">
        <f>IF(B$17=0,0,G11/B$17)</f>
        <v>9.3896713615023476E-3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-2.465714285714284</v>
      </c>
      <c r="P11" s="119">
        <v>35</v>
      </c>
      <c r="Q11" s="107">
        <v>-86.29999999999994</v>
      </c>
    </row>
    <row r="12" spans="1:17" x14ac:dyDescent="0.4">
      <c r="A12" s="57" t="s">
        <v>160</v>
      </c>
      <c r="B12" s="49">
        <v>6</v>
      </c>
      <c r="C12" s="42">
        <f>IF(B$2=0,0,B12/B$2)</f>
        <v>6.6666666666666666E-2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-1.0812500000000003</v>
      </c>
      <c r="P12" s="120">
        <v>32</v>
      </c>
      <c r="Q12" s="108">
        <v>-34.600000000000009</v>
      </c>
    </row>
    <row r="13" spans="1:17" x14ac:dyDescent="0.4">
      <c r="A13" s="58" t="s">
        <v>122</v>
      </c>
      <c r="B13" s="50">
        <v>219</v>
      </c>
      <c r="C13" s="44">
        <f>IF(B$3=0,0,B13/B$3)</f>
        <v>0.29161118508655126</v>
      </c>
      <c r="E13" s="63" t="s">
        <v>76</v>
      </c>
      <c r="F13" s="60" t="s">
        <v>31</v>
      </c>
      <c r="G13" s="47">
        <v>3</v>
      </c>
      <c r="H13" s="133">
        <f>IF(B$17=0,0,G13/B$17)</f>
        <v>1.4084507042253521E-2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141</v>
      </c>
      <c r="C14" s="39">
        <f>IF(B$3=0,0,B14/B$3)</f>
        <v>0.1877496671105193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124</v>
      </c>
      <c r="C15" s="37">
        <f>IF(B$13=0,0,B15/B$13)</f>
        <v>0.56621004566210043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58</v>
      </c>
      <c r="C16" s="37">
        <f>IF(B$14=0,0,B16/B$14)</f>
        <v>0.41134751773049644</v>
      </c>
      <c r="E16" s="63" t="s">
        <v>79</v>
      </c>
      <c r="F16" s="60" t="s">
        <v>34</v>
      </c>
      <c r="G16" s="47">
        <v>9</v>
      </c>
      <c r="H16" s="133">
        <f>IF(B$17=0,0,G16/B$17)</f>
        <v>4.2253521126760563E-2</v>
      </c>
      <c r="I16" s="94">
        <v>4</v>
      </c>
      <c r="K16" s="38">
        <v>14</v>
      </c>
      <c r="L16" s="99">
        <v>-29.400000000000002</v>
      </c>
      <c r="N16" s="115" t="s">
        <v>129</v>
      </c>
      <c r="O16" s="125">
        <f t="shared" si="2"/>
        <v>20.95666666666666</v>
      </c>
      <c r="P16" s="119">
        <v>30</v>
      </c>
      <c r="Q16" s="107">
        <v>628.69999999999982</v>
      </c>
    </row>
    <row r="17" spans="1:17" x14ac:dyDescent="0.4">
      <c r="A17" s="54" t="s">
        <v>10</v>
      </c>
      <c r="B17" s="46">
        <f>B19+B18</f>
        <v>213</v>
      </c>
      <c r="C17" s="37">
        <f>IF(B$3=0,0,B17/B$3)</f>
        <v>0.28362183754993342</v>
      </c>
      <c r="E17" s="63" t="s">
        <v>80</v>
      </c>
      <c r="F17" s="60" t="s">
        <v>35</v>
      </c>
      <c r="G17" s="47">
        <v>4</v>
      </c>
      <c r="H17" s="133">
        <f>IF(B$17=0,0,G17/B$17)</f>
        <v>1.8779342723004695E-2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88</v>
      </c>
      <c r="C18" s="39">
        <f>IF(B$17=0,0,B18/B$17)</f>
        <v>0.41314553990610331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125</v>
      </c>
      <c r="C19" s="39">
        <f>IF(B$17=0,0,B19/B$17)</f>
        <v>0.58685446009389675</v>
      </c>
      <c r="E19" s="63" t="s">
        <v>82</v>
      </c>
      <c r="F19" s="60" t="s">
        <v>37</v>
      </c>
      <c r="G19" s="47">
        <v>8</v>
      </c>
      <c r="H19" s="133">
        <f>IF(B$17=0,0,G19/B$17)</f>
        <v>3.7558685446009391E-2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133</v>
      </c>
      <c r="C20" s="39">
        <f>IF(B$3=0,0,B20/B$3)</f>
        <v>0.17709720372836218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-1.6094339622641469</v>
      </c>
      <c r="P20" s="119">
        <v>53</v>
      </c>
      <c r="Q20" s="107">
        <v>-85.299999999999784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11</v>
      </c>
      <c r="H21" s="133">
        <f>IF(B$17=0,0,G21/B$17)</f>
        <v>5.1643192488262914E-2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9.3896713615023476E-3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9851.6431924882636</v>
      </c>
      <c r="C23" s="41">
        <v>2098400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-8481.2030075187977</v>
      </c>
      <c r="C24" s="45">
        <v>-1128000</v>
      </c>
      <c r="E24" s="63" t="s">
        <v>87</v>
      </c>
      <c r="F24" s="60" t="s">
        <v>42</v>
      </c>
      <c r="G24" s="47">
        <v>16</v>
      </c>
      <c r="H24" s="133">
        <f>IF(B$17=0,0,G24/B$17)</f>
        <v>7.5117370892018781E-2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4.6948356807511738E-3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1.3315579227696406E-3</v>
      </c>
      <c r="E27" s="63" t="s">
        <v>90</v>
      </c>
      <c r="F27" s="60" t="s">
        <v>45</v>
      </c>
      <c r="G27" s="47">
        <v>36</v>
      </c>
      <c r="H27" s="133">
        <f>IF(B$17=0,0,G27/B$17)</f>
        <v>0.16901408450704225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2.8169014084507043E-2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9.3896713615023476E-3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4.6948356807511738E-3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1.8779342723004695E-2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81</v>
      </c>
      <c r="H51" s="140">
        <f>IF(B$17=0,0,G51/B$17)</f>
        <v>0.38028169014084506</v>
      </c>
      <c r="I51" s="141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21.10000000000003</v>
      </c>
    </row>
  </sheetData>
  <sortState ref="E2:I9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8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80</v>
      </c>
      <c r="C2" s="151"/>
      <c r="E2" s="62" t="s">
        <v>67</v>
      </c>
      <c r="F2" s="59" t="s">
        <v>23</v>
      </c>
      <c r="G2" s="46">
        <v>154</v>
      </c>
      <c r="H2" s="132">
        <f>IF(B$17=0,0,G2/B$17)</f>
        <v>0.66094420600858372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527.5</v>
      </c>
      <c r="P2" s="118">
        <v>80</v>
      </c>
      <c r="Q2" s="102">
        <v>42200</v>
      </c>
    </row>
    <row r="3" spans="1:17" x14ac:dyDescent="0.4">
      <c r="A3" s="55" t="s">
        <v>8</v>
      </c>
      <c r="B3" s="152">
        <v>680</v>
      </c>
      <c r="C3" s="153"/>
      <c r="E3" s="63" t="s">
        <v>73</v>
      </c>
      <c r="F3" s="60" t="s">
        <v>28</v>
      </c>
      <c r="G3" s="47">
        <v>136</v>
      </c>
      <c r="H3" s="133">
        <f>IF(B$17=0,0,G3/B$17)</f>
        <v>0.58369098712446355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-1382.5</v>
      </c>
      <c r="P3" s="119">
        <v>80</v>
      </c>
      <c r="Q3" s="103">
        <v>-110600</v>
      </c>
    </row>
    <row r="4" spans="1:17" x14ac:dyDescent="0.4">
      <c r="A4" s="55" t="s">
        <v>6</v>
      </c>
      <c r="B4" s="154">
        <v>-114.70000000000002</v>
      </c>
      <c r="C4" s="155"/>
      <c r="E4" s="63" t="s">
        <v>245</v>
      </c>
      <c r="F4" s="60" t="s">
        <v>246</v>
      </c>
      <c r="G4" s="47">
        <v>100</v>
      </c>
      <c r="H4" s="133">
        <f>IF(B$17=0,0,G4/B$17)</f>
        <v>0.42918454935622319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-1616.9014084507041</v>
      </c>
      <c r="P4" s="119">
        <v>71</v>
      </c>
      <c r="Q4" s="103">
        <v>-114800</v>
      </c>
    </row>
    <row r="5" spans="1:17" x14ac:dyDescent="0.4">
      <c r="A5" s="55" t="s">
        <v>7</v>
      </c>
      <c r="B5" s="156">
        <f>IF(B$2=0,0,B$4/B$2)</f>
        <v>-1.4337500000000003</v>
      </c>
      <c r="C5" s="157"/>
      <c r="E5" s="63" t="s">
        <v>65</v>
      </c>
      <c r="F5" s="60" t="s">
        <v>21</v>
      </c>
      <c r="G5" s="47">
        <v>79</v>
      </c>
      <c r="H5" s="133">
        <f>IF(B$17=0,0,G5/B$17)</f>
        <v>0.33905579399141633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844.77611940298505</v>
      </c>
      <c r="P5" s="119">
        <v>67</v>
      </c>
      <c r="Q5" s="103">
        <v>56600</v>
      </c>
    </row>
    <row r="6" spans="1:17" x14ac:dyDescent="0.4">
      <c r="A6" s="55" t="s">
        <v>1</v>
      </c>
      <c r="B6" s="146">
        <f>IF(B$2=0,0,(B$7*1+B$8*2+B$9*3)/B$2)</f>
        <v>2.0499999999999998</v>
      </c>
      <c r="C6" s="147"/>
      <c r="E6" s="63" t="s">
        <v>69</v>
      </c>
      <c r="F6" s="60" t="s">
        <v>12</v>
      </c>
      <c r="G6" s="47">
        <v>60</v>
      </c>
      <c r="H6" s="133">
        <f>IF(B$17=0,0,G6/B$17)</f>
        <v>0.25751072961373389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861.90476190476193</v>
      </c>
      <c r="P6" s="119">
        <v>63</v>
      </c>
      <c r="Q6" s="103">
        <v>54300</v>
      </c>
    </row>
    <row r="7" spans="1:17" x14ac:dyDescent="0.4">
      <c r="A7" s="55" t="s">
        <v>2</v>
      </c>
      <c r="B7" s="47">
        <v>21</v>
      </c>
      <c r="C7" s="39">
        <f>IF(B$2=0,0,B7/B$2)</f>
        <v>0.26250000000000001</v>
      </c>
      <c r="E7" s="63" t="s">
        <v>68</v>
      </c>
      <c r="F7" s="60" t="s">
        <v>24</v>
      </c>
      <c r="G7" s="47">
        <v>40</v>
      </c>
      <c r="H7" s="133">
        <f>IF(B$17=0,0,G7/B$17)</f>
        <v>0.17167381974248927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-427.27272727272725</v>
      </c>
      <c r="P7" s="120">
        <v>55</v>
      </c>
      <c r="Q7" s="104">
        <v>-23500</v>
      </c>
    </row>
    <row r="8" spans="1:17" x14ac:dyDescent="0.4">
      <c r="A8" s="55" t="s">
        <v>3</v>
      </c>
      <c r="B8" s="47">
        <v>34</v>
      </c>
      <c r="C8" s="39">
        <f>IF(B$2=0,0,B8/B$2)</f>
        <v>0.42499999999999999</v>
      </c>
      <c r="E8" s="63" t="s">
        <v>70</v>
      </c>
      <c r="F8" s="60" t="s">
        <v>25</v>
      </c>
      <c r="G8" s="47">
        <v>33</v>
      </c>
      <c r="H8" s="133">
        <f>IF(B$17=0,0,G8/B$17)</f>
        <v>0.14163090128755365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0.3125</v>
      </c>
      <c r="E9" s="63" t="s">
        <v>66</v>
      </c>
      <c r="F9" s="60" t="s">
        <v>22</v>
      </c>
      <c r="G9" s="47">
        <v>26</v>
      </c>
      <c r="H9" s="133">
        <f>IF(B$17=0,0,G9/B$17)</f>
        <v>0.11158798283261803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0.05</v>
      </c>
      <c r="E10" s="63" t="s">
        <v>72</v>
      </c>
      <c r="F10" s="60" t="s">
        <v>27</v>
      </c>
      <c r="G10" s="47">
        <v>19</v>
      </c>
      <c r="H10" s="133">
        <f>IF(B$17=0,0,G10/B$17)</f>
        <v>8.15450643776824E-2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-8.5565217391304369</v>
      </c>
      <c r="P10" s="118">
        <v>23</v>
      </c>
      <c r="Q10" s="106">
        <v>-196.80000000000007</v>
      </c>
    </row>
    <row r="11" spans="1:17" x14ac:dyDescent="0.4">
      <c r="A11" s="56" t="s">
        <v>140</v>
      </c>
      <c r="B11" s="48">
        <v>9</v>
      </c>
      <c r="C11" s="40">
        <f>IF(B$2=0,0,B11/B$2)</f>
        <v>0.1125</v>
      </c>
      <c r="E11" s="63" t="s">
        <v>90</v>
      </c>
      <c r="F11" s="60" t="s">
        <v>45</v>
      </c>
      <c r="G11" s="47">
        <v>18</v>
      </c>
      <c r="H11" s="133">
        <f>IF(B$17=0,0,G11/B$17)</f>
        <v>7.7253218884120178E-2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6</v>
      </c>
      <c r="C12" s="42">
        <f>IF(B$2=0,0,B12/B$2)</f>
        <v>7.4999999999999997E-2</v>
      </c>
      <c r="E12" s="63" t="s">
        <v>84</v>
      </c>
      <c r="F12" s="60" t="s">
        <v>39</v>
      </c>
      <c r="G12" s="47">
        <v>16</v>
      </c>
      <c r="H12" s="133">
        <f>IF(B$17=0,0,G12/B$17)</f>
        <v>6.8669527896995708E-2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0.10322580645161285</v>
      </c>
      <c r="P12" s="120">
        <v>31</v>
      </c>
      <c r="Q12" s="108">
        <v>3.1999999999999984</v>
      </c>
    </row>
    <row r="13" spans="1:17" x14ac:dyDescent="0.4">
      <c r="A13" s="58" t="s">
        <v>122</v>
      </c>
      <c r="B13" s="50">
        <v>143</v>
      </c>
      <c r="C13" s="44">
        <f>IF(B$3=0,0,B13/B$3)</f>
        <v>0.21029411764705883</v>
      </c>
      <c r="E13" s="63" t="s">
        <v>71</v>
      </c>
      <c r="F13" s="60" t="s">
        <v>26</v>
      </c>
      <c r="G13" s="47">
        <v>15</v>
      </c>
      <c r="H13" s="133">
        <f>IF(B$17=0,0,G13/B$17)</f>
        <v>6.4377682403433473E-2</v>
      </c>
      <c r="I13" s="94">
        <v>9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199</v>
      </c>
      <c r="C14" s="39">
        <f>IF(B$3=0,0,B14/B$3)</f>
        <v>0.29264705882352943</v>
      </c>
      <c r="E14" s="63" t="s">
        <v>87</v>
      </c>
      <c r="F14" s="60" t="s">
        <v>42</v>
      </c>
      <c r="G14" s="47">
        <v>9</v>
      </c>
      <c r="H14" s="133">
        <f>IF(B$17=0,0,G14/B$17)</f>
        <v>3.8626609442060089E-2</v>
      </c>
      <c r="I14" s="94">
        <v>9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0.55944055944055948</v>
      </c>
      <c r="E15" s="63" t="s">
        <v>82</v>
      </c>
      <c r="F15" s="60" t="s">
        <v>37</v>
      </c>
      <c r="G15" s="47">
        <v>8</v>
      </c>
      <c r="H15" s="133">
        <f>IF(B$17=0,0,G15/B$17)</f>
        <v>3.4334763948497854E-2</v>
      </c>
      <c r="I15" s="94">
        <v>3</v>
      </c>
      <c r="K15" s="38">
        <v>13</v>
      </c>
      <c r="L15" s="99">
        <v>-3</v>
      </c>
      <c r="N15" s="114" t="s">
        <v>129</v>
      </c>
      <c r="O15" s="124">
        <f>IF(P15=0,0,Q15/P15)</f>
        <v>31.945454545454538</v>
      </c>
      <c r="P15" s="118">
        <v>22</v>
      </c>
      <c r="Q15" s="106">
        <v>702.79999999999984</v>
      </c>
    </row>
    <row r="16" spans="1:17" x14ac:dyDescent="0.4">
      <c r="A16" s="54" t="s">
        <v>125</v>
      </c>
      <c r="B16" s="46">
        <v>85</v>
      </c>
      <c r="C16" s="37">
        <f>IF(B$14=0,0,B16/B$14)</f>
        <v>0.42713567839195982</v>
      </c>
      <c r="E16" s="63" t="s">
        <v>92</v>
      </c>
      <c r="F16" s="60" t="s">
        <v>47</v>
      </c>
      <c r="G16" s="47">
        <v>4</v>
      </c>
      <c r="H16" s="133">
        <f>IF(B$17=0,0,G16/B$17)</f>
        <v>1.7167381974248927E-2</v>
      </c>
      <c r="I16" s="94">
        <v>7</v>
      </c>
      <c r="K16" s="38">
        <v>14</v>
      </c>
      <c r="L16" s="99">
        <v>-12.3</v>
      </c>
      <c r="N16" s="115" t="s">
        <v>223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233</v>
      </c>
      <c r="C17" s="37">
        <f>IF(B$3=0,0,B17/B$3)</f>
        <v>0.34264705882352942</v>
      </c>
      <c r="E17" s="63" t="s">
        <v>79</v>
      </c>
      <c r="F17" s="60" t="s">
        <v>34</v>
      </c>
      <c r="G17" s="47">
        <v>3</v>
      </c>
      <c r="H17" s="133">
        <f>IF(B$17=0,0,G17/B$17)</f>
        <v>1.2875536480686695E-2</v>
      </c>
      <c r="I17" s="94">
        <v>10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97</v>
      </c>
      <c r="C18" s="39">
        <f>IF(B$17=0,0,B18/B$17)</f>
        <v>0.41630901287553645</v>
      </c>
      <c r="E18" s="63" t="s">
        <v>80</v>
      </c>
      <c r="F18" s="60" t="s">
        <v>35</v>
      </c>
      <c r="G18" s="47">
        <v>3</v>
      </c>
      <c r="H18" s="133">
        <f>IF(B$17=0,0,G18/B$17)</f>
        <v>1.2875536480686695E-2</v>
      </c>
      <c r="I18" s="94">
        <v>7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136</v>
      </c>
      <c r="C19" s="39">
        <f>IF(B$17=0,0,B19/B$17)</f>
        <v>0.58369098712446355</v>
      </c>
      <c r="E19" s="63" t="s">
        <v>74</v>
      </c>
      <c r="F19" s="60" t="s">
        <v>29</v>
      </c>
      <c r="G19" s="47">
        <v>1</v>
      </c>
      <c r="H19" s="133">
        <f>IF(B$17=0,0,G19/B$17)</f>
        <v>4.2918454935622317E-3</v>
      </c>
      <c r="I19" s="94">
        <v>7</v>
      </c>
      <c r="K19" s="38">
        <v>17</v>
      </c>
      <c r="L19" s="99">
        <v>-55.099999999999994</v>
      </c>
      <c r="N19" s="115" t="s">
        <v>128</v>
      </c>
      <c r="O19" s="125">
        <f>IF(P19=0,0,Q19/P19)</f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95</v>
      </c>
      <c r="C20" s="39">
        <f>IF(B$3=0,0,B20/B$3)</f>
        <v>0.13970588235294118</v>
      </c>
      <c r="E20" s="63" t="s">
        <v>75</v>
      </c>
      <c r="F20" s="60" t="s">
        <v>30</v>
      </c>
      <c r="G20" s="47">
        <v>1</v>
      </c>
      <c r="H20" s="133">
        <f>IF(B$17=0,0,G20/B$17)</f>
        <v>4.2918454935622317E-3</v>
      </c>
      <c r="I20" s="94">
        <v>6</v>
      </c>
      <c r="K20" s="38">
        <v>18</v>
      </c>
      <c r="L20" s="99">
        <v>-28.199999999999996</v>
      </c>
      <c r="N20" s="115" t="s">
        <v>200</v>
      </c>
      <c r="O20" s="125">
        <f>IF(P20=0,0,Q20/P20)</f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4.2918454935622317E-3</v>
      </c>
      <c r="I21" s="94">
        <v>7</v>
      </c>
      <c r="K21" s="38">
        <v>19</v>
      </c>
      <c r="L21" s="99">
        <v>29.200000000000003</v>
      </c>
      <c r="N21" s="115" t="s">
        <v>171</v>
      </c>
      <c r="O21" s="125">
        <f>IF(P21=0,0,Q21/P21)</f>
        <v>-4.6450000000000005</v>
      </c>
      <c r="P21" s="119">
        <v>20</v>
      </c>
      <c r="Q21" s="107">
        <v>-92.9</v>
      </c>
    </row>
    <row r="22" spans="1:17" x14ac:dyDescent="0.4">
      <c r="A22" s="55" t="s">
        <v>192</v>
      </c>
      <c r="B22" s="47">
        <v>23</v>
      </c>
      <c r="C22" s="135">
        <v>3</v>
      </c>
      <c r="E22" s="63" t="s">
        <v>88</v>
      </c>
      <c r="F22" s="60" t="s">
        <v>43</v>
      </c>
      <c r="G22" s="47">
        <v>1</v>
      </c>
      <c r="H22" s="133">
        <f>IF(B$17=0,0,G22/B$17)</f>
        <v>4.2918454935622317E-3</v>
      </c>
      <c r="I22" s="94">
        <v>4</v>
      </c>
      <c r="K22" s="38">
        <v>20</v>
      </c>
      <c r="L22" s="99">
        <v>43</v>
      </c>
      <c r="N22" s="115" t="s">
        <v>177</v>
      </c>
      <c r="O22" s="125">
        <f>IF(P22=0,0,Q22/P22)</f>
        <v>-4.8894736842105262</v>
      </c>
      <c r="P22" s="119">
        <v>19</v>
      </c>
      <c r="Q22" s="107">
        <v>-92.9</v>
      </c>
    </row>
    <row r="23" spans="1:17" x14ac:dyDescent="0.4">
      <c r="A23" s="55" t="s">
        <v>5</v>
      </c>
      <c r="B23" s="51">
        <f>IF(B$17=0,0,C23/B$17)</f>
        <v>6754.0772532188839</v>
      </c>
      <c r="C23" s="41">
        <v>1573700</v>
      </c>
      <c r="E23" s="63" t="s">
        <v>91</v>
      </c>
      <c r="F23" s="60" t="s">
        <v>46</v>
      </c>
      <c r="G23" s="47">
        <v>1</v>
      </c>
      <c r="H23" s="133">
        <f>IF(B$17=0,0,G23/B$17)</f>
        <v>4.2918454935622317E-3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-25.348888888888887</v>
      </c>
      <c r="P23" s="119">
        <v>45</v>
      </c>
      <c r="Q23" s="107">
        <v>-1140.6999999999998</v>
      </c>
    </row>
    <row r="24" spans="1:17" x14ac:dyDescent="0.4">
      <c r="A24" s="57" t="s">
        <v>14</v>
      </c>
      <c r="B24" s="52">
        <f>IF(B$20=0,0,C24/B$20)</f>
        <v>-8538.9473684210534</v>
      </c>
      <c r="C24" s="45">
        <v>-811200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1.4705882352941176E-3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46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0.43103448275862066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-2791.304347826087</v>
      </c>
      <c r="P2" s="118">
        <v>46</v>
      </c>
      <c r="Q2" s="102">
        <v>-128400</v>
      </c>
    </row>
    <row r="3" spans="1:17" x14ac:dyDescent="0.4">
      <c r="A3" s="55" t="s">
        <v>8</v>
      </c>
      <c r="B3" s="152">
        <v>395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7.7586206896551727E-2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2121.7391304347825</v>
      </c>
      <c r="P3" s="119">
        <v>46</v>
      </c>
      <c r="Q3" s="103">
        <v>97600</v>
      </c>
    </row>
    <row r="4" spans="1:17" x14ac:dyDescent="0.4">
      <c r="A4" s="55" t="s">
        <v>6</v>
      </c>
      <c r="B4" s="154">
        <v>-377.4</v>
      </c>
      <c r="C4" s="155"/>
      <c r="E4" s="63" t="s">
        <v>67</v>
      </c>
      <c r="F4" s="60" t="s">
        <v>23</v>
      </c>
      <c r="G4" s="47">
        <v>78</v>
      </c>
      <c r="H4" s="133">
        <f>IF(B$17=0,0,G4/B$17)</f>
        <v>0.67241379310344829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-865.11627906976742</v>
      </c>
      <c r="P4" s="119">
        <v>43</v>
      </c>
      <c r="Q4" s="103">
        <v>-37200</v>
      </c>
    </row>
    <row r="5" spans="1:17" x14ac:dyDescent="0.4">
      <c r="A5" s="55" t="s">
        <v>7</v>
      </c>
      <c r="B5" s="156">
        <f>IF(B$2=0,0,B$4/B$2)</f>
        <v>-8.2043478260869556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0.2413793103448276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-3805</v>
      </c>
      <c r="P5" s="119">
        <v>40</v>
      </c>
      <c r="Q5" s="103">
        <v>-152200</v>
      </c>
    </row>
    <row r="6" spans="1:17" x14ac:dyDescent="0.4">
      <c r="A6" s="55" t="s">
        <v>1</v>
      </c>
      <c r="B6" s="146">
        <f>IF(B$2=0,0,(B$7*1+B$8*2+B$9*3)/B$2)</f>
        <v>2.1086956521739131</v>
      </c>
      <c r="C6" s="147"/>
      <c r="E6" s="63" t="s">
        <v>69</v>
      </c>
      <c r="F6" s="60" t="s">
        <v>12</v>
      </c>
      <c r="G6" s="47">
        <v>45</v>
      </c>
      <c r="H6" s="133">
        <f>IF(B$17=0,0,G6/B$17)</f>
        <v>0.38793103448275862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-205.55555555555554</v>
      </c>
      <c r="P6" s="119">
        <v>36</v>
      </c>
      <c r="Q6" s="103">
        <v>-7400</v>
      </c>
    </row>
    <row r="7" spans="1:17" x14ac:dyDescent="0.4">
      <c r="A7" s="55" t="s">
        <v>2</v>
      </c>
      <c r="B7" s="47">
        <v>13</v>
      </c>
      <c r="C7" s="39">
        <f>IF(B$2=0,0,B7/B$2)</f>
        <v>0.28260869565217389</v>
      </c>
      <c r="E7" s="63" t="s">
        <v>70</v>
      </c>
      <c r="F7" s="60" t="s">
        <v>25</v>
      </c>
      <c r="G7" s="47">
        <v>13</v>
      </c>
      <c r="H7" s="133">
        <f>IF(B$17=0,0,G7/B$17)</f>
        <v>0.11206896551724138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520</v>
      </c>
      <c r="P7" s="120">
        <v>35</v>
      </c>
      <c r="Q7" s="104">
        <v>18200</v>
      </c>
    </row>
    <row r="8" spans="1:17" x14ac:dyDescent="0.4">
      <c r="A8" s="55" t="s">
        <v>3</v>
      </c>
      <c r="B8" s="47">
        <v>15</v>
      </c>
      <c r="C8" s="39">
        <f>IF(B$2=0,0,B8/B$2)</f>
        <v>0.32608695652173914</v>
      </c>
      <c r="E8" s="63" t="s">
        <v>71</v>
      </c>
      <c r="F8" s="60" t="s">
        <v>26</v>
      </c>
      <c r="G8" s="47">
        <v>14</v>
      </c>
      <c r="H8" s="133">
        <f>IF(B$17=0,0,G8/B$17)</f>
        <v>0.1206896551724138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0.39130434782608697</v>
      </c>
      <c r="E9" s="63" t="s">
        <v>72</v>
      </c>
      <c r="F9" s="60" t="s">
        <v>27</v>
      </c>
      <c r="G9" s="47">
        <v>6</v>
      </c>
      <c r="H9" s="133">
        <f>IF(B$17=0,0,G9/B$17)</f>
        <v>5.1724137931034482E-2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0.13043478260869565</v>
      </c>
      <c r="E10" s="63" t="s">
        <v>73</v>
      </c>
      <c r="F10" s="60" t="s">
        <v>28</v>
      </c>
      <c r="G10" s="47">
        <v>61</v>
      </c>
      <c r="H10" s="133">
        <f>IF(B$17=0,0,G10/B$17)</f>
        <v>0.52586206896551724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-10.408333333333333</v>
      </c>
      <c r="P10" s="118">
        <v>12</v>
      </c>
      <c r="Q10" s="106">
        <v>-124.9</v>
      </c>
    </row>
    <row r="11" spans="1:17" x14ac:dyDescent="0.4">
      <c r="A11" s="56" t="s">
        <v>140</v>
      </c>
      <c r="B11" s="48">
        <v>3</v>
      </c>
      <c r="C11" s="40">
        <f>IF(B$2=0,0,B11/B$2)</f>
        <v>6.5217391304347824E-2</v>
      </c>
      <c r="E11" s="63" t="s">
        <v>74</v>
      </c>
      <c r="F11" s="60" t="s">
        <v>29</v>
      </c>
      <c r="G11" s="47">
        <v>2</v>
      </c>
      <c r="H11" s="133">
        <f>IF(B$17=0,0,G11/B$17)</f>
        <v>1.7241379310344827E-2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4.3478260869565216E-2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-11.453846153846152</v>
      </c>
      <c r="P12" s="120">
        <v>13</v>
      </c>
      <c r="Q12" s="108">
        <v>-148.89999999999998</v>
      </c>
    </row>
    <row r="13" spans="1:17" x14ac:dyDescent="0.4">
      <c r="A13" s="58" t="s">
        <v>122</v>
      </c>
      <c r="B13" s="50">
        <v>89</v>
      </c>
      <c r="C13" s="44">
        <f>IF(B$3=0,0,B13/B$3)</f>
        <v>0.22531645569620254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101</v>
      </c>
      <c r="C14" s="39">
        <f>IF(B$3=0,0,B14/B$3)</f>
        <v>0.25569620253164554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0.5842696629213483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3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0.32673267326732675</v>
      </c>
      <c r="E16" s="63" t="s">
        <v>79</v>
      </c>
      <c r="F16" s="60" t="s">
        <v>34</v>
      </c>
      <c r="G16" s="47">
        <v>2</v>
      </c>
      <c r="H16" s="133">
        <f>IF(B$17=0,0,G16/B$17)</f>
        <v>1.7241379310344827E-2</v>
      </c>
      <c r="I16" s="94">
        <v>9</v>
      </c>
      <c r="K16" s="38">
        <v>14</v>
      </c>
      <c r="L16" s="99">
        <v>-269.99999999999994</v>
      </c>
      <c r="N16" s="115" t="s">
        <v>128</v>
      </c>
      <c r="O16" s="125">
        <f t="shared" si="2"/>
        <v>-5.6727272727272711</v>
      </c>
      <c r="P16" s="119">
        <v>22</v>
      </c>
      <c r="Q16" s="107">
        <v>-124.79999999999997</v>
      </c>
    </row>
    <row r="17" spans="1:17" x14ac:dyDescent="0.4">
      <c r="A17" s="54" t="s">
        <v>10</v>
      </c>
      <c r="B17" s="46">
        <f>B19+B18</f>
        <v>116</v>
      </c>
      <c r="C17" s="37">
        <f>IF(B$3=0,0,B17/B$3)</f>
        <v>0.29367088607594938</v>
      </c>
      <c r="E17" s="63" t="s">
        <v>80</v>
      </c>
      <c r="F17" s="60" t="s">
        <v>35</v>
      </c>
      <c r="G17" s="47">
        <v>2</v>
      </c>
      <c r="H17" s="133">
        <f>IF(B$17=0,0,G17/B$17)</f>
        <v>1.7241379310344827E-2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59</v>
      </c>
      <c r="C18" s="39">
        <f>IF(B$17=0,0,B18/B$17)</f>
        <v>0.50862068965517238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-11.647058823529409</v>
      </c>
      <c r="P18" s="119">
        <v>17</v>
      </c>
      <c r="Q18" s="107">
        <v>-197.99999999999997</v>
      </c>
    </row>
    <row r="19" spans="1:17" x14ac:dyDescent="0.4">
      <c r="A19" s="55" t="s">
        <v>11</v>
      </c>
      <c r="B19" s="47">
        <v>57</v>
      </c>
      <c r="C19" s="39">
        <f>IF(B$17=0,0,B19/B$17)</f>
        <v>0.49137931034482757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-21.768181818181816</v>
      </c>
      <c r="P19" s="119">
        <v>22</v>
      </c>
      <c r="Q19" s="107">
        <v>-478.9</v>
      </c>
    </row>
    <row r="20" spans="1:17" x14ac:dyDescent="0.4">
      <c r="A20" s="55" t="s">
        <v>13</v>
      </c>
      <c r="B20" s="47">
        <v>75</v>
      </c>
      <c r="C20" s="39">
        <f>IF(B$3=0,0,B20/B$3)</f>
        <v>0.189873417721519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1.7241379310344827E-2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6945.6896551724139</v>
      </c>
      <c r="C23" s="41">
        <v>805700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  <c r="N23" s="115" t="s">
        <v>184</v>
      </c>
      <c r="O23" s="125">
        <f t="shared" si="2"/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-8300</v>
      </c>
      <c r="C24" s="45">
        <v>-622500</v>
      </c>
      <c r="E24" s="63" t="s">
        <v>87</v>
      </c>
      <c r="F24" s="60" t="s">
        <v>42</v>
      </c>
      <c r="G24" s="47">
        <v>4</v>
      </c>
      <c r="H24" s="133">
        <f>IF(B$17=0,0,G24/B$17)</f>
        <v>3.4482758620689655E-2</v>
      </c>
      <c r="I24" s="94">
        <v>10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8.6206896551724137E-3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5.0632911392405064E-3</v>
      </c>
      <c r="E27" s="63" t="s">
        <v>90</v>
      </c>
      <c r="F27" s="60" t="s">
        <v>45</v>
      </c>
      <c r="G27" s="47">
        <v>14</v>
      </c>
      <c r="H27" s="133">
        <f>IF(B$17=0,0,G27/B$17)</f>
        <v>0.1206896551724138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1.7241379310344827E-2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1.7241379310344827E-2</v>
      </c>
      <c r="I50" s="94">
        <v>4</v>
      </c>
    </row>
    <row r="51" spans="5:9" x14ac:dyDescent="0.4">
      <c r="E51" s="138" t="s">
        <v>245</v>
      </c>
      <c r="F51" s="139" t="s">
        <v>246</v>
      </c>
      <c r="G51" s="48">
        <v>46</v>
      </c>
      <c r="H51" s="140">
        <f>IF(B$17=0,0,G51/B$17)</f>
        <v>0.39655172413793105</v>
      </c>
      <c r="I51" s="141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6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67</v>
      </c>
      <c r="C2" s="151"/>
      <c r="E2" s="62" t="s">
        <v>65</v>
      </c>
      <c r="F2" s="59" t="s">
        <v>21</v>
      </c>
      <c r="G2" s="46">
        <v>100</v>
      </c>
      <c r="H2" s="132">
        <f>IF(B$17=0,0,G2/B$17)</f>
        <v>0.625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1303.030303030303</v>
      </c>
      <c r="P2" s="118">
        <v>66</v>
      </c>
      <c r="Q2" s="102">
        <v>86000</v>
      </c>
    </row>
    <row r="3" spans="1:17" x14ac:dyDescent="0.4">
      <c r="A3" s="55" t="s">
        <v>8</v>
      </c>
      <c r="B3" s="152">
        <v>535</v>
      </c>
      <c r="C3" s="153"/>
      <c r="E3" s="63" t="s">
        <v>67</v>
      </c>
      <c r="F3" s="60" t="s">
        <v>23</v>
      </c>
      <c r="G3" s="47">
        <v>93</v>
      </c>
      <c r="H3" s="133">
        <f>IF(B$17=0,0,G3/B$17)</f>
        <v>0.58125000000000004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988.88888888888891</v>
      </c>
      <c r="P3" s="119">
        <v>63</v>
      </c>
      <c r="Q3" s="103">
        <v>62300</v>
      </c>
    </row>
    <row r="4" spans="1:17" x14ac:dyDescent="0.4">
      <c r="A4" s="55" t="s">
        <v>6</v>
      </c>
      <c r="B4" s="154">
        <v>307</v>
      </c>
      <c r="C4" s="155"/>
      <c r="E4" s="63" t="s">
        <v>245</v>
      </c>
      <c r="F4" s="60" t="s">
        <v>246</v>
      </c>
      <c r="G4" s="47">
        <v>69</v>
      </c>
      <c r="H4" s="133">
        <f>IF(B$17=0,0,G4/B$17)</f>
        <v>0.43125000000000002</v>
      </c>
      <c r="I4" s="94">
        <v>2</v>
      </c>
      <c r="K4" s="38">
        <v>2</v>
      </c>
      <c r="L4" s="99">
        <v>30</v>
      </c>
      <c r="N4" s="115" t="s">
        <v>134</v>
      </c>
      <c r="O4" s="122">
        <f t="shared" si="0"/>
        <v>-669.64285714285711</v>
      </c>
      <c r="P4" s="119">
        <v>56</v>
      </c>
      <c r="Q4" s="103">
        <v>-37500</v>
      </c>
    </row>
    <row r="5" spans="1:17" x14ac:dyDescent="0.4">
      <c r="A5" s="55" t="s">
        <v>7</v>
      </c>
      <c r="B5" s="156">
        <f>IF(B$2=0,0,B$4/B$2)</f>
        <v>4.5820895522388057</v>
      </c>
      <c r="C5" s="157"/>
      <c r="E5" s="63" t="s">
        <v>73</v>
      </c>
      <c r="F5" s="60" t="s">
        <v>28</v>
      </c>
      <c r="G5" s="47">
        <v>64</v>
      </c>
      <c r="H5" s="133">
        <f>IF(B$17=0,0,G5/B$17)</f>
        <v>0.4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2285.1851851851852</v>
      </c>
      <c r="P5" s="119">
        <v>54</v>
      </c>
      <c r="Q5" s="103">
        <v>123400</v>
      </c>
    </row>
    <row r="6" spans="1:17" x14ac:dyDescent="0.4">
      <c r="A6" s="55" t="s">
        <v>1</v>
      </c>
      <c r="B6" s="146">
        <f>IF(B$2=0,0,(B$7*1+B$8*2+B$9*3)/B$2)</f>
        <v>1.8656716417910448</v>
      </c>
      <c r="C6" s="147"/>
      <c r="E6" s="63" t="s">
        <v>68</v>
      </c>
      <c r="F6" s="60" t="s">
        <v>24</v>
      </c>
      <c r="G6" s="47">
        <v>61</v>
      </c>
      <c r="H6" s="133">
        <f>IF(B$17=0,0,G6/B$17)</f>
        <v>0.38124999999999998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-1072.9166666666667</v>
      </c>
      <c r="P6" s="119">
        <v>48</v>
      </c>
      <c r="Q6" s="103">
        <v>-51500</v>
      </c>
    </row>
    <row r="7" spans="1:17" x14ac:dyDescent="0.4">
      <c r="A7" s="55" t="s">
        <v>2</v>
      </c>
      <c r="B7" s="47">
        <v>27</v>
      </c>
      <c r="C7" s="39">
        <f>IF(B$2=0,0,B7/B$2)</f>
        <v>0.40298507462686567</v>
      </c>
      <c r="E7" s="63" t="s">
        <v>69</v>
      </c>
      <c r="F7" s="60" t="s">
        <v>12</v>
      </c>
      <c r="G7" s="47">
        <v>51</v>
      </c>
      <c r="H7" s="133">
        <f>IF(B$17=0,0,G7/B$17)</f>
        <v>0.31874999999999998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137.5</v>
      </c>
      <c r="P7" s="120">
        <v>40</v>
      </c>
      <c r="Q7" s="104">
        <v>5500</v>
      </c>
    </row>
    <row r="8" spans="1:17" x14ac:dyDescent="0.4">
      <c r="A8" s="55" t="s">
        <v>3</v>
      </c>
      <c r="B8" s="47">
        <v>22</v>
      </c>
      <c r="C8" s="39">
        <f>IF(B$2=0,0,B8/B$2)</f>
        <v>0.32835820895522388</v>
      </c>
      <c r="E8" s="63" t="s">
        <v>70</v>
      </c>
      <c r="F8" s="60" t="s">
        <v>25</v>
      </c>
      <c r="G8" s="47">
        <v>28</v>
      </c>
      <c r="H8" s="133">
        <f>IF(B$17=0,0,G8/B$17)</f>
        <v>0.17499999999999999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0.26865671641791045</v>
      </c>
      <c r="E9" s="63" t="s">
        <v>66</v>
      </c>
      <c r="F9" s="60" t="s">
        <v>22</v>
      </c>
      <c r="G9" s="47">
        <v>19</v>
      </c>
      <c r="H9" s="133">
        <f>IF(B$17=0,0,G9/B$17)</f>
        <v>0.11874999999999999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0.14925373134328357</v>
      </c>
      <c r="E10" s="63" t="s">
        <v>90</v>
      </c>
      <c r="F10" s="60" t="s">
        <v>45</v>
      </c>
      <c r="G10" s="47">
        <v>17</v>
      </c>
      <c r="H10" s="133">
        <f>IF(B$17=0,0,G10/B$17)</f>
        <v>0.10625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5.723809523809523</v>
      </c>
      <c r="P10" s="118">
        <v>21</v>
      </c>
      <c r="Q10" s="106">
        <v>120.19999999999999</v>
      </c>
    </row>
    <row r="11" spans="1:17" x14ac:dyDescent="0.4">
      <c r="A11" s="56" t="s">
        <v>140</v>
      </c>
      <c r="B11" s="48">
        <v>9</v>
      </c>
      <c r="C11" s="40">
        <f>IF(B$2=0,0,B11/B$2)</f>
        <v>0.13432835820895522</v>
      </c>
      <c r="E11" s="63" t="s">
        <v>71</v>
      </c>
      <c r="F11" s="60" t="s">
        <v>26</v>
      </c>
      <c r="G11" s="47">
        <v>12</v>
      </c>
      <c r="H11" s="133">
        <f>IF(B$17=0,0,G11/B$17)</f>
        <v>7.4999999999999997E-2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11.424000000000001</v>
      </c>
      <c r="P11" s="119">
        <v>25</v>
      </c>
      <c r="Q11" s="107">
        <v>285.60000000000002</v>
      </c>
    </row>
    <row r="12" spans="1:17" x14ac:dyDescent="0.4">
      <c r="A12" s="57" t="s">
        <v>160</v>
      </c>
      <c r="B12" s="49">
        <v>5</v>
      </c>
      <c r="C12" s="42">
        <f>IF(B$2=0,0,B12/B$2)</f>
        <v>7.4626865671641784E-2</v>
      </c>
      <c r="E12" s="63" t="s">
        <v>72</v>
      </c>
      <c r="F12" s="60" t="s">
        <v>27</v>
      </c>
      <c r="G12" s="47">
        <v>9</v>
      </c>
      <c r="H12" s="133">
        <f>IF(B$17=0,0,G12/B$17)</f>
        <v>5.6250000000000001E-2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-4.7047619047619049</v>
      </c>
      <c r="P12" s="120">
        <v>21</v>
      </c>
      <c r="Q12" s="108">
        <v>-98.800000000000011</v>
      </c>
    </row>
    <row r="13" spans="1:17" x14ac:dyDescent="0.4">
      <c r="A13" s="58" t="s">
        <v>122</v>
      </c>
      <c r="B13" s="50">
        <v>156</v>
      </c>
      <c r="C13" s="44">
        <f>IF(B$3=0,0,B13/B$3)</f>
        <v>0.29158878504672897</v>
      </c>
      <c r="E13" s="63" t="s">
        <v>87</v>
      </c>
      <c r="F13" s="60" t="s">
        <v>42</v>
      </c>
      <c r="G13" s="47">
        <v>8</v>
      </c>
      <c r="H13" s="133">
        <f>IF(B$17=0,0,G13/B$17)</f>
        <v>0.05</v>
      </c>
      <c r="I13" s="94">
        <v>8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97</v>
      </c>
      <c r="C14" s="39">
        <f>IF(B$3=0,0,B14/B$3)</f>
        <v>0.18130841121495328</v>
      </c>
      <c r="E14" s="63" t="s">
        <v>84</v>
      </c>
      <c r="F14" s="60" t="s">
        <v>39</v>
      </c>
      <c r="G14" s="47">
        <v>7</v>
      </c>
      <c r="H14" s="133">
        <f>IF(B$17=0,0,G14/B$17)</f>
        <v>4.3749999999999997E-2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100</v>
      </c>
      <c r="C15" s="37">
        <f>IF(B$13=0,0,B15/B$13)</f>
        <v>0.64102564102564108</v>
      </c>
      <c r="E15" s="63" t="s">
        <v>79</v>
      </c>
      <c r="F15" s="60" t="s">
        <v>34</v>
      </c>
      <c r="G15" s="47">
        <v>5</v>
      </c>
      <c r="H15" s="133">
        <f>IF(B$17=0,0,G15/B$17)</f>
        <v>3.125E-2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34</v>
      </c>
      <c r="C16" s="37">
        <f>IF(B$14=0,0,B16/B$14)</f>
        <v>0.35051546391752575</v>
      </c>
      <c r="E16" s="63" t="s">
        <v>92</v>
      </c>
      <c r="F16" s="60" t="s">
        <v>47</v>
      </c>
      <c r="G16" s="47">
        <v>5</v>
      </c>
      <c r="H16" s="133">
        <f>IF(B$17=0,0,G16/B$17)</f>
        <v>3.125E-2</v>
      </c>
      <c r="I16" s="94">
        <v>1</v>
      </c>
      <c r="K16" s="38">
        <v>14</v>
      </c>
      <c r="L16" s="99">
        <v>-178.49999999999997</v>
      </c>
      <c r="N16" s="115" t="s">
        <v>200</v>
      </c>
      <c r="O16" s="125">
        <f>IF(P16=0,0,Q16/P16)</f>
        <v>26.1</v>
      </c>
      <c r="P16" s="119">
        <v>5</v>
      </c>
      <c r="Q16" s="107">
        <v>130.5</v>
      </c>
    </row>
    <row r="17" spans="1:17" x14ac:dyDescent="0.4">
      <c r="A17" s="54" t="s">
        <v>10</v>
      </c>
      <c r="B17" s="46">
        <f>B19+B18</f>
        <v>160</v>
      </c>
      <c r="C17" s="37">
        <f>IF(B$3=0,0,B17/B$3)</f>
        <v>0.29906542056074764</v>
      </c>
      <c r="E17" s="63" t="s">
        <v>82</v>
      </c>
      <c r="F17" s="60" t="s">
        <v>37</v>
      </c>
      <c r="G17" s="47">
        <v>4</v>
      </c>
      <c r="H17" s="133">
        <f>IF(B$17=0,0,G17/B$17)</f>
        <v>2.5000000000000001E-2</v>
      </c>
      <c r="I17" s="94">
        <v>7</v>
      </c>
      <c r="K17" s="38">
        <v>15</v>
      </c>
      <c r="L17" s="99">
        <v>-146.19999999999999</v>
      </c>
      <c r="N17" s="115" t="s">
        <v>173</v>
      </c>
      <c r="O17" s="125">
        <f>IF(P17=0,0,Q17/P17)</f>
        <v>22.275000000000002</v>
      </c>
      <c r="P17" s="119">
        <v>8</v>
      </c>
      <c r="Q17" s="107">
        <v>178.20000000000002</v>
      </c>
    </row>
    <row r="18" spans="1:17" x14ac:dyDescent="0.4">
      <c r="A18" s="55" t="s">
        <v>12</v>
      </c>
      <c r="B18" s="47">
        <v>71</v>
      </c>
      <c r="C18" s="39">
        <f>IF(B$17=0,0,B18/B$17)</f>
        <v>0.44374999999999998</v>
      </c>
      <c r="E18" s="63" t="s">
        <v>86</v>
      </c>
      <c r="F18" s="60" t="s">
        <v>41</v>
      </c>
      <c r="G18" s="47">
        <v>3</v>
      </c>
      <c r="H18" s="133">
        <f>IF(B$17=0,0,G18/B$17)</f>
        <v>1.8749999999999999E-2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>IF(P18=0,0,Q18/P18)</f>
        <v>15.755000000000001</v>
      </c>
      <c r="P18" s="119">
        <v>20</v>
      </c>
      <c r="Q18" s="107">
        <v>315.10000000000002</v>
      </c>
    </row>
    <row r="19" spans="1:17" x14ac:dyDescent="0.4">
      <c r="A19" s="55" t="s">
        <v>11</v>
      </c>
      <c r="B19" s="47">
        <v>89</v>
      </c>
      <c r="C19" s="39">
        <f>IF(B$17=0,0,B19/B$17)</f>
        <v>0.55625000000000002</v>
      </c>
      <c r="E19" s="63" t="s">
        <v>80</v>
      </c>
      <c r="F19" s="60" t="s">
        <v>35</v>
      </c>
      <c r="G19" s="47">
        <v>2</v>
      </c>
      <c r="H19" s="133">
        <f>IF(B$17=0,0,G19/B$17)</f>
        <v>1.2500000000000001E-2</v>
      </c>
      <c r="I19" s="94">
        <v>8</v>
      </c>
      <c r="K19" s="38">
        <v>17</v>
      </c>
      <c r="L19" s="99">
        <v>-161.19999999999999</v>
      </c>
      <c r="N19" s="115" t="s">
        <v>128</v>
      </c>
      <c r="O19" s="125">
        <f>IF(P19=0,0,Q19/P19)</f>
        <v>11.464</v>
      </c>
      <c r="P19" s="119">
        <v>25</v>
      </c>
      <c r="Q19" s="107">
        <v>286.60000000000002</v>
      </c>
    </row>
    <row r="20" spans="1:17" x14ac:dyDescent="0.4">
      <c r="A20" s="55" t="s">
        <v>13</v>
      </c>
      <c r="B20" s="47">
        <v>81</v>
      </c>
      <c r="C20" s="39">
        <f>IF(B$3=0,0,B20/B$3)</f>
        <v>0.15140186915887852</v>
      </c>
      <c r="E20" s="63" t="s">
        <v>91</v>
      </c>
      <c r="F20" s="60" t="s">
        <v>46</v>
      </c>
      <c r="G20" s="47">
        <v>2</v>
      </c>
      <c r="H20" s="133">
        <f>IF(B$17=0,0,G20/B$17)</f>
        <v>1.2500000000000001E-2</v>
      </c>
      <c r="I20" s="94">
        <v>1</v>
      </c>
      <c r="K20" s="38">
        <v>18</v>
      </c>
      <c r="L20" s="99">
        <v>-159</v>
      </c>
      <c r="N20" s="115" t="s">
        <v>172</v>
      </c>
      <c r="O20" s="125">
        <f>IF(P20=0,0,Q20/P20)</f>
        <v>4.8894736842105235</v>
      </c>
      <c r="P20" s="119">
        <v>19</v>
      </c>
      <c r="Q20" s="107">
        <v>92.899999999999949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1</v>
      </c>
      <c r="H21" s="133">
        <f>IF(B$17=0,0,G21/B$17)</f>
        <v>6.2500000000000003E-3</v>
      </c>
      <c r="I21" s="94">
        <v>4</v>
      </c>
      <c r="K21" s="38">
        <v>19</v>
      </c>
      <c r="L21" s="99">
        <v>-235.6</v>
      </c>
      <c r="N21" s="115" t="s">
        <v>184</v>
      </c>
      <c r="O21" s="125">
        <f>IF(P21=0,0,Q21/P21)</f>
        <v>4.8666666666666698</v>
      </c>
      <c r="P21" s="119">
        <v>6</v>
      </c>
      <c r="Q21" s="107">
        <v>29.200000000000017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76</v>
      </c>
      <c r="F22" s="60" t="s">
        <v>31</v>
      </c>
      <c r="G22" s="47">
        <v>1</v>
      </c>
      <c r="H22" s="133">
        <f>IF(B$17=0,0,G22/B$17)</f>
        <v>6.2500000000000003E-3</v>
      </c>
      <c r="I22" s="94">
        <v>4</v>
      </c>
      <c r="K22" s="38">
        <v>20</v>
      </c>
      <c r="L22" s="99">
        <v>-200.8</v>
      </c>
      <c r="N22" s="115" t="s">
        <v>127</v>
      </c>
      <c r="O22" s="125">
        <f>IF(P22=0,0,Q22/P22)</f>
        <v>-23.923333333333339</v>
      </c>
      <c r="P22" s="119">
        <v>30</v>
      </c>
      <c r="Q22" s="107">
        <v>-717.70000000000016</v>
      </c>
    </row>
    <row r="23" spans="1:17" x14ac:dyDescent="0.4">
      <c r="A23" s="55" t="s">
        <v>5</v>
      </c>
      <c r="B23" s="51">
        <f>IF(B$17=0,0,C23/B$17)</f>
        <v>8905.625</v>
      </c>
      <c r="C23" s="41">
        <v>1424900</v>
      </c>
      <c r="E23" s="63" t="s">
        <v>93</v>
      </c>
      <c r="F23" s="60" t="s">
        <v>48</v>
      </c>
      <c r="G23" s="47">
        <v>1</v>
      </c>
      <c r="H23" s="133">
        <f>IF(B$17=0,0,G23/B$17)</f>
        <v>6.2500000000000003E-3</v>
      </c>
      <c r="I23" s="94">
        <v>3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-7460.4938271604942</v>
      </c>
      <c r="C24" s="45">
        <v>-604300</v>
      </c>
      <c r="E24" s="63" t="s">
        <v>94</v>
      </c>
      <c r="F24" s="60" t="s">
        <v>49</v>
      </c>
      <c r="G24" s="47">
        <v>1</v>
      </c>
      <c r="H24" s="133">
        <f>IF(B$17=0,0,G24/B$17)</f>
        <v>6.2500000000000003E-3</v>
      </c>
      <c r="I24" s="94">
        <v>2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102</v>
      </c>
      <c r="F25" s="60" t="s">
        <v>57</v>
      </c>
      <c r="G25" s="47">
        <v>1</v>
      </c>
      <c r="H25" s="133">
        <f>IF(B$17=0,0,G25/B$17)</f>
        <v>6.2500000000000003E-3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5.6074766355140183E-3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295</v>
      </c>
    </row>
    <row r="63" spans="5:12" x14ac:dyDescent="0.4">
      <c r="K63" s="38">
        <v>61</v>
      </c>
      <c r="L63" s="99">
        <v>359.4</v>
      </c>
    </row>
    <row r="64" spans="5:12" x14ac:dyDescent="0.4">
      <c r="K64" s="38">
        <v>62</v>
      </c>
      <c r="L64" s="99">
        <v>347.5</v>
      </c>
    </row>
    <row r="65" spans="11:12" x14ac:dyDescent="0.4">
      <c r="K65" s="38">
        <v>63</v>
      </c>
      <c r="L65" s="99">
        <v>345.6</v>
      </c>
    </row>
    <row r="66" spans="11:12" x14ac:dyDescent="0.4">
      <c r="K66" s="38">
        <v>64</v>
      </c>
      <c r="L66" s="99">
        <v>287.60000000000002</v>
      </c>
    </row>
    <row r="67" spans="11:12" x14ac:dyDescent="0.4">
      <c r="K67" s="38">
        <v>65</v>
      </c>
      <c r="L67" s="99">
        <v>323.60000000000002</v>
      </c>
    </row>
    <row r="68" spans="11:12" x14ac:dyDescent="0.4">
      <c r="K68" s="38">
        <v>66</v>
      </c>
      <c r="L68" s="99">
        <v>328.6</v>
      </c>
    </row>
    <row r="69" spans="11:12" x14ac:dyDescent="0.4">
      <c r="K69" s="38">
        <v>67</v>
      </c>
      <c r="L69" s="99">
        <v>307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</v>
      </c>
      <c r="C2" s="151"/>
      <c r="E2" s="62" t="s">
        <v>65</v>
      </c>
      <c r="F2" s="59" t="s">
        <v>21</v>
      </c>
      <c r="G2" s="46">
        <v>22</v>
      </c>
      <c r="H2" s="132">
        <f>IF(B$17=0,0,G2/B$17)</f>
        <v>0.52380952380952384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-1016.6666666666666</v>
      </c>
      <c r="P2" s="118">
        <v>18</v>
      </c>
      <c r="Q2" s="102">
        <v>-18300</v>
      </c>
    </row>
    <row r="3" spans="1:17" x14ac:dyDescent="0.4">
      <c r="A3" s="55" t="s">
        <v>8</v>
      </c>
      <c r="B3" s="152">
        <v>147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2.3809523809523808E-2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-1044.4444444444443</v>
      </c>
      <c r="P3" s="119">
        <v>18</v>
      </c>
      <c r="Q3" s="103">
        <v>-18800</v>
      </c>
    </row>
    <row r="4" spans="1:17" x14ac:dyDescent="0.4">
      <c r="A4" s="55" t="s">
        <v>6</v>
      </c>
      <c r="B4" s="154">
        <v>-127.5</v>
      </c>
      <c r="C4" s="155"/>
      <c r="E4" s="63" t="s">
        <v>67</v>
      </c>
      <c r="F4" s="60" t="s">
        <v>23</v>
      </c>
      <c r="G4" s="47">
        <v>39</v>
      </c>
      <c r="H4" s="133">
        <f>IF(B$17=0,0,G4/B$17)</f>
        <v>0.9285714285714286</v>
      </c>
      <c r="I4" s="94">
        <v>2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-7.083333333333333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0.26190476190476192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-4237.5</v>
      </c>
      <c r="P5" s="119">
        <v>16</v>
      </c>
      <c r="Q5" s="103">
        <v>-67800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0.30952380952380953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7</v>
      </c>
      <c r="C7" s="39">
        <f>IF(B$2=0,0,B7/B$2)</f>
        <v>0.3888888888888889</v>
      </c>
      <c r="E7" s="63" t="s">
        <v>70</v>
      </c>
      <c r="F7" s="60" t="s">
        <v>25</v>
      </c>
      <c r="G7" s="47">
        <v>8</v>
      </c>
      <c r="H7" s="133">
        <f>IF(B$17=0,0,G7/B$17)</f>
        <v>0.19047619047619047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-3407.6923076923076</v>
      </c>
      <c r="P7" s="120">
        <v>13</v>
      </c>
      <c r="Q7" s="104">
        <v>-44300</v>
      </c>
    </row>
    <row r="8" spans="1:17" x14ac:dyDescent="0.4">
      <c r="A8" s="55" t="s">
        <v>3</v>
      </c>
      <c r="B8" s="47">
        <v>2</v>
      </c>
      <c r="C8" s="39">
        <f>IF(B$2=0,0,B8/B$2)</f>
        <v>0.1111111111111111</v>
      </c>
      <c r="E8" s="63" t="s">
        <v>71</v>
      </c>
      <c r="F8" s="60" t="s">
        <v>26</v>
      </c>
      <c r="G8" s="47">
        <v>7</v>
      </c>
      <c r="H8" s="133">
        <f>IF(B$17=0,0,G8/B$17)</f>
        <v>0.16666666666666666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3</v>
      </c>
      <c r="H9" s="133">
        <f>IF(B$17=0,0,G9/B$17)</f>
        <v>7.1428571428571425E-2</v>
      </c>
      <c r="I9" s="94">
        <v>4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73</v>
      </c>
      <c r="F10" s="60" t="s">
        <v>28</v>
      </c>
      <c r="G10" s="47">
        <v>23</v>
      </c>
      <c r="H10" s="133">
        <f>IF(B$17=0,0,G10/B$17)</f>
        <v>0.54761904761904767</v>
      </c>
      <c r="I10" s="94">
        <v>6</v>
      </c>
      <c r="K10" s="38">
        <v>8</v>
      </c>
      <c r="L10" s="99">
        <v>-170.5</v>
      </c>
      <c r="N10" s="114" t="s">
        <v>164</v>
      </c>
      <c r="O10" s="124">
        <f>IF(P10=0,0,Q10/P10)</f>
        <v>-20.099999999999998</v>
      </c>
      <c r="P10" s="118">
        <v>7</v>
      </c>
      <c r="Q10" s="106">
        <v>-140.69999999999999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74</v>
      </c>
      <c r="F11" s="60" t="s">
        <v>29</v>
      </c>
      <c r="G11" s="47">
        <v>1</v>
      </c>
      <c r="H11" s="133">
        <f>IF(B$17=0,0,G11/B$17)</f>
        <v>2.3809523809523808E-2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-11.916666666666666</v>
      </c>
      <c r="P11" s="119">
        <v>6</v>
      </c>
      <c r="Q11" s="107">
        <v>-71.5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75</v>
      </c>
      <c r="F12" s="60" t="s">
        <v>30</v>
      </c>
      <c r="G12" s="47">
        <v>1</v>
      </c>
      <c r="H12" s="133">
        <f>IF(B$17=0,0,G12/B$17)</f>
        <v>2.3809523809523808E-2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16.940000000000001</v>
      </c>
      <c r="P12" s="120">
        <v>5</v>
      </c>
      <c r="Q12" s="108">
        <v>84.7</v>
      </c>
    </row>
    <row r="13" spans="1:17" x14ac:dyDescent="0.4">
      <c r="A13" s="58" t="s">
        <v>122</v>
      </c>
      <c r="B13" s="50">
        <v>36</v>
      </c>
      <c r="C13" s="44">
        <f>IF(B$3=0,0,B13/B$3)</f>
        <v>0.24489795918367346</v>
      </c>
      <c r="E13" s="63" t="s">
        <v>76</v>
      </c>
      <c r="F13" s="60" t="s">
        <v>31</v>
      </c>
      <c r="G13" s="47">
        <v>1</v>
      </c>
      <c r="H13" s="133">
        <f>IF(B$17=0,0,G13/B$17)</f>
        <v>2.3809523809523808E-2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0.22448979591836735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173</v>
      </c>
      <c r="O15" s="124">
        <f t="shared" ref="O15:O22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14</v>
      </c>
      <c r="C16" s="37">
        <f>IF(B$14=0,0,B16/B$14)</f>
        <v>0.42424242424242425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24.240000000000002</v>
      </c>
      <c r="P16" s="119">
        <v>5</v>
      </c>
      <c r="Q16" s="107">
        <v>121.20000000000002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0.2857142857142857</v>
      </c>
      <c r="E17" s="63" t="s">
        <v>80</v>
      </c>
      <c r="F17" s="60" t="s">
        <v>35</v>
      </c>
      <c r="G17" s="47">
        <v>2</v>
      </c>
      <c r="H17" s="133">
        <f>IF(B$17=0,0,G17/B$17)</f>
        <v>4.7619047619047616E-2</v>
      </c>
      <c r="I17" s="94">
        <v>1</v>
      </c>
      <c r="K17" s="38">
        <v>15</v>
      </c>
      <c r="L17" s="99">
        <v>-85.399999999999991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20</v>
      </c>
      <c r="C18" s="39">
        <f>IF(B$17=0,0,B18/B$17)</f>
        <v>0.47619047619047616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-140.79999999999998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22</v>
      </c>
      <c r="C19" s="39">
        <f>IF(B$17=0,0,B19/B$17)</f>
        <v>0.52380952380952384</v>
      </c>
      <c r="E19" s="63" t="s">
        <v>82</v>
      </c>
      <c r="F19" s="60" t="s">
        <v>37</v>
      </c>
      <c r="G19" s="47">
        <v>1</v>
      </c>
      <c r="H19" s="133">
        <f>IF(B$17=0,0,G19/B$17)</f>
        <v>2.3809523809523808E-2</v>
      </c>
      <c r="I19" s="94">
        <v>8</v>
      </c>
      <c r="K19" s="38">
        <v>17</v>
      </c>
      <c r="L19" s="99">
        <v>-204.5</v>
      </c>
      <c r="N19" s="115" t="s">
        <v>127</v>
      </c>
      <c r="O19" s="125">
        <f t="shared" si="2"/>
        <v>-23.075000000000003</v>
      </c>
      <c r="P19" s="119">
        <v>12</v>
      </c>
      <c r="Q19" s="107">
        <v>-276.90000000000003</v>
      </c>
    </row>
    <row r="20" spans="1:17" x14ac:dyDescent="0.4">
      <c r="A20" s="55" t="s">
        <v>13</v>
      </c>
      <c r="B20" s="47">
        <v>34</v>
      </c>
      <c r="C20" s="39">
        <f>IF(B$3=0,0,B20/B$3)</f>
        <v>0.23129251700680273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-127.5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5</v>
      </c>
      <c r="C21" s="135">
        <v>5</v>
      </c>
      <c r="E21" s="63" t="s">
        <v>84</v>
      </c>
      <c r="F21" s="60" t="s">
        <v>39</v>
      </c>
      <c r="G21" s="47">
        <v>5</v>
      </c>
      <c r="H21" s="133">
        <f>IF(B$17=0,0,G21/B$17)</f>
        <v>0.11904761904761904</v>
      </c>
      <c r="I21" s="94">
        <v>2</v>
      </c>
      <c r="N21" s="115" t="s">
        <v>128</v>
      </c>
      <c r="O21" s="125">
        <f t="shared" si="2"/>
        <v>-28.642857142857142</v>
      </c>
      <c r="P21" s="119">
        <v>7</v>
      </c>
      <c r="Q21" s="107">
        <v>-200.5</v>
      </c>
    </row>
    <row r="22" spans="1:17" x14ac:dyDescent="0.4">
      <c r="A22" s="55" t="s">
        <v>192</v>
      </c>
      <c r="B22" s="47">
        <v>17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8642.8571428571431</v>
      </c>
      <c r="C23" s="41">
        <v>363000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-8376.4705882352937</v>
      </c>
      <c r="C24" s="45">
        <v>-284800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0.11904761904761904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2.3809523809523808E-2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15</v>
      </c>
      <c r="H51" s="140">
        <f>IF(B$17=0,0,G51/B$17)</f>
        <v>0.35714285714285715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1.8099999999999994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2.5749999999999993</v>
      </c>
      <c r="P10" s="118">
        <v>4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18.099999999999994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8.9666666666666668</v>
      </c>
      <c r="P17" s="119">
        <v>3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-26.1</v>
      </c>
      <c r="P20" s="119">
        <v>5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18.099999999999994</v>
      </c>
      <c r="C13" s="66">
        <v>1.8099999999999994</v>
      </c>
      <c r="D13" s="71">
        <v>1.8</v>
      </c>
      <c r="E13" s="67">
        <v>0.3</v>
      </c>
      <c r="F13" s="67">
        <v>0.1</v>
      </c>
      <c r="G13" s="67">
        <v>0.3411764705882353</v>
      </c>
      <c r="H13" s="67">
        <v>0.16470588235294117</v>
      </c>
      <c r="I13" s="68">
        <v>6765.5172413793107</v>
      </c>
      <c r="J13" s="68">
        <v>-6378.5714285714284</v>
      </c>
      <c r="K13" s="67">
        <v>0</v>
      </c>
      <c r="L13" s="67">
        <v>0</v>
      </c>
      <c r="M13" s="67">
        <v>0.23529411764705882</v>
      </c>
      <c r="N13" s="67">
        <v>0.29411764705882354</v>
      </c>
      <c r="O13" s="67">
        <v>0.7</v>
      </c>
      <c r="P13" s="67">
        <v>0.48</v>
      </c>
      <c r="Q13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-85.399999999999991</v>
      </c>
      <c r="C18" s="66">
        <v>-5.6933333333333325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-140.79999999999998</v>
      </c>
      <c r="C19" s="66">
        <v>-8.7999999999999989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-204.5</v>
      </c>
      <c r="C20" s="66">
        <v>-12.029411764705882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-127.5</v>
      </c>
      <c r="C21" s="66">
        <v>-7.083333333333333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7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295</v>
      </c>
      <c r="C63" s="66">
        <v>4.916666666666667</v>
      </c>
      <c r="D63" s="71">
        <v>1.8666666666666667</v>
      </c>
      <c r="E63" s="67">
        <v>0.41666666666666669</v>
      </c>
      <c r="F63" s="67">
        <v>0.28333333333333333</v>
      </c>
      <c r="G63" s="67">
        <v>0.30721649484536084</v>
      </c>
      <c r="H63" s="67">
        <v>0.15257731958762888</v>
      </c>
      <c r="I63" s="68">
        <v>8833.5570469798658</v>
      </c>
      <c r="J63" s="68">
        <v>-7635.135135135135</v>
      </c>
      <c r="K63" s="67">
        <v>0.15</v>
      </c>
      <c r="L63" s="67">
        <v>0.13333333333333333</v>
      </c>
      <c r="M63" s="67">
        <v>0.2907216494845361</v>
      </c>
      <c r="N63" s="67">
        <v>0.18144329896907216</v>
      </c>
      <c r="O63" s="67">
        <v>0.65957446808510634</v>
      </c>
      <c r="P63" s="67">
        <v>0.375</v>
      </c>
      <c r="Q63" s="67">
        <v>0.44295302013422821</v>
      </c>
    </row>
    <row r="64" spans="1:17" x14ac:dyDescent="0.4">
      <c r="A64" s="69">
        <v>61</v>
      </c>
      <c r="B64" s="66">
        <v>359.4</v>
      </c>
      <c r="C64" s="66">
        <v>5.8918032786885242</v>
      </c>
      <c r="D64" s="71">
        <v>1.8524590163934427</v>
      </c>
      <c r="E64" s="67">
        <v>0.42622950819672129</v>
      </c>
      <c r="F64" s="67">
        <v>0.27868852459016391</v>
      </c>
      <c r="G64" s="67">
        <v>0.30894308943089432</v>
      </c>
      <c r="H64" s="67">
        <v>0.15040650406504066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0.29065040650406504</v>
      </c>
      <c r="N64" s="67">
        <v>0.17886178861788618</v>
      </c>
      <c r="O64" s="67">
        <v>0.65734265734265729</v>
      </c>
      <c r="P64" s="67">
        <v>0.375</v>
      </c>
      <c r="Q64" s="67">
        <v>0.44736842105263158</v>
      </c>
    </row>
    <row r="65" spans="1:17" x14ac:dyDescent="0.4">
      <c r="A65" s="69">
        <v>62</v>
      </c>
      <c r="B65" s="66">
        <v>347.5</v>
      </c>
      <c r="C65" s="66">
        <v>5.604838709677419</v>
      </c>
      <c r="D65" s="71">
        <v>1.8548387096774193</v>
      </c>
      <c r="E65" s="67">
        <v>0.41935483870967744</v>
      </c>
      <c r="F65" s="67">
        <v>0.27419354838709675</v>
      </c>
      <c r="G65" s="67">
        <v>0.30645161290322581</v>
      </c>
      <c r="H65" s="67">
        <v>0.14919354838709678</v>
      </c>
      <c r="I65" s="68">
        <v>8948.0263157894733</v>
      </c>
      <c r="J65" s="68">
        <v>-7635.135135135135</v>
      </c>
      <c r="K65" s="67">
        <v>0.14516129032258066</v>
      </c>
      <c r="L65" s="67">
        <v>0.14516129032258066</v>
      </c>
      <c r="M65" s="67">
        <v>0.29032258064516131</v>
      </c>
      <c r="N65" s="67">
        <v>0.18145161290322581</v>
      </c>
      <c r="O65" s="67">
        <v>0.65277777777777779</v>
      </c>
      <c r="P65" s="67">
        <v>0.36666666666666664</v>
      </c>
      <c r="Q65" s="67">
        <v>0.44736842105263158</v>
      </c>
    </row>
    <row r="66" spans="1:17" x14ac:dyDescent="0.4">
      <c r="A66" s="69">
        <v>63</v>
      </c>
      <c r="B66" s="66">
        <v>345.6</v>
      </c>
      <c r="C66" s="66">
        <v>5.4857142857142858</v>
      </c>
      <c r="D66" s="71">
        <v>1.8571428571428572</v>
      </c>
      <c r="E66" s="67">
        <v>0.41269841269841268</v>
      </c>
      <c r="F66" s="67">
        <v>0.26984126984126983</v>
      </c>
      <c r="G66" s="67">
        <v>0.3061630218687873</v>
      </c>
      <c r="H66" s="67">
        <v>0.14910536779324055</v>
      </c>
      <c r="I66" s="68">
        <v>8912.9870129870123</v>
      </c>
      <c r="J66" s="68">
        <v>-7568</v>
      </c>
      <c r="K66" s="67">
        <v>0.14285714285714285</v>
      </c>
      <c r="L66" s="67">
        <v>0.14285714285714285</v>
      </c>
      <c r="M66" s="67">
        <v>0.2922465208747515</v>
      </c>
      <c r="N66" s="67">
        <v>0.17892644135188868</v>
      </c>
      <c r="O66" s="67">
        <v>0.65306122448979587</v>
      </c>
      <c r="P66" s="67">
        <v>0.36666666666666664</v>
      </c>
      <c r="Q66" s="67">
        <v>0.44805194805194803</v>
      </c>
    </row>
    <row r="67" spans="1:17" x14ac:dyDescent="0.4">
      <c r="A67" s="69">
        <v>64</v>
      </c>
      <c r="B67" s="66">
        <v>287.60000000000002</v>
      </c>
      <c r="C67" s="66">
        <v>4.4937500000000004</v>
      </c>
      <c r="D67" s="71">
        <v>1.875</v>
      </c>
      <c r="E67" s="67">
        <v>0.40625</v>
      </c>
      <c r="F67" s="67">
        <v>0.28125</v>
      </c>
      <c r="G67" s="67">
        <v>0.30078125</v>
      </c>
      <c r="H67" s="67">
        <v>0.1484375</v>
      </c>
      <c r="I67" s="68">
        <v>8912.9870129870123</v>
      </c>
      <c r="J67" s="68">
        <v>-7626.3157894736842</v>
      </c>
      <c r="K67" s="67">
        <v>0.15625</v>
      </c>
      <c r="L67" s="67">
        <v>0.140625</v>
      </c>
      <c r="M67" s="67">
        <v>0.29296875</v>
      </c>
      <c r="N67" s="67">
        <v>0.177734375</v>
      </c>
      <c r="O67" s="67">
        <v>0.64</v>
      </c>
      <c r="P67" s="67">
        <v>0.36263736263736263</v>
      </c>
      <c r="Q67" s="67">
        <v>0.44805194805194803</v>
      </c>
    </row>
    <row r="68" spans="1:17" x14ac:dyDescent="0.4">
      <c r="A68" s="69">
        <v>65</v>
      </c>
      <c r="B68" s="66">
        <v>323.60000000000002</v>
      </c>
      <c r="C68" s="66">
        <v>4.9784615384615387</v>
      </c>
      <c r="D68" s="71">
        <v>1.8615384615384616</v>
      </c>
      <c r="E68" s="67">
        <v>0.41538461538461541</v>
      </c>
      <c r="F68" s="67">
        <v>0.27692307692307694</v>
      </c>
      <c r="G68" s="67">
        <v>0.30250481695568399</v>
      </c>
      <c r="H68" s="67">
        <v>0.14836223506743737</v>
      </c>
      <c r="I68" s="68">
        <v>8923.5668789808915</v>
      </c>
      <c r="J68" s="68">
        <v>-7553.2467532467535</v>
      </c>
      <c r="K68" s="67">
        <v>0.15384615384615385</v>
      </c>
      <c r="L68" s="67">
        <v>0.13846153846153847</v>
      </c>
      <c r="M68" s="67">
        <v>0.2947976878612717</v>
      </c>
      <c r="N68" s="67">
        <v>0.17533718689788053</v>
      </c>
      <c r="O68" s="67">
        <v>0.64052287581699341</v>
      </c>
      <c r="P68" s="67">
        <v>0.36263736263736263</v>
      </c>
      <c r="Q68" s="67">
        <v>0.45222929936305734</v>
      </c>
    </row>
    <row r="69" spans="1:17" x14ac:dyDescent="0.4">
      <c r="A69" s="69">
        <v>66</v>
      </c>
      <c r="B69" s="66">
        <v>328.6</v>
      </c>
      <c r="C69" s="66">
        <v>4.9787878787878794</v>
      </c>
      <c r="D69" s="71">
        <v>1.8636363636363635</v>
      </c>
      <c r="E69" s="67">
        <v>0.40909090909090912</v>
      </c>
      <c r="F69" s="67">
        <v>0.27272727272727271</v>
      </c>
      <c r="G69" s="67">
        <v>0.30285714285714288</v>
      </c>
      <c r="H69" s="67">
        <v>0.15047619047619049</v>
      </c>
      <c r="I69" s="68">
        <v>8937.1069182389929</v>
      </c>
      <c r="J69" s="68">
        <v>-7539.2405063291135</v>
      </c>
      <c r="K69" s="67">
        <v>0.15151515151515152</v>
      </c>
      <c r="L69" s="67">
        <v>0.13636363636363635</v>
      </c>
      <c r="M69" s="67">
        <v>0.29523809523809524</v>
      </c>
      <c r="N69" s="67">
        <v>0.17714285714285713</v>
      </c>
      <c r="O69" s="67">
        <v>0.64516129032258063</v>
      </c>
      <c r="P69" s="67">
        <v>0.35483870967741937</v>
      </c>
      <c r="Q69" s="67">
        <v>0.44654088050314467</v>
      </c>
    </row>
    <row r="70" spans="1:17" x14ac:dyDescent="0.4">
      <c r="A70" s="69">
        <v>67</v>
      </c>
      <c r="B70" s="66">
        <v>307</v>
      </c>
      <c r="C70" s="66">
        <v>4.5820895522388057</v>
      </c>
      <c r="D70" s="71">
        <v>1.8656716417910448</v>
      </c>
      <c r="E70" s="67">
        <v>0.40298507462686567</v>
      </c>
      <c r="F70" s="67">
        <v>0.26865671641791045</v>
      </c>
      <c r="G70" s="67">
        <v>0.29906542056074764</v>
      </c>
      <c r="H70" s="67">
        <v>0.15140186915887852</v>
      </c>
      <c r="I70" s="68">
        <v>8905.625</v>
      </c>
      <c r="J70" s="68">
        <v>-7460.4938271604942</v>
      </c>
      <c r="K70" s="67">
        <v>0.14925373134328357</v>
      </c>
      <c r="L70" s="67">
        <v>0.13432835820895522</v>
      </c>
      <c r="M70" s="67">
        <v>0.29158878504672897</v>
      </c>
      <c r="N70" s="67">
        <v>0.18130841121495328</v>
      </c>
      <c r="O70" s="67">
        <v>0.64102564102564108</v>
      </c>
      <c r="P70" s="67">
        <v>0.35051546391752575</v>
      </c>
      <c r="Q70" s="67">
        <v>0.44374999999999998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8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21.10000000000003</v>
      </c>
      <c r="C93" s="66">
        <v>0.23444444444444479</v>
      </c>
      <c r="D93" s="71">
        <v>2.0444444444444443</v>
      </c>
      <c r="E93" s="67">
        <v>0.3</v>
      </c>
      <c r="F93" s="67">
        <v>0.34444444444444444</v>
      </c>
      <c r="G93" s="67">
        <v>0.28362183754993342</v>
      </c>
      <c r="H93" s="67">
        <v>0.17709720372836218</v>
      </c>
      <c r="I93" s="68">
        <v>9851.6431924882636</v>
      </c>
      <c r="J93" s="68">
        <v>-8481.2030075187977</v>
      </c>
      <c r="K93" s="67">
        <v>0.1</v>
      </c>
      <c r="L93" s="67">
        <v>0.13333333333333333</v>
      </c>
      <c r="M93" s="67">
        <v>0.29161118508655126</v>
      </c>
      <c r="N93" s="67">
        <v>0.1877496671105193</v>
      </c>
      <c r="O93" s="67">
        <v>0.56621004566210043</v>
      </c>
      <c r="P93" s="67">
        <v>0.41134751773049644</v>
      </c>
      <c r="Q93" s="67">
        <v>0.41314553990610331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1767.0000000000009</v>
      </c>
      <c r="C150" s="66">
        <v>12.020408163265312</v>
      </c>
      <c r="D150" s="71">
        <v>1.7414965986394557</v>
      </c>
      <c r="E150" s="67">
        <v>0.48979591836734693</v>
      </c>
      <c r="F150" s="67">
        <v>0.23129251700680273</v>
      </c>
      <c r="G150" s="67">
        <v>0.34670008354218879</v>
      </c>
      <c r="H150" s="67">
        <v>0.16040100250626566</v>
      </c>
      <c r="I150" s="68">
        <v>9091.0843373493972</v>
      </c>
      <c r="J150" s="68">
        <v>-8247.9166666666661</v>
      </c>
      <c r="K150" s="67">
        <v>0.10204081632653061</v>
      </c>
      <c r="L150" s="67">
        <v>0.17006802721088435</v>
      </c>
      <c r="M150" s="67">
        <v>0.31244778613199664</v>
      </c>
      <c r="N150" s="67">
        <v>0.21888053467000834</v>
      </c>
      <c r="O150" s="67">
        <v>0.57486631016042777</v>
      </c>
      <c r="P150" s="67">
        <v>0.51908396946564883</v>
      </c>
      <c r="Q150" s="67">
        <v>0.40963855421686746</v>
      </c>
    </row>
    <row r="151" spans="1:17" x14ac:dyDescent="0.4">
      <c r="A151" s="69">
        <v>148</v>
      </c>
      <c r="B151" s="66">
        <v>1763.5000000000009</v>
      </c>
      <c r="C151" s="66">
        <v>11.915540540540547</v>
      </c>
      <c r="D151" s="71">
        <v>1.7432432432432432</v>
      </c>
      <c r="E151" s="67">
        <v>0.48648648648648651</v>
      </c>
      <c r="F151" s="67">
        <v>0.22972972972972974</v>
      </c>
      <c r="G151" s="67">
        <v>0.34551495016611294</v>
      </c>
      <c r="H151" s="67">
        <v>0.15946843853820597</v>
      </c>
      <c r="I151" s="68">
        <v>9088.461538461539</v>
      </c>
      <c r="J151" s="68">
        <v>-8247.9166666666661</v>
      </c>
      <c r="K151" s="67">
        <v>0.10135135135135136</v>
      </c>
      <c r="L151" s="67">
        <v>0.16891891891891891</v>
      </c>
      <c r="M151" s="67">
        <v>0.31146179401993357</v>
      </c>
      <c r="N151" s="67">
        <v>0.22009966777408638</v>
      </c>
      <c r="O151" s="67">
        <v>0.57333333333333336</v>
      </c>
      <c r="P151" s="67">
        <v>0.51698113207547169</v>
      </c>
      <c r="Q151" s="67">
        <v>0.40865384615384615</v>
      </c>
    </row>
    <row r="152" spans="1:17" x14ac:dyDescent="0.4">
      <c r="A152" s="69">
        <v>149</v>
      </c>
      <c r="B152" s="66">
        <v>1727.1000000000008</v>
      </c>
      <c r="C152" s="66">
        <v>11.591275167785241</v>
      </c>
      <c r="D152" s="71">
        <v>1.7516778523489933</v>
      </c>
      <c r="E152" s="67">
        <v>0.48322147651006714</v>
      </c>
      <c r="F152" s="67">
        <v>0.2348993288590604</v>
      </c>
      <c r="G152" s="67">
        <v>0.34349258649093906</v>
      </c>
      <c r="H152" s="67">
        <v>0.15980230642504117</v>
      </c>
      <c r="I152" s="68">
        <v>9085.851318944844</v>
      </c>
      <c r="J152" s="68">
        <v>-8265.4639175257726</v>
      </c>
      <c r="K152" s="67">
        <v>0.10067114093959731</v>
      </c>
      <c r="L152" s="67">
        <v>0.16778523489932887</v>
      </c>
      <c r="M152" s="67">
        <v>0.30971993410214166</v>
      </c>
      <c r="N152" s="67">
        <v>0.21993410214168038</v>
      </c>
      <c r="O152" s="67">
        <v>0.57180851063829785</v>
      </c>
      <c r="P152" s="67">
        <v>0.5168539325842697</v>
      </c>
      <c r="Q152" s="67">
        <v>0.407673860911271</v>
      </c>
    </row>
    <row r="153" spans="1:17" x14ac:dyDescent="0.4">
      <c r="A153" s="69">
        <v>150</v>
      </c>
      <c r="B153" s="66">
        <v>1744.7000000000007</v>
      </c>
      <c r="C153" s="66">
        <v>11.631333333333338</v>
      </c>
      <c r="D153" s="71">
        <v>1.7533333333333334</v>
      </c>
      <c r="E153" s="67">
        <v>0.48</v>
      </c>
      <c r="F153" s="67">
        <v>0.23333333333333334</v>
      </c>
      <c r="G153" s="67">
        <v>0.34369885433715219</v>
      </c>
      <c r="H153" s="67">
        <v>0.15875613747954173</v>
      </c>
      <c r="I153" s="68">
        <v>9075.9523809523816</v>
      </c>
      <c r="J153" s="68">
        <v>-8265.4639175257726</v>
      </c>
      <c r="K153" s="67">
        <v>0.1</v>
      </c>
      <c r="L153" s="67">
        <v>0.16666666666666666</v>
      </c>
      <c r="M153" s="67">
        <v>0.31014729950900166</v>
      </c>
      <c r="N153" s="67">
        <v>0.21931260229132571</v>
      </c>
      <c r="O153" s="67">
        <v>0.57519788918205805</v>
      </c>
      <c r="P153" s="67">
        <v>0.5149253731343284</v>
      </c>
      <c r="Q153" s="67">
        <v>0.40714285714285714</v>
      </c>
    </row>
    <row r="154" spans="1:17" x14ac:dyDescent="0.4">
      <c r="A154" s="69">
        <v>151</v>
      </c>
      <c r="B154" s="66">
        <v>1788.5000000000007</v>
      </c>
      <c r="C154" s="66">
        <v>11.844370860927157</v>
      </c>
      <c r="D154" s="71">
        <v>1.7483443708609272</v>
      </c>
      <c r="E154" s="67">
        <v>0.48344370860927155</v>
      </c>
      <c r="F154" s="67">
        <v>0.23178807947019867</v>
      </c>
      <c r="G154" s="67">
        <v>0.34471544715447155</v>
      </c>
      <c r="H154" s="67">
        <v>0.15772357723577235</v>
      </c>
      <c r="I154" s="68">
        <v>9064.3867924528295</v>
      </c>
      <c r="J154" s="68">
        <v>-8265.4639175257726</v>
      </c>
      <c r="K154" s="67">
        <v>9.9337748344370855E-2</v>
      </c>
      <c r="L154" s="67">
        <v>0.17218543046357615</v>
      </c>
      <c r="M154" s="67">
        <v>0.31056910569105689</v>
      </c>
      <c r="N154" s="67">
        <v>0.21951219512195122</v>
      </c>
      <c r="O154" s="67">
        <v>0.5759162303664922</v>
      </c>
      <c r="P154" s="67">
        <v>0.51851851851851849</v>
      </c>
      <c r="Q154" s="67">
        <v>0.40801886792452829</v>
      </c>
    </row>
    <row r="155" spans="1:17" x14ac:dyDescent="0.4">
      <c r="A155" s="69">
        <v>152</v>
      </c>
      <c r="B155" s="66">
        <v>1847.5000000000007</v>
      </c>
      <c r="C155" s="66">
        <v>12.154605263157899</v>
      </c>
      <c r="D155" s="71">
        <v>1.743421052631579</v>
      </c>
      <c r="E155" s="67">
        <v>0.48684210526315791</v>
      </c>
      <c r="F155" s="67">
        <v>0.23026315789473684</v>
      </c>
      <c r="G155" s="67">
        <v>0.34543987086359967</v>
      </c>
      <c r="H155" s="67">
        <v>0.15738498789346247</v>
      </c>
      <c r="I155" s="68">
        <v>9089.9532710280382</v>
      </c>
      <c r="J155" s="68">
        <v>-8262.5641025641035</v>
      </c>
      <c r="K155" s="67">
        <v>9.8684210526315791E-2</v>
      </c>
      <c r="L155" s="67">
        <v>0.17763157894736842</v>
      </c>
      <c r="M155" s="67">
        <v>0.31234866828087166</v>
      </c>
      <c r="N155" s="67">
        <v>0.21791767554479419</v>
      </c>
      <c r="O155" s="67">
        <v>0.57622739018087854</v>
      </c>
      <c r="P155" s="67">
        <v>0.51851851851851849</v>
      </c>
      <c r="Q155" s="67">
        <v>0.40887850467289721</v>
      </c>
    </row>
    <row r="156" spans="1:17" x14ac:dyDescent="0.4">
      <c r="A156" s="69">
        <v>153</v>
      </c>
      <c r="B156" s="66">
        <v>1812.8000000000006</v>
      </c>
      <c r="C156" s="66">
        <v>11.8483660130719</v>
      </c>
      <c r="D156" s="71">
        <v>1.7516339869281046</v>
      </c>
      <c r="E156" s="67">
        <v>0.48366013071895425</v>
      </c>
      <c r="F156" s="67">
        <v>0.23529411764705882</v>
      </c>
      <c r="G156" s="67">
        <v>0.34430176565008025</v>
      </c>
      <c r="H156" s="67">
        <v>0.15730337078651685</v>
      </c>
      <c r="I156" s="68">
        <v>9096.7365967365968</v>
      </c>
      <c r="J156" s="68">
        <v>-8253.0612244897966</v>
      </c>
      <c r="K156" s="67">
        <v>9.8039215686274508E-2</v>
      </c>
      <c r="L156" s="67">
        <v>0.17647058823529413</v>
      </c>
      <c r="M156" s="67">
        <v>0.3130016051364366</v>
      </c>
      <c r="N156" s="67">
        <v>0.21669341894060995</v>
      </c>
      <c r="O156" s="67">
        <v>0.57435897435897432</v>
      </c>
      <c r="P156" s="67">
        <v>0.51851851851851849</v>
      </c>
      <c r="Q156" s="67">
        <v>0.41025641025641024</v>
      </c>
    </row>
    <row r="157" spans="1:17" x14ac:dyDescent="0.4">
      <c r="A157" s="69">
        <v>154</v>
      </c>
      <c r="B157" s="66">
        <v>1805.4000000000005</v>
      </c>
      <c r="C157" s="66">
        <v>11.723376623376627</v>
      </c>
      <c r="D157" s="71">
        <v>1.7532467532467533</v>
      </c>
      <c r="E157" s="67">
        <v>0.48051948051948051</v>
      </c>
      <c r="F157" s="67">
        <v>0.23376623376623376</v>
      </c>
      <c r="G157" s="67">
        <v>0.34397446129289705</v>
      </c>
      <c r="H157" s="67">
        <v>0.15722266560255388</v>
      </c>
      <c r="I157" s="68">
        <v>9078.8863109048725</v>
      </c>
      <c r="J157" s="68">
        <v>-8230.9644670050766</v>
      </c>
      <c r="K157" s="67">
        <v>9.7402597402597407E-2</v>
      </c>
      <c r="L157" s="67">
        <v>0.17532467532467533</v>
      </c>
      <c r="M157" s="67">
        <v>0.31364724660814047</v>
      </c>
      <c r="N157" s="67">
        <v>0.2154828411811652</v>
      </c>
      <c r="O157" s="67">
        <v>0.5750636132315522</v>
      </c>
      <c r="P157" s="67">
        <v>0.51851851851851849</v>
      </c>
      <c r="Q157" s="67">
        <v>0.41067285382830626</v>
      </c>
    </row>
    <row r="158" spans="1:17" x14ac:dyDescent="0.4">
      <c r="A158" s="69">
        <v>155</v>
      </c>
      <c r="B158" s="66">
        <v>1855.1000000000006</v>
      </c>
      <c r="C158" s="66">
        <v>11.968387096774197</v>
      </c>
      <c r="D158" s="71">
        <v>1.7483870967741935</v>
      </c>
      <c r="E158" s="67">
        <v>0.4838709677419355</v>
      </c>
      <c r="F158" s="67">
        <v>0.23225806451612904</v>
      </c>
      <c r="G158" s="67">
        <v>0.34365079365079365</v>
      </c>
      <c r="H158" s="67">
        <v>0.15634920634920635</v>
      </c>
      <c r="I158" s="68">
        <v>9122.8637413394918</v>
      </c>
      <c r="J158" s="68">
        <v>-8230.9644670050766</v>
      </c>
      <c r="K158" s="67">
        <v>9.6774193548387094E-2</v>
      </c>
      <c r="L158" s="67">
        <v>0.17419354838709677</v>
      </c>
      <c r="M158" s="67">
        <v>0.31349206349206349</v>
      </c>
      <c r="N158" s="67">
        <v>0.21587301587301588</v>
      </c>
      <c r="O158" s="67">
        <v>0.57721518987341769</v>
      </c>
      <c r="P158" s="67">
        <v>0.51470588235294112</v>
      </c>
      <c r="Q158" s="67">
        <v>0.4110854503464203</v>
      </c>
    </row>
    <row r="159" spans="1:17" x14ac:dyDescent="0.4">
      <c r="A159" s="69">
        <v>156</v>
      </c>
      <c r="B159" s="66">
        <v>1940.5000000000007</v>
      </c>
      <c r="C159" s="66">
        <v>12.439102564102569</v>
      </c>
      <c r="D159" s="71">
        <v>1.7435897435897436</v>
      </c>
      <c r="E159" s="67">
        <v>0.48717948717948717</v>
      </c>
      <c r="F159" s="67">
        <v>0.23076923076923078</v>
      </c>
      <c r="G159" s="67">
        <v>0.34414556962025317</v>
      </c>
      <c r="H159" s="67">
        <v>0.15664556962025317</v>
      </c>
      <c r="I159" s="68">
        <v>9232.6436781609191</v>
      </c>
      <c r="J159" s="68">
        <v>-8237.878787878788</v>
      </c>
      <c r="K159" s="67">
        <v>9.6153846153846159E-2</v>
      </c>
      <c r="L159" s="67">
        <v>0.17948717948717949</v>
      </c>
      <c r="M159" s="67">
        <v>0.31329113924050633</v>
      </c>
      <c r="N159" s="67">
        <v>0.21677215189873417</v>
      </c>
      <c r="O159" s="67">
        <v>0.5757575757575758</v>
      </c>
      <c r="P159" s="67">
        <v>0.51459854014598538</v>
      </c>
      <c r="Q159" s="67">
        <v>0.41379310344827586</v>
      </c>
    </row>
    <row r="160" spans="1:17" x14ac:dyDescent="0.4">
      <c r="A160" s="69">
        <v>157</v>
      </c>
      <c r="B160" s="66">
        <v>2009.8000000000006</v>
      </c>
      <c r="C160" s="66">
        <v>12.801273885350323</v>
      </c>
      <c r="D160" s="71">
        <v>1.7388535031847134</v>
      </c>
      <c r="E160" s="67">
        <v>0.49044585987261147</v>
      </c>
      <c r="F160" s="67">
        <v>0.22929936305732485</v>
      </c>
      <c r="G160" s="67">
        <v>0.34536891679748821</v>
      </c>
      <c r="H160" s="67">
        <v>0.15620094191522763</v>
      </c>
      <c r="I160" s="68">
        <v>9240.681818181818</v>
      </c>
      <c r="J160" s="68">
        <v>-8216.0804020100495</v>
      </c>
      <c r="K160" s="67">
        <v>9.5541401273885357E-2</v>
      </c>
      <c r="L160" s="67">
        <v>0.17834394904458598</v>
      </c>
      <c r="M160" s="67">
        <v>0.31240188383045525</v>
      </c>
      <c r="N160" s="67">
        <v>0.21742543171114601</v>
      </c>
      <c r="O160" s="67">
        <v>0.57788944723618085</v>
      </c>
      <c r="P160" s="67">
        <v>0.51624548736462095</v>
      </c>
      <c r="Q160" s="67">
        <v>0.41590909090909089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-1.0000000000000213</v>
      </c>
      <c r="C219" s="66">
        <v>-1.5432098765432428E-3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-1.0000000000000213</v>
      </c>
      <c r="C220" s="66">
        <v>-1.5360983102918914E-3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-1.0000000000000213</v>
      </c>
      <c r="C221" s="66">
        <v>-1.5290519877676166E-3</v>
      </c>
      <c r="D221" s="71">
        <v>1.9954128440366972</v>
      </c>
      <c r="E221" s="67">
        <v>0.3363914373088685</v>
      </c>
      <c r="F221" s="67">
        <v>0.33180428134556578</v>
      </c>
      <c r="G221" s="67">
        <v>0.29922992299229922</v>
      </c>
      <c r="H221" s="67">
        <v>0.16813348001466813</v>
      </c>
      <c r="I221" s="68">
        <v>8627.6348039215682</v>
      </c>
      <c r="J221" s="68">
        <v>-8286.0414394765539</v>
      </c>
      <c r="K221" s="67">
        <v>0.11467889908256881</v>
      </c>
      <c r="L221" s="67">
        <v>0.11467889908256881</v>
      </c>
      <c r="M221" s="67">
        <v>0.28034470113678034</v>
      </c>
      <c r="N221" s="67">
        <v>0.20737073707370737</v>
      </c>
      <c r="O221" s="67">
        <v>0.57750163505559193</v>
      </c>
      <c r="P221" s="67">
        <v>0.39434129089301501</v>
      </c>
      <c r="Q221" s="67">
        <v>0.43198529411764708</v>
      </c>
    </row>
    <row r="222" spans="1:17" x14ac:dyDescent="0.4">
      <c r="A222" s="69">
        <v>219</v>
      </c>
      <c r="B222" s="66">
        <v>-1.0000000000000142</v>
      </c>
      <c r="C222" s="66">
        <v>-1.5220700152207218E-3</v>
      </c>
      <c r="D222" s="71">
        <v>1.995433789954338</v>
      </c>
      <c r="E222" s="67">
        <v>0.33637747336377471</v>
      </c>
      <c r="F222" s="67">
        <v>0.33181126331811261</v>
      </c>
      <c r="G222" s="67">
        <v>0.29881278538812783</v>
      </c>
      <c r="H222" s="67">
        <v>0.16785388127853881</v>
      </c>
      <c r="I222" s="68">
        <v>8638.2640586797061</v>
      </c>
      <c r="J222" s="68">
        <v>-8280.9575625680081</v>
      </c>
      <c r="K222" s="67">
        <v>0.11567732115677321</v>
      </c>
      <c r="L222" s="67">
        <v>0.11567732115677321</v>
      </c>
      <c r="M222" s="67">
        <v>0.2798173515981735</v>
      </c>
      <c r="N222" s="67">
        <v>0.20767123287671233</v>
      </c>
      <c r="O222" s="67">
        <v>0.57702349869451697</v>
      </c>
      <c r="P222" s="67">
        <v>0.39313984168865435</v>
      </c>
      <c r="Q222" s="67">
        <v>0.43215158924205377</v>
      </c>
    </row>
    <row r="223" spans="1:17" x14ac:dyDescent="0.4">
      <c r="A223" s="69">
        <v>220</v>
      </c>
      <c r="B223" s="66">
        <v>-1.0000000000000142</v>
      </c>
      <c r="C223" s="66">
        <v>-1.5151515151515366E-3</v>
      </c>
      <c r="D223" s="71">
        <v>1.9954545454545454</v>
      </c>
      <c r="E223" s="67">
        <v>0.33636363636363636</v>
      </c>
      <c r="F223" s="67">
        <v>0.33181818181818185</v>
      </c>
      <c r="G223" s="67">
        <v>0.29888828139238199</v>
      </c>
      <c r="H223" s="67">
        <v>0.16785128485511208</v>
      </c>
      <c r="I223" s="68">
        <v>8643.9024390243903</v>
      </c>
      <c r="J223" s="68">
        <v>-8289.0336590662318</v>
      </c>
      <c r="K223" s="67">
        <v>0.11666666666666667</v>
      </c>
      <c r="L223" s="67">
        <v>0.11666666666666667</v>
      </c>
      <c r="M223" s="67">
        <v>0.27956989247311825</v>
      </c>
      <c r="N223" s="67">
        <v>0.20794605431018773</v>
      </c>
      <c r="O223" s="67">
        <v>0.57692307692307687</v>
      </c>
      <c r="P223" s="67">
        <v>0.39351446099912357</v>
      </c>
      <c r="Q223" s="67">
        <v>0.4323170731707317</v>
      </c>
    </row>
    <row r="224" spans="1:17" x14ac:dyDescent="0.4">
      <c r="A224" s="69">
        <v>221</v>
      </c>
      <c r="B224" s="66">
        <v>-1.0000000000000142</v>
      </c>
      <c r="C224" s="66">
        <v>-1.5082956259427063E-3</v>
      </c>
      <c r="D224" s="71">
        <v>1.995475113122172</v>
      </c>
      <c r="E224" s="67">
        <v>0.33634992458521873</v>
      </c>
      <c r="F224" s="67">
        <v>0.33182503770739064</v>
      </c>
      <c r="G224" s="67">
        <v>0.29853181076672103</v>
      </c>
      <c r="H224" s="67">
        <v>0.16802610114192496</v>
      </c>
      <c r="I224" s="68">
        <v>8648.7553126897383</v>
      </c>
      <c r="J224" s="68">
        <v>-8289.8597626752962</v>
      </c>
      <c r="K224" s="67">
        <v>0.11613876319758673</v>
      </c>
      <c r="L224" s="67">
        <v>0.11613876319758673</v>
      </c>
      <c r="M224" s="67">
        <v>0.27949972811310497</v>
      </c>
      <c r="N224" s="67">
        <v>0.20790284574950155</v>
      </c>
      <c r="O224" s="67">
        <v>0.57652399481193251</v>
      </c>
      <c r="P224" s="67">
        <v>0.39319965126416739</v>
      </c>
      <c r="Q224" s="67">
        <v>0.43108682452944747</v>
      </c>
    </row>
    <row r="225" spans="1:17" x14ac:dyDescent="0.4">
      <c r="A225" s="69">
        <v>222</v>
      </c>
      <c r="B225" s="66">
        <v>-1.0000000000000142</v>
      </c>
      <c r="C225" s="66">
        <v>-1.5015015015015227E-3</v>
      </c>
      <c r="D225" s="71">
        <v>1.9954954954954955</v>
      </c>
      <c r="E225" s="67">
        <v>0.33633633633633636</v>
      </c>
      <c r="F225" s="67">
        <v>0.33183183183183185</v>
      </c>
      <c r="G225" s="67">
        <v>0.29850207543764662</v>
      </c>
      <c r="H225" s="67">
        <v>0.16802021295794983</v>
      </c>
      <c r="I225" s="68">
        <v>8644.256348246674</v>
      </c>
      <c r="J225" s="68">
        <v>-8281.2030075187977</v>
      </c>
      <c r="K225" s="67">
        <v>0.11711711711711711</v>
      </c>
      <c r="L225" s="67">
        <v>0.11711711711711711</v>
      </c>
      <c r="M225" s="67">
        <v>0.27937195452084462</v>
      </c>
      <c r="N225" s="67">
        <v>0.20736329182458041</v>
      </c>
      <c r="O225" s="67">
        <v>0.57816537467700257</v>
      </c>
      <c r="P225" s="67">
        <v>0.39251523063533506</v>
      </c>
      <c r="Q225" s="67">
        <v>0.43107617896009676</v>
      </c>
    </row>
    <row r="226" spans="1:17" x14ac:dyDescent="0.4">
      <c r="A226" s="69">
        <v>223</v>
      </c>
      <c r="B226" s="66">
        <v>-1.0000000000000071</v>
      </c>
      <c r="C226" s="66">
        <v>-1.4947683109118193E-3</v>
      </c>
      <c r="D226" s="71">
        <v>1.9955156950672646</v>
      </c>
      <c r="E226" s="67">
        <v>0.33632286995515698</v>
      </c>
      <c r="F226" s="67">
        <v>0.33183856502242154</v>
      </c>
      <c r="G226" s="67">
        <v>0.29863358504135201</v>
      </c>
      <c r="H226" s="67">
        <v>0.16792520676015821</v>
      </c>
      <c r="I226" s="68">
        <v>8631.246237206502</v>
      </c>
      <c r="J226" s="68">
        <v>-8268.0942184154173</v>
      </c>
      <c r="K226" s="67">
        <v>0.11659192825112108</v>
      </c>
      <c r="L226" s="67">
        <v>0.11659192825112108</v>
      </c>
      <c r="M226" s="67">
        <v>0.27957569219705142</v>
      </c>
      <c r="N226" s="67">
        <v>0.20693994965839627</v>
      </c>
      <c r="O226" s="67">
        <v>0.5787781350482315</v>
      </c>
      <c r="P226" s="67">
        <v>0.39183318853171156</v>
      </c>
      <c r="Q226" s="67">
        <v>0.43166767007826612</v>
      </c>
    </row>
    <row r="227" spans="1:17" x14ac:dyDescent="0.4">
      <c r="A227" s="69">
        <v>224</v>
      </c>
      <c r="B227" s="66">
        <v>-1.0000000000000071</v>
      </c>
      <c r="C227" s="66">
        <v>-1.4880952380952486E-3</v>
      </c>
      <c r="D227" s="71">
        <v>1.9955357142857142</v>
      </c>
      <c r="E227" s="67">
        <v>0.33630952380952384</v>
      </c>
      <c r="F227" s="67">
        <v>0.33184523809523808</v>
      </c>
      <c r="G227" s="67">
        <v>0.29860365198711064</v>
      </c>
      <c r="H227" s="67">
        <v>0.16774078052273542</v>
      </c>
      <c r="I227" s="68">
        <v>8624.5803357314144</v>
      </c>
      <c r="J227" s="68">
        <v>-8266.2753468516548</v>
      </c>
      <c r="K227" s="67">
        <v>0.11755952380952381</v>
      </c>
      <c r="L227" s="67">
        <v>0.11755952380952381</v>
      </c>
      <c r="M227" s="67">
        <v>0.27980665950590761</v>
      </c>
      <c r="N227" s="67">
        <v>0.20658789831722163</v>
      </c>
      <c r="O227" s="67">
        <v>0.57837492002559177</v>
      </c>
      <c r="P227" s="67">
        <v>0.39254766031195842</v>
      </c>
      <c r="Q227" s="67">
        <v>0.43225419664268583</v>
      </c>
    </row>
    <row r="228" spans="1:17" x14ac:dyDescent="0.4">
      <c r="A228" s="69">
        <v>225</v>
      </c>
      <c r="B228" s="66">
        <v>-1.0000000000000071</v>
      </c>
      <c r="C228" s="66">
        <v>-1.481481481481492E-3</v>
      </c>
      <c r="D228" s="71">
        <v>1.9955555555555555</v>
      </c>
      <c r="E228" s="67">
        <v>0.33629629629629632</v>
      </c>
      <c r="F228" s="67">
        <v>0.33185185185185184</v>
      </c>
      <c r="G228" s="67">
        <v>0.29841439515410656</v>
      </c>
      <c r="H228" s="67">
        <v>0.16764653482985925</v>
      </c>
      <c r="I228" s="68">
        <v>8635.6417910447763</v>
      </c>
      <c r="J228" s="68">
        <v>-8276.7268862911787</v>
      </c>
      <c r="K228" s="67">
        <v>0.11851851851851852</v>
      </c>
      <c r="L228" s="67">
        <v>0.11851851851851852</v>
      </c>
      <c r="M228" s="67">
        <v>0.28006413682522713</v>
      </c>
      <c r="N228" s="67">
        <v>0.20630678781400322</v>
      </c>
      <c r="O228" s="67">
        <v>0.57697201017811706</v>
      </c>
      <c r="P228" s="67">
        <v>0.39291882556131263</v>
      </c>
      <c r="Q228" s="67">
        <v>0.43223880597014924</v>
      </c>
    </row>
    <row r="229" spans="1:17" x14ac:dyDescent="0.4">
      <c r="A229" s="69">
        <v>226</v>
      </c>
      <c r="B229" s="66">
        <v>-1.0000000000000071</v>
      </c>
      <c r="C229" s="66">
        <v>-1.474926253687326E-3</v>
      </c>
      <c r="D229" s="71">
        <v>1.9955752212389382</v>
      </c>
      <c r="E229" s="67">
        <v>0.33628318584070799</v>
      </c>
      <c r="F229" s="67">
        <v>0.33185840707964603</v>
      </c>
      <c r="G229" s="67">
        <v>0.29836705715299966</v>
      </c>
      <c r="H229" s="67">
        <v>0.16737664181753639</v>
      </c>
      <c r="I229" s="68">
        <v>8634.6222486615115</v>
      </c>
      <c r="J229" s="68">
        <v>-8268.0805938494159</v>
      </c>
      <c r="K229" s="67">
        <v>0.11799410029498525</v>
      </c>
      <c r="L229" s="67">
        <v>0.11799410029498525</v>
      </c>
      <c r="M229" s="67">
        <v>0.28026269080582178</v>
      </c>
      <c r="N229" s="67">
        <v>0.20624778132765353</v>
      </c>
      <c r="O229" s="67">
        <v>0.57631412286257122</v>
      </c>
      <c r="P229" s="67">
        <v>0.39328743545611017</v>
      </c>
      <c r="Q229" s="67">
        <v>0.43307555026769778</v>
      </c>
    </row>
    <row r="230" spans="1:17" x14ac:dyDescent="0.4">
      <c r="A230" s="69">
        <v>227</v>
      </c>
      <c r="B230" s="66">
        <v>-1.0000000000000142</v>
      </c>
      <c r="C230" s="66">
        <v>-1.4684287812041326E-3</v>
      </c>
      <c r="D230" s="71">
        <v>1.9955947136563876</v>
      </c>
      <c r="E230" s="67">
        <v>0.33627019089574156</v>
      </c>
      <c r="F230" s="67">
        <v>0.33186490455212925</v>
      </c>
      <c r="G230" s="67">
        <v>0.29832007073386385</v>
      </c>
      <c r="H230" s="67">
        <v>0.16746242263483643</v>
      </c>
      <c r="I230" s="68">
        <v>8639.7154712507418</v>
      </c>
      <c r="J230" s="68">
        <v>-8274.4456177402317</v>
      </c>
      <c r="K230" s="67">
        <v>0.11894273127753303</v>
      </c>
      <c r="L230" s="67">
        <v>0.11894273127753303</v>
      </c>
      <c r="M230" s="67">
        <v>0.28028293545534927</v>
      </c>
      <c r="N230" s="67">
        <v>0.20636604774535808</v>
      </c>
      <c r="O230" s="67">
        <v>0.57602523659305993</v>
      </c>
      <c r="P230" s="67">
        <v>0.3916023993144816</v>
      </c>
      <c r="Q230" s="67">
        <v>0.43272080616478958</v>
      </c>
    </row>
    <row r="231" spans="1:17" x14ac:dyDescent="0.4">
      <c r="A231" s="69">
        <v>228</v>
      </c>
      <c r="B231" s="66">
        <v>-1.0000000000000142</v>
      </c>
      <c r="C231" s="66">
        <v>-1.461988304093588E-3</v>
      </c>
      <c r="D231" s="71">
        <v>1.9956140350877194</v>
      </c>
      <c r="E231" s="67">
        <v>0.33625730994152048</v>
      </c>
      <c r="F231" s="67">
        <v>0.33187134502923976</v>
      </c>
      <c r="G231" s="67">
        <v>0.29860743874493212</v>
      </c>
      <c r="H231" s="67">
        <v>0.16781244491450731</v>
      </c>
      <c r="I231" s="68">
        <v>8652.4203069657615</v>
      </c>
      <c r="J231" s="68">
        <v>-8310.8193277310929</v>
      </c>
      <c r="K231" s="67">
        <v>0.11988304093567251</v>
      </c>
      <c r="L231" s="67">
        <v>0.11988304093567251</v>
      </c>
      <c r="M231" s="67">
        <v>0.28027498677948176</v>
      </c>
      <c r="N231" s="67">
        <v>0.20676890534108938</v>
      </c>
      <c r="O231" s="67">
        <v>0.57735849056603772</v>
      </c>
      <c r="P231" s="67">
        <v>0.39130434782608697</v>
      </c>
      <c r="Q231" s="67">
        <v>0.43152302243211332</v>
      </c>
    </row>
    <row r="232" spans="1:17" x14ac:dyDescent="0.4">
      <c r="A232" s="69">
        <v>229</v>
      </c>
      <c r="B232" s="66">
        <v>-1.0000000000000071</v>
      </c>
      <c r="C232" s="66">
        <v>-1.4556040756914222E-3</v>
      </c>
      <c r="D232" s="71">
        <v>1.9956331877729259</v>
      </c>
      <c r="E232" s="67">
        <v>0.33624454148471616</v>
      </c>
      <c r="F232" s="67">
        <v>0.33187772925764192</v>
      </c>
      <c r="G232" s="67">
        <v>0.2987355110642782</v>
      </c>
      <c r="H232" s="67">
        <v>0.16789603090972954</v>
      </c>
      <c r="I232" s="68">
        <v>8665.2557319223979</v>
      </c>
      <c r="J232" s="68">
        <v>-8316.2133891213398</v>
      </c>
      <c r="K232" s="67">
        <v>0.11935953420669577</v>
      </c>
      <c r="L232" s="67">
        <v>0.11935953420669577</v>
      </c>
      <c r="M232" s="67">
        <v>0.27994380049174572</v>
      </c>
      <c r="N232" s="67">
        <v>0.2065331928345627</v>
      </c>
      <c r="O232" s="67">
        <v>0.57841907151819327</v>
      </c>
      <c r="P232" s="67">
        <v>0.39030612244897961</v>
      </c>
      <c r="Q232" s="67">
        <v>0.43151087595532039</v>
      </c>
    </row>
    <row r="233" spans="1:17" x14ac:dyDescent="0.4">
      <c r="A233" s="69">
        <v>230</v>
      </c>
      <c r="B233" s="66">
        <v>-1</v>
      </c>
      <c r="C233" s="66">
        <v>-1.4492753623188406E-3</v>
      </c>
      <c r="D233" s="71">
        <v>1.9956521739130435</v>
      </c>
      <c r="E233" s="67">
        <v>0.336231884057971</v>
      </c>
      <c r="F233" s="67">
        <v>0.3318840579710145</v>
      </c>
      <c r="G233" s="67">
        <v>0.29863301787592006</v>
      </c>
      <c r="H233" s="67">
        <v>0.16771819137749738</v>
      </c>
      <c r="I233" s="68">
        <v>8694.3661971830988</v>
      </c>
      <c r="J233" s="68">
        <v>-8317.5548589341688</v>
      </c>
      <c r="K233" s="67">
        <v>0.12028985507246377</v>
      </c>
      <c r="L233" s="67">
        <v>0.12028985507246377</v>
      </c>
      <c r="M233" s="67">
        <v>0.27970557308096738</v>
      </c>
      <c r="N233" s="67">
        <v>0.20644935155976166</v>
      </c>
      <c r="O233" s="67">
        <v>0.57769423558897248</v>
      </c>
      <c r="P233" s="67">
        <v>0.39049235993208831</v>
      </c>
      <c r="Q233" s="67">
        <v>0.431924882629108</v>
      </c>
    </row>
    <row r="234" spans="1:17" x14ac:dyDescent="0.4">
      <c r="A234" s="69">
        <v>231</v>
      </c>
      <c r="B234" s="66">
        <v>-1.0000000000000142</v>
      </c>
      <c r="C234" s="66">
        <v>-1.4430014430014636E-3</v>
      </c>
      <c r="D234" s="71">
        <v>1.9956709956709957</v>
      </c>
      <c r="E234" s="67">
        <v>0.3362193362193362</v>
      </c>
      <c r="F234" s="67">
        <v>0.3318903318903319</v>
      </c>
      <c r="G234" s="67">
        <v>0.29864016736401672</v>
      </c>
      <c r="H234" s="67">
        <v>0.16788702928870292</v>
      </c>
      <c r="I234" s="68">
        <v>8687.3321657910092</v>
      </c>
      <c r="J234" s="68">
        <v>-8301.5576323987534</v>
      </c>
      <c r="K234" s="67">
        <v>0.11976911976911978</v>
      </c>
      <c r="L234" s="67">
        <v>0.11976911976911978</v>
      </c>
      <c r="M234" s="67">
        <v>0.27876569037656906</v>
      </c>
      <c r="N234" s="67">
        <v>0.20746164574616457</v>
      </c>
      <c r="O234" s="67">
        <v>0.57786116322701686</v>
      </c>
      <c r="P234" s="67">
        <v>0.39159663865546218</v>
      </c>
      <c r="Q234" s="67">
        <v>0.4314068884997081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2019-06-18T15:14:28Z</dcterms:modified>
</cp:coreProperties>
</file>