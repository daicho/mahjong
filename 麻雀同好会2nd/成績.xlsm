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73D2F35-2960-4F8E-9F57-00D55D4EB29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79" r:id="rId6"/>
    <sheet name="だいち" sheetId="5481" r:id="rId7"/>
    <sheet name="りくと" sheetId="5483" r:id="rId8"/>
    <sheet name="ただ" sheetId="5485" r:id="rId9"/>
    <sheet name="れんたろう" sheetId="5487" r:id="rId10"/>
    <sheet name="たかの" sheetId="5489" r:id="rId11"/>
    <sheet name="ぱぱ" sheetId="5491" r:id="rId12"/>
    <sheet name="まっつん" sheetId="5493" r:id="rId13"/>
    <sheet name="あさひ" sheetId="5495" r:id="rId14"/>
    <sheet name="いっしー" sheetId="5497" r:id="rId15"/>
    <sheet name="ほたに" sheetId="5499" r:id="rId16"/>
    <sheet name="かわたつ" sheetId="5501" r:id="rId17"/>
    <sheet name="やがさき" sheetId="5503" r:id="rId18"/>
    <sheet name="やがさき2" sheetId="5504" state="hidden" r:id="rId19"/>
    <sheet name="かわたつ2" sheetId="5502" state="hidden" r:id="rId20"/>
    <sheet name="ほたに2" sheetId="5500" state="hidden" r:id="rId21"/>
    <sheet name="いっしー2" sheetId="5498" state="hidden" r:id="rId22"/>
    <sheet name="あさひ2" sheetId="5496" state="hidden" r:id="rId23"/>
    <sheet name="まっつん2" sheetId="5494" state="hidden" r:id="rId24"/>
    <sheet name="ぱぱ2" sheetId="5492" state="hidden" r:id="rId25"/>
    <sheet name="たかの2" sheetId="5490" state="hidden" r:id="rId26"/>
    <sheet name="れんたろう2" sheetId="5488" state="hidden" r:id="rId27"/>
    <sheet name="ただ2" sheetId="5486" state="hidden" r:id="rId28"/>
    <sheet name="りくと2" sheetId="5484" state="hidden" r:id="rId29"/>
    <sheet name="だいち2" sheetId="5482" state="hidden" r:id="rId30"/>
    <sheet name="全体2" sheetId="548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91" l="1"/>
  <c r="O15" i="5497"/>
  <c r="O25" i="5481" l="1"/>
  <c r="O15" i="5503"/>
  <c r="O15" i="5485" l="1"/>
  <c r="O16" i="5489"/>
  <c r="O16" i="5479"/>
  <c r="O17" i="5503"/>
  <c r="O16" i="5503"/>
  <c r="C27" i="5503"/>
  <c r="B24" i="5503"/>
  <c r="C20" i="5503"/>
  <c r="B17" i="5503"/>
  <c r="H52" i="5503" s="1"/>
  <c r="C16" i="5503"/>
  <c r="C15" i="5503"/>
  <c r="C14" i="5503"/>
  <c r="C13" i="5503"/>
  <c r="O12" i="5503"/>
  <c r="C12" i="5503"/>
  <c r="O11" i="5503"/>
  <c r="C11" i="5503"/>
  <c r="O10" i="5503"/>
  <c r="C10" i="5503"/>
  <c r="C9" i="5503"/>
  <c r="C8" i="5503"/>
  <c r="O7" i="5503"/>
  <c r="C7" i="5503"/>
  <c r="O6" i="5503"/>
  <c r="B6" i="5503"/>
  <c r="O5" i="5503"/>
  <c r="B5" i="5503"/>
  <c r="O4" i="5503"/>
  <c r="O3" i="5503"/>
  <c r="O2" i="5503"/>
  <c r="O15" i="5501"/>
  <c r="O16" i="5501"/>
  <c r="H44" i="5501"/>
  <c r="H43" i="5501"/>
  <c r="H39" i="5501"/>
  <c r="H34" i="5501"/>
  <c r="H32" i="5501"/>
  <c r="H28" i="5501"/>
  <c r="C27" i="5501"/>
  <c r="H24" i="5501"/>
  <c r="B24" i="5501"/>
  <c r="C20" i="5501"/>
  <c r="C18" i="5501"/>
  <c r="H17" i="5501"/>
  <c r="B17" i="5501"/>
  <c r="H49" i="5501" s="1"/>
  <c r="H16" i="5501"/>
  <c r="C16" i="5501"/>
  <c r="C15" i="5501"/>
  <c r="H14" i="5501"/>
  <c r="C14" i="5501"/>
  <c r="C13" i="5501"/>
  <c r="O12" i="5501"/>
  <c r="H12" i="5501"/>
  <c r="C12" i="5501"/>
  <c r="O11" i="5501"/>
  <c r="H11" i="5501"/>
  <c r="C11" i="5501"/>
  <c r="O10" i="5501"/>
  <c r="C10" i="5501"/>
  <c r="H9" i="5501"/>
  <c r="C9" i="5501"/>
  <c r="H8" i="5501"/>
  <c r="C8" i="5501"/>
  <c r="O7" i="5501"/>
  <c r="C7" i="5501"/>
  <c r="O6" i="5501"/>
  <c r="H6" i="5501"/>
  <c r="B6" i="5501"/>
  <c r="O5" i="5501"/>
  <c r="H5" i="5501"/>
  <c r="B5" i="5501"/>
  <c r="O4" i="5501"/>
  <c r="H4" i="5501"/>
  <c r="O3" i="5501"/>
  <c r="H3" i="5501"/>
  <c r="O2" i="5501"/>
  <c r="H2" i="5501"/>
  <c r="O23" i="5487"/>
  <c r="O16" i="5481"/>
  <c r="O25" i="5479"/>
  <c r="H10" i="5503" l="1"/>
  <c r="C19" i="5503"/>
  <c r="H7" i="5503"/>
  <c r="H15" i="5503"/>
  <c r="H2" i="5503"/>
  <c r="H4" i="5503"/>
  <c r="H13" i="5503"/>
  <c r="H21" i="5503"/>
  <c r="H8" i="5503"/>
  <c r="C17" i="5503"/>
  <c r="H18" i="5503"/>
  <c r="H20" i="5503"/>
  <c r="H23" i="5503"/>
  <c r="H26" i="5503"/>
  <c r="H29" i="5503"/>
  <c r="H33" i="5503"/>
  <c r="H37" i="5503"/>
  <c r="H41" i="5503"/>
  <c r="H45" i="5503"/>
  <c r="H49" i="5503"/>
  <c r="H30" i="5503"/>
  <c r="H34" i="5503"/>
  <c r="H38" i="5503"/>
  <c r="H42" i="5503"/>
  <c r="H46" i="5503"/>
  <c r="H50" i="5503"/>
  <c r="H3" i="5503"/>
  <c r="H6" i="5503"/>
  <c r="H9" i="5503"/>
  <c r="H12" i="5503"/>
  <c r="H17" i="5503"/>
  <c r="H19" i="5503"/>
  <c r="H22" i="5503"/>
  <c r="H24" i="5503"/>
  <c r="H27" i="5503"/>
  <c r="H31" i="5503"/>
  <c r="H35" i="5503"/>
  <c r="H39" i="5503"/>
  <c r="H43" i="5503"/>
  <c r="H47" i="5503"/>
  <c r="H51" i="5503"/>
  <c r="H5" i="5503"/>
  <c r="H11" i="5503"/>
  <c r="H14" i="5503"/>
  <c r="H16" i="5503"/>
  <c r="C18" i="5503"/>
  <c r="B23" i="5503"/>
  <c r="H25" i="5503"/>
  <c r="H28" i="5503"/>
  <c r="H32" i="5503"/>
  <c r="H36" i="5503"/>
  <c r="H40" i="5503"/>
  <c r="H44" i="5503"/>
  <c r="H48" i="5503"/>
  <c r="H21" i="5501"/>
  <c r="H27" i="5501"/>
  <c r="H38" i="5501"/>
  <c r="H48" i="5501"/>
  <c r="H50" i="5501"/>
  <c r="H22" i="5501"/>
  <c r="H25" i="5501"/>
  <c r="H35" i="5501"/>
  <c r="H40" i="5501"/>
  <c r="H46" i="5501"/>
  <c r="H51" i="5501"/>
  <c r="H10" i="5501"/>
  <c r="C19" i="5501"/>
  <c r="H30" i="5501"/>
  <c r="H7" i="5501"/>
  <c r="H13" i="5501"/>
  <c r="H15" i="5501"/>
  <c r="C17" i="5501"/>
  <c r="H19" i="5501"/>
  <c r="B23" i="5501"/>
  <c r="H31" i="5501"/>
  <c r="H36" i="5501"/>
  <c r="H42" i="5501"/>
  <c r="H47" i="5501"/>
  <c r="H52" i="5501"/>
  <c r="H18" i="5501"/>
  <c r="H20" i="5501"/>
  <c r="H23" i="5501"/>
  <c r="H26" i="5501"/>
  <c r="H29" i="5501"/>
  <c r="H33" i="5501"/>
  <c r="H37" i="5501"/>
  <c r="H41" i="5501"/>
  <c r="H45" i="5501"/>
  <c r="O17" i="5489" l="1"/>
  <c r="O18" i="5497"/>
  <c r="O20" i="5499" l="1"/>
  <c r="O18" i="5499"/>
  <c r="O16" i="5493"/>
  <c r="O20" i="5483"/>
  <c r="O24" i="5481" l="1"/>
  <c r="O17" i="5499"/>
  <c r="O21" i="5491"/>
  <c r="O15" i="5499"/>
  <c r="O16" i="5499" l="1"/>
  <c r="O19" i="5499"/>
  <c r="C27" i="5499"/>
  <c r="B24" i="5499"/>
  <c r="C20" i="5499"/>
  <c r="B17" i="5499"/>
  <c r="H50" i="5499" s="1"/>
  <c r="C16" i="5499"/>
  <c r="C15" i="5499"/>
  <c r="C14" i="5499"/>
  <c r="C13" i="5499"/>
  <c r="O12" i="5499"/>
  <c r="C12" i="5499"/>
  <c r="O11" i="5499"/>
  <c r="C11" i="5499"/>
  <c r="O10" i="5499"/>
  <c r="C10" i="5499"/>
  <c r="C9" i="5499"/>
  <c r="C8" i="5499"/>
  <c r="O7" i="5499"/>
  <c r="C7" i="5499"/>
  <c r="O6" i="5499"/>
  <c r="B6" i="5499"/>
  <c r="O5" i="5499"/>
  <c r="B5" i="5499"/>
  <c r="O4" i="5499"/>
  <c r="O3" i="5499"/>
  <c r="O2" i="5499"/>
  <c r="O21" i="5487"/>
  <c r="O20" i="5489"/>
  <c r="O22" i="5479"/>
  <c r="H32" i="5499" l="1"/>
  <c r="H2" i="5499"/>
  <c r="H16" i="5499"/>
  <c r="H39" i="5499"/>
  <c r="H5" i="5499"/>
  <c r="H9" i="5499"/>
  <c r="H25" i="5499"/>
  <c r="H4" i="5499"/>
  <c r="C18" i="5499"/>
  <c r="H40" i="5499"/>
  <c r="H22" i="5499"/>
  <c r="H8" i="5499"/>
  <c r="H10" i="5499"/>
  <c r="H17" i="5499"/>
  <c r="B23" i="5499"/>
  <c r="H31" i="5499"/>
  <c r="H47" i="5499"/>
  <c r="H48" i="5499"/>
  <c r="H19" i="5499"/>
  <c r="H35" i="5499"/>
  <c r="H43" i="5499"/>
  <c r="H51" i="5499"/>
  <c r="H12" i="5499"/>
  <c r="H14" i="5499"/>
  <c r="H27" i="5499"/>
  <c r="H3" i="5499"/>
  <c r="H6" i="5499"/>
  <c r="H11" i="5499"/>
  <c r="C17" i="5499"/>
  <c r="H24" i="5499"/>
  <c r="H28" i="5499"/>
  <c r="H36" i="5499"/>
  <c r="H44" i="5499"/>
  <c r="H52" i="5499"/>
  <c r="H18" i="5499"/>
  <c r="H20" i="5499"/>
  <c r="H23" i="5499"/>
  <c r="H26" i="5499"/>
  <c r="H29" i="5499"/>
  <c r="H33" i="5499"/>
  <c r="H37" i="5499"/>
  <c r="H41" i="5499"/>
  <c r="H45" i="5499"/>
  <c r="H49" i="5499"/>
  <c r="H7" i="5499"/>
  <c r="H13" i="5499"/>
  <c r="H15" i="5499"/>
  <c r="C19" i="5499"/>
  <c r="H21" i="5499"/>
  <c r="H30" i="5499"/>
  <c r="H34" i="5499"/>
  <c r="H38" i="5499"/>
  <c r="H42" i="5499"/>
  <c r="H46" i="5499"/>
  <c r="O22" i="5489" l="1"/>
  <c r="O17" i="5485"/>
  <c r="O20" i="5493"/>
  <c r="O18" i="5493"/>
  <c r="O20" i="5481" l="1"/>
  <c r="O19" i="5497"/>
  <c r="O20" i="5497" l="1"/>
  <c r="O16" i="5497"/>
  <c r="O15" i="5487"/>
  <c r="O20" i="5485"/>
  <c r="O17" i="5495" l="1"/>
  <c r="O22" i="5491"/>
  <c r="O15" i="5495"/>
  <c r="O22" i="5497"/>
  <c r="O15" i="5483"/>
  <c r="O21" i="5493"/>
  <c r="O18" i="5479"/>
  <c r="O21" i="5497"/>
  <c r="O17" i="5497"/>
  <c r="C27" i="5497"/>
  <c r="B24" i="5497"/>
  <c r="C20" i="5497"/>
  <c r="B17" i="5497"/>
  <c r="H50" i="5497" s="1"/>
  <c r="C16" i="5497"/>
  <c r="C15" i="5497"/>
  <c r="C14" i="5497"/>
  <c r="C13" i="5497"/>
  <c r="O12" i="5497"/>
  <c r="H12" i="5497"/>
  <c r="C12" i="5497"/>
  <c r="O11" i="5497"/>
  <c r="C11" i="5497"/>
  <c r="O10" i="5497"/>
  <c r="C10" i="5497"/>
  <c r="C9" i="5497"/>
  <c r="C8" i="5497"/>
  <c r="O7" i="5497"/>
  <c r="C7" i="5497"/>
  <c r="O6" i="5497"/>
  <c r="H6" i="5497"/>
  <c r="B6" i="5497"/>
  <c r="O5" i="5497"/>
  <c r="B5" i="5497"/>
  <c r="O4" i="5497"/>
  <c r="O3" i="5497"/>
  <c r="O2" i="5497"/>
  <c r="O16" i="5495"/>
  <c r="O18" i="5495"/>
  <c r="C27" i="5495"/>
  <c r="H25" i="5495"/>
  <c r="B24" i="5495"/>
  <c r="C20" i="5495"/>
  <c r="B17" i="5495"/>
  <c r="H50" i="5495" s="1"/>
  <c r="C16" i="5495"/>
  <c r="C15" i="5495"/>
  <c r="C14" i="5495"/>
  <c r="C13" i="5495"/>
  <c r="O12" i="5495"/>
  <c r="C12" i="5495"/>
  <c r="O11" i="5495"/>
  <c r="C11" i="5495"/>
  <c r="O10" i="5495"/>
  <c r="C10" i="5495"/>
  <c r="C9" i="5495"/>
  <c r="C8" i="5495"/>
  <c r="O7" i="5495"/>
  <c r="C7" i="5495"/>
  <c r="O6" i="5495"/>
  <c r="B6" i="5495"/>
  <c r="O5" i="5495"/>
  <c r="B5" i="5495"/>
  <c r="O4" i="5495"/>
  <c r="O3" i="5495"/>
  <c r="O2" i="5495"/>
  <c r="O22" i="5493"/>
  <c r="O23" i="5493"/>
  <c r="O15" i="5481"/>
  <c r="O19" i="5481"/>
  <c r="O26" i="5479"/>
  <c r="H3" i="5497" l="1"/>
  <c r="H32" i="5495"/>
  <c r="H5" i="5495"/>
  <c r="H9" i="5495"/>
  <c r="H4" i="5495"/>
  <c r="C18" i="5495"/>
  <c r="H2" i="5495"/>
  <c r="H16" i="5495"/>
  <c r="H39" i="5495"/>
  <c r="H40" i="5495"/>
  <c r="H22" i="5495"/>
  <c r="H8" i="5495"/>
  <c r="H10" i="5495"/>
  <c r="H17" i="5495"/>
  <c r="B23" i="5495"/>
  <c r="H31" i="5495"/>
  <c r="H48" i="5495"/>
  <c r="H47" i="5495"/>
  <c r="H27" i="5495"/>
  <c r="H43" i="5495"/>
  <c r="H51" i="5495"/>
  <c r="H12" i="5495"/>
  <c r="H14" i="5495"/>
  <c r="H19" i="5495"/>
  <c r="H35" i="5495"/>
  <c r="H3" i="5495"/>
  <c r="H6" i="5495"/>
  <c r="H11" i="5495"/>
  <c r="C17" i="5495"/>
  <c r="H24" i="5495"/>
  <c r="H28" i="5495"/>
  <c r="H36" i="5495"/>
  <c r="H44" i="5495"/>
  <c r="H52" i="5495"/>
  <c r="H16" i="5497"/>
  <c r="H25" i="5497"/>
  <c r="H39" i="5497"/>
  <c r="H14" i="5497"/>
  <c r="H40" i="5497"/>
  <c r="H5" i="5497"/>
  <c r="H17" i="5497"/>
  <c r="H31" i="5497"/>
  <c r="H47" i="5497"/>
  <c r="H22" i="5497"/>
  <c r="H8" i="5497"/>
  <c r="B23" i="5497"/>
  <c r="H2" i="5497"/>
  <c r="H4" i="5497"/>
  <c r="C18" i="5497"/>
  <c r="H32" i="5497"/>
  <c r="H48" i="5497"/>
  <c r="H19" i="5497"/>
  <c r="H27" i="5497"/>
  <c r="H35" i="5497"/>
  <c r="H43" i="5497"/>
  <c r="H51" i="5497"/>
  <c r="H9" i="5497"/>
  <c r="H11" i="5497"/>
  <c r="C17" i="5497"/>
  <c r="H24" i="5497"/>
  <c r="H28" i="5497"/>
  <c r="H36" i="5497"/>
  <c r="H44" i="5497"/>
  <c r="H52" i="5497"/>
  <c r="H29" i="5497"/>
  <c r="H49" i="5497"/>
  <c r="H10" i="5497"/>
  <c r="H18" i="5497"/>
  <c r="H20" i="5497"/>
  <c r="H23" i="5497"/>
  <c r="H26" i="5497"/>
  <c r="H33" i="5497"/>
  <c r="H37" i="5497"/>
  <c r="H41" i="5497"/>
  <c r="H45" i="5497"/>
  <c r="H7" i="5497"/>
  <c r="H13" i="5497"/>
  <c r="H15" i="5497"/>
  <c r="C19" i="5497"/>
  <c r="H21" i="5497"/>
  <c r="H30" i="5497"/>
  <c r="H34" i="5497"/>
  <c r="H38" i="5497"/>
  <c r="H42" i="5497"/>
  <c r="H46" i="5497"/>
  <c r="H18" i="5495"/>
  <c r="H20" i="5495"/>
  <c r="H23" i="5495"/>
  <c r="H26" i="5495"/>
  <c r="H29" i="5495"/>
  <c r="H33" i="5495"/>
  <c r="H37" i="5495"/>
  <c r="H41" i="5495"/>
  <c r="H45" i="5495"/>
  <c r="H49" i="5495"/>
  <c r="H7" i="5495"/>
  <c r="H13" i="5495"/>
  <c r="H15" i="5495"/>
  <c r="C19" i="5495"/>
  <c r="H21" i="5495"/>
  <c r="H30" i="5495"/>
  <c r="H34" i="5495"/>
  <c r="H38" i="5495"/>
  <c r="H42" i="5495"/>
  <c r="H46" i="5495"/>
  <c r="O17" i="5493" l="1"/>
  <c r="O20" i="5491"/>
  <c r="O17" i="5491"/>
  <c r="O17" i="5483"/>
  <c r="O18" i="5489" l="1"/>
  <c r="O17" i="5487"/>
  <c r="O16" i="5491"/>
  <c r="O18" i="5491"/>
  <c r="O15" i="5489" l="1"/>
  <c r="O16" i="5487"/>
  <c r="O22" i="5485"/>
  <c r="O18" i="5485"/>
  <c r="O15" i="5493"/>
  <c r="O19" i="5493"/>
  <c r="C27" i="5493"/>
  <c r="B24" i="5493"/>
  <c r="C20" i="5493"/>
  <c r="B17" i="5493"/>
  <c r="H4" i="5493" s="1"/>
  <c r="C16" i="5493"/>
  <c r="C15" i="5493"/>
  <c r="C14" i="5493"/>
  <c r="C13" i="5493"/>
  <c r="O12" i="5493"/>
  <c r="C12" i="5493"/>
  <c r="O11" i="5493"/>
  <c r="C11" i="5493"/>
  <c r="O10" i="5493"/>
  <c r="C10" i="5493"/>
  <c r="C9" i="5493"/>
  <c r="C8" i="5493"/>
  <c r="O7" i="5493"/>
  <c r="C7" i="5493"/>
  <c r="O6" i="5493"/>
  <c r="B6" i="5493"/>
  <c r="O5" i="5493"/>
  <c r="B5" i="5493"/>
  <c r="O4" i="5493"/>
  <c r="O3" i="5493"/>
  <c r="O2" i="5493"/>
  <c r="O22" i="5487"/>
  <c r="O21" i="5483"/>
  <c r="O23" i="5479"/>
  <c r="H3" i="5493" l="1"/>
  <c r="H21" i="5493"/>
  <c r="H27" i="5493"/>
  <c r="H12" i="5493"/>
  <c r="H34" i="5493"/>
  <c r="H2" i="5493"/>
  <c r="H41" i="5493"/>
  <c r="H15" i="5493"/>
  <c r="C18" i="5493"/>
  <c r="B23" i="5493"/>
  <c r="H9" i="5493"/>
  <c r="H7" i="5493"/>
  <c r="H26" i="5493"/>
  <c r="H6" i="5493"/>
  <c r="H11" i="5493"/>
  <c r="H5" i="5493"/>
  <c r="C19" i="5493"/>
  <c r="H8" i="5493"/>
  <c r="H22" i="5493"/>
  <c r="H28" i="5493"/>
  <c r="C17" i="5493"/>
  <c r="H14" i="5493"/>
  <c r="H20" i="5493"/>
  <c r="H45" i="5493"/>
  <c r="H49" i="5493"/>
  <c r="H32" i="5493"/>
  <c r="H38" i="5493"/>
  <c r="H52" i="5493"/>
  <c r="H29" i="5493"/>
  <c r="H30" i="5493"/>
  <c r="H18" i="5493"/>
  <c r="H33" i="5493"/>
  <c r="H16" i="5493"/>
  <c r="H35" i="5493"/>
  <c r="H39" i="5493"/>
  <c r="H42" i="5493"/>
  <c r="H46" i="5493"/>
  <c r="H50" i="5493"/>
  <c r="H23" i="5493"/>
  <c r="H36" i="5493"/>
  <c r="H40" i="5493"/>
  <c r="H43" i="5493"/>
  <c r="H47" i="5493"/>
  <c r="H51" i="5493"/>
  <c r="H19" i="5493"/>
  <c r="H17" i="5493"/>
  <c r="H31" i="5493"/>
  <c r="H13" i="5493"/>
  <c r="H10" i="5493"/>
  <c r="H24" i="5493"/>
  <c r="H37" i="5493"/>
  <c r="H25" i="5493"/>
  <c r="H44" i="5493"/>
  <c r="H48" i="5493"/>
  <c r="O19" i="5485" l="1"/>
  <c r="O19" i="5491"/>
  <c r="O15" i="5491"/>
  <c r="C27" i="5491"/>
  <c r="B24" i="5491"/>
  <c r="C20" i="5491"/>
  <c r="B17" i="5491"/>
  <c r="H52" i="5491" s="1"/>
  <c r="C16" i="5491"/>
  <c r="C15" i="5491"/>
  <c r="C14" i="5491"/>
  <c r="C13" i="5491"/>
  <c r="O12" i="5491"/>
  <c r="C12" i="5491"/>
  <c r="O11" i="5491"/>
  <c r="C11" i="5491"/>
  <c r="O10" i="5491"/>
  <c r="C10" i="5491"/>
  <c r="C9" i="5491"/>
  <c r="C8" i="5491"/>
  <c r="O7" i="5491"/>
  <c r="C7" i="5491"/>
  <c r="O6" i="5491"/>
  <c r="B6" i="5491"/>
  <c r="O5" i="5491"/>
  <c r="B5" i="5491"/>
  <c r="O4" i="5491"/>
  <c r="O3" i="5491"/>
  <c r="O2" i="5491"/>
  <c r="O22" i="5481"/>
  <c r="O17" i="5479"/>
  <c r="O19" i="5489"/>
  <c r="O18" i="5483"/>
  <c r="O19" i="5483"/>
  <c r="O19" i="5487"/>
  <c r="O21" i="5489"/>
  <c r="O23" i="5489"/>
  <c r="C27" i="5489"/>
  <c r="B24" i="5489"/>
  <c r="C20" i="5489"/>
  <c r="B17" i="5489"/>
  <c r="H50" i="5489" s="1"/>
  <c r="C16" i="5489"/>
  <c r="C15" i="5489"/>
  <c r="C14" i="5489"/>
  <c r="C13" i="5489"/>
  <c r="O12" i="5489"/>
  <c r="C12" i="5489"/>
  <c r="O11" i="5489"/>
  <c r="C11" i="5489"/>
  <c r="O10" i="5489"/>
  <c r="C10" i="5489"/>
  <c r="C9" i="5489"/>
  <c r="C8" i="5489"/>
  <c r="O7" i="5489"/>
  <c r="C7" i="5489"/>
  <c r="O6" i="5489"/>
  <c r="B6" i="5489"/>
  <c r="O5" i="5489"/>
  <c r="B5" i="5489"/>
  <c r="O4" i="5489"/>
  <c r="O3" i="5489"/>
  <c r="O2" i="5489"/>
  <c r="O20" i="5487"/>
  <c r="O18" i="5487"/>
  <c r="C27" i="5487"/>
  <c r="B24" i="5487"/>
  <c r="C20" i="5487"/>
  <c r="B17" i="5487"/>
  <c r="H50" i="5487" s="1"/>
  <c r="C16" i="5487"/>
  <c r="C15" i="5487"/>
  <c r="C14" i="5487"/>
  <c r="C13" i="5487"/>
  <c r="O12" i="5487"/>
  <c r="C12" i="5487"/>
  <c r="O11" i="5487"/>
  <c r="C11" i="5487"/>
  <c r="O10" i="5487"/>
  <c r="C10" i="5487"/>
  <c r="C9" i="5487"/>
  <c r="C8" i="5487"/>
  <c r="O7" i="5487"/>
  <c r="C7" i="5487"/>
  <c r="O6" i="5487"/>
  <c r="B6" i="5487"/>
  <c r="O5" i="5487"/>
  <c r="B5" i="5487"/>
  <c r="O4" i="5487"/>
  <c r="O3" i="5487"/>
  <c r="O2" i="5487"/>
  <c r="O18" i="5481"/>
  <c r="O23" i="5481"/>
  <c r="O20" i="5479"/>
  <c r="O21" i="5479"/>
  <c r="H6" i="5491" l="1"/>
  <c r="H9" i="5489"/>
  <c r="H4" i="5489"/>
  <c r="H39" i="5489"/>
  <c r="H2" i="5489"/>
  <c r="H16" i="5489"/>
  <c r="H25" i="5489"/>
  <c r="H5" i="5487"/>
  <c r="H9" i="5487"/>
  <c r="H41" i="5491"/>
  <c r="C17" i="5491"/>
  <c r="H28" i="5491"/>
  <c r="H45" i="5491"/>
  <c r="H11" i="5491"/>
  <c r="H9" i="5491"/>
  <c r="H3" i="5491"/>
  <c r="H8" i="5491"/>
  <c r="H21" i="5491"/>
  <c r="H16" i="5491"/>
  <c r="H33" i="5491"/>
  <c r="H49" i="5491"/>
  <c r="H4" i="5491"/>
  <c r="H2" i="5491"/>
  <c r="H12" i="5491"/>
  <c r="H26" i="5491"/>
  <c r="H13" i="5491"/>
  <c r="H37" i="5491"/>
  <c r="H5" i="5491"/>
  <c r="H25" i="5491"/>
  <c r="H27" i="5491"/>
  <c r="H29" i="5491"/>
  <c r="H30" i="5491"/>
  <c r="H18" i="5491"/>
  <c r="H35" i="5491"/>
  <c r="H39" i="5491"/>
  <c r="H43" i="5491"/>
  <c r="H47" i="5491"/>
  <c r="H51" i="5491"/>
  <c r="H10" i="5491"/>
  <c r="H22" i="5491"/>
  <c r="H24" i="5491"/>
  <c r="C19" i="5491"/>
  <c r="H17" i="5491"/>
  <c r="H32" i="5491"/>
  <c r="H36" i="5491"/>
  <c r="H40" i="5491"/>
  <c r="H44" i="5491"/>
  <c r="H48" i="5491"/>
  <c r="H19" i="5491"/>
  <c r="H7" i="5491"/>
  <c r="H14" i="5491"/>
  <c r="H23" i="5491"/>
  <c r="H15" i="5491"/>
  <c r="C18" i="5491"/>
  <c r="B23" i="5491"/>
  <c r="H20" i="5491"/>
  <c r="H31" i="5491"/>
  <c r="H34" i="5491"/>
  <c r="H38" i="5491"/>
  <c r="H42" i="5491"/>
  <c r="H46" i="5491"/>
  <c r="H50" i="5491"/>
  <c r="H40" i="5489"/>
  <c r="H47" i="5489"/>
  <c r="H22" i="5489"/>
  <c r="H8" i="5489"/>
  <c r="H10" i="5489"/>
  <c r="H17" i="5489"/>
  <c r="B23" i="5489"/>
  <c r="H31" i="5489"/>
  <c r="H5" i="5489"/>
  <c r="C18" i="5489"/>
  <c r="H32" i="5489"/>
  <c r="H12" i="5487"/>
  <c r="H14" i="5487"/>
  <c r="H48" i="5489"/>
  <c r="H27" i="5489"/>
  <c r="H35" i="5489"/>
  <c r="H43" i="5489"/>
  <c r="H51" i="5489"/>
  <c r="H12" i="5489"/>
  <c r="H14" i="5489"/>
  <c r="H19" i="5489"/>
  <c r="H3" i="5489"/>
  <c r="H6" i="5489"/>
  <c r="H11" i="5489"/>
  <c r="C17" i="5489"/>
  <c r="H24" i="5489"/>
  <c r="H28" i="5489"/>
  <c r="H36" i="5489"/>
  <c r="H44" i="5489"/>
  <c r="H52" i="5489"/>
  <c r="H18" i="5489"/>
  <c r="H20" i="5489"/>
  <c r="H23" i="5489"/>
  <c r="H26" i="5489"/>
  <c r="H29" i="5489"/>
  <c r="H33" i="5489"/>
  <c r="H37" i="5489"/>
  <c r="H41" i="5489"/>
  <c r="H45" i="5489"/>
  <c r="H49" i="5489"/>
  <c r="H7" i="5489"/>
  <c r="H13" i="5489"/>
  <c r="H15" i="5489"/>
  <c r="C19" i="5489"/>
  <c r="H21" i="5489"/>
  <c r="H30" i="5489"/>
  <c r="H34" i="5489"/>
  <c r="H38" i="5489"/>
  <c r="H42" i="5489"/>
  <c r="H46" i="5489"/>
  <c r="H8" i="5487"/>
  <c r="H10" i="5487"/>
  <c r="H17" i="5487"/>
  <c r="H22" i="5487"/>
  <c r="H25" i="5487"/>
  <c r="H31" i="5487"/>
  <c r="H39" i="5487"/>
  <c r="H47" i="5487"/>
  <c r="H2" i="5487"/>
  <c r="H4" i="5487"/>
  <c r="H16" i="5487"/>
  <c r="C18" i="5487"/>
  <c r="B23" i="5487"/>
  <c r="H32" i="5487"/>
  <c r="H40" i="5487"/>
  <c r="H48" i="5487"/>
  <c r="H19" i="5487"/>
  <c r="H27" i="5487"/>
  <c r="H35" i="5487"/>
  <c r="H43" i="5487"/>
  <c r="H51" i="5487"/>
  <c r="H3" i="5487"/>
  <c r="H6" i="5487"/>
  <c r="H11" i="5487"/>
  <c r="C17" i="5487"/>
  <c r="H24" i="5487"/>
  <c r="H28" i="5487"/>
  <c r="H36" i="5487"/>
  <c r="H44" i="5487"/>
  <c r="H52" i="5487"/>
  <c r="H18" i="5487"/>
  <c r="H20" i="5487"/>
  <c r="H23" i="5487"/>
  <c r="H26" i="5487"/>
  <c r="H29" i="5487"/>
  <c r="H33" i="5487"/>
  <c r="H37" i="5487"/>
  <c r="H41" i="5487"/>
  <c r="H45" i="5487"/>
  <c r="H49" i="5487"/>
  <c r="H7" i="5487"/>
  <c r="H13" i="5487"/>
  <c r="H15" i="5487"/>
  <c r="C19" i="5487"/>
  <c r="H21" i="5487"/>
  <c r="H30" i="5487"/>
  <c r="H34" i="5487"/>
  <c r="H38" i="5487"/>
  <c r="H42" i="5487"/>
  <c r="H46" i="5487"/>
  <c r="O16" i="5485" l="1"/>
  <c r="O21" i="5485"/>
  <c r="C27" i="5485"/>
  <c r="B24" i="5485"/>
  <c r="C20" i="5485"/>
  <c r="B17" i="5485"/>
  <c r="H51" i="5485" s="1"/>
  <c r="C16" i="5485"/>
  <c r="C15" i="5485"/>
  <c r="C14" i="5485"/>
  <c r="C13" i="5485"/>
  <c r="O12" i="5485"/>
  <c r="C12" i="5485"/>
  <c r="O11" i="5485"/>
  <c r="C11" i="5485"/>
  <c r="O10" i="5485"/>
  <c r="C10" i="5485"/>
  <c r="C9" i="5485"/>
  <c r="C8" i="5485"/>
  <c r="O7" i="5485"/>
  <c r="C7" i="5485"/>
  <c r="O6" i="5485"/>
  <c r="B6" i="5485"/>
  <c r="O5" i="5485"/>
  <c r="B5" i="5485"/>
  <c r="O4" i="5485"/>
  <c r="O3" i="5485"/>
  <c r="O2" i="5485"/>
  <c r="O22" i="5483"/>
  <c r="O16" i="5483"/>
  <c r="C27" i="5483"/>
  <c r="B24" i="5483"/>
  <c r="C20" i="5483"/>
  <c r="B17" i="5483"/>
  <c r="H5" i="5483" s="1"/>
  <c r="C16" i="5483"/>
  <c r="C15" i="5483"/>
  <c r="C14" i="5483"/>
  <c r="C13" i="5483"/>
  <c r="O12" i="5483"/>
  <c r="C12" i="5483"/>
  <c r="O11" i="5483"/>
  <c r="C11" i="5483"/>
  <c r="O10" i="5483"/>
  <c r="C10" i="5483"/>
  <c r="C9" i="5483"/>
  <c r="C8" i="5483"/>
  <c r="O7" i="5483"/>
  <c r="C7" i="5483"/>
  <c r="O6" i="5483"/>
  <c r="B6" i="5483"/>
  <c r="O5" i="5483"/>
  <c r="B5" i="5483"/>
  <c r="O4" i="5483"/>
  <c r="O3" i="5483"/>
  <c r="O2" i="5483"/>
  <c r="O24" i="5479"/>
  <c r="O17" i="5481"/>
  <c r="O21" i="5481"/>
  <c r="C27" i="5481"/>
  <c r="B24" i="5481"/>
  <c r="C20" i="5481"/>
  <c r="B17" i="5481"/>
  <c r="H15" i="5481" s="1"/>
  <c r="C16" i="5481"/>
  <c r="C15" i="5481"/>
  <c r="C14" i="5481"/>
  <c r="C13" i="5481"/>
  <c r="O12" i="5481"/>
  <c r="C12" i="5481"/>
  <c r="O11" i="5481"/>
  <c r="C11" i="5481"/>
  <c r="O10" i="5481"/>
  <c r="C10" i="5481"/>
  <c r="C9" i="5481"/>
  <c r="C8" i="5481"/>
  <c r="O7" i="5481"/>
  <c r="C7" i="5481"/>
  <c r="O6" i="5481"/>
  <c r="B6" i="5481"/>
  <c r="O5" i="5481"/>
  <c r="B5" i="5481"/>
  <c r="O4" i="5481"/>
  <c r="O3" i="5481"/>
  <c r="O2" i="5481"/>
  <c r="O15" i="5479"/>
  <c r="O19" i="5479"/>
  <c r="C27" i="5479"/>
  <c r="B24" i="5479"/>
  <c r="C20" i="5479"/>
  <c r="B17" i="5479"/>
  <c r="H19" i="5479" s="1"/>
  <c r="C16" i="5479"/>
  <c r="C15" i="5479"/>
  <c r="C14" i="5479"/>
  <c r="C13" i="5479"/>
  <c r="O12" i="5479"/>
  <c r="C12" i="5479"/>
  <c r="O11" i="5479"/>
  <c r="C11" i="5479"/>
  <c r="O10" i="5479"/>
  <c r="C10" i="5479"/>
  <c r="C9" i="5479"/>
  <c r="C8" i="5479"/>
  <c r="O7" i="5479"/>
  <c r="C7" i="5479"/>
  <c r="O6" i="5479"/>
  <c r="B6" i="5479"/>
  <c r="O5" i="5479"/>
  <c r="B5" i="5479"/>
  <c r="O4" i="5479"/>
  <c r="O3" i="5479"/>
  <c r="O2" i="5479"/>
  <c r="H9" i="5485" l="1"/>
  <c r="H3" i="5485"/>
  <c r="H21" i="5485"/>
  <c r="H21" i="5483"/>
  <c r="H15" i="5479"/>
  <c r="H25" i="5479"/>
  <c r="H2" i="5485"/>
  <c r="H5" i="5485"/>
  <c r="H3" i="5483"/>
  <c r="C17" i="5483"/>
  <c r="C19" i="5485"/>
  <c r="H30" i="5485"/>
  <c r="H19" i="5485"/>
  <c r="H20" i="5485"/>
  <c r="H40" i="5485"/>
  <c r="H48" i="5485"/>
  <c r="H8" i="5485"/>
  <c r="C17" i="5485"/>
  <c r="H16" i="5485"/>
  <c r="B23" i="5485"/>
  <c r="H33" i="5485"/>
  <c r="H41" i="5485"/>
  <c r="H49" i="5485"/>
  <c r="H22" i="5485"/>
  <c r="H11" i="5485"/>
  <c r="H6" i="5485"/>
  <c r="H10" i="5485"/>
  <c r="H17" i="5485"/>
  <c r="H18" i="5485"/>
  <c r="H12" i="5485"/>
  <c r="H36" i="5485"/>
  <c r="H44" i="5485"/>
  <c r="H4" i="5485"/>
  <c r="H7" i="5485"/>
  <c r="H26" i="5485"/>
  <c r="H27" i="5485"/>
  <c r="H14" i="5485"/>
  <c r="C18" i="5485"/>
  <c r="H15" i="5485"/>
  <c r="H13" i="5485"/>
  <c r="H32" i="5485"/>
  <c r="H37" i="5485"/>
  <c r="H45" i="5485"/>
  <c r="H52" i="5485"/>
  <c r="H28" i="5485"/>
  <c r="H29" i="5485"/>
  <c r="H31" i="5485"/>
  <c r="H23" i="5485"/>
  <c r="H24" i="5485"/>
  <c r="H34" i="5485"/>
  <c r="H38" i="5485"/>
  <c r="H42" i="5485"/>
  <c r="H46" i="5485"/>
  <c r="H50" i="5485"/>
  <c r="H25" i="5485"/>
  <c r="H35" i="5485"/>
  <c r="H39" i="5485"/>
  <c r="H43" i="5485"/>
  <c r="H47" i="5485"/>
  <c r="H34" i="5483"/>
  <c r="H23" i="5483"/>
  <c r="H6" i="5483"/>
  <c r="C18" i="5483"/>
  <c r="B23" i="5483"/>
  <c r="H35" i="5483"/>
  <c r="H4" i="5483"/>
  <c r="H20" i="5483"/>
  <c r="H14" i="5483"/>
  <c r="H10" i="5483"/>
  <c r="H2" i="5483"/>
  <c r="H8" i="5483"/>
  <c r="H29" i="5483"/>
  <c r="H18" i="5483"/>
  <c r="C19" i="5483"/>
  <c r="H42" i="5483"/>
  <c r="H46" i="5483"/>
  <c r="H50" i="5483"/>
  <c r="H33" i="5483"/>
  <c r="H38" i="5483"/>
  <c r="H52" i="5483"/>
  <c r="H30" i="5483"/>
  <c r="H31" i="5483"/>
  <c r="H32" i="5483"/>
  <c r="H25" i="5483"/>
  <c r="H17" i="5483"/>
  <c r="H28" i="5483"/>
  <c r="H39" i="5483"/>
  <c r="H43" i="5483"/>
  <c r="H47" i="5483"/>
  <c r="H51" i="5483"/>
  <c r="H26" i="5483"/>
  <c r="H36" i="5483"/>
  <c r="H40" i="5483"/>
  <c r="H44" i="5483"/>
  <c r="H48" i="5483"/>
  <c r="H19" i="5483"/>
  <c r="H9" i="5483"/>
  <c r="H7" i="5483"/>
  <c r="H12" i="5483"/>
  <c r="H22" i="5483"/>
  <c r="H16" i="5483"/>
  <c r="H15" i="5483"/>
  <c r="H24" i="5483"/>
  <c r="H13" i="5483"/>
  <c r="H11" i="5483"/>
  <c r="H27" i="5483"/>
  <c r="H37" i="5483"/>
  <c r="H41" i="5483"/>
  <c r="H45" i="5483"/>
  <c r="H49" i="5483"/>
  <c r="H3" i="5479"/>
  <c r="H33" i="5479"/>
  <c r="H30" i="5481"/>
  <c r="H31" i="5481"/>
  <c r="H13" i="5481"/>
  <c r="H6" i="5481"/>
  <c r="H11" i="5481"/>
  <c r="H3" i="5481"/>
  <c r="H19" i="5481"/>
  <c r="H26" i="5481"/>
  <c r="H27" i="5481"/>
  <c r="H28" i="5481"/>
  <c r="H41" i="5481"/>
  <c r="H49" i="5481"/>
  <c r="H4" i="5481"/>
  <c r="H2" i="5481"/>
  <c r="H16" i="5481"/>
  <c r="C18" i="5481"/>
  <c r="B23" i="5481"/>
  <c r="H35" i="5481"/>
  <c r="H42" i="5481"/>
  <c r="H50" i="5481"/>
  <c r="H17" i="5481"/>
  <c r="H9" i="5481"/>
  <c r="H37" i="5481"/>
  <c r="H45" i="5481"/>
  <c r="H5" i="5481"/>
  <c r="H10" i="5481"/>
  <c r="H7" i="5481"/>
  <c r="H21" i="5481"/>
  <c r="C17" i="5481"/>
  <c r="H12" i="5481"/>
  <c r="H24" i="5481"/>
  <c r="H38" i="5481"/>
  <c r="H46" i="5481"/>
  <c r="H52" i="5481"/>
  <c r="H32" i="5481"/>
  <c r="H33" i="5481"/>
  <c r="H20" i="5481"/>
  <c r="H34" i="5481"/>
  <c r="H18" i="5481"/>
  <c r="H29" i="5481"/>
  <c r="H39" i="5481"/>
  <c r="H43" i="5481"/>
  <c r="H47" i="5481"/>
  <c r="H51" i="5481"/>
  <c r="H8" i="5481"/>
  <c r="H25" i="5481"/>
  <c r="H23" i="5481"/>
  <c r="C19" i="5481"/>
  <c r="H14" i="5481"/>
  <c r="H22" i="5481"/>
  <c r="H36" i="5481"/>
  <c r="H40" i="5481"/>
  <c r="H44" i="5481"/>
  <c r="H48" i="5481"/>
  <c r="H42" i="5479"/>
  <c r="H18" i="5479"/>
  <c r="H49" i="5479"/>
  <c r="H11" i="5479"/>
  <c r="H4" i="5479"/>
  <c r="H29" i="5479"/>
  <c r="H7" i="5479"/>
  <c r="H22" i="5479"/>
  <c r="B23" i="5479"/>
  <c r="H26" i="5479"/>
  <c r="H2" i="5479"/>
  <c r="H12" i="5479"/>
  <c r="C18" i="5479"/>
  <c r="H37" i="5479"/>
  <c r="H50" i="5479"/>
  <c r="H16" i="5479"/>
  <c r="H9" i="5479"/>
  <c r="H32" i="5479"/>
  <c r="H45" i="5479"/>
  <c r="H5" i="5479"/>
  <c r="H34" i="5479"/>
  <c r="H10" i="5479"/>
  <c r="H6" i="5479"/>
  <c r="H20" i="5479"/>
  <c r="C17" i="5479"/>
  <c r="H13" i="5479"/>
  <c r="H27" i="5479"/>
  <c r="H39" i="5479"/>
  <c r="H46" i="5479"/>
  <c r="H52" i="5479"/>
  <c r="H35" i="5479"/>
  <c r="H36" i="5479"/>
  <c r="H24" i="5479"/>
  <c r="H30" i="5479"/>
  <c r="H17" i="5479"/>
  <c r="H31" i="5479"/>
  <c r="H40" i="5479"/>
  <c r="H43" i="5479"/>
  <c r="H47" i="5479"/>
  <c r="H51" i="5479"/>
  <c r="H8" i="5479"/>
  <c r="H21" i="5479"/>
  <c r="H28" i="5479"/>
  <c r="C19" i="5479"/>
  <c r="H14" i="5479"/>
  <c r="H23" i="5479"/>
  <c r="H38" i="5479"/>
  <c r="H41" i="5479"/>
  <c r="H44" i="5479"/>
  <c r="H48" i="5479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<sst xmlns="http://schemas.openxmlformats.org/spreadsheetml/2006/main" count="3325" uniqueCount="263">
  <si>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</si>
  <si>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</si>
  <si>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</si>
  <si>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</si>
  <si>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</si>
  <si>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</si>
  <si>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</si>
  <si>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</si>
  <si>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</si>
  <si>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</si>
  <si>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</si>
  <si>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</si>
  <si>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</si>
  <si>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</si>
  <si>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</si>
  <si>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</si>
  <si>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</si>
  <si>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</si>
  <si>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</si>
  <si>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</si>
  <si>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</si>
  <si>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</si>
  <si>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</si>
  <si>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</si>
  <si>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</si>
  <si>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</si>
  <si>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</si>
  <si>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</si>
  <si>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</si>
  <si>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</si>
  <si>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</si>
  <si>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</si>
  <si>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</si>
  <si>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</si>
  <si>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</si>
  <si>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</si>
  <si>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</si>
  <si>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</si>
  <si>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</si>
  <si>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</si>
  <si>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</si>
  <si>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</si>
  <si>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</si>
  <si>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</si>
  <si>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</si>
  <si>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</si>
  <si>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</si>
  <si>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</si>
  <si>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</si>
  <si>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</si>
  <si>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</si>
  <si>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</si>
  <si>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</si>
  <si>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</si>
  <si>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</si>
  <si>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</si>
  <si>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</si>
  <si>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</si>
  <si>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</si>
  <si>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</si>
  <si>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</si>
  <si>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</si>
  <si>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</si>
  <si>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</si>
  <si>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</si>
  <si>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</si>
  <si>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</si>
  <si>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</si>
  <si>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</si>
  <si>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</si>
  <si>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</si>
  <si>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</si>
  <si>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</si>
  <si>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</si>
  <si>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</si>
  <si>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</si>
  <si>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</si>
  <si>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</si>
  <si>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</si>
  <si>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</si>
  <si>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</si>
  <si>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</si>
  <si>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</si>
  <si>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</si>
  <si>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</si>
  <si>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</si>
  <si>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</si>
  <si>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</si>
  <si>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</si>
  <si>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</si>
  <si>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</si>
  <si>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</si>
  <si>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</si>
  <si>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</si>
  <si>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</si>
  <si>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</si>
  <si>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</si>
  <si>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</si>
  <si>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</si>
  <si>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</si>
  <si>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</si>
  <si>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</si>
  <si>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</si>
  <si>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</si>
  <si>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</si>
  <si>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</si>
  <si>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</si>
  <si>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</si>
  <si>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</si>
  <si>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</si>
  <si>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</si>
  <si>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</si>
  <si>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</si>
  <si>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</si>
  <si>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</si>
  <si>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</si>
  <si>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</si>
  <si>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</si>
  <si>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</si>
  <si>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</si>
  <si>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</si>
  <si>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</si>
  <si>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</si>
  <si>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</si>
  <si>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</si>
  <si>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</si>
  <si>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</si>
  <si>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</si>
  <si>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</si>
  <si>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</si>
  <si>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</si>
  <si>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</si>
  <si>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</si>
  <si>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</si>
  <si>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</si>
  <si>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</si>
  <si>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</si>
  <si>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</si>
  <si>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</si>
  <si>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</si>
  <si>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</si>
  <si>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</si>
  <si>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</si>
  <si>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</si>
  <si>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</si>
  <si>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</si>
  <si>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</si>
  <si>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</si>
  <si>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</si>
  <si>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</si>
  <si>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</si>
  <si>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</si>
  <si>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</si>
  <si>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</si>
  <si>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</si>
  <si>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</si>
  <si>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</si>
  <si>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</si>
  <si>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</si>
  <si>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</si>
  <si>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</si>
  <si>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</si>
  <si>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</si>
  <si>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</si>
  <si>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</si>
  <si>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</si>
  <si>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</si>
  <si>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</si>
  <si>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</si>
  <si>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</si>
  <si>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</si>
  <si>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</si>
  <si>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</si>
  <si>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</si>
  <si>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</si>
  <si>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</si>
  <si>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</si>
  <si>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</si>
  <si>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</si>
  <si>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</si>
  <si>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</si>
  <si>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</si>
  <si>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</si>
  <si>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</si>
  <si>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</si>
  <si>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</si>
  <si>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</si>
  <si>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</si>
  <si>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</si>
  <si>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</si>
  <si>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</si>
  <si>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</si>
  <si>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</si>
  <si>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</si>
  <si>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</si>
  <si>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</si>
  <si>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</si>
  <si>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</si>
  <si>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</si>
  <si>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</si>
  <si>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</si>
  <si>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</si>
  <si>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</si>
  <si>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</si>
  <si>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</si>
  <si>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</si>
  <si>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</si>
  <si>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</si>
  <si>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</si>
  <si>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</si>
  <si>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</si>
  <si>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</si>
  <si>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</si>
  <si>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</si>
  <si>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</si>
  <si>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</si>
  <si>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</si>
  <si>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</si>
  <si>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</si>
  <si>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</si>
  <si>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</si>
  <si>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</si>
  <si>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</si>
  <si>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</si>
  <si>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</si>
  <si>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</si>
  <si>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</si>
  <si>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</si>
  <si>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</si>
  <si>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</si>
  <si>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</si>
  <si>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</si>
  <si>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</si>
  <si>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</si>
  <si>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</si>
  <si>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</si>
  <si>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</si>
  <si>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</si>
  <si>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</si>
  <si>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</si>
  <si>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</si>
  <si>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</si>
  <si>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</si>
  <si>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</si>
  <si>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</si>
  <si>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</si>
  <si>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</si>
  <si>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</si>
  <si>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</si>
  <si>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</si>
  <si>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</si>
  <si>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</si>
  <si>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</si>
  <si>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</si>
  <si>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</si>
  <si>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</si>
  <si>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</si>
  <si>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</si>
  <si>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</si>
  <si>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2019-06-18@2.xlsm</t>
  </si>
  <si>
    <t>2019-06-18@1.xlsm</t>
  </si>
  <si>
    <t>2019-06-25@2.xlsm</t>
  </si>
  <si>
    <t>2019-06-27@1.xlsm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</si>
</sst>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全体!$K$2:$K$704</c:f>
              <c:numCache>
                <c:formatCode>General</c:formatCode>
                <c:ptCount val="7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</c:numCache>
            </c:numRef>
          </c:xVal>
          <c:yVal>
            <c:numRef>
              <c:f>全体!$L$2:$L$704</c:f>
              <c:numCache>
                <c:formatCode>\+0.0;\-0.0;\±0</c:formatCode>
                <c:ptCount val="70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-10.8</c:v>
                </c:pt>
                <c:pt idx="701">
                  <c:v>-52</c:v>
                </c:pt>
                <c:pt idx="70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9D-4184-BE77-9E118DE6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-17.094017094017094</c:v>
                </c:pt>
                <c:pt idx="1">
                  <c:v>-4.3668122270742362</c:v>
                </c:pt>
                <c:pt idx="2">
                  <c:v>9.3457943925233646</c:v>
                </c:pt>
                <c:pt idx="3">
                  <c:v>6.8027210884353737</c:v>
                </c:pt>
                <c:pt idx="4">
                  <c:v>-11.363636363636363</c:v>
                </c:pt>
                <c:pt idx="5">
                  <c:v>23.655913978494624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8-4710-A8CE-A28E763AA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だいち!$L$2:$L$159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1968.6000000000006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2-48DD-99FA-A48BE0756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2109.5541401273886</c:v>
                </c:pt>
                <c:pt idx="1">
                  <c:v>1986.9281045751634</c:v>
                </c:pt>
                <c:pt idx="2">
                  <c:v>884.82758620689651</c:v>
                </c:pt>
                <c:pt idx="3">
                  <c:v>2253.7313432835822</c:v>
                </c:pt>
                <c:pt idx="4">
                  <c:v>170.33898305084745</c:v>
                </c:pt>
                <c:pt idx="5">
                  <c:v>921.56862745098044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A-4B57-A04B-3A47E7869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りくと!$L$2:$L$132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E4-4145-97F2-68188FB05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287.69230769230768</c:v>
                </c:pt>
                <c:pt idx="1">
                  <c:v>-2021.4285714285713</c:v>
                </c:pt>
                <c:pt idx="2">
                  <c:v>228.68852459016392</c:v>
                </c:pt>
                <c:pt idx="3">
                  <c:v>15.596330275229358</c:v>
                </c:pt>
                <c:pt idx="4">
                  <c:v>823.71134020618558</c:v>
                </c:pt>
                <c:pt idx="5">
                  <c:v>270.45454545454544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A-4F91-9773-27F119D74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ただ!$L$2:$L$97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C-451E-9E41-677F6D840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-2971.5789473684213</c:v>
                </c:pt>
                <c:pt idx="1">
                  <c:v>-1529.0322580645161</c:v>
                </c:pt>
                <c:pt idx="2">
                  <c:v>-335.63218390804599</c:v>
                </c:pt>
                <c:pt idx="3">
                  <c:v>-4276.6233766233763</c:v>
                </c:pt>
                <c:pt idx="4">
                  <c:v>-600</c:v>
                </c:pt>
                <c:pt idx="5">
                  <c:v>-1140.3225806451612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7-49C1-8E58-14B6F8C16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れんたろう!$L$2:$L$93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61-4878-925F-1C35A1D1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-665.93406593406598</c:v>
                </c:pt>
                <c:pt idx="1">
                  <c:v>202.24719101123594</c:v>
                </c:pt>
                <c:pt idx="2">
                  <c:v>1231.7073170731708</c:v>
                </c:pt>
                <c:pt idx="3">
                  <c:v>838.02816901408448</c:v>
                </c:pt>
                <c:pt idx="4">
                  <c:v>-1033.3333333333333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2-48F0-BDDE-F75672C66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たかの!$L$2:$L$82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2-403F-8530-EC9B6F247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527.5</c:v>
                </c:pt>
                <c:pt idx="1">
                  <c:v>-1382.5</c:v>
                </c:pt>
                <c:pt idx="2">
                  <c:v>-1616.9014084507041</c:v>
                </c:pt>
                <c:pt idx="3">
                  <c:v>964.70588235294122</c:v>
                </c:pt>
                <c:pt idx="4">
                  <c:v>861.90476190476193</c:v>
                </c:pt>
                <c:pt idx="5">
                  <c:v>-427.27272727272725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35-4C80-80E6-F4A34996C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ぱぱ!$L$2:$L$50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9-4AD2-B87C-D7D580C4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-2862.5</c:v>
                </c:pt>
                <c:pt idx="1">
                  <c:v>2064.5833333333335</c:v>
                </c:pt>
                <c:pt idx="2">
                  <c:v>-315.55555555555554</c:v>
                </c:pt>
                <c:pt idx="3">
                  <c:v>-3778.5714285714284</c:v>
                </c:pt>
                <c:pt idx="4">
                  <c:v>-668.42105263157896</c:v>
                </c:pt>
                <c:pt idx="5">
                  <c:v>469.44444444444446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5-47BC-B708-52F38F084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79-4DFF-A543-CF34F2FF2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1213.2352941176471</c:v>
                </c:pt>
                <c:pt idx="1">
                  <c:v>927.69230769230774</c:v>
                </c:pt>
                <c:pt idx="2">
                  <c:v>-672.41379310344826</c:v>
                </c:pt>
                <c:pt idx="3">
                  <c:v>2358.9285714285716</c:v>
                </c:pt>
                <c:pt idx="4">
                  <c:v>-1096</c:v>
                </c:pt>
                <c:pt idx="5">
                  <c:v>134.14634146341464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1-4EE5-9B4F-4BA98D9E4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6-4E00-945E-A4295EB1E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8-4BCF-8D78-8462139A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4-456D-8A2C-B4C092E43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8-4064-9EAE-85A29CC68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4-4511-95A3-50896A52F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1-4A7E-867C-54E3D3F64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B-440D-9FD4-7FBB8A86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FE-4768-AED9-AC56CBA02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86-40BE-B2A0-962C64700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A-403C-BAB8-D4DACEF26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まっつん2!$B$3:$B$71</c:f>
              <c:numCache>
                <c:formatCode>\+0.0;\-0.0;\±0</c:formatCode>
                <c:ptCount val="6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まっつん2!$C$3:$C$71</c:f>
              <c:numCache>
                <c:formatCode>\+0.0;\-0.0;\±0</c:formatCode>
                <c:ptCount val="69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まっつん2!$D$3:$D$71</c:f>
              <c:numCache>
                <c:formatCode>0.00\ "位"</c:formatCode>
                <c:ptCount val="69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まっつん2!$E$3:$E$71</c:f>
              <c:numCache>
                <c:formatCode>0.0%</c:formatCode>
                <c:ptCount val="6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まっつん2!$F$3:$F$71</c:f>
              <c:numCache>
                <c:formatCode>0.0%</c:formatCode>
                <c:ptCount val="6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まっつん2!$G$3:$G$71</c:f>
              <c:numCache>
                <c:formatCode>0.0%</c:formatCode>
                <c:ptCount val="69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750214004451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まっつん2!$H$3:$H$71</c:f>
              <c:numCache>
                <c:formatCode>0.0%</c:formatCode>
                <c:ptCount val="69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12189693545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まっつん2!$I$3:$I$71</c:f>
              <c:numCache>
                <c:formatCode>0</c:formatCode>
                <c:ptCount val="69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4.7277936962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まっつん2!$J$3:$J$71</c:f>
              <c:numCache>
                <c:formatCode>0</c:formatCode>
                <c:ptCount val="69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57.94297352342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まっつん2!$K$3:$K$71</c:f>
              <c:numCache>
                <c:formatCode>0.0%</c:formatCode>
                <c:ptCount val="6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08262108262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まっつん2!$L$3:$L$71</c:f>
              <c:numCache>
                <c:formatCode>0.0%</c:formatCode>
                <c:ptCount val="6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08262108262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まっつん2!$M$3:$M$71</c:f>
              <c:numCache>
                <c:formatCode>0.0%</c:formatCode>
                <c:ptCount val="69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719397363465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まっつん2!$N$3:$N$71</c:f>
              <c:numCache>
                <c:formatCode>0.0%</c:formatCode>
                <c:ptCount val="69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7327512412258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まっつん2!$O$3:$O$71</c:f>
              <c:numCache>
                <c:formatCode>0.0%</c:formatCode>
                <c:ptCount val="69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466830466830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まっつん2!$P$3:$P$71</c:f>
              <c:numCache>
                <c:formatCode>0.0%</c:formatCode>
                <c:ptCount val="69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23781998348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まっつん2!$Q$3:$Q$71</c:f>
              <c:numCache>
                <c:formatCode>0.0%</c:formatCode>
                <c:ptCount val="69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9455587392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2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5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5" x14ac:dyDescent="0.4">
      <c r="A69" s="30" t="s">
        <v>260</v>
      </c>
      <c r="B69" s="31">
        <v>43636.372488425928</v>
      </c>
      <c r="C69" s="30" t="s">
        <v>130</v>
      </c>
    </row>
    <row r="70" spans="1:5" x14ac:dyDescent="0.4">
      <c r="A70" s="30" t="s">
        <v>259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5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5" x14ac:dyDescent="0.4">
      <c r="A72" s="30" t="s">
        <v>262</v>
      </c>
      <c r="B72" s="31">
        <v>43643.990486111114</v>
      </c>
      <c r="C72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702</v>
      </c>
    </row>
    <row r="2" spans="1:2" x14ac:dyDescent="0.4">
      <c r="A2" t="s">
        <v>127</v>
      </c>
      <c r="B2">
        <v>157</v>
      </c>
    </row>
    <row r="3" spans="1:2" x14ac:dyDescent="0.4">
      <c r="A3" t="s">
        <v>128</v>
      </c>
      <c r="B3">
        <v>130</v>
      </c>
    </row>
    <row r="4" spans="1:2" x14ac:dyDescent="0.4">
      <c r="A4" t="s">
        <v>129</v>
      </c>
      <c r="B4">
        <v>95</v>
      </c>
    </row>
    <row r="5" spans="1:2" x14ac:dyDescent="0.4">
      <c r="A5" t="s">
        <v>171</v>
      </c>
      <c r="B5">
        <v>91</v>
      </c>
    </row>
    <row r="6" spans="1:2" x14ac:dyDescent="0.4">
      <c r="A6" t="s">
        <v>172</v>
      </c>
      <c r="B6">
        <v>80</v>
      </c>
    </row>
    <row r="7" spans="1:2" x14ac:dyDescent="0.4">
      <c r="A7" t="s">
        <v>173</v>
      </c>
      <c r="B7">
        <v>48</v>
      </c>
    </row>
    <row r="8" spans="1:2" x14ac:dyDescent="0.4">
      <c r="A8" t="s">
        <v>177</v>
      </c>
      <c r="B8">
        <v>68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0.97786202124864763</v>
      </c>
      <c r="G2" s="159"/>
      <c r="H2" s="158">
        <v>0.72283485621028953</v>
      </c>
      <c r="I2" s="159"/>
      <c r="J2" s="158">
        <v>0.90532107117781013</v>
      </c>
      <c r="K2" s="159"/>
      <c r="L2" s="158">
        <v>0.72575000136684464</v>
      </c>
      <c r="M2" s="159"/>
      <c r="N2" s="158">
        <v>0.61140100208532466</v>
      </c>
      <c r="O2" s="159"/>
      <c r="P2" s="158">
        <v>0.33303838479599712</v>
      </c>
      <c r="Q2" s="159"/>
      <c r="R2" s="158">
        <v>0.53644224713449462</v>
      </c>
      <c r="S2" s="159"/>
      <c r="T2" s="158">
        <v>0.59540490850585071</v>
      </c>
      <c r="U2" s="159"/>
      <c r="V2" s="158">
        <v>0.79328231138508298</v>
      </c>
      <c r="W2" s="159"/>
      <c r="X2" s="158">
        <v>0.50895754124164361</v>
      </c>
      <c r="Y2" s="159"/>
      <c r="Z2" s="158">
        <v>6.7005401101074405E-2</v>
      </c>
      <c r="AA2" s="159"/>
      <c r="AB2" s="158">
        <v>0.24445861562011453</v>
      </c>
      <c r="AC2" s="159"/>
      <c r="AD2" s="158">
        <v>0.70959626525628139</v>
      </c>
      <c r="AE2" s="159"/>
      <c r="AF2" s="158">
        <v>-0.42003410503445843</v>
      </c>
      <c r="AG2" s="159"/>
      <c r="AH2" s="158">
        <v>0.70863562293680871</v>
      </c>
      <c r="AI2" s="159"/>
    </row>
    <row r="3" spans="1:35" x14ac:dyDescent="0.4">
      <c r="A3" s="74">
        <v>1</v>
      </c>
      <c r="B3" s="75" t="s">
        <v>127</v>
      </c>
      <c r="C3" s="76">
        <v>1968.6000000000006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0.34423676012461057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0.17834394904458598</v>
      </c>
      <c r="X3" s="77" t="s">
        <v>127</v>
      </c>
      <c r="Y3" s="80">
        <v>0.31386292834890966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0.51624548736462095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285.40000000000003</v>
      </c>
      <c r="D4" s="85" t="s">
        <v>222</v>
      </c>
      <c r="E4" s="97">
        <v>13.3</v>
      </c>
      <c r="F4" s="85" t="s">
        <v>127</v>
      </c>
      <c r="G4" s="86">
        <v>1.7515923566878981</v>
      </c>
      <c r="H4" s="85" t="s">
        <v>127</v>
      </c>
      <c r="I4" s="87">
        <v>0.48407643312101911</v>
      </c>
      <c r="J4" s="85" t="s">
        <v>222</v>
      </c>
      <c r="K4" s="87">
        <v>0</v>
      </c>
      <c r="L4" s="85" t="s">
        <v>172</v>
      </c>
      <c r="M4" s="88">
        <v>0.34264705882352942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0.13235294117647059</v>
      </c>
      <c r="X4" s="85" t="s">
        <v>128</v>
      </c>
      <c r="Y4" s="88">
        <v>0.30083565459610029</v>
      </c>
      <c r="Z4" s="85" t="s">
        <v>172</v>
      </c>
      <c r="AA4" s="88">
        <v>0.29264705882352943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12.538853503184717</v>
      </c>
      <c r="F5" s="85" t="s">
        <v>200</v>
      </c>
      <c r="G5" s="86">
        <v>1.8888888888888888</v>
      </c>
      <c r="H5" s="85" t="s">
        <v>184</v>
      </c>
      <c r="I5" s="87">
        <v>0.3888888888888889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0.13970588235294118</v>
      </c>
      <c r="P5" s="85" t="s">
        <v>171</v>
      </c>
      <c r="Q5" s="89">
        <v>9848.3720930232557</v>
      </c>
      <c r="R5" s="85" t="s">
        <v>177</v>
      </c>
      <c r="S5" s="89">
        <v>-7336.1445783132531</v>
      </c>
      <c r="T5" s="85" t="s">
        <v>222</v>
      </c>
      <c r="U5" s="87">
        <v>0</v>
      </c>
      <c r="V5" s="85" t="s">
        <v>171</v>
      </c>
      <c r="W5" s="87">
        <v>0.13186813186813187</v>
      </c>
      <c r="X5" s="85" t="s">
        <v>177</v>
      </c>
      <c r="Y5" s="88">
        <v>0.29090909090909089</v>
      </c>
      <c r="Z5" s="85" t="s">
        <v>173</v>
      </c>
      <c r="AA5" s="88">
        <v>0.25301204819277107</v>
      </c>
      <c r="AB5" s="85" t="s">
        <v>184</v>
      </c>
      <c r="AC5" s="88">
        <v>0.63888888888888884</v>
      </c>
      <c r="AD5" s="85" t="s">
        <v>200</v>
      </c>
      <c r="AE5" s="88">
        <v>0.48</v>
      </c>
      <c r="AF5" s="85" t="s">
        <v>173</v>
      </c>
      <c r="AG5" s="88">
        <v>0.50819672131147542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18.099999999999994</v>
      </c>
      <c r="D6" s="85" t="s">
        <v>177</v>
      </c>
      <c r="E6" s="97">
        <v>4.197058823529412</v>
      </c>
      <c r="F6" s="85" t="s">
        <v>177</v>
      </c>
      <c r="G6" s="86">
        <v>1.8970588235294117</v>
      </c>
      <c r="H6" s="85" t="s">
        <v>177</v>
      </c>
      <c r="I6" s="87">
        <v>0.38235294117647056</v>
      </c>
      <c r="J6" s="85" t="s">
        <v>127</v>
      </c>
      <c r="K6" s="87">
        <v>0.2356687898089172</v>
      </c>
      <c r="L6" s="85" t="s">
        <v>145</v>
      </c>
      <c r="M6" s="88">
        <v>0.29875021400445129</v>
      </c>
      <c r="N6" s="85" t="s">
        <v>177</v>
      </c>
      <c r="O6" s="88">
        <v>0.15090909090909091</v>
      </c>
      <c r="P6" s="85" t="s">
        <v>128</v>
      </c>
      <c r="Q6" s="89">
        <v>9268.7074829931971</v>
      </c>
      <c r="R6" s="85" t="s">
        <v>128</v>
      </c>
      <c r="S6" s="89">
        <v>-7647.8494623655915</v>
      </c>
      <c r="T6" s="85" t="s">
        <v>223</v>
      </c>
      <c r="U6" s="87">
        <v>0</v>
      </c>
      <c r="V6" s="85" t="s">
        <v>145</v>
      </c>
      <c r="W6" s="87">
        <v>0.12108262108262108</v>
      </c>
      <c r="X6" s="85" t="s">
        <v>171</v>
      </c>
      <c r="Y6" s="88">
        <v>0.29040735873850199</v>
      </c>
      <c r="Z6" s="85" t="s">
        <v>223</v>
      </c>
      <c r="AA6" s="88">
        <v>0.23529411764705882</v>
      </c>
      <c r="AB6" s="85" t="s">
        <v>177</v>
      </c>
      <c r="AC6" s="88">
        <v>0.63749999999999996</v>
      </c>
      <c r="AD6" s="85" t="s">
        <v>172</v>
      </c>
      <c r="AE6" s="88">
        <v>0.42713567839195982</v>
      </c>
      <c r="AF6" s="85" t="s">
        <v>222</v>
      </c>
      <c r="AG6" s="88">
        <v>0.5</v>
      </c>
      <c r="AH6" s="85" t="s">
        <v>177</v>
      </c>
      <c r="AI6" s="92">
        <v>103000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0.27941176470588236</v>
      </c>
      <c r="L7" s="85" t="s">
        <v>177</v>
      </c>
      <c r="M7" s="88">
        <v>0.29454545454545455</v>
      </c>
      <c r="N7" s="85" t="s">
        <v>127</v>
      </c>
      <c r="O7" s="88">
        <v>0.15498442367601245</v>
      </c>
      <c r="P7" s="85" t="s">
        <v>127</v>
      </c>
      <c r="Q7" s="89">
        <v>9217.8733031674201</v>
      </c>
      <c r="R7" s="85" t="s">
        <v>127</v>
      </c>
      <c r="S7" s="89">
        <v>-8216.0804020100495</v>
      </c>
      <c r="T7" s="85" t="s">
        <v>172</v>
      </c>
      <c r="U7" s="87">
        <v>0.05</v>
      </c>
      <c r="V7" s="85" t="s">
        <v>172</v>
      </c>
      <c r="W7" s="87">
        <v>0.1125</v>
      </c>
      <c r="X7" s="85" t="s">
        <v>145</v>
      </c>
      <c r="Y7" s="88">
        <v>0.27871939736346518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184</v>
      </c>
      <c r="AE7" s="88">
        <v>0.42424242424242425</v>
      </c>
      <c r="AF7" s="85" t="s">
        <v>184</v>
      </c>
      <c r="AG7" s="88">
        <v>0.47619047619047616</v>
      </c>
      <c r="AH7" s="85" t="s">
        <v>172</v>
      </c>
      <c r="AI7" s="92">
        <v>97500</v>
      </c>
    </row>
    <row r="8" spans="1:35" x14ac:dyDescent="0.4">
      <c r="A8" s="82">
        <v>6</v>
      </c>
      <c r="B8" s="83" t="s">
        <v>145</v>
      </c>
      <c r="C8" s="84">
        <v>0</v>
      </c>
      <c r="D8" s="85" t="s">
        <v>145</v>
      </c>
      <c r="E8" s="97">
        <v>0</v>
      </c>
      <c r="F8" s="85" t="s">
        <v>222</v>
      </c>
      <c r="G8" s="86">
        <v>2</v>
      </c>
      <c r="H8" s="85" t="s">
        <v>171</v>
      </c>
      <c r="I8" s="87">
        <v>0.2967032967032967</v>
      </c>
      <c r="J8" s="85" t="s">
        <v>172</v>
      </c>
      <c r="K8" s="87">
        <v>0.3125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8905.5555555555547</v>
      </c>
      <c r="R8" s="85" t="s">
        <v>145</v>
      </c>
      <c r="S8" s="89">
        <v>-8257.9429735234207</v>
      </c>
      <c r="T8" s="85" t="s">
        <v>127</v>
      </c>
      <c r="U8" s="87">
        <v>9.5541401273885357E-2</v>
      </c>
      <c r="V8" s="85" t="s">
        <v>129</v>
      </c>
      <c r="W8" s="87">
        <v>0.10526315789473684</v>
      </c>
      <c r="X8" s="85" t="s">
        <v>129</v>
      </c>
      <c r="Y8" s="88">
        <v>0.27490542244640603</v>
      </c>
      <c r="Z8" s="85" t="s">
        <v>127</v>
      </c>
      <c r="AA8" s="88">
        <v>0.21573208722741433</v>
      </c>
      <c r="AB8" s="85" t="s">
        <v>173</v>
      </c>
      <c r="AC8" s="88">
        <v>0.59782608695652173</v>
      </c>
      <c r="AD8" s="85" t="s">
        <v>171</v>
      </c>
      <c r="AE8" s="88">
        <v>0.40972222222222221</v>
      </c>
      <c r="AF8" s="85" t="s">
        <v>177</v>
      </c>
      <c r="AG8" s="88">
        <v>0.43827160493827161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171</v>
      </c>
      <c r="C9" s="84">
        <v>-9.1999999999999726</v>
      </c>
      <c r="D9" s="85" t="s">
        <v>171</v>
      </c>
      <c r="E9" s="97">
        <v>-0.1010989010989008</v>
      </c>
      <c r="F9" s="85" t="s">
        <v>171</v>
      </c>
      <c r="G9" s="86">
        <v>2.0439560439560438</v>
      </c>
      <c r="H9" s="85" t="s">
        <v>173</v>
      </c>
      <c r="I9" s="87">
        <v>0.29166666666666669</v>
      </c>
      <c r="J9" s="85" t="s">
        <v>145</v>
      </c>
      <c r="K9" s="87">
        <v>0.33333333333333331</v>
      </c>
      <c r="L9" s="85" t="s">
        <v>173</v>
      </c>
      <c r="M9" s="88">
        <v>0.29397590361445786</v>
      </c>
      <c r="N9" s="85" t="s">
        <v>145</v>
      </c>
      <c r="O9" s="88">
        <v>0.16812189693545626</v>
      </c>
      <c r="P9" s="85" t="s">
        <v>145</v>
      </c>
      <c r="Q9" s="89">
        <v>8674.7277936962746</v>
      </c>
      <c r="R9" s="85" t="s">
        <v>173</v>
      </c>
      <c r="S9" s="89">
        <v>-8290.9090909090901</v>
      </c>
      <c r="T9" s="85" t="s">
        <v>171</v>
      </c>
      <c r="U9" s="87">
        <v>9.8901098901098897E-2</v>
      </c>
      <c r="V9" s="85" t="s">
        <v>128</v>
      </c>
      <c r="W9" s="87">
        <v>0.1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0.59567901234567899</v>
      </c>
      <c r="AD9" s="85" t="s">
        <v>145</v>
      </c>
      <c r="AE9" s="88">
        <v>0.39223781998348473</v>
      </c>
      <c r="AF9" s="85" t="s">
        <v>145</v>
      </c>
      <c r="AG9" s="88">
        <v>0.430945558739255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-1.4337500000000003</v>
      </c>
      <c r="F10" s="85" t="s">
        <v>172</v>
      </c>
      <c r="G10" s="86">
        <v>2.0499999999999998</v>
      </c>
      <c r="H10" s="85" t="s">
        <v>128</v>
      </c>
      <c r="I10" s="87">
        <v>0.26923076923076922</v>
      </c>
      <c r="J10" s="85" t="s">
        <v>171</v>
      </c>
      <c r="K10" s="87">
        <v>0.34065934065934067</v>
      </c>
      <c r="L10" s="85" t="s">
        <v>184</v>
      </c>
      <c r="M10" s="88">
        <v>0.2857142857142857</v>
      </c>
      <c r="N10" s="85" t="s">
        <v>128</v>
      </c>
      <c r="O10" s="88">
        <v>0.17270194986072424</v>
      </c>
      <c r="P10" s="85" t="s">
        <v>129</v>
      </c>
      <c r="Q10" s="89">
        <v>8643.2989690721643</v>
      </c>
      <c r="R10" s="85" t="s">
        <v>184</v>
      </c>
      <c r="S10" s="89">
        <v>-8376.4705882352937</v>
      </c>
      <c r="T10" s="85" t="s">
        <v>145</v>
      </c>
      <c r="U10" s="87">
        <v>0.12108262108262108</v>
      </c>
      <c r="V10" s="85" t="s">
        <v>173</v>
      </c>
      <c r="W10" s="87">
        <v>6.25E-2</v>
      </c>
      <c r="X10" s="85" t="s">
        <v>184</v>
      </c>
      <c r="Y10" s="88">
        <v>0.24489795918367346</v>
      </c>
      <c r="Z10" s="85" t="s">
        <v>145</v>
      </c>
      <c r="AA10" s="88">
        <v>0.20732751241225816</v>
      </c>
      <c r="AB10" s="85" t="s">
        <v>145</v>
      </c>
      <c r="AC10" s="88">
        <v>0.58046683046683045</v>
      </c>
      <c r="AD10" s="85" t="s">
        <v>177</v>
      </c>
      <c r="AE10" s="88">
        <v>0.34</v>
      </c>
      <c r="AF10" s="85" t="s">
        <v>128</v>
      </c>
      <c r="AG10" s="88">
        <v>0.42857142857142855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-114.70000000000002</v>
      </c>
      <c r="D11" s="85" t="s">
        <v>128</v>
      </c>
      <c r="E11" s="97">
        <v>-2.4692307692307693</v>
      </c>
      <c r="F11" s="85" t="s">
        <v>128</v>
      </c>
      <c r="G11" s="86">
        <v>2.0769230769230771</v>
      </c>
      <c r="H11" s="85" t="s">
        <v>172</v>
      </c>
      <c r="I11" s="87">
        <v>0.26250000000000001</v>
      </c>
      <c r="J11" s="85" t="s">
        <v>128</v>
      </c>
      <c r="K11" s="87">
        <v>0.34615384615384615</v>
      </c>
      <c r="L11" s="85" t="s">
        <v>171</v>
      </c>
      <c r="M11" s="88">
        <v>0.28252299605781866</v>
      </c>
      <c r="N11" s="85" t="s">
        <v>171</v>
      </c>
      <c r="O11" s="88">
        <v>0.1773981603153745</v>
      </c>
      <c r="P11" s="85" t="s">
        <v>184</v>
      </c>
      <c r="Q11" s="89">
        <v>8642.8571428571431</v>
      </c>
      <c r="R11" s="85" t="s">
        <v>172</v>
      </c>
      <c r="S11" s="89">
        <v>-8538.9473684210534</v>
      </c>
      <c r="T11" s="85" t="s">
        <v>128</v>
      </c>
      <c r="U11" s="87">
        <v>0.13076923076923078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0.18922470433639949</v>
      </c>
      <c r="AB11" s="85" t="s">
        <v>127</v>
      </c>
      <c r="AC11" s="88">
        <v>0.57568238213399503</v>
      </c>
      <c r="AD11" s="85" t="s">
        <v>173</v>
      </c>
      <c r="AE11" s="88">
        <v>0.33333333333333331</v>
      </c>
      <c r="AF11" s="85" t="s">
        <v>129</v>
      </c>
      <c r="AG11" s="88">
        <v>0.42268041237113402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-126.5</v>
      </c>
      <c r="D12" s="85" t="s">
        <v>184</v>
      </c>
      <c r="E12" s="97">
        <v>-7.0277777777777777</v>
      </c>
      <c r="F12" s="85" t="s">
        <v>173</v>
      </c>
      <c r="G12" s="86">
        <v>2.1041666666666665</v>
      </c>
      <c r="H12" s="85" t="s">
        <v>129</v>
      </c>
      <c r="I12" s="87">
        <v>0.25263157894736843</v>
      </c>
      <c r="J12" s="85" t="s">
        <v>173</v>
      </c>
      <c r="K12" s="87">
        <v>0.39583333333333331</v>
      </c>
      <c r="L12" s="85" t="s">
        <v>128</v>
      </c>
      <c r="M12" s="88">
        <v>0.27298050139275765</v>
      </c>
      <c r="N12" s="85" t="s">
        <v>173</v>
      </c>
      <c r="O12" s="88">
        <v>0.1855421686746988</v>
      </c>
      <c r="P12" s="85" t="s">
        <v>183</v>
      </c>
      <c r="Q12" s="89">
        <v>7860</v>
      </c>
      <c r="R12" s="85" t="s">
        <v>171</v>
      </c>
      <c r="S12" s="89">
        <v>-8548.1481481481478</v>
      </c>
      <c r="T12" s="85" t="s">
        <v>173</v>
      </c>
      <c r="U12" s="87">
        <v>0.14583333333333334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0.18181818181818182</v>
      </c>
      <c r="AB12" s="85" t="s">
        <v>171</v>
      </c>
      <c r="AC12" s="88">
        <v>0.56561085972850678</v>
      </c>
      <c r="AD12" s="85" t="s">
        <v>128</v>
      </c>
      <c r="AE12" s="88">
        <v>0.29629629629629628</v>
      </c>
      <c r="AF12" s="85" t="s">
        <v>172</v>
      </c>
      <c r="AG12" s="88">
        <v>0.41630901287553645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-321</v>
      </c>
      <c r="D13" s="85" t="s">
        <v>173</v>
      </c>
      <c r="E13" s="97">
        <v>-8.0770833333333325</v>
      </c>
      <c r="F13" s="85" t="s">
        <v>184</v>
      </c>
      <c r="G13" s="86">
        <v>2.1111111111111112</v>
      </c>
      <c r="H13" s="85" t="s">
        <v>200</v>
      </c>
      <c r="I13" s="87">
        <v>0.22222222222222221</v>
      </c>
      <c r="J13" s="85" t="s">
        <v>129</v>
      </c>
      <c r="K13" s="87">
        <v>0.49473684210526314</v>
      </c>
      <c r="L13" s="85" t="s">
        <v>183</v>
      </c>
      <c r="M13" s="88">
        <v>0.26315789473684209</v>
      </c>
      <c r="N13" s="85" t="s">
        <v>129</v>
      </c>
      <c r="O13" s="88">
        <v>0.19167717528373265</v>
      </c>
      <c r="P13" s="85" t="s">
        <v>173</v>
      </c>
      <c r="Q13" s="89">
        <v>6954.0983606557375</v>
      </c>
      <c r="R13" s="85" t="s">
        <v>129</v>
      </c>
      <c r="S13" s="89">
        <v>-9165.78947368421</v>
      </c>
      <c r="T13" s="85" t="s">
        <v>177</v>
      </c>
      <c r="U13" s="87">
        <v>0.14705882352941177</v>
      </c>
      <c r="V13" s="85" t="s">
        <v>200</v>
      </c>
      <c r="W13" s="87">
        <v>0</v>
      </c>
      <c r="X13" s="85" t="s">
        <v>173</v>
      </c>
      <c r="Y13" s="88">
        <v>0.22168674698795179</v>
      </c>
      <c r="Z13" s="85" t="s">
        <v>128</v>
      </c>
      <c r="AA13" s="88">
        <v>0.17548746518105848</v>
      </c>
      <c r="AB13" s="85" t="s">
        <v>172</v>
      </c>
      <c r="AC13" s="88">
        <v>0.55944055944055948</v>
      </c>
      <c r="AD13" s="85" t="s">
        <v>129</v>
      </c>
      <c r="AE13" s="88">
        <v>0.26153846153846155</v>
      </c>
      <c r="AF13" s="85" t="s">
        <v>127</v>
      </c>
      <c r="AG13" s="88">
        <v>0.41402714932126694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-387.7</v>
      </c>
      <c r="D14" s="85" t="s">
        <v>223</v>
      </c>
      <c r="E14" s="97">
        <v>-12.35</v>
      </c>
      <c r="F14" s="85" t="s">
        <v>129</v>
      </c>
      <c r="G14" s="86">
        <v>2.2421052631578946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0.24464060529634299</v>
      </c>
      <c r="N14" s="85" t="s">
        <v>184</v>
      </c>
      <c r="O14" s="88">
        <v>0.23129251700680273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129</v>
      </c>
      <c r="U14" s="87">
        <v>0.2</v>
      </c>
      <c r="V14" s="85" t="s">
        <v>222</v>
      </c>
      <c r="W14" s="87">
        <v>0</v>
      </c>
      <c r="X14" s="85" t="s">
        <v>172</v>
      </c>
      <c r="Y14" s="88">
        <v>0.21029411764705883</v>
      </c>
      <c r="Z14" s="85" t="s">
        <v>129</v>
      </c>
      <c r="AA14" s="88">
        <v>0.16393442622950818</v>
      </c>
      <c r="AB14" s="85" t="s">
        <v>129</v>
      </c>
      <c r="AC14" s="88">
        <v>0.52293577981651373</v>
      </c>
      <c r="AD14" s="85" t="s">
        <v>223</v>
      </c>
      <c r="AE14" s="88">
        <v>0.25</v>
      </c>
      <c r="AF14" s="85" t="s">
        <v>171</v>
      </c>
      <c r="AG14" s="88">
        <v>0.413953488372093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-1362.6000000000001</v>
      </c>
      <c r="D15" s="85" t="s">
        <v>129</v>
      </c>
      <c r="E15" s="97">
        <v>-14.343157894736844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6754.0772532188839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F765-F4EA-4F3E-A3E1-1F37A5C02AB1}">
  <sheetPr codeName="Sheet4"/>
  <dimension ref="A1:Q70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702</v>
      </c>
      <c r="C2" s="151"/>
      <c r="E2" s="62" t="s">
        <v>67</v>
      </c>
      <c r="F2" s="59" t="s">
        <v>23</v>
      </c>
      <c r="G2" s="46">
        <v>1274</v>
      </c>
      <c r="H2" s="132">
        <f>IF(B$17=0,0,G2/B$17)</f>
        <v>0.73008595988538683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-17.094017094017094</v>
      </c>
      <c r="P2" s="118">
        <v>702</v>
      </c>
      <c r="Q2" s="102">
        <v>-12000</v>
      </c>
    </row>
    <row r="3" spans="1:17" x14ac:dyDescent="0.4">
      <c r="A3" s="55" t="s">
        <v>8</v>
      </c>
      <c r="B3" s="152">
        <v>5841</v>
      </c>
      <c r="C3" s="153"/>
      <c r="E3" s="63" t="s">
        <v>65</v>
      </c>
      <c r="F3" s="60" t="s">
        <v>21</v>
      </c>
      <c r="G3" s="47">
        <v>902</v>
      </c>
      <c r="H3" s="133">
        <f>IF(B$17=0,0,G3/B$17)</f>
        <v>0.51690544412607453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-4.3668122270742362</v>
      </c>
      <c r="P3" s="119">
        <v>687</v>
      </c>
      <c r="Q3" s="103">
        <v>-3000</v>
      </c>
    </row>
    <row r="4" spans="1:17" x14ac:dyDescent="0.4">
      <c r="A4" s="55" t="s">
        <v>6</v>
      </c>
      <c r="B4" s="154">
        <v>0</v>
      </c>
      <c r="C4" s="155"/>
      <c r="E4" s="63" t="s">
        <v>73</v>
      </c>
      <c r="F4" s="60" t="s">
        <v>28</v>
      </c>
      <c r="G4" s="47">
        <v>881</v>
      </c>
      <c r="H4" s="133">
        <f>IF(B$17=0,0,G4/B$17)</f>
        <v>0.50487106017191974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9.3457943925233646</v>
      </c>
      <c r="P4" s="119">
        <v>642</v>
      </c>
      <c r="Q4" s="103">
        <v>6000</v>
      </c>
    </row>
    <row r="5" spans="1:17" x14ac:dyDescent="0.4">
      <c r="A5" s="55" t="s">
        <v>7</v>
      </c>
      <c r="B5" s="156">
        <f>IF(B$2=0,0,B$4/B$2)</f>
        <v>0</v>
      </c>
      <c r="C5" s="157"/>
      <c r="E5" s="63" t="s">
        <v>245</v>
      </c>
      <c r="F5" s="60" t="s">
        <v>246</v>
      </c>
      <c r="G5" s="47">
        <v>709</v>
      </c>
      <c r="H5" s="133">
        <f>IF(B$17=0,0,G5/B$17)</f>
        <v>0.40630372492836675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6.8027210884353737</v>
      </c>
      <c r="P5" s="119">
        <v>588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542</v>
      </c>
      <c r="H6" s="133">
        <f>IF(B$17=0,0,G6/B$17)</f>
        <v>0.31060171919770774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-11.363636363636363</v>
      </c>
      <c r="P6" s="119">
        <v>528</v>
      </c>
      <c r="Q6" s="103">
        <v>-6000</v>
      </c>
    </row>
    <row r="7" spans="1:17" x14ac:dyDescent="0.4">
      <c r="A7" s="55" t="s">
        <v>2</v>
      </c>
      <c r="B7" s="47">
        <v>234</v>
      </c>
      <c r="C7" s="39">
        <f>IF(B$2=0,0,B7/B$2)</f>
        <v>0.33333333333333331</v>
      </c>
      <c r="E7" s="63" t="s">
        <v>68</v>
      </c>
      <c r="F7" s="60" t="s">
        <v>24</v>
      </c>
      <c r="G7" s="47">
        <v>537</v>
      </c>
      <c r="H7" s="133">
        <f>IF(B$17=0,0,G7/B$17)</f>
        <v>0.30773638968481376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23.655913978494624</v>
      </c>
      <c r="P7" s="120">
        <v>465</v>
      </c>
      <c r="Q7" s="104">
        <v>11000</v>
      </c>
    </row>
    <row r="8" spans="1:17" x14ac:dyDescent="0.4">
      <c r="A8" s="55" t="s">
        <v>3</v>
      </c>
      <c r="B8" s="47">
        <v>234</v>
      </c>
      <c r="C8" s="39">
        <f>IF(B$2=0,0,B8/B$2)</f>
        <v>0.33333333333333331</v>
      </c>
      <c r="E8" s="63" t="s">
        <v>70</v>
      </c>
      <c r="F8" s="60" t="s">
        <v>25</v>
      </c>
      <c r="G8" s="47">
        <v>308</v>
      </c>
      <c r="H8" s="133">
        <f>IF(B$17=0,0,G8/B$17)</f>
        <v>0.17650429799426934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234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218</v>
      </c>
      <c r="H9" s="133">
        <f>IF(B$17=0,0,G9/B$17)</f>
        <v>0.12492836676217765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85</v>
      </c>
      <c r="C10" s="40">
        <f>IF(B$2=0,0,B10/B$2)</f>
        <v>0.12108262108262108</v>
      </c>
      <c r="E10" s="63" t="s">
        <v>66</v>
      </c>
      <c r="F10" s="60" t="s">
        <v>22</v>
      </c>
      <c r="G10" s="47">
        <v>207</v>
      </c>
      <c r="H10" s="133">
        <f>IF(B$17=0,0,G10/B$17)</f>
        <v>0.11862464183381088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-2.4623931623931608</v>
      </c>
      <c r="P10" s="118">
        <v>234</v>
      </c>
      <c r="Q10" s="106">
        <v>-576.19999999999959</v>
      </c>
    </row>
    <row r="11" spans="1:17" x14ac:dyDescent="0.4">
      <c r="A11" s="56" t="s">
        <v>140</v>
      </c>
      <c r="B11" s="48">
        <v>85</v>
      </c>
      <c r="C11" s="40">
        <f>IF(B$2=0,0,B11/B$2)</f>
        <v>0.12108262108262108</v>
      </c>
      <c r="E11" s="63" t="s">
        <v>71</v>
      </c>
      <c r="F11" s="60" t="s">
        <v>26</v>
      </c>
      <c r="G11" s="47">
        <v>176</v>
      </c>
      <c r="H11" s="133">
        <f>IF(B$17=0,0,G11/B$17)</f>
        <v>0.10085959885386819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1.0222222222222224</v>
      </c>
      <c r="P11" s="119">
        <v>234</v>
      </c>
      <c r="Q11" s="107">
        <v>239.20000000000005</v>
      </c>
    </row>
    <row r="12" spans="1:17" x14ac:dyDescent="0.4">
      <c r="A12" s="57" t="s">
        <v>160</v>
      </c>
      <c r="B12" s="49">
        <v>59</v>
      </c>
      <c r="C12" s="42">
        <f>IF(B$2=0,0,B12/B$2)</f>
        <v>8.4045584045584043E-2</v>
      </c>
      <c r="E12" s="63" t="s">
        <v>72</v>
      </c>
      <c r="F12" s="60" t="s">
        <v>27</v>
      </c>
      <c r="G12" s="47">
        <v>120</v>
      </c>
      <c r="H12" s="133">
        <f>IF(B$17=0,0,G12/B$17)</f>
        <v>6.8767908309455589E-2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1.4401709401709399</v>
      </c>
      <c r="P12" s="120">
        <v>234</v>
      </c>
      <c r="Q12" s="108">
        <v>336.99999999999994</v>
      </c>
    </row>
    <row r="13" spans="1:17" x14ac:dyDescent="0.4">
      <c r="A13" s="58" t="s">
        <v>122</v>
      </c>
      <c r="B13" s="50">
        <v>1628</v>
      </c>
      <c r="C13" s="44">
        <f>IF(B$3=0,0,B13/B$3)</f>
        <v>0.27871939736346518</v>
      </c>
      <c r="E13" s="63" t="s">
        <v>87</v>
      </c>
      <c r="F13" s="60" t="s">
        <v>42</v>
      </c>
      <c r="G13" s="47">
        <v>101</v>
      </c>
      <c r="H13" s="133">
        <f>IF(B$17=0,0,G13/B$17)</f>
        <v>5.7879656160458454E-2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1211</v>
      </c>
      <c r="C14" s="39">
        <f>IF(B$3=0,0,B14/B$3)</f>
        <v>0.20732751241225816</v>
      </c>
      <c r="E14" s="63" t="s">
        <v>84</v>
      </c>
      <c r="F14" s="60" t="s">
        <v>39</v>
      </c>
      <c r="G14" s="47">
        <v>85</v>
      </c>
      <c r="H14" s="133">
        <f>IF(B$17=0,0,G14/B$17)</f>
        <v>4.8710601719197708E-2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945</v>
      </c>
      <c r="C15" s="37">
        <f>IF(B$13=0,0,B15/B$13)</f>
        <v>0.58046683046683045</v>
      </c>
      <c r="E15" s="63" t="s">
        <v>79</v>
      </c>
      <c r="F15" s="60" t="s">
        <v>34</v>
      </c>
      <c r="G15" s="47">
        <v>48</v>
      </c>
      <c r="H15" s="133">
        <f>IF(B$17=0,0,G15/B$17)</f>
        <v>2.7507163323782235E-2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21.514736842105293</v>
      </c>
      <c r="P15" s="118">
        <v>190</v>
      </c>
      <c r="Q15" s="106">
        <v>4087.8000000000056</v>
      </c>
    </row>
    <row r="16" spans="1:17" x14ac:dyDescent="0.4">
      <c r="A16" s="54" t="s">
        <v>125</v>
      </c>
      <c r="B16" s="46">
        <v>475</v>
      </c>
      <c r="C16" s="37">
        <f>IF(B$14=0,0,B16/B$14)</f>
        <v>0.39223781998348473</v>
      </c>
      <c r="E16" s="63" t="s">
        <v>82</v>
      </c>
      <c r="F16" s="60" t="s">
        <v>37</v>
      </c>
      <c r="G16" s="47">
        <v>46</v>
      </c>
      <c r="H16" s="133">
        <f>IF(B$17=0,0,G16/B$17)</f>
        <v>2.6361031518624643E-2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1745</v>
      </c>
      <c r="C17" s="37">
        <f>IF(B$3=0,0,B17/B$3)</f>
        <v>0.29875021400445129</v>
      </c>
      <c r="E17" s="63" t="s">
        <v>92</v>
      </c>
      <c r="F17" s="60" t="s">
        <v>47</v>
      </c>
      <c r="G17" s="47">
        <v>34</v>
      </c>
      <c r="H17" s="133">
        <f>IF(B$17=0,0,G17/B$17)</f>
        <v>1.9484240687679084E-2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12.115624999999996</v>
      </c>
      <c r="P17" s="119">
        <v>96</v>
      </c>
      <c r="Q17" s="107">
        <v>1163.0999999999997</v>
      </c>
    </row>
    <row r="18" spans="1:17" x14ac:dyDescent="0.4">
      <c r="A18" s="55" t="s">
        <v>12</v>
      </c>
      <c r="B18" s="47">
        <v>752</v>
      </c>
      <c r="C18" s="39">
        <f>IF(B$17=0,0,B18/B$17)</f>
        <v>0.430945558739255</v>
      </c>
      <c r="E18" s="63" t="s">
        <v>80</v>
      </c>
      <c r="F18" s="60" t="s">
        <v>35</v>
      </c>
      <c r="G18" s="47">
        <v>28</v>
      </c>
      <c r="H18" s="133">
        <f>IF(B$17=0,0,G18/B$17)</f>
        <v>1.6045845272206302E-2</v>
      </c>
      <c r="I18" s="94">
        <v>6</v>
      </c>
      <c r="K18" s="38">
        <v>16</v>
      </c>
      <c r="L18" s="99">
        <v>90.899999999999991</v>
      </c>
      <c r="N18" s="115" t="s">
        <v>184</v>
      </c>
      <c r="O18" s="125">
        <f>IF(P18=0,0,Q18/P18)</f>
        <v>10.541666666666666</v>
      </c>
      <c r="P18" s="119">
        <v>36</v>
      </c>
      <c r="Q18" s="107">
        <v>379.5</v>
      </c>
    </row>
    <row r="19" spans="1:17" x14ac:dyDescent="0.4">
      <c r="A19" s="55" t="s">
        <v>11</v>
      </c>
      <c r="B19" s="47">
        <v>993</v>
      </c>
      <c r="C19" s="39">
        <f>IF(B$17=0,0,B19/B$17)</f>
        <v>0.569054441260745</v>
      </c>
      <c r="E19" s="63" t="s">
        <v>180</v>
      </c>
      <c r="F19" s="60" t="s">
        <v>181</v>
      </c>
      <c r="G19" s="47">
        <v>26</v>
      </c>
      <c r="H19" s="133">
        <f>IF(B$17=0,0,G19/B$17)</f>
        <v>1.4899713467048711E-2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3.703846153846154</v>
      </c>
      <c r="P19" s="119">
        <v>260</v>
      </c>
      <c r="Q19" s="107">
        <v>963</v>
      </c>
    </row>
    <row r="20" spans="1:17" x14ac:dyDescent="0.4">
      <c r="A20" s="55" t="s">
        <v>13</v>
      </c>
      <c r="B20" s="47">
        <v>982</v>
      </c>
      <c r="C20" s="39">
        <f>IF(B$3=0,0,B20/B$3)</f>
        <v>0.16812189693545626</v>
      </c>
      <c r="E20" s="63" t="s">
        <v>74</v>
      </c>
      <c r="F20" s="60" t="s">
        <v>29</v>
      </c>
      <c r="G20" s="47">
        <v>12</v>
      </c>
      <c r="H20" s="133">
        <f>IF(B$17=0,0,G20/B$17)</f>
        <v>6.8767908309455587E-3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2.1506249999999993</v>
      </c>
      <c r="P20" s="119">
        <v>160</v>
      </c>
      <c r="Q20" s="107">
        <v>344.09999999999991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11</v>
      </c>
      <c r="H21" s="133">
        <f>IF(B$17=0,0,G21/B$17)</f>
        <v>6.3037249283667621E-3</v>
      </c>
      <c r="I21" s="94">
        <v>4</v>
      </c>
      <c r="K21" s="38">
        <v>19</v>
      </c>
      <c r="L21" s="99">
        <v>30.999999999999996</v>
      </c>
      <c r="N21" s="115" t="s">
        <v>171</v>
      </c>
      <c r="O21" s="125">
        <f>IF(P21=0,0,Q21/P21)</f>
        <v>0.15164835164835419</v>
      </c>
      <c r="P21" s="119">
        <v>182</v>
      </c>
      <c r="Q21" s="107">
        <v>27.600000000000463</v>
      </c>
    </row>
    <row r="22" spans="1:17" x14ac:dyDescent="0.4">
      <c r="A22" s="55" t="s">
        <v>192</v>
      </c>
      <c r="B22" s="47">
        <v>31</v>
      </c>
      <c r="C22" s="135">
        <v>21</v>
      </c>
      <c r="E22" s="63" t="s">
        <v>75</v>
      </c>
      <c r="F22" s="60" t="s">
        <v>30</v>
      </c>
      <c r="G22" s="47">
        <v>8</v>
      </c>
      <c r="H22" s="133">
        <f>IF(B$17=0,0,G22/B$17)</f>
        <v>4.5845272206303722E-3</v>
      </c>
      <c r="I22" s="94">
        <v>5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8674.7277936962746</v>
      </c>
      <c r="C23" s="41">
        <v>15137400</v>
      </c>
      <c r="E23" s="63" t="s">
        <v>93</v>
      </c>
      <c r="F23" s="60" t="s">
        <v>48</v>
      </c>
      <c r="G23" s="47">
        <v>8</v>
      </c>
      <c r="H23" s="133">
        <f>IF(B$17=0,0,G23/B$17)</f>
        <v>4.5845272206303722E-3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-6.295588235294117</v>
      </c>
      <c r="P23" s="119">
        <v>136</v>
      </c>
      <c r="Q23" s="107">
        <v>-856.19999999999993</v>
      </c>
    </row>
    <row r="24" spans="1:17" x14ac:dyDescent="0.4">
      <c r="A24" s="57" t="s">
        <v>14</v>
      </c>
      <c r="B24" s="52">
        <f>IF(B$20=0,0,C24/B$20)</f>
        <v>-8257.9429735234207</v>
      </c>
      <c r="C24" s="45">
        <v>-8109300</v>
      </c>
      <c r="E24" s="63" t="s">
        <v>86</v>
      </c>
      <c r="F24" s="60" t="s">
        <v>41</v>
      </c>
      <c r="G24" s="47">
        <v>7</v>
      </c>
      <c r="H24" s="133">
        <f>IF(B$17=0,0,G24/B$17)</f>
        <v>4.0114613180515755E-3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-18.808280254777049</v>
      </c>
      <c r="P24" s="119">
        <v>314</v>
      </c>
      <c r="Q24" s="107">
        <v>-5905.7999999999929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3.4383954154727794E-3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3.4383954154727794E-3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2.3968498544769731E-3</v>
      </c>
      <c r="E27" s="63" t="s">
        <v>91</v>
      </c>
      <c r="F27" s="60" t="s">
        <v>46</v>
      </c>
      <c r="G27" s="47">
        <v>5</v>
      </c>
      <c r="H27" s="133">
        <f>IF(B$17=0,0,G27/B$17)</f>
        <v>2.8653295128939827E-3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2.2922636103151861E-3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2.2922636103151861E-3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1.146131805157593E-3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1.146131805157593E-3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5.7306590257879652E-4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5.7306590257879652E-4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-10.8</v>
      </c>
    </row>
    <row r="703" spans="11:12" x14ac:dyDescent="0.4">
      <c r="K703" s="38">
        <v>701</v>
      </c>
      <c r="L703" s="99">
        <v>-52</v>
      </c>
    </row>
    <row r="704" spans="11:12" x14ac:dyDescent="0.4">
      <c r="K704" s="38">
        <v>702</v>
      </c>
      <c r="L704" s="99">
        <v>0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5F644-13BF-46FE-9F57-E6B2ECDEE509}">
  <sheetPr codeName="Sheet7"/>
  <dimension ref="A1:Q1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157</v>
      </c>
      <c r="C2" s="151"/>
      <c r="E2" s="62" t="s">
        <v>67</v>
      </c>
      <c r="F2" s="59" t="s">
        <v>23</v>
      </c>
      <c r="G2" s="46">
        <v>319</v>
      </c>
      <c r="H2" s="132">
        <f>IF(B$17=0,0,G2/B$17)</f>
        <v>0.72171945701357465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2109.5541401273886</v>
      </c>
      <c r="P2" s="118">
        <v>157</v>
      </c>
      <c r="Q2" s="102">
        <v>331200</v>
      </c>
    </row>
    <row r="3" spans="1:17" x14ac:dyDescent="0.4">
      <c r="A3" s="55" t="s">
        <v>8</v>
      </c>
      <c r="B3" s="152">
        <v>1284</v>
      </c>
      <c r="C3" s="153"/>
      <c r="E3" s="63" t="s">
        <v>73</v>
      </c>
      <c r="F3" s="60" t="s">
        <v>28</v>
      </c>
      <c r="G3" s="47">
        <v>249</v>
      </c>
      <c r="H3" s="133">
        <f>IF(B$17=0,0,G3/B$17)</f>
        <v>0.56334841628959276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1986.9281045751634</v>
      </c>
      <c r="P3" s="119">
        <v>153</v>
      </c>
      <c r="Q3" s="103">
        <v>304000</v>
      </c>
    </row>
    <row r="4" spans="1:17" x14ac:dyDescent="0.4">
      <c r="A4" s="55" t="s">
        <v>6</v>
      </c>
      <c r="B4" s="154">
        <v>1968.6000000000006</v>
      </c>
      <c r="C4" s="155"/>
      <c r="E4" s="63" t="s">
        <v>65</v>
      </c>
      <c r="F4" s="60" t="s">
        <v>21</v>
      </c>
      <c r="G4" s="47">
        <v>213</v>
      </c>
      <c r="H4" s="133">
        <f>IF(B$17=0,0,G4/B$17)</f>
        <v>0.48190045248868779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884.82758620689651</v>
      </c>
      <c r="P4" s="119">
        <v>145</v>
      </c>
      <c r="Q4" s="103">
        <v>128300</v>
      </c>
    </row>
    <row r="5" spans="1:17" x14ac:dyDescent="0.4">
      <c r="A5" s="55" t="s">
        <v>7</v>
      </c>
      <c r="B5" s="156">
        <f>IF(B$2=0,0,B$4/B$2)</f>
        <v>12.538853503184717</v>
      </c>
      <c r="C5" s="157"/>
      <c r="E5" s="63" t="s">
        <v>245</v>
      </c>
      <c r="F5" s="60" t="s">
        <v>246</v>
      </c>
      <c r="G5" s="47">
        <v>184</v>
      </c>
      <c r="H5" s="133">
        <f>IF(B$17=0,0,G5/B$17)</f>
        <v>0.41628959276018102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2253.7313432835822</v>
      </c>
      <c r="P5" s="119">
        <v>134</v>
      </c>
      <c r="Q5" s="103">
        <v>302000</v>
      </c>
    </row>
    <row r="6" spans="1:17" x14ac:dyDescent="0.4">
      <c r="A6" s="55" t="s">
        <v>1</v>
      </c>
      <c r="B6" s="146">
        <f>IF(B$2=0,0,(B$7*1+B$8*2+B$9*3)/B$2)</f>
        <v>1.7515923566878981</v>
      </c>
      <c r="C6" s="147"/>
      <c r="E6" s="63" t="s">
        <v>68</v>
      </c>
      <c r="F6" s="60" t="s">
        <v>24</v>
      </c>
      <c r="G6" s="47">
        <v>125</v>
      </c>
      <c r="H6" s="133">
        <f>IF(B$17=0,0,G6/B$17)</f>
        <v>0.28280542986425339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170.33898305084745</v>
      </c>
      <c r="P6" s="119">
        <v>118</v>
      </c>
      <c r="Q6" s="103">
        <v>20100</v>
      </c>
    </row>
    <row r="7" spans="1:17" x14ac:dyDescent="0.4">
      <c r="A7" s="55" t="s">
        <v>2</v>
      </c>
      <c r="B7" s="47">
        <v>76</v>
      </c>
      <c r="C7" s="39">
        <f>IF(B$2=0,0,B7/B$2)</f>
        <v>0.48407643312101911</v>
      </c>
      <c r="E7" s="63" t="s">
        <v>69</v>
      </c>
      <c r="F7" s="60" t="s">
        <v>12</v>
      </c>
      <c r="G7" s="47">
        <v>119</v>
      </c>
      <c r="H7" s="133">
        <f>IF(B$17=0,0,G7/B$17)</f>
        <v>0.26923076923076922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921.56862745098044</v>
      </c>
      <c r="P7" s="120">
        <v>102</v>
      </c>
      <c r="Q7" s="104">
        <v>94000</v>
      </c>
    </row>
    <row r="8" spans="1:17" x14ac:dyDescent="0.4">
      <c r="A8" s="55" t="s">
        <v>3</v>
      </c>
      <c r="B8" s="47">
        <v>44</v>
      </c>
      <c r="C8" s="39">
        <f>IF(B$2=0,0,B8/B$2)</f>
        <v>0.28025477707006369</v>
      </c>
      <c r="E8" s="63" t="s">
        <v>70</v>
      </c>
      <c r="F8" s="60" t="s">
        <v>25</v>
      </c>
      <c r="G8" s="47">
        <v>72</v>
      </c>
      <c r="H8" s="133">
        <f>IF(B$17=0,0,G8/B$17)</f>
        <v>0.16289592760180996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0.2356687898089172</v>
      </c>
      <c r="E9" s="63" t="s">
        <v>90</v>
      </c>
      <c r="F9" s="60" t="s">
        <v>45</v>
      </c>
      <c r="G9" s="47">
        <v>70</v>
      </c>
      <c r="H9" s="133">
        <f>IF(B$17=0,0,G9/B$17)</f>
        <v>0.15837104072398189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9.5541401273885357E-2</v>
      </c>
      <c r="E10" s="63" t="s">
        <v>66</v>
      </c>
      <c r="F10" s="60" t="s">
        <v>22</v>
      </c>
      <c r="G10" s="47">
        <v>55</v>
      </c>
      <c r="H10" s="133">
        <f>IF(B$17=0,0,G10/B$17)</f>
        <v>0.1244343891402715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15.124000000000001</v>
      </c>
      <c r="P10" s="118">
        <v>50</v>
      </c>
      <c r="Q10" s="106">
        <v>756.2</v>
      </c>
    </row>
    <row r="11" spans="1:17" x14ac:dyDescent="0.4">
      <c r="A11" s="56" t="s">
        <v>140</v>
      </c>
      <c r="B11" s="48">
        <v>28</v>
      </c>
      <c r="C11" s="40">
        <f>IF(B$2=0,0,B11/B$2)</f>
        <v>0.17834394904458598</v>
      </c>
      <c r="E11" s="63" t="s">
        <v>71</v>
      </c>
      <c r="F11" s="60" t="s">
        <v>26</v>
      </c>
      <c r="G11" s="47">
        <v>38</v>
      </c>
      <c r="H11" s="133">
        <f>IF(B$17=0,0,G11/B$17)</f>
        <v>8.5972850678733032E-2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10.774468085106383</v>
      </c>
      <c r="P11" s="119">
        <v>47</v>
      </c>
      <c r="Q11" s="107">
        <v>506.40000000000003</v>
      </c>
    </row>
    <row r="12" spans="1:17" x14ac:dyDescent="0.4">
      <c r="A12" s="57" t="s">
        <v>160</v>
      </c>
      <c r="B12" s="49">
        <v>22</v>
      </c>
      <c r="C12" s="42">
        <f>IF(B$2=0,0,B12/B$2)</f>
        <v>0.14012738853503184</v>
      </c>
      <c r="E12" s="63" t="s">
        <v>87</v>
      </c>
      <c r="F12" s="60" t="s">
        <v>42</v>
      </c>
      <c r="G12" s="47">
        <v>33</v>
      </c>
      <c r="H12" s="133">
        <f>IF(B$17=0,0,G12/B$17)</f>
        <v>7.4660633484162894E-2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11.766666666666669</v>
      </c>
      <c r="P12" s="120">
        <v>60</v>
      </c>
      <c r="Q12" s="108">
        <v>706.00000000000011</v>
      </c>
    </row>
    <row r="13" spans="1:17" x14ac:dyDescent="0.4">
      <c r="A13" s="58" t="s">
        <v>122</v>
      </c>
      <c r="B13" s="50">
        <v>403</v>
      </c>
      <c r="C13" s="44">
        <f>IF(B$3=0,0,B13/B$3)</f>
        <v>0.31386292834890966</v>
      </c>
      <c r="E13" s="63" t="s">
        <v>72</v>
      </c>
      <c r="F13" s="60" t="s">
        <v>27</v>
      </c>
      <c r="G13" s="47">
        <v>31</v>
      </c>
      <c r="H13" s="133">
        <f>IF(B$17=0,0,G13/B$17)</f>
        <v>7.0135746606334842E-2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277</v>
      </c>
      <c r="C14" s="39">
        <f>IF(B$3=0,0,B14/B$3)</f>
        <v>0.21573208722741433</v>
      </c>
      <c r="E14" s="63" t="s">
        <v>84</v>
      </c>
      <c r="F14" s="60" t="s">
        <v>39</v>
      </c>
      <c r="G14" s="47">
        <v>25</v>
      </c>
      <c r="H14" s="133">
        <f>IF(B$17=0,0,G14/B$17)</f>
        <v>5.6561085972850679E-2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0.57568238213399503</v>
      </c>
      <c r="E15" s="63" t="s">
        <v>180</v>
      </c>
      <c r="F15" s="60" t="s">
        <v>181</v>
      </c>
      <c r="G15" s="47">
        <v>15</v>
      </c>
      <c r="H15" s="133">
        <f>IF(B$17=0,0,G15/B$17)</f>
        <v>3.3936651583710405E-2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143</v>
      </c>
      <c r="C16" s="37">
        <f>IF(B$14=0,0,B16/B$14)</f>
        <v>0.51624548736462095</v>
      </c>
      <c r="E16" s="63" t="s">
        <v>79</v>
      </c>
      <c r="F16" s="60" t="s">
        <v>34</v>
      </c>
      <c r="G16" s="47">
        <v>12</v>
      </c>
      <c r="H16" s="133">
        <f>IF(B$17=0,0,G16/B$17)</f>
        <v>2.7149321266968326E-2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442</v>
      </c>
      <c r="C17" s="37">
        <f>IF(B$3=0,0,B17/B$3)</f>
        <v>0.34423676012461057</v>
      </c>
      <c r="E17" s="63" t="s">
        <v>82</v>
      </c>
      <c r="F17" s="60" t="s">
        <v>37</v>
      </c>
      <c r="G17" s="47">
        <v>12</v>
      </c>
      <c r="H17" s="133">
        <f>IF(B$17=0,0,G17/B$17)</f>
        <v>2.7149321266968326E-2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28.908474576271193</v>
      </c>
      <c r="P17" s="119">
        <v>59</v>
      </c>
      <c r="Q17" s="107">
        <v>1705.6000000000004</v>
      </c>
    </row>
    <row r="18" spans="1:17" x14ac:dyDescent="0.4">
      <c r="A18" s="55" t="s">
        <v>12</v>
      </c>
      <c r="B18" s="47">
        <v>183</v>
      </c>
      <c r="C18" s="39">
        <f>IF(B$17=0,0,B18/B$17)</f>
        <v>0.41402714932126694</v>
      </c>
      <c r="E18" s="63" t="s">
        <v>92</v>
      </c>
      <c r="F18" s="60" t="s">
        <v>47</v>
      </c>
      <c r="G18" s="47">
        <v>10</v>
      </c>
      <c r="H18" s="133">
        <f>IF(B$17=0,0,G18/B$17)</f>
        <v>2.2624434389140271E-2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25.348888888888887</v>
      </c>
      <c r="P18" s="119">
        <v>45</v>
      </c>
      <c r="Q18" s="107">
        <v>1140.6999999999998</v>
      </c>
    </row>
    <row r="19" spans="1:17" x14ac:dyDescent="0.4">
      <c r="A19" s="55" t="s">
        <v>11</v>
      </c>
      <c r="B19" s="47">
        <v>259</v>
      </c>
      <c r="C19" s="39">
        <f>IF(B$17=0,0,B19/B$17)</f>
        <v>0.58597285067873306</v>
      </c>
      <c r="E19" s="63" t="s">
        <v>80</v>
      </c>
      <c r="F19" s="60" t="s">
        <v>35</v>
      </c>
      <c r="G19" s="47">
        <v>5</v>
      </c>
      <c r="H19" s="133">
        <f>IF(B$17=0,0,G19/B$17)</f>
        <v>1.1312217194570135E-2</v>
      </c>
      <c r="I19" s="94">
        <v>9</v>
      </c>
      <c r="K19" s="38">
        <v>17</v>
      </c>
      <c r="L19" s="99">
        <v>427.40000000000003</v>
      </c>
      <c r="N19" s="115" t="s">
        <v>177</v>
      </c>
      <c r="O19" s="125">
        <f>IF(P19=0,0,Q19/P19)</f>
        <v>24.748275862068972</v>
      </c>
      <c r="P19" s="119">
        <v>29</v>
      </c>
      <c r="Q19" s="107">
        <v>717.70000000000016</v>
      </c>
    </row>
    <row r="20" spans="1:17" x14ac:dyDescent="0.4">
      <c r="A20" s="55" t="s">
        <v>13</v>
      </c>
      <c r="B20" s="47">
        <v>199</v>
      </c>
      <c r="C20" s="39">
        <f>IF(B$3=0,0,B20/B$3)</f>
        <v>0.15498442367601245</v>
      </c>
      <c r="E20" s="63" t="s">
        <v>86</v>
      </c>
      <c r="F20" s="60" t="s">
        <v>41</v>
      </c>
      <c r="G20" s="47">
        <v>4</v>
      </c>
      <c r="H20" s="133">
        <f>IF(B$17=0,0,G20/B$17)</f>
        <v>9.0497737556561094E-3</v>
      </c>
      <c r="I20" s="94">
        <v>2</v>
      </c>
      <c r="K20" s="38">
        <v>18</v>
      </c>
      <c r="L20" s="99">
        <v>429.3</v>
      </c>
      <c r="N20" s="115" t="s">
        <v>184</v>
      </c>
      <c r="O20" s="125">
        <f>IF(P20=0,0,Q20/P20)</f>
        <v>22.99166666666666</v>
      </c>
      <c r="P20" s="119">
        <v>12</v>
      </c>
      <c r="Q20" s="107">
        <v>275.89999999999992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6.7873303167420816E-3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18.236363636363635</v>
      </c>
      <c r="P21" s="119">
        <v>88</v>
      </c>
      <c r="Q21" s="107">
        <v>1604.8</v>
      </c>
    </row>
    <row r="22" spans="1:17" x14ac:dyDescent="0.4">
      <c r="A22" s="55" t="s">
        <v>192</v>
      </c>
      <c r="B22" s="47">
        <v>39</v>
      </c>
      <c r="C22" s="135">
        <v>16</v>
      </c>
      <c r="E22" s="63" t="s">
        <v>93</v>
      </c>
      <c r="F22" s="60" t="s">
        <v>48</v>
      </c>
      <c r="G22" s="47">
        <v>3</v>
      </c>
      <c r="H22" s="133">
        <f>IF(B$17=0,0,G22/B$17)</f>
        <v>6.7873303167420816E-3</v>
      </c>
      <c r="I22" s="94">
        <v>2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9217.8733031674201</v>
      </c>
      <c r="C23" s="41">
        <v>4074300</v>
      </c>
      <c r="E23" s="63" t="s">
        <v>78</v>
      </c>
      <c r="F23" s="60" t="s">
        <v>33</v>
      </c>
      <c r="G23" s="47">
        <v>2</v>
      </c>
      <c r="H23" s="133">
        <f>IF(B$17=0,0,G23/B$17)</f>
        <v>4.5248868778280547E-3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1.6094339622641485</v>
      </c>
      <c r="P23" s="119">
        <v>53</v>
      </c>
      <c r="Q23" s="107">
        <v>85.299999999999869</v>
      </c>
    </row>
    <row r="24" spans="1:17" x14ac:dyDescent="0.4">
      <c r="A24" s="57" t="s">
        <v>14</v>
      </c>
      <c r="B24" s="52">
        <f>IF(B$20=0,0,C24/B$20)</f>
        <v>-8216.0804020100495</v>
      </c>
      <c r="C24" s="45">
        <v>-1635000</v>
      </c>
      <c r="E24" s="63" t="s">
        <v>91</v>
      </c>
      <c r="F24" s="60" t="s">
        <v>46</v>
      </c>
      <c r="G24" s="47">
        <v>2</v>
      </c>
      <c r="H24" s="133">
        <f>IF(B$17=0,0,G24/B$17)</f>
        <v>4.5248868778280547E-3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2.2624434389140274E-3</v>
      </c>
      <c r="I25" s="94">
        <v>8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2.2624434389140274E-3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7.7881619937694702E-4</v>
      </c>
      <c r="E27" s="63" t="s">
        <v>88</v>
      </c>
      <c r="F27" s="60" t="s">
        <v>43</v>
      </c>
      <c r="G27" s="47">
        <v>1</v>
      </c>
      <c r="H27" s="133">
        <f>IF(B$17=0,0,G27/B$17)</f>
        <v>2.2624434389140274E-3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2.2624434389140274E-3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2.2624434389140274E-3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1968.6000000000006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0AF8C-4ADB-42C0-9690-0130C314A7D7}">
  <sheetPr codeName="Sheet9"/>
  <dimension ref="A1:Q13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130</v>
      </c>
      <c r="C2" s="151"/>
      <c r="E2" s="62" t="s">
        <v>67</v>
      </c>
      <c r="F2" s="59" t="s">
        <v>23</v>
      </c>
      <c r="G2" s="46">
        <v>222</v>
      </c>
      <c r="H2" s="132">
        <f>IF(B$17=0,0,G2/B$17)</f>
        <v>0.75510204081632648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287.69230769230768</v>
      </c>
      <c r="P2" s="118">
        <v>130</v>
      </c>
      <c r="Q2" s="102">
        <v>37400</v>
      </c>
    </row>
    <row r="3" spans="1:17" x14ac:dyDescent="0.4">
      <c r="A3" s="55" t="s">
        <v>8</v>
      </c>
      <c r="B3" s="152">
        <v>1077</v>
      </c>
      <c r="C3" s="153"/>
      <c r="E3" s="63" t="s">
        <v>65</v>
      </c>
      <c r="F3" s="60" t="s">
        <v>21</v>
      </c>
      <c r="G3" s="47">
        <v>184</v>
      </c>
      <c r="H3" s="133">
        <f>IF(B$17=0,0,G3/B$17)</f>
        <v>0.62585034013605445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-2021.4285714285713</v>
      </c>
      <c r="P3" s="119">
        <v>126</v>
      </c>
      <c r="Q3" s="103">
        <v>-254700</v>
      </c>
    </row>
    <row r="4" spans="1:17" x14ac:dyDescent="0.4">
      <c r="A4" s="55" t="s">
        <v>6</v>
      </c>
      <c r="B4" s="154">
        <v>-321</v>
      </c>
      <c r="C4" s="155"/>
      <c r="E4" s="63" t="s">
        <v>73</v>
      </c>
      <c r="F4" s="60" t="s">
        <v>28</v>
      </c>
      <c r="G4" s="47">
        <v>134</v>
      </c>
      <c r="H4" s="133">
        <f>IF(B$17=0,0,G4/B$17)</f>
        <v>0.45578231292517007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228.68852459016392</v>
      </c>
      <c r="P4" s="119">
        <v>122</v>
      </c>
      <c r="Q4" s="103">
        <v>27900</v>
      </c>
    </row>
    <row r="5" spans="1:17" x14ac:dyDescent="0.4">
      <c r="A5" s="55" t="s">
        <v>7</v>
      </c>
      <c r="B5" s="156">
        <f>IF(B$2=0,0,B$4/B$2)</f>
        <v>-2.4692307692307693</v>
      </c>
      <c r="C5" s="157"/>
      <c r="E5" s="63" t="s">
        <v>245</v>
      </c>
      <c r="F5" s="60" t="s">
        <v>246</v>
      </c>
      <c r="G5" s="47">
        <v>124</v>
      </c>
      <c r="H5" s="133">
        <f>IF(B$17=0,0,G5/B$17)</f>
        <v>0.42176870748299322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15.596330275229358</v>
      </c>
      <c r="P5" s="119">
        <v>109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2.0769230769230771</v>
      </c>
      <c r="C6" s="147"/>
      <c r="E6" s="63" t="s">
        <v>68</v>
      </c>
      <c r="F6" s="60" t="s">
        <v>24</v>
      </c>
      <c r="G6" s="47">
        <v>120</v>
      </c>
      <c r="H6" s="133">
        <f>IF(B$17=0,0,G6/B$17)</f>
        <v>0.40816326530612246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823.71134020618558</v>
      </c>
      <c r="P6" s="119">
        <v>97</v>
      </c>
      <c r="Q6" s="103">
        <v>79900</v>
      </c>
    </row>
    <row r="7" spans="1:17" x14ac:dyDescent="0.4">
      <c r="A7" s="55" t="s">
        <v>2</v>
      </c>
      <c r="B7" s="47">
        <v>35</v>
      </c>
      <c r="C7" s="39">
        <f>IF(B$2=0,0,B7/B$2)</f>
        <v>0.26923076923076922</v>
      </c>
      <c r="E7" s="63" t="s">
        <v>69</v>
      </c>
      <c r="F7" s="60" t="s">
        <v>12</v>
      </c>
      <c r="G7" s="47">
        <v>102</v>
      </c>
      <c r="H7" s="133">
        <f>IF(B$17=0,0,G7/B$17)</f>
        <v>0.34693877551020408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270.45454545454544</v>
      </c>
      <c r="P7" s="120">
        <v>88</v>
      </c>
      <c r="Q7" s="104">
        <v>23800</v>
      </c>
    </row>
    <row r="8" spans="1:17" x14ac:dyDescent="0.4">
      <c r="A8" s="55" t="s">
        <v>3</v>
      </c>
      <c r="B8" s="47">
        <v>50</v>
      </c>
      <c r="C8" s="39">
        <f>IF(B$2=0,0,B8/B$2)</f>
        <v>0.38461538461538464</v>
      </c>
      <c r="E8" s="63" t="s">
        <v>70</v>
      </c>
      <c r="F8" s="60" t="s">
        <v>25</v>
      </c>
      <c r="G8" s="47">
        <v>67</v>
      </c>
      <c r="H8" s="133">
        <f>IF(B$17=0,0,G8/B$17)</f>
        <v>0.22789115646258504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0.34615384615384615</v>
      </c>
      <c r="E9" s="63" t="s">
        <v>66</v>
      </c>
      <c r="F9" s="60" t="s">
        <v>22</v>
      </c>
      <c r="G9" s="47">
        <v>47</v>
      </c>
      <c r="H9" s="133">
        <f>IF(B$17=0,0,G9/B$17)</f>
        <v>0.1598639455782313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0.13076923076923078</v>
      </c>
      <c r="E10" s="63" t="s">
        <v>71</v>
      </c>
      <c r="F10" s="60" t="s">
        <v>26</v>
      </c>
      <c r="G10" s="47">
        <v>37</v>
      </c>
      <c r="H10" s="133">
        <f>IF(B$17=0,0,G10/B$17)</f>
        <v>0.12585034013605442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-7.4203125000000005</v>
      </c>
      <c r="P10" s="118">
        <v>64</v>
      </c>
      <c r="Q10" s="106">
        <v>-474.90000000000003</v>
      </c>
    </row>
    <row r="11" spans="1:17" x14ac:dyDescent="0.4">
      <c r="A11" s="56" t="s">
        <v>140</v>
      </c>
      <c r="B11" s="48">
        <v>13</v>
      </c>
      <c r="C11" s="40">
        <f>IF(B$2=0,0,B11/B$2)</f>
        <v>0.1</v>
      </c>
      <c r="E11" s="63" t="s">
        <v>90</v>
      </c>
      <c r="F11" s="60" t="s">
        <v>45</v>
      </c>
      <c r="G11" s="47">
        <v>32</v>
      </c>
      <c r="H11" s="133">
        <f>IF(B$17=0,0,G11/B$17)</f>
        <v>0.10884353741496598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-0.63235294117646967</v>
      </c>
      <c r="P11" s="119">
        <v>34</v>
      </c>
      <c r="Q11" s="107">
        <v>-21.499999999999968</v>
      </c>
    </row>
    <row r="12" spans="1:17" x14ac:dyDescent="0.4">
      <c r="A12" s="57" t="s">
        <v>160</v>
      </c>
      <c r="B12" s="49">
        <v>9</v>
      </c>
      <c r="C12" s="42">
        <f>IF(B$2=0,0,B12/B$2)</f>
        <v>6.9230769230769235E-2</v>
      </c>
      <c r="E12" s="63" t="s">
        <v>72</v>
      </c>
      <c r="F12" s="60" t="s">
        <v>27</v>
      </c>
      <c r="G12" s="47">
        <v>17</v>
      </c>
      <c r="H12" s="133">
        <f>IF(B$17=0,0,G12/B$17)</f>
        <v>5.7823129251700682E-2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324</v>
      </c>
      <c r="C13" s="44">
        <f>IF(B$3=0,0,B13/B$3)</f>
        <v>0.30083565459610029</v>
      </c>
      <c r="E13" s="63" t="s">
        <v>87</v>
      </c>
      <c r="F13" s="60" t="s">
        <v>42</v>
      </c>
      <c r="G13" s="47">
        <v>15</v>
      </c>
      <c r="H13" s="133">
        <f>IF(B$17=0,0,G13/B$17)</f>
        <v>5.1020408163265307E-2</v>
      </c>
      <c r="I13" s="94">
        <v>8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189</v>
      </c>
      <c r="C14" s="39">
        <f>IF(B$3=0,0,B14/B$3)</f>
        <v>0.17548746518105848</v>
      </c>
      <c r="E14" s="63" t="s">
        <v>84</v>
      </c>
      <c r="F14" s="60" t="s">
        <v>39</v>
      </c>
      <c r="G14" s="47">
        <v>10</v>
      </c>
      <c r="H14" s="133">
        <f>IF(B$17=0,0,G14/B$17)</f>
        <v>3.4013605442176874E-2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193</v>
      </c>
      <c r="C15" s="37">
        <f>IF(B$13=0,0,B15/B$13)</f>
        <v>0.59567901234567899</v>
      </c>
      <c r="E15" s="63" t="s">
        <v>82</v>
      </c>
      <c r="F15" s="60" t="s">
        <v>37</v>
      </c>
      <c r="G15" s="47">
        <v>8</v>
      </c>
      <c r="H15" s="133">
        <f>IF(B$17=0,0,G15/B$17)</f>
        <v>2.7210884353741496E-2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56</v>
      </c>
      <c r="C16" s="37">
        <f>IF(B$14=0,0,B16/B$14)</f>
        <v>0.29629629629629628</v>
      </c>
      <c r="E16" s="63" t="s">
        <v>80</v>
      </c>
      <c r="F16" s="60" t="s">
        <v>35</v>
      </c>
      <c r="G16" s="47">
        <v>7</v>
      </c>
      <c r="H16" s="133">
        <f>IF(B$17=0,0,G16/B$17)</f>
        <v>2.3809523809523808E-2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294</v>
      </c>
      <c r="C17" s="37">
        <f>IF(B$3=0,0,B17/B$3)</f>
        <v>0.27298050139275765</v>
      </c>
      <c r="E17" s="63" t="s">
        <v>92</v>
      </c>
      <c r="F17" s="60" t="s">
        <v>47</v>
      </c>
      <c r="G17" s="47">
        <v>6</v>
      </c>
      <c r="H17" s="133">
        <f>IF(B$17=0,0,G17/B$17)</f>
        <v>2.0408163265306121E-2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126</v>
      </c>
      <c r="C18" s="39">
        <f>IF(B$17=0,0,B18/B$17)</f>
        <v>0.42857142857142855</v>
      </c>
      <c r="E18" s="63" t="s">
        <v>79</v>
      </c>
      <c r="F18" s="60" t="s">
        <v>34</v>
      </c>
      <c r="G18" s="47">
        <v>5</v>
      </c>
      <c r="H18" s="133">
        <f>IF(B$17=0,0,G18/B$17)</f>
        <v>1.7006802721088437E-2</v>
      </c>
      <c r="I18" s="94">
        <v>9</v>
      </c>
      <c r="K18" s="38">
        <v>16</v>
      </c>
      <c r="L18" s="99">
        <v>41.699999999999989</v>
      </c>
      <c r="N18" s="115" t="s">
        <v>171</v>
      </c>
      <c r="O18" s="125">
        <f>IF(P18=0,0,Q18/P18)</f>
        <v>1.1611111111111161</v>
      </c>
      <c r="P18" s="119">
        <v>36</v>
      </c>
      <c r="Q18" s="107">
        <v>41.800000000000182</v>
      </c>
    </row>
    <row r="19" spans="1:17" x14ac:dyDescent="0.4">
      <c r="A19" s="55" t="s">
        <v>11</v>
      </c>
      <c r="B19" s="47">
        <v>168</v>
      </c>
      <c r="C19" s="39">
        <f>IF(B$17=0,0,B19/B$17)</f>
        <v>0.5714285714285714</v>
      </c>
      <c r="E19" s="63" t="s">
        <v>180</v>
      </c>
      <c r="F19" s="60" t="s">
        <v>181</v>
      </c>
      <c r="G19" s="47">
        <v>5</v>
      </c>
      <c r="H19" s="133">
        <f>IF(B$17=0,0,G19/B$17)</f>
        <v>1.7006802721088437E-2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186</v>
      </c>
      <c r="C20" s="39">
        <f>IF(B$3=0,0,B20/B$3)</f>
        <v>0.17270194986072424</v>
      </c>
      <c r="E20" s="63" t="s">
        <v>76</v>
      </c>
      <c r="F20" s="60" t="s">
        <v>31</v>
      </c>
      <c r="G20" s="47">
        <v>3</v>
      </c>
      <c r="H20" s="133">
        <f>IF(B$17=0,0,G20/B$17)</f>
        <v>1.020408163265306E-2</v>
      </c>
      <c r="I20" s="94">
        <v>3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74</v>
      </c>
      <c r="F21" s="60" t="s">
        <v>29</v>
      </c>
      <c r="G21" s="47">
        <v>2</v>
      </c>
      <c r="H21" s="133">
        <f>IF(B$17=0,0,G21/B$17)</f>
        <v>6.8027210884353739E-3</v>
      </c>
      <c r="I21" s="94">
        <v>5</v>
      </c>
      <c r="K21" s="38">
        <v>19</v>
      </c>
      <c r="L21" s="99">
        <v>138.79999999999998</v>
      </c>
      <c r="N21" s="115" t="s">
        <v>177</v>
      </c>
      <c r="O21" s="125">
        <f>IF(P21=0,0,Q21/P21)</f>
        <v>-8.5074074074074097</v>
      </c>
      <c r="P21" s="119">
        <v>27</v>
      </c>
      <c r="Q21" s="107">
        <v>-229.70000000000005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75</v>
      </c>
      <c r="F22" s="60" t="s">
        <v>30</v>
      </c>
      <c r="G22" s="47">
        <v>2</v>
      </c>
      <c r="H22" s="133">
        <f>IF(B$17=0,0,G22/B$17)</f>
        <v>6.8027210884353739E-3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-18.236363636363635</v>
      </c>
      <c r="P22" s="119">
        <v>88</v>
      </c>
      <c r="Q22" s="107">
        <v>-1604.8</v>
      </c>
    </row>
    <row r="23" spans="1:17" x14ac:dyDescent="0.4">
      <c r="A23" s="55" t="s">
        <v>5</v>
      </c>
      <c r="B23" s="51">
        <f>IF(B$17=0,0,C23/B$17)</f>
        <v>9268.7074829931971</v>
      </c>
      <c r="C23" s="41">
        <v>2725000</v>
      </c>
      <c r="E23" s="63" t="s">
        <v>78</v>
      </c>
      <c r="F23" s="60" t="s">
        <v>33</v>
      </c>
      <c r="G23" s="47">
        <v>1</v>
      </c>
      <c r="H23" s="133">
        <f>IF(B$17=0,0,G23/B$17)</f>
        <v>3.4013605442176869E-3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-7647.8494623655915</v>
      </c>
      <c r="C24" s="45">
        <v>-1422500</v>
      </c>
      <c r="E24" s="63" t="s">
        <v>85</v>
      </c>
      <c r="F24" s="60" t="s">
        <v>40</v>
      </c>
      <c r="G24" s="47">
        <v>1</v>
      </c>
      <c r="H24" s="133">
        <f>IF(B$17=0,0,G24/B$17)</f>
        <v>3.4013605442176869E-3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3.4013605442176869E-3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3.4013605442176869E-3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4.642525533890436E-3</v>
      </c>
      <c r="E27" s="63" t="s">
        <v>94</v>
      </c>
      <c r="F27" s="60" t="s">
        <v>49</v>
      </c>
      <c r="G27" s="47">
        <v>1</v>
      </c>
      <c r="H27" s="133">
        <f>IF(B$17=0,0,G27/B$17)</f>
        <v>3.4013605442176869E-3</v>
      </c>
      <c r="I27" s="94">
        <v>5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3.4013605442176869E-3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9D3F3-47C0-45F4-BEFF-F893E17EE9AF}">
  <sheetPr codeName="Sheet11"/>
  <dimension ref="A1:Q9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95</v>
      </c>
      <c r="C2" s="151"/>
      <c r="E2" s="62" t="s">
        <v>67</v>
      </c>
      <c r="F2" s="59" t="s">
        <v>23</v>
      </c>
      <c r="G2" s="46">
        <v>163</v>
      </c>
      <c r="H2" s="132">
        <f>IF(B$17=0,0,G2/B$17)</f>
        <v>0.84020618556701032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-2971.5789473684213</v>
      </c>
      <c r="P2" s="118">
        <v>95</v>
      </c>
      <c r="Q2" s="102">
        <v>-282300</v>
      </c>
    </row>
    <row r="3" spans="1:17" x14ac:dyDescent="0.4">
      <c r="A3" s="55" t="s">
        <v>8</v>
      </c>
      <c r="B3" s="152">
        <v>793</v>
      </c>
      <c r="C3" s="153"/>
      <c r="E3" s="63" t="s">
        <v>65</v>
      </c>
      <c r="F3" s="60" t="s">
        <v>21</v>
      </c>
      <c r="G3" s="47">
        <v>111</v>
      </c>
      <c r="H3" s="133">
        <f>IF(B$17=0,0,G3/B$17)</f>
        <v>0.57216494845360821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-1529.0322580645161</v>
      </c>
      <c r="P3" s="119">
        <v>93</v>
      </c>
      <c r="Q3" s="103">
        <v>-142200</v>
      </c>
    </row>
    <row r="4" spans="1:17" x14ac:dyDescent="0.4">
      <c r="A4" s="55" t="s">
        <v>6</v>
      </c>
      <c r="B4" s="154">
        <v>-1362.6000000000001</v>
      </c>
      <c r="C4" s="155"/>
      <c r="E4" s="63" t="s">
        <v>245</v>
      </c>
      <c r="F4" s="60" t="s">
        <v>246</v>
      </c>
      <c r="G4" s="47">
        <v>74</v>
      </c>
      <c r="H4" s="133">
        <f>IF(B$17=0,0,G4/B$17)</f>
        <v>0.38144329896907214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-335.63218390804599</v>
      </c>
      <c r="P4" s="119">
        <v>87</v>
      </c>
      <c r="Q4" s="103">
        <v>-29200</v>
      </c>
    </row>
    <row r="5" spans="1:17" x14ac:dyDescent="0.4">
      <c r="A5" s="55" t="s">
        <v>7</v>
      </c>
      <c r="B5" s="156">
        <f>IF(B$2=0,0,B$4/B$2)</f>
        <v>-14.343157894736844</v>
      </c>
      <c r="C5" s="157"/>
      <c r="E5" s="63" t="s">
        <v>73</v>
      </c>
      <c r="F5" s="60" t="s">
        <v>28</v>
      </c>
      <c r="G5" s="47">
        <v>73</v>
      </c>
      <c r="H5" s="133">
        <f>IF(B$17=0,0,G5/B$17)</f>
        <v>0.37628865979381443</v>
      </c>
      <c r="I5" s="94">
        <v>12</v>
      </c>
      <c r="K5" s="38">
        <v>3</v>
      </c>
      <c r="L5" s="99">
        <v>-23.099999999999998</v>
      </c>
      <c r="N5" s="115" t="s">
        <v>135</v>
      </c>
      <c r="O5" s="122">
        <f t="shared" si="0"/>
        <v>-4276.6233766233763</v>
      </c>
      <c r="P5" s="119">
        <v>77</v>
      </c>
      <c r="Q5" s="103">
        <v>-329300</v>
      </c>
    </row>
    <row r="6" spans="1:17" x14ac:dyDescent="0.4">
      <c r="A6" s="55" t="s">
        <v>1</v>
      </c>
      <c r="B6" s="146">
        <f>IF(B$2=0,0,(B$7*1+B$8*2+B$9*3)/B$2)</f>
        <v>2.2421052631578946</v>
      </c>
      <c r="C6" s="147"/>
      <c r="E6" s="63" t="s">
        <v>69</v>
      </c>
      <c r="F6" s="60" t="s">
        <v>12</v>
      </c>
      <c r="G6" s="47">
        <v>70</v>
      </c>
      <c r="H6" s="133">
        <f>IF(B$17=0,0,G6/B$17)</f>
        <v>0.36082474226804123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-600</v>
      </c>
      <c r="P6" s="119">
        <v>70</v>
      </c>
      <c r="Q6" s="103">
        <v>-42000</v>
      </c>
    </row>
    <row r="7" spans="1:17" x14ac:dyDescent="0.4">
      <c r="A7" s="55" t="s">
        <v>2</v>
      </c>
      <c r="B7" s="47">
        <v>24</v>
      </c>
      <c r="C7" s="39">
        <f>IF(B$2=0,0,B7/B$2)</f>
        <v>0.25263157894736843</v>
      </c>
      <c r="E7" s="63" t="s">
        <v>68</v>
      </c>
      <c r="F7" s="60" t="s">
        <v>24</v>
      </c>
      <c r="G7" s="47">
        <v>64</v>
      </c>
      <c r="H7" s="133">
        <f>IF(B$17=0,0,G7/B$17)</f>
        <v>0.32989690721649484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-1140.3225806451612</v>
      </c>
      <c r="P7" s="120">
        <v>62</v>
      </c>
      <c r="Q7" s="104">
        <v>-70700</v>
      </c>
    </row>
    <row r="8" spans="1:17" x14ac:dyDescent="0.4">
      <c r="A8" s="55" t="s">
        <v>3</v>
      </c>
      <c r="B8" s="47">
        <v>24</v>
      </c>
      <c r="C8" s="39">
        <f>IF(B$2=0,0,B8/B$2)</f>
        <v>0.25263157894736843</v>
      </c>
      <c r="E8" s="63" t="s">
        <v>70</v>
      </c>
      <c r="F8" s="60" t="s">
        <v>25</v>
      </c>
      <c r="G8" s="47">
        <v>37</v>
      </c>
      <c r="H8" s="133">
        <f>IF(B$17=0,0,G8/B$17)</f>
        <v>0.19072164948453607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0.49473684210526314</v>
      </c>
      <c r="E9" s="63" t="s">
        <v>71</v>
      </c>
      <c r="F9" s="60" t="s">
        <v>26</v>
      </c>
      <c r="G9" s="47">
        <v>30</v>
      </c>
      <c r="H9" s="133">
        <f>IF(B$17=0,0,G9/B$17)</f>
        <v>0.15463917525773196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0.2</v>
      </c>
      <c r="E10" s="63" t="s">
        <v>72</v>
      </c>
      <c r="F10" s="60" t="s">
        <v>27</v>
      </c>
      <c r="G10" s="47">
        <v>20</v>
      </c>
      <c r="H10" s="133">
        <f>IF(B$17=0,0,G10/B$17)</f>
        <v>0.10309278350515463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-19.121428571428567</v>
      </c>
      <c r="P10" s="118">
        <v>28</v>
      </c>
      <c r="Q10" s="106">
        <v>-535.39999999999986</v>
      </c>
    </row>
    <row r="11" spans="1:17" x14ac:dyDescent="0.4">
      <c r="A11" s="56" t="s">
        <v>140</v>
      </c>
      <c r="B11" s="48">
        <v>10</v>
      </c>
      <c r="C11" s="40">
        <f>IF(B$2=0,0,B11/B$2)</f>
        <v>0.10526315789473684</v>
      </c>
      <c r="E11" s="63" t="s">
        <v>66</v>
      </c>
      <c r="F11" s="60" t="s">
        <v>22</v>
      </c>
      <c r="G11" s="47">
        <v>19</v>
      </c>
      <c r="H11" s="133">
        <f>IF(B$17=0,0,G11/B$17)</f>
        <v>9.7938144329896906E-2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-10.55675675675676</v>
      </c>
      <c r="P11" s="119">
        <v>37</v>
      </c>
      <c r="Q11" s="107">
        <v>-390.60000000000014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7.3684210526315783E-2</v>
      </c>
      <c r="E12" s="63" t="s">
        <v>90</v>
      </c>
      <c r="F12" s="60" t="s">
        <v>45</v>
      </c>
      <c r="G12" s="47">
        <v>16</v>
      </c>
      <c r="H12" s="133">
        <f>IF(B$17=0,0,G12/B$17)</f>
        <v>8.247422680412371E-2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-14.553333333333331</v>
      </c>
      <c r="P12" s="120">
        <v>30</v>
      </c>
      <c r="Q12" s="108">
        <v>-436.59999999999991</v>
      </c>
    </row>
    <row r="13" spans="1:17" x14ac:dyDescent="0.4">
      <c r="A13" s="58" t="s">
        <v>122</v>
      </c>
      <c r="B13" s="50">
        <v>218</v>
      </c>
      <c r="C13" s="44">
        <f>IF(B$3=0,0,B13/B$3)</f>
        <v>0.27490542244640603</v>
      </c>
      <c r="E13" s="63" t="s">
        <v>87</v>
      </c>
      <c r="F13" s="60" t="s">
        <v>42</v>
      </c>
      <c r="G13" s="47">
        <v>10</v>
      </c>
      <c r="H13" s="133">
        <f>IF(B$17=0,0,G13/B$17)</f>
        <v>5.1546391752577317E-2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130</v>
      </c>
      <c r="C14" s="39">
        <f>IF(B$3=0,0,B14/B$3)</f>
        <v>0.16393442622950818</v>
      </c>
      <c r="E14" s="63" t="s">
        <v>79</v>
      </c>
      <c r="F14" s="60" t="s">
        <v>34</v>
      </c>
      <c r="G14" s="47">
        <v>8</v>
      </c>
      <c r="H14" s="133">
        <f>IF(B$17=0,0,G14/B$17)</f>
        <v>4.1237113402061855E-2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114</v>
      </c>
      <c r="C15" s="37">
        <f>IF(B$13=0,0,B15/B$13)</f>
        <v>0.52293577981651373</v>
      </c>
      <c r="E15" s="63" t="s">
        <v>84</v>
      </c>
      <c r="F15" s="60" t="s">
        <v>39</v>
      </c>
      <c r="G15" s="47">
        <v>7</v>
      </c>
      <c r="H15" s="133">
        <f>IF(B$17=0,0,G15/B$17)</f>
        <v>3.608247422680412E-2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34</v>
      </c>
      <c r="C16" s="37">
        <f>IF(B$14=0,0,B16/B$14)</f>
        <v>0.26153846153846155</v>
      </c>
      <c r="E16" s="63" t="s">
        <v>82</v>
      </c>
      <c r="F16" s="60" t="s">
        <v>37</v>
      </c>
      <c r="G16" s="47">
        <v>4</v>
      </c>
      <c r="H16" s="133">
        <f>IF(B$17=0,0,G16/B$17)</f>
        <v>2.0618556701030927E-2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-13.619047619047617</v>
      </c>
      <c r="P16" s="119">
        <v>42</v>
      </c>
      <c r="Q16" s="107">
        <v>-571.99999999999989</v>
      </c>
    </row>
    <row r="17" spans="1:17" x14ac:dyDescent="0.4">
      <c r="A17" s="54" t="s">
        <v>10</v>
      </c>
      <c r="B17" s="46">
        <f>B19+B18</f>
        <v>194</v>
      </c>
      <c r="C17" s="37">
        <f>IF(B$3=0,0,B17/B$3)</f>
        <v>0.24464060529634299</v>
      </c>
      <c r="E17" s="63" t="s">
        <v>75</v>
      </c>
      <c r="F17" s="60" t="s">
        <v>30</v>
      </c>
      <c r="G17" s="47">
        <v>3</v>
      </c>
      <c r="H17" s="133">
        <f>IF(B$17=0,0,G17/B$17)</f>
        <v>1.5463917525773196E-2</v>
      </c>
      <c r="I17" s="94">
        <v>2</v>
      </c>
      <c r="K17" s="38">
        <v>15</v>
      </c>
      <c r="L17" s="99">
        <v>-424.5</v>
      </c>
      <c r="N17" s="115" t="s">
        <v>177</v>
      </c>
      <c r="O17" s="125">
        <f>IF(P17=0,0,Q17/P17)</f>
        <v>-13.963636363636363</v>
      </c>
      <c r="P17" s="119">
        <v>22</v>
      </c>
      <c r="Q17" s="107">
        <v>-307.2</v>
      </c>
    </row>
    <row r="18" spans="1:17" x14ac:dyDescent="0.4">
      <c r="A18" s="55" t="s">
        <v>12</v>
      </c>
      <c r="B18" s="47">
        <v>82</v>
      </c>
      <c r="C18" s="39">
        <f>IF(B$17=0,0,B18/B$17)</f>
        <v>0.42268041237113402</v>
      </c>
      <c r="E18" s="63" t="s">
        <v>80</v>
      </c>
      <c r="F18" s="60" t="s">
        <v>35</v>
      </c>
      <c r="G18" s="47">
        <v>2</v>
      </c>
      <c r="H18" s="133">
        <f>IF(B$17=0,0,G18/B$17)</f>
        <v>1.0309278350515464E-2</v>
      </c>
      <c r="I18" s="94">
        <v>10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112</v>
      </c>
      <c r="C19" s="39">
        <f>IF(B$17=0,0,B19/B$17)</f>
        <v>0.57731958762886593</v>
      </c>
      <c r="E19" s="63" t="s">
        <v>88</v>
      </c>
      <c r="F19" s="60" t="s">
        <v>43</v>
      </c>
      <c r="G19" s="47">
        <v>2</v>
      </c>
      <c r="H19" s="133">
        <f>IF(B$17=0,0,G19/B$17)</f>
        <v>1.0309278350515464E-2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152</v>
      </c>
      <c r="C20" s="39">
        <f>IF(B$3=0,0,B20/B$3)</f>
        <v>0.19167717528373265</v>
      </c>
      <c r="E20" s="63" t="s">
        <v>94</v>
      </c>
      <c r="F20" s="60" t="s">
        <v>49</v>
      </c>
      <c r="G20" s="47">
        <v>2</v>
      </c>
      <c r="H20" s="133">
        <f>IF(B$17=0,0,G20/B$17)</f>
        <v>1.0309278350515464E-2</v>
      </c>
      <c r="I20" s="94">
        <v>1</v>
      </c>
      <c r="K20" s="38">
        <v>18</v>
      </c>
      <c r="L20" s="99">
        <v>-537.19999999999993</v>
      </c>
      <c r="N20" s="115" t="s">
        <v>184</v>
      </c>
      <c r="O20" s="125">
        <f>IF(P20=0,0,Q20/P20)</f>
        <v>-24.44</v>
      </c>
      <c r="P20" s="119">
        <v>5</v>
      </c>
      <c r="Q20" s="107">
        <v>-122.2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5.1546391752577319E-3</v>
      </c>
      <c r="I21" s="94">
        <v>6</v>
      </c>
      <c r="K21" s="38">
        <v>19</v>
      </c>
      <c r="L21" s="99">
        <v>-569.49999999999989</v>
      </c>
      <c r="N21" s="115" t="s">
        <v>127</v>
      </c>
      <c r="O21" s="125">
        <f>IF(P21=0,0,Q21/P21)</f>
        <v>-28.908474576271196</v>
      </c>
      <c r="P21" s="119">
        <v>59</v>
      </c>
      <c r="Q21" s="107">
        <v>-1705.6000000000006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78</v>
      </c>
      <c r="F22" s="60" t="s">
        <v>33</v>
      </c>
      <c r="G22" s="47">
        <v>1</v>
      </c>
      <c r="H22" s="133">
        <f>IF(B$17=0,0,G22/B$17)</f>
        <v>5.1546391752577319E-3</v>
      </c>
      <c r="I22" s="94">
        <v>1</v>
      </c>
      <c r="K22" s="38">
        <v>20</v>
      </c>
      <c r="L22" s="99">
        <v>-632.99999999999989</v>
      </c>
      <c r="N22" s="115" t="s">
        <v>172</v>
      </c>
      <c r="O22" s="125">
        <f>IF(P22=0,0,Q22/P22)</f>
        <v>-31.945454545454542</v>
      </c>
      <c r="P22" s="119">
        <v>22</v>
      </c>
      <c r="Q22" s="107">
        <v>-702.8</v>
      </c>
    </row>
    <row r="23" spans="1:17" x14ac:dyDescent="0.4">
      <c r="A23" s="55" t="s">
        <v>5</v>
      </c>
      <c r="B23" s="51">
        <f>IF(B$17=0,0,C23/B$17)</f>
        <v>8643.2989690721643</v>
      </c>
      <c r="C23" s="41">
        <v>1676800</v>
      </c>
      <c r="E23" s="63" t="s">
        <v>89</v>
      </c>
      <c r="F23" s="60" t="s">
        <v>44</v>
      </c>
      <c r="G23" s="47">
        <v>1</v>
      </c>
      <c r="H23" s="133">
        <f>IF(B$17=0,0,G23/B$17)</f>
        <v>5.1546391752577319E-3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-9165.78947368421</v>
      </c>
      <c r="C24" s="45">
        <v>-1393200</v>
      </c>
      <c r="E24" s="63" t="s">
        <v>92</v>
      </c>
      <c r="F24" s="60" t="s">
        <v>47</v>
      </c>
      <c r="G24" s="47">
        <v>1</v>
      </c>
      <c r="H24" s="133">
        <f>IF(B$17=0,0,G24/B$17)</f>
        <v>5.1546391752577319E-3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5.1546391752577319E-3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1.2610340479192938E-3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D06C9-18AA-4D0E-8BEF-EB3D00FB9924}">
  <sheetPr codeName="Sheet13"/>
  <dimension ref="A1:Q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91</v>
      </c>
      <c r="C2" s="151"/>
      <c r="E2" s="62" t="s">
        <v>65</v>
      </c>
      <c r="F2" s="59" t="s">
        <v>21</v>
      </c>
      <c r="G2" s="46">
        <v>117</v>
      </c>
      <c r="H2" s="132">
        <f>IF(B$17=0,0,G2/B$17)</f>
        <v>0.54418604651162794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-665.93406593406598</v>
      </c>
      <c r="P2" s="118">
        <v>91</v>
      </c>
      <c r="Q2" s="102">
        <v>-60600</v>
      </c>
    </row>
    <row r="3" spans="1:17" x14ac:dyDescent="0.4">
      <c r="A3" s="55" t="s">
        <v>8</v>
      </c>
      <c r="B3" s="152">
        <v>761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0.13023255813953488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202.24719101123594</v>
      </c>
      <c r="P3" s="119">
        <v>89</v>
      </c>
      <c r="Q3" s="103">
        <v>18000</v>
      </c>
    </row>
    <row r="4" spans="1:17" x14ac:dyDescent="0.4">
      <c r="A4" s="55" t="s">
        <v>6</v>
      </c>
      <c r="B4" s="154">
        <v>-9.1999999999999726</v>
      </c>
      <c r="C4" s="155"/>
      <c r="E4" s="63" t="s">
        <v>67</v>
      </c>
      <c r="F4" s="60" t="s">
        <v>23</v>
      </c>
      <c r="G4" s="47">
        <v>176</v>
      </c>
      <c r="H4" s="133">
        <f>IF(B$17=0,0,G4/B$17)</f>
        <v>0.81860465116279069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1231.7073170731708</v>
      </c>
      <c r="P4" s="119">
        <v>82</v>
      </c>
      <c r="Q4" s="103">
        <v>101000</v>
      </c>
    </row>
    <row r="5" spans="1:17" x14ac:dyDescent="0.4">
      <c r="A5" s="55" t="s">
        <v>7</v>
      </c>
      <c r="B5" s="156">
        <f>IF(B$2=0,0,B$4/B$2)</f>
        <v>-0.1010989010989008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0.32558139534883723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838.02816901408448</v>
      </c>
      <c r="P5" s="119">
        <v>71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2.0439560439560438</v>
      </c>
      <c r="C6" s="147"/>
      <c r="E6" s="63" t="s">
        <v>69</v>
      </c>
      <c r="F6" s="60" t="s">
        <v>12</v>
      </c>
      <c r="G6" s="47">
        <v>64</v>
      </c>
      <c r="H6" s="133">
        <f>IF(B$17=0,0,G6/B$17)</f>
        <v>0.29767441860465116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-1033.3333333333333</v>
      </c>
      <c r="P6" s="119">
        <v>63</v>
      </c>
      <c r="Q6" s="103">
        <v>-65100</v>
      </c>
    </row>
    <row r="7" spans="1:17" x14ac:dyDescent="0.4">
      <c r="A7" s="55" t="s">
        <v>2</v>
      </c>
      <c r="B7" s="47">
        <v>27</v>
      </c>
      <c r="C7" s="39">
        <f>IF(B$2=0,0,B7/B$2)</f>
        <v>0.2967032967032967</v>
      </c>
      <c r="E7" s="63" t="s">
        <v>70</v>
      </c>
      <c r="F7" s="60" t="s">
        <v>25</v>
      </c>
      <c r="G7" s="47">
        <v>43</v>
      </c>
      <c r="H7" s="133">
        <f>IF(B$17=0,0,G7/B$17)</f>
        <v>0.2</v>
      </c>
      <c r="I7" s="94">
        <v>2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0.36263736263736263</v>
      </c>
      <c r="E8" s="63" t="s">
        <v>71</v>
      </c>
      <c r="F8" s="60" t="s">
        <v>26</v>
      </c>
      <c r="G8" s="47">
        <v>23</v>
      </c>
      <c r="H8" s="133">
        <f>IF(B$17=0,0,G8/B$17)</f>
        <v>0.10697674418604651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0.34065934065934067</v>
      </c>
      <c r="E9" s="63" t="s">
        <v>72</v>
      </c>
      <c r="F9" s="60" t="s">
        <v>27</v>
      </c>
      <c r="G9" s="47">
        <v>14</v>
      </c>
      <c r="H9" s="133">
        <f>IF(B$17=0,0,G9/B$17)</f>
        <v>6.5116279069767441E-2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9.8901098901098897E-2</v>
      </c>
      <c r="E10" s="63" t="s">
        <v>73</v>
      </c>
      <c r="F10" s="60" t="s">
        <v>28</v>
      </c>
      <c r="G10" s="47">
        <v>112</v>
      </c>
      <c r="H10" s="133">
        <f>IF(B$17=0,0,G10/B$17)</f>
        <v>0.52093023255813953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0.13186813186813187</v>
      </c>
      <c r="E11" s="63" t="s">
        <v>74</v>
      </c>
      <c r="F11" s="60" t="s">
        <v>29</v>
      </c>
      <c r="G11" s="47">
        <v>2</v>
      </c>
      <c r="H11" s="133">
        <f>IF(B$17=0,0,G11/B$17)</f>
        <v>9.3023255813953487E-3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6.5934065934065936E-2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-1.9666666666666668</v>
      </c>
      <c r="P12" s="120">
        <v>33</v>
      </c>
      <c r="Q12" s="108">
        <v>-64.900000000000006</v>
      </c>
    </row>
    <row r="13" spans="1:17" x14ac:dyDescent="0.4">
      <c r="A13" s="58" t="s">
        <v>122</v>
      </c>
      <c r="B13" s="50">
        <v>221</v>
      </c>
      <c r="C13" s="44">
        <f>IF(B$3=0,0,B13/B$3)</f>
        <v>0.29040735873850199</v>
      </c>
      <c r="E13" s="63" t="s">
        <v>76</v>
      </c>
      <c r="F13" s="60" t="s">
        <v>31</v>
      </c>
      <c r="G13" s="47">
        <v>3</v>
      </c>
      <c r="H13" s="133">
        <f>IF(B$17=0,0,G13/B$17)</f>
        <v>1.3953488372093023E-2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0.18922470433639949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0.56561085972850678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59</v>
      </c>
      <c r="C16" s="37">
        <f>IF(B$14=0,0,B16/B$14)</f>
        <v>0.40972222222222221</v>
      </c>
      <c r="E16" s="63" t="s">
        <v>79</v>
      </c>
      <c r="F16" s="60" t="s">
        <v>34</v>
      </c>
      <c r="G16" s="47">
        <v>9</v>
      </c>
      <c r="H16" s="133">
        <f>IF(B$17=0,0,G16/B$17)</f>
        <v>4.1860465116279069E-2</v>
      </c>
      <c r="I16" s="94">
        <v>4</v>
      </c>
      <c r="K16" s="38">
        <v>14</v>
      </c>
      <c r="L16" s="99">
        <v>-29.400000000000002</v>
      </c>
      <c r="N16" s="115" t="s">
        <v>129</v>
      </c>
      <c r="O16" s="125">
        <f t="shared" si="2"/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0.28252299605781866</v>
      </c>
      <c r="E17" s="63" t="s">
        <v>80</v>
      </c>
      <c r="F17" s="60" t="s">
        <v>35</v>
      </c>
      <c r="G17" s="47">
        <v>4</v>
      </c>
      <c r="H17" s="133">
        <f>IF(B$17=0,0,G17/B$17)</f>
        <v>1.8604651162790697E-2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89</v>
      </c>
      <c r="C18" s="39">
        <f>IF(B$17=0,0,B18/B$17)</f>
        <v>0.413953488372093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126</v>
      </c>
      <c r="C19" s="39">
        <f>IF(B$17=0,0,B19/B$17)</f>
        <v>0.586046511627907</v>
      </c>
      <c r="E19" s="63" t="s">
        <v>82</v>
      </c>
      <c r="F19" s="60" t="s">
        <v>37</v>
      </c>
      <c r="G19" s="47">
        <v>8</v>
      </c>
      <c r="H19" s="133">
        <f>IF(B$17=0,0,G19/B$17)</f>
        <v>3.7209302325581395E-2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-1.1611111111111159</v>
      </c>
      <c r="P19" s="119">
        <v>36</v>
      </c>
      <c r="Q19" s="107">
        <v>-41.800000000000168</v>
      </c>
    </row>
    <row r="20" spans="1:17" x14ac:dyDescent="0.4">
      <c r="A20" s="55" t="s">
        <v>13</v>
      </c>
      <c r="B20" s="47">
        <v>135</v>
      </c>
      <c r="C20" s="39">
        <f>IF(B$3=0,0,B20/B$3)</f>
        <v>0.1773981603153745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-1.6094339622641469</v>
      </c>
      <c r="P20" s="119">
        <v>53</v>
      </c>
      <c r="Q20" s="107">
        <v>-85.299999999999784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11</v>
      </c>
      <c r="H21" s="133">
        <f>IF(B$17=0,0,G21/B$17)</f>
        <v>5.1162790697674418E-2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9.3023255813953487E-3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9848.3720930232557</v>
      </c>
      <c r="C23" s="41">
        <v>2117400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-8548.1481481481478</v>
      </c>
      <c r="C24" s="45">
        <v>-1154000</v>
      </c>
      <c r="E24" s="63" t="s">
        <v>87</v>
      </c>
      <c r="F24" s="60" t="s">
        <v>42</v>
      </c>
      <c r="G24" s="47">
        <v>16</v>
      </c>
      <c r="H24" s="133">
        <f>IF(B$17=0,0,G24/B$17)</f>
        <v>7.441860465116279E-2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4.6511627906976744E-3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1.3140604467805519E-3</v>
      </c>
      <c r="E27" s="63" t="s">
        <v>90</v>
      </c>
      <c r="F27" s="60" t="s">
        <v>45</v>
      </c>
      <c r="G27" s="47">
        <v>37</v>
      </c>
      <c r="H27" s="133">
        <f>IF(B$17=0,0,G27/B$17)</f>
        <v>0.17209302325581396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2.7906976744186046E-2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9.3023255813953487E-3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4.6511627906976744E-3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1.8604651162790697E-2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81</v>
      </c>
      <c r="H51" s="138">
        <f>IF(B$17=0,0,G51/B$17)</f>
        <v>0.37674418604651161</v>
      </c>
      <c r="I51" s="139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</sheetData>
  <sortState ref="E2:I9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9CD6D-3745-49B6-BFDF-E5ECEEC11844}">
  <sheetPr codeName="Sheet15"/>
  <dimension ref="A1:Q8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80</v>
      </c>
      <c r="C2" s="151"/>
      <c r="E2" s="62" t="s">
        <v>65</v>
      </c>
      <c r="F2" s="59" t="s">
        <v>21</v>
      </c>
      <c r="G2" s="46">
        <v>80</v>
      </c>
      <c r="H2" s="132">
        <f>IF(B$17=0,0,G2/B$17)</f>
        <v>0.34334763948497854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527.5</v>
      </c>
      <c r="P2" s="118">
        <v>80</v>
      </c>
      <c r="Q2" s="102">
        <v>42200</v>
      </c>
    </row>
    <row r="3" spans="1:17" x14ac:dyDescent="0.4">
      <c r="A3" s="55" t="s">
        <v>8</v>
      </c>
      <c r="B3" s="152">
        <v>680</v>
      </c>
      <c r="C3" s="153"/>
      <c r="E3" s="63" t="s">
        <v>66</v>
      </c>
      <c r="F3" s="60" t="s">
        <v>22</v>
      </c>
      <c r="G3" s="47">
        <v>26</v>
      </c>
      <c r="H3" s="133">
        <f>IF(B$17=0,0,G3/B$17)</f>
        <v>0.11158798283261803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-1382.5</v>
      </c>
      <c r="P3" s="119">
        <v>80</v>
      </c>
      <c r="Q3" s="103">
        <v>-110600</v>
      </c>
    </row>
    <row r="4" spans="1:17" x14ac:dyDescent="0.4">
      <c r="A4" s="55" t="s">
        <v>6</v>
      </c>
      <c r="B4" s="154">
        <v>-114.70000000000002</v>
      </c>
      <c r="C4" s="155"/>
      <c r="E4" s="63" t="s">
        <v>67</v>
      </c>
      <c r="F4" s="60" t="s">
        <v>23</v>
      </c>
      <c r="G4" s="47">
        <v>154</v>
      </c>
      <c r="H4" s="133">
        <f>IF(B$17=0,0,G4/B$17)</f>
        <v>0.66094420600858372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-1616.9014084507041</v>
      </c>
      <c r="P4" s="119">
        <v>71</v>
      </c>
      <c r="Q4" s="103">
        <v>-114800</v>
      </c>
    </row>
    <row r="5" spans="1:17" x14ac:dyDescent="0.4">
      <c r="A5" s="55" t="s">
        <v>7</v>
      </c>
      <c r="B5" s="156">
        <f>IF(B$2=0,0,B$4/B$2)</f>
        <v>-1.4337500000000003</v>
      </c>
      <c r="C5" s="157"/>
      <c r="E5" s="63" t="s">
        <v>68</v>
      </c>
      <c r="F5" s="60" t="s">
        <v>24</v>
      </c>
      <c r="G5" s="47">
        <v>40</v>
      </c>
      <c r="H5" s="133">
        <f>IF(B$17=0,0,G5/B$17)</f>
        <v>0.17167381974248927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964.70588235294122</v>
      </c>
      <c r="P5" s="119">
        <v>68</v>
      </c>
      <c r="Q5" s="103">
        <v>65600</v>
      </c>
    </row>
    <row r="6" spans="1:17" x14ac:dyDescent="0.4">
      <c r="A6" s="55" t="s">
        <v>1</v>
      </c>
      <c r="B6" s="146">
        <f>IF(B$2=0,0,(B$7*1+B$8*2+B$9*3)/B$2)</f>
        <v>2.0499999999999998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0.25751072961373389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861.90476190476193</v>
      </c>
      <c r="P6" s="119">
        <v>63</v>
      </c>
      <c r="Q6" s="103">
        <v>54300</v>
      </c>
    </row>
    <row r="7" spans="1:17" x14ac:dyDescent="0.4">
      <c r="A7" s="55" t="s">
        <v>2</v>
      </c>
      <c r="B7" s="47">
        <v>21</v>
      </c>
      <c r="C7" s="39">
        <f>IF(B$2=0,0,B7/B$2)</f>
        <v>0.26250000000000001</v>
      </c>
      <c r="E7" s="63" t="s">
        <v>70</v>
      </c>
      <c r="F7" s="60" t="s">
        <v>25</v>
      </c>
      <c r="G7" s="47">
        <v>33</v>
      </c>
      <c r="H7" s="133">
        <f>IF(B$17=0,0,G7/B$17)</f>
        <v>0.14163090128755365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-427.27272727272725</v>
      </c>
      <c r="P7" s="120">
        <v>55</v>
      </c>
      <c r="Q7" s="104">
        <v>-23500</v>
      </c>
    </row>
    <row r="8" spans="1:17" x14ac:dyDescent="0.4">
      <c r="A8" s="55" t="s">
        <v>3</v>
      </c>
      <c r="B8" s="47">
        <v>34</v>
      </c>
      <c r="C8" s="39">
        <f>IF(B$2=0,0,B8/B$2)</f>
        <v>0.42499999999999999</v>
      </c>
      <c r="E8" s="63" t="s">
        <v>71</v>
      </c>
      <c r="F8" s="60" t="s">
        <v>26</v>
      </c>
      <c r="G8" s="47">
        <v>15</v>
      </c>
      <c r="H8" s="133">
        <f>IF(B$17=0,0,G8/B$17)</f>
        <v>6.4377682403433473E-2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0.3125</v>
      </c>
      <c r="E9" s="63" t="s">
        <v>72</v>
      </c>
      <c r="F9" s="60" t="s">
        <v>27</v>
      </c>
      <c r="G9" s="47">
        <v>19</v>
      </c>
      <c r="H9" s="133">
        <f>IF(B$17=0,0,G9/B$17)</f>
        <v>8.15450643776824E-2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0.05</v>
      </c>
      <c r="E10" s="63" t="s">
        <v>73</v>
      </c>
      <c r="F10" s="60" t="s">
        <v>28</v>
      </c>
      <c r="G10" s="47">
        <v>135</v>
      </c>
      <c r="H10" s="133">
        <f>IF(B$17=0,0,G10/B$17)</f>
        <v>0.57939914163090134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-8.5565217391304369</v>
      </c>
      <c r="P10" s="118">
        <v>23</v>
      </c>
      <c r="Q10" s="106">
        <v>-196.80000000000007</v>
      </c>
    </row>
    <row r="11" spans="1:17" x14ac:dyDescent="0.4">
      <c r="A11" s="56" t="s">
        <v>140</v>
      </c>
      <c r="B11" s="48">
        <v>9</v>
      </c>
      <c r="C11" s="40">
        <f>IF(B$2=0,0,B11/B$2)</f>
        <v>0.1125</v>
      </c>
      <c r="E11" s="63" t="s">
        <v>74</v>
      </c>
      <c r="F11" s="60" t="s">
        <v>29</v>
      </c>
      <c r="G11" s="47">
        <v>1</v>
      </c>
      <c r="H11" s="133">
        <f>IF(B$17=0,0,G11/B$17)</f>
        <v>4.2918454935622317E-3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6</v>
      </c>
      <c r="C12" s="42">
        <f>IF(B$2=0,0,B12/B$2)</f>
        <v>7.4999999999999997E-2</v>
      </c>
      <c r="E12" s="63" t="s">
        <v>75</v>
      </c>
      <c r="F12" s="60" t="s">
        <v>30</v>
      </c>
      <c r="G12" s="47">
        <v>1</v>
      </c>
      <c r="H12" s="133">
        <f>IF(B$17=0,0,G12/B$17)</f>
        <v>4.2918454935622317E-3</v>
      </c>
      <c r="I12" s="94">
        <v>6</v>
      </c>
      <c r="K12" s="38">
        <v>10</v>
      </c>
      <c r="L12" s="99">
        <v>24.200000000000003</v>
      </c>
      <c r="N12" s="116" t="s">
        <v>166</v>
      </c>
      <c r="O12" s="126">
        <f>IF(P12=0,0,Q12/P12)</f>
        <v>0.10322580645161285</v>
      </c>
      <c r="P12" s="120">
        <v>31</v>
      </c>
      <c r="Q12" s="108">
        <v>3.1999999999999984</v>
      </c>
    </row>
    <row r="13" spans="1:17" x14ac:dyDescent="0.4">
      <c r="A13" s="58" t="s">
        <v>122</v>
      </c>
      <c r="B13" s="50">
        <v>143</v>
      </c>
      <c r="C13" s="44">
        <f>IF(B$3=0,0,B13/B$3)</f>
        <v>0.21029411764705883</v>
      </c>
      <c r="E13" s="63" t="s">
        <v>76</v>
      </c>
      <c r="F13" s="60" t="s">
        <v>31</v>
      </c>
      <c r="G13" s="47">
        <v>1</v>
      </c>
      <c r="H13" s="133">
        <f>IF(B$17=0,0,G13/B$17)</f>
        <v>4.2918454935622317E-3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199</v>
      </c>
      <c r="C14" s="39">
        <f>IF(B$3=0,0,B14/B$3)</f>
        <v>0.29264705882352943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0.55944055944055948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31.945454545454538</v>
      </c>
      <c r="P15" s="118">
        <v>22</v>
      </c>
      <c r="Q15" s="106">
        <v>702.79999999999984</v>
      </c>
    </row>
    <row r="16" spans="1:17" x14ac:dyDescent="0.4">
      <c r="A16" s="54" t="s">
        <v>125</v>
      </c>
      <c r="B16" s="46">
        <v>85</v>
      </c>
      <c r="C16" s="37">
        <f>IF(B$14=0,0,B16/B$14)</f>
        <v>0.42713567839195982</v>
      </c>
      <c r="E16" s="63" t="s">
        <v>79</v>
      </c>
      <c r="F16" s="60" t="s">
        <v>34</v>
      </c>
      <c r="G16" s="47">
        <v>3</v>
      </c>
      <c r="H16" s="133">
        <f>IF(B$17=0,0,G16/B$17)</f>
        <v>1.2875536480686695E-2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233</v>
      </c>
      <c r="C17" s="37">
        <f>IF(B$3=0,0,B17/B$3)</f>
        <v>0.34264705882352942</v>
      </c>
      <c r="E17" s="63" t="s">
        <v>80</v>
      </c>
      <c r="F17" s="60" t="s">
        <v>35</v>
      </c>
      <c r="G17" s="47">
        <v>3</v>
      </c>
      <c r="H17" s="133">
        <f>IF(B$17=0,0,G17/B$17)</f>
        <v>1.2875536480686695E-2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0.41630901287553645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136</v>
      </c>
      <c r="C19" s="39">
        <f>IF(B$17=0,0,B19/B$17)</f>
        <v>0.58369098712446355</v>
      </c>
      <c r="E19" s="63" t="s">
        <v>82</v>
      </c>
      <c r="F19" s="60" t="s">
        <v>37</v>
      </c>
      <c r="G19" s="47">
        <v>8</v>
      </c>
      <c r="H19" s="133">
        <f>IF(B$17=0,0,G19/B$17)</f>
        <v>3.4334763948497854E-2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95</v>
      </c>
      <c r="C20" s="39">
        <f>IF(B$3=0,0,B20/B$3)</f>
        <v>0.13970588235294118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16</v>
      </c>
      <c r="H21" s="133">
        <f>IF(B$17=0,0,G21/B$17)</f>
        <v>6.8669527896995708E-2</v>
      </c>
      <c r="I21" s="94">
        <v>3</v>
      </c>
      <c r="K21" s="38">
        <v>19</v>
      </c>
      <c r="L21" s="99">
        <v>29.200000000000003</v>
      </c>
      <c r="N21" s="115" t="s">
        <v>171</v>
      </c>
      <c r="O21" s="125">
        <f t="shared" si="2"/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177</v>
      </c>
      <c r="O22" s="125">
        <f t="shared" si="2"/>
        <v>-4.8894736842105262</v>
      </c>
      <c r="P22" s="119">
        <v>19</v>
      </c>
      <c r="Q22" s="107">
        <v>-92.9</v>
      </c>
    </row>
    <row r="23" spans="1:17" x14ac:dyDescent="0.4">
      <c r="A23" s="55" t="s">
        <v>5</v>
      </c>
      <c r="B23" s="51">
        <f>IF(B$17=0,0,C23/B$17)</f>
        <v>6754.0772532188839</v>
      </c>
      <c r="C23" s="41">
        <v>1573700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-25.348888888888887</v>
      </c>
      <c r="P23" s="119">
        <v>45</v>
      </c>
      <c r="Q23" s="107">
        <v>-1140.6999999999998</v>
      </c>
    </row>
    <row r="24" spans="1:17" x14ac:dyDescent="0.4">
      <c r="A24" s="57" t="s">
        <v>14</v>
      </c>
      <c r="B24" s="52">
        <f>IF(B$20=0,0,C24/B$20)</f>
        <v>-8538.9473684210534</v>
      </c>
      <c r="C24" s="45">
        <v>-811200</v>
      </c>
      <c r="E24" s="63" t="s">
        <v>87</v>
      </c>
      <c r="F24" s="60" t="s">
        <v>42</v>
      </c>
      <c r="G24" s="47">
        <v>9</v>
      </c>
      <c r="H24" s="133">
        <f>IF(B$17=0,0,G24/B$17)</f>
        <v>3.8626609442060089E-2</v>
      </c>
      <c r="I24" s="94">
        <v>9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4.2918454935622317E-3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1.4705882352941176E-3</v>
      </c>
      <c r="E27" s="63" t="s">
        <v>90</v>
      </c>
      <c r="F27" s="60" t="s">
        <v>45</v>
      </c>
      <c r="G27" s="47">
        <v>18</v>
      </c>
      <c r="H27" s="133">
        <f>IF(B$17=0,0,G27/B$17)</f>
        <v>7.7253218884120178E-2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4.2918454935622317E-3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1.7167381974248927E-2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100</v>
      </c>
      <c r="H51" s="138">
        <f>IF(B$17=0,0,G51/B$17)</f>
        <v>0.42918454935622319</v>
      </c>
      <c r="I51" s="139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</sheetData>
  <sortState ref="E2:I8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A85EF-C5A1-4B36-8F2C-BDE13098FD52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48</v>
      </c>
      <c r="C2" s="151"/>
      <c r="E2" s="62" t="s">
        <v>67</v>
      </c>
      <c r="F2" s="59" t="s">
        <v>23</v>
      </c>
      <c r="G2" s="46">
        <v>81</v>
      </c>
      <c r="H2" s="132">
        <f>IF(B$17=0,0,G2/B$17)</f>
        <v>0.66393442622950816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-2862.5</v>
      </c>
      <c r="P2" s="118">
        <v>48</v>
      </c>
      <c r="Q2" s="102">
        <v>-137400</v>
      </c>
    </row>
    <row r="3" spans="1:17" x14ac:dyDescent="0.4">
      <c r="A3" s="55" t="s">
        <v>8</v>
      </c>
      <c r="B3" s="152">
        <v>415</v>
      </c>
      <c r="C3" s="153"/>
      <c r="E3" s="63" t="s">
        <v>73</v>
      </c>
      <c r="F3" s="60" t="s">
        <v>28</v>
      </c>
      <c r="G3" s="47">
        <v>64</v>
      </c>
      <c r="H3" s="133">
        <f>IF(B$17=0,0,G3/B$17)</f>
        <v>0.52459016393442626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2064.5833333333335</v>
      </c>
      <c r="P3" s="119">
        <v>48</v>
      </c>
      <c r="Q3" s="103">
        <v>99100</v>
      </c>
    </row>
    <row r="4" spans="1:17" x14ac:dyDescent="0.4">
      <c r="A4" s="55" t="s">
        <v>6</v>
      </c>
      <c r="B4" s="154">
        <v>-387.7</v>
      </c>
      <c r="C4" s="155"/>
      <c r="E4" s="63" t="s">
        <v>65</v>
      </c>
      <c r="F4" s="60" t="s">
        <v>21</v>
      </c>
      <c r="G4" s="47">
        <v>52</v>
      </c>
      <c r="H4" s="133">
        <f>IF(B$17=0,0,G4/B$17)</f>
        <v>0.42622950819672129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-315.55555555555554</v>
      </c>
      <c r="P4" s="119">
        <v>45</v>
      </c>
      <c r="Q4" s="103">
        <v>-14200</v>
      </c>
    </row>
    <row r="5" spans="1:17" x14ac:dyDescent="0.4">
      <c r="A5" s="55" t="s">
        <v>7</v>
      </c>
      <c r="B5" s="156">
        <f>IF(B$2=0,0,B$4/B$2)</f>
        <v>-8.0770833333333325</v>
      </c>
      <c r="C5" s="157"/>
      <c r="E5" s="63" t="s">
        <v>245</v>
      </c>
      <c r="F5" s="60" t="s">
        <v>246</v>
      </c>
      <c r="G5" s="47">
        <v>48</v>
      </c>
      <c r="H5" s="133">
        <f>IF(B$17=0,0,G5/B$17)</f>
        <v>0.39344262295081966</v>
      </c>
      <c r="I5" s="94">
        <v>8</v>
      </c>
      <c r="K5" s="38">
        <v>3</v>
      </c>
      <c r="L5" s="99">
        <v>-149</v>
      </c>
      <c r="N5" s="115" t="s">
        <v>135</v>
      </c>
      <c r="O5" s="122">
        <f t="shared" si="0"/>
        <v>-3778.5714285714284</v>
      </c>
      <c r="P5" s="119">
        <v>42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2.1041666666666665</v>
      </c>
      <c r="C6" s="147"/>
      <c r="E6" s="63" t="s">
        <v>69</v>
      </c>
      <c r="F6" s="60" t="s">
        <v>12</v>
      </c>
      <c r="G6" s="47">
        <v>47</v>
      </c>
      <c r="H6" s="133">
        <f>IF(B$17=0,0,G6/B$17)</f>
        <v>0.38524590163934425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-668.42105263157896</v>
      </c>
      <c r="P6" s="119">
        <v>38</v>
      </c>
      <c r="Q6" s="103">
        <v>-25400</v>
      </c>
    </row>
    <row r="7" spans="1:17" x14ac:dyDescent="0.4">
      <c r="A7" s="55" t="s">
        <v>2</v>
      </c>
      <c r="B7" s="47">
        <v>14</v>
      </c>
      <c r="C7" s="39">
        <f>IF(B$2=0,0,B7/B$2)</f>
        <v>0.29166666666666669</v>
      </c>
      <c r="E7" s="63" t="s">
        <v>68</v>
      </c>
      <c r="F7" s="60" t="s">
        <v>24</v>
      </c>
      <c r="G7" s="47">
        <v>29</v>
      </c>
      <c r="H7" s="133">
        <f>IF(B$17=0,0,G7/B$17)</f>
        <v>0.23770491803278687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469.44444444444446</v>
      </c>
      <c r="P7" s="120">
        <v>36</v>
      </c>
      <c r="Q7" s="104">
        <v>16900</v>
      </c>
    </row>
    <row r="8" spans="1:17" x14ac:dyDescent="0.4">
      <c r="A8" s="55" t="s">
        <v>3</v>
      </c>
      <c r="B8" s="47">
        <v>15</v>
      </c>
      <c r="C8" s="39">
        <f>IF(B$2=0,0,B8/B$2)</f>
        <v>0.3125</v>
      </c>
      <c r="E8" s="63" t="s">
        <v>90</v>
      </c>
      <c r="F8" s="60" t="s">
        <v>45</v>
      </c>
      <c r="G8" s="47">
        <v>15</v>
      </c>
      <c r="H8" s="133">
        <f>IF(B$17=0,0,G8/B$17)</f>
        <v>0.12295081967213115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0.39583333333333331</v>
      </c>
      <c r="E9" s="63" t="s">
        <v>71</v>
      </c>
      <c r="F9" s="60" t="s">
        <v>26</v>
      </c>
      <c r="G9" s="47">
        <v>14</v>
      </c>
      <c r="H9" s="133">
        <f>IF(B$17=0,0,G9/B$17)</f>
        <v>0.11475409836065574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0.14583333333333334</v>
      </c>
      <c r="E10" s="63" t="s">
        <v>70</v>
      </c>
      <c r="F10" s="60" t="s">
        <v>25</v>
      </c>
      <c r="G10" s="47">
        <v>13</v>
      </c>
      <c r="H10" s="133">
        <f>IF(B$17=0,0,G10/B$17)</f>
        <v>0.10655737704918032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6.25E-2</v>
      </c>
      <c r="E11" s="63" t="s">
        <v>66</v>
      </c>
      <c r="F11" s="60" t="s">
        <v>22</v>
      </c>
      <c r="G11" s="47">
        <v>10</v>
      </c>
      <c r="H11" s="133">
        <f>IF(B$17=0,0,G11/B$17)</f>
        <v>8.1967213114754092E-2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4.1666666666666664E-2</v>
      </c>
      <c r="E12" s="63" t="s">
        <v>72</v>
      </c>
      <c r="F12" s="60" t="s">
        <v>27</v>
      </c>
      <c r="G12" s="47">
        <v>6</v>
      </c>
      <c r="H12" s="133">
        <f>IF(B$17=0,0,G12/B$17)</f>
        <v>4.9180327868852458E-2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92</v>
      </c>
      <c r="C13" s="44">
        <f>IF(B$3=0,0,B13/B$3)</f>
        <v>0.22168674698795179</v>
      </c>
      <c r="E13" s="63" t="s">
        <v>87</v>
      </c>
      <c r="F13" s="60" t="s">
        <v>42</v>
      </c>
      <c r="G13" s="47">
        <v>5</v>
      </c>
      <c r="H13" s="133">
        <f>IF(B$17=0,0,G13/B$17)</f>
        <v>4.0983606557377046E-2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0.25301204819277107</v>
      </c>
      <c r="E14" s="63" t="s">
        <v>74</v>
      </c>
      <c r="F14" s="60" t="s">
        <v>29</v>
      </c>
      <c r="G14" s="47">
        <v>3</v>
      </c>
      <c r="H14" s="133">
        <f>IF(B$17=0,0,G14/B$17)</f>
        <v>2.4590163934426229E-2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0.59782608695652173</v>
      </c>
      <c r="E15" s="63" t="s">
        <v>79</v>
      </c>
      <c r="F15" s="60" t="s">
        <v>34</v>
      </c>
      <c r="G15" s="47">
        <v>3</v>
      </c>
      <c r="H15" s="133">
        <f>IF(B$17=0,0,G15/B$17)</f>
        <v>2.4590163934426229E-2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1.6393442622950821E-2</v>
      </c>
      <c r="I16" s="94">
        <v>5</v>
      </c>
      <c r="K16" s="38">
        <v>14</v>
      </c>
      <c r="L16" s="99">
        <v>-269.99999999999994</v>
      </c>
      <c r="N16" s="115" t="s">
        <v>172</v>
      </c>
      <c r="O16" s="125">
        <f>IF(P16=0,0,Q16/P16)</f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0.29397590361445786</v>
      </c>
      <c r="E17" s="63" t="s">
        <v>84</v>
      </c>
      <c r="F17" s="60" t="s">
        <v>39</v>
      </c>
      <c r="G17" s="47">
        <v>2</v>
      </c>
      <c r="H17" s="133">
        <f>IF(B$17=0,0,G17/B$17)</f>
        <v>1.6393442622950821E-2</v>
      </c>
      <c r="I17" s="94">
        <v>11</v>
      </c>
      <c r="K17" s="38">
        <v>15</v>
      </c>
      <c r="L17" s="99">
        <v>-264.59999999999997</v>
      </c>
      <c r="N17" s="115" t="s">
        <v>128</v>
      </c>
      <c r="O17" s="125">
        <f>IF(P17=0,0,Q17/P17)</f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0.50819672131147542</v>
      </c>
      <c r="E18" s="63" t="s">
        <v>92</v>
      </c>
      <c r="F18" s="60" t="s">
        <v>47</v>
      </c>
      <c r="G18" s="47">
        <v>2</v>
      </c>
      <c r="H18" s="133">
        <f>IF(B$17=0,0,G18/B$17)</f>
        <v>1.6393442622950821E-2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60</v>
      </c>
      <c r="C19" s="39">
        <f>IF(B$17=0,0,B19/B$17)</f>
        <v>0.49180327868852458</v>
      </c>
      <c r="E19" s="63" t="s">
        <v>180</v>
      </c>
      <c r="F19" s="60" t="s">
        <v>181</v>
      </c>
      <c r="G19" s="47">
        <v>2</v>
      </c>
      <c r="H19" s="133">
        <f>IF(B$17=0,0,G19/B$17)</f>
        <v>1.6393442622950821E-2</v>
      </c>
      <c r="I19" s="94">
        <v>4</v>
      </c>
      <c r="K19" s="38">
        <v>17</v>
      </c>
      <c r="L19" s="99">
        <v>-248.89999999999995</v>
      </c>
      <c r="N19" s="115" t="s">
        <v>127</v>
      </c>
      <c r="O19" s="125">
        <f>IF(P19=0,0,Q19/P19)</f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77</v>
      </c>
      <c r="C20" s="39">
        <f>IF(B$3=0,0,B20/B$3)</f>
        <v>0.1855421686746988</v>
      </c>
      <c r="E20" s="63" t="s">
        <v>88</v>
      </c>
      <c r="F20" s="60" t="s">
        <v>43</v>
      </c>
      <c r="G20" s="47">
        <v>1</v>
      </c>
      <c r="H20" s="133">
        <f>IF(B$17=0,0,G20/B$17)</f>
        <v>8.1967213114754103E-3</v>
      </c>
      <c r="I20" s="94">
        <v>2</v>
      </c>
      <c r="K20" s="38">
        <v>18</v>
      </c>
      <c r="L20" s="99">
        <v>-218.99999999999994</v>
      </c>
      <c r="N20" s="115" t="s">
        <v>177</v>
      </c>
      <c r="O20" s="125">
        <f>IF(P20=0,0,Q20/P20)</f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9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6954.0983606557375</v>
      </c>
      <c r="C23" s="41">
        <v>848400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  <c r="N23" s="115" t="s">
        <v>184</v>
      </c>
      <c r="O23" s="125">
        <f>IF(P23=0,0,Q23/P23)</f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4.8192771084337354E-3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F8A7-87FF-4751-B513-0C317656B81C}">
  <sheetPr codeName="Sheet19"/>
  <dimension ref="A1:Q7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68</v>
      </c>
      <c r="C2" s="151"/>
      <c r="E2" s="62" t="s">
        <v>65</v>
      </c>
      <c r="F2" s="59" t="s">
        <v>21</v>
      </c>
      <c r="G2" s="46">
        <v>102</v>
      </c>
      <c r="H2" s="132">
        <f>IF(B$17=0,0,G2/B$17)</f>
        <v>0.62962962962962965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1213.2352941176471</v>
      </c>
      <c r="P2" s="118">
        <v>68</v>
      </c>
      <c r="Q2" s="102">
        <v>82500</v>
      </c>
    </row>
    <row r="3" spans="1:17" x14ac:dyDescent="0.4">
      <c r="A3" s="55" t="s">
        <v>8</v>
      </c>
      <c r="B3" s="152">
        <v>550</v>
      </c>
      <c r="C3" s="153"/>
      <c r="E3" s="63" t="s">
        <v>67</v>
      </c>
      <c r="F3" s="60" t="s">
        <v>23</v>
      </c>
      <c r="G3" s="47">
        <v>94</v>
      </c>
      <c r="H3" s="133">
        <f>IF(B$17=0,0,G3/B$17)</f>
        <v>0.58024691358024694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927.69230769230774</v>
      </c>
      <c r="P3" s="119">
        <v>65</v>
      </c>
      <c r="Q3" s="103">
        <v>60300</v>
      </c>
    </row>
    <row r="4" spans="1:17" x14ac:dyDescent="0.4">
      <c r="A4" s="55" t="s">
        <v>6</v>
      </c>
      <c r="B4" s="154">
        <v>285.40000000000003</v>
      </c>
      <c r="C4" s="155"/>
      <c r="E4" s="63" t="s">
        <v>245</v>
      </c>
      <c r="F4" s="60" t="s">
        <v>246</v>
      </c>
      <c r="G4" s="47">
        <v>70</v>
      </c>
      <c r="H4" s="133">
        <f>IF(B$17=0,0,G4/B$17)</f>
        <v>0.43209876543209874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-672.41379310344826</v>
      </c>
      <c r="P4" s="119">
        <v>58</v>
      </c>
      <c r="Q4" s="103">
        <v>-39000</v>
      </c>
    </row>
    <row r="5" spans="1:17" x14ac:dyDescent="0.4">
      <c r="A5" s="55" t="s">
        <v>7</v>
      </c>
      <c r="B5" s="156">
        <f>IF(B$2=0,0,B$4/B$2)</f>
        <v>4.197058823529412</v>
      </c>
      <c r="C5" s="157"/>
      <c r="E5" s="63" t="s">
        <v>73</v>
      </c>
      <c r="F5" s="60" t="s">
        <v>28</v>
      </c>
      <c r="G5" s="47">
        <v>64</v>
      </c>
      <c r="H5" s="133">
        <f>IF(B$17=0,0,G5/B$17)</f>
        <v>0.39506172839506171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2358.9285714285716</v>
      </c>
      <c r="P5" s="119">
        <v>56</v>
      </c>
      <c r="Q5" s="103">
        <v>132100</v>
      </c>
    </row>
    <row r="6" spans="1:17" x14ac:dyDescent="0.4">
      <c r="A6" s="55" t="s">
        <v>1</v>
      </c>
      <c r="B6" s="146">
        <f>IF(B$2=0,0,(B$7*1+B$8*2+B$9*3)/B$2)</f>
        <v>1.8970588235294117</v>
      </c>
      <c r="C6" s="147"/>
      <c r="E6" s="63" t="s">
        <v>68</v>
      </c>
      <c r="F6" s="60" t="s">
        <v>24</v>
      </c>
      <c r="G6" s="47">
        <v>63</v>
      </c>
      <c r="H6" s="133">
        <f>IF(B$17=0,0,G6/B$17)</f>
        <v>0.3888888888888889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-1096</v>
      </c>
      <c r="P6" s="119">
        <v>50</v>
      </c>
      <c r="Q6" s="103">
        <v>-54800</v>
      </c>
    </row>
    <row r="7" spans="1:17" x14ac:dyDescent="0.4">
      <c r="A7" s="55" t="s">
        <v>2</v>
      </c>
      <c r="B7" s="47">
        <v>26</v>
      </c>
      <c r="C7" s="39">
        <f>IF(B$2=0,0,B7/B$2)</f>
        <v>0.38235294117647056</v>
      </c>
      <c r="E7" s="63" t="s">
        <v>69</v>
      </c>
      <c r="F7" s="60" t="s">
        <v>12</v>
      </c>
      <c r="G7" s="47">
        <v>51</v>
      </c>
      <c r="H7" s="133">
        <f>IF(B$17=0,0,G7/B$17)</f>
        <v>0.31481481481481483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134.14634146341464</v>
      </c>
      <c r="P7" s="120">
        <v>41</v>
      </c>
      <c r="Q7" s="104">
        <v>5500</v>
      </c>
    </row>
    <row r="8" spans="1:17" x14ac:dyDescent="0.4">
      <c r="A8" s="55" t="s">
        <v>3</v>
      </c>
      <c r="B8" s="47">
        <v>23</v>
      </c>
      <c r="C8" s="39">
        <f>IF(B$2=0,0,B8/B$2)</f>
        <v>0.33823529411764708</v>
      </c>
      <c r="E8" s="63" t="s">
        <v>70</v>
      </c>
      <c r="F8" s="60" t="s">
        <v>25</v>
      </c>
      <c r="G8" s="47">
        <v>29</v>
      </c>
      <c r="H8" s="133">
        <f>IF(B$17=0,0,G8/B$17)</f>
        <v>0.17901234567901234</v>
      </c>
      <c r="I8" s="94">
        <v>6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0.27941176470588236</v>
      </c>
      <c r="E9" s="63" t="s">
        <v>66</v>
      </c>
      <c r="F9" s="60" t="s">
        <v>22</v>
      </c>
      <c r="G9" s="47">
        <v>19</v>
      </c>
      <c r="H9" s="133">
        <f>IF(B$17=0,0,G9/B$17)</f>
        <v>0.11728395061728394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0.14705882352941177</v>
      </c>
      <c r="E10" s="63" t="s">
        <v>90</v>
      </c>
      <c r="F10" s="60" t="s">
        <v>45</v>
      </c>
      <c r="G10" s="47">
        <v>17</v>
      </c>
      <c r="H10" s="133">
        <f>IF(B$17=0,0,G10/B$17)</f>
        <v>0.10493827160493827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3.9681818181818174</v>
      </c>
      <c r="P10" s="118">
        <v>22</v>
      </c>
      <c r="Q10" s="106">
        <v>87.299999999999983</v>
      </c>
    </row>
    <row r="11" spans="1:17" x14ac:dyDescent="0.4">
      <c r="A11" s="56" t="s">
        <v>140</v>
      </c>
      <c r="B11" s="48">
        <v>9</v>
      </c>
      <c r="C11" s="40">
        <f>IF(B$2=0,0,B11/B$2)</f>
        <v>0.13235294117647059</v>
      </c>
      <c r="E11" s="63" t="s">
        <v>71</v>
      </c>
      <c r="F11" s="60" t="s">
        <v>26</v>
      </c>
      <c r="G11" s="47">
        <v>12</v>
      </c>
      <c r="H11" s="133">
        <f>IF(B$17=0,0,G11/B$17)</f>
        <v>7.407407407407407E-2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11.876000000000001</v>
      </c>
      <c r="P11" s="119">
        <v>25</v>
      </c>
      <c r="Q11" s="107">
        <v>296.90000000000003</v>
      </c>
    </row>
    <row r="12" spans="1:17" x14ac:dyDescent="0.4">
      <c r="A12" s="57" t="s">
        <v>160</v>
      </c>
      <c r="B12" s="49">
        <v>5</v>
      </c>
      <c r="C12" s="42">
        <f>IF(B$2=0,0,B12/B$2)</f>
        <v>7.3529411764705885E-2</v>
      </c>
      <c r="E12" s="63" t="s">
        <v>72</v>
      </c>
      <c r="F12" s="60" t="s">
        <v>27</v>
      </c>
      <c r="G12" s="47">
        <v>9</v>
      </c>
      <c r="H12" s="133">
        <f>IF(B$17=0,0,G12/B$17)</f>
        <v>5.5555555555555552E-2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-4.7047619047619049</v>
      </c>
      <c r="P12" s="120">
        <v>21</v>
      </c>
      <c r="Q12" s="108">
        <v>-98.800000000000011</v>
      </c>
    </row>
    <row r="13" spans="1:17" x14ac:dyDescent="0.4">
      <c r="A13" s="58" t="s">
        <v>122</v>
      </c>
      <c r="B13" s="50">
        <v>160</v>
      </c>
      <c r="C13" s="44">
        <f>IF(B$3=0,0,B13/B$3)</f>
        <v>0.29090909090909089</v>
      </c>
      <c r="E13" s="63" t="s">
        <v>87</v>
      </c>
      <c r="F13" s="60" t="s">
        <v>42</v>
      </c>
      <c r="G13" s="47">
        <v>9</v>
      </c>
      <c r="H13" s="133">
        <f>IF(B$17=0,0,G13/B$17)</f>
        <v>5.5555555555555552E-2</v>
      </c>
      <c r="I13" s="94">
        <v>6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100</v>
      </c>
      <c r="C14" s="39">
        <f>IF(B$3=0,0,B14/B$3)</f>
        <v>0.18181818181818182</v>
      </c>
      <c r="E14" s="63" t="s">
        <v>84</v>
      </c>
      <c r="F14" s="60" t="s">
        <v>39</v>
      </c>
      <c r="G14" s="47">
        <v>7</v>
      </c>
      <c r="H14" s="133">
        <f>IF(B$17=0,0,G14/B$17)</f>
        <v>4.3209876543209874E-2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</v>
      </c>
      <c r="C15" s="37">
        <f>IF(B$13=0,0,B15/B$13)</f>
        <v>0.63749999999999996</v>
      </c>
      <c r="E15" s="63" t="s">
        <v>79</v>
      </c>
      <c r="F15" s="60" t="s">
        <v>34</v>
      </c>
      <c r="G15" s="47">
        <v>5</v>
      </c>
      <c r="H15" s="133">
        <f>IF(B$17=0,0,G15/B$17)</f>
        <v>3.0864197530864196E-2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34</v>
      </c>
      <c r="C16" s="37">
        <f>IF(B$14=0,0,B16/B$14)</f>
        <v>0.34</v>
      </c>
      <c r="E16" s="63" t="s">
        <v>92</v>
      </c>
      <c r="F16" s="60" t="s">
        <v>47</v>
      </c>
      <c r="G16" s="47">
        <v>5</v>
      </c>
      <c r="H16" s="133">
        <f>IF(B$17=0,0,G16/B$17)</f>
        <v>3.0864197530864196E-2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162</v>
      </c>
      <c r="C17" s="37">
        <f>IF(B$3=0,0,B17/B$3)</f>
        <v>0.29454545454545455</v>
      </c>
      <c r="E17" s="63" t="s">
        <v>82</v>
      </c>
      <c r="F17" s="60" t="s">
        <v>37</v>
      </c>
      <c r="G17" s="47">
        <v>4</v>
      </c>
      <c r="H17" s="133">
        <f>IF(B$17=0,0,G17/B$17)</f>
        <v>2.4691358024691357E-2</v>
      </c>
      <c r="I17" s="94">
        <v>7</v>
      </c>
      <c r="K17" s="38">
        <v>15</v>
      </c>
      <c r="L17" s="99">
        <v>-146.19999999999999</v>
      </c>
      <c r="N17" s="115" t="s">
        <v>173</v>
      </c>
      <c r="O17" s="125">
        <f>IF(P17=0,0,Q17/P17)</f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0.43827160493827161</v>
      </c>
      <c r="E18" s="63" t="s">
        <v>86</v>
      </c>
      <c r="F18" s="60" t="s">
        <v>41</v>
      </c>
      <c r="G18" s="47">
        <v>3</v>
      </c>
      <c r="H18" s="133">
        <f>IF(B$17=0,0,G18/B$17)</f>
        <v>1.8518518518518517E-2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13.963636363636367</v>
      </c>
      <c r="P18" s="119">
        <v>22</v>
      </c>
      <c r="Q18" s="107">
        <v>307.20000000000005</v>
      </c>
    </row>
    <row r="19" spans="1:17" x14ac:dyDescent="0.4">
      <c r="A19" s="55" t="s">
        <v>11</v>
      </c>
      <c r="B19" s="47">
        <v>91</v>
      </c>
      <c r="C19" s="39">
        <f>IF(B$17=0,0,B19/B$17)</f>
        <v>0.56172839506172845</v>
      </c>
      <c r="E19" s="63" t="s">
        <v>80</v>
      </c>
      <c r="F19" s="60" t="s">
        <v>35</v>
      </c>
      <c r="G19" s="47">
        <v>2</v>
      </c>
      <c r="H19" s="133">
        <f>IF(B$17=0,0,G19/B$17)</f>
        <v>1.2345679012345678E-2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>IF(P19=0,0,Q19/P19)</f>
        <v>8.5074074074074097</v>
      </c>
      <c r="P19" s="119">
        <v>27</v>
      </c>
      <c r="Q19" s="107">
        <v>229.70000000000005</v>
      </c>
    </row>
    <row r="20" spans="1:17" x14ac:dyDescent="0.4">
      <c r="A20" s="55" t="s">
        <v>13</v>
      </c>
      <c r="B20" s="47">
        <v>83</v>
      </c>
      <c r="C20" s="39">
        <f>IF(B$3=0,0,B20/B$3)</f>
        <v>0.15090909090909091</v>
      </c>
      <c r="E20" s="63" t="s">
        <v>91</v>
      </c>
      <c r="F20" s="60" t="s">
        <v>46</v>
      </c>
      <c r="G20" s="47">
        <v>2</v>
      </c>
      <c r="H20" s="133">
        <f>IF(B$17=0,0,G20/B$17)</f>
        <v>1.2345679012345678E-2</v>
      </c>
      <c r="I20" s="94">
        <v>1</v>
      </c>
      <c r="K20" s="38">
        <v>18</v>
      </c>
      <c r="L20" s="99">
        <v>-159</v>
      </c>
      <c r="N20" s="115" t="s">
        <v>172</v>
      </c>
      <c r="O20" s="125">
        <f>IF(P20=0,0,Q20/P20)</f>
        <v>4.8894736842105235</v>
      </c>
      <c r="P20" s="119">
        <v>19</v>
      </c>
      <c r="Q20" s="107">
        <v>92.899999999999949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1</v>
      </c>
      <c r="H21" s="133">
        <f>IF(B$17=0,0,G21/B$17)</f>
        <v>6.1728395061728392E-3</v>
      </c>
      <c r="I21" s="94">
        <v>4</v>
      </c>
      <c r="K21" s="38">
        <v>19</v>
      </c>
      <c r="L21" s="99">
        <v>-235.6</v>
      </c>
      <c r="N21" s="115" t="s">
        <v>184</v>
      </c>
      <c r="O21" s="125">
        <f>IF(P21=0,0,Q21/P21)</f>
        <v>4.8666666666666698</v>
      </c>
      <c r="P21" s="119">
        <v>6</v>
      </c>
      <c r="Q21" s="107">
        <v>29.200000000000017</v>
      </c>
    </row>
    <row r="22" spans="1:17" x14ac:dyDescent="0.4">
      <c r="A22" s="55" t="s">
        <v>192</v>
      </c>
      <c r="B22" s="47">
        <v>45</v>
      </c>
      <c r="C22" s="135">
        <v>9</v>
      </c>
      <c r="E22" s="63" t="s">
        <v>76</v>
      </c>
      <c r="F22" s="60" t="s">
        <v>31</v>
      </c>
      <c r="G22" s="47">
        <v>1</v>
      </c>
      <c r="H22" s="133">
        <f>IF(B$17=0,0,G22/B$17)</f>
        <v>6.1728395061728392E-3</v>
      </c>
      <c r="I22" s="94">
        <v>5</v>
      </c>
      <c r="K22" s="38">
        <v>20</v>
      </c>
      <c r="L22" s="99">
        <v>-200.8</v>
      </c>
      <c r="N22" s="115" t="s">
        <v>127</v>
      </c>
      <c r="O22" s="125">
        <f>IF(P22=0,0,Q22/P22)</f>
        <v>-24.748275862068972</v>
      </c>
      <c r="P22" s="119">
        <v>29</v>
      </c>
      <c r="Q22" s="107">
        <v>-717.70000000000016</v>
      </c>
    </row>
    <row r="23" spans="1:17" x14ac:dyDescent="0.4">
      <c r="A23" s="55" t="s">
        <v>5</v>
      </c>
      <c r="B23" s="51">
        <f>IF(B$17=0,0,C23/B$17)</f>
        <v>8905.5555555555547</v>
      </c>
      <c r="C23" s="41">
        <v>1442700</v>
      </c>
      <c r="E23" s="63" t="s">
        <v>93</v>
      </c>
      <c r="F23" s="60" t="s">
        <v>48</v>
      </c>
      <c r="G23" s="47">
        <v>1</v>
      </c>
      <c r="H23" s="133">
        <f>IF(B$17=0,0,G23/B$17)</f>
        <v>6.1728395061728392E-3</v>
      </c>
      <c r="I23" s="94">
        <v>3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-7336.1445783132531</v>
      </c>
      <c r="C24" s="45">
        <v>-608900</v>
      </c>
      <c r="E24" s="63" t="s">
        <v>94</v>
      </c>
      <c r="F24" s="60" t="s">
        <v>49</v>
      </c>
      <c r="G24" s="47">
        <v>1</v>
      </c>
      <c r="H24" s="133">
        <f>IF(B$17=0,0,G24/B$17)</f>
        <v>6.1728395061728392E-3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6.1728395061728392E-3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5.454545454545455E-3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CD0D-BFEC-4757-B3CA-E6C16BA85A03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3DEC-A330-4466-B0BD-9FE23F30502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0.52380952380952384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2.3809523809523808E-2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-126.5</v>
      </c>
      <c r="C4" s="155"/>
      <c r="E4" s="63" t="s">
        <v>67</v>
      </c>
      <c r="F4" s="60" t="s">
        <v>23</v>
      </c>
      <c r="G4" s="47">
        <v>39</v>
      </c>
      <c r="H4" s="133">
        <f>IF(B$17=0,0,G4/B$17)</f>
        <v>0.9285714285714286</v>
      </c>
      <c r="I4" s="94">
        <v>2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-7.0277777777777777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0.26190476190476192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70</v>
      </c>
      <c r="F7" s="60" t="s">
        <v>25</v>
      </c>
      <c r="G7" s="47">
        <v>8</v>
      </c>
      <c r="H7" s="133">
        <f>IF(B$17=0,0,G7/B$17)</f>
        <v>0.19047619047619047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71</v>
      </c>
      <c r="F8" s="60" t="s">
        <v>26</v>
      </c>
      <c r="G8" s="47">
        <v>7</v>
      </c>
      <c r="H8" s="133">
        <f>IF(B$17=0,0,G8/B$17)</f>
        <v>0.16666666666666666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3</v>
      </c>
      <c r="H9" s="133">
        <f>IF(B$17=0,0,G9/B$17)</f>
        <v>7.1428571428571425E-2</v>
      </c>
      <c r="I9" s="94">
        <v>4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73</v>
      </c>
      <c r="F10" s="60" t="s">
        <v>28</v>
      </c>
      <c r="G10" s="47">
        <v>23</v>
      </c>
      <c r="H10" s="133">
        <f>IF(B$17=0,0,G10/B$17)</f>
        <v>0.54761904761904767</v>
      </c>
      <c r="I10" s="94">
        <v>6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1</v>
      </c>
      <c r="H11" s="133">
        <f>IF(B$17=0,0,G11/B$17)</f>
        <v>2.3809523809523808E-2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1</v>
      </c>
      <c r="H12" s="133">
        <f>IF(B$17=0,0,G12/B$17)</f>
        <v>2.3809523809523808E-2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76</v>
      </c>
      <c r="F13" s="60" t="s">
        <v>31</v>
      </c>
      <c r="G13" s="47">
        <v>1</v>
      </c>
      <c r="H13" s="133">
        <f>IF(B$17=0,0,G13/B$17)</f>
        <v>2.3809523809523808E-2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173</v>
      </c>
      <c r="O15" s="124">
        <f t="shared" ref="O15:O22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4.7619047619047616E-2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82</v>
      </c>
      <c r="F19" s="60" t="s">
        <v>37</v>
      </c>
      <c r="G19" s="47">
        <v>1</v>
      </c>
      <c r="H19" s="133">
        <f>IF(B$17=0,0,G19/B$17)</f>
        <v>2.3809523809523808E-2</v>
      </c>
      <c r="I19" s="94">
        <v>8</v>
      </c>
      <c r="K19" s="38">
        <v>17</v>
      </c>
      <c r="L19" s="99">
        <v>-203.5</v>
      </c>
      <c r="N19" s="115" t="s">
        <v>127</v>
      </c>
      <c r="O19" s="125">
        <f t="shared" si="2"/>
        <v>-22.991666666666671</v>
      </c>
      <c r="P19" s="119">
        <v>12</v>
      </c>
      <c r="Q19" s="107">
        <v>-275.90000000000003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84</v>
      </c>
      <c r="F21" s="60" t="s">
        <v>39</v>
      </c>
      <c r="G21" s="47">
        <v>5</v>
      </c>
      <c r="H21" s="133">
        <f>IF(B$17=0,0,G21/B$17)</f>
        <v>0.11904761904761904</v>
      </c>
      <c r="I21" s="94">
        <v>2</v>
      </c>
      <c r="N21" s="115" t="s">
        <v>128</v>
      </c>
      <c r="O21" s="125">
        <f t="shared" si="2"/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0.11904761904761904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2.3809523809523808E-2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15</v>
      </c>
      <c r="H51" s="138">
        <f>IF(B$17=0,0,G51/B$17)</f>
        <v>0.35714285714285715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C821-0BF4-4720-A206-B21ED2E22F75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0.31034482758620691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9D3B-7979-4749-8636-AF0AB6ECE57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CE084-76E9-45D3-A2E7-D9E800734820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9325-560F-4F2C-BF17-5FFB3DFEC013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5312-D45F-4BF3-99D1-0B4357B4951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EB5D6-ADCE-4876-B142-9F59233397A9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81C2D-7905-4794-8DA5-932F69E34549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B4F06-0DAD-4049-821E-BF343E3759C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A72C7-7B69-4C6C-9523-39CA66AD31E7}">
  <sheetPr codeName="Sheet20"/>
  <dimension ref="A1:Q7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A33FF-C27E-41F4-976C-95057370ED3F}">
  <sheetPr codeName="Sheet18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29AA3-BF57-4733-AE9F-444AFC15BF97}">
  <sheetPr codeName="Sheet16"/>
  <dimension ref="A1:Q8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64328-EE0F-4FB6-9433-C8E791C9CA9A}">
  <sheetPr codeName="Sheet14"/>
  <dimension ref="A1:Q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F17D9-023D-4495-AACF-5AF3F6A859D3}">
  <sheetPr codeName="Sheet12"/>
  <dimension ref="A1:Q9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A272-4085-46DC-B519-601DACFF536E}">
  <sheetPr codeName="Sheet10"/>
  <dimension ref="A1:Q1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ADCAE-1C45-4CA5-BC5C-0BFC8E003A17}">
  <sheetPr codeName="Sheet8"/>
  <dimension ref="A1:Q1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1968.6000000000006</v>
      </c>
      <c r="C160" s="66">
        <v>12.538853503184717</v>
      </c>
      <c r="D160" s="71">
        <v>1.7515923566878981</v>
      </c>
      <c r="E160" s="67">
        <v>0.48407643312101911</v>
      </c>
      <c r="F160" s="67">
        <v>0.2356687898089172</v>
      </c>
      <c r="G160" s="67">
        <v>0.34423676012461057</v>
      </c>
      <c r="H160" s="67">
        <v>0.15498442367601245</v>
      </c>
      <c r="I160" s="68">
        <v>9217.8733031674201</v>
      </c>
      <c r="J160" s="68">
        <v>-8216.0804020100495</v>
      </c>
      <c r="K160" s="67">
        <v>9.5541401273885357E-2</v>
      </c>
      <c r="L160" s="67">
        <v>0.17834394904458598</v>
      </c>
      <c r="M160" s="67">
        <v>0.31386292834890966</v>
      </c>
      <c r="N160" s="67">
        <v>0.21573208722741433</v>
      </c>
      <c r="O160" s="67">
        <v>0.57568238213399503</v>
      </c>
      <c r="P160" s="67">
        <v>0.51624548736462095</v>
      </c>
      <c r="Q160" s="67">
        <v>0.41402714932126694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5696F-1A10-4417-8DAD-A4313AE739A6}">
  <sheetPr codeName="Sheet6"/>
  <dimension ref="A1:Q2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0.29875021400445129</v>
      </c>
      <c r="H237" s="67">
        <v>0.16812189693545626</v>
      </c>
      <c r="I237" s="68">
        <v>8674.7277936962746</v>
      </c>
      <c r="J237" s="68">
        <v>-8257.9429735234207</v>
      </c>
      <c r="K237" s="67">
        <v>0.12108262108262108</v>
      </c>
      <c r="L237" s="67">
        <v>0.12108262108262108</v>
      </c>
      <c r="M237" s="67">
        <v>0.27871939736346518</v>
      </c>
      <c r="N237" s="67">
        <v>0.20732751241225816</v>
      </c>
      <c r="O237" s="67">
        <v>0.58046683046683045</v>
      </c>
      <c r="P237" s="67">
        <v>0.39223781998348473</v>
      </c>
      <c r="Q237" s="67">
        <v>0.430945558739255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2019-06-27T14:47:04Z</dcterms:modified>
</cp:coreProperties>
</file>