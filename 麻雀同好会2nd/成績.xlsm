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432520C-F02C-4C34-8069-DF8646BB152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09" r:id="rId6"/>
    <sheet name="だいち" sheetId="5111" r:id="rId7"/>
    <sheet name="りくと" sheetId="5113" r:id="rId8"/>
    <sheet name="ただ" sheetId="5115" r:id="rId9"/>
    <sheet name="れんたろう" sheetId="5117" r:id="rId10"/>
    <sheet name="たかの" sheetId="5119" r:id="rId11"/>
    <sheet name="ぱぱ" sheetId="5121" r:id="rId12"/>
    <sheet name="まっつん" sheetId="5123" r:id="rId13"/>
    <sheet name="あさひ" sheetId="5125" r:id="rId14"/>
    <sheet name="いっしー" sheetId="5127" r:id="rId15"/>
    <sheet name="ほたに" sheetId="5129" r:id="rId16"/>
    <sheet name="かわたつ" sheetId="5131" r:id="rId17"/>
    <sheet name="やがさき" sheetId="5133" r:id="rId18"/>
    <sheet name="やがさき2" sheetId="5134" state="hidden" r:id="rId19"/>
    <sheet name="かわたつ2" sheetId="5132" state="hidden" r:id="rId20"/>
    <sheet name="ほたに2" sheetId="5130" state="hidden" r:id="rId21"/>
    <sheet name="いっしー2" sheetId="5128" state="hidden" r:id="rId22"/>
    <sheet name="あさひ2" sheetId="5126" state="hidden" r:id="rId23"/>
    <sheet name="まっつん2" sheetId="5124" state="hidden" r:id="rId24"/>
    <sheet name="ぱぱ2" sheetId="5122" state="hidden" r:id="rId25"/>
    <sheet name="たかの2" sheetId="5120" state="hidden" r:id="rId26"/>
    <sheet name="れんたろう2" sheetId="5118" state="hidden" r:id="rId27"/>
    <sheet name="ただ2" sheetId="5116" state="hidden" r:id="rId28"/>
    <sheet name="りくと2" sheetId="5114" state="hidden" r:id="rId29"/>
    <sheet name="だいち2" sheetId="5112" state="hidden" r:id="rId30"/>
    <sheet name="全体2" sheetId="511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15" l="1"/>
  <c r="O16" i="5119"/>
  <c r="O15" i="5109"/>
  <c r="O16" i="5133"/>
  <c r="O15" i="5133"/>
  <c r="C27" i="5133"/>
  <c r="B24" i="5133"/>
  <c r="C20" i="5133"/>
  <c r="B17" i="5133"/>
  <c r="H8" i="5133" s="1"/>
  <c r="C16" i="5133"/>
  <c r="C15" i="5133"/>
  <c r="C14" i="5133"/>
  <c r="C13" i="5133"/>
  <c r="O12" i="5133"/>
  <c r="C12" i="5133"/>
  <c r="O11" i="5133"/>
  <c r="H14" i="5133"/>
  <c r="C11" i="5133"/>
  <c r="O10" i="5133"/>
  <c r="C10" i="5133"/>
  <c r="C9" i="5133"/>
  <c r="C8" i="5133"/>
  <c r="O7" i="5133"/>
  <c r="C7" i="5133"/>
  <c r="O6" i="5133"/>
  <c r="B6" i="5133"/>
  <c r="O5" i="5133"/>
  <c r="B5" i="5133"/>
  <c r="O4" i="5133"/>
  <c r="O3" i="5133"/>
  <c r="O2" i="5133"/>
  <c r="O15" i="5131"/>
  <c r="O16" i="5131"/>
  <c r="H49" i="5131"/>
  <c r="C27" i="5131"/>
  <c r="B24" i="5131"/>
  <c r="C20" i="5131"/>
  <c r="B17" i="5131"/>
  <c r="H7" i="5131" s="1"/>
  <c r="C16" i="5131"/>
  <c r="C15" i="5131"/>
  <c r="C14" i="5131"/>
  <c r="C13" i="5131"/>
  <c r="O12" i="5131"/>
  <c r="C12" i="5131"/>
  <c r="O11" i="5131"/>
  <c r="H13" i="5131"/>
  <c r="C11" i="5131"/>
  <c r="O10" i="5131"/>
  <c r="C10" i="5131"/>
  <c r="C9" i="5131"/>
  <c r="C8" i="5131"/>
  <c r="O7" i="5131"/>
  <c r="C7" i="5131"/>
  <c r="O6" i="5131"/>
  <c r="B6" i="5131"/>
  <c r="O5" i="5131"/>
  <c r="H4" i="5131"/>
  <c r="B5" i="5131"/>
  <c r="O4" i="5131"/>
  <c r="H2" i="5131"/>
  <c r="O3" i="5131"/>
  <c r="O2" i="5131"/>
  <c r="O23" i="5117"/>
  <c r="O19" i="5111"/>
  <c r="O24" i="5109"/>
  <c r="H2" i="5133" l="1"/>
  <c r="H5" i="5133"/>
  <c r="C17" i="5133"/>
  <c r="H3" i="5133"/>
  <c r="H12" i="5133"/>
  <c r="H10" i="5133"/>
  <c r="H11" i="5133"/>
  <c r="H17" i="5133"/>
  <c r="H6" i="5133"/>
  <c r="C18" i="5133"/>
  <c r="B23" i="5133"/>
  <c r="H27" i="5133"/>
  <c r="H29" i="5133"/>
  <c r="H33" i="5133"/>
  <c r="H37" i="5133"/>
  <c r="H41" i="5133"/>
  <c r="H45" i="5133"/>
  <c r="H49" i="5133"/>
  <c r="H20" i="5133"/>
  <c r="H22" i="5133"/>
  <c r="H25" i="5133"/>
  <c r="H28" i="5133"/>
  <c r="H30" i="5133"/>
  <c r="H34" i="5133"/>
  <c r="H38" i="5133"/>
  <c r="H42" i="5133"/>
  <c r="H46" i="5133"/>
  <c r="H50" i="5133"/>
  <c r="H16" i="5133"/>
  <c r="H18" i="5133"/>
  <c r="C19" i="5133"/>
  <c r="H23" i="5133"/>
  <c r="H31" i="5133"/>
  <c r="H35" i="5133"/>
  <c r="H39" i="5133"/>
  <c r="H43" i="5133"/>
  <c r="H47" i="5133"/>
  <c r="H51" i="5133"/>
  <c r="H9" i="5133"/>
  <c r="H4" i="5133"/>
  <c r="H13" i="5133"/>
  <c r="H15" i="5133"/>
  <c r="H19" i="5133"/>
  <c r="H21" i="5133"/>
  <c r="H24" i="5133"/>
  <c r="H26" i="5133"/>
  <c r="H7" i="5133"/>
  <c r="H32" i="5133"/>
  <c r="H36" i="5133"/>
  <c r="H40" i="5133"/>
  <c r="H44" i="5133"/>
  <c r="H48" i="5133"/>
  <c r="H18" i="5131"/>
  <c r="H3" i="5131"/>
  <c r="H16" i="5131"/>
  <c r="H10" i="5131"/>
  <c r="C19" i="5131"/>
  <c r="H33" i="5131"/>
  <c r="H12" i="5131"/>
  <c r="H26" i="5131"/>
  <c r="H37" i="5131"/>
  <c r="C17" i="5131"/>
  <c r="H41" i="5131"/>
  <c r="H9" i="5131"/>
  <c r="H15" i="5131"/>
  <c r="H17" i="5131"/>
  <c r="H22" i="5131"/>
  <c r="H8" i="5131"/>
  <c r="H5" i="5131"/>
  <c r="H11" i="5131"/>
  <c r="H14" i="5131"/>
  <c r="C18" i="5131"/>
  <c r="B23" i="5131"/>
  <c r="H29" i="5131"/>
  <c r="H45" i="5131"/>
  <c r="H20" i="5131"/>
  <c r="H21" i="5131"/>
  <c r="H24" i="5131"/>
  <c r="H27" i="5131"/>
  <c r="H30" i="5131"/>
  <c r="H34" i="5131"/>
  <c r="H38" i="5131"/>
  <c r="H42" i="5131"/>
  <c r="H46" i="5131"/>
  <c r="H50" i="5131"/>
  <c r="H31" i="5131"/>
  <c r="H35" i="5131"/>
  <c r="H39" i="5131"/>
  <c r="H43" i="5131"/>
  <c r="H47" i="5131"/>
  <c r="H51" i="5131"/>
  <c r="H19" i="5131"/>
  <c r="H6" i="5131"/>
  <c r="H23" i="5131"/>
  <c r="H25" i="5131"/>
  <c r="H28" i="5131"/>
  <c r="H32" i="5131"/>
  <c r="H36" i="5131"/>
  <c r="H40" i="5131"/>
  <c r="H44" i="5131"/>
  <c r="H48" i="5131"/>
  <c r="O18" i="5119" l="1"/>
  <c r="O16" i="5127"/>
  <c r="O20" i="5129" l="1"/>
  <c r="O19" i="5129"/>
  <c r="O15" i="5123"/>
  <c r="O15" i="5113"/>
  <c r="O21" i="5111" l="1"/>
  <c r="O18" i="5129"/>
  <c r="O21" i="5121"/>
  <c r="O16" i="5129"/>
  <c r="O15" i="5129" l="1"/>
  <c r="O17" i="5129"/>
  <c r="C27" i="5129"/>
  <c r="B24" i="5129"/>
  <c r="C20" i="5129"/>
  <c r="B17" i="5129"/>
  <c r="H8" i="5129" s="1"/>
  <c r="C16" i="5129"/>
  <c r="C15" i="5129"/>
  <c r="C14" i="5129"/>
  <c r="C13" i="5129"/>
  <c r="O12" i="5129"/>
  <c r="C12" i="5129"/>
  <c r="O11" i="5129"/>
  <c r="C11" i="5129"/>
  <c r="O10" i="5129"/>
  <c r="C10" i="5129"/>
  <c r="C9" i="5129"/>
  <c r="C8" i="5129"/>
  <c r="O7" i="5129"/>
  <c r="C7" i="5129"/>
  <c r="O6" i="5129"/>
  <c r="B6" i="5129"/>
  <c r="O5" i="5129"/>
  <c r="B5" i="5129"/>
  <c r="O4" i="5129"/>
  <c r="H3" i="5129"/>
  <c r="O3" i="5129"/>
  <c r="O2" i="5129"/>
  <c r="O22" i="5117"/>
  <c r="O19" i="5119"/>
  <c r="O21" i="5109"/>
  <c r="C17" i="5129" l="1"/>
  <c r="H7" i="5129"/>
  <c r="H2" i="5129"/>
  <c r="H15" i="5129"/>
  <c r="H5" i="5129"/>
  <c r="H4" i="5129"/>
  <c r="H13" i="5129"/>
  <c r="H18" i="5129"/>
  <c r="H9" i="5129"/>
  <c r="C18" i="5129"/>
  <c r="B23" i="5129"/>
  <c r="H27" i="5129"/>
  <c r="H29" i="5129"/>
  <c r="H33" i="5129"/>
  <c r="H37" i="5129"/>
  <c r="H41" i="5129"/>
  <c r="H45" i="5129"/>
  <c r="H49" i="5129"/>
  <c r="H21" i="5129"/>
  <c r="H23" i="5129"/>
  <c r="H26" i="5129"/>
  <c r="H28" i="5129"/>
  <c r="H30" i="5129"/>
  <c r="H34" i="5129"/>
  <c r="H38" i="5129"/>
  <c r="H42" i="5129"/>
  <c r="H46" i="5129"/>
  <c r="H50" i="5129"/>
  <c r="H17" i="5129"/>
  <c r="H19" i="5129"/>
  <c r="C19" i="5129"/>
  <c r="H24" i="5129"/>
  <c r="H31" i="5129"/>
  <c r="H35" i="5129"/>
  <c r="H39" i="5129"/>
  <c r="H43" i="5129"/>
  <c r="H47" i="5129"/>
  <c r="H51" i="5129"/>
  <c r="H11" i="5129"/>
  <c r="H6" i="5129"/>
  <c r="H14" i="5129"/>
  <c r="H16" i="5129"/>
  <c r="H20" i="5129"/>
  <c r="H22" i="5129"/>
  <c r="H25" i="5129"/>
  <c r="H12" i="5129"/>
  <c r="H10" i="5129"/>
  <c r="H32" i="5129"/>
  <c r="H36" i="5129"/>
  <c r="H40" i="5129"/>
  <c r="H44" i="5129"/>
  <c r="H48" i="5129"/>
  <c r="O17" i="5119" l="1"/>
  <c r="O16" i="5115"/>
  <c r="O20" i="5123"/>
  <c r="O22" i="5123"/>
  <c r="O17" i="5111" l="1"/>
  <c r="O19" i="5127"/>
  <c r="O18" i="5127" l="1"/>
  <c r="O15" i="5127"/>
  <c r="O16" i="5117"/>
  <c r="O22" i="5115"/>
  <c r="O17" i="5125" l="1"/>
  <c r="O22" i="5121"/>
  <c r="O15" i="5125"/>
  <c r="O21" i="5127"/>
  <c r="O16" i="5113"/>
  <c r="O16" i="5123"/>
  <c r="O17" i="5109"/>
  <c r="O17" i="5127"/>
  <c r="O20" i="5127"/>
  <c r="C27" i="5127"/>
  <c r="B24" i="5127"/>
  <c r="C20" i="5127"/>
  <c r="B17" i="5127"/>
  <c r="H6" i="5127" s="1"/>
  <c r="C16" i="5127"/>
  <c r="C15" i="5127"/>
  <c r="C14" i="5127"/>
  <c r="C13" i="5127"/>
  <c r="O12" i="5127"/>
  <c r="C12" i="5127"/>
  <c r="O11" i="5127"/>
  <c r="C11" i="5127"/>
  <c r="O10" i="5127"/>
  <c r="C10" i="5127"/>
  <c r="C9" i="5127"/>
  <c r="C8" i="5127"/>
  <c r="O7" i="5127"/>
  <c r="C7" i="5127"/>
  <c r="O6" i="5127"/>
  <c r="B6" i="5127"/>
  <c r="O5" i="5127"/>
  <c r="B5" i="5127"/>
  <c r="O4" i="5127"/>
  <c r="O3" i="5127"/>
  <c r="O2" i="5127"/>
  <c r="O16" i="5125"/>
  <c r="O18" i="5125"/>
  <c r="C27" i="5125"/>
  <c r="B24" i="5125"/>
  <c r="C20" i="5125"/>
  <c r="C19" i="5125"/>
  <c r="B17" i="5125"/>
  <c r="H7" i="5125" s="1"/>
  <c r="H19" i="5125"/>
  <c r="C16" i="5125"/>
  <c r="C15" i="5125"/>
  <c r="H17" i="5125"/>
  <c r="C14" i="5125"/>
  <c r="C13" i="5125"/>
  <c r="O12" i="5125"/>
  <c r="C12" i="5125"/>
  <c r="O11" i="5125"/>
  <c r="H14" i="5125"/>
  <c r="C11" i="5125"/>
  <c r="O10" i="5125"/>
  <c r="C10" i="5125"/>
  <c r="C9" i="5125"/>
  <c r="C8" i="5125"/>
  <c r="O7" i="5125"/>
  <c r="H9" i="5125"/>
  <c r="C7" i="5125"/>
  <c r="O6" i="5125"/>
  <c r="H8" i="5125"/>
  <c r="B6" i="5125"/>
  <c r="O5" i="5125"/>
  <c r="B5" i="5125"/>
  <c r="O4" i="5125"/>
  <c r="O3" i="5125"/>
  <c r="H12" i="5125"/>
  <c r="O2" i="5125"/>
  <c r="O21" i="5123"/>
  <c r="O23" i="5123"/>
  <c r="O15" i="5111"/>
  <c r="O18" i="5111"/>
  <c r="O26" i="5109"/>
  <c r="H5" i="5127" l="1"/>
  <c r="H5" i="5125"/>
  <c r="C17" i="5125"/>
  <c r="H4" i="5125"/>
  <c r="H16" i="5125"/>
  <c r="H18" i="5125"/>
  <c r="H2" i="5125"/>
  <c r="H3" i="5125"/>
  <c r="H13" i="5125"/>
  <c r="C18" i="5125"/>
  <c r="H19" i="5127"/>
  <c r="H9" i="5127"/>
  <c r="H13" i="5127"/>
  <c r="H16" i="5127"/>
  <c r="H18" i="5127"/>
  <c r="H17" i="5127"/>
  <c r="H8" i="5127"/>
  <c r="C17" i="5127"/>
  <c r="H4" i="5127"/>
  <c r="H2" i="5127"/>
  <c r="H11" i="5127"/>
  <c r="H3" i="5127"/>
  <c r="H10" i="5127"/>
  <c r="H14" i="5127"/>
  <c r="H20" i="5127"/>
  <c r="C19" i="5127"/>
  <c r="H21" i="5127"/>
  <c r="C18" i="5127"/>
  <c r="B23" i="5127"/>
  <c r="H27" i="5127"/>
  <c r="H29" i="5127"/>
  <c r="H33" i="5127"/>
  <c r="H37" i="5127"/>
  <c r="H41" i="5127"/>
  <c r="H45" i="5127"/>
  <c r="H49" i="5127"/>
  <c r="H22" i="5127"/>
  <c r="H23" i="5127"/>
  <c r="H25" i="5127"/>
  <c r="H28" i="5127"/>
  <c r="H30" i="5127"/>
  <c r="H34" i="5127"/>
  <c r="H38" i="5127"/>
  <c r="H42" i="5127"/>
  <c r="H46" i="5127"/>
  <c r="H50" i="5127"/>
  <c r="H31" i="5127"/>
  <c r="H35" i="5127"/>
  <c r="H39" i="5127"/>
  <c r="H43" i="5127"/>
  <c r="H47" i="5127"/>
  <c r="H51" i="5127"/>
  <c r="H12" i="5127"/>
  <c r="H15" i="5127"/>
  <c r="H24" i="5127"/>
  <c r="H26" i="5127"/>
  <c r="H7" i="5127"/>
  <c r="H32" i="5127"/>
  <c r="H36" i="5127"/>
  <c r="H40" i="5127"/>
  <c r="H44" i="5127"/>
  <c r="H48" i="5127"/>
  <c r="B23" i="5125"/>
  <c r="H27" i="5125"/>
  <c r="H29" i="5125"/>
  <c r="H33" i="5125"/>
  <c r="H37" i="5125"/>
  <c r="H41" i="5125"/>
  <c r="H45" i="5125"/>
  <c r="H49" i="5125"/>
  <c r="H21" i="5125"/>
  <c r="H23" i="5125"/>
  <c r="H26" i="5125"/>
  <c r="H28" i="5125"/>
  <c r="H30" i="5125"/>
  <c r="H34" i="5125"/>
  <c r="H38" i="5125"/>
  <c r="H42" i="5125"/>
  <c r="H46" i="5125"/>
  <c r="H50" i="5125"/>
  <c r="H24" i="5125"/>
  <c r="H31" i="5125"/>
  <c r="H35" i="5125"/>
  <c r="H39" i="5125"/>
  <c r="H43" i="5125"/>
  <c r="H47" i="5125"/>
  <c r="H51" i="5125"/>
  <c r="H10" i="5125"/>
  <c r="H15" i="5125"/>
  <c r="H20" i="5125"/>
  <c r="H22" i="5125"/>
  <c r="H25" i="5125"/>
  <c r="H11" i="5125"/>
  <c r="H6" i="5125"/>
  <c r="H32" i="5125"/>
  <c r="H36" i="5125"/>
  <c r="H40" i="5125"/>
  <c r="H44" i="5125"/>
  <c r="H48" i="5125"/>
  <c r="O17" i="5123" l="1"/>
  <c r="O19" i="5121"/>
  <c r="O16" i="5121"/>
  <c r="O21" i="5113"/>
  <c r="O20" i="5119" l="1"/>
  <c r="O17" i="5117"/>
  <c r="O17" i="5121"/>
  <c r="O18" i="5121"/>
  <c r="O15" i="5119" l="1"/>
  <c r="O15" i="5117"/>
  <c r="O21" i="5115"/>
  <c r="O19" i="5115"/>
  <c r="O18" i="5123"/>
  <c r="O19" i="5123"/>
  <c r="C27" i="5123"/>
  <c r="B24" i="5123"/>
  <c r="C20" i="5123"/>
  <c r="B17" i="5123"/>
  <c r="H5" i="5123" s="1"/>
  <c r="C16" i="5123"/>
  <c r="C15" i="5123"/>
  <c r="C14" i="5123"/>
  <c r="C13" i="5123"/>
  <c r="O12" i="5123"/>
  <c r="C12" i="5123"/>
  <c r="O11" i="5123"/>
  <c r="C11" i="5123"/>
  <c r="O10" i="5123"/>
  <c r="C10" i="5123"/>
  <c r="C9" i="5123"/>
  <c r="H13" i="5123"/>
  <c r="C8" i="5123"/>
  <c r="O7" i="5123"/>
  <c r="C7" i="5123"/>
  <c r="O6" i="5123"/>
  <c r="B6" i="5123"/>
  <c r="O5" i="5123"/>
  <c r="B5" i="5123"/>
  <c r="O4" i="5123"/>
  <c r="H2" i="5123"/>
  <c r="O3" i="5123"/>
  <c r="O2" i="5123"/>
  <c r="O20" i="5117"/>
  <c r="O18" i="5113"/>
  <c r="O18" i="5109"/>
  <c r="H4" i="5123" l="1"/>
  <c r="C17" i="5123"/>
  <c r="C18" i="5123"/>
  <c r="H3" i="5123"/>
  <c r="H8" i="5123"/>
  <c r="H17" i="5123"/>
  <c r="H22" i="5123"/>
  <c r="H11" i="5123"/>
  <c r="H10" i="5123"/>
  <c r="H7" i="5123"/>
  <c r="H14" i="5123"/>
  <c r="H16" i="5123"/>
  <c r="H6" i="5123"/>
  <c r="H20" i="5123"/>
  <c r="H21" i="5123"/>
  <c r="H18" i="5123"/>
  <c r="C19" i="5123"/>
  <c r="B23" i="5123"/>
  <c r="H28" i="5123"/>
  <c r="H30" i="5123"/>
  <c r="H33" i="5123"/>
  <c r="H37" i="5123"/>
  <c r="H41" i="5123"/>
  <c r="H45" i="5123"/>
  <c r="H49" i="5123"/>
  <c r="H24" i="5123"/>
  <c r="H25" i="5123"/>
  <c r="H19" i="5123"/>
  <c r="H29" i="5123"/>
  <c r="H12" i="5123"/>
  <c r="H34" i="5123"/>
  <c r="H38" i="5123"/>
  <c r="H42" i="5123"/>
  <c r="H46" i="5123"/>
  <c r="H50" i="5123"/>
  <c r="H31" i="5123"/>
  <c r="H35" i="5123"/>
  <c r="H39" i="5123"/>
  <c r="H43" i="5123"/>
  <c r="H47" i="5123"/>
  <c r="H51" i="5123"/>
  <c r="H23" i="5123"/>
  <c r="H15" i="5123"/>
  <c r="H26" i="5123"/>
  <c r="H27" i="5123"/>
  <c r="H9" i="5123"/>
  <c r="H32" i="5123"/>
  <c r="H36" i="5123"/>
  <c r="H40" i="5123"/>
  <c r="H44" i="5123"/>
  <c r="H48" i="5123"/>
  <c r="O18" i="5115" l="1"/>
  <c r="O20" i="5121"/>
  <c r="O15" i="5121"/>
  <c r="C27" i="5121"/>
  <c r="B24" i="5121"/>
  <c r="C20" i="5121"/>
  <c r="B17" i="5121"/>
  <c r="H6" i="5121" s="1"/>
  <c r="C16" i="5121"/>
  <c r="C15" i="5121"/>
  <c r="C14" i="5121"/>
  <c r="C13" i="5121"/>
  <c r="O12" i="5121"/>
  <c r="C12" i="5121"/>
  <c r="O11" i="5121"/>
  <c r="C11" i="5121"/>
  <c r="O10" i="5121"/>
  <c r="C10" i="5121"/>
  <c r="C9" i="5121"/>
  <c r="C8" i="5121"/>
  <c r="O7" i="5121"/>
  <c r="C7" i="5121"/>
  <c r="O6" i="5121"/>
  <c r="B6" i="5121"/>
  <c r="O5" i="5121"/>
  <c r="B5" i="5121"/>
  <c r="O4" i="5121"/>
  <c r="O3" i="5121"/>
  <c r="O2" i="5121"/>
  <c r="O20" i="5111"/>
  <c r="O19" i="5109"/>
  <c r="O22" i="5119"/>
  <c r="O20" i="5113"/>
  <c r="O19" i="5113"/>
  <c r="O18" i="5117"/>
  <c r="O21" i="5119"/>
  <c r="O23" i="5119"/>
  <c r="C27" i="5119"/>
  <c r="B24" i="5119"/>
  <c r="C20" i="5119"/>
  <c r="B17" i="5119"/>
  <c r="H51" i="5119" s="1"/>
  <c r="C16" i="5119"/>
  <c r="C15" i="5119"/>
  <c r="C14" i="5119"/>
  <c r="C13" i="5119"/>
  <c r="O12" i="5119"/>
  <c r="C12" i="5119"/>
  <c r="O11" i="5119"/>
  <c r="C11" i="5119"/>
  <c r="O10" i="5119"/>
  <c r="C10" i="5119"/>
  <c r="C9" i="5119"/>
  <c r="C8" i="5119"/>
  <c r="O7" i="5119"/>
  <c r="C7" i="5119"/>
  <c r="O6" i="5119"/>
  <c r="B6" i="5119"/>
  <c r="O5" i="5119"/>
  <c r="B5" i="5119"/>
  <c r="O4" i="5119"/>
  <c r="O3" i="5119"/>
  <c r="O2" i="5119"/>
  <c r="O21" i="5117"/>
  <c r="O19" i="5117"/>
  <c r="C27" i="5117"/>
  <c r="B24" i="5117"/>
  <c r="C20" i="5117"/>
  <c r="B17" i="5117"/>
  <c r="H5" i="5117" s="1"/>
  <c r="C16" i="5117"/>
  <c r="C15" i="5117"/>
  <c r="C14" i="5117"/>
  <c r="C13" i="5117"/>
  <c r="O12" i="5117"/>
  <c r="C12" i="5117"/>
  <c r="O11" i="5117"/>
  <c r="C11" i="5117"/>
  <c r="O10" i="5117"/>
  <c r="C10" i="5117"/>
  <c r="C9" i="5117"/>
  <c r="C8" i="5117"/>
  <c r="O7" i="5117"/>
  <c r="C7" i="5117"/>
  <c r="O6" i="5117"/>
  <c r="B6" i="5117"/>
  <c r="O5" i="5117"/>
  <c r="B5" i="5117"/>
  <c r="O4" i="5117"/>
  <c r="O3" i="5117"/>
  <c r="O2" i="5117"/>
  <c r="O23" i="5111"/>
  <c r="O24" i="5111"/>
  <c r="O23" i="5109"/>
  <c r="O22" i="5109"/>
  <c r="H5" i="5121" l="1"/>
  <c r="H4" i="5121"/>
  <c r="H7" i="5121"/>
  <c r="H20" i="5121"/>
  <c r="H22" i="5121"/>
  <c r="H11" i="5121"/>
  <c r="H12" i="5121"/>
  <c r="H14" i="5121"/>
  <c r="H3" i="5119"/>
  <c r="H2" i="5119"/>
  <c r="H5" i="5119"/>
  <c r="H11" i="5119"/>
  <c r="H11" i="5117"/>
  <c r="H25" i="5117"/>
  <c r="H4" i="5117"/>
  <c r="H10" i="5117"/>
  <c r="H17" i="5117"/>
  <c r="H17" i="5121"/>
  <c r="H8" i="5121"/>
  <c r="C17" i="5121"/>
  <c r="H2" i="5121"/>
  <c r="H3" i="5121"/>
  <c r="H10" i="5121"/>
  <c r="H21" i="5121"/>
  <c r="H23" i="5121"/>
  <c r="C19" i="5121"/>
  <c r="H15" i="5121"/>
  <c r="C18" i="5121"/>
  <c r="B23" i="5121"/>
  <c r="H29" i="5121"/>
  <c r="H31" i="5121"/>
  <c r="H34" i="5121"/>
  <c r="H38" i="5121"/>
  <c r="H42" i="5121"/>
  <c r="H46" i="5121"/>
  <c r="H50" i="5121"/>
  <c r="H24" i="5121"/>
  <c r="H26" i="5121"/>
  <c r="H28" i="5121"/>
  <c r="H30" i="5121"/>
  <c r="H18" i="5121"/>
  <c r="H35" i="5121"/>
  <c r="H39" i="5121"/>
  <c r="H43" i="5121"/>
  <c r="H47" i="5121"/>
  <c r="H51" i="5121"/>
  <c r="H32" i="5121"/>
  <c r="H36" i="5121"/>
  <c r="H40" i="5121"/>
  <c r="H44" i="5121"/>
  <c r="H48" i="5121"/>
  <c r="H19" i="5121"/>
  <c r="H16" i="5121"/>
  <c r="H25" i="5121"/>
  <c r="H27" i="5121"/>
  <c r="H13" i="5121"/>
  <c r="H9" i="5121"/>
  <c r="H33" i="5121"/>
  <c r="H37" i="5121"/>
  <c r="H41" i="5121"/>
  <c r="H45" i="5121"/>
  <c r="H49" i="5121"/>
  <c r="H3" i="5117"/>
  <c r="H2" i="5117"/>
  <c r="H8" i="5117"/>
  <c r="H24" i="5117"/>
  <c r="H7" i="5117"/>
  <c r="H12" i="5117"/>
  <c r="C19" i="5117"/>
  <c r="C19" i="5119"/>
  <c r="H26" i="5119"/>
  <c r="H40" i="5119"/>
  <c r="C17" i="5119"/>
  <c r="H10" i="5119"/>
  <c r="H44" i="5119"/>
  <c r="H8" i="5119"/>
  <c r="H21" i="5119"/>
  <c r="H15" i="5119"/>
  <c r="H12" i="5119"/>
  <c r="H17" i="5119"/>
  <c r="H32" i="5119"/>
  <c r="H48" i="5119"/>
  <c r="H23" i="5119"/>
  <c r="B23" i="5119"/>
  <c r="H9" i="5119"/>
  <c r="H6" i="5119"/>
  <c r="H20" i="5119"/>
  <c r="H7" i="5119"/>
  <c r="H19" i="5119"/>
  <c r="H22" i="5119"/>
  <c r="H16" i="5119"/>
  <c r="C18" i="5119"/>
  <c r="H13" i="5119"/>
  <c r="H14" i="5119"/>
  <c r="H36" i="5119"/>
  <c r="H4" i="5119"/>
  <c r="H28" i="5119"/>
  <c r="H30" i="5119"/>
  <c r="H33" i="5119"/>
  <c r="H37" i="5119"/>
  <c r="H41" i="5119"/>
  <c r="H45" i="5119"/>
  <c r="H49" i="5119"/>
  <c r="H24" i="5119"/>
  <c r="H25" i="5119"/>
  <c r="H27" i="5119"/>
  <c r="H29" i="5119"/>
  <c r="H18" i="5119"/>
  <c r="H34" i="5119"/>
  <c r="H38" i="5119"/>
  <c r="H42" i="5119"/>
  <c r="H46" i="5119"/>
  <c r="H50" i="5119"/>
  <c r="H31" i="5119"/>
  <c r="H35" i="5119"/>
  <c r="H39" i="5119"/>
  <c r="H43" i="5119"/>
  <c r="H47" i="5119"/>
  <c r="H14" i="5117"/>
  <c r="H6" i="5117"/>
  <c r="H22" i="5117"/>
  <c r="C17" i="5117"/>
  <c r="H16" i="5117"/>
  <c r="C18" i="5117"/>
  <c r="B23" i="5117"/>
  <c r="H20" i="5117"/>
  <c r="H32" i="5117"/>
  <c r="H34" i="5117"/>
  <c r="H38" i="5117"/>
  <c r="H42" i="5117"/>
  <c r="H46" i="5117"/>
  <c r="H50" i="5117"/>
  <c r="H27" i="5117"/>
  <c r="H28" i="5117"/>
  <c r="H30" i="5117"/>
  <c r="H31" i="5117"/>
  <c r="H21" i="5117"/>
  <c r="H35" i="5117"/>
  <c r="H39" i="5117"/>
  <c r="H43" i="5117"/>
  <c r="H47" i="5117"/>
  <c r="H51" i="5117"/>
  <c r="H18" i="5117"/>
  <c r="H36" i="5117"/>
  <c r="H40" i="5117"/>
  <c r="H44" i="5117"/>
  <c r="H48" i="5117"/>
  <c r="H19" i="5117"/>
  <c r="H23" i="5117"/>
  <c r="H26" i="5117"/>
  <c r="H15" i="5117"/>
  <c r="H29" i="5117"/>
  <c r="H13" i="5117"/>
  <c r="H9" i="5117"/>
  <c r="H33" i="5117"/>
  <c r="H37" i="5117"/>
  <c r="H41" i="5117"/>
  <c r="H45" i="5117"/>
  <c r="H49" i="5117"/>
  <c r="O17" i="5115" l="1"/>
  <c r="O20" i="5115"/>
  <c r="C27" i="5115"/>
  <c r="B24" i="5115"/>
  <c r="C20" i="5115"/>
  <c r="B17" i="5115"/>
  <c r="H4" i="5115" s="1"/>
  <c r="C16" i="5115"/>
  <c r="C15" i="5115"/>
  <c r="C14" i="5115"/>
  <c r="C13" i="5115"/>
  <c r="O12" i="5115"/>
  <c r="C12" i="5115"/>
  <c r="O11" i="5115"/>
  <c r="C11" i="5115"/>
  <c r="O10" i="5115"/>
  <c r="C10" i="5115"/>
  <c r="C9" i="5115"/>
  <c r="C8" i="5115"/>
  <c r="O7" i="5115"/>
  <c r="C7" i="5115"/>
  <c r="O6" i="5115"/>
  <c r="B6" i="5115"/>
  <c r="O5" i="5115"/>
  <c r="B5" i="5115"/>
  <c r="O4" i="5115"/>
  <c r="O3" i="5115"/>
  <c r="O2" i="5115"/>
  <c r="O22" i="5113"/>
  <c r="O17" i="5113"/>
  <c r="C27" i="5113"/>
  <c r="B24" i="5113"/>
  <c r="C20" i="5113"/>
  <c r="B17" i="5113"/>
  <c r="H5" i="5113" s="1"/>
  <c r="C16" i="5113"/>
  <c r="C15" i="5113"/>
  <c r="C14" i="5113"/>
  <c r="C13" i="5113"/>
  <c r="O12" i="5113"/>
  <c r="C12" i="5113"/>
  <c r="O11" i="5113"/>
  <c r="C11" i="5113"/>
  <c r="O10" i="5113"/>
  <c r="C10" i="5113"/>
  <c r="C9" i="5113"/>
  <c r="C8" i="5113"/>
  <c r="O7" i="5113"/>
  <c r="C7" i="5113"/>
  <c r="O6" i="5113"/>
  <c r="B6" i="5113"/>
  <c r="O5" i="5113"/>
  <c r="B5" i="5113"/>
  <c r="O4" i="5113"/>
  <c r="O3" i="5113"/>
  <c r="O2" i="5113"/>
  <c r="O25" i="5109"/>
  <c r="O16" i="5111"/>
  <c r="O22" i="5111"/>
  <c r="C27" i="5111"/>
  <c r="B24" i="5111"/>
  <c r="C20" i="5111"/>
  <c r="B17" i="5111"/>
  <c r="H5" i="5111" s="1"/>
  <c r="C16" i="5111"/>
  <c r="C15" i="5111"/>
  <c r="C14" i="5111"/>
  <c r="C13" i="5111"/>
  <c r="O12" i="5111"/>
  <c r="C12" i="5111"/>
  <c r="O11" i="5111"/>
  <c r="C11" i="5111"/>
  <c r="O10" i="5111"/>
  <c r="C10" i="5111"/>
  <c r="C9" i="5111"/>
  <c r="C8" i="5111"/>
  <c r="O7" i="5111"/>
  <c r="C7" i="5111"/>
  <c r="O6" i="5111"/>
  <c r="B6" i="5111"/>
  <c r="O5" i="5111"/>
  <c r="B5" i="5111"/>
  <c r="O4" i="5111"/>
  <c r="O3" i="5111"/>
  <c r="O2" i="5111"/>
  <c r="O16" i="5109"/>
  <c r="O20" i="5109"/>
  <c r="C27" i="5109"/>
  <c r="B24" i="5109"/>
  <c r="C20" i="5109"/>
  <c r="B17" i="5109"/>
  <c r="H51" i="5109" s="1"/>
  <c r="C16" i="5109"/>
  <c r="C15" i="5109"/>
  <c r="C14" i="5109"/>
  <c r="C13" i="5109"/>
  <c r="O12" i="5109"/>
  <c r="C12" i="5109"/>
  <c r="O11" i="5109"/>
  <c r="C11" i="5109"/>
  <c r="O10" i="5109"/>
  <c r="C10" i="5109"/>
  <c r="C9" i="5109"/>
  <c r="C8" i="5109"/>
  <c r="O7" i="5109"/>
  <c r="C7" i="5109"/>
  <c r="O6" i="5109"/>
  <c r="B6" i="5109"/>
  <c r="O5" i="5109"/>
  <c r="B5" i="5109"/>
  <c r="O4" i="5109"/>
  <c r="O3" i="5109"/>
  <c r="O2" i="5109"/>
  <c r="H8" i="5113" l="1"/>
  <c r="H12" i="5113"/>
  <c r="H20" i="5113"/>
  <c r="H21" i="5113"/>
  <c r="H7" i="5113"/>
  <c r="H9" i="5113"/>
  <c r="H6" i="5113"/>
  <c r="H19" i="5113"/>
  <c r="H22" i="5113"/>
  <c r="H29" i="5113"/>
  <c r="H3" i="5113"/>
  <c r="H2" i="5113"/>
  <c r="H10" i="5113"/>
  <c r="H4" i="5113"/>
  <c r="C18" i="5113"/>
  <c r="H2" i="5115"/>
  <c r="H41" i="5115"/>
  <c r="H7" i="5115"/>
  <c r="H37" i="5115"/>
  <c r="H3" i="5115"/>
  <c r="H9" i="5115"/>
  <c r="H23" i="5115"/>
  <c r="H15" i="5115"/>
  <c r="H19" i="5115"/>
  <c r="H26" i="5115"/>
  <c r="C18" i="5115"/>
  <c r="H4" i="5111"/>
  <c r="B23" i="5115"/>
  <c r="H31" i="5115"/>
  <c r="H45" i="5115"/>
  <c r="H6" i="5115"/>
  <c r="C17" i="5115"/>
  <c r="H33" i="5115"/>
  <c r="H49" i="5115"/>
  <c r="H27" i="5115"/>
  <c r="H28" i="5115"/>
  <c r="H30" i="5115"/>
  <c r="H20" i="5115"/>
  <c r="H21" i="5115"/>
  <c r="H34" i="5115"/>
  <c r="H38" i="5115"/>
  <c r="H42" i="5115"/>
  <c r="H50" i="5115"/>
  <c r="H8" i="5115"/>
  <c r="H25" i="5115"/>
  <c r="H14" i="5115"/>
  <c r="C19" i="5115"/>
  <c r="H18" i="5115"/>
  <c r="H32" i="5115"/>
  <c r="H35" i="5115"/>
  <c r="H39" i="5115"/>
  <c r="H43" i="5115"/>
  <c r="H47" i="5115"/>
  <c r="H51" i="5115"/>
  <c r="H46" i="5115"/>
  <c r="H12" i="5115"/>
  <c r="H5" i="5115"/>
  <c r="H10" i="5115"/>
  <c r="H24" i="5115"/>
  <c r="H16" i="5115"/>
  <c r="H17" i="5115"/>
  <c r="H29" i="5115"/>
  <c r="H13" i="5115"/>
  <c r="H11" i="5115"/>
  <c r="H22" i="5115"/>
  <c r="H36" i="5115"/>
  <c r="H40" i="5115"/>
  <c r="H44" i="5115"/>
  <c r="H48" i="5115"/>
  <c r="H23" i="5113"/>
  <c r="C17" i="5113"/>
  <c r="B23" i="5113"/>
  <c r="H33" i="5113"/>
  <c r="H34" i="5113"/>
  <c r="H35" i="5113"/>
  <c r="H38" i="5113"/>
  <c r="H42" i="5113"/>
  <c r="H46" i="5113"/>
  <c r="H50" i="5113"/>
  <c r="H30" i="5113"/>
  <c r="H31" i="5113"/>
  <c r="H32" i="5113"/>
  <c r="H25" i="5113"/>
  <c r="H16" i="5113"/>
  <c r="H28" i="5113"/>
  <c r="H39" i="5113"/>
  <c r="H43" i="5113"/>
  <c r="H47" i="5113"/>
  <c r="H51" i="5113"/>
  <c r="C19" i="5113"/>
  <c r="H15" i="5113"/>
  <c r="H26" i="5113"/>
  <c r="H36" i="5113"/>
  <c r="H40" i="5113"/>
  <c r="H44" i="5113"/>
  <c r="H48" i="5113"/>
  <c r="H18" i="5113"/>
  <c r="H17" i="5113"/>
  <c r="H14" i="5113"/>
  <c r="H24" i="5113"/>
  <c r="H13" i="5113"/>
  <c r="H11" i="5113"/>
  <c r="H27" i="5113"/>
  <c r="H37" i="5113"/>
  <c r="H41" i="5113"/>
  <c r="H45" i="5113"/>
  <c r="H49" i="5113"/>
  <c r="C17" i="5111"/>
  <c r="H20" i="5111"/>
  <c r="H11" i="5111"/>
  <c r="H3" i="5111"/>
  <c r="H6" i="5111"/>
  <c r="H2" i="5111"/>
  <c r="H8" i="5111"/>
  <c r="H29" i="5111"/>
  <c r="H17" i="5111"/>
  <c r="C18" i="5111"/>
  <c r="B23" i="5111"/>
  <c r="H23" i="5111"/>
  <c r="H24" i="5111"/>
  <c r="H35" i="5111"/>
  <c r="H38" i="5111"/>
  <c r="H42" i="5111"/>
  <c r="H46" i="5111"/>
  <c r="H50" i="5111"/>
  <c r="H30" i="5111"/>
  <c r="H31" i="5111"/>
  <c r="H33" i="5111"/>
  <c r="H34" i="5111"/>
  <c r="H19" i="5111"/>
  <c r="H27" i="5111"/>
  <c r="H39" i="5111"/>
  <c r="H43" i="5111"/>
  <c r="H47" i="5111"/>
  <c r="H51" i="5111"/>
  <c r="H21" i="5111"/>
  <c r="H22" i="5111"/>
  <c r="C19" i="5111"/>
  <c r="H14" i="5111"/>
  <c r="H25" i="5111"/>
  <c r="H36" i="5111"/>
  <c r="H40" i="5111"/>
  <c r="H44" i="5111"/>
  <c r="H48" i="5111"/>
  <c r="H16" i="5111"/>
  <c r="H10" i="5111"/>
  <c r="H7" i="5111"/>
  <c r="H13" i="5111"/>
  <c r="H28" i="5111"/>
  <c r="H18" i="5111"/>
  <c r="H15" i="5111"/>
  <c r="H32" i="5111"/>
  <c r="H12" i="5111"/>
  <c r="H9" i="5111"/>
  <c r="H26" i="5111"/>
  <c r="H37" i="5111"/>
  <c r="H41" i="5111"/>
  <c r="H45" i="5111"/>
  <c r="H49" i="5111"/>
  <c r="H2" i="5109"/>
  <c r="H4" i="5109"/>
  <c r="H11" i="5109"/>
  <c r="H3" i="5109"/>
  <c r="C19" i="5109"/>
  <c r="H29" i="5109"/>
  <c r="H37" i="5109"/>
  <c r="H45" i="5109"/>
  <c r="C17" i="5109"/>
  <c r="H15" i="5109"/>
  <c r="H22" i="5109"/>
  <c r="H48" i="5109"/>
  <c r="H23" i="5109"/>
  <c r="H19" i="5109"/>
  <c r="H13" i="5109"/>
  <c r="H26" i="5109"/>
  <c r="H41" i="5109"/>
  <c r="H49" i="5109"/>
  <c r="H10" i="5109"/>
  <c r="H5" i="5109"/>
  <c r="H8" i="5109"/>
  <c r="H20" i="5109"/>
  <c r="H24" i="5109"/>
  <c r="H40" i="5109"/>
  <c r="H9" i="5109"/>
  <c r="H6" i="5109"/>
  <c r="H12" i="5109"/>
  <c r="H7" i="5109"/>
  <c r="H21" i="5109"/>
  <c r="H32" i="5109"/>
  <c r="H16" i="5109"/>
  <c r="C18" i="5109"/>
  <c r="H14" i="5109"/>
  <c r="H36" i="5109"/>
  <c r="H44" i="5109"/>
  <c r="H18" i="5109"/>
  <c r="B23" i="5109"/>
  <c r="H25" i="5109"/>
  <c r="H31" i="5109"/>
  <c r="H35" i="5109"/>
  <c r="H38" i="5109"/>
  <c r="H42" i="5109"/>
  <c r="H46" i="5109"/>
  <c r="H50" i="5109"/>
  <c r="H33" i="5109"/>
  <c r="H34" i="5109"/>
  <c r="H30" i="5109"/>
  <c r="H27" i="5109"/>
  <c r="H17" i="5109"/>
  <c r="H28" i="5109"/>
  <c r="H39" i="5109"/>
  <c r="H43" i="5109"/>
  <c r="H47" i="51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<sst xmlns="http://schemas.openxmlformats.org/spreadsheetml/2006/main" count="3165" uniqueCount="227">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</sst>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全体!$K$2:$K$419</c:f>
              <c:numCache>
                <c:formatCode>General</c:formatCode>
                <c:ptCount val="4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</c:numCache>
            </c:numRef>
          </c:xVal>
          <c:yVal>
            <c:numRef>
              <c:f>全体!$L$2:$L$419</c:f>
              <c:numCache>
                <c:formatCode>\+0.0;\-0.0;\±0</c:formatCode>
                <c:ptCount val="41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42-4FFC-AD61-127270ACD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-14.388489208633093</c:v>
                </c:pt>
                <c:pt idx="1">
                  <c:v>-9.6618357487922708</c:v>
                </c:pt>
                <c:pt idx="2">
                  <c:v>10.178117048346056</c:v>
                </c:pt>
                <c:pt idx="3">
                  <c:v>14.005602240896359</c:v>
                </c:pt>
                <c:pt idx="4">
                  <c:v>-15.290519877675841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754-AB02-2025819E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だいち!$L$2:$L$97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B-4327-881A-49A792707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2669.4736842105262</c:v>
                </c:pt>
                <c:pt idx="1">
                  <c:v>2617.0212765957449</c:v>
                </c:pt>
                <c:pt idx="2">
                  <c:v>2684.4444444444443</c:v>
                </c:pt>
                <c:pt idx="3">
                  <c:v>2600</c:v>
                </c:pt>
                <c:pt idx="4">
                  <c:v>-43.835616438356162</c:v>
                </c:pt>
                <c:pt idx="5">
                  <c:v>681.81818181818187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6-4969-9682-ADE7774B6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3-4AB8-A45A-129933BFD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508</c:v>
                </c:pt>
                <c:pt idx="1">
                  <c:v>-2604.0404040404042</c:v>
                </c:pt>
                <c:pt idx="2">
                  <c:v>-905.20833333333337</c:v>
                </c:pt>
                <c:pt idx="3">
                  <c:v>647.67441860465112</c:v>
                </c:pt>
                <c:pt idx="4">
                  <c:v>133.33333333333334</c:v>
                </c:pt>
                <c:pt idx="5">
                  <c:v>312.32876712328766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8-4A48-B9FC-6A329AA7E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7-47D2-820B-82AD0B8D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-2994.8717948717949</c:v>
                </c:pt>
                <c:pt idx="1">
                  <c:v>-2938.4615384615386</c:v>
                </c:pt>
                <c:pt idx="2">
                  <c:v>-827.77777777777783</c:v>
                </c:pt>
                <c:pt idx="3">
                  <c:v>-5854.8387096774195</c:v>
                </c:pt>
                <c:pt idx="4">
                  <c:v>-539.28571428571433</c:v>
                </c:pt>
                <c:pt idx="5">
                  <c:v>-1907.6923076923076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4-4EA0-BAEA-64CE0D071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C-4167-9F05-083B20AC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-365.38461538461536</c:v>
                </c:pt>
                <c:pt idx="1">
                  <c:v>1051.9230769230769</c:v>
                </c:pt>
                <c:pt idx="2">
                  <c:v>-70</c:v>
                </c:pt>
                <c:pt idx="3">
                  <c:v>2151.1627906976746</c:v>
                </c:pt>
                <c:pt idx="4">
                  <c:v>-1725.6410256410256</c:v>
                </c:pt>
                <c:pt idx="5">
                  <c:v>808.33333333333337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2-4A78-AE9E-C735AD446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たかの!$L$2:$L$52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2-43DA-B366-90833E9DA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404</c:v>
                </c:pt>
                <c:pt idx="1">
                  <c:v>290</c:v>
                </c:pt>
                <c:pt idx="2">
                  <c:v>-240</c:v>
                </c:pt>
                <c:pt idx="3">
                  <c:v>673.80952380952385</c:v>
                </c:pt>
                <c:pt idx="4">
                  <c:v>1343.9024390243903</c:v>
                </c:pt>
                <c:pt idx="5">
                  <c:v>-975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8-4B4E-BE53-4E1172CA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ぱぱ!$L$2:$L$39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E-4671-AE94-09E2CB914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-2621.6216216216217</c:v>
                </c:pt>
                <c:pt idx="1">
                  <c:v>1764.8648648648648</c:v>
                </c:pt>
                <c:pt idx="2">
                  <c:v>-920</c:v>
                </c:pt>
                <c:pt idx="3">
                  <c:v>-4321.212121212121</c:v>
                </c:pt>
                <c:pt idx="4">
                  <c:v>323.33333333333331</c:v>
                </c:pt>
                <c:pt idx="5">
                  <c:v>772.41379310344826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B-40D1-959D-42743685A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B-426F-8E44-9EFA1521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E-4FF0-9A5A-0CFA4330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E-486C-90FC-66E78CDF8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E-4209-9382-35DA0BAD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8-4E3F-8B0E-7DDD98CF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9-43A8-B38E-73C43734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6A3-A4CC-5090E6849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F-4336-8F99-46A4AEDB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B-46CC-B82F-1C6D9123A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8-427E-9789-69856B5C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4-4661-8B04-C715E30E4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4-44F2-83A2-D81B8D5E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51969707146403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45175064047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37830913748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7.950897072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1.3945578231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11750599520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11750599520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13948192428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34671221178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20231822971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79814077025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04910292729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5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5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5" x14ac:dyDescent="0.4">
      <c r="A39" s="30" t="s">
        <v>226</v>
      </c>
      <c r="B39" s="31">
        <v>43601.976203703707</v>
      </c>
      <c r="C3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0.6717394011135005</v>
      </c>
      <c r="G2" s="159"/>
      <c r="H2" s="158">
        <v>0.57297063511475388</v>
      </c>
      <c r="I2" s="159"/>
      <c r="J2" s="158">
        <v>0.64446811783083779</v>
      </c>
      <c r="K2" s="159"/>
      <c r="L2" s="158">
        <v>0.48097490314938263</v>
      </c>
      <c r="M2" s="159"/>
      <c r="N2" s="158">
        <v>0.5570159123147691</v>
      </c>
      <c r="O2" s="159"/>
      <c r="P2" s="158">
        <v>0.6454105485034024</v>
      </c>
      <c r="Q2" s="159"/>
      <c r="R2" s="158">
        <v>-3.0869379073950449E-2</v>
      </c>
      <c r="S2" s="159"/>
      <c r="T2" s="158">
        <v>0.42055250781074882</v>
      </c>
      <c r="U2" s="159"/>
      <c r="V2" s="158">
        <v>0.72691589187389449</v>
      </c>
      <c r="W2" s="159"/>
      <c r="X2" s="158">
        <v>0.94392381617563514</v>
      </c>
      <c r="Y2" s="159"/>
      <c r="Z2" s="158">
        <v>-0.10794395982882717</v>
      </c>
      <c r="AA2" s="159"/>
      <c r="AB2" s="158">
        <v>0.19604450417179264</v>
      </c>
      <c r="AC2" s="159"/>
      <c r="AD2" s="158">
        <v>2.868881489985169E-2</v>
      </c>
      <c r="AE2" s="159"/>
      <c r="AF2" s="158">
        <v>-0.42098481678356087</v>
      </c>
      <c r="AG2" s="159"/>
      <c r="AH2" s="158">
        <v>0.84279187816882262</v>
      </c>
      <c r="AI2" s="159"/>
    </row>
    <row r="3" spans="1:35" x14ac:dyDescent="0.4">
      <c r="A3" s="74">
        <v>1</v>
      </c>
      <c r="B3" s="75" t="s">
        <v>127</v>
      </c>
      <c r="C3" s="76">
        <v>1681.2000000000012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0.37580437580437581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0.18947368421052632</v>
      </c>
      <c r="X3" s="77" t="s">
        <v>225</v>
      </c>
      <c r="Y3" s="80">
        <v>0.375</v>
      </c>
      <c r="Z3" s="77" t="s">
        <v>172</v>
      </c>
      <c r="AA3" s="80">
        <v>0.30205949656750575</v>
      </c>
      <c r="AB3" s="77" t="s">
        <v>225</v>
      </c>
      <c r="AC3" s="80">
        <v>1</v>
      </c>
      <c r="AD3" s="77" t="s">
        <v>127</v>
      </c>
      <c r="AE3" s="80">
        <v>0.52247191011235961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106.3</v>
      </c>
      <c r="D4" s="85" t="s">
        <v>127</v>
      </c>
      <c r="E4" s="97">
        <v>17.696842105263169</v>
      </c>
      <c r="F4" s="85" t="s">
        <v>127</v>
      </c>
      <c r="G4" s="86">
        <v>1.6421052631578947</v>
      </c>
      <c r="H4" s="85" t="s">
        <v>127</v>
      </c>
      <c r="I4" s="87">
        <v>0.54736842105263162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9616.8141592920347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0.13461538461538461</v>
      </c>
      <c r="X4" s="85" t="s">
        <v>127</v>
      </c>
      <c r="Y4" s="88">
        <v>0.32947232947232946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127</v>
      </c>
      <c r="K5" s="87">
        <v>0.18947368421052632</v>
      </c>
      <c r="L5" s="85" t="s">
        <v>172</v>
      </c>
      <c r="M5" s="88">
        <v>0.36842105263157893</v>
      </c>
      <c r="N5" s="85" t="s">
        <v>172</v>
      </c>
      <c r="O5" s="88">
        <v>0.13043478260869565</v>
      </c>
      <c r="P5" s="85" t="s">
        <v>128</v>
      </c>
      <c r="Q5" s="89">
        <v>9155.8441558441555</v>
      </c>
      <c r="R5" s="85" t="s">
        <v>177</v>
      </c>
      <c r="S5" s="89">
        <v>-7291.8918918918916</v>
      </c>
      <c r="T5" s="85" t="s">
        <v>224</v>
      </c>
      <c r="U5" s="87">
        <v>0</v>
      </c>
      <c r="V5" s="85" t="s">
        <v>172</v>
      </c>
      <c r="W5" s="87">
        <v>0.12</v>
      </c>
      <c r="X5" s="85" t="s">
        <v>128</v>
      </c>
      <c r="Y5" s="88">
        <v>0.29166666666666669</v>
      </c>
      <c r="Z5" s="85" t="s">
        <v>173</v>
      </c>
      <c r="AA5" s="88">
        <v>0.25</v>
      </c>
      <c r="AB5" s="85" t="s">
        <v>173</v>
      </c>
      <c r="AC5" s="88">
        <v>0.61333333333333329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171</v>
      </c>
      <c r="C6" s="84">
        <v>18.499999999999993</v>
      </c>
      <c r="D6" s="85" t="s">
        <v>172</v>
      </c>
      <c r="E6" s="97">
        <v>2.1259999999999999</v>
      </c>
      <c r="F6" s="85" t="s">
        <v>202</v>
      </c>
      <c r="G6" s="86">
        <v>2</v>
      </c>
      <c r="H6" s="85" t="s">
        <v>172</v>
      </c>
      <c r="I6" s="87">
        <v>0.3</v>
      </c>
      <c r="J6" s="85" t="s">
        <v>202</v>
      </c>
      <c r="K6" s="87">
        <v>0.2</v>
      </c>
      <c r="L6" s="85" t="s">
        <v>173</v>
      </c>
      <c r="M6" s="88">
        <v>0.30182926829268292</v>
      </c>
      <c r="N6" s="85" t="s">
        <v>127</v>
      </c>
      <c r="O6" s="88">
        <v>0.14929214929214929</v>
      </c>
      <c r="P6" s="85" t="s">
        <v>127</v>
      </c>
      <c r="Q6" s="89">
        <v>9095.2054794520554</v>
      </c>
      <c r="R6" s="85" t="s">
        <v>171</v>
      </c>
      <c r="S6" s="89">
        <v>-7332.8571428571431</v>
      </c>
      <c r="T6" s="85" t="s">
        <v>225</v>
      </c>
      <c r="U6" s="87">
        <v>0</v>
      </c>
      <c r="V6" s="85" t="s">
        <v>145</v>
      </c>
      <c r="W6" s="87">
        <v>0.10311750599520383</v>
      </c>
      <c r="X6" s="85" t="s">
        <v>145</v>
      </c>
      <c r="Y6" s="88">
        <v>0.27013948192428122</v>
      </c>
      <c r="Z6" s="85" t="s">
        <v>127</v>
      </c>
      <c r="AA6" s="88">
        <v>0.22908622908622908</v>
      </c>
      <c r="AB6" s="85" t="s">
        <v>127</v>
      </c>
      <c r="AC6" s="88">
        <v>0.609375</v>
      </c>
      <c r="AD6" s="85" t="s">
        <v>172</v>
      </c>
      <c r="AE6" s="88">
        <v>0.43181818181818182</v>
      </c>
      <c r="AF6" s="85" t="s">
        <v>173</v>
      </c>
      <c r="AG6" s="88">
        <v>0.51515151515151514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0.35576923076923062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</v>
      </c>
      <c r="L7" s="85" t="s">
        <v>145</v>
      </c>
      <c r="M7" s="88">
        <v>0.30145175064047824</v>
      </c>
      <c r="N7" s="85" t="s">
        <v>171</v>
      </c>
      <c r="O7" s="88">
        <v>0.15873015873015872</v>
      </c>
      <c r="P7" s="85" t="s">
        <v>129</v>
      </c>
      <c r="Q7" s="89">
        <v>8724.63768115942</v>
      </c>
      <c r="R7" s="85" t="s">
        <v>186</v>
      </c>
      <c r="S7" s="89">
        <v>-7686.95652173913</v>
      </c>
      <c r="T7" s="85" t="s">
        <v>171</v>
      </c>
      <c r="U7" s="87">
        <v>3.8461538461538464E-2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3.5527136788005009E-14</v>
      </c>
      <c r="D8" s="85" t="s">
        <v>145</v>
      </c>
      <c r="E8" s="97">
        <v>8.519697071464031E-17</v>
      </c>
      <c r="F8" s="85" t="s">
        <v>172</v>
      </c>
      <c r="G8" s="86">
        <v>2.02</v>
      </c>
      <c r="H8" s="85" t="s">
        <v>177</v>
      </c>
      <c r="I8" s="87">
        <v>0.29166666666666669</v>
      </c>
      <c r="J8" s="85" t="s">
        <v>145</v>
      </c>
      <c r="K8" s="87">
        <v>0.33333333333333331</v>
      </c>
      <c r="L8" s="85" t="s">
        <v>128</v>
      </c>
      <c r="M8" s="88">
        <v>0.27500000000000002</v>
      </c>
      <c r="N8" s="85" t="s">
        <v>145</v>
      </c>
      <c r="O8" s="88">
        <v>0.16737830913748933</v>
      </c>
      <c r="P8" s="85" t="s">
        <v>225</v>
      </c>
      <c r="Q8" s="89">
        <v>8666.6666666666661</v>
      </c>
      <c r="R8" s="85" t="s">
        <v>128</v>
      </c>
      <c r="S8" s="89">
        <v>-7736.9863013698632</v>
      </c>
      <c r="T8" s="85" t="s">
        <v>127</v>
      </c>
      <c r="U8" s="87">
        <v>5.2631578947368418E-2</v>
      </c>
      <c r="V8" s="85" t="s">
        <v>173</v>
      </c>
      <c r="W8" s="87">
        <v>5.4054054054054057E-2</v>
      </c>
      <c r="X8" s="85" t="s">
        <v>171</v>
      </c>
      <c r="Y8" s="88">
        <v>0.26303854875283444</v>
      </c>
      <c r="Z8" s="85" t="s">
        <v>145</v>
      </c>
      <c r="AA8" s="88">
        <v>0.21434671221178481</v>
      </c>
      <c r="AB8" s="85" t="s">
        <v>128</v>
      </c>
      <c r="AC8" s="88">
        <v>0.59591836734693882</v>
      </c>
      <c r="AD8" s="85" t="s">
        <v>145</v>
      </c>
      <c r="AE8" s="88">
        <v>0.38379814077025232</v>
      </c>
      <c r="AF8" s="85" t="s">
        <v>129</v>
      </c>
      <c r="AG8" s="88">
        <v>0.49275362318840582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171</v>
      </c>
      <c r="G9" s="86">
        <v>2.0576923076923075</v>
      </c>
      <c r="H9" s="85" t="s">
        <v>171</v>
      </c>
      <c r="I9" s="87">
        <v>0.28846153846153844</v>
      </c>
      <c r="J9" s="85" t="s">
        <v>171</v>
      </c>
      <c r="K9" s="87">
        <v>0.34615384615384615</v>
      </c>
      <c r="L9" s="85" t="s">
        <v>185</v>
      </c>
      <c r="M9" s="88">
        <v>0.26315789473684209</v>
      </c>
      <c r="N9" s="85" t="s">
        <v>128</v>
      </c>
      <c r="O9" s="88">
        <v>0.1738095238095238</v>
      </c>
      <c r="P9" s="85" t="s">
        <v>145</v>
      </c>
      <c r="Q9" s="89">
        <v>8427.9508970727093</v>
      </c>
      <c r="R9" s="85" t="s">
        <v>127</v>
      </c>
      <c r="S9" s="89">
        <v>-7880.1724137931033</v>
      </c>
      <c r="T9" s="85" t="s">
        <v>172</v>
      </c>
      <c r="U9" s="87">
        <v>0.06</v>
      </c>
      <c r="V9" s="85" t="s">
        <v>129</v>
      </c>
      <c r="W9" s="87">
        <v>5.128205128205128E-2</v>
      </c>
      <c r="X9" s="85" t="s">
        <v>129</v>
      </c>
      <c r="Y9" s="88">
        <v>0.24921135646687698</v>
      </c>
      <c r="Z9" s="85" t="s">
        <v>185</v>
      </c>
      <c r="AA9" s="88">
        <v>0.21052631578947367</v>
      </c>
      <c r="AB9" s="85" t="s">
        <v>145</v>
      </c>
      <c r="AC9" s="88">
        <v>0.59220231822971547</v>
      </c>
      <c r="AD9" s="85" t="s">
        <v>171</v>
      </c>
      <c r="AE9" s="88">
        <v>0.35064935064935066</v>
      </c>
      <c r="AF9" s="85" t="s">
        <v>145</v>
      </c>
      <c r="AG9" s="88">
        <v>0.43720491029272901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-4.0500000000000007</v>
      </c>
      <c r="F10" s="85" t="s">
        <v>173</v>
      </c>
      <c r="G10" s="86">
        <v>2.0810810810810811</v>
      </c>
      <c r="H10" s="85" t="s">
        <v>173</v>
      </c>
      <c r="I10" s="87">
        <v>0.27027027027027029</v>
      </c>
      <c r="J10" s="85" t="s">
        <v>173</v>
      </c>
      <c r="K10" s="87">
        <v>0.35135135135135137</v>
      </c>
      <c r="L10" s="85" t="s">
        <v>177</v>
      </c>
      <c r="M10" s="88">
        <v>0.26262626262626265</v>
      </c>
      <c r="N10" s="85" t="s">
        <v>177</v>
      </c>
      <c r="O10" s="88">
        <v>0.18686868686868688</v>
      </c>
      <c r="P10" s="85" t="s">
        <v>202</v>
      </c>
      <c r="Q10" s="89">
        <v>8425</v>
      </c>
      <c r="R10" s="85" t="s">
        <v>173</v>
      </c>
      <c r="S10" s="89">
        <v>-7904.8387096774195</v>
      </c>
      <c r="T10" s="85" t="s">
        <v>145</v>
      </c>
      <c r="U10" s="87">
        <v>0.10311750599520383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0.58762886597938147</v>
      </c>
      <c r="AD10" s="85" t="s">
        <v>173</v>
      </c>
      <c r="AE10" s="88">
        <v>0.32926829268292684</v>
      </c>
      <c r="AF10" s="85" t="s">
        <v>128</v>
      </c>
      <c r="AG10" s="88">
        <v>0.42857142857142855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-6.3351351351351353</v>
      </c>
      <c r="F11" s="85" t="s">
        <v>177</v>
      </c>
      <c r="G11" s="86">
        <v>2.0833333333333335</v>
      </c>
      <c r="H11" s="85" t="s">
        <v>128</v>
      </c>
      <c r="I11" s="87">
        <v>0.26</v>
      </c>
      <c r="J11" s="85" t="s">
        <v>128</v>
      </c>
      <c r="K11" s="87">
        <v>0.36</v>
      </c>
      <c r="L11" s="85" t="s">
        <v>171</v>
      </c>
      <c r="M11" s="88">
        <v>0.25623582766439912</v>
      </c>
      <c r="N11" s="85" t="s">
        <v>173</v>
      </c>
      <c r="O11" s="88">
        <v>0.18902439024390244</v>
      </c>
      <c r="P11" s="85" t="s">
        <v>185</v>
      </c>
      <c r="Q11" s="89">
        <v>7860</v>
      </c>
      <c r="R11" s="85" t="s">
        <v>145</v>
      </c>
      <c r="S11" s="89">
        <v>-8061.3945578231296</v>
      </c>
      <c r="T11" s="85" t="s">
        <v>173</v>
      </c>
      <c r="U11" s="87">
        <v>0.10810810810810811</v>
      </c>
      <c r="V11" s="85" t="s">
        <v>186</v>
      </c>
      <c r="W11" s="87">
        <v>0</v>
      </c>
      <c r="X11" s="85" t="s">
        <v>224</v>
      </c>
      <c r="Y11" s="88">
        <v>0.23076923076923078</v>
      </c>
      <c r="Z11" s="85" t="s">
        <v>128</v>
      </c>
      <c r="AA11" s="88">
        <v>0.18571428571428572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172</v>
      </c>
      <c r="AG11" s="88">
        <v>0.42857142857142855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128</v>
      </c>
      <c r="G12" s="86">
        <v>2.1</v>
      </c>
      <c r="H12" s="85" t="s">
        <v>129</v>
      </c>
      <c r="I12" s="87">
        <v>0.20512820512820512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0.19242902208201892</v>
      </c>
      <c r="P12" s="85" t="s">
        <v>186</v>
      </c>
      <c r="Q12" s="89">
        <v>7365</v>
      </c>
      <c r="R12" s="85" t="s">
        <v>172</v>
      </c>
      <c r="S12" s="89">
        <v>-9282.4561403508778</v>
      </c>
      <c r="T12" s="85" t="s">
        <v>128</v>
      </c>
      <c r="U12" s="87">
        <v>0.14000000000000001</v>
      </c>
      <c r="V12" s="85" t="s">
        <v>185</v>
      </c>
      <c r="W12" s="87">
        <v>0</v>
      </c>
      <c r="X12" s="85" t="s">
        <v>173</v>
      </c>
      <c r="Y12" s="88">
        <v>0.22865853658536586</v>
      </c>
      <c r="Z12" s="85" t="s">
        <v>171</v>
      </c>
      <c r="AA12" s="88">
        <v>0.17460317460317459</v>
      </c>
      <c r="AB12" s="85" t="s">
        <v>171</v>
      </c>
      <c r="AC12" s="88">
        <v>0.57758620689655171</v>
      </c>
      <c r="AD12" s="85" t="s">
        <v>128</v>
      </c>
      <c r="AE12" s="88">
        <v>0.27564102564102566</v>
      </c>
      <c r="AF12" s="85" t="s">
        <v>127</v>
      </c>
      <c r="AG12" s="88">
        <v>0.42123287671232879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-234.4</v>
      </c>
      <c r="D13" s="85" t="s">
        <v>186</v>
      </c>
      <c r="E13" s="97">
        <v>-19.75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0.53846153846153844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-9816.3934426229516</v>
      </c>
      <c r="T13" s="85" t="s">
        <v>186</v>
      </c>
      <c r="U13" s="87">
        <v>0.2</v>
      </c>
      <c r="V13" s="85" t="s">
        <v>202</v>
      </c>
      <c r="W13" s="87">
        <v>0</v>
      </c>
      <c r="X13" s="85" t="s">
        <v>172</v>
      </c>
      <c r="Y13" s="88">
        <v>0.2219679633867277</v>
      </c>
      <c r="Z13" s="85" t="s">
        <v>129</v>
      </c>
      <c r="AA13" s="88">
        <v>0.14826498422712933</v>
      </c>
      <c r="AB13" s="85" t="s">
        <v>186</v>
      </c>
      <c r="AC13" s="88">
        <v>0.55555555555555558</v>
      </c>
      <c r="AD13" s="85" t="s">
        <v>129</v>
      </c>
      <c r="AE13" s="88">
        <v>0.21276595744680851</v>
      </c>
      <c r="AF13" s="85" t="s">
        <v>171</v>
      </c>
      <c r="AG13" s="88">
        <v>0.39823008849557523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-405.00000000000006</v>
      </c>
      <c r="D14" s="85" t="s">
        <v>129</v>
      </c>
      <c r="E14" s="97">
        <v>-20.161538461538459</v>
      </c>
      <c r="F14" s="85" t="s">
        <v>129</v>
      </c>
      <c r="G14" s="86">
        <v>2.3333333333333335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0.21766561514195584</v>
      </c>
      <c r="N14" s="85" t="s">
        <v>186</v>
      </c>
      <c r="O14" s="88">
        <v>0.27058823529411763</v>
      </c>
      <c r="P14" s="85" t="s">
        <v>173</v>
      </c>
      <c r="Q14" s="89">
        <v>6966.666666666667</v>
      </c>
      <c r="R14" s="85" t="s">
        <v>224</v>
      </c>
      <c r="S14" s="89">
        <v>-12000</v>
      </c>
      <c r="T14" s="85" t="s">
        <v>129</v>
      </c>
      <c r="U14" s="87">
        <v>0.20512820512820512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0.51898734177215189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-786.29999999999984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6597.5155279503106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65B05-E830-4BD5-B260-A118944183E2}">
  <sheetPr codeName="Sheet4"/>
  <dimension ref="A1:Q4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417</v>
      </c>
      <c r="C2" s="147"/>
      <c r="E2" s="62" t="s">
        <v>67</v>
      </c>
      <c r="F2" s="59" t="s">
        <v>23</v>
      </c>
      <c r="G2" s="46">
        <v>775</v>
      </c>
      <c r="H2" s="132">
        <f t="shared" ref="H2:H33" si="0">IF(B$17=0,0,G2/B$17)</f>
        <v>0.73182247403210576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-14.388489208633093</v>
      </c>
      <c r="P2" s="118">
        <v>417</v>
      </c>
      <c r="Q2" s="102">
        <v>-6000</v>
      </c>
    </row>
    <row r="3" spans="1:17" x14ac:dyDescent="0.4">
      <c r="A3" s="55" t="s">
        <v>8</v>
      </c>
      <c r="B3" s="148">
        <v>3513</v>
      </c>
      <c r="C3" s="149"/>
      <c r="E3" s="63" t="s">
        <v>73</v>
      </c>
      <c r="F3" s="60" t="s">
        <v>28</v>
      </c>
      <c r="G3" s="47">
        <v>542</v>
      </c>
      <c r="H3" s="133">
        <f t="shared" si="0"/>
        <v>0.51180358829084038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-9.6618357487922708</v>
      </c>
      <c r="P3" s="119">
        <v>414</v>
      </c>
      <c r="Q3" s="103">
        <v>-4000</v>
      </c>
    </row>
    <row r="4" spans="1:17" x14ac:dyDescent="0.4">
      <c r="A4" s="55" t="s">
        <v>6</v>
      </c>
      <c r="B4" s="150">
        <v>3.5527136788005009E-14</v>
      </c>
      <c r="C4" s="151"/>
      <c r="E4" s="63" t="s">
        <v>65</v>
      </c>
      <c r="F4" s="60" t="s">
        <v>21</v>
      </c>
      <c r="G4" s="47">
        <v>537</v>
      </c>
      <c r="H4" s="133">
        <f t="shared" si="0"/>
        <v>0.50708215297450421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1"/>
        <v>10.178117048346056</v>
      </c>
      <c r="P4" s="119">
        <v>393</v>
      </c>
      <c r="Q4" s="103">
        <v>4000</v>
      </c>
    </row>
    <row r="5" spans="1:17" x14ac:dyDescent="0.4">
      <c r="A5" s="55" t="s">
        <v>7</v>
      </c>
      <c r="B5" s="152">
        <f>IF(B$2=0,0,B$4/B$2)</f>
        <v>8.519697071464031E-17</v>
      </c>
      <c r="C5" s="153"/>
      <c r="E5" s="63" t="s">
        <v>181</v>
      </c>
      <c r="F5" s="60" t="s">
        <v>182</v>
      </c>
      <c r="G5" s="47">
        <v>428</v>
      </c>
      <c r="H5" s="133">
        <f t="shared" si="0"/>
        <v>0.40415486307837584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1"/>
        <v>14.005602240896359</v>
      </c>
      <c r="P5" s="119">
        <v>357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322</v>
      </c>
      <c r="H6" s="133">
        <f t="shared" si="0"/>
        <v>0.3040604343720491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1"/>
        <v>-15.290519877675841</v>
      </c>
      <c r="P6" s="119">
        <v>327</v>
      </c>
      <c r="Q6" s="103">
        <v>-5000</v>
      </c>
    </row>
    <row r="7" spans="1:17" x14ac:dyDescent="0.4">
      <c r="A7" s="55" t="s">
        <v>2</v>
      </c>
      <c r="B7" s="47">
        <v>139</v>
      </c>
      <c r="C7" s="39">
        <f>IF(B$2=0,0,B7/B$2)</f>
        <v>0.33333333333333331</v>
      </c>
      <c r="E7" s="63" t="s">
        <v>68</v>
      </c>
      <c r="F7" s="60" t="s">
        <v>24</v>
      </c>
      <c r="G7" s="47">
        <v>318</v>
      </c>
      <c r="H7" s="133">
        <f t="shared" si="0"/>
        <v>0.3002832861189802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1"/>
        <v>20</v>
      </c>
      <c r="P7" s="120">
        <v>300</v>
      </c>
      <c r="Q7" s="104">
        <v>6000</v>
      </c>
    </row>
    <row r="8" spans="1:17" x14ac:dyDescent="0.4">
      <c r="A8" s="55" t="s">
        <v>3</v>
      </c>
      <c r="B8" s="47">
        <v>139</v>
      </c>
      <c r="C8" s="39">
        <f>IF(B$2=0,0,B8/B$2)</f>
        <v>0.33333333333333331</v>
      </c>
      <c r="E8" s="63" t="s">
        <v>70</v>
      </c>
      <c r="F8" s="60" t="s">
        <v>25</v>
      </c>
      <c r="G8" s="47">
        <v>196</v>
      </c>
      <c r="H8" s="133">
        <f t="shared" si="0"/>
        <v>0.18508026440037773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139</v>
      </c>
      <c r="C9" s="40">
        <f t="shared" ref="C9" si="2">IF(B$2=0,0,B9/B$2)</f>
        <v>0.33333333333333331</v>
      </c>
      <c r="E9" s="63" t="s">
        <v>66</v>
      </c>
      <c r="F9" s="60" t="s">
        <v>22</v>
      </c>
      <c r="G9" s="47">
        <v>131</v>
      </c>
      <c r="H9" s="133">
        <f t="shared" si="0"/>
        <v>0.12370160528800755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0.10311750599520383</v>
      </c>
      <c r="E10" s="63" t="s">
        <v>90</v>
      </c>
      <c r="F10" s="60" t="s">
        <v>45</v>
      </c>
      <c r="G10" s="47">
        <v>130</v>
      </c>
      <c r="H10" s="133">
        <f t="shared" si="0"/>
        <v>0.12275731822474033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-2.5964028776978418</v>
      </c>
      <c r="P10" s="118">
        <v>139</v>
      </c>
      <c r="Q10" s="106">
        <v>-360.90000000000003</v>
      </c>
    </row>
    <row r="11" spans="1:17" x14ac:dyDescent="0.4">
      <c r="A11" s="56" t="s">
        <v>140</v>
      </c>
      <c r="B11" s="48">
        <v>43</v>
      </c>
      <c r="C11" s="40">
        <f>IF(B$2=0,0,B11/B$2)</f>
        <v>0.10311750599520383</v>
      </c>
      <c r="E11" s="63" t="s">
        <v>71</v>
      </c>
      <c r="F11" s="60" t="s">
        <v>26</v>
      </c>
      <c r="G11" s="47">
        <v>113</v>
      </c>
      <c r="H11" s="133">
        <f t="shared" si="0"/>
        <v>0.10670443814919736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-1.8417266187050372</v>
      </c>
      <c r="P11" s="119">
        <v>139</v>
      </c>
      <c r="Q11" s="107">
        <v>-256.00000000000017</v>
      </c>
    </row>
    <row r="12" spans="1:17" x14ac:dyDescent="0.4">
      <c r="A12" s="57" t="s">
        <v>160</v>
      </c>
      <c r="B12" s="49">
        <v>38</v>
      </c>
      <c r="C12" s="42">
        <f>IF(B$2=0,0,B12/B$2)</f>
        <v>9.1127098321342928E-2</v>
      </c>
      <c r="E12" s="63" t="s">
        <v>72</v>
      </c>
      <c r="F12" s="60" t="s">
        <v>27</v>
      </c>
      <c r="G12" s="47">
        <v>67</v>
      </c>
      <c r="H12" s="133">
        <f t="shared" si="0"/>
        <v>6.3267233238904624E-2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4.4381294964028779</v>
      </c>
      <c r="P12" s="120">
        <v>139</v>
      </c>
      <c r="Q12" s="108">
        <v>616.9</v>
      </c>
    </row>
    <row r="13" spans="1:17" x14ac:dyDescent="0.4">
      <c r="A13" s="58" t="s">
        <v>122</v>
      </c>
      <c r="B13" s="50">
        <v>949</v>
      </c>
      <c r="C13" s="44">
        <f>IF(B$3=0,0,B13/B$3)</f>
        <v>0.27013948192428122</v>
      </c>
      <c r="E13" s="63" t="s">
        <v>87</v>
      </c>
      <c r="F13" s="60" t="s">
        <v>42</v>
      </c>
      <c r="G13" s="47">
        <v>60</v>
      </c>
      <c r="H13" s="133">
        <f t="shared" si="0"/>
        <v>5.6657223796033995E-2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753</v>
      </c>
      <c r="C14" s="39">
        <f>IF(B$3=0,0,B14/B$3)</f>
        <v>0.21434671221178481</v>
      </c>
      <c r="E14" s="63" t="s">
        <v>84</v>
      </c>
      <c r="F14" s="60" t="s">
        <v>39</v>
      </c>
      <c r="G14" s="47">
        <v>46</v>
      </c>
      <c r="H14" s="133">
        <f t="shared" si="0"/>
        <v>4.343720491029273E-2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562</v>
      </c>
      <c r="C15" s="37">
        <f>IF(B$13=0,0,B15/B$13)</f>
        <v>0.59220231822971547</v>
      </c>
      <c r="E15" s="63" t="s">
        <v>82</v>
      </c>
      <c r="F15" s="60" t="s">
        <v>37</v>
      </c>
      <c r="G15" s="47">
        <v>33</v>
      </c>
      <c r="H15" s="133">
        <f t="shared" si="0"/>
        <v>3.1161473087818695E-2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 t="shared" ref="O15:O26" si="3"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289</v>
      </c>
      <c r="C16" s="37">
        <f>IF(B$14=0,0,B16/B$14)</f>
        <v>0.38379814077025232</v>
      </c>
      <c r="E16" s="63" t="s">
        <v>79</v>
      </c>
      <c r="F16" s="60" t="s">
        <v>34</v>
      </c>
      <c r="G16" s="47">
        <v>20</v>
      </c>
      <c r="H16" s="133">
        <f t="shared" si="0"/>
        <v>1.8885741265344664E-2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 t="shared" si="3"/>
        <v>30.242307692307698</v>
      </c>
      <c r="P16" s="119">
        <v>78</v>
      </c>
      <c r="Q16" s="107">
        <v>2358.9000000000005</v>
      </c>
    </row>
    <row r="17" spans="1:17" x14ac:dyDescent="0.4">
      <c r="A17" s="54" t="s">
        <v>10</v>
      </c>
      <c r="B17" s="46">
        <f>B19+B18</f>
        <v>1059</v>
      </c>
      <c r="C17" s="37">
        <f>IF(B$3=0,0,B17/B$3)</f>
        <v>0.30145175064047824</v>
      </c>
      <c r="E17" s="63" t="s">
        <v>92</v>
      </c>
      <c r="F17" s="60" t="s">
        <v>47</v>
      </c>
      <c r="G17" s="47">
        <v>18</v>
      </c>
      <c r="H17" s="133">
        <f t="shared" si="0"/>
        <v>1.69971671388102E-2</v>
      </c>
      <c r="I17" s="94">
        <v>3</v>
      </c>
      <c r="K17" s="38">
        <v>15</v>
      </c>
      <c r="L17" s="99">
        <v>-1.0658141036401503E-14</v>
      </c>
      <c r="N17" s="115" t="s">
        <v>186</v>
      </c>
      <c r="O17" s="125">
        <f t="shared" si="3"/>
        <v>29.625</v>
      </c>
      <c r="P17" s="119">
        <v>20</v>
      </c>
      <c r="Q17" s="107">
        <v>592.5</v>
      </c>
    </row>
    <row r="18" spans="1:17" x14ac:dyDescent="0.4">
      <c r="A18" s="55" t="s">
        <v>12</v>
      </c>
      <c r="B18" s="47">
        <v>463</v>
      </c>
      <c r="C18" s="39">
        <f>IF(B$17=0,0,B18/B$17)</f>
        <v>0.43720491029272901</v>
      </c>
      <c r="E18" s="63" t="s">
        <v>180</v>
      </c>
      <c r="F18" s="60" t="s">
        <v>183</v>
      </c>
      <c r="G18" s="47">
        <v>16</v>
      </c>
      <c r="H18" s="133">
        <f t="shared" si="0"/>
        <v>1.5108593012275733E-2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 t="shared" si="3"/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596</v>
      </c>
      <c r="C19" s="39">
        <f>IF(B$17=0,0,B19/B$17)</f>
        <v>0.56279508970727099</v>
      </c>
      <c r="E19" s="63" t="s">
        <v>80</v>
      </c>
      <c r="F19" s="60" t="s">
        <v>35</v>
      </c>
      <c r="G19" s="47">
        <v>15</v>
      </c>
      <c r="H19" s="133">
        <f t="shared" si="0"/>
        <v>1.4164305949008499E-2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 t="shared" si="3"/>
        <v>9.5027027027027007</v>
      </c>
      <c r="P19" s="119">
        <v>74</v>
      </c>
      <c r="Q19" s="107">
        <v>703.19999999999982</v>
      </c>
    </row>
    <row r="20" spans="1:17" x14ac:dyDescent="0.4">
      <c r="A20" s="55" t="s">
        <v>13</v>
      </c>
      <c r="B20" s="47">
        <v>588</v>
      </c>
      <c r="C20" s="39">
        <f>IF(B$3=0,0,B20/B$3)</f>
        <v>0.16737830913748933</v>
      </c>
      <c r="E20" s="63" t="s">
        <v>76</v>
      </c>
      <c r="F20" s="60" t="s">
        <v>31</v>
      </c>
      <c r="G20" s="47">
        <v>7</v>
      </c>
      <c r="H20" s="133">
        <f t="shared" si="0"/>
        <v>6.6100094428706326E-3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 t="shared" si="3"/>
        <v>6.0750000000000002</v>
      </c>
      <c r="P20" s="119">
        <v>200</v>
      </c>
      <c r="Q20" s="107">
        <v>1215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6</v>
      </c>
      <c r="H21" s="133">
        <f t="shared" si="0"/>
        <v>5.6657223796033997E-3</v>
      </c>
      <c r="I21" s="94">
        <v>4</v>
      </c>
      <c r="K21" s="38">
        <v>19</v>
      </c>
      <c r="L21" s="99">
        <v>30.999999999999996</v>
      </c>
      <c r="N21" s="115" t="s">
        <v>202</v>
      </c>
      <c r="O21" s="125">
        <f t="shared" si="3"/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 t="shared" si="0"/>
        <v>3.7771482530689331E-3</v>
      </c>
      <c r="I22" s="94">
        <v>3</v>
      </c>
      <c r="K22" s="38">
        <v>20</v>
      </c>
      <c r="L22" s="99">
        <v>0.79999999999999716</v>
      </c>
      <c r="N22" s="115" t="s">
        <v>171</v>
      </c>
      <c r="O22" s="125">
        <f t="shared" si="3"/>
        <v>-0.53365384615384426</v>
      </c>
      <c r="P22" s="119">
        <v>104</v>
      </c>
      <c r="Q22" s="107">
        <v>-55.499999999999801</v>
      </c>
    </row>
    <row r="23" spans="1:17" x14ac:dyDescent="0.4">
      <c r="A23" s="55" t="s">
        <v>5</v>
      </c>
      <c r="B23" s="51">
        <f>IF(B$17=0,0,C23/B$17)</f>
        <v>8427.9508970727093</v>
      </c>
      <c r="C23" s="41">
        <v>8925200</v>
      </c>
      <c r="E23" s="63" t="s">
        <v>75</v>
      </c>
      <c r="F23" s="60" t="s">
        <v>30</v>
      </c>
      <c r="G23" s="47">
        <v>3</v>
      </c>
      <c r="H23" s="133">
        <f t="shared" si="0"/>
        <v>2.8328611898016999E-3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 t="shared" si="3"/>
        <v>-3.1890000000000018</v>
      </c>
      <c r="P23" s="119">
        <v>100</v>
      </c>
      <c r="Q23" s="107">
        <v>-318.9000000000002</v>
      </c>
    </row>
    <row r="24" spans="1:17" x14ac:dyDescent="0.4">
      <c r="A24" s="57" t="s">
        <v>14</v>
      </c>
      <c r="B24" s="52">
        <f>IF(B$20=0,0,C24/B$20)</f>
        <v>-8061.3945578231296</v>
      </c>
      <c r="C24" s="45">
        <v>-4740100</v>
      </c>
      <c r="E24" s="63" t="s">
        <v>78</v>
      </c>
      <c r="F24" s="60" t="s">
        <v>33</v>
      </c>
      <c r="G24" s="47">
        <v>3</v>
      </c>
      <c r="H24" s="133">
        <f t="shared" si="0"/>
        <v>2.8328611898016999E-3</v>
      </c>
      <c r="I24" s="94">
        <v>4</v>
      </c>
      <c r="K24" s="38">
        <v>22</v>
      </c>
      <c r="L24" s="99">
        <v>23.699999999999996</v>
      </c>
      <c r="N24" s="115" t="s">
        <v>224</v>
      </c>
      <c r="O24" s="125">
        <f t="shared" si="3"/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 t="shared" si="0"/>
        <v>2.8328611898016999E-3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 t="shared" si="3"/>
        <v>-26.545263157894691</v>
      </c>
      <c r="P25" s="119">
        <v>190</v>
      </c>
      <c r="Q25" s="107">
        <v>-5043.5999999999913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 t="shared" si="0"/>
        <v>2.8328611898016999E-3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 t="shared" si="3"/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2.8465698832906348E-3</v>
      </c>
      <c r="E27" s="63" t="s">
        <v>89</v>
      </c>
      <c r="F27" s="60" t="s">
        <v>44</v>
      </c>
      <c r="G27" s="47">
        <v>2</v>
      </c>
      <c r="H27" s="133">
        <f t="shared" si="0"/>
        <v>1.8885741265344666E-3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 t="shared" si="0"/>
        <v>1.8885741265344666E-3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 t="shared" si="0"/>
        <v>9.4428706326723328E-4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 t="shared" si="0"/>
        <v>9.4428706326723328E-4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 t="shared" si="0"/>
        <v>9.4428706326723328E-4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3DEE-F709-40A9-99DF-43F8DC2A6338}">
  <sheetPr codeName="Sheet7"/>
  <dimension ref="A1:Q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95</v>
      </c>
      <c r="C2" s="147"/>
      <c r="E2" s="62" t="s">
        <v>67</v>
      </c>
      <c r="F2" s="59" t="s">
        <v>23</v>
      </c>
      <c r="G2" s="46">
        <v>213</v>
      </c>
      <c r="H2" s="132">
        <f t="shared" ref="H2:H33" si="0">IF(B$17=0,0,G2/B$17)</f>
        <v>0.72945205479452058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2669.4736842105262</v>
      </c>
      <c r="P2" s="118">
        <v>95</v>
      </c>
      <c r="Q2" s="102">
        <v>253600</v>
      </c>
    </row>
    <row r="3" spans="1:17" x14ac:dyDescent="0.4">
      <c r="A3" s="55" t="s">
        <v>8</v>
      </c>
      <c r="B3" s="148">
        <v>777</v>
      </c>
      <c r="C3" s="149"/>
      <c r="E3" s="63" t="s">
        <v>73</v>
      </c>
      <c r="F3" s="60" t="s">
        <v>28</v>
      </c>
      <c r="G3" s="47">
        <v>157</v>
      </c>
      <c r="H3" s="133">
        <f t="shared" si="0"/>
        <v>0.53767123287671237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1"/>
        <v>2617.0212765957449</v>
      </c>
      <c r="P3" s="119">
        <v>94</v>
      </c>
      <c r="Q3" s="103">
        <v>246000</v>
      </c>
    </row>
    <row r="4" spans="1:17" x14ac:dyDescent="0.4">
      <c r="A4" s="55" t="s">
        <v>6</v>
      </c>
      <c r="B4" s="150">
        <v>1681.2000000000012</v>
      </c>
      <c r="C4" s="151"/>
      <c r="E4" s="63" t="s">
        <v>65</v>
      </c>
      <c r="F4" s="60" t="s">
        <v>21</v>
      </c>
      <c r="G4" s="47">
        <v>145</v>
      </c>
      <c r="H4" s="133">
        <f t="shared" si="0"/>
        <v>0.49657534246575341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1"/>
        <v>2684.4444444444443</v>
      </c>
      <c r="P4" s="119">
        <v>90</v>
      </c>
      <c r="Q4" s="103">
        <v>241600</v>
      </c>
    </row>
    <row r="5" spans="1:17" x14ac:dyDescent="0.4">
      <c r="A5" s="55" t="s">
        <v>7</v>
      </c>
      <c r="B5" s="152">
        <f>IF(B$2=0,0,B$4/B$2)</f>
        <v>17.696842105263169</v>
      </c>
      <c r="C5" s="153"/>
      <c r="E5" s="63" t="s">
        <v>181</v>
      </c>
      <c r="F5" s="60" t="s">
        <v>182</v>
      </c>
      <c r="G5" s="47">
        <v>127</v>
      </c>
      <c r="H5" s="133">
        <f t="shared" si="0"/>
        <v>0.43493150684931509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1"/>
        <v>2600</v>
      </c>
      <c r="P5" s="119">
        <v>82</v>
      </c>
      <c r="Q5" s="103">
        <v>213200</v>
      </c>
    </row>
    <row r="6" spans="1:17" x14ac:dyDescent="0.4">
      <c r="A6" s="55" t="s">
        <v>1</v>
      </c>
      <c r="B6" s="142">
        <f>IF(B$2=0,0,(B$7*1+B$8*2+B$9*3)/B$2)</f>
        <v>1.6421052631578947</v>
      </c>
      <c r="C6" s="143"/>
      <c r="E6" s="63" t="s">
        <v>68</v>
      </c>
      <c r="F6" s="60" t="s">
        <v>24</v>
      </c>
      <c r="G6" s="47">
        <v>89</v>
      </c>
      <c r="H6" s="133">
        <f t="shared" si="0"/>
        <v>0.3047945205479452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1"/>
        <v>-43.835616438356162</v>
      </c>
      <c r="P6" s="119">
        <v>73</v>
      </c>
      <c r="Q6" s="103">
        <v>-3200</v>
      </c>
    </row>
    <row r="7" spans="1:17" x14ac:dyDescent="0.4">
      <c r="A7" s="55" t="s">
        <v>2</v>
      </c>
      <c r="B7" s="47">
        <v>52</v>
      </c>
      <c r="C7" s="39">
        <f>IF(B$2=0,0,B7/B$2)</f>
        <v>0.54736842105263162</v>
      </c>
      <c r="E7" s="63" t="s">
        <v>69</v>
      </c>
      <c r="F7" s="60" t="s">
        <v>12</v>
      </c>
      <c r="G7" s="47">
        <v>77</v>
      </c>
      <c r="H7" s="133">
        <f t="shared" si="0"/>
        <v>0.2636986301369863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681.81818181818187</v>
      </c>
      <c r="P7" s="120">
        <v>66</v>
      </c>
      <c r="Q7" s="104">
        <v>45000</v>
      </c>
    </row>
    <row r="8" spans="1:17" x14ac:dyDescent="0.4">
      <c r="A8" s="55" t="s">
        <v>3</v>
      </c>
      <c r="B8" s="47">
        <v>25</v>
      </c>
      <c r="C8" s="39">
        <f>IF(B$2=0,0,B8/B$2)</f>
        <v>0.26315789473684209</v>
      </c>
      <c r="E8" s="63" t="s">
        <v>70</v>
      </c>
      <c r="F8" s="60" t="s">
        <v>25</v>
      </c>
      <c r="G8" s="47">
        <v>54</v>
      </c>
      <c r="H8" s="133">
        <f t="shared" si="0"/>
        <v>0.18493150684931506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2">IF(B$2=0,0,B9/B$2)</f>
        <v>0.18947368421052632</v>
      </c>
      <c r="E9" s="63" t="s">
        <v>90</v>
      </c>
      <c r="F9" s="60" t="s">
        <v>45</v>
      </c>
      <c r="G9" s="47">
        <v>48</v>
      </c>
      <c r="H9" s="133">
        <f t="shared" si="0"/>
        <v>0.16438356164383561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5.2631578947368418E-2</v>
      </c>
      <c r="E10" s="63" t="s">
        <v>66</v>
      </c>
      <c r="F10" s="60" t="s">
        <v>22</v>
      </c>
      <c r="G10" s="47">
        <v>44</v>
      </c>
      <c r="H10" s="133">
        <f t="shared" si="0"/>
        <v>0.15068493150684931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18</v>
      </c>
      <c r="C11" s="40">
        <f>IF(B$2=0,0,B11/B$2)</f>
        <v>0.18947368421052632</v>
      </c>
      <c r="E11" s="63" t="s">
        <v>71</v>
      </c>
      <c r="F11" s="60" t="s">
        <v>26</v>
      </c>
      <c r="G11" s="47">
        <v>30</v>
      </c>
      <c r="H11" s="133">
        <f t="shared" si="0"/>
        <v>0.10273972602739725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11.239999999999998</v>
      </c>
      <c r="P11" s="119">
        <v>30</v>
      </c>
      <c r="Q11" s="107">
        <v>337.19999999999993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0.17894736842105263</v>
      </c>
      <c r="E12" s="63" t="s">
        <v>87</v>
      </c>
      <c r="F12" s="60" t="s">
        <v>42</v>
      </c>
      <c r="G12" s="47">
        <v>21</v>
      </c>
      <c r="H12" s="133">
        <f t="shared" si="0"/>
        <v>7.1917808219178078E-2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18.655263157894741</v>
      </c>
      <c r="P12" s="120">
        <v>38</v>
      </c>
      <c r="Q12" s="108">
        <v>708.90000000000009</v>
      </c>
    </row>
    <row r="13" spans="1:17" x14ac:dyDescent="0.4">
      <c r="A13" s="58" t="s">
        <v>122</v>
      </c>
      <c r="B13" s="50">
        <v>256</v>
      </c>
      <c r="C13" s="44">
        <f>IF(B$3=0,0,B13/B$3)</f>
        <v>0.32947232947232946</v>
      </c>
      <c r="E13" s="63" t="s">
        <v>72</v>
      </c>
      <c r="F13" s="60" t="s">
        <v>27</v>
      </c>
      <c r="G13" s="47">
        <v>18</v>
      </c>
      <c r="H13" s="133">
        <f t="shared" si="0"/>
        <v>6.1643835616438353E-2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178</v>
      </c>
      <c r="C14" s="39">
        <f>IF(B$3=0,0,B14/B$3)</f>
        <v>0.22908622908622908</v>
      </c>
      <c r="E14" s="63" t="s">
        <v>84</v>
      </c>
      <c r="F14" s="60" t="s">
        <v>39</v>
      </c>
      <c r="G14" s="47">
        <v>15</v>
      </c>
      <c r="H14" s="133">
        <f t="shared" si="0"/>
        <v>5.1369863013698627E-2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156</v>
      </c>
      <c r="C15" s="37">
        <f>IF(B$13=0,0,B15/B$13)</f>
        <v>0.609375</v>
      </c>
      <c r="E15" s="63" t="s">
        <v>82</v>
      </c>
      <c r="F15" s="60" t="s">
        <v>37</v>
      </c>
      <c r="G15" s="47">
        <v>10</v>
      </c>
      <c r="H15" s="133">
        <f t="shared" si="0"/>
        <v>3.4246575342465752E-2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 t="shared" ref="O15:O24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93</v>
      </c>
      <c r="C16" s="37">
        <f>IF(B$14=0,0,B16/B$14)</f>
        <v>0.52247191011235961</v>
      </c>
      <c r="E16" s="63" t="s">
        <v>180</v>
      </c>
      <c r="F16" s="60" t="s">
        <v>183</v>
      </c>
      <c r="G16" s="47">
        <v>9</v>
      </c>
      <c r="H16" s="133">
        <f t="shared" si="0"/>
        <v>3.0821917808219176E-2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 t="shared" si="3"/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292</v>
      </c>
      <c r="C17" s="37">
        <f>IF(B$3=0,0,B17/B$3)</f>
        <v>0.37580437580437581</v>
      </c>
      <c r="E17" s="63" t="s">
        <v>79</v>
      </c>
      <c r="F17" s="60" t="s">
        <v>34</v>
      </c>
      <c r="G17" s="47">
        <v>5</v>
      </c>
      <c r="H17" s="133">
        <f t="shared" si="0"/>
        <v>1.7123287671232876E-2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 t="shared" si="3"/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123</v>
      </c>
      <c r="C18" s="39">
        <f>IF(B$17=0,0,B18/B$17)</f>
        <v>0.42123287671232879</v>
      </c>
      <c r="E18" s="63" t="s">
        <v>80</v>
      </c>
      <c r="F18" s="60" t="s">
        <v>35</v>
      </c>
      <c r="G18" s="47">
        <v>4</v>
      </c>
      <c r="H18" s="133">
        <f t="shared" si="0"/>
        <v>1.3698630136986301E-2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 t="shared" si="3"/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169</v>
      </c>
      <c r="C19" s="39">
        <f>IF(B$17=0,0,B19/B$17)</f>
        <v>0.57876712328767121</v>
      </c>
      <c r="E19" s="63" t="s">
        <v>92</v>
      </c>
      <c r="F19" s="60" t="s">
        <v>47</v>
      </c>
      <c r="G19" s="47">
        <v>4</v>
      </c>
      <c r="H19" s="133">
        <f t="shared" si="0"/>
        <v>1.3698630136986301E-2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 t="shared" si="3"/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116</v>
      </c>
      <c r="C20" s="39">
        <f>IF(B$3=0,0,B20/B$3)</f>
        <v>0.14929214929214929</v>
      </c>
      <c r="E20" s="63" t="s">
        <v>74</v>
      </c>
      <c r="F20" s="60" t="s">
        <v>29</v>
      </c>
      <c r="G20" s="47">
        <v>2</v>
      </c>
      <c r="H20" s="133">
        <f t="shared" si="0"/>
        <v>6.8493150684931503E-3</v>
      </c>
      <c r="I20" s="94">
        <v>3</v>
      </c>
      <c r="K20" s="38">
        <v>18</v>
      </c>
      <c r="L20" s="99">
        <v>429.3</v>
      </c>
      <c r="N20" s="115" t="s">
        <v>173</v>
      </c>
      <c r="O20" s="125">
        <f t="shared" si="3"/>
        <v>25.173684210526314</v>
      </c>
      <c r="P20" s="119">
        <v>19</v>
      </c>
      <c r="Q20" s="107">
        <v>478.29999999999995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 t="shared" si="0"/>
        <v>3.4246575342465752E-3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 t="shared" si="3"/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24</v>
      </c>
      <c r="E22" s="63" t="s">
        <v>78</v>
      </c>
      <c r="F22" s="60" t="s">
        <v>33</v>
      </c>
      <c r="G22" s="47">
        <v>1</v>
      </c>
      <c r="H22" s="133">
        <f t="shared" si="0"/>
        <v>3.4246575342465752E-3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 t="shared" si="3"/>
        <v>20.351428571428581</v>
      </c>
      <c r="P22" s="119">
        <v>70</v>
      </c>
      <c r="Q22" s="107">
        <v>1424.6000000000006</v>
      </c>
    </row>
    <row r="23" spans="1:17" x14ac:dyDescent="0.4">
      <c r="A23" s="55" t="s">
        <v>5</v>
      </c>
      <c r="B23" s="51">
        <f>IF(B$17=0,0,C23/B$17)</f>
        <v>9095.2054794520554</v>
      </c>
      <c r="C23" s="41">
        <v>2655800</v>
      </c>
      <c r="E23" s="63" t="s">
        <v>88</v>
      </c>
      <c r="F23" s="60" t="s">
        <v>43</v>
      </c>
      <c r="G23" s="47">
        <v>1</v>
      </c>
      <c r="H23" s="133">
        <f t="shared" si="0"/>
        <v>3.4246575342465752E-3</v>
      </c>
      <c r="I23" s="94">
        <v>3</v>
      </c>
      <c r="K23" s="38">
        <v>21</v>
      </c>
      <c r="L23" s="99">
        <v>468.3</v>
      </c>
      <c r="N23" s="115" t="s">
        <v>172</v>
      </c>
      <c r="O23" s="125">
        <f t="shared" si="3"/>
        <v>19.622222222222224</v>
      </c>
      <c r="P23" s="119">
        <v>27</v>
      </c>
      <c r="Q23" s="107">
        <v>529.80000000000007</v>
      </c>
    </row>
    <row r="24" spans="1:17" x14ac:dyDescent="0.4">
      <c r="A24" s="57" t="s">
        <v>14</v>
      </c>
      <c r="B24" s="52">
        <f>IF(B$20=0,0,C24/B$20)</f>
        <v>-7880.1724137931033</v>
      </c>
      <c r="C24" s="45">
        <v>-914100</v>
      </c>
      <c r="E24" s="63" t="s">
        <v>91</v>
      </c>
      <c r="F24" s="60" t="s">
        <v>46</v>
      </c>
      <c r="G24" s="47">
        <v>1</v>
      </c>
      <c r="H24" s="133">
        <f t="shared" si="0"/>
        <v>3.4246575342465752E-3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 t="shared" si="3"/>
        <v>16.17499999999999</v>
      </c>
      <c r="P24" s="119">
        <v>32</v>
      </c>
      <c r="Q24" s="107">
        <v>517.59999999999968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 t="shared" si="0"/>
        <v>3.4246575342465752E-3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 t="shared" si="0"/>
        <v>3.4246575342465752E-3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 t="shared" si="0"/>
        <v>3.4246575342465752E-3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 t="shared" si="0"/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 t="shared" ref="H34:H65" si="4"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E1CB-865C-44E0-A2F1-D3198F454DE8}">
  <sheetPr codeName="Sheet9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100</v>
      </c>
      <c r="C2" s="147"/>
      <c r="E2" s="62" t="s">
        <v>67</v>
      </c>
      <c r="F2" s="59" t="s">
        <v>23</v>
      </c>
      <c r="G2" s="46">
        <v>174</v>
      </c>
      <c r="H2" s="132">
        <f t="shared" ref="H2:H33" si="0">IF(B$17=0,0,G2/B$17)</f>
        <v>0.75324675324675328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508</v>
      </c>
      <c r="P2" s="118">
        <v>100</v>
      </c>
      <c r="Q2" s="102">
        <v>50800</v>
      </c>
    </row>
    <row r="3" spans="1:17" x14ac:dyDescent="0.4">
      <c r="A3" s="55" t="s">
        <v>8</v>
      </c>
      <c r="B3" s="148">
        <v>840</v>
      </c>
      <c r="C3" s="149"/>
      <c r="E3" s="63" t="s">
        <v>65</v>
      </c>
      <c r="F3" s="60" t="s">
        <v>21</v>
      </c>
      <c r="G3" s="47">
        <v>138</v>
      </c>
      <c r="H3" s="133">
        <f t="shared" si="0"/>
        <v>0.59740259740259738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1"/>
        <v>-2604.0404040404042</v>
      </c>
      <c r="P3" s="119">
        <v>99</v>
      </c>
      <c r="Q3" s="103">
        <v>-257800</v>
      </c>
    </row>
    <row r="4" spans="1:17" x14ac:dyDescent="0.4">
      <c r="A4" s="55" t="s">
        <v>6</v>
      </c>
      <c r="B4" s="150">
        <v>-405.00000000000006</v>
      </c>
      <c r="C4" s="151"/>
      <c r="E4" s="63" t="s">
        <v>73</v>
      </c>
      <c r="F4" s="60" t="s">
        <v>28</v>
      </c>
      <c r="G4" s="47">
        <v>104</v>
      </c>
      <c r="H4" s="133">
        <f t="shared" si="0"/>
        <v>0.45021645021645024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1"/>
        <v>-905.20833333333337</v>
      </c>
      <c r="P4" s="119">
        <v>96</v>
      </c>
      <c r="Q4" s="103">
        <v>-86900</v>
      </c>
    </row>
    <row r="5" spans="1:17" x14ac:dyDescent="0.4">
      <c r="A5" s="55" t="s">
        <v>7</v>
      </c>
      <c r="B5" s="152">
        <f>IF(B$2=0,0,B$4/B$2)</f>
        <v>-4.0500000000000007</v>
      </c>
      <c r="C5" s="153"/>
      <c r="E5" s="63" t="s">
        <v>181</v>
      </c>
      <c r="F5" s="60" t="s">
        <v>182</v>
      </c>
      <c r="G5" s="47">
        <v>100</v>
      </c>
      <c r="H5" s="133">
        <f t="shared" si="0"/>
        <v>0.4329004329004329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1"/>
        <v>647.67441860465112</v>
      </c>
      <c r="P5" s="119">
        <v>86</v>
      </c>
      <c r="Q5" s="103">
        <v>55700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81</v>
      </c>
      <c r="H6" s="133">
        <f t="shared" si="0"/>
        <v>0.35064935064935066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1"/>
        <v>133.33333333333334</v>
      </c>
      <c r="P6" s="119">
        <v>78</v>
      </c>
      <c r="Q6" s="103">
        <v>10400</v>
      </c>
    </row>
    <row r="7" spans="1:17" x14ac:dyDescent="0.4">
      <c r="A7" s="55" t="s">
        <v>2</v>
      </c>
      <c r="B7" s="47">
        <v>26</v>
      </c>
      <c r="C7" s="39">
        <f>IF(B$2=0,0,B7/B$2)</f>
        <v>0.26</v>
      </c>
      <c r="E7" s="63" t="s">
        <v>69</v>
      </c>
      <c r="F7" s="60" t="s">
        <v>12</v>
      </c>
      <c r="G7" s="47">
        <v>78</v>
      </c>
      <c r="H7" s="133">
        <f t="shared" si="0"/>
        <v>0.33766233766233766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1"/>
        <v>312.32876712328766</v>
      </c>
      <c r="P7" s="120">
        <v>73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0.38</v>
      </c>
      <c r="E8" s="63" t="s">
        <v>70</v>
      </c>
      <c r="F8" s="60" t="s">
        <v>25</v>
      </c>
      <c r="G8" s="47">
        <v>53</v>
      </c>
      <c r="H8" s="133">
        <f t="shared" si="0"/>
        <v>0.22943722943722944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2">IF(B$2=0,0,B9/B$2)</f>
        <v>0.36</v>
      </c>
      <c r="E9" s="63" t="s">
        <v>66</v>
      </c>
      <c r="F9" s="60" t="s">
        <v>22</v>
      </c>
      <c r="G9" s="47">
        <v>38</v>
      </c>
      <c r="H9" s="133">
        <f t="shared" si="0"/>
        <v>0.16450216450216451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0.14000000000000001</v>
      </c>
      <c r="E10" s="63" t="s">
        <v>71</v>
      </c>
      <c r="F10" s="60" t="s">
        <v>26</v>
      </c>
      <c r="G10" s="47">
        <v>28</v>
      </c>
      <c r="H10" s="133">
        <f t="shared" si="0"/>
        <v>0.12121212121212122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0.08</v>
      </c>
      <c r="E11" s="63" t="s">
        <v>90</v>
      </c>
      <c r="F11" s="60" t="s">
        <v>45</v>
      </c>
      <c r="G11" s="47">
        <v>21</v>
      </c>
      <c r="H11" s="133">
        <f t="shared" si="0"/>
        <v>9.0909090909090912E-2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7.0000000000000007E-2</v>
      </c>
      <c r="E12" s="63" t="s">
        <v>72</v>
      </c>
      <c r="F12" s="60" t="s">
        <v>27</v>
      </c>
      <c r="G12" s="47">
        <v>12</v>
      </c>
      <c r="H12" s="133">
        <f t="shared" si="0"/>
        <v>5.1948051948051951E-2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245</v>
      </c>
      <c r="C13" s="44">
        <f>IF(B$3=0,0,B13/B$3)</f>
        <v>0.29166666666666669</v>
      </c>
      <c r="E13" s="63" t="s">
        <v>87</v>
      </c>
      <c r="F13" s="60" t="s">
        <v>42</v>
      </c>
      <c r="G13" s="47">
        <v>12</v>
      </c>
      <c r="H13" s="133">
        <f t="shared" si="0"/>
        <v>5.1948051948051951E-2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0.18571428571428572</v>
      </c>
      <c r="E14" s="63" t="s">
        <v>82</v>
      </c>
      <c r="F14" s="60" t="s">
        <v>37</v>
      </c>
      <c r="G14" s="47">
        <v>8</v>
      </c>
      <c r="H14" s="133">
        <f t="shared" si="0"/>
        <v>3.4632034632034632E-2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0.59591836734693882</v>
      </c>
      <c r="E15" s="63" t="s">
        <v>84</v>
      </c>
      <c r="F15" s="60" t="s">
        <v>39</v>
      </c>
      <c r="G15" s="47">
        <v>7</v>
      </c>
      <c r="H15" s="133">
        <f t="shared" si="0"/>
        <v>3.0303030303030304E-2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 t="shared" ref="O15:O22" si="3"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 t="shared" si="0"/>
        <v>2.5974025974025976E-2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 t="shared" si="3"/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0.27500000000000002</v>
      </c>
      <c r="E17" s="63" t="s">
        <v>80</v>
      </c>
      <c r="F17" s="60" t="s">
        <v>35</v>
      </c>
      <c r="G17" s="47">
        <v>4</v>
      </c>
      <c r="H17" s="133">
        <f t="shared" si="0"/>
        <v>1.7316017316017316E-2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 t="shared" si="3"/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99</v>
      </c>
      <c r="C18" s="39">
        <f>IF(B$17=0,0,B18/B$17)</f>
        <v>0.42857142857142855</v>
      </c>
      <c r="E18" s="63" t="s">
        <v>180</v>
      </c>
      <c r="F18" s="60" t="s">
        <v>183</v>
      </c>
      <c r="G18" s="47">
        <v>4</v>
      </c>
      <c r="H18" s="133">
        <f t="shared" si="0"/>
        <v>1.7316017316017316E-2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 t="shared" si="3"/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0.5714285714285714</v>
      </c>
      <c r="E19" s="63" t="s">
        <v>75</v>
      </c>
      <c r="F19" s="60" t="s">
        <v>30</v>
      </c>
      <c r="G19" s="47">
        <v>2</v>
      </c>
      <c r="H19" s="133">
        <f t="shared" si="0"/>
        <v>8.658008658008658E-3</v>
      </c>
      <c r="I19" s="94">
        <v>2</v>
      </c>
      <c r="K19" s="38">
        <v>17</v>
      </c>
      <c r="L19" s="99">
        <v>94.6</v>
      </c>
      <c r="N19" s="115" t="s">
        <v>172</v>
      </c>
      <c r="O19" s="125">
        <f t="shared" si="3"/>
        <v>0.41379310344827686</v>
      </c>
      <c r="P19" s="119">
        <v>29</v>
      </c>
      <c r="Q19" s="107">
        <v>12.000000000000028</v>
      </c>
    </row>
    <row r="20" spans="1:17" x14ac:dyDescent="0.4">
      <c r="A20" s="55" t="s">
        <v>13</v>
      </c>
      <c r="B20" s="47">
        <v>146</v>
      </c>
      <c r="C20" s="39">
        <f>IF(B$3=0,0,B20/B$3)</f>
        <v>0.1738095238095238</v>
      </c>
      <c r="E20" s="63" t="s">
        <v>76</v>
      </c>
      <c r="F20" s="60" t="s">
        <v>31</v>
      </c>
      <c r="G20" s="47">
        <v>2</v>
      </c>
      <c r="H20" s="133">
        <f t="shared" si="0"/>
        <v>8.658008658008658E-3</v>
      </c>
      <c r="I20" s="94">
        <v>4</v>
      </c>
      <c r="K20" s="38">
        <v>18</v>
      </c>
      <c r="L20" s="99">
        <v>116.69999999999999</v>
      </c>
      <c r="N20" s="115" t="s">
        <v>171</v>
      </c>
      <c r="O20" s="125">
        <f t="shared" si="3"/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 t="shared" si="0"/>
        <v>8.658008658008658E-3</v>
      </c>
      <c r="I21" s="94">
        <v>10</v>
      </c>
      <c r="K21" s="38">
        <v>19</v>
      </c>
      <c r="L21" s="99">
        <v>138.79999999999998</v>
      </c>
      <c r="N21" s="115" t="s">
        <v>173</v>
      </c>
      <c r="O21" s="125">
        <f t="shared" si="3"/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74</v>
      </c>
      <c r="F22" s="60" t="s">
        <v>29</v>
      </c>
      <c r="G22" s="47">
        <v>1</v>
      </c>
      <c r="H22" s="133">
        <f t="shared" si="0"/>
        <v>4.329004329004329E-3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 t="shared" si="3"/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9155.8441558441555</v>
      </c>
      <c r="C23" s="41">
        <v>2115000</v>
      </c>
      <c r="E23" s="63" t="s">
        <v>78</v>
      </c>
      <c r="F23" s="60" t="s">
        <v>33</v>
      </c>
      <c r="G23" s="47">
        <v>1</v>
      </c>
      <c r="H23" s="133">
        <f t="shared" si="0"/>
        <v>4.329004329004329E-3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-7736.9863013698632</v>
      </c>
      <c r="C24" s="45">
        <v>-1129600</v>
      </c>
      <c r="E24" s="63" t="s">
        <v>85</v>
      </c>
      <c r="F24" s="60" t="s">
        <v>40</v>
      </c>
      <c r="G24" s="47">
        <v>1</v>
      </c>
      <c r="H24" s="133">
        <f t="shared" si="0"/>
        <v>4.329004329004329E-3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 t="shared" si="0"/>
        <v>4.329004329004329E-3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 t="shared" si="0"/>
        <v>4.329004329004329E-3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5.9523809523809521E-3</v>
      </c>
      <c r="E27" s="63" t="s">
        <v>94</v>
      </c>
      <c r="F27" s="60" t="s">
        <v>49</v>
      </c>
      <c r="G27" s="47">
        <v>1</v>
      </c>
      <c r="H27" s="133">
        <f t="shared" si="0"/>
        <v>4.329004329004329E-3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 t="shared" si="0"/>
        <v>4.329004329004329E-3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 t="shared" ref="H34:H65" si="4"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58F5-875A-49BA-9564-E551A5BA952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56</v>
      </c>
      <c r="H2" s="132">
        <f t="shared" ref="H2:H33" si="0">IF(B$17=0,0,G2/B$17)</f>
        <v>0.81159420289855078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-2994.8717948717949</v>
      </c>
      <c r="P2" s="118">
        <v>39</v>
      </c>
      <c r="Q2" s="102">
        <v>-116800</v>
      </c>
    </row>
    <row r="3" spans="1:17" x14ac:dyDescent="0.4">
      <c r="A3" s="55" t="s">
        <v>8</v>
      </c>
      <c r="B3" s="148">
        <v>317</v>
      </c>
      <c r="C3" s="149"/>
      <c r="E3" s="63" t="s">
        <v>65</v>
      </c>
      <c r="F3" s="60" t="s">
        <v>21</v>
      </c>
      <c r="G3" s="47">
        <v>39</v>
      </c>
      <c r="H3" s="133">
        <f t="shared" si="0"/>
        <v>0.56521739130434778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1"/>
        <v>-2938.4615384615386</v>
      </c>
      <c r="P3" s="119">
        <v>39</v>
      </c>
      <c r="Q3" s="103">
        <v>-114600</v>
      </c>
    </row>
    <row r="4" spans="1:17" x14ac:dyDescent="0.4">
      <c r="A4" s="55" t="s">
        <v>6</v>
      </c>
      <c r="B4" s="150">
        <v>-786.29999999999984</v>
      </c>
      <c r="C4" s="151"/>
      <c r="E4" s="63" t="s">
        <v>181</v>
      </c>
      <c r="F4" s="60" t="s">
        <v>182</v>
      </c>
      <c r="G4" s="47">
        <v>28</v>
      </c>
      <c r="H4" s="133">
        <f t="shared" si="0"/>
        <v>0.40579710144927539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1"/>
        <v>-827.77777777777783</v>
      </c>
      <c r="P4" s="119">
        <v>36</v>
      </c>
      <c r="Q4" s="103">
        <v>-29800</v>
      </c>
    </row>
    <row r="5" spans="1:17" x14ac:dyDescent="0.4">
      <c r="A5" s="55" t="s">
        <v>7</v>
      </c>
      <c r="B5" s="152">
        <f>IF(B$2=0,0,B$4/B$2)</f>
        <v>-20.161538461538459</v>
      </c>
      <c r="C5" s="153"/>
      <c r="E5" s="63" t="s">
        <v>69</v>
      </c>
      <c r="F5" s="60" t="s">
        <v>12</v>
      </c>
      <c r="G5" s="47">
        <v>27</v>
      </c>
      <c r="H5" s="133">
        <f t="shared" si="0"/>
        <v>0.39130434782608697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1"/>
        <v>-5854.8387096774195</v>
      </c>
      <c r="P5" s="119">
        <v>31</v>
      </c>
      <c r="Q5" s="103">
        <v>-181500</v>
      </c>
    </row>
    <row r="6" spans="1:17" x14ac:dyDescent="0.4">
      <c r="A6" s="55" t="s">
        <v>1</v>
      </c>
      <c r="B6" s="142">
        <f>IF(B$2=0,0,(B$7*1+B$8*2+B$9*3)/B$2)</f>
        <v>2.3333333333333335</v>
      </c>
      <c r="C6" s="143"/>
      <c r="E6" s="63" t="s">
        <v>68</v>
      </c>
      <c r="F6" s="60" t="s">
        <v>24</v>
      </c>
      <c r="G6" s="47">
        <v>26</v>
      </c>
      <c r="H6" s="133">
        <f t="shared" si="0"/>
        <v>0.37681159420289856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1"/>
        <v>-539.28571428571433</v>
      </c>
      <c r="P6" s="119">
        <v>28</v>
      </c>
      <c r="Q6" s="103">
        <v>-15100</v>
      </c>
    </row>
    <row r="7" spans="1:17" x14ac:dyDescent="0.4">
      <c r="A7" s="55" t="s">
        <v>2</v>
      </c>
      <c r="B7" s="47">
        <v>8</v>
      </c>
      <c r="C7" s="39">
        <f>IF(B$2=0,0,B7/B$2)</f>
        <v>0.20512820512820512</v>
      </c>
      <c r="E7" s="63" t="s">
        <v>73</v>
      </c>
      <c r="F7" s="60" t="s">
        <v>28</v>
      </c>
      <c r="G7" s="47">
        <v>22</v>
      </c>
      <c r="H7" s="133">
        <f t="shared" si="0"/>
        <v>0.3188405797101449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1"/>
        <v>-1907.6923076923076</v>
      </c>
      <c r="P7" s="120">
        <v>26</v>
      </c>
      <c r="Q7" s="104">
        <v>-49600</v>
      </c>
    </row>
    <row r="8" spans="1:17" x14ac:dyDescent="0.4">
      <c r="A8" s="55" t="s">
        <v>3</v>
      </c>
      <c r="B8" s="47">
        <v>10</v>
      </c>
      <c r="C8" s="39">
        <f>IF(B$2=0,0,B8/B$2)</f>
        <v>0.25641025641025639</v>
      </c>
      <c r="E8" s="63" t="s">
        <v>70</v>
      </c>
      <c r="F8" s="60" t="s">
        <v>25</v>
      </c>
      <c r="G8" s="47">
        <v>16</v>
      </c>
      <c r="H8" s="133">
        <f t="shared" si="0"/>
        <v>0.2318840579710145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2">IF(B$2=0,0,B9/B$2)</f>
        <v>0.53846153846153844</v>
      </c>
      <c r="E9" s="63" t="s">
        <v>71</v>
      </c>
      <c r="F9" s="60" t="s">
        <v>26</v>
      </c>
      <c r="G9" s="47">
        <v>15</v>
      </c>
      <c r="H9" s="133">
        <f t="shared" si="0"/>
        <v>0.21739130434782608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0.20512820512820512</v>
      </c>
      <c r="E10" s="63" t="s">
        <v>72</v>
      </c>
      <c r="F10" s="60" t="s">
        <v>27</v>
      </c>
      <c r="G10" s="47">
        <v>9</v>
      </c>
      <c r="H10" s="133">
        <f t="shared" si="0"/>
        <v>0.13043478260869565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90</v>
      </c>
      <c r="F11" s="60" t="s">
        <v>45</v>
      </c>
      <c r="G11" s="47">
        <v>7</v>
      </c>
      <c r="H11" s="133">
        <f t="shared" si="0"/>
        <v>0.10144927536231885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66</v>
      </c>
      <c r="F12" s="60" t="s">
        <v>22</v>
      </c>
      <c r="G12" s="47">
        <v>5</v>
      </c>
      <c r="H12" s="133">
        <f t="shared" si="0"/>
        <v>7.2463768115942032E-2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-16.945454545454542</v>
      </c>
      <c r="P12" s="120">
        <v>11</v>
      </c>
      <c r="Q12" s="108">
        <v>-186.39999999999998</v>
      </c>
    </row>
    <row r="13" spans="1:17" x14ac:dyDescent="0.4">
      <c r="A13" s="58" t="s">
        <v>122</v>
      </c>
      <c r="B13" s="50">
        <v>79</v>
      </c>
      <c r="C13" s="44">
        <f>IF(B$3=0,0,B13/B$3)</f>
        <v>0.24921135646687698</v>
      </c>
      <c r="E13" s="63" t="s">
        <v>87</v>
      </c>
      <c r="F13" s="60" t="s">
        <v>42</v>
      </c>
      <c r="G13" s="47">
        <v>4</v>
      </c>
      <c r="H13" s="133">
        <f t="shared" si="0"/>
        <v>5.7971014492753624E-2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0.14826498422712933</v>
      </c>
      <c r="E14" s="63" t="s">
        <v>78</v>
      </c>
      <c r="F14" s="60" t="s">
        <v>33</v>
      </c>
      <c r="G14" s="47">
        <v>1</v>
      </c>
      <c r="H14" s="133">
        <f t="shared" si="0"/>
        <v>1.4492753623188406E-2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0.51898734177215189</v>
      </c>
      <c r="E15" s="63" t="s">
        <v>79</v>
      </c>
      <c r="F15" s="60" t="s">
        <v>34</v>
      </c>
      <c r="G15" s="47">
        <v>1</v>
      </c>
      <c r="H15" s="133">
        <f t="shared" si="0"/>
        <v>1.4492753623188406E-2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 t="shared" ref="O15:O22" si="3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0.21276595744680851</v>
      </c>
      <c r="E16" s="63" t="s">
        <v>80</v>
      </c>
      <c r="F16" s="60" t="s">
        <v>35</v>
      </c>
      <c r="G16" s="47">
        <v>1</v>
      </c>
      <c r="H16" s="133">
        <f t="shared" si="0"/>
        <v>1.4492753623188406E-2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 t="shared" si="3"/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0.21766561514195584</v>
      </c>
      <c r="E17" s="63" t="s">
        <v>82</v>
      </c>
      <c r="F17" s="60" t="s">
        <v>37</v>
      </c>
      <c r="G17" s="47">
        <v>1</v>
      </c>
      <c r="H17" s="133">
        <f t="shared" si="0"/>
        <v>1.4492753623188406E-2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3"/>
        <v>-6.1037037037036974</v>
      </c>
      <c r="P17" s="119">
        <v>27</v>
      </c>
      <c r="Q17" s="107">
        <v>-164.79999999999984</v>
      </c>
    </row>
    <row r="18" spans="1:17" x14ac:dyDescent="0.4">
      <c r="A18" s="55" t="s">
        <v>12</v>
      </c>
      <c r="B18" s="47">
        <v>34</v>
      </c>
      <c r="C18" s="39">
        <f>IF(B$17=0,0,B18/B$17)</f>
        <v>0.49275362318840582</v>
      </c>
      <c r="E18" s="63" t="s">
        <v>84</v>
      </c>
      <c r="F18" s="60" t="s">
        <v>39</v>
      </c>
      <c r="G18" s="47">
        <v>1</v>
      </c>
      <c r="H18" s="133">
        <f t="shared" si="0"/>
        <v>1.4492753623188406E-2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 t="shared" si="3"/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35</v>
      </c>
      <c r="C19" s="39">
        <f>IF(B$17=0,0,B19/B$17)</f>
        <v>0.50724637681159424</v>
      </c>
      <c r="E19" s="63" t="s">
        <v>88</v>
      </c>
      <c r="F19" s="60" t="s">
        <v>43</v>
      </c>
      <c r="G19" s="47">
        <v>1</v>
      </c>
      <c r="H19" s="133">
        <f t="shared" si="0"/>
        <v>1.4492753623188406E-2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 t="shared" si="3"/>
        <v>-46.55</v>
      </c>
      <c r="P19" s="119">
        <v>8</v>
      </c>
      <c r="Q19" s="107">
        <v>-372.4</v>
      </c>
    </row>
    <row r="20" spans="1:17" x14ac:dyDescent="0.4">
      <c r="A20" s="55" t="s">
        <v>13</v>
      </c>
      <c r="B20" s="47">
        <v>61</v>
      </c>
      <c r="C20" s="39">
        <f>IF(B$3=0,0,B20/B$3)</f>
        <v>0.19242902208201892</v>
      </c>
      <c r="E20" s="63" t="s">
        <v>89</v>
      </c>
      <c r="F20" s="60" t="s">
        <v>44</v>
      </c>
      <c r="G20" s="47">
        <v>1</v>
      </c>
      <c r="H20" s="133">
        <f t="shared" si="0"/>
        <v>1.4492753623188406E-2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3"/>
        <v>-56.752173913043507</v>
      </c>
      <c r="P20" s="119">
        <v>23</v>
      </c>
      <c r="Q20" s="107">
        <v>-1305.3000000000006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 t="shared" si="0"/>
        <v>1.4492753623188406E-2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 t="shared" si="3"/>
        <v>-63.86249999999999</v>
      </c>
      <c r="P21" s="119">
        <v>8</v>
      </c>
      <c r="Q21" s="107">
        <v>-510.89999999999992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94</v>
      </c>
      <c r="F22" s="60" t="s">
        <v>49</v>
      </c>
      <c r="G22" s="47">
        <v>1</v>
      </c>
      <c r="H22" s="133">
        <f t="shared" si="0"/>
        <v>1.4492753623188406E-2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 t="shared" si="3"/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8724.63768115942</v>
      </c>
      <c r="C23" s="41">
        <v>602000</v>
      </c>
      <c r="E23" s="63" t="s">
        <v>74</v>
      </c>
      <c r="F23" s="60" t="s">
        <v>29</v>
      </c>
      <c r="G23" s="47">
        <v>0</v>
      </c>
      <c r="H23" s="133">
        <f t="shared" si="0"/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-9816.3934426229516</v>
      </c>
      <c r="C24" s="45">
        <v>-598800</v>
      </c>
      <c r="E24" s="63" t="s">
        <v>75</v>
      </c>
      <c r="F24" s="60" t="s">
        <v>30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3.1545741324921135E-3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0C8-BC51-432F-AC0B-91581EFFE8C1}">
  <sheetPr codeName="Sheet13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</v>
      </c>
      <c r="C2" s="147"/>
      <c r="E2" s="62" t="s">
        <v>67</v>
      </c>
      <c r="F2" s="59" t="s">
        <v>23</v>
      </c>
      <c r="G2" s="46">
        <v>88</v>
      </c>
      <c r="H2" s="132">
        <f t="shared" ref="H2:H33" si="0">IF(B$17=0,0,G2/B$17)</f>
        <v>0.77876106194690264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-365.38461538461536</v>
      </c>
      <c r="P2" s="118">
        <v>52</v>
      </c>
      <c r="Q2" s="102">
        <v>-19000</v>
      </c>
    </row>
    <row r="3" spans="1:17" x14ac:dyDescent="0.4">
      <c r="A3" s="55" t="s">
        <v>8</v>
      </c>
      <c r="B3" s="148">
        <v>441</v>
      </c>
      <c r="C3" s="149"/>
      <c r="E3" s="63" t="s">
        <v>65</v>
      </c>
      <c r="F3" s="60" t="s">
        <v>21</v>
      </c>
      <c r="G3" s="47">
        <v>63</v>
      </c>
      <c r="H3" s="133">
        <f t="shared" si="0"/>
        <v>0.55752212389380529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1"/>
        <v>1051.9230769230769</v>
      </c>
      <c r="P3" s="119">
        <v>52</v>
      </c>
      <c r="Q3" s="103">
        <v>54700</v>
      </c>
    </row>
    <row r="4" spans="1:17" x14ac:dyDescent="0.4">
      <c r="A4" s="55" t="s">
        <v>6</v>
      </c>
      <c r="B4" s="150">
        <v>18.499999999999993</v>
      </c>
      <c r="C4" s="151"/>
      <c r="E4" s="63" t="s">
        <v>73</v>
      </c>
      <c r="F4" s="60" t="s">
        <v>28</v>
      </c>
      <c r="G4" s="47">
        <v>55</v>
      </c>
      <c r="H4" s="133">
        <f t="shared" si="0"/>
        <v>0.48672566371681414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1"/>
        <v>-70</v>
      </c>
      <c r="P4" s="119">
        <v>50</v>
      </c>
      <c r="Q4" s="103">
        <v>-3500</v>
      </c>
    </row>
    <row r="5" spans="1:17" x14ac:dyDescent="0.4">
      <c r="A5" s="55" t="s">
        <v>7</v>
      </c>
      <c r="B5" s="152">
        <f>IF(B$2=0,0,B$4/B$2)</f>
        <v>0.35576923076923062</v>
      </c>
      <c r="C5" s="153"/>
      <c r="E5" s="63" t="s">
        <v>181</v>
      </c>
      <c r="F5" s="60" t="s">
        <v>182</v>
      </c>
      <c r="G5" s="47">
        <v>42</v>
      </c>
      <c r="H5" s="133">
        <f t="shared" si="0"/>
        <v>0.37168141592920356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1"/>
        <v>2151.1627906976746</v>
      </c>
      <c r="P5" s="119">
        <v>43</v>
      </c>
      <c r="Q5" s="103">
        <v>92500</v>
      </c>
    </row>
    <row r="6" spans="1:17" x14ac:dyDescent="0.4">
      <c r="A6" s="55" t="s">
        <v>1</v>
      </c>
      <c r="B6" s="142">
        <f>IF(B$2=0,0,(B$7*1+B$8*2+B$9*3)/B$2)</f>
        <v>2.0576923076923075</v>
      </c>
      <c r="C6" s="143"/>
      <c r="E6" s="63" t="s">
        <v>68</v>
      </c>
      <c r="F6" s="60" t="s">
        <v>24</v>
      </c>
      <c r="G6" s="47">
        <v>40</v>
      </c>
      <c r="H6" s="133">
        <f t="shared" si="0"/>
        <v>0.35398230088495575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1"/>
        <v>-1725.6410256410256</v>
      </c>
      <c r="P6" s="119">
        <v>39</v>
      </c>
      <c r="Q6" s="103">
        <v>-67300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69</v>
      </c>
      <c r="F7" s="60" t="s">
        <v>12</v>
      </c>
      <c r="G7" s="47">
        <v>32</v>
      </c>
      <c r="H7" s="133">
        <f t="shared" si="0"/>
        <v>0.2831858407079646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1"/>
        <v>808.33333333333337</v>
      </c>
      <c r="P7" s="120">
        <v>36</v>
      </c>
      <c r="Q7" s="104">
        <v>29100</v>
      </c>
    </row>
    <row r="8" spans="1:17" x14ac:dyDescent="0.4">
      <c r="A8" s="55" t="s">
        <v>3</v>
      </c>
      <c r="B8" s="47">
        <v>19</v>
      </c>
      <c r="C8" s="39">
        <f>IF(B$2=0,0,B8/B$2)</f>
        <v>0.36538461538461536</v>
      </c>
      <c r="E8" s="63" t="s">
        <v>70</v>
      </c>
      <c r="F8" s="60" t="s">
        <v>25</v>
      </c>
      <c r="G8" s="47">
        <v>24</v>
      </c>
      <c r="H8" s="133">
        <f t="shared" si="0"/>
        <v>0.21238938053097345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2">IF(B$2=0,0,B9/B$2)</f>
        <v>0.34615384615384615</v>
      </c>
      <c r="E9" s="63" t="s">
        <v>90</v>
      </c>
      <c r="F9" s="60" t="s">
        <v>45</v>
      </c>
      <c r="G9" s="47">
        <v>16</v>
      </c>
      <c r="H9" s="133">
        <f t="shared" si="0"/>
        <v>0.1415929203539823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3.8461538461538464E-2</v>
      </c>
      <c r="E10" s="63" t="s">
        <v>66</v>
      </c>
      <c r="F10" s="60" t="s">
        <v>22</v>
      </c>
      <c r="G10" s="47">
        <v>15</v>
      </c>
      <c r="H10" s="133">
        <f t="shared" si="0"/>
        <v>0.13274336283185842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4.4083333333333323</v>
      </c>
      <c r="P10" s="118">
        <v>12</v>
      </c>
      <c r="Q10" s="106">
        <v>52.899999999999991</v>
      </c>
    </row>
    <row r="11" spans="1:17" x14ac:dyDescent="0.4">
      <c r="A11" s="56" t="s">
        <v>140</v>
      </c>
      <c r="B11" s="48">
        <v>7</v>
      </c>
      <c r="C11" s="40">
        <f>IF(B$2=0,0,B11/B$2)</f>
        <v>0.13461538461538461</v>
      </c>
      <c r="E11" s="63" t="s">
        <v>71</v>
      </c>
      <c r="F11" s="60" t="s">
        <v>26</v>
      </c>
      <c r="G11" s="47">
        <v>14</v>
      </c>
      <c r="H11" s="133">
        <f t="shared" si="0"/>
        <v>0.12389380530973451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5</v>
      </c>
      <c r="C12" s="42">
        <f>IF(B$2=0,0,B12/B$2)</f>
        <v>9.6153846153846159E-2</v>
      </c>
      <c r="E12" s="63" t="s">
        <v>72</v>
      </c>
      <c r="F12" s="60" t="s">
        <v>27</v>
      </c>
      <c r="G12" s="47">
        <v>9</v>
      </c>
      <c r="H12" s="133">
        <f t="shared" si="0"/>
        <v>7.9646017699115043E-2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-0.24117647058823538</v>
      </c>
      <c r="P12" s="120">
        <v>17</v>
      </c>
      <c r="Q12" s="108">
        <v>-4.1000000000000014</v>
      </c>
    </row>
    <row r="13" spans="1:17" x14ac:dyDescent="0.4">
      <c r="A13" s="58" t="s">
        <v>122</v>
      </c>
      <c r="B13" s="50">
        <v>116</v>
      </c>
      <c r="C13" s="44">
        <f>IF(B$3=0,0,B13/B$3)</f>
        <v>0.26303854875283444</v>
      </c>
      <c r="E13" s="63" t="s">
        <v>87</v>
      </c>
      <c r="F13" s="60" t="s">
        <v>42</v>
      </c>
      <c r="G13" s="47">
        <v>9</v>
      </c>
      <c r="H13" s="133">
        <f t="shared" si="0"/>
        <v>7.9646017699115043E-2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</v>
      </c>
      <c r="C14" s="39">
        <f>IF(B$3=0,0,B14/B$3)</f>
        <v>0.17460317460317459</v>
      </c>
      <c r="E14" s="63" t="s">
        <v>84</v>
      </c>
      <c r="F14" s="60" t="s">
        <v>39</v>
      </c>
      <c r="G14" s="47">
        <v>7</v>
      </c>
      <c r="H14" s="133">
        <f t="shared" si="0"/>
        <v>6.1946902654867256E-2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</v>
      </c>
      <c r="C15" s="37">
        <f>IF(B$13=0,0,B15/B$13)</f>
        <v>0.57758620689655171</v>
      </c>
      <c r="E15" s="63" t="s">
        <v>82</v>
      </c>
      <c r="F15" s="60" t="s">
        <v>37</v>
      </c>
      <c r="G15" s="47">
        <v>5</v>
      </c>
      <c r="H15" s="133">
        <f t="shared" si="0"/>
        <v>4.4247787610619468E-2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3"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27</v>
      </c>
      <c r="C16" s="37">
        <f>IF(B$14=0,0,B16/B$14)</f>
        <v>0.35064935064935066</v>
      </c>
      <c r="E16" s="63" t="s">
        <v>79</v>
      </c>
      <c r="F16" s="60" t="s">
        <v>34</v>
      </c>
      <c r="G16" s="47">
        <v>4</v>
      </c>
      <c r="H16" s="133">
        <f t="shared" si="0"/>
        <v>3.5398230088495575E-2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3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113</v>
      </c>
      <c r="C17" s="37">
        <f>IF(B$3=0,0,B17/B$3)</f>
        <v>0.25623582766439912</v>
      </c>
      <c r="E17" s="63" t="s">
        <v>76</v>
      </c>
      <c r="F17" s="60" t="s">
        <v>31</v>
      </c>
      <c r="G17" s="47">
        <v>2</v>
      </c>
      <c r="H17" s="133">
        <f t="shared" si="0"/>
        <v>1.7699115044247787E-2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 t="shared" si="3"/>
        <v>17.726666666666667</v>
      </c>
      <c r="P17" s="119">
        <v>15</v>
      </c>
      <c r="Q17" s="107">
        <v>265.89999999999998</v>
      </c>
    </row>
    <row r="18" spans="1:17" x14ac:dyDescent="0.4">
      <c r="A18" s="55" t="s">
        <v>12</v>
      </c>
      <c r="B18" s="47">
        <v>45</v>
      </c>
      <c r="C18" s="39">
        <f>IF(B$17=0,0,B18/B$17)</f>
        <v>0.39823008849557523</v>
      </c>
      <c r="E18" s="63" t="s">
        <v>93</v>
      </c>
      <c r="F18" s="60" t="s">
        <v>48</v>
      </c>
      <c r="G18" s="47">
        <v>2</v>
      </c>
      <c r="H18" s="133">
        <f t="shared" si="0"/>
        <v>1.7699115044247787E-2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 t="shared" si="3"/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68</v>
      </c>
      <c r="C19" s="39">
        <f>IF(B$17=0,0,B19/B$17)</f>
        <v>0.60176991150442483</v>
      </c>
      <c r="E19" s="63" t="s">
        <v>180</v>
      </c>
      <c r="F19" s="60" t="s">
        <v>183</v>
      </c>
      <c r="G19" s="47">
        <v>2</v>
      </c>
      <c r="H19" s="133">
        <f t="shared" si="0"/>
        <v>1.7699115044247787E-2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 t="shared" si="3"/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70</v>
      </c>
      <c r="C20" s="39">
        <f>IF(B$3=0,0,B20/B$3)</f>
        <v>0.15873015873015872</v>
      </c>
      <c r="E20" s="63" t="s">
        <v>88</v>
      </c>
      <c r="F20" s="60" t="s">
        <v>43</v>
      </c>
      <c r="G20" s="47">
        <v>1</v>
      </c>
      <c r="H20" s="133">
        <f t="shared" si="0"/>
        <v>8.8495575221238937E-3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 t="shared" si="3"/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92</v>
      </c>
      <c r="F21" s="60" t="s">
        <v>47</v>
      </c>
      <c r="G21" s="47">
        <v>1</v>
      </c>
      <c r="H21" s="133">
        <f t="shared" si="0"/>
        <v>8.8495575221238937E-3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 t="shared" si="3"/>
        <v>-16.17499999999999</v>
      </c>
      <c r="P21" s="119">
        <v>32</v>
      </c>
      <c r="Q21" s="107">
        <v>-517.59999999999968</v>
      </c>
    </row>
    <row r="22" spans="1:17" x14ac:dyDescent="0.4">
      <c r="A22" s="55" t="s">
        <v>194</v>
      </c>
      <c r="B22" s="47">
        <v>20</v>
      </c>
      <c r="C22" s="135">
        <v>3</v>
      </c>
      <c r="E22" s="63" t="s">
        <v>74</v>
      </c>
      <c r="F22" s="60" t="s">
        <v>29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-3.5999999999999917</v>
      </c>
      <c r="N22" s="115" t="s">
        <v>202</v>
      </c>
      <c r="O22" s="125">
        <f t="shared" si="3"/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9616.8141592920347</v>
      </c>
      <c r="C23" s="41">
        <v>1086700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3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-7332.8571428571431</v>
      </c>
      <c r="C24" s="45">
        <v>-513300</v>
      </c>
      <c r="E24" s="63" t="s">
        <v>77</v>
      </c>
      <c r="F24" s="60" t="s">
        <v>32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 t="shared" si="0"/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 t="shared" si="0"/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2.2675736961451248E-3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 t="shared" si="0"/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8FA4-7C5E-4412-9A3F-86557CEA1C69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50</v>
      </c>
      <c r="C2" s="147"/>
      <c r="E2" s="62" t="s">
        <v>67</v>
      </c>
      <c r="F2" s="59" t="s">
        <v>23</v>
      </c>
      <c r="G2" s="46">
        <v>113</v>
      </c>
      <c r="H2" s="132">
        <f t="shared" ref="H2:H33" si="0">IF(B$17=0,0,G2/B$17)</f>
        <v>0.70186335403726707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404</v>
      </c>
      <c r="P2" s="118">
        <v>50</v>
      </c>
      <c r="Q2" s="102">
        <v>20200</v>
      </c>
    </row>
    <row r="3" spans="1:17" x14ac:dyDescent="0.4">
      <c r="A3" s="55" t="s">
        <v>8</v>
      </c>
      <c r="B3" s="148">
        <v>437</v>
      </c>
      <c r="C3" s="149"/>
      <c r="E3" s="63" t="s">
        <v>73</v>
      </c>
      <c r="F3" s="60" t="s">
        <v>28</v>
      </c>
      <c r="G3" s="47">
        <v>97</v>
      </c>
      <c r="H3" s="133">
        <f t="shared" si="0"/>
        <v>0.60248447204968947</v>
      </c>
      <c r="I3" s="94">
        <v>2</v>
      </c>
      <c r="K3" s="38">
        <v>1</v>
      </c>
      <c r="L3" s="99">
        <v>11.1</v>
      </c>
      <c r="N3" s="115" t="s">
        <v>133</v>
      </c>
      <c r="O3" s="122">
        <f t="shared" si="1"/>
        <v>290</v>
      </c>
      <c r="P3" s="119">
        <v>50</v>
      </c>
      <c r="Q3" s="103">
        <v>14500</v>
      </c>
    </row>
    <row r="4" spans="1:17" x14ac:dyDescent="0.4">
      <c r="A4" s="55" t="s">
        <v>6</v>
      </c>
      <c r="B4" s="150">
        <v>106.3</v>
      </c>
      <c r="C4" s="151"/>
      <c r="E4" s="63" t="s">
        <v>181</v>
      </c>
      <c r="F4" s="60" t="s">
        <v>182</v>
      </c>
      <c r="G4" s="47">
        <v>64</v>
      </c>
      <c r="H4" s="133">
        <f t="shared" si="0"/>
        <v>0.39751552795031053</v>
      </c>
      <c r="I4" s="94">
        <v>8</v>
      </c>
      <c r="K4" s="38">
        <v>2</v>
      </c>
      <c r="L4" s="99">
        <v>-7.7000000000000011</v>
      </c>
      <c r="N4" s="115" t="s">
        <v>134</v>
      </c>
      <c r="O4" s="122">
        <f t="shared" si="1"/>
        <v>-240</v>
      </c>
      <c r="P4" s="119">
        <v>45</v>
      </c>
      <c r="Q4" s="103">
        <v>-10800</v>
      </c>
    </row>
    <row r="5" spans="1:17" x14ac:dyDescent="0.4">
      <c r="A5" s="55" t="s">
        <v>7</v>
      </c>
      <c r="B5" s="152">
        <f>IF(B$2=0,0,B$4/B$2)</f>
        <v>2.1259999999999999</v>
      </c>
      <c r="C5" s="153"/>
      <c r="E5" s="63" t="s">
        <v>65</v>
      </c>
      <c r="F5" s="60" t="s">
        <v>21</v>
      </c>
      <c r="G5" s="47">
        <v>57</v>
      </c>
      <c r="H5" s="133">
        <f t="shared" si="0"/>
        <v>0.35403726708074534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1"/>
        <v>673.80952380952385</v>
      </c>
      <c r="P5" s="119">
        <v>42</v>
      </c>
      <c r="Q5" s="103">
        <v>28300</v>
      </c>
    </row>
    <row r="6" spans="1:17" x14ac:dyDescent="0.4">
      <c r="A6" s="55" t="s">
        <v>1</v>
      </c>
      <c r="B6" s="142">
        <f>IF(B$2=0,0,(B$7*1+B$8*2+B$9*3)/B$2)</f>
        <v>2.02</v>
      </c>
      <c r="C6" s="143"/>
      <c r="E6" s="63" t="s">
        <v>69</v>
      </c>
      <c r="F6" s="60" t="s">
        <v>12</v>
      </c>
      <c r="G6" s="47">
        <v>44</v>
      </c>
      <c r="H6" s="133">
        <f t="shared" si="0"/>
        <v>0.27329192546583853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1"/>
        <v>1343.9024390243903</v>
      </c>
      <c r="P6" s="119">
        <v>41</v>
      </c>
      <c r="Q6" s="103">
        <v>55100</v>
      </c>
    </row>
    <row r="7" spans="1:17" x14ac:dyDescent="0.4">
      <c r="A7" s="55" t="s">
        <v>2</v>
      </c>
      <c r="B7" s="47">
        <v>15</v>
      </c>
      <c r="C7" s="39">
        <f>IF(B$2=0,0,B7/B$2)</f>
        <v>0.3</v>
      </c>
      <c r="E7" s="63" t="s">
        <v>68</v>
      </c>
      <c r="F7" s="60" t="s">
        <v>24</v>
      </c>
      <c r="G7" s="47">
        <v>28</v>
      </c>
      <c r="H7" s="133">
        <f t="shared" si="0"/>
        <v>0.17391304347826086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1"/>
        <v>-975</v>
      </c>
      <c r="P7" s="120">
        <v>36</v>
      </c>
      <c r="Q7" s="104">
        <v>-35100</v>
      </c>
    </row>
    <row r="8" spans="1:17" x14ac:dyDescent="0.4">
      <c r="A8" s="55" t="s">
        <v>3</v>
      </c>
      <c r="B8" s="47">
        <v>19</v>
      </c>
      <c r="C8" s="39">
        <f>IF(B$2=0,0,B8/B$2)</f>
        <v>0.38</v>
      </c>
      <c r="E8" s="63" t="s">
        <v>70</v>
      </c>
      <c r="F8" s="60" t="s">
        <v>25</v>
      </c>
      <c r="G8" s="47">
        <v>22</v>
      </c>
      <c r="H8" s="133">
        <f t="shared" si="0"/>
        <v>0.13664596273291926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2">IF(B$2=0,0,B9/B$2)</f>
        <v>0.32</v>
      </c>
      <c r="E9" s="63" t="s">
        <v>66</v>
      </c>
      <c r="F9" s="60" t="s">
        <v>22</v>
      </c>
      <c r="G9" s="47">
        <v>16</v>
      </c>
      <c r="H9" s="133">
        <f t="shared" si="0"/>
        <v>9.9378881987577633E-2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0.06</v>
      </c>
      <c r="E10" s="63" t="s">
        <v>90</v>
      </c>
      <c r="F10" s="60" t="s">
        <v>45</v>
      </c>
      <c r="G10" s="47">
        <v>11</v>
      </c>
      <c r="H10" s="133">
        <f t="shared" si="0"/>
        <v>6.8322981366459631E-2</v>
      </c>
      <c r="I10" s="94">
        <v>12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</v>
      </c>
      <c r="E11" s="63" t="s">
        <v>71</v>
      </c>
      <c r="F11" s="60" t="s">
        <v>26</v>
      </c>
      <c r="G11" s="47">
        <v>10</v>
      </c>
      <c r="H11" s="133">
        <f t="shared" si="0"/>
        <v>6.2111801242236024E-2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9.0388888888888879</v>
      </c>
      <c r="P11" s="119">
        <v>18</v>
      </c>
      <c r="Q11" s="107">
        <v>162.69999999999999</v>
      </c>
    </row>
    <row r="12" spans="1:17" x14ac:dyDescent="0.4">
      <c r="A12" s="57" t="s">
        <v>160</v>
      </c>
      <c r="B12" s="49">
        <v>2</v>
      </c>
      <c r="C12" s="42">
        <f>IF(B$2=0,0,B12/B$2)</f>
        <v>0.04</v>
      </c>
      <c r="E12" s="63" t="s">
        <v>72</v>
      </c>
      <c r="F12" s="60" t="s">
        <v>27</v>
      </c>
      <c r="G12" s="47">
        <v>10</v>
      </c>
      <c r="H12" s="133">
        <f t="shared" si="0"/>
        <v>6.2111801242236024E-2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97</v>
      </c>
      <c r="C13" s="44">
        <f>IF(B$3=0,0,B13/B$3)</f>
        <v>0.2219679633867277</v>
      </c>
      <c r="E13" s="63" t="s">
        <v>84</v>
      </c>
      <c r="F13" s="60" t="s">
        <v>39</v>
      </c>
      <c r="G13" s="47">
        <v>8</v>
      </c>
      <c r="H13" s="133">
        <f t="shared" si="0"/>
        <v>4.9689440993788817E-2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0.30205949656750575</v>
      </c>
      <c r="E14" s="63" t="s">
        <v>87</v>
      </c>
      <c r="F14" s="60" t="s">
        <v>42</v>
      </c>
      <c r="G14" s="47">
        <v>8</v>
      </c>
      <c r="H14" s="133">
        <f t="shared" si="0"/>
        <v>4.9689440993788817E-2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0.58762886597938147</v>
      </c>
      <c r="E15" s="63" t="s">
        <v>82</v>
      </c>
      <c r="F15" s="60" t="s">
        <v>37</v>
      </c>
      <c r="G15" s="47">
        <v>5</v>
      </c>
      <c r="H15" s="133">
        <f t="shared" si="0"/>
        <v>3.1055900621118012E-2</v>
      </c>
      <c r="I15" s="94">
        <v>8</v>
      </c>
      <c r="K15" s="38">
        <v>13</v>
      </c>
      <c r="L15" s="99">
        <v>-3</v>
      </c>
      <c r="N15" s="114" t="s">
        <v>129</v>
      </c>
      <c r="O15" s="124">
        <f t="shared" ref="O15:O23" si="3">IF(P15=0,0,Q15/P15)</f>
        <v>63.86249999999999</v>
      </c>
      <c r="P15" s="118">
        <v>8</v>
      </c>
      <c r="Q15" s="106">
        <v>510.89999999999992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 t="shared" si="0"/>
        <v>1.2422360248447204E-2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 t="shared" si="3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161</v>
      </c>
      <c r="C17" s="37">
        <f>IF(B$3=0,0,B17/B$3)</f>
        <v>0.36842105263157893</v>
      </c>
      <c r="E17" s="63" t="s">
        <v>80</v>
      </c>
      <c r="F17" s="60" t="s">
        <v>35</v>
      </c>
      <c r="G17" s="47">
        <v>2</v>
      </c>
      <c r="H17" s="133">
        <f t="shared" si="0"/>
        <v>1.2422360248447204E-2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 t="shared" si="3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69</v>
      </c>
      <c r="C18" s="39">
        <f>IF(B$17=0,0,B18/B$17)</f>
        <v>0.42857142857142855</v>
      </c>
      <c r="E18" s="63" t="s">
        <v>92</v>
      </c>
      <c r="F18" s="60" t="s">
        <v>47</v>
      </c>
      <c r="G18" s="47">
        <v>2</v>
      </c>
      <c r="H18" s="133">
        <f t="shared" si="0"/>
        <v>1.2422360248447204E-2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 t="shared" si="3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92</v>
      </c>
      <c r="C19" s="39">
        <f>IF(B$17=0,0,B19/B$17)</f>
        <v>0.5714285714285714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 t="shared" si="3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57</v>
      </c>
      <c r="C20" s="39">
        <f>IF(B$3=0,0,B20/B$3)</f>
        <v>0.13043478260869565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 t="shared" si="3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 t="shared" si="3"/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43</v>
      </c>
      <c r="N22" s="115" t="s">
        <v>128</v>
      </c>
      <c r="O22" s="125">
        <f t="shared" si="3"/>
        <v>-0.41379310344827624</v>
      </c>
      <c r="P22" s="119">
        <v>29</v>
      </c>
      <c r="Q22" s="107">
        <v>-12.000000000000011</v>
      </c>
    </row>
    <row r="23" spans="1:17" x14ac:dyDescent="0.4">
      <c r="A23" s="55" t="s">
        <v>5</v>
      </c>
      <c r="B23" s="51">
        <f>IF(B$17=0,0,C23/B$17)</f>
        <v>6597.5155279503106</v>
      </c>
      <c r="C23" s="41">
        <v>1062200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89.9</v>
      </c>
      <c r="N23" s="115" t="s">
        <v>127</v>
      </c>
      <c r="O23" s="125">
        <f t="shared" si="3"/>
        <v>-19.622222222222224</v>
      </c>
      <c r="P23" s="119">
        <v>27</v>
      </c>
      <c r="Q23" s="107">
        <v>-529.80000000000007</v>
      </c>
    </row>
    <row r="24" spans="1:17" x14ac:dyDescent="0.4">
      <c r="A24" s="57" t="s">
        <v>14</v>
      </c>
      <c r="B24" s="52">
        <f>IF(B$20=0,0,C24/B$20)</f>
        <v>-9282.4561403508778</v>
      </c>
      <c r="C24" s="45">
        <v>-529100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2.2883295194508009E-3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7D90-373A-421D-AB36-0A0AB55E7F29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73</v>
      </c>
      <c r="H2" s="132">
        <f t="shared" ref="H2:H33" si="0">IF(B$17=0,0,G2/B$17)</f>
        <v>0.73737373737373735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-2621.6216216216217</v>
      </c>
      <c r="P2" s="118">
        <v>37</v>
      </c>
      <c r="Q2" s="102">
        <v>-97000</v>
      </c>
    </row>
    <row r="3" spans="1:17" x14ac:dyDescent="0.4">
      <c r="A3" s="55" t="s">
        <v>8</v>
      </c>
      <c r="B3" s="148">
        <v>328</v>
      </c>
      <c r="C3" s="149"/>
      <c r="E3" s="63" t="s">
        <v>73</v>
      </c>
      <c r="F3" s="60" t="s">
        <v>28</v>
      </c>
      <c r="G3" s="47">
        <v>51</v>
      </c>
      <c r="H3" s="133">
        <f t="shared" si="0"/>
        <v>0.51515151515151514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1"/>
        <v>1764.8648648648648</v>
      </c>
      <c r="P3" s="119">
        <v>37</v>
      </c>
      <c r="Q3" s="103">
        <v>65300</v>
      </c>
    </row>
    <row r="4" spans="1:17" x14ac:dyDescent="0.4">
      <c r="A4" s="55" t="s">
        <v>6</v>
      </c>
      <c r="B4" s="150">
        <v>-234.4</v>
      </c>
      <c r="C4" s="151"/>
      <c r="E4" s="63" t="s">
        <v>65</v>
      </c>
      <c r="F4" s="60" t="s">
        <v>21</v>
      </c>
      <c r="G4" s="47">
        <v>45</v>
      </c>
      <c r="H4" s="133">
        <f t="shared" si="0"/>
        <v>0.45454545454545453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1"/>
        <v>-920</v>
      </c>
      <c r="P4" s="119">
        <v>35</v>
      </c>
      <c r="Q4" s="103">
        <v>-32200</v>
      </c>
    </row>
    <row r="5" spans="1:17" x14ac:dyDescent="0.4">
      <c r="A5" s="55" t="s">
        <v>7</v>
      </c>
      <c r="B5" s="152">
        <f>IF(B$2=0,0,B$4/B$2)</f>
        <v>-6.3351351351351353</v>
      </c>
      <c r="C5" s="153"/>
      <c r="E5" s="63" t="s">
        <v>69</v>
      </c>
      <c r="F5" s="60" t="s">
        <v>12</v>
      </c>
      <c r="G5" s="47">
        <v>38</v>
      </c>
      <c r="H5" s="133">
        <f t="shared" si="0"/>
        <v>0.38383838383838381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1"/>
        <v>-4321.212121212121</v>
      </c>
      <c r="P5" s="119">
        <v>33</v>
      </c>
      <c r="Q5" s="103">
        <v>-142600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181</v>
      </c>
      <c r="F6" s="60" t="s">
        <v>182</v>
      </c>
      <c r="G6" s="47">
        <v>35</v>
      </c>
      <c r="H6" s="133">
        <f t="shared" si="0"/>
        <v>0.35353535353535354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1"/>
        <v>323.33333333333331</v>
      </c>
      <c r="P6" s="119">
        <v>30</v>
      </c>
      <c r="Q6" s="103">
        <v>9700</v>
      </c>
    </row>
    <row r="7" spans="1:17" x14ac:dyDescent="0.4">
      <c r="A7" s="55" t="s">
        <v>2</v>
      </c>
      <c r="B7" s="47">
        <v>10</v>
      </c>
      <c r="C7" s="39">
        <f>IF(B$2=0,0,B7/B$2)</f>
        <v>0.27027027027027029</v>
      </c>
      <c r="E7" s="63" t="s">
        <v>68</v>
      </c>
      <c r="F7" s="60" t="s">
        <v>24</v>
      </c>
      <c r="G7" s="47">
        <v>26</v>
      </c>
      <c r="H7" s="133">
        <f t="shared" si="0"/>
        <v>0.26262626262626265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1"/>
        <v>772.41379310344826</v>
      </c>
      <c r="P7" s="120">
        <v>29</v>
      </c>
      <c r="Q7" s="104">
        <v>22400</v>
      </c>
    </row>
    <row r="8" spans="1:17" x14ac:dyDescent="0.4">
      <c r="A8" s="55" t="s">
        <v>3</v>
      </c>
      <c r="B8" s="47">
        <v>14</v>
      </c>
      <c r="C8" s="39">
        <f>IF(B$2=0,0,B8/B$2)</f>
        <v>0.3783783783783784</v>
      </c>
      <c r="E8" s="63" t="s">
        <v>71</v>
      </c>
      <c r="F8" s="60" t="s">
        <v>26</v>
      </c>
      <c r="G8" s="47">
        <v>12</v>
      </c>
      <c r="H8" s="133">
        <f t="shared" si="0"/>
        <v>0.12121212121212122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2">IF(B$2=0,0,B9/B$2)</f>
        <v>0.35135135135135137</v>
      </c>
      <c r="E9" s="63" t="s">
        <v>90</v>
      </c>
      <c r="F9" s="60" t="s">
        <v>45</v>
      </c>
      <c r="G9" s="47">
        <v>12</v>
      </c>
      <c r="H9" s="133">
        <f t="shared" si="0"/>
        <v>0.12121212121212122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0.10810810810810811</v>
      </c>
      <c r="E10" s="63" t="s">
        <v>70</v>
      </c>
      <c r="F10" s="60" t="s">
        <v>25</v>
      </c>
      <c r="G10" s="47">
        <v>11</v>
      </c>
      <c r="H10" s="133">
        <f t="shared" si="0"/>
        <v>0.1111111111111111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5.4054054054054057E-2</v>
      </c>
      <c r="E11" s="63" t="s">
        <v>66</v>
      </c>
      <c r="F11" s="60" t="s">
        <v>22</v>
      </c>
      <c r="G11" s="47">
        <v>8</v>
      </c>
      <c r="H11" s="133">
        <f t="shared" si="0"/>
        <v>8.0808080808080815E-2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2.7027027027027029E-2</v>
      </c>
      <c r="E12" s="63" t="s">
        <v>72</v>
      </c>
      <c r="F12" s="60" t="s">
        <v>27</v>
      </c>
      <c r="G12" s="47">
        <v>6</v>
      </c>
      <c r="H12" s="133">
        <f t="shared" si="0"/>
        <v>6.0606060606060608E-2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75</v>
      </c>
      <c r="C13" s="44">
        <f>IF(B$3=0,0,B13/B$3)</f>
        <v>0.22865853658536586</v>
      </c>
      <c r="E13" s="63" t="s">
        <v>87</v>
      </c>
      <c r="F13" s="60" t="s">
        <v>42</v>
      </c>
      <c r="G13" s="47">
        <v>4</v>
      </c>
      <c r="H13" s="133">
        <f t="shared" si="0"/>
        <v>4.0404040404040407E-2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82</v>
      </c>
      <c r="C14" s="39">
        <f>IF(B$3=0,0,B14/B$3)</f>
        <v>0.25</v>
      </c>
      <c r="E14" s="63" t="s">
        <v>74</v>
      </c>
      <c r="F14" s="60" t="s">
        <v>29</v>
      </c>
      <c r="G14" s="47">
        <v>2</v>
      </c>
      <c r="H14" s="133">
        <f t="shared" si="0"/>
        <v>2.0202020202020204E-2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46</v>
      </c>
      <c r="C15" s="37">
        <f>IF(B$13=0,0,B15/B$13)</f>
        <v>0.61333333333333329</v>
      </c>
      <c r="E15" s="63" t="s">
        <v>79</v>
      </c>
      <c r="F15" s="60" t="s">
        <v>34</v>
      </c>
      <c r="G15" s="47">
        <v>2</v>
      </c>
      <c r="H15" s="133">
        <f t="shared" si="0"/>
        <v>2.0202020202020204E-2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 t="shared" ref="O15:O22" si="3"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0.32926829268292684</v>
      </c>
      <c r="E16" s="63" t="s">
        <v>80</v>
      </c>
      <c r="F16" s="60" t="s">
        <v>35</v>
      </c>
      <c r="G16" s="47">
        <v>2</v>
      </c>
      <c r="H16" s="133">
        <f t="shared" si="0"/>
        <v>2.0202020202020204E-2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 t="shared" si="3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0.30182926829268292</v>
      </c>
      <c r="E17" s="63" t="s">
        <v>84</v>
      </c>
      <c r="F17" s="60" t="s">
        <v>39</v>
      </c>
      <c r="G17" s="47">
        <v>2</v>
      </c>
      <c r="H17" s="133">
        <f t="shared" si="0"/>
        <v>2.0202020202020204E-2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 t="shared" si="3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0.51515151515151514</v>
      </c>
      <c r="E18" s="63" t="s">
        <v>92</v>
      </c>
      <c r="F18" s="60" t="s">
        <v>47</v>
      </c>
      <c r="G18" s="47">
        <v>1</v>
      </c>
      <c r="H18" s="133">
        <f t="shared" si="0"/>
        <v>1.0101010101010102E-2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 t="shared" si="3"/>
        <v>-17.726666666666667</v>
      </c>
      <c r="P18" s="119">
        <v>15</v>
      </c>
      <c r="Q18" s="107">
        <v>-265.89999999999998</v>
      </c>
    </row>
    <row r="19" spans="1:17" x14ac:dyDescent="0.4">
      <c r="A19" s="55" t="s">
        <v>11</v>
      </c>
      <c r="B19" s="47">
        <v>48</v>
      </c>
      <c r="C19" s="39">
        <f>IF(B$17=0,0,B19/B$17)</f>
        <v>0.48484848484848486</v>
      </c>
      <c r="E19" s="63" t="s">
        <v>180</v>
      </c>
      <c r="F19" s="60" t="s">
        <v>183</v>
      </c>
      <c r="G19" s="47">
        <v>1</v>
      </c>
      <c r="H19" s="133">
        <f t="shared" si="0"/>
        <v>1.0101010101010102E-2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 t="shared" si="3"/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62</v>
      </c>
      <c r="C20" s="39">
        <f>IF(B$3=0,0,B20/B$3)</f>
        <v>0.18902439024390244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 t="shared" si="3"/>
        <v>-25.173684210526311</v>
      </c>
      <c r="P20" s="119">
        <v>19</v>
      </c>
      <c r="Q20" s="107">
        <v>-478.2999999999999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 t="shared" si="3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6966.666666666667</v>
      </c>
      <c r="C23" s="41">
        <v>689700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-7904.8387096774195</v>
      </c>
      <c r="C24" s="45">
        <v>-490100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 t="shared" si="0"/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3.0487804878048782E-3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7D19-1CDD-4B41-B425-D748763A501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 t="shared" ref="H2:H33" si="0"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 t="shared" si="0"/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1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 t="shared" si="0"/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1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 t="shared" si="0"/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1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 t="shared" si="0"/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1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 t="shared" si="0"/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1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 t="shared" si="0"/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2">IF(B$2=0,0,B9/B$2)</f>
        <v>0.375</v>
      </c>
      <c r="E9" s="63" t="s">
        <v>90</v>
      </c>
      <c r="F9" s="60" t="s">
        <v>45</v>
      </c>
      <c r="G9" s="47">
        <v>6</v>
      </c>
      <c r="H9" s="133">
        <f t="shared" si="0"/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 t="shared" si="0"/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 t="shared" si="0"/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 t="shared" si="0"/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 t="shared" si="0"/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 t="shared" si="0"/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 t="shared" si="0"/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 t="shared" ref="O15:O23" si="3"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 t="shared" si="0"/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 t="shared" si="3"/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 t="shared" si="0"/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 t="shared" si="3"/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 t="shared" si="0"/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 t="shared" si="3"/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 t="shared" si="0"/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 t="shared" si="3"/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 t="shared" si="3"/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 t="shared" si="3"/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 t="shared" si="3"/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 t="shared" si="0"/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 t="shared" si="3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8CF9F-1E3E-4103-BF4B-88C43EB75220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 t="shared" si="0"/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 t="shared" si="0"/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 t="shared" si="0"/>
        <v>0.4</v>
      </c>
      <c r="I6" s="94">
        <v>1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 t="shared" si="0"/>
        <v>0.4</v>
      </c>
      <c r="I7" s="94">
        <v>7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 t="shared" si="0"/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70</v>
      </c>
      <c r="F9" s="60" t="s">
        <v>25</v>
      </c>
      <c r="G9" s="47">
        <v>1</v>
      </c>
      <c r="H9" s="133">
        <f t="shared" si="0"/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 t="shared" si="0"/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 t="shared" si="0"/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 t="shared" si="0"/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3"/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6F54-EF0B-4E61-ACF3-3681F98AF5C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 t="shared" ref="H2:H33" si="0"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 t="shared" si="0"/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1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 t="shared" si="0"/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1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 t="shared" si="0"/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1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 t="shared" si="0"/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1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 t="shared" si="0"/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1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 t="shared" si="0"/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2">IF(B$2=0,0,B9/B$2)</f>
        <v>0.6</v>
      </c>
      <c r="E9" s="63" t="s">
        <v>68</v>
      </c>
      <c r="F9" s="60" t="s">
        <v>24</v>
      </c>
      <c r="G9" s="47">
        <v>2</v>
      </c>
      <c r="H9" s="133">
        <f t="shared" si="0"/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 t="shared" si="0"/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 t="shared" si="0"/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 t="shared" si="0"/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 t="shared" si="0"/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 t="shared" si="0"/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 t="shared" si="0"/>
        <v>0.05</v>
      </c>
      <c r="I15" s="94">
        <v>2</v>
      </c>
      <c r="N15" s="114" t="s">
        <v>129</v>
      </c>
      <c r="O15" s="124">
        <f t="shared" ref="O15:O21" si="3"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 t="shared" si="0"/>
        <v>0</v>
      </c>
      <c r="I16" s="94">
        <v>10</v>
      </c>
      <c r="N16" s="115" t="s">
        <v>172</v>
      </c>
      <c r="O16" s="125">
        <f t="shared" si="3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 t="shared" si="0"/>
        <v>0</v>
      </c>
      <c r="I17" s="94">
        <v>10</v>
      </c>
      <c r="N17" s="115" t="s">
        <v>128</v>
      </c>
      <c r="O17" s="125">
        <f t="shared" si="3"/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4</v>
      </c>
      <c r="N18" s="115" t="s">
        <v>171</v>
      </c>
      <c r="O18" s="125">
        <f t="shared" si="3"/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  <c r="N19" s="115" t="s">
        <v>127</v>
      </c>
      <c r="O19" s="125">
        <f t="shared" si="3"/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5</v>
      </c>
      <c r="N20" s="115" t="s">
        <v>177</v>
      </c>
      <c r="O20" s="125">
        <f t="shared" si="3"/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11</v>
      </c>
      <c r="N21" s="115" t="s">
        <v>185</v>
      </c>
      <c r="O21" s="125">
        <f t="shared" si="3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 t="shared" si="0"/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 t="shared" si="0"/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7110-2F20-4AE6-B4CE-7F5C7930355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 t="shared" ref="H2:H33" si="0"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 t="shared" si="0"/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1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 t="shared" si="0"/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1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 t="shared" si="0"/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1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 t="shared" si="0"/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1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 t="shared" si="0"/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1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 t="shared" si="0"/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2">IF(B$2=0,0,B9/B$2)</f>
        <v>0.2</v>
      </c>
      <c r="E9" s="63" t="s">
        <v>79</v>
      </c>
      <c r="F9" s="60" t="s">
        <v>34</v>
      </c>
      <c r="G9" s="47">
        <v>2</v>
      </c>
      <c r="H9" s="133">
        <f t="shared" si="0"/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 t="shared" si="0"/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 t="shared" si="0"/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 t="shared" si="0"/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 t="shared" si="0"/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 t="shared" si="0"/>
        <v>0</v>
      </c>
      <c r="I15" s="94">
        <v>6</v>
      </c>
      <c r="N15" s="114" t="s">
        <v>171</v>
      </c>
      <c r="O15" s="124">
        <f t="shared" ref="O15:O20" si="3"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 t="shared" si="0"/>
        <v>0</v>
      </c>
      <c r="I16" s="94">
        <v>4</v>
      </c>
      <c r="N16" s="115" t="s">
        <v>173</v>
      </c>
      <c r="O16" s="125">
        <f t="shared" si="3"/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 t="shared" si="0"/>
        <v>0</v>
      </c>
      <c r="I17" s="94">
        <v>7</v>
      </c>
      <c r="N17" s="115" t="s">
        <v>172</v>
      </c>
      <c r="O17" s="125">
        <f t="shared" si="3"/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 t="shared" si="0"/>
        <v>0</v>
      </c>
      <c r="I18" s="94">
        <v>1</v>
      </c>
      <c r="N18" s="115" t="s">
        <v>127</v>
      </c>
      <c r="O18" s="125">
        <f t="shared" si="3"/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 t="shared" si="0"/>
        <v>0</v>
      </c>
      <c r="I19" s="94">
        <v>5</v>
      </c>
      <c r="N19" s="115" t="s">
        <v>128</v>
      </c>
      <c r="O19" s="125">
        <f t="shared" si="3"/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8</v>
      </c>
      <c r="N20" s="115" t="s">
        <v>177</v>
      </c>
      <c r="O20" s="125">
        <f t="shared" si="3"/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270-9F00-463A-89D6-BDCDB8C9E634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 t="shared" ref="H2:H33" si="0"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 t="shared" si="0"/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 t="shared" si="0"/>
        <v>0.5</v>
      </c>
      <c r="I4" s="94">
        <v>3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 t="shared" si="0"/>
        <v>0.5</v>
      </c>
      <c r="I5" s="94">
        <v>2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 t="shared" si="0"/>
        <v>0.5</v>
      </c>
      <c r="I7" s="94">
        <v>1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 t="shared" si="0"/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70</v>
      </c>
      <c r="F9" s="60" t="s">
        <v>25</v>
      </c>
      <c r="G9" s="47">
        <v>0</v>
      </c>
      <c r="H9" s="133">
        <f t="shared" si="0"/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 t="shared" si="0"/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 t="shared" si="0"/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 t="shared" si="0"/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3"/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262B-2905-4127-B7C8-855926EEED7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 t="shared" ref="H2:H33" si="0"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 t="shared" si="0"/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1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 t="shared" si="0"/>
        <v>0.66666666666666663</v>
      </c>
      <c r="I4" s="94">
        <v>1</v>
      </c>
      <c r="N4" s="115" t="s">
        <v>134</v>
      </c>
      <c r="O4" s="122">
        <f t="shared" si="1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 t="shared" si="0"/>
        <v>0.33333333333333331</v>
      </c>
      <c r="I5" s="94">
        <v>11</v>
      </c>
      <c r="N5" s="115" t="s">
        <v>135</v>
      </c>
      <c r="O5" s="122">
        <f t="shared" si="1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 t="shared" si="0"/>
        <v>0.33333333333333331</v>
      </c>
      <c r="I6" s="94">
        <v>1</v>
      </c>
      <c r="N6" s="115" t="s">
        <v>136</v>
      </c>
      <c r="O6" s="122">
        <f t="shared" si="1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 t="shared" si="0"/>
        <v>0.33333333333333331</v>
      </c>
      <c r="I7" s="94">
        <v>2</v>
      </c>
      <c r="N7" s="116" t="s">
        <v>137</v>
      </c>
      <c r="O7" s="123">
        <f t="shared" si="1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 t="shared" si="0"/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2">IF(B$2=0,0,B9/B$2)</f>
        <v>1</v>
      </c>
      <c r="E9" s="63" t="s">
        <v>66</v>
      </c>
      <c r="F9" s="60" t="s">
        <v>22</v>
      </c>
      <c r="G9" s="47">
        <v>0</v>
      </c>
      <c r="H9" s="133">
        <f t="shared" si="0"/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 t="shared" si="0"/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 t="shared" si="0"/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 t="shared" si="0"/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 t="shared" si="0"/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 t="shared" si="0"/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 t="shared" si="0"/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 t="shared" si="0"/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5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3"/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CBF3-619C-4E37-AB78-7DEB9354A1B2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A74D-D056-48FF-94D8-C6F1F937424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C921-6190-4B52-9162-FB5A0CA66215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8E590-A1FD-46D9-A77C-794F023B81C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E382-B604-4C56-A954-43888DD1D7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3BC5-70E9-450A-BC27-32CE82001F55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954F6-F7B1-415F-A117-435E0D1FC9E6}">
  <sheetPr codeName="Sheet18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07EA1-2CB3-406F-9425-3F0AD29E7B00}">
  <sheetPr codeName="Sheet16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1C8B-B86A-467E-AA9C-DCBA87AE0C5A}">
  <sheetPr codeName="Sheet14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7CE3-4346-412C-B496-FE2DD71485C3}">
  <sheetPr codeName="Sheet12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85E2-7960-40C7-9F36-AF4A01C142D4}">
  <sheetPr codeName="Sheet10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6C294-5717-4A06-81B5-A0D50C02A4BF}">
  <sheetPr codeName="Sheet8"/>
  <dimension ref="A1:Q9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A05-B042-4F5F-8C97-6F005D521AC7}">
  <sheetPr codeName="Sheet6"/>
  <dimension ref="A1:Q1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2019-05-17T00:04:58Z</dcterms:modified>
</cp:coreProperties>
</file>