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A3343154-BB59-4F62-93A4-8550EC63F6E6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53" r:id="rId6"/>
    <sheet name="だいち" sheetId="5455" r:id="rId7"/>
    <sheet name="りくと" sheetId="5457" r:id="rId8"/>
    <sheet name="ただ" sheetId="5459" r:id="rId9"/>
    <sheet name="れんたろう" sheetId="5461" r:id="rId10"/>
    <sheet name="たかの" sheetId="5463" r:id="rId11"/>
    <sheet name="ぱぱ" sheetId="5465" r:id="rId12"/>
    <sheet name="まっつん" sheetId="5467" r:id="rId13"/>
    <sheet name="あさひ" sheetId="5469" r:id="rId14"/>
    <sheet name="いっしー" sheetId="5471" r:id="rId15"/>
    <sheet name="ほたに" sheetId="5473" r:id="rId16"/>
    <sheet name="かわたつ" sheetId="5475" r:id="rId17"/>
    <sheet name="やがさき" sheetId="5477" r:id="rId18"/>
    <sheet name="やがさき2" sheetId="5478" state="hidden" r:id="rId19"/>
    <sheet name="かわたつ2" sheetId="5476" state="hidden" r:id="rId20"/>
    <sheet name="ほたに2" sheetId="5474" state="hidden" r:id="rId21"/>
    <sheet name="いっしー2" sheetId="5472" state="hidden" r:id="rId22"/>
    <sheet name="あさひ2" sheetId="5470" state="hidden" r:id="rId23"/>
    <sheet name="まっつん2" sheetId="5468" state="hidden" r:id="rId24"/>
    <sheet name="ぱぱ2" sheetId="5466" state="hidden" r:id="rId25"/>
    <sheet name="たかの2" sheetId="5464" state="hidden" r:id="rId26"/>
    <sheet name="れんたろう2" sheetId="5462" state="hidden" r:id="rId27"/>
    <sheet name="ただ2" sheetId="5460" state="hidden" r:id="rId28"/>
    <sheet name="りくと2" sheetId="5458" state="hidden" r:id="rId29"/>
    <sheet name="だいち2" sheetId="5456" state="hidden" r:id="rId30"/>
    <sheet name="全体2" sheetId="5454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55" l="1"/>
  <c r="O15" i="5477"/>
  <c r="O15" i="5459" l="1"/>
  <c r="O16" i="5463"/>
  <c r="O16" i="5453"/>
  <c r="O17" i="5477"/>
  <c r="O16" i="5477"/>
  <c r="C27" i="5477"/>
  <c r="B24" i="5477"/>
  <c r="C20" i="5477"/>
  <c r="B17" i="5477"/>
  <c r="H51" i="5477" s="1"/>
  <c r="C16" i="5477"/>
  <c r="C15" i="5477"/>
  <c r="C14" i="5477"/>
  <c r="C13" i="5477"/>
  <c r="O12" i="5477"/>
  <c r="C12" i="5477"/>
  <c r="O11" i="5477"/>
  <c r="C11" i="5477"/>
  <c r="O10" i="5477"/>
  <c r="C10" i="5477"/>
  <c r="C9" i="5477"/>
  <c r="C8" i="5477"/>
  <c r="O7" i="5477"/>
  <c r="C7" i="5477"/>
  <c r="O6" i="5477"/>
  <c r="B6" i="5477"/>
  <c r="O5" i="5477"/>
  <c r="B5" i="5477"/>
  <c r="O4" i="5477"/>
  <c r="O3" i="5477"/>
  <c r="O2" i="5477"/>
  <c r="O15" i="5475"/>
  <c r="O16" i="5475"/>
  <c r="C27" i="5475"/>
  <c r="B24" i="5475"/>
  <c r="C20" i="5475"/>
  <c r="B17" i="5475"/>
  <c r="H52" i="5475" s="1"/>
  <c r="C16" i="5475"/>
  <c r="C15" i="5475"/>
  <c r="C14" i="5475"/>
  <c r="C13" i="5475"/>
  <c r="O12" i="5475"/>
  <c r="C12" i="5475"/>
  <c r="O11" i="5475"/>
  <c r="C11" i="5475"/>
  <c r="O10" i="5475"/>
  <c r="C10" i="5475"/>
  <c r="C9" i="5475"/>
  <c r="C8" i="5475"/>
  <c r="O7" i="5475"/>
  <c r="C7" i="5475"/>
  <c r="O6" i="5475"/>
  <c r="B6" i="5475"/>
  <c r="O5" i="5475"/>
  <c r="B5" i="5475"/>
  <c r="O4" i="5475"/>
  <c r="O3" i="5475"/>
  <c r="O2" i="5475"/>
  <c r="O23" i="5461"/>
  <c r="O16" i="5455"/>
  <c r="O25" i="5453"/>
  <c r="H14" i="5477" l="1"/>
  <c r="H4" i="5477"/>
  <c r="H2" i="5477"/>
  <c r="H8" i="5477"/>
  <c r="H7" i="5477"/>
  <c r="H16" i="5477"/>
  <c r="H40" i="5477"/>
  <c r="B23" i="5477"/>
  <c r="H28" i="5477"/>
  <c r="H44" i="5477"/>
  <c r="H3" i="5477"/>
  <c r="H6" i="5477"/>
  <c r="H11" i="5477"/>
  <c r="C17" i="5477"/>
  <c r="H32" i="5477"/>
  <c r="H48" i="5477"/>
  <c r="H5" i="5477"/>
  <c r="H10" i="5477"/>
  <c r="H13" i="5477"/>
  <c r="C18" i="5477"/>
  <c r="H25" i="5477"/>
  <c r="H36" i="5477"/>
  <c r="H52" i="5477"/>
  <c r="H18" i="5477"/>
  <c r="H20" i="5477"/>
  <c r="H23" i="5477"/>
  <c r="H26" i="5477"/>
  <c r="H29" i="5477"/>
  <c r="H33" i="5477"/>
  <c r="H37" i="5477"/>
  <c r="H41" i="5477"/>
  <c r="H45" i="5477"/>
  <c r="H49" i="5477"/>
  <c r="H15" i="5477"/>
  <c r="C19" i="5477"/>
  <c r="H21" i="5477"/>
  <c r="H30" i="5477"/>
  <c r="H34" i="5477"/>
  <c r="H38" i="5477"/>
  <c r="H42" i="5477"/>
  <c r="H46" i="5477"/>
  <c r="H50" i="5477"/>
  <c r="H9" i="5477"/>
  <c r="H12" i="5477"/>
  <c r="H17" i="5477"/>
  <c r="H19" i="5477"/>
  <c r="H22" i="5477"/>
  <c r="H24" i="5477"/>
  <c r="H27" i="5477"/>
  <c r="H31" i="5477"/>
  <c r="H35" i="5477"/>
  <c r="H39" i="5477"/>
  <c r="H43" i="5477"/>
  <c r="H47" i="5477"/>
  <c r="H14" i="5475"/>
  <c r="H8" i="5475"/>
  <c r="B23" i="5475"/>
  <c r="H25" i="5475"/>
  <c r="H5" i="5475"/>
  <c r="C17" i="5475"/>
  <c r="H4" i="5475"/>
  <c r="H11" i="5475"/>
  <c r="C18" i="5475"/>
  <c r="H2" i="5475"/>
  <c r="H10" i="5475"/>
  <c r="H16" i="5475"/>
  <c r="H20" i="5475"/>
  <c r="H26" i="5475"/>
  <c r="H33" i="5475"/>
  <c r="H45" i="5475"/>
  <c r="H13" i="5475"/>
  <c r="H15" i="5475"/>
  <c r="C19" i="5475"/>
  <c r="H21" i="5475"/>
  <c r="H30" i="5475"/>
  <c r="H34" i="5475"/>
  <c r="H38" i="5475"/>
  <c r="H42" i="5475"/>
  <c r="H46" i="5475"/>
  <c r="H50" i="5475"/>
  <c r="H18" i="5475"/>
  <c r="H23" i="5475"/>
  <c r="H29" i="5475"/>
  <c r="H37" i="5475"/>
  <c r="H41" i="5475"/>
  <c r="H49" i="5475"/>
  <c r="H7" i="5475"/>
  <c r="H3" i="5475"/>
  <c r="H6" i="5475"/>
  <c r="H9" i="5475"/>
  <c r="H12" i="5475"/>
  <c r="H17" i="5475"/>
  <c r="H19" i="5475"/>
  <c r="H22" i="5475"/>
  <c r="H24" i="5475"/>
  <c r="H27" i="5475"/>
  <c r="H31" i="5475"/>
  <c r="H35" i="5475"/>
  <c r="H39" i="5475"/>
  <c r="H43" i="5475"/>
  <c r="H47" i="5475"/>
  <c r="H51" i="5475"/>
  <c r="H28" i="5475"/>
  <c r="H32" i="5475"/>
  <c r="H36" i="5475"/>
  <c r="H40" i="5475"/>
  <c r="H44" i="5475"/>
  <c r="H48" i="5475"/>
  <c r="O17" i="5463" l="1"/>
  <c r="O17" i="5471"/>
  <c r="O20" i="5473" l="1"/>
  <c r="O18" i="5473"/>
  <c r="O16" i="5467"/>
  <c r="O20" i="5457"/>
  <c r="O24" i="5455" l="1"/>
  <c r="O17" i="5473"/>
  <c r="O21" i="5465"/>
  <c r="O15" i="5473"/>
  <c r="O16" i="5473" l="1"/>
  <c r="O19" i="5473"/>
  <c r="C27" i="5473"/>
  <c r="B24" i="5473"/>
  <c r="C20" i="5473"/>
  <c r="B17" i="5473"/>
  <c r="H51" i="5473" s="1"/>
  <c r="C16" i="5473"/>
  <c r="C15" i="5473"/>
  <c r="C14" i="5473"/>
  <c r="C13" i="5473"/>
  <c r="O12" i="5473"/>
  <c r="C12" i="5473"/>
  <c r="O11" i="5473"/>
  <c r="C11" i="5473"/>
  <c r="O10" i="5473"/>
  <c r="C10" i="5473"/>
  <c r="C9" i="5473"/>
  <c r="C8" i="5473"/>
  <c r="O7" i="5473"/>
  <c r="C7" i="5473"/>
  <c r="O6" i="5473"/>
  <c r="B6" i="5473"/>
  <c r="O5" i="5473"/>
  <c r="B5" i="5473"/>
  <c r="O4" i="5473"/>
  <c r="O3" i="5473"/>
  <c r="O2" i="5473"/>
  <c r="O21" i="5461"/>
  <c r="O20" i="5463"/>
  <c r="O22" i="5453"/>
  <c r="H2" i="5473" l="1"/>
  <c r="H11" i="5473"/>
  <c r="H4" i="5473"/>
  <c r="H10" i="5473"/>
  <c r="H16" i="5473"/>
  <c r="H8" i="5473"/>
  <c r="H14" i="5473"/>
  <c r="H5" i="5473"/>
  <c r="C19" i="5473"/>
  <c r="H30" i="5473"/>
  <c r="H38" i="5473"/>
  <c r="H46" i="5473"/>
  <c r="H25" i="5473"/>
  <c r="H48" i="5473"/>
  <c r="H32" i="5473"/>
  <c r="H7" i="5473"/>
  <c r="H15" i="5473"/>
  <c r="H42" i="5473"/>
  <c r="H50" i="5473"/>
  <c r="H40" i="5473"/>
  <c r="H13" i="5473"/>
  <c r="C17" i="5473"/>
  <c r="H21" i="5473"/>
  <c r="H34" i="5473"/>
  <c r="H3" i="5473"/>
  <c r="H6" i="5473"/>
  <c r="H9" i="5473"/>
  <c r="H12" i="5473"/>
  <c r="C18" i="5473"/>
  <c r="B23" i="5473"/>
  <c r="H28" i="5473"/>
  <c r="H36" i="5473"/>
  <c r="H44" i="5473"/>
  <c r="H52" i="5473"/>
  <c r="H18" i="5473"/>
  <c r="H20" i="5473"/>
  <c r="H23" i="5473"/>
  <c r="H26" i="5473"/>
  <c r="H29" i="5473"/>
  <c r="H33" i="5473"/>
  <c r="H37" i="5473"/>
  <c r="H41" i="5473"/>
  <c r="H45" i="5473"/>
  <c r="H49" i="5473"/>
  <c r="H17" i="5473"/>
  <c r="H19" i="5473"/>
  <c r="H22" i="5473"/>
  <c r="H24" i="5473"/>
  <c r="H27" i="5473"/>
  <c r="H31" i="5473"/>
  <c r="H35" i="5473"/>
  <c r="H39" i="5473"/>
  <c r="H43" i="5473"/>
  <c r="H47" i="5473"/>
  <c r="O22" i="5463" l="1"/>
  <c r="O17" i="5459"/>
  <c r="O21" i="5467"/>
  <c r="O18" i="5467"/>
  <c r="O22" i="5455" l="1"/>
  <c r="O16" i="5471"/>
  <c r="O20" i="5471" l="1"/>
  <c r="O15" i="5471"/>
  <c r="O15" i="5461"/>
  <c r="O22" i="5459"/>
  <c r="O17" i="5469" l="1"/>
  <c r="O22" i="5465"/>
  <c r="O15" i="5469"/>
  <c r="O21" i="5471"/>
  <c r="O15" i="5457"/>
  <c r="O17" i="5467"/>
  <c r="O18" i="5453"/>
  <c r="O19" i="5471"/>
  <c r="O18" i="5471"/>
  <c r="C27" i="5471"/>
  <c r="B24" i="5471"/>
  <c r="C20" i="5471"/>
  <c r="B17" i="5471"/>
  <c r="H52" i="5471" s="1"/>
  <c r="C16" i="5471"/>
  <c r="C15" i="5471"/>
  <c r="C14" i="5471"/>
  <c r="C13" i="5471"/>
  <c r="O12" i="5471"/>
  <c r="C12" i="5471"/>
  <c r="O11" i="5471"/>
  <c r="C11" i="5471"/>
  <c r="O10" i="5471"/>
  <c r="C10" i="5471"/>
  <c r="C9" i="5471"/>
  <c r="C8" i="5471"/>
  <c r="O7" i="5471"/>
  <c r="C7" i="5471"/>
  <c r="O6" i="5471"/>
  <c r="B6" i="5471"/>
  <c r="O5" i="5471"/>
  <c r="B5" i="5471"/>
  <c r="O4" i="5471"/>
  <c r="O3" i="5471"/>
  <c r="O2" i="5471"/>
  <c r="O16" i="5469"/>
  <c r="O18" i="5469"/>
  <c r="C27" i="5469"/>
  <c r="B24" i="5469"/>
  <c r="C20" i="5469"/>
  <c r="B17" i="5469"/>
  <c r="H51" i="5469" s="1"/>
  <c r="C16" i="5469"/>
  <c r="C15" i="5469"/>
  <c r="C14" i="5469"/>
  <c r="C13" i="5469"/>
  <c r="O12" i="5469"/>
  <c r="C12" i="5469"/>
  <c r="O11" i="5469"/>
  <c r="C11" i="5469"/>
  <c r="O10" i="5469"/>
  <c r="C10" i="5469"/>
  <c r="C9" i="5469"/>
  <c r="C8" i="5469"/>
  <c r="O7" i="5469"/>
  <c r="C7" i="5469"/>
  <c r="O6" i="5469"/>
  <c r="B6" i="5469"/>
  <c r="O5" i="5469"/>
  <c r="B5" i="5469"/>
  <c r="O4" i="5469"/>
  <c r="O3" i="5469"/>
  <c r="O2" i="5469"/>
  <c r="O22" i="5467"/>
  <c r="O23" i="5467"/>
  <c r="O15" i="5455"/>
  <c r="O20" i="5455"/>
  <c r="O26" i="5453"/>
  <c r="H6" i="5469" l="1"/>
  <c r="H16" i="5469"/>
  <c r="H28" i="5469"/>
  <c r="H3" i="5469"/>
  <c r="B23" i="5469"/>
  <c r="H44" i="5469"/>
  <c r="H5" i="5469"/>
  <c r="H12" i="5469"/>
  <c r="H14" i="5469"/>
  <c r="H32" i="5469"/>
  <c r="H9" i="5469"/>
  <c r="H11" i="5469"/>
  <c r="C18" i="5469"/>
  <c r="H2" i="5469"/>
  <c r="C19" i="5469"/>
  <c r="H48" i="5469"/>
  <c r="H25" i="5469"/>
  <c r="H36" i="5469"/>
  <c r="H52" i="5469"/>
  <c r="H4" i="5469"/>
  <c r="H8" i="5469"/>
  <c r="H10" i="5469"/>
  <c r="H7" i="5469"/>
  <c r="H13" i="5469"/>
  <c r="H15" i="5469"/>
  <c r="C17" i="5469"/>
  <c r="H21" i="5469"/>
  <c r="H40" i="5469"/>
  <c r="H2" i="5471"/>
  <c r="H13" i="5471"/>
  <c r="C17" i="5471"/>
  <c r="H21" i="5471"/>
  <c r="H4" i="5471"/>
  <c r="H8" i="5471"/>
  <c r="H10" i="5471"/>
  <c r="H3" i="5471"/>
  <c r="C18" i="5471"/>
  <c r="H7" i="5471"/>
  <c r="H15" i="5471"/>
  <c r="H6" i="5471"/>
  <c r="H9" i="5471"/>
  <c r="H12" i="5471"/>
  <c r="H5" i="5471"/>
  <c r="H11" i="5471"/>
  <c r="H14" i="5471"/>
  <c r="H16" i="5471"/>
  <c r="C19" i="5471"/>
  <c r="H18" i="5471"/>
  <c r="H20" i="5471"/>
  <c r="H23" i="5471"/>
  <c r="H26" i="5471"/>
  <c r="H29" i="5471"/>
  <c r="H33" i="5471"/>
  <c r="H37" i="5471"/>
  <c r="H41" i="5471"/>
  <c r="H45" i="5471"/>
  <c r="H49" i="5471"/>
  <c r="H30" i="5471"/>
  <c r="H34" i="5471"/>
  <c r="H38" i="5471"/>
  <c r="H42" i="5471"/>
  <c r="H46" i="5471"/>
  <c r="H50" i="5471"/>
  <c r="H17" i="5471"/>
  <c r="H19" i="5471"/>
  <c r="H22" i="5471"/>
  <c r="H24" i="5471"/>
  <c r="H27" i="5471"/>
  <c r="H31" i="5471"/>
  <c r="H35" i="5471"/>
  <c r="H39" i="5471"/>
  <c r="H43" i="5471"/>
  <c r="H47" i="5471"/>
  <c r="H51" i="5471"/>
  <c r="B23" i="5471"/>
  <c r="H25" i="5471"/>
  <c r="H28" i="5471"/>
  <c r="H32" i="5471"/>
  <c r="H36" i="5471"/>
  <c r="H40" i="5471"/>
  <c r="H44" i="5471"/>
  <c r="H48" i="5471"/>
  <c r="H18" i="5469"/>
  <c r="H20" i="5469"/>
  <c r="H23" i="5469"/>
  <c r="H26" i="5469"/>
  <c r="H29" i="5469"/>
  <c r="H33" i="5469"/>
  <c r="H37" i="5469"/>
  <c r="H41" i="5469"/>
  <c r="H45" i="5469"/>
  <c r="H49" i="5469"/>
  <c r="H30" i="5469"/>
  <c r="H34" i="5469"/>
  <c r="H38" i="5469"/>
  <c r="H42" i="5469"/>
  <c r="H46" i="5469"/>
  <c r="H50" i="5469"/>
  <c r="H17" i="5469"/>
  <c r="H19" i="5469"/>
  <c r="H22" i="5469"/>
  <c r="H24" i="5469"/>
  <c r="H27" i="5469"/>
  <c r="H31" i="5469"/>
  <c r="H35" i="5469"/>
  <c r="H39" i="5469"/>
  <c r="H43" i="5469"/>
  <c r="H47" i="5469"/>
  <c r="O19" i="5467" l="1"/>
  <c r="O19" i="5465"/>
  <c r="O16" i="5465"/>
  <c r="O17" i="5457"/>
  <c r="O18" i="5463" l="1"/>
  <c r="O17" i="5461"/>
  <c r="O17" i="5465"/>
  <c r="O18" i="5465"/>
  <c r="O15" i="5463" l="1"/>
  <c r="O16" i="5461"/>
  <c r="O21" i="5459"/>
  <c r="O18" i="5459"/>
  <c r="O15" i="5467"/>
  <c r="O20" i="5467"/>
  <c r="C27" i="5467"/>
  <c r="B24" i="5467"/>
  <c r="C20" i="5467"/>
  <c r="B17" i="5467"/>
  <c r="H52" i="5467" s="1"/>
  <c r="C16" i="5467"/>
  <c r="C15" i="5467"/>
  <c r="C14" i="5467"/>
  <c r="C13" i="5467"/>
  <c r="O12" i="5467"/>
  <c r="C12" i="5467"/>
  <c r="O11" i="5467"/>
  <c r="C11" i="5467"/>
  <c r="O10" i="5467"/>
  <c r="C10" i="5467"/>
  <c r="C9" i="5467"/>
  <c r="C8" i="5467"/>
  <c r="O7" i="5467"/>
  <c r="C7" i="5467"/>
  <c r="O6" i="5467"/>
  <c r="B6" i="5467"/>
  <c r="O5" i="5467"/>
  <c r="B5" i="5467"/>
  <c r="O4" i="5467"/>
  <c r="O3" i="5467"/>
  <c r="O2" i="5467"/>
  <c r="O22" i="5461"/>
  <c r="O21" i="5457"/>
  <c r="O23" i="5453"/>
  <c r="H11" i="5467" l="1"/>
  <c r="H2" i="5467"/>
  <c r="C17" i="5467"/>
  <c r="H3" i="5467"/>
  <c r="H5" i="5467"/>
  <c r="H29" i="5467"/>
  <c r="H30" i="5467"/>
  <c r="H18" i="5467"/>
  <c r="H33" i="5467"/>
  <c r="H16" i="5467"/>
  <c r="H35" i="5467"/>
  <c r="H39" i="5467"/>
  <c r="H42" i="5467"/>
  <c r="H46" i="5467"/>
  <c r="H50" i="5467"/>
  <c r="H8" i="5467"/>
  <c r="H22" i="5467"/>
  <c r="H28" i="5467"/>
  <c r="C19" i="5467"/>
  <c r="H13" i="5467"/>
  <c r="H23" i="5467"/>
  <c r="H36" i="5467"/>
  <c r="H40" i="5467"/>
  <c r="H43" i="5467"/>
  <c r="H47" i="5467"/>
  <c r="H51" i="5467"/>
  <c r="H9" i="5467"/>
  <c r="H7" i="5467"/>
  <c r="H12" i="5467"/>
  <c r="H21" i="5467"/>
  <c r="H19" i="5467"/>
  <c r="H17" i="5467"/>
  <c r="H31" i="5467"/>
  <c r="H14" i="5467"/>
  <c r="H10" i="5467"/>
  <c r="H24" i="5467"/>
  <c r="H37" i="5467"/>
  <c r="H25" i="5467"/>
  <c r="H44" i="5467"/>
  <c r="H48" i="5467"/>
  <c r="H4" i="5467"/>
  <c r="H6" i="5467"/>
  <c r="H26" i="5467"/>
  <c r="H27" i="5467"/>
  <c r="H15" i="5467"/>
  <c r="C18" i="5467"/>
  <c r="B23" i="5467"/>
  <c r="H32" i="5467"/>
  <c r="H20" i="5467"/>
  <c r="H34" i="5467"/>
  <c r="H38" i="5467"/>
  <c r="H41" i="5467"/>
  <c r="H45" i="5467"/>
  <c r="H49" i="5467"/>
  <c r="O19" i="5459" l="1"/>
  <c r="O20" i="5465"/>
  <c r="O15" i="5465"/>
  <c r="C27" i="5465"/>
  <c r="B24" i="5465"/>
  <c r="C20" i="5465"/>
  <c r="B17" i="5465"/>
  <c r="H52" i="5465" s="1"/>
  <c r="C16" i="5465"/>
  <c r="C15" i="5465"/>
  <c r="C14" i="5465"/>
  <c r="C13" i="5465"/>
  <c r="O12" i="5465"/>
  <c r="C12" i="5465"/>
  <c r="O11" i="5465"/>
  <c r="C11" i="5465"/>
  <c r="O10" i="5465"/>
  <c r="C10" i="5465"/>
  <c r="C9" i="5465"/>
  <c r="C8" i="5465"/>
  <c r="O7" i="5465"/>
  <c r="C7" i="5465"/>
  <c r="O6" i="5465"/>
  <c r="B6" i="5465"/>
  <c r="O5" i="5465"/>
  <c r="B5" i="5465"/>
  <c r="O4" i="5465"/>
  <c r="O3" i="5465"/>
  <c r="O2" i="5465"/>
  <c r="O18" i="5455"/>
  <c r="O17" i="5453"/>
  <c r="O19" i="5463"/>
  <c r="O18" i="5457"/>
  <c r="O19" i="5457"/>
  <c r="O19" i="5461"/>
  <c r="O21" i="5463"/>
  <c r="O23" i="5463"/>
  <c r="C27" i="5463"/>
  <c r="B24" i="5463"/>
  <c r="C20" i="5463"/>
  <c r="B17" i="5463"/>
  <c r="H50" i="5463" s="1"/>
  <c r="C16" i="5463"/>
  <c r="C15" i="5463"/>
  <c r="C14" i="5463"/>
  <c r="C13" i="5463"/>
  <c r="O12" i="5463"/>
  <c r="C12" i="5463"/>
  <c r="O11" i="5463"/>
  <c r="C11" i="5463"/>
  <c r="O10" i="5463"/>
  <c r="C10" i="5463"/>
  <c r="C9" i="5463"/>
  <c r="C8" i="5463"/>
  <c r="O7" i="5463"/>
  <c r="C7" i="5463"/>
  <c r="O6" i="5463"/>
  <c r="B6" i="5463"/>
  <c r="O5" i="5463"/>
  <c r="B5" i="5463"/>
  <c r="O4" i="5463"/>
  <c r="O3" i="5463"/>
  <c r="O2" i="5463"/>
  <c r="O20" i="5461"/>
  <c r="O18" i="5461"/>
  <c r="C27" i="5461"/>
  <c r="B24" i="5461"/>
  <c r="C20" i="5461"/>
  <c r="B17" i="5461"/>
  <c r="H50" i="5461" s="1"/>
  <c r="C16" i="5461"/>
  <c r="C15" i="5461"/>
  <c r="C14" i="5461"/>
  <c r="C13" i="5461"/>
  <c r="O12" i="5461"/>
  <c r="C12" i="5461"/>
  <c r="O11" i="5461"/>
  <c r="C11" i="5461"/>
  <c r="O10" i="5461"/>
  <c r="C10" i="5461"/>
  <c r="C9" i="5461"/>
  <c r="C8" i="5461"/>
  <c r="O7" i="5461"/>
  <c r="C7" i="5461"/>
  <c r="O6" i="5461"/>
  <c r="B6" i="5461"/>
  <c r="O5" i="5461"/>
  <c r="B5" i="5461"/>
  <c r="O4" i="5461"/>
  <c r="O3" i="5461"/>
  <c r="O2" i="5461"/>
  <c r="O19" i="5455"/>
  <c r="O23" i="5455"/>
  <c r="O20" i="5453"/>
  <c r="O21" i="5453"/>
  <c r="C17" i="5465" l="1"/>
  <c r="H2" i="5465"/>
  <c r="H3" i="5465"/>
  <c r="H4" i="5465"/>
  <c r="H8" i="5465"/>
  <c r="H4" i="5463"/>
  <c r="H2" i="5463"/>
  <c r="H4" i="5461"/>
  <c r="H2" i="5461"/>
  <c r="H30" i="5465"/>
  <c r="H43" i="5465"/>
  <c r="H22" i="5465"/>
  <c r="H24" i="5465"/>
  <c r="C19" i="5465"/>
  <c r="H17" i="5465"/>
  <c r="H32" i="5465"/>
  <c r="H36" i="5465"/>
  <c r="H40" i="5465"/>
  <c r="H44" i="5465"/>
  <c r="H48" i="5465"/>
  <c r="H19" i="5465"/>
  <c r="H27" i="5465"/>
  <c r="H35" i="5465"/>
  <c r="H51" i="5465"/>
  <c r="H11" i="5465"/>
  <c r="H6" i="5465"/>
  <c r="H12" i="5465"/>
  <c r="H21" i="5465"/>
  <c r="H16" i="5465"/>
  <c r="H26" i="5465"/>
  <c r="H28" i="5465"/>
  <c r="H13" i="5465"/>
  <c r="H9" i="5465"/>
  <c r="H33" i="5465"/>
  <c r="H37" i="5465"/>
  <c r="H41" i="5465"/>
  <c r="H45" i="5465"/>
  <c r="H49" i="5465"/>
  <c r="H5" i="5465"/>
  <c r="H25" i="5465"/>
  <c r="H29" i="5465"/>
  <c r="H18" i="5465"/>
  <c r="H39" i="5465"/>
  <c r="H47" i="5465"/>
  <c r="H10" i="5465"/>
  <c r="H7" i="5465"/>
  <c r="H14" i="5465"/>
  <c r="H23" i="5465"/>
  <c r="H15" i="5465"/>
  <c r="C18" i="5465"/>
  <c r="B23" i="5465"/>
  <c r="H20" i="5465"/>
  <c r="H31" i="5465"/>
  <c r="H34" i="5465"/>
  <c r="H38" i="5465"/>
  <c r="H42" i="5465"/>
  <c r="H46" i="5465"/>
  <c r="H50" i="5465"/>
  <c r="H22" i="5463"/>
  <c r="C17" i="5463"/>
  <c r="H39" i="5463"/>
  <c r="H31" i="5463"/>
  <c r="H25" i="5463"/>
  <c r="H9" i="5463"/>
  <c r="H12" i="5463"/>
  <c r="H14" i="5463"/>
  <c r="H3" i="5463"/>
  <c r="H6" i="5463"/>
  <c r="H11" i="5463"/>
  <c r="H17" i="5463"/>
  <c r="H47" i="5463"/>
  <c r="H5" i="5463"/>
  <c r="H8" i="5463"/>
  <c r="H10" i="5463"/>
  <c r="H10" i="5461"/>
  <c r="H16" i="5463"/>
  <c r="C18" i="5463"/>
  <c r="B23" i="5463"/>
  <c r="H32" i="5463"/>
  <c r="H40" i="5463"/>
  <c r="H48" i="5463"/>
  <c r="H19" i="5463"/>
  <c r="H27" i="5463"/>
  <c r="H35" i="5463"/>
  <c r="H43" i="5463"/>
  <c r="H51" i="5463"/>
  <c r="H24" i="5463"/>
  <c r="H28" i="5463"/>
  <c r="H36" i="5463"/>
  <c r="H44" i="5463"/>
  <c r="H52" i="5463"/>
  <c r="H18" i="5463"/>
  <c r="H20" i="5463"/>
  <c r="H23" i="5463"/>
  <c r="H26" i="5463"/>
  <c r="H29" i="5463"/>
  <c r="H33" i="5463"/>
  <c r="H37" i="5463"/>
  <c r="H41" i="5463"/>
  <c r="H45" i="5463"/>
  <c r="H49" i="5463"/>
  <c r="H7" i="5463"/>
  <c r="H13" i="5463"/>
  <c r="H15" i="5463"/>
  <c r="C19" i="5463"/>
  <c r="H21" i="5463"/>
  <c r="H30" i="5463"/>
  <c r="H34" i="5463"/>
  <c r="H38" i="5463"/>
  <c r="H42" i="5463"/>
  <c r="H46" i="5463"/>
  <c r="H8" i="5461"/>
  <c r="H22" i="5461"/>
  <c r="H25" i="5461"/>
  <c r="H31" i="5461"/>
  <c r="H39" i="5461"/>
  <c r="H47" i="5461"/>
  <c r="H15" i="5461"/>
  <c r="H48" i="5461"/>
  <c r="C17" i="5461"/>
  <c r="H19" i="5461"/>
  <c r="H32" i="5461"/>
  <c r="H3" i="5461"/>
  <c r="H9" i="5461"/>
  <c r="H35" i="5461"/>
  <c r="H43" i="5461"/>
  <c r="H51" i="5461"/>
  <c r="C19" i="5461"/>
  <c r="H7" i="5461"/>
  <c r="H13" i="5461"/>
  <c r="B23" i="5461"/>
  <c r="H40" i="5461"/>
  <c r="H6" i="5461"/>
  <c r="H12" i="5461"/>
  <c r="H17" i="5461"/>
  <c r="H27" i="5461"/>
  <c r="H5" i="5461"/>
  <c r="H11" i="5461"/>
  <c r="H14" i="5461"/>
  <c r="H16" i="5461"/>
  <c r="C18" i="5461"/>
  <c r="H21" i="5461"/>
  <c r="H24" i="5461"/>
  <c r="H28" i="5461"/>
  <c r="H36" i="5461"/>
  <c r="H44" i="5461"/>
  <c r="H52" i="5461"/>
  <c r="H18" i="5461"/>
  <c r="H20" i="5461"/>
  <c r="H23" i="5461"/>
  <c r="H26" i="5461"/>
  <c r="H29" i="5461"/>
  <c r="H33" i="5461"/>
  <c r="H37" i="5461"/>
  <c r="H41" i="5461"/>
  <c r="H45" i="5461"/>
  <c r="H49" i="5461"/>
  <c r="H30" i="5461"/>
  <c r="H34" i="5461"/>
  <c r="H38" i="5461"/>
  <c r="H42" i="5461"/>
  <c r="H46" i="5461"/>
  <c r="O16" i="5459" l="1"/>
  <c r="O20" i="5459"/>
  <c r="C27" i="5459"/>
  <c r="B24" i="5459"/>
  <c r="C20" i="5459"/>
  <c r="B17" i="5459"/>
  <c r="H52" i="5459" s="1"/>
  <c r="C16" i="5459"/>
  <c r="C15" i="5459"/>
  <c r="C14" i="5459"/>
  <c r="C13" i="5459"/>
  <c r="O12" i="5459"/>
  <c r="C12" i="5459"/>
  <c r="O11" i="5459"/>
  <c r="C11" i="5459"/>
  <c r="O10" i="5459"/>
  <c r="C10" i="5459"/>
  <c r="C9" i="5459"/>
  <c r="C8" i="5459"/>
  <c r="O7" i="5459"/>
  <c r="C7" i="5459"/>
  <c r="O6" i="5459"/>
  <c r="B6" i="5459"/>
  <c r="O5" i="5459"/>
  <c r="B5" i="5459"/>
  <c r="O4" i="5459"/>
  <c r="O3" i="5459"/>
  <c r="O2" i="5459"/>
  <c r="O22" i="5457"/>
  <c r="O16" i="5457"/>
  <c r="C27" i="5457"/>
  <c r="B24" i="5457"/>
  <c r="C20" i="5457"/>
  <c r="B17" i="5457"/>
  <c r="H52" i="5457" s="1"/>
  <c r="C16" i="5457"/>
  <c r="C15" i="5457"/>
  <c r="C14" i="5457"/>
  <c r="C13" i="5457"/>
  <c r="O12" i="5457"/>
  <c r="C12" i="5457"/>
  <c r="O11" i="5457"/>
  <c r="C11" i="5457"/>
  <c r="O10" i="5457"/>
  <c r="C10" i="5457"/>
  <c r="C9" i="5457"/>
  <c r="C8" i="5457"/>
  <c r="O7" i="5457"/>
  <c r="C7" i="5457"/>
  <c r="O6" i="5457"/>
  <c r="B6" i="5457"/>
  <c r="O5" i="5457"/>
  <c r="B5" i="5457"/>
  <c r="O4" i="5457"/>
  <c r="O3" i="5457"/>
  <c r="O2" i="5457"/>
  <c r="O24" i="5453"/>
  <c r="O17" i="5455"/>
  <c r="O21" i="5455"/>
  <c r="C27" i="5455"/>
  <c r="B24" i="5455"/>
  <c r="C20" i="5455"/>
  <c r="B17" i="5455"/>
  <c r="H51" i="5455" s="1"/>
  <c r="C16" i="5455"/>
  <c r="C15" i="5455"/>
  <c r="C14" i="5455"/>
  <c r="C13" i="5455"/>
  <c r="O12" i="5455"/>
  <c r="C12" i="5455"/>
  <c r="O11" i="5455"/>
  <c r="C11" i="5455"/>
  <c r="O10" i="5455"/>
  <c r="C10" i="5455"/>
  <c r="C9" i="5455"/>
  <c r="C8" i="5455"/>
  <c r="O7" i="5455"/>
  <c r="C7" i="5455"/>
  <c r="O6" i="5455"/>
  <c r="B6" i="5455"/>
  <c r="O5" i="5455"/>
  <c r="B5" i="5455"/>
  <c r="O4" i="5455"/>
  <c r="O3" i="5455"/>
  <c r="O2" i="5455"/>
  <c r="O15" i="5453"/>
  <c r="O19" i="5453"/>
  <c r="C27" i="5453"/>
  <c r="B24" i="5453"/>
  <c r="C20" i="5453"/>
  <c r="B17" i="5453"/>
  <c r="H19" i="5453" s="1"/>
  <c r="C16" i="5453"/>
  <c r="C15" i="5453"/>
  <c r="C14" i="5453"/>
  <c r="C13" i="5453"/>
  <c r="O12" i="5453"/>
  <c r="C12" i="5453"/>
  <c r="O11" i="5453"/>
  <c r="C11" i="5453"/>
  <c r="O10" i="5453"/>
  <c r="C10" i="5453"/>
  <c r="C9" i="5453"/>
  <c r="C8" i="5453"/>
  <c r="O7" i="5453"/>
  <c r="C7" i="5453"/>
  <c r="O6" i="5453"/>
  <c r="B6" i="5453"/>
  <c r="O5" i="5453"/>
  <c r="B5" i="5453"/>
  <c r="O4" i="5453"/>
  <c r="O3" i="5453"/>
  <c r="O2" i="5453"/>
  <c r="H18" i="5457" l="1"/>
  <c r="H2" i="5457"/>
  <c r="H14" i="5457"/>
  <c r="H3" i="5457"/>
  <c r="H27" i="5459"/>
  <c r="H10" i="5459"/>
  <c r="H43" i="5459"/>
  <c r="H3" i="5459"/>
  <c r="H6" i="5459"/>
  <c r="H22" i="5459"/>
  <c r="H8" i="5459"/>
  <c r="C17" i="5459"/>
  <c r="H28" i="5455"/>
  <c r="H9" i="5455"/>
  <c r="H36" i="5455"/>
  <c r="H2" i="5455"/>
  <c r="H4" i="5455"/>
  <c r="H6" i="5455"/>
  <c r="H12" i="5455"/>
  <c r="B23" i="5455"/>
  <c r="H3" i="5455"/>
  <c r="H39" i="5459"/>
  <c r="H12" i="5459"/>
  <c r="H17" i="5459"/>
  <c r="H31" i="5459"/>
  <c r="H47" i="5459"/>
  <c r="H2" i="5459"/>
  <c r="H4" i="5459"/>
  <c r="H9" i="5459"/>
  <c r="H19" i="5459"/>
  <c r="H24" i="5459"/>
  <c r="H35" i="5459"/>
  <c r="H51" i="5459"/>
  <c r="H18" i="5459"/>
  <c r="H20" i="5459"/>
  <c r="H23" i="5459"/>
  <c r="H26" i="5459"/>
  <c r="H29" i="5459"/>
  <c r="H33" i="5459"/>
  <c r="H37" i="5459"/>
  <c r="H41" i="5459"/>
  <c r="H45" i="5459"/>
  <c r="H49" i="5459"/>
  <c r="H7" i="5459"/>
  <c r="H13" i="5459"/>
  <c r="H15" i="5459"/>
  <c r="C19" i="5459"/>
  <c r="H21" i="5459"/>
  <c r="H30" i="5459"/>
  <c r="H34" i="5459"/>
  <c r="H38" i="5459"/>
  <c r="H42" i="5459"/>
  <c r="H46" i="5459"/>
  <c r="H50" i="5459"/>
  <c r="H5" i="5459"/>
  <c r="H11" i="5459"/>
  <c r="H14" i="5459"/>
  <c r="H16" i="5459"/>
  <c r="C18" i="5459"/>
  <c r="B23" i="5459"/>
  <c r="H25" i="5459"/>
  <c r="H28" i="5459"/>
  <c r="H32" i="5459"/>
  <c r="H36" i="5459"/>
  <c r="H40" i="5459"/>
  <c r="H44" i="5459"/>
  <c r="H48" i="5459"/>
  <c r="H10" i="5457"/>
  <c r="C18" i="5457"/>
  <c r="H29" i="5457"/>
  <c r="H6" i="5457"/>
  <c r="H20" i="5457"/>
  <c r="H41" i="5457"/>
  <c r="H24" i="5457"/>
  <c r="H11" i="5457"/>
  <c r="H23" i="5457"/>
  <c r="H49" i="5457"/>
  <c r="H4" i="5457"/>
  <c r="C19" i="5457"/>
  <c r="H45" i="5457"/>
  <c r="H8" i="5457"/>
  <c r="H22" i="5457"/>
  <c r="C17" i="5457"/>
  <c r="H15" i="5457"/>
  <c r="H27" i="5457"/>
  <c r="H9" i="5457"/>
  <c r="H7" i="5457"/>
  <c r="H12" i="5457"/>
  <c r="H21" i="5457"/>
  <c r="H16" i="5457"/>
  <c r="H13" i="5457"/>
  <c r="H37" i="5457"/>
  <c r="H5" i="5457"/>
  <c r="H30" i="5457"/>
  <c r="H31" i="5457"/>
  <c r="H32" i="5457"/>
  <c r="H25" i="5457"/>
  <c r="H17" i="5457"/>
  <c r="H28" i="5457"/>
  <c r="H39" i="5457"/>
  <c r="H43" i="5457"/>
  <c r="H47" i="5457"/>
  <c r="H51" i="5457"/>
  <c r="H26" i="5457"/>
  <c r="H36" i="5457"/>
  <c r="H40" i="5457"/>
  <c r="H44" i="5457"/>
  <c r="H48" i="5457"/>
  <c r="H19" i="5457"/>
  <c r="B23" i="5457"/>
  <c r="H33" i="5457"/>
  <c r="H34" i="5457"/>
  <c r="H35" i="5457"/>
  <c r="H38" i="5457"/>
  <c r="H42" i="5457"/>
  <c r="H46" i="5457"/>
  <c r="H50" i="5457"/>
  <c r="H2" i="5453"/>
  <c r="H3" i="5453"/>
  <c r="H4" i="5453"/>
  <c r="H37" i="5453"/>
  <c r="H11" i="5453"/>
  <c r="H33" i="5453"/>
  <c r="H12" i="5453"/>
  <c r="H16" i="5453"/>
  <c r="H25" i="5453"/>
  <c r="H7" i="5453"/>
  <c r="H24" i="5453"/>
  <c r="C18" i="5453"/>
  <c r="H44" i="5455"/>
  <c r="H5" i="5455"/>
  <c r="H8" i="5455"/>
  <c r="H10" i="5455"/>
  <c r="C18" i="5455"/>
  <c r="H52" i="5455"/>
  <c r="H11" i="5455"/>
  <c r="H14" i="5455"/>
  <c r="H16" i="5455"/>
  <c r="C19" i="5455"/>
  <c r="H30" i="5455"/>
  <c r="H38" i="5455"/>
  <c r="H46" i="5455"/>
  <c r="H25" i="5455"/>
  <c r="H32" i="5455"/>
  <c r="H40" i="5455"/>
  <c r="H48" i="5455"/>
  <c r="H7" i="5455"/>
  <c r="H13" i="5455"/>
  <c r="H15" i="5455"/>
  <c r="C17" i="5455"/>
  <c r="H21" i="5455"/>
  <c r="H34" i="5455"/>
  <c r="H42" i="5455"/>
  <c r="H50" i="5455"/>
  <c r="H18" i="5455"/>
  <c r="H20" i="5455"/>
  <c r="H23" i="5455"/>
  <c r="H26" i="5455"/>
  <c r="H29" i="5455"/>
  <c r="H33" i="5455"/>
  <c r="H37" i="5455"/>
  <c r="H41" i="5455"/>
  <c r="H45" i="5455"/>
  <c r="H49" i="5455"/>
  <c r="H17" i="5455"/>
  <c r="H19" i="5455"/>
  <c r="H22" i="5455"/>
  <c r="H24" i="5455"/>
  <c r="H27" i="5455"/>
  <c r="H31" i="5455"/>
  <c r="H35" i="5455"/>
  <c r="H39" i="5455"/>
  <c r="H43" i="5455"/>
  <c r="H47" i="5455"/>
  <c r="H34" i="5453"/>
  <c r="H29" i="5453"/>
  <c r="H42" i="5453"/>
  <c r="H10" i="5453"/>
  <c r="H6" i="5453"/>
  <c r="H20" i="5453"/>
  <c r="H18" i="5453"/>
  <c r="B23" i="5453"/>
  <c r="H26" i="5453"/>
  <c r="H49" i="5453"/>
  <c r="H50" i="5453"/>
  <c r="H15" i="5453"/>
  <c r="H9" i="5453"/>
  <c r="H32" i="5453"/>
  <c r="H45" i="5453"/>
  <c r="H5" i="5453"/>
  <c r="C17" i="5453"/>
  <c r="H13" i="5453"/>
  <c r="H27" i="5453"/>
  <c r="H39" i="5453"/>
  <c r="H46" i="5453"/>
  <c r="H52" i="5453"/>
  <c r="H35" i="5453"/>
  <c r="H36" i="5453"/>
  <c r="H22" i="5453"/>
  <c r="H30" i="5453"/>
  <c r="H17" i="5453"/>
  <c r="H31" i="5453"/>
  <c r="H40" i="5453"/>
  <c r="H43" i="5453"/>
  <c r="H47" i="5453"/>
  <c r="H51" i="5453"/>
  <c r="H8" i="5453"/>
  <c r="H21" i="5453"/>
  <c r="H28" i="5453"/>
  <c r="C19" i="5453"/>
  <c r="H14" i="5453"/>
  <c r="H23" i="5453"/>
  <c r="H38" i="5453"/>
  <c r="H41" i="5453"/>
  <c r="H44" i="5453"/>
  <c r="H48" i="5453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<sst xmlns="http://schemas.openxmlformats.org/spreadsheetml/2006/main" count="3306" uniqueCount="257">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</sst>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全体!$K$2:$K$671</c:f>
              <c:numCache>
                <c:formatCode>General</c:formatCode>
                <c:ptCount val="6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</c:numCache>
            </c:numRef>
          </c:xVal>
          <c:yVal>
            <c:numRef>
              <c:f>全体!$L$2:$L$671</c:f>
              <c:numCache>
                <c:formatCode>\+0.0;\-0.0;\±0</c:formatCode>
                <c:ptCount val="67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45.999999999999979</c:v>
                </c:pt>
                <c:pt idx="648">
                  <c:v>-1.0000000000000213</c:v>
                </c:pt>
                <c:pt idx="649">
                  <c:v>-15.300000000000022</c:v>
                </c:pt>
                <c:pt idx="650">
                  <c:v>35.09999999999998</c:v>
                </c:pt>
                <c:pt idx="651">
                  <c:v>-1.0000000000000213</c:v>
                </c:pt>
                <c:pt idx="652">
                  <c:v>-1.0000000000000213</c:v>
                </c:pt>
                <c:pt idx="653">
                  <c:v>-1.0000000000000213</c:v>
                </c:pt>
                <c:pt idx="654">
                  <c:v>-1.0000000000000213</c:v>
                </c:pt>
                <c:pt idx="655">
                  <c:v>-61.90000000000002</c:v>
                </c:pt>
                <c:pt idx="656">
                  <c:v>2.4999999999999858</c:v>
                </c:pt>
                <c:pt idx="657">
                  <c:v>-1.0000000000000142</c:v>
                </c:pt>
                <c:pt idx="658">
                  <c:v>66.799999999999983</c:v>
                </c:pt>
                <c:pt idx="659">
                  <c:v>54.899999999999984</c:v>
                </c:pt>
                <c:pt idx="660">
                  <c:v>-1.0000000000000142</c:v>
                </c:pt>
                <c:pt idx="661">
                  <c:v>-15.900000000000015</c:v>
                </c:pt>
                <c:pt idx="662">
                  <c:v>-52.300000000000011</c:v>
                </c:pt>
                <c:pt idx="663">
                  <c:v>-1.0000000000000142</c:v>
                </c:pt>
                <c:pt idx="664">
                  <c:v>-58.700000000000017</c:v>
                </c:pt>
                <c:pt idx="665">
                  <c:v>-41.100000000000016</c:v>
                </c:pt>
                <c:pt idx="666">
                  <c:v>-1.0000000000000142</c:v>
                </c:pt>
                <c:pt idx="667">
                  <c:v>-2.9000000000000141</c:v>
                </c:pt>
                <c:pt idx="668">
                  <c:v>31.79999999999999</c:v>
                </c:pt>
                <c:pt idx="669">
                  <c:v>-1.0000000000000071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8-4FA7-9C9E-6BFE43DB3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-13.513513513513514</c:v>
                </c:pt>
                <c:pt idx="1">
                  <c:v>-9.2165898617511512</c:v>
                </c:pt>
                <c:pt idx="2">
                  <c:v>9.8039215686274517</c:v>
                </c:pt>
                <c:pt idx="3">
                  <c:v>9.0090090090090094</c:v>
                </c:pt>
                <c:pt idx="4">
                  <c:v>-14.056224899598394</c:v>
                </c:pt>
                <c:pt idx="5">
                  <c:v>22.371364653243848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1-49E6-96EB-1BD1AB52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だいち!$L$2:$L$152</c:f>
              <c:numCache>
                <c:formatCode>\+0.0;\-0.0;\±0</c:formatCode>
                <c:ptCount val="151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1767.0000000000009</c:v>
                </c:pt>
                <c:pt idx="148">
                  <c:v>1763.5000000000009</c:v>
                </c:pt>
                <c:pt idx="149">
                  <c:v>1727.1000000000008</c:v>
                </c:pt>
                <c:pt idx="150">
                  <c:v>1744.7000000000007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F6-47A7-995F-485567487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2210.0671140939598</c:v>
                </c:pt>
                <c:pt idx="1">
                  <c:v>1241.3793103448277</c:v>
                </c:pt>
                <c:pt idx="2">
                  <c:v>705.79710144927537</c:v>
                </c:pt>
                <c:pt idx="3">
                  <c:v>2396.8253968253966</c:v>
                </c:pt>
                <c:pt idx="4">
                  <c:v>260.36036036036035</c:v>
                </c:pt>
                <c:pt idx="5">
                  <c:v>836.08247422680415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77-4C41-84BE-1658D0BD7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xVal>
          <c:yVal>
            <c:numRef>
              <c:f>りくと!$L$2:$L$127</c:f>
              <c:numCache>
                <c:formatCode>\+0.0;\-0.0;\±0</c:formatCode>
                <c:ptCount val="12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A-4D67-BAE0-E9023756A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165.6</c:v>
                </c:pt>
                <c:pt idx="1">
                  <c:v>-2240.495867768595</c:v>
                </c:pt>
                <c:pt idx="2">
                  <c:v>339.31623931623932</c:v>
                </c:pt>
                <c:pt idx="3">
                  <c:v>-17.475728155339805</c:v>
                </c:pt>
                <c:pt idx="4">
                  <c:v>189.13043478260869</c:v>
                </c:pt>
                <c:pt idx="5">
                  <c:v>330.23255813953489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444E-968D-ED398A468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ただ!$L$2:$L$92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8-4F16-A322-E6E13D045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-3215.5555555555557</c:v>
                </c:pt>
                <c:pt idx="1">
                  <c:v>-1106.8181818181818</c:v>
                </c:pt>
                <c:pt idx="2">
                  <c:v>-266.26506024096386</c:v>
                </c:pt>
                <c:pt idx="3">
                  <c:v>-4465.7534246575342</c:v>
                </c:pt>
                <c:pt idx="4">
                  <c:v>-1045.4545454545455</c:v>
                </c:pt>
                <c:pt idx="5">
                  <c:v>-1223.3333333333333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2-420C-A01D-66F69D168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3E-4E69-8ABF-3C800B4A3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-675.28089887640454</c:v>
                </c:pt>
                <c:pt idx="1">
                  <c:v>281.60919540229884</c:v>
                </c:pt>
                <c:pt idx="2">
                  <c:v>1300</c:v>
                </c:pt>
                <c:pt idx="3">
                  <c:v>862.31884057971013</c:v>
                </c:pt>
                <c:pt idx="4">
                  <c:v>-473.77049180327867</c:v>
                </c:pt>
                <c:pt idx="5">
                  <c:v>-285.71428571428572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B-49D7-920E-B810809B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たかの!$L$2:$L$78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9-4A4B-ABC1-290E04928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686.84210526315792</c:v>
                </c:pt>
                <c:pt idx="1">
                  <c:v>-756.57894736842104</c:v>
                </c:pt>
                <c:pt idx="2">
                  <c:v>-1397.0588235294117</c:v>
                </c:pt>
                <c:pt idx="3">
                  <c:v>814.0625</c:v>
                </c:pt>
                <c:pt idx="4">
                  <c:v>606.66666666666663</c:v>
                </c:pt>
                <c:pt idx="5">
                  <c:v>-492.30769230769232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D-4546-A65B-3A3DAC73D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ぱぱ!$L$2:$L$47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63-4489-83E3-39C922D66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-2853.3333333333335</c:v>
                </c:pt>
                <c:pt idx="1">
                  <c:v>2168.8888888888887</c:v>
                </c:pt>
                <c:pt idx="2">
                  <c:v>-865.11627906976742</c:v>
                </c:pt>
                <c:pt idx="3">
                  <c:v>-3805</c:v>
                </c:pt>
                <c:pt idx="4">
                  <c:v>-205.55555555555554</c:v>
                </c:pt>
                <c:pt idx="5">
                  <c:v>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5-4A4C-9C4B-05DAEDA89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まっつん!$L$2:$L$65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295</c:v>
                </c:pt>
                <c:pt idx="61">
                  <c:v>359.4</c:v>
                </c:pt>
                <c:pt idx="62">
                  <c:v>347.5</c:v>
                </c:pt>
                <c:pt idx="63">
                  <c:v>345.6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D-4579-B4FF-D538A6DE0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1209.6774193548388</c:v>
                </c:pt>
                <c:pt idx="1">
                  <c:v>1496.6101694915253</c:v>
                </c:pt>
                <c:pt idx="2">
                  <c:v>-816.98113207547169</c:v>
                </c:pt>
                <c:pt idx="3">
                  <c:v>2619.6078431372548</c:v>
                </c:pt>
                <c:pt idx="4">
                  <c:v>-1113.3333333333333</c:v>
                </c:pt>
                <c:pt idx="5">
                  <c:v>602.70270270270271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4-4510-BEEC-F38F14FA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1-4DE5-8648-D77EB3D29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2-46B1-AA1E-6C3FC82B3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-85.399999999999991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8E-4A7B-AA1A-808F43580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-106.66666666666667</c:v>
                </c:pt>
                <c:pt idx="1">
                  <c:v>-820</c:v>
                </c:pt>
                <c:pt idx="2">
                  <c:v>1273.3333333333333</c:v>
                </c:pt>
                <c:pt idx="3">
                  <c:v>-4364.2857142857147</c:v>
                </c:pt>
                <c:pt idx="4">
                  <c:v>2485.7142857142858</c:v>
                </c:pt>
                <c:pt idx="5">
                  <c:v>-3407.6923076923076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7-44CF-9095-A2D82ED2D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C-479A-827B-2592B18A8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B-40F5-97CA-315E1DB31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2D-4389-BE6B-29FC7C26E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FE-4355-B038-5F30E1DA2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4-424F-8847-EC0E1B17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1-4C14-BE93-6A5B6F329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まっつん2!$B$3:$B$66</c:f>
              <c:numCache>
                <c:formatCode>\+0.0;\-0.0;\±0</c:formatCode>
                <c:ptCount val="64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295</c:v>
                </c:pt>
                <c:pt idx="61">
                  <c:v>359.4</c:v>
                </c:pt>
                <c:pt idx="62">
                  <c:v>347.5</c:v>
                </c:pt>
                <c:pt idx="63">
                  <c:v>345.6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00000000000000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まっつん2!$C$3:$C$66</c:f>
              <c:numCache>
                <c:formatCode>\+0.0;\-0.0;\±0</c:formatCode>
                <c:ptCount val="64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  <c:pt idx="52">
                  <c:v>0.59038461538461529</c:v>
                </c:pt>
                <c:pt idx="53">
                  <c:v>1.4490566037735848</c:v>
                </c:pt>
                <c:pt idx="54">
                  <c:v>2.4685185185185188</c:v>
                </c:pt>
                <c:pt idx="55">
                  <c:v>3.3018181818181822</c:v>
                </c:pt>
                <c:pt idx="56">
                  <c:v>3.3500000000000005</c:v>
                </c:pt>
                <c:pt idx="57">
                  <c:v>4.4824561403508776</c:v>
                </c:pt>
                <c:pt idx="58">
                  <c:v>4.2172413793103454</c:v>
                </c:pt>
                <c:pt idx="59">
                  <c:v>5</c:v>
                </c:pt>
                <c:pt idx="60">
                  <c:v>4.916666666666667</c:v>
                </c:pt>
                <c:pt idx="61">
                  <c:v>5.8918032786885242</c:v>
                </c:pt>
                <c:pt idx="62">
                  <c:v>5.604838709677419</c:v>
                </c:pt>
                <c:pt idx="63">
                  <c:v>5.4857142857142858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947683109118193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まっつん2!$D$3:$D$66</c:f>
              <c:numCache>
                <c:formatCode>0.00\ "位"</c:formatCode>
                <c:ptCount val="64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  <c:pt idx="52">
                  <c:v>1.9615384615384615</c:v>
                </c:pt>
                <c:pt idx="53">
                  <c:v>1.9433962264150944</c:v>
                </c:pt>
                <c:pt idx="54">
                  <c:v>1.9259259259259258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1.896551724137931</c:v>
                </c:pt>
                <c:pt idx="59">
                  <c:v>1.8813559322033899</c:v>
                </c:pt>
                <c:pt idx="60">
                  <c:v>1.8666666666666667</c:v>
                </c:pt>
                <c:pt idx="61">
                  <c:v>1.8524590163934427</c:v>
                </c:pt>
                <c:pt idx="62">
                  <c:v>1.8548387096774193</c:v>
                </c:pt>
                <c:pt idx="63">
                  <c:v>1.8571428571428572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5156950672646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まっつん2!$E$3:$E$66</c:f>
              <c:numCache>
                <c:formatCode>0.0%</c:formatCode>
                <c:ptCount val="6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  <c:pt idx="52">
                  <c:v>0.36538461538461536</c:v>
                </c:pt>
                <c:pt idx="53">
                  <c:v>0.37735849056603776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0.39655172413793105</c:v>
                </c:pt>
                <c:pt idx="59">
                  <c:v>0.40677966101694918</c:v>
                </c:pt>
                <c:pt idx="60">
                  <c:v>0.41666666666666669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322869955156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まっつん2!$F$3:$F$66</c:f>
              <c:numCache>
                <c:formatCode>0.0%</c:formatCode>
                <c:ptCount val="64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0.30357142857142855</c:v>
                </c:pt>
                <c:pt idx="57">
                  <c:v>0.2982456140350877</c:v>
                </c:pt>
                <c:pt idx="58">
                  <c:v>0.29310344827586204</c:v>
                </c:pt>
                <c:pt idx="59">
                  <c:v>0.28813559322033899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0.26984126984126983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1838565022421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まっつん2!$G$3:$G$66</c:f>
              <c:numCache>
                <c:formatCode>0.0%</c:formatCode>
                <c:ptCount val="64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  <c:pt idx="52">
                  <c:v>0.30023640661938533</c:v>
                </c:pt>
                <c:pt idx="53">
                  <c:v>0.30162412993039445</c:v>
                </c:pt>
                <c:pt idx="54">
                  <c:v>0.30523917995444189</c:v>
                </c:pt>
                <c:pt idx="55">
                  <c:v>0.3087248322147651</c:v>
                </c:pt>
                <c:pt idx="56">
                  <c:v>0.30905077262693159</c:v>
                </c:pt>
                <c:pt idx="57">
                  <c:v>0.31372549019607843</c:v>
                </c:pt>
                <c:pt idx="58">
                  <c:v>0.30916844349680173</c:v>
                </c:pt>
                <c:pt idx="59">
                  <c:v>0.30721649484536084</c:v>
                </c:pt>
                <c:pt idx="60">
                  <c:v>0.30721649484536084</c:v>
                </c:pt>
                <c:pt idx="61">
                  <c:v>0.30894308943089432</c:v>
                </c:pt>
                <c:pt idx="62">
                  <c:v>0.30645161290322581</c:v>
                </c:pt>
                <c:pt idx="63">
                  <c:v>0.3061630218687873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633585041352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まっつん2!$H$3:$H$66</c:f>
              <c:numCache>
                <c:formatCode>0.0%</c:formatCode>
                <c:ptCount val="64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  <c:pt idx="52">
                  <c:v>0.15839243498817968</c:v>
                </c:pt>
                <c:pt idx="53">
                  <c:v>0.1554524361948956</c:v>
                </c:pt>
                <c:pt idx="54">
                  <c:v>0.15261958997722094</c:v>
                </c:pt>
                <c:pt idx="55">
                  <c:v>0.14988814317673377</c:v>
                </c:pt>
                <c:pt idx="56">
                  <c:v>0.15231788079470199</c:v>
                </c:pt>
                <c:pt idx="57">
                  <c:v>0.15032679738562091</c:v>
                </c:pt>
                <c:pt idx="58">
                  <c:v>0.15351812366737741</c:v>
                </c:pt>
                <c:pt idx="59">
                  <c:v>0.15257731958762888</c:v>
                </c:pt>
                <c:pt idx="60">
                  <c:v>0.15257731958762888</c:v>
                </c:pt>
                <c:pt idx="61">
                  <c:v>0.15040650406504066</c:v>
                </c:pt>
                <c:pt idx="62">
                  <c:v>0.14919354838709678</c:v>
                </c:pt>
                <c:pt idx="63">
                  <c:v>0.14910536779324055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925206760158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まっつん2!$I$3:$I$66</c:f>
              <c:numCache>
                <c:formatCode>0</c:formatCode>
                <c:ptCount val="64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  <c:pt idx="52">
                  <c:v>8508.6614173228354</c:v>
                </c:pt>
                <c:pt idx="53">
                  <c:v>8553.0769230769238</c:v>
                </c:pt>
                <c:pt idx="54">
                  <c:v>8598.507462686568</c:v>
                </c:pt>
                <c:pt idx="55">
                  <c:v>8637.68115942029</c:v>
                </c:pt>
                <c:pt idx="56">
                  <c:v>8685.7142857142862</c:v>
                </c:pt>
                <c:pt idx="57">
                  <c:v>8768.75</c:v>
                </c:pt>
                <c:pt idx="58">
                  <c:v>8762.0689655172409</c:v>
                </c:pt>
                <c:pt idx="59">
                  <c:v>8833.5570469798658</c:v>
                </c:pt>
                <c:pt idx="60">
                  <c:v>8833.5570469798658</c:v>
                </c:pt>
                <c:pt idx="61">
                  <c:v>8948.0263157894733</c:v>
                </c:pt>
                <c:pt idx="62">
                  <c:v>8948.0263157894733</c:v>
                </c:pt>
                <c:pt idx="63">
                  <c:v>8912.9870129870123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31.2462372065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まっつん2!$J$3:$J$66</c:f>
              <c:numCache>
                <c:formatCode>0</c:formatCode>
                <c:ptCount val="64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  <c:pt idx="52">
                  <c:v>-7931.3432835820895</c:v>
                </c:pt>
                <c:pt idx="53">
                  <c:v>-7931.3432835820895</c:v>
                </c:pt>
                <c:pt idx="54">
                  <c:v>-7931.3432835820895</c:v>
                </c:pt>
                <c:pt idx="55">
                  <c:v>-7931.3432835820895</c:v>
                </c:pt>
                <c:pt idx="56">
                  <c:v>-7991.304347826087</c:v>
                </c:pt>
                <c:pt idx="57">
                  <c:v>-7991.304347826087</c:v>
                </c:pt>
                <c:pt idx="58">
                  <c:v>-7793.0555555555557</c:v>
                </c:pt>
                <c:pt idx="59">
                  <c:v>-7635.135135135135</c:v>
                </c:pt>
                <c:pt idx="60">
                  <c:v>-7635.135135135135</c:v>
                </c:pt>
                <c:pt idx="61">
                  <c:v>-7635.135135135135</c:v>
                </c:pt>
                <c:pt idx="62">
                  <c:v>-7635.135135135135</c:v>
                </c:pt>
                <c:pt idx="63">
                  <c:v>-7568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68.09421841541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まっつん2!$K$3:$K$66</c:f>
              <c:numCache>
                <c:formatCode>0.0%</c:formatCode>
                <c:ptCount val="6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0.16666666666666666</c:v>
                </c:pt>
                <c:pt idx="55">
                  <c:v>0.16363636363636364</c:v>
                </c:pt>
                <c:pt idx="56">
                  <c:v>0.16071428571428573</c:v>
                </c:pt>
                <c:pt idx="57">
                  <c:v>0.15789473684210525</c:v>
                </c:pt>
                <c:pt idx="58">
                  <c:v>0.15517241379310345</c:v>
                </c:pt>
                <c:pt idx="59">
                  <c:v>0.15254237288135594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591928251121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まっつん2!$L$3:$L$66</c:f>
              <c:numCache>
                <c:formatCode>0.0%</c:formatCode>
                <c:ptCount val="6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0.14035087719298245</c:v>
                </c:pt>
                <c:pt idx="58">
                  <c:v>0.13793103448275862</c:v>
                </c:pt>
                <c:pt idx="59">
                  <c:v>0.13559322033898305</c:v>
                </c:pt>
                <c:pt idx="60">
                  <c:v>0.13333333333333333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591928251121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まっつん2!$M$3:$M$66</c:f>
              <c:numCache>
                <c:formatCode>0.0%</c:formatCode>
                <c:ptCount val="64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  <c:pt idx="52">
                  <c:v>0.26477541371158392</c:v>
                </c:pt>
                <c:pt idx="53">
                  <c:v>0.26682134570765659</c:v>
                </c:pt>
                <c:pt idx="54">
                  <c:v>0.27334851936218679</c:v>
                </c:pt>
                <c:pt idx="55">
                  <c:v>0.27516778523489932</c:v>
                </c:pt>
                <c:pt idx="56">
                  <c:v>0.27593818984547464</c:v>
                </c:pt>
                <c:pt idx="57">
                  <c:v>0.27886710239651419</c:v>
                </c:pt>
                <c:pt idx="58">
                  <c:v>0.28358208955223879</c:v>
                </c:pt>
                <c:pt idx="59">
                  <c:v>0.2907216494845361</c:v>
                </c:pt>
                <c:pt idx="60">
                  <c:v>0.2907216494845361</c:v>
                </c:pt>
                <c:pt idx="61">
                  <c:v>0.29065040650406504</c:v>
                </c:pt>
                <c:pt idx="62">
                  <c:v>0.29032258064516131</c:v>
                </c:pt>
                <c:pt idx="63">
                  <c:v>0.2922465208747515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9575692197051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まっつん2!$N$3:$N$66</c:f>
              <c:numCache>
                <c:formatCode>0.0%</c:formatCode>
                <c:ptCount val="64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  <c:pt idx="52">
                  <c:v>0.1867612293144208</c:v>
                </c:pt>
                <c:pt idx="53">
                  <c:v>0.18793503480278423</c:v>
                </c:pt>
                <c:pt idx="54">
                  <c:v>0.18906605922551253</c:v>
                </c:pt>
                <c:pt idx="55">
                  <c:v>0.18791946308724833</c:v>
                </c:pt>
                <c:pt idx="56">
                  <c:v>0.18543046357615894</c:v>
                </c:pt>
                <c:pt idx="57">
                  <c:v>0.18736383442265794</c:v>
                </c:pt>
                <c:pt idx="58">
                  <c:v>0.18550106609808104</c:v>
                </c:pt>
                <c:pt idx="59">
                  <c:v>0.18144329896907216</c:v>
                </c:pt>
                <c:pt idx="60">
                  <c:v>0.18144329896907216</c:v>
                </c:pt>
                <c:pt idx="61">
                  <c:v>0.17886178861788618</c:v>
                </c:pt>
                <c:pt idx="62">
                  <c:v>0.18145161290322581</c:v>
                </c:pt>
                <c:pt idx="63">
                  <c:v>0.17892644135188868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6939949658396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まっつん2!$O$3:$O$66</c:f>
              <c:numCache>
                <c:formatCode>0.0%</c:formatCode>
                <c:ptCount val="64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  <c:pt idx="52">
                  <c:v>0.6696428571428571</c:v>
                </c:pt>
                <c:pt idx="53">
                  <c:v>0.67826086956521736</c:v>
                </c:pt>
                <c:pt idx="54">
                  <c:v>0.66666666666666663</c:v>
                </c:pt>
                <c:pt idx="55">
                  <c:v>0.67479674796747968</c:v>
                </c:pt>
                <c:pt idx="56">
                  <c:v>0.68</c:v>
                </c:pt>
                <c:pt idx="57">
                  <c:v>0.6875</c:v>
                </c:pt>
                <c:pt idx="58">
                  <c:v>0.66917293233082709</c:v>
                </c:pt>
                <c:pt idx="59">
                  <c:v>0.65957446808510634</c:v>
                </c:pt>
                <c:pt idx="60">
                  <c:v>0.65957446808510634</c:v>
                </c:pt>
                <c:pt idx="61">
                  <c:v>0.65734265734265729</c:v>
                </c:pt>
                <c:pt idx="62">
                  <c:v>0.65277777777777779</c:v>
                </c:pt>
                <c:pt idx="63">
                  <c:v>0.65306122448979587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877813504823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まっつん2!$P$3:$P$66</c:f>
              <c:numCache>
                <c:formatCode>0.0%</c:formatCode>
                <c:ptCount val="64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  <c:pt idx="52">
                  <c:v>0.379746835443038</c:v>
                </c:pt>
                <c:pt idx="53">
                  <c:v>0.37037037037037035</c:v>
                </c:pt>
                <c:pt idx="54">
                  <c:v>0.37349397590361444</c:v>
                </c:pt>
                <c:pt idx="55">
                  <c:v>0.38095238095238093</c:v>
                </c:pt>
                <c:pt idx="56">
                  <c:v>0.38095238095238093</c:v>
                </c:pt>
                <c:pt idx="57">
                  <c:v>0.38372093023255816</c:v>
                </c:pt>
                <c:pt idx="58">
                  <c:v>0.37931034482758619</c:v>
                </c:pt>
                <c:pt idx="59">
                  <c:v>0.375</c:v>
                </c:pt>
                <c:pt idx="60">
                  <c:v>0.375</c:v>
                </c:pt>
                <c:pt idx="61">
                  <c:v>0.375</c:v>
                </c:pt>
                <c:pt idx="62">
                  <c:v>0.36666666666666664</c:v>
                </c:pt>
                <c:pt idx="63">
                  <c:v>0.36666666666666664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1833188531711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まっつん2!$Q$3:$Q$66</c:f>
              <c:numCache>
                <c:formatCode>0.0%</c:formatCode>
                <c:ptCount val="64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  <c:pt idx="52">
                  <c:v>0.43307086614173229</c:v>
                </c:pt>
                <c:pt idx="53">
                  <c:v>0.43076923076923079</c:v>
                </c:pt>
                <c:pt idx="54">
                  <c:v>0.42537313432835822</c:v>
                </c:pt>
                <c:pt idx="55">
                  <c:v>0.42753623188405798</c:v>
                </c:pt>
                <c:pt idx="56">
                  <c:v>0.42142857142857143</c:v>
                </c:pt>
                <c:pt idx="57">
                  <c:v>0.43055555555555558</c:v>
                </c:pt>
                <c:pt idx="58">
                  <c:v>0.43448275862068964</c:v>
                </c:pt>
                <c:pt idx="59">
                  <c:v>0.44295302013422821</c:v>
                </c:pt>
                <c:pt idx="60">
                  <c:v>0.44295302013422821</c:v>
                </c:pt>
                <c:pt idx="61">
                  <c:v>0.44736842105263158</c:v>
                </c:pt>
                <c:pt idx="62">
                  <c:v>0.44736842105263158</c:v>
                </c:pt>
                <c:pt idx="63">
                  <c:v>0.44805194805194803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1667670078266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8" t="s">
        <v>245</v>
      </c>
      <c r="F51" s="139" t="s">
        <v>246</v>
      </c>
      <c r="G51" s="48">
        <v>0</v>
      </c>
      <c r="H51" s="140">
        <f t="shared" ref="H51" si="3">IF(B$17=0,0,G51/B$17)</f>
        <v>0</v>
      </c>
      <c r="I51" s="141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66"/>
  <sheetViews>
    <sheetView topLeftCell="A56"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43607.939467592594</v>
      </c>
      <c r="C44" s="30" t="s">
        <v>130</v>
      </c>
    </row>
    <row r="45" spans="1:11" x14ac:dyDescent="0.4">
      <c r="A45" s="30" t="s">
        <v>230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43608.535393518519</v>
      </c>
      <c r="C47" s="30" t="s">
        <v>130</v>
      </c>
    </row>
    <row r="48" spans="1:11" x14ac:dyDescent="0.4">
      <c r="A48" s="30" t="s">
        <v>235</v>
      </c>
      <c r="B48" s="31">
        <v>43609.017604166664</v>
      </c>
      <c r="C48" s="30" t="s">
        <v>130</v>
      </c>
    </row>
    <row r="49" spans="1:7" x14ac:dyDescent="0.4">
      <c r="A49" s="30" t="s">
        <v>234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43611.023946759262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43612.976331018515</v>
      </c>
      <c r="C52" s="30" t="s">
        <v>130</v>
      </c>
    </row>
    <row r="53" spans="1:7" x14ac:dyDescent="0.4">
      <c r="A53" s="30" t="s">
        <v>239</v>
      </c>
      <c r="B53" s="31">
        <v>43613.794409722221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43619.367106481484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43619.367106481484</v>
      </c>
      <c r="C55" s="30" t="s">
        <v>130</v>
      </c>
    </row>
    <row r="56" spans="1:7" x14ac:dyDescent="0.4">
      <c r="A56" s="30" t="s">
        <v>242</v>
      </c>
      <c r="B56" s="31">
        <v>43619.367106481484</v>
      </c>
      <c r="C56" s="30" t="s">
        <v>130</v>
      </c>
    </row>
    <row r="57" spans="1:7" x14ac:dyDescent="0.4">
      <c r="A57" s="30" t="s">
        <v>243</v>
      </c>
      <c r="B57" s="31">
        <v>43620.433194444442</v>
      </c>
      <c r="C57" s="30" t="s">
        <v>130</v>
      </c>
    </row>
    <row r="58" spans="1:7" x14ac:dyDescent="0.4">
      <c r="A58" s="30" t="s">
        <v>244</v>
      </c>
      <c r="B58" s="31">
        <v>43622.371793981481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43622.371793981481</v>
      </c>
      <c r="C59" s="30" t="s">
        <v>130</v>
      </c>
    </row>
    <row r="60" spans="1:7" x14ac:dyDescent="0.4">
      <c r="A60" s="30" t="s">
        <v>250</v>
      </c>
      <c r="B60" s="31">
        <v>43628.368391203701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43628.368391203701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43628.368391203701</v>
      </c>
      <c r="C62" s="30" t="s">
        <v>130</v>
      </c>
    </row>
    <row r="63" spans="1:7" x14ac:dyDescent="0.4">
      <c r="A63" s="30" t="s">
        <v>253</v>
      </c>
      <c r="B63" s="31">
        <v>43628.368391203701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43630.960740740738</v>
      </c>
      <c r="C64" s="30" t="s">
        <v>130</v>
      </c>
      <c r="D64" s="30" t="s">
        <v>131</v>
      </c>
      <c r="E64" s="30" t="s">
        <v>169</v>
      </c>
    </row>
    <row r="65" spans="1:5" x14ac:dyDescent="0.4">
      <c r="A65" s="30" t="s">
        <v>255</v>
      </c>
      <c r="B65" s="31">
        <v>43630.036805555559</v>
      </c>
      <c r="C65" s="30" t="s">
        <v>130</v>
      </c>
      <c r="D65" s="30" t="s">
        <v>131</v>
      </c>
      <c r="E65" s="30" t="s">
        <v>169</v>
      </c>
    </row>
    <row r="66" spans="1:5" x14ac:dyDescent="0.4">
      <c r="A66" s="30" t="s">
        <v>256</v>
      </c>
      <c r="B66" s="31">
        <v>43631.032719907409</v>
      </c>
      <c r="C66" s="30" t="s">
        <v>130</v>
      </c>
      <c r="D66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669</v>
      </c>
    </row>
    <row r="2" spans="1:2" x14ac:dyDescent="0.4">
      <c r="A2" t="s">
        <v>127</v>
      </c>
      <c r="B2">
        <v>150</v>
      </c>
    </row>
    <row r="3" spans="1:2" x14ac:dyDescent="0.4">
      <c r="A3" t="s">
        <v>128</v>
      </c>
      <c r="B3">
        <v>125</v>
      </c>
    </row>
    <row r="4" spans="1:2" x14ac:dyDescent="0.4">
      <c r="A4" t="s">
        <v>129</v>
      </c>
      <c r="B4">
        <v>90</v>
      </c>
    </row>
    <row r="5" spans="1:2" x14ac:dyDescent="0.4">
      <c r="A5" t="s">
        <v>171</v>
      </c>
      <c r="B5">
        <v>89</v>
      </c>
    </row>
    <row r="6" spans="1:2" x14ac:dyDescent="0.4">
      <c r="A6" t="s">
        <v>172</v>
      </c>
      <c r="B6">
        <v>76</v>
      </c>
    </row>
    <row r="7" spans="1:2" x14ac:dyDescent="0.4">
      <c r="A7" t="s">
        <v>173</v>
      </c>
      <c r="B7">
        <v>45</v>
      </c>
    </row>
    <row r="8" spans="1:2" x14ac:dyDescent="0.4">
      <c r="A8" t="s">
        <v>177</v>
      </c>
      <c r="B8">
        <v>63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15</v>
      </c>
    </row>
    <row r="11" spans="1:2" x14ac:dyDescent="0.4">
      <c r="A11" t="s">
        <v>200</v>
      </c>
      <c r="B11">
        <v>10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0.91892166500209815</v>
      </c>
      <c r="G2" s="159"/>
      <c r="H2" s="158">
        <v>0.7216696648090809</v>
      </c>
      <c r="I2" s="159"/>
      <c r="J2" s="158">
        <v>0.74947446335915768</v>
      </c>
      <c r="K2" s="159"/>
      <c r="L2" s="158">
        <v>0.76860285686483754</v>
      </c>
      <c r="M2" s="159"/>
      <c r="N2" s="158">
        <v>0.64686621464075644</v>
      </c>
      <c r="O2" s="159"/>
      <c r="P2" s="158">
        <v>0.14418800845544522</v>
      </c>
      <c r="Q2" s="159"/>
      <c r="R2" s="158">
        <v>0.38119288277360586</v>
      </c>
      <c r="S2" s="159"/>
      <c r="T2" s="158">
        <v>0.46294051923066049</v>
      </c>
      <c r="U2" s="159"/>
      <c r="V2" s="158">
        <v>0.43187828067284806</v>
      </c>
      <c r="W2" s="159"/>
      <c r="X2" s="158">
        <v>0.33187321239900724</v>
      </c>
      <c r="Y2" s="159"/>
      <c r="Z2" s="158">
        <v>0.22975767131157518</v>
      </c>
      <c r="AA2" s="159"/>
      <c r="AB2" s="158">
        <v>0.28275765061086183</v>
      </c>
      <c r="AC2" s="159"/>
      <c r="AD2" s="158">
        <v>0.74274137348750857</v>
      </c>
      <c r="AE2" s="159"/>
      <c r="AF2" s="158">
        <v>-0.12197757771205775</v>
      </c>
      <c r="AG2" s="159"/>
      <c r="AH2" s="158">
        <v>0.29623510509110268</v>
      </c>
      <c r="AI2" s="159"/>
    </row>
    <row r="3" spans="1:35" x14ac:dyDescent="0.4">
      <c r="A3" s="74">
        <v>1</v>
      </c>
      <c r="B3" s="75" t="s">
        <v>127</v>
      </c>
      <c r="C3" s="76">
        <v>1744.7000000000007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172</v>
      </c>
      <c r="M3" s="80">
        <v>0.3446153846153846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200</v>
      </c>
      <c r="U3" s="79">
        <v>0</v>
      </c>
      <c r="V3" s="77" t="s">
        <v>127</v>
      </c>
      <c r="W3" s="79">
        <v>0.16666666666666666</v>
      </c>
      <c r="X3" s="77" t="s">
        <v>127</v>
      </c>
      <c r="Y3" s="80">
        <v>0.31014729950900166</v>
      </c>
      <c r="Z3" s="77" t="s">
        <v>200</v>
      </c>
      <c r="AA3" s="80">
        <v>0.29411764705882354</v>
      </c>
      <c r="AB3" s="77" t="s">
        <v>223</v>
      </c>
      <c r="AC3" s="80">
        <v>1</v>
      </c>
      <c r="AD3" s="77" t="s">
        <v>127</v>
      </c>
      <c r="AE3" s="80">
        <v>0.5149253731343284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345.6</v>
      </c>
      <c r="D4" s="85" t="s">
        <v>222</v>
      </c>
      <c r="E4" s="97">
        <v>13.3</v>
      </c>
      <c r="F4" s="85" t="s">
        <v>127</v>
      </c>
      <c r="G4" s="86">
        <v>1.7533333333333334</v>
      </c>
      <c r="H4" s="85" t="s">
        <v>127</v>
      </c>
      <c r="I4" s="87">
        <v>0.48</v>
      </c>
      <c r="J4" s="85" t="s">
        <v>222</v>
      </c>
      <c r="K4" s="87">
        <v>0</v>
      </c>
      <c r="L4" s="85" t="s">
        <v>127</v>
      </c>
      <c r="M4" s="88">
        <v>0.34369885433715219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-6378.5714285714284</v>
      </c>
      <c r="T4" s="85" t="s">
        <v>183</v>
      </c>
      <c r="U4" s="87">
        <v>0</v>
      </c>
      <c r="V4" s="85" t="s">
        <v>177</v>
      </c>
      <c r="W4" s="87">
        <v>0.14285714285714285</v>
      </c>
      <c r="X4" s="85" t="s">
        <v>128</v>
      </c>
      <c r="Y4" s="88">
        <v>0.29980657640232106</v>
      </c>
      <c r="Z4" s="85" t="s">
        <v>172</v>
      </c>
      <c r="AA4" s="88">
        <v>0.28769230769230769</v>
      </c>
      <c r="AB4" s="85" t="s">
        <v>200</v>
      </c>
      <c r="AC4" s="88">
        <v>0.7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11.631333333333338</v>
      </c>
      <c r="F5" s="85" t="s">
        <v>200</v>
      </c>
      <c r="G5" s="86">
        <v>1.8</v>
      </c>
      <c r="H5" s="85" t="s">
        <v>177</v>
      </c>
      <c r="I5" s="87">
        <v>0.41269841269841268</v>
      </c>
      <c r="J5" s="85" t="s">
        <v>200</v>
      </c>
      <c r="K5" s="87">
        <v>0.1</v>
      </c>
      <c r="L5" s="85" t="s">
        <v>200</v>
      </c>
      <c r="M5" s="88">
        <v>0.3411764705882353</v>
      </c>
      <c r="N5" s="85" t="s">
        <v>172</v>
      </c>
      <c r="O5" s="88">
        <v>0.13846153846153847</v>
      </c>
      <c r="P5" s="85" t="s">
        <v>171</v>
      </c>
      <c r="Q5" s="89">
        <v>9831.2796208530799</v>
      </c>
      <c r="R5" s="85" t="s">
        <v>177</v>
      </c>
      <c r="S5" s="89">
        <v>-7568</v>
      </c>
      <c r="T5" s="85" t="s">
        <v>222</v>
      </c>
      <c r="U5" s="87">
        <v>0</v>
      </c>
      <c r="V5" s="85" t="s">
        <v>171</v>
      </c>
      <c r="W5" s="87">
        <v>0.1348314606741573</v>
      </c>
      <c r="X5" s="85" t="s">
        <v>177</v>
      </c>
      <c r="Y5" s="88">
        <v>0.2922465208747515</v>
      </c>
      <c r="Z5" s="85" t="s">
        <v>173</v>
      </c>
      <c r="AA5" s="88">
        <v>0.25449871465295631</v>
      </c>
      <c r="AB5" s="85" t="s">
        <v>184</v>
      </c>
      <c r="AC5" s="88">
        <v>0.68965517241379315</v>
      </c>
      <c r="AD5" s="85" t="s">
        <v>200</v>
      </c>
      <c r="AE5" s="88">
        <v>0.48</v>
      </c>
      <c r="AF5" s="85" t="s">
        <v>173</v>
      </c>
      <c r="AG5" s="88">
        <v>0.50862068965517238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171</v>
      </c>
      <c r="C6" s="84">
        <v>32.000000000000028</v>
      </c>
      <c r="D6" s="85" t="s">
        <v>177</v>
      </c>
      <c r="E6" s="97">
        <v>5.4857142857142858</v>
      </c>
      <c r="F6" s="85" t="s">
        <v>177</v>
      </c>
      <c r="G6" s="86">
        <v>1.8571428571428572</v>
      </c>
      <c r="H6" s="85" t="s">
        <v>184</v>
      </c>
      <c r="I6" s="87">
        <v>0.4</v>
      </c>
      <c r="J6" s="85" t="s">
        <v>127</v>
      </c>
      <c r="K6" s="87">
        <v>0.23333333333333334</v>
      </c>
      <c r="L6" s="85" t="s">
        <v>177</v>
      </c>
      <c r="M6" s="88">
        <v>0.3061630218687873</v>
      </c>
      <c r="N6" s="85" t="s">
        <v>177</v>
      </c>
      <c r="O6" s="88">
        <v>0.14910536779324055</v>
      </c>
      <c r="P6" s="85" t="s">
        <v>128</v>
      </c>
      <c r="Q6" s="89">
        <v>9251.7985611510794</v>
      </c>
      <c r="R6" s="85" t="s">
        <v>173</v>
      </c>
      <c r="S6" s="89">
        <v>-7787.6712328767126</v>
      </c>
      <c r="T6" s="85" t="s">
        <v>223</v>
      </c>
      <c r="U6" s="87">
        <v>0</v>
      </c>
      <c r="V6" s="85" t="s">
        <v>172</v>
      </c>
      <c r="W6" s="87">
        <v>0.11842105263157894</v>
      </c>
      <c r="X6" s="85" t="s">
        <v>171</v>
      </c>
      <c r="Y6" s="88">
        <v>0.29166666666666669</v>
      </c>
      <c r="Z6" s="85" t="s">
        <v>223</v>
      </c>
      <c r="AA6" s="88">
        <v>0.23529411764705882</v>
      </c>
      <c r="AB6" s="85" t="s">
        <v>177</v>
      </c>
      <c r="AC6" s="88">
        <v>0.65306122448979587</v>
      </c>
      <c r="AD6" s="85" t="s">
        <v>184</v>
      </c>
      <c r="AE6" s="88">
        <v>0.44444444444444442</v>
      </c>
      <c r="AF6" s="85" t="s">
        <v>184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200</v>
      </c>
      <c r="C7" s="84">
        <v>18.099999999999994</v>
      </c>
      <c r="D7" s="85" t="s">
        <v>200</v>
      </c>
      <c r="E7" s="97">
        <v>1.8099999999999994</v>
      </c>
      <c r="F7" s="85" t="s">
        <v>145</v>
      </c>
      <c r="G7" s="86">
        <v>1.9955156950672646</v>
      </c>
      <c r="H7" s="85" t="s">
        <v>145</v>
      </c>
      <c r="I7" s="87">
        <v>0.33632286995515698</v>
      </c>
      <c r="J7" s="85" t="s">
        <v>177</v>
      </c>
      <c r="K7" s="87">
        <v>0.26984126984126983</v>
      </c>
      <c r="L7" s="85" t="s">
        <v>145</v>
      </c>
      <c r="M7" s="88">
        <v>0.29863358504135201</v>
      </c>
      <c r="N7" s="85" t="s">
        <v>127</v>
      </c>
      <c r="O7" s="88">
        <v>0.15875613747954173</v>
      </c>
      <c r="P7" s="85" t="s">
        <v>127</v>
      </c>
      <c r="Q7" s="89">
        <v>9075.9523809523816</v>
      </c>
      <c r="R7" s="85" t="s">
        <v>128</v>
      </c>
      <c r="S7" s="89">
        <v>-7806.7415730337079</v>
      </c>
      <c r="T7" s="85" t="s">
        <v>172</v>
      </c>
      <c r="U7" s="87">
        <v>5.2631578947368418E-2</v>
      </c>
      <c r="V7" s="85" t="s">
        <v>145</v>
      </c>
      <c r="W7" s="87">
        <v>0.11659192825112108</v>
      </c>
      <c r="X7" s="85" t="s">
        <v>129</v>
      </c>
      <c r="Y7" s="88">
        <v>0.28026315789473683</v>
      </c>
      <c r="Z7" s="85" t="s">
        <v>127</v>
      </c>
      <c r="AA7" s="88">
        <v>0.21931260229132571</v>
      </c>
      <c r="AB7" s="85" t="s">
        <v>183</v>
      </c>
      <c r="AC7" s="88">
        <v>0.6</v>
      </c>
      <c r="AD7" s="85" t="s">
        <v>172</v>
      </c>
      <c r="AE7" s="88">
        <v>0.41711229946524064</v>
      </c>
      <c r="AF7" s="85" t="s">
        <v>222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171</v>
      </c>
      <c r="E8" s="97">
        <v>0.35955056179775313</v>
      </c>
      <c r="F8" s="85" t="s">
        <v>222</v>
      </c>
      <c r="G8" s="86">
        <v>2</v>
      </c>
      <c r="H8" s="85" t="s">
        <v>171</v>
      </c>
      <c r="I8" s="87">
        <v>0.30337078651685395</v>
      </c>
      <c r="J8" s="85" t="s">
        <v>172</v>
      </c>
      <c r="K8" s="87">
        <v>0.31578947368421051</v>
      </c>
      <c r="L8" s="85" t="s">
        <v>173</v>
      </c>
      <c r="M8" s="88">
        <v>0.29820051413881749</v>
      </c>
      <c r="N8" s="85" t="s">
        <v>200</v>
      </c>
      <c r="O8" s="88">
        <v>0.16470588235294117</v>
      </c>
      <c r="P8" s="85" t="s">
        <v>177</v>
      </c>
      <c r="Q8" s="89">
        <v>8912.9870129870123</v>
      </c>
      <c r="R8" s="85" t="s">
        <v>184</v>
      </c>
      <c r="S8" s="89">
        <v>-8092.5925925925922</v>
      </c>
      <c r="T8" s="85" t="s">
        <v>127</v>
      </c>
      <c r="U8" s="87">
        <v>0.1</v>
      </c>
      <c r="V8" s="85" t="s">
        <v>129</v>
      </c>
      <c r="W8" s="87">
        <v>0.1</v>
      </c>
      <c r="X8" s="85" t="s">
        <v>145</v>
      </c>
      <c r="Y8" s="88">
        <v>0.27957569219705142</v>
      </c>
      <c r="Z8" s="85" t="s">
        <v>184</v>
      </c>
      <c r="AA8" s="88">
        <v>0.21428571428571427</v>
      </c>
      <c r="AB8" s="85" t="s">
        <v>173</v>
      </c>
      <c r="AC8" s="88">
        <v>0.5842696629213483</v>
      </c>
      <c r="AD8" s="85" t="s">
        <v>171</v>
      </c>
      <c r="AE8" s="88">
        <v>0.41428571428571431</v>
      </c>
      <c r="AF8" s="85" t="s">
        <v>177</v>
      </c>
      <c r="AG8" s="88">
        <v>0.44805194805194803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-1.0000000000000071</v>
      </c>
      <c r="D9" s="85" t="s">
        <v>145</v>
      </c>
      <c r="E9" s="97">
        <v>-1.4947683109118193E-3</v>
      </c>
      <c r="F9" s="85" t="s">
        <v>172</v>
      </c>
      <c r="G9" s="86">
        <v>2.0394736842105261</v>
      </c>
      <c r="H9" s="85" t="s">
        <v>200</v>
      </c>
      <c r="I9" s="87">
        <v>0.3</v>
      </c>
      <c r="J9" s="85" t="s">
        <v>145</v>
      </c>
      <c r="K9" s="87">
        <v>0.33183856502242154</v>
      </c>
      <c r="L9" s="85" t="s">
        <v>223</v>
      </c>
      <c r="M9" s="88">
        <v>0.29411764705882354</v>
      </c>
      <c r="N9" s="85" t="s">
        <v>145</v>
      </c>
      <c r="O9" s="88">
        <v>0.16792520676015821</v>
      </c>
      <c r="P9" s="85" t="s">
        <v>129</v>
      </c>
      <c r="Q9" s="89">
        <v>8701.1049723756914</v>
      </c>
      <c r="R9" s="85" t="s">
        <v>127</v>
      </c>
      <c r="S9" s="89">
        <v>-8265.4639175257726</v>
      </c>
      <c r="T9" s="85" t="s">
        <v>171</v>
      </c>
      <c r="U9" s="87">
        <v>0.10112359550561797</v>
      </c>
      <c r="V9" s="85" t="s">
        <v>128</v>
      </c>
      <c r="W9" s="87">
        <v>8.7999999999999995E-2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128</v>
      </c>
      <c r="AC9" s="88">
        <v>0.58064516129032262</v>
      </c>
      <c r="AD9" s="85" t="s">
        <v>145</v>
      </c>
      <c r="AE9" s="88">
        <v>0.39183318853171156</v>
      </c>
      <c r="AF9" s="85" t="s">
        <v>145</v>
      </c>
      <c r="AG9" s="88">
        <v>0.43166767007826612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172</v>
      </c>
      <c r="E10" s="97">
        <v>-0.47763157894736868</v>
      </c>
      <c r="F10" s="85" t="s">
        <v>171</v>
      </c>
      <c r="G10" s="86">
        <v>2.0449438202247192</v>
      </c>
      <c r="H10" s="85" t="s">
        <v>173</v>
      </c>
      <c r="I10" s="87">
        <v>0.28888888888888886</v>
      </c>
      <c r="J10" s="85" t="s">
        <v>171</v>
      </c>
      <c r="K10" s="87">
        <v>0.34831460674157305</v>
      </c>
      <c r="L10" s="85" t="s">
        <v>184</v>
      </c>
      <c r="M10" s="88">
        <v>0.2857142857142857</v>
      </c>
      <c r="N10" s="85" t="s">
        <v>128</v>
      </c>
      <c r="O10" s="88">
        <v>0.17214700193423599</v>
      </c>
      <c r="P10" s="85" t="s">
        <v>145</v>
      </c>
      <c r="Q10" s="89">
        <v>8631.246237206502</v>
      </c>
      <c r="R10" s="85" t="s">
        <v>145</v>
      </c>
      <c r="S10" s="89">
        <v>-8268.0942184154173</v>
      </c>
      <c r="T10" s="85" t="s">
        <v>173</v>
      </c>
      <c r="U10" s="87">
        <v>0.1111111111111111</v>
      </c>
      <c r="V10" s="85" t="s">
        <v>173</v>
      </c>
      <c r="W10" s="87">
        <v>6.6666666666666666E-2</v>
      </c>
      <c r="X10" s="85" t="s">
        <v>200</v>
      </c>
      <c r="Y10" s="88">
        <v>0.23529411764705882</v>
      </c>
      <c r="Z10" s="85" t="s">
        <v>145</v>
      </c>
      <c r="AA10" s="88">
        <v>0.20693994965839627</v>
      </c>
      <c r="AB10" s="85" t="s">
        <v>145</v>
      </c>
      <c r="AC10" s="88">
        <v>0.5787781350482315</v>
      </c>
      <c r="AD10" s="85" t="s">
        <v>177</v>
      </c>
      <c r="AE10" s="88">
        <v>0.36666666666666664</v>
      </c>
      <c r="AF10" s="85" t="s">
        <v>129</v>
      </c>
      <c r="AG10" s="88">
        <v>0.43093922651933703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172</v>
      </c>
      <c r="C11" s="84">
        <v>-36.300000000000018</v>
      </c>
      <c r="D11" s="85" t="s">
        <v>128</v>
      </c>
      <c r="E11" s="97">
        <v>-3.5976000000000004</v>
      </c>
      <c r="F11" s="85" t="s">
        <v>184</v>
      </c>
      <c r="G11" s="86">
        <v>2.0666666666666669</v>
      </c>
      <c r="H11" s="85" t="s">
        <v>172</v>
      </c>
      <c r="I11" s="87">
        <v>0.27631578947368424</v>
      </c>
      <c r="J11" s="85" t="s">
        <v>128</v>
      </c>
      <c r="K11" s="87">
        <v>0.36</v>
      </c>
      <c r="L11" s="85" t="s">
        <v>171</v>
      </c>
      <c r="M11" s="88">
        <v>0.28360215053763443</v>
      </c>
      <c r="N11" s="85" t="s">
        <v>171</v>
      </c>
      <c r="O11" s="88">
        <v>0.17473118279569894</v>
      </c>
      <c r="P11" s="85" t="s">
        <v>184</v>
      </c>
      <c r="Q11" s="89">
        <v>8300</v>
      </c>
      <c r="R11" s="85" t="s">
        <v>171</v>
      </c>
      <c r="S11" s="89">
        <v>-8504.6153846153848</v>
      </c>
      <c r="T11" s="85" t="s">
        <v>145</v>
      </c>
      <c r="U11" s="87">
        <v>0.11659192825112108</v>
      </c>
      <c r="V11" s="85" t="s">
        <v>184</v>
      </c>
      <c r="W11" s="87">
        <v>0</v>
      </c>
      <c r="X11" s="85" t="s">
        <v>222</v>
      </c>
      <c r="Y11" s="88">
        <v>0.23076923076923078</v>
      </c>
      <c r="Z11" s="85" t="s">
        <v>171</v>
      </c>
      <c r="AA11" s="88">
        <v>0.18817204301075269</v>
      </c>
      <c r="AB11" s="85" t="s">
        <v>127</v>
      </c>
      <c r="AC11" s="88">
        <v>0.57519788918205805</v>
      </c>
      <c r="AD11" s="85" t="s">
        <v>173</v>
      </c>
      <c r="AE11" s="88">
        <v>0.33333333333333331</v>
      </c>
      <c r="AF11" s="85" t="s">
        <v>128</v>
      </c>
      <c r="AG11" s="88">
        <v>0.42446043165467628</v>
      </c>
      <c r="AH11" s="85" t="s">
        <v>184</v>
      </c>
      <c r="AI11" s="92">
        <v>68300</v>
      </c>
    </row>
    <row r="12" spans="1:35" x14ac:dyDescent="0.4">
      <c r="A12" s="82">
        <v>10</v>
      </c>
      <c r="B12" s="83" t="s">
        <v>184</v>
      </c>
      <c r="C12" s="84">
        <v>-85.399999999999991</v>
      </c>
      <c r="D12" s="85" t="s">
        <v>184</v>
      </c>
      <c r="E12" s="97">
        <v>-5.6933333333333325</v>
      </c>
      <c r="F12" s="85" t="s">
        <v>173</v>
      </c>
      <c r="G12" s="86">
        <v>2.088888888888889</v>
      </c>
      <c r="H12" s="85" t="s">
        <v>128</v>
      </c>
      <c r="I12" s="87">
        <v>0.26400000000000001</v>
      </c>
      <c r="J12" s="85" t="s">
        <v>173</v>
      </c>
      <c r="K12" s="87">
        <v>0.37777777777777777</v>
      </c>
      <c r="L12" s="85" t="s">
        <v>128</v>
      </c>
      <c r="M12" s="88">
        <v>0.2688588007736944</v>
      </c>
      <c r="N12" s="85" t="s">
        <v>173</v>
      </c>
      <c r="O12" s="88">
        <v>0.18766066838046272</v>
      </c>
      <c r="P12" s="85" t="s">
        <v>183</v>
      </c>
      <c r="Q12" s="89">
        <v>7860</v>
      </c>
      <c r="R12" s="85" t="s">
        <v>172</v>
      </c>
      <c r="S12" s="89">
        <v>-8512.2222222222226</v>
      </c>
      <c r="T12" s="85" t="s">
        <v>184</v>
      </c>
      <c r="U12" s="87">
        <v>0.13333333333333333</v>
      </c>
      <c r="V12" s="85" t="s">
        <v>200</v>
      </c>
      <c r="W12" s="87">
        <v>0</v>
      </c>
      <c r="X12" s="85" t="s">
        <v>184</v>
      </c>
      <c r="Y12" s="88">
        <v>0.23015873015873015</v>
      </c>
      <c r="Z12" s="85" t="s">
        <v>177</v>
      </c>
      <c r="AA12" s="88">
        <v>0.17892644135188868</v>
      </c>
      <c r="AB12" s="85" t="s">
        <v>172</v>
      </c>
      <c r="AC12" s="88">
        <v>0.5714285714285714</v>
      </c>
      <c r="AD12" s="85" t="s">
        <v>128</v>
      </c>
      <c r="AE12" s="88">
        <v>0.28804347826086957</v>
      </c>
      <c r="AF12" s="85" t="s">
        <v>172</v>
      </c>
      <c r="AG12" s="88">
        <v>0.42410714285714285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-295.39999999999998</v>
      </c>
      <c r="D13" s="85" t="s">
        <v>173</v>
      </c>
      <c r="E13" s="97">
        <v>-6.5644444444444439</v>
      </c>
      <c r="F13" s="85" t="s">
        <v>128</v>
      </c>
      <c r="G13" s="86">
        <v>2.0960000000000001</v>
      </c>
      <c r="H13" s="85" t="s">
        <v>129</v>
      </c>
      <c r="I13" s="87">
        <v>0.24444444444444444</v>
      </c>
      <c r="J13" s="85" t="s">
        <v>184</v>
      </c>
      <c r="K13" s="87">
        <v>0.46666666666666667</v>
      </c>
      <c r="L13" s="85" t="s">
        <v>183</v>
      </c>
      <c r="M13" s="88">
        <v>0.26315789473684209</v>
      </c>
      <c r="N13" s="85" t="s">
        <v>129</v>
      </c>
      <c r="O13" s="88">
        <v>0.19210526315789472</v>
      </c>
      <c r="P13" s="85" t="s">
        <v>173</v>
      </c>
      <c r="Q13" s="89">
        <v>6945.6896551724139</v>
      </c>
      <c r="R13" s="85" t="s">
        <v>129</v>
      </c>
      <c r="S13" s="89">
        <v>-9189.7260273972606</v>
      </c>
      <c r="T13" s="85" t="s">
        <v>128</v>
      </c>
      <c r="U13" s="87">
        <v>0.13600000000000001</v>
      </c>
      <c r="V13" s="85" t="s">
        <v>183</v>
      </c>
      <c r="W13" s="87">
        <v>0</v>
      </c>
      <c r="X13" s="85" t="s">
        <v>173</v>
      </c>
      <c r="Y13" s="88">
        <v>0.22879177377892032</v>
      </c>
      <c r="Z13" s="85" t="s">
        <v>128</v>
      </c>
      <c r="AA13" s="88">
        <v>0.17794970986460348</v>
      </c>
      <c r="AB13" s="85" t="s">
        <v>171</v>
      </c>
      <c r="AC13" s="88">
        <v>0.56221198156682028</v>
      </c>
      <c r="AD13" s="85" t="s">
        <v>129</v>
      </c>
      <c r="AE13" s="88">
        <v>0.25409836065573771</v>
      </c>
      <c r="AF13" s="85" t="s">
        <v>171</v>
      </c>
      <c r="AG13" s="88">
        <v>0.41232227488151657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-449.70000000000005</v>
      </c>
      <c r="D14" s="85" t="s">
        <v>223</v>
      </c>
      <c r="E14" s="97">
        <v>-12.35</v>
      </c>
      <c r="F14" s="85" t="s">
        <v>129</v>
      </c>
      <c r="G14" s="86">
        <v>2.2444444444444445</v>
      </c>
      <c r="H14" s="85" t="s">
        <v>222</v>
      </c>
      <c r="I14" s="87">
        <v>0</v>
      </c>
      <c r="J14" s="85" t="s">
        <v>129</v>
      </c>
      <c r="K14" s="87">
        <v>0.48888888888888887</v>
      </c>
      <c r="L14" s="85" t="s">
        <v>129</v>
      </c>
      <c r="M14" s="88">
        <v>0.2381578947368421</v>
      </c>
      <c r="N14" s="85" t="s">
        <v>184</v>
      </c>
      <c r="O14" s="88">
        <v>0.21428571428571427</v>
      </c>
      <c r="P14" s="85" t="s">
        <v>200</v>
      </c>
      <c r="Q14" s="89">
        <v>6765.5172413793107</v>
      </c>
      <c r="R14" s="85" t="s">
        <v>222</v>
      </c>
      <c r="S14" s="89">
        <v>-12000</v>
      </c>
      <c r="T14" s="85" t="s">
        <v>177</v>
      </c>
      <c r="U14" s="87">
        <v>0.14285714285714285</v>
      </c>
      <c r="V14" s="85" t="s">
        <v>222</v>
      </c>
      <c r="W14" s="87">
        <v>0</v>
      </c>
      <c r="X14" s="85" t="s">
        <v>172</v>
      </c>
      <c r="Y14" s="88">
        <v>0.2153846153846154</v>
      </c>
      <c r="Z14" s="85" t="s">
        <v>129</v>
      </c>
      <c r="AA14" s="88">
        <v>0.16052631578947368</v>
      </c>
      <c r="AB14" s="85" t="s">
        <v>129</v>
      </c>
      <c r="AC14" s="88">
        <v>0.52112676056338025</v>
      </c>
      <c r="AD14" s="85" t="s">
        <v>223</v>
      </c>
      <c r="AE14" s="88">
        <v>0.25</v>
      </c>
      <c r="AF14" s="85" t="s">
        <v>127</v>
      </c>
      <c r="AG14" s="88">
        <v>0.40714285714285714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-1324.2</v>
      </c>
      <c r="D15" s="85" t="s">
        <v>129</v>
      </c>
      <c r="E15" s="97">
        <v>-14.713333333333335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172</v>
      </c>
      <c r="Q15" s="89">
        <v>6741.5178571428569</v>
      </c>
      <c r="R15" s="85" t="s">
        <v>223</v>
      </c>
      <c r="S15" s="89">
        <v>-12425</v>
      </c>
      <c r="T15" s="85" t="s">
        <v>129</v>
      </c>
      <c r="U15" s="87">
        <v>0.18888888888888888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8DE6-F449-4380-B816-B263642B4AAF}">
  <sheetPr codeName="Sheet4"/>
  <dimension ref="A1:Q67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669</v>
      </c>
      <c r="C2" s="151"/>
      <c r="E2" s="62" t="s">
        <v>67</v>
      </c>
      <c r="F2" s="59" t="s">
        <v>23</v>
      </c>
      <c r="G2" s="46">
        <v>1202</v>
      </c>
      <c r="H2" s="132">
        <f>IF(B$17=0,0,G2/B$17)</f>
        <v>0.72366044551475017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-13.513513513513514</v>
      </c>
      <c r="P2" s="118">
        <v>666</v>
      </c>
      <c r="Q2" s="102">
        <v>-9000</v>
      </c>
    </row>
    <row r="3" spans="1:17" x14ac:dyDescent="0.4">
      <c r="A3" s="55" t="s">
        <v>8</v>
      </c>
      <c r="B3" s="152">
        <v>5562</v>
      </c>
      <c r="C3" s="153"/>
      <c r="E3" s="63" t="s">
        <v>65</v>
      </c>
      <c r="F3" s="60" t="s">
        <v>21</v>
      </c>
      <c r="G3" s="47">
        <v>860</v>
      </c>
      <c r="H3" s="133">
        <f>IF(B$17=0,0,G3/B$17)</f>
        <v>0.51776038531005419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-9.2165898617511512</v>
      </c>
      <c r="P3" s="119">
        <v>651</v>
      </c>
      <c r="Q3" s="103">
        <v>-6000</v>
      </c>
    </row>
    <row r="4" spans="1:17" x14ac:dyDescent="0.4">
      <c r="A4" s="55" t="s">
        <v>6</v>
      </c>
      <c r="B4" s="154">
        <v>-1.0000000000000071</v>
      </c>
      <c r="C4" s="155"/>
      <c r="E4" s="63" t="s">
        <v>73</v>
      </c>
      <c r="F4" s="60" t="s">
        <v>28</v>
      </c>
      <c r="G4" s="47">
        <v>838</v>
      </c>
      <c r="H4" s="133">
        <f>IF(B$17=0,0,G4/B$17)</f>
        <v>0.50451535219747146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9.8039215686274517</v>
      </c>
      <c r="P4" s="119">
        <v>612</v>
      </c>
      <c r="Q4" s="103">
        <v>6000</v>
      </c>
    </row>
    <row r="5" spans="1:17" x14ac:dyDescent="0.4">
      <c r="A5" s="55" t="s">
        <v>7</v>
      </c>
      <c r="B5" s="156">
        <f>IF(B$2=0,0,B$4/B$2)</f>
        <v>-1.4947683109118193E-3</v>
      </c>
      <c r="C5" s="157"/>
      <c r="E5" s="63" t="s">
        <v>245</v>
      </c>
      <c r="F5" s="60" t="s">
        <v>246</v>
      </c>
      <c r="G5" s="47">
        <v>678</v>
      </c>
      <c r="H5" s="133">
        <f>IF(B$17=0,0,G5/B$17)</f>
        <v>0.40818783865141484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9.0090090090090094</v>
      </c>
      <c r="P5" s="119">
        <v>555</v>
      </c>
      <c r="Q5" s="103">
        <v>5000</v>
      </c>
    </row>
    <row r="6" spans="1:17" x14ac:dyDescent="0.4">
      <c r="A6" s="55" t="s">
        <v>1</v>
      </c>
      <c r="B6" s="146">
        <f>IF(B$2=0,0,(B$7*1+B$8*2+B$9*3)/B$2)</f>
        <v>1.9955156950672646</v>
      </c>
      <c r="C6" s="147"/>
      <c r="E6" s="63" t="s">
        <v>69</v>
      </c>
      <c r="F6" s="60" t="s">
        <v>12</v>
      </c>
      <c r="G6" s="47">
        <v>517</v>
      </c>
      <c r="H6" s="133">
        <f>IF(B$17=0,0,G6/B$17)</f>
        <v>0.31125827814569534</v>
      </c>
      <c r="I6" s="94">
        <v>9</v>
      </c>
      <c r="K6" s="38">
        <v>4</v>
      </c>
      <c r="L6" s="99">
        <v>2.2000000000000002</v>
      </c>
      <c r="N6" s="115" t="s">
        <v>136</v>
      </c>
      <c r="O6" s="122">
        <f t="shared" si="0"/>
        <v>-14.056224899598394</v>
      </c>
      <c r="P6" s="119">
        <v>498</v>
      </c>
      <c r="Q6" s="103">
        <v>-7000</v>
      </c>
    </row>
    <row r="7" spans="1:17" x14ac:dyDescent="0.4">
      <c r="A7" s="55" t="s">
        <v>2</v>
      </c>
      <c r="B7" s="47">
        <v>225</v>
      </c>
      <c r="C7" s="39">
        <f>IF(B$2=0,0,B7/B$2)</f>
        <v>0.33632286995515698</v>
      </c>
      <c r="E7" s="63" t="s">
        <v>68</v>
      </c>
      <c r="F7" s="60" t="s">
        <v>24</v>
      </c>
      <c r="G7" s="47">
        <v>502</v>
      </c>
      <c r="H7" s="133">
        <f>IF(B$17=0,0,G7/B$17)</f>
        <v>0.30222757375075254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22.371364653243848</v>
      </c>
      <c r="P7" s="120">
        <v>447</v>
      </c>
      <c r="Q7" s="104">
        <v>10000</v>
      </c>
    </row>
    <row r="8" spans="1:17" x14ac:dyDescent="0.4">
      <c r="A8" s="55" t="s">
        <v>3</v>
      </c>
      <c r="B8" s="47">
        <v>222</v>
      </c>
      <c r="C8" s="39">
        <f>IF(B$2=0,0,B8/B$2)</f>
        <v>0.33183856502242154</v>
      </c>
      <c r="E8" s="63" t="s">
        <v>70</v>
      </c>
      <c r="F8" s="60" t="s">
        <v>25</v>
      </c>
      <c r="G8" s="47">
        <v>291</v>
      </c>
      <c r="H8" s="133">
        <f>IF(B$17=0,0,G8/B$17)</f>
        <v>0.17519566526189043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222</v>
      </c>
      <c r="C9" s="40">
        <f t="shared" ref="C9" si="1">IF(B$2=0,0,B9/B$2)</f>
        <v>0.33183856502242154</v>
      </c>
      <c r="E9" s="63" t="s">
        <v>90</v>
      </c>
      <c r="F9" s="60" t="s">
        <v>45</v>
      </c>
      <c r="G9" s="47">
        <v>207</v>
      </c>
      <c r="H9" s="133">
        <f>IF(B$17=0,0,G9/B$17)</f>
        <v>0.12462372065021071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78</v>
      </c>
      <c r="C10" s="40">
        <f>IF(B$2=0,0,B10/B$2)</f>
        <v>0.11659192825112108</v>
      </c>
      <c r="E10" s="63" t="s">
        <v>66</v>
      </c>
      <c r="F10" s="60" t="s">
        <v>22</v>
      </c>
      <c r="G10" s="47">
        <v>201</v>
      </c>
      <c r="H10" s="133">
        <f>IF(B$17=0,0,G10/B$17)</f>
        <v>0.12101143889223359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-1.5623318385650216</v>
      </c>
      <c r="P10" s="118">
        <v>223</v>
      </c>
      <c r="Q10" s="106">
        <v>-348.39999999999981</v>
      </c>
    </row>
    <row r="11" spans="1:17" x14ac:dyDescent="0.4">
      <c r="A11" s="56" t="s">
        <v>140</v>
      </c>
      <c r="B11" s="48">
        <v>78</v>
      </c>
      <c r="C11" s="40">
        <f>IF(B$2=0,0,B11/B$2)</f>
        <v>0.11659192825112108</v>
      </c>
      <c r="E11" s="63" t="s">
        <v>71</v>
      </c>
      <c r="F11" s="60" t="s">
        <v>26</v>
      </c>
      <c r="G11" s="47">
        <v>166</v>
      </c>
      <c r="H11" s="133">
        <f>IF(B$17=0,0,G11/B$17)</f>
        <v>9.9939795304033713E-2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0.50852017937219718</v>
      </c>
      <c r="P11" s="119">
        <v>223</v>
      </c>
      <c r="Q11" s="107">
        <v>113.39999999999998</v>
      </c>
    </row>
    <row r="12" spans="1:17" x14ac:dyDescent="0.4">
      <c r="A12" s="57" t="s">
        <v>160</v>
      </c>
      <c r="B12" s="49">
        <v>56</v>
      </c>
      <c r="C12" s="42">
        <f>IF(B$2=0,0,B12/B$2)</f>
        <v>8.3707025411061287E-2</v>
      </c>
      <c r="E12" s="63" t="s">
        <v>72</v>
      </c>
      <c r="F12" s="60" t="s">
        <v>27</v>
      </c>
      <c r="G12" s="47">
        <v>115</v>
      </c>
      <c r="H12" s="133">
        <f>IF(B$17=0,0,G12/B$17)</f>
        <v>6.9235400361228175E-2</v>
      </c>
      <c r="I12" s="94">
        <v>4</v>
      </c>
      <c r="K12" s="38">
        <v>10</v>
      </c>
      <c r="L12" s="99">
        <v>40.099999999999994</v>
      </c>
      <c r="N12" s="116" t="s">
        <v>166</v>
      </c>
      <c r="O12" s="126">
        <f>IF(P12=0,0,Q12/P12)</f>
        <v>1.0493273542600894</v>
      </c>
      <c r="P12" s="120">
        <v>223</v>
      </c>
      <c r="Q12" s="108">
        <v>233.99999999999994</v>
      </c>
    </row>
    <row r="13" spans="1:17" x14ac:dyDescent="0.4">
      <c r="A13" s="58" t="s">
        <v>122</v>
      </c>
      <c r="B13" s="50">
        <v>1555</v>
      </c>
      <c r="C13" s="44">
        <f>IF(B$3=0,0,B13/B$3)</f>
        <v>0.27957569219705142</v>
      </c>
      <c r="E13" s="63" t="s">
        <v>87</v>
      </c>
      <c r="F13" s="60" t="s">
        <v>42</v>
      </c>
      <c r="G13" s="47">
        <v>94</v>
      </c>
      <c r="H13" s="133">
        <f>IF(B$17=0,0,G13/B$17)</f>
        <v>5.6592414208308246E-2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1151</v>
      </c>
      <c r="C14" s="39">
        <f>IF(B$3=0,0,B14/B$3)</f>
        <v>0.20693994965839627</v>
      </c>
      <c r="E14" s="63" t="s">
        <v>84</v>
      </c>
      <c r="F14" s="60" t="s">
        <v>39</v>
      </c>
      <c r="G14" s="47">
        <v>82</v>
      </c>
      <c r="H14" s="133">
        <f>IF(B$17=0,0,G14/B$17)</f>
        <v>4.9367850692354005E-2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900</v>
      </c>
      <c r="C15" s="37">
        <f>IF(B$13=0,0,B15/B$13)</f>
        <v>0.5787781350482315</v>
      </c>
      <c r="E15" s="63" t="s">
        <v>82</v>
      </c>
      <c r="F15" s="60" t="s">
        <v>37</v>
      </c>
      <c r="G15" s="47">
        <v>46</v>
      </c>
      <c r="H15" s="133">
        <f>IF(B$17=0,0,G15/B$17)</f>
        <v>2.7694160144491272E-2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22.064444444444469</v>
      </c>
      <c r="P15" s="118">
        <v>180</v>
      </c>
      <c r="Q15" s="106">
        <v>3971.6000000000045</v>
      </c>
    </row>
    <row r="16" spans="1:17" x14ac:dyDescent="0.4">
      <c r="A16" s="54" t="s">
        <v>125</v>
      </c>
      <c r="B16" s="46">
        <v>451</v>
      </c>
      <c r="C16" s="37">
        <f>IF(B$14=0,0,B16/B$14)</f>
        <v>0.39183318853171156</v>
      </c>
      <c r="E16" s="63" t="s">
        <v>79</v>
      </c>
      <c r="F16" s="60" t="s">
        <v>34</v>
      </c>
      <c r="G16" s="47">
        <v>44</v>
      </c>
      <c r="H16" s="133">
        <f>IF(B$17=0,0,G16/B$17)</f>
        <v>2.6490066225165563E-2</v>
      </c>
      <c r="I16" s="94">
        <v>6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1661</v>
      </c>
      <c r="C17" s="37">
        <f>IF(B$3=0,0,B17/B$3)</f>
        <v>0.29863358504135201</v>
      </c>
      <c r="E17" s="63" t="s">
        <v>92</v>
      </c>
      <c r="F17" s="60" t="s">
        <v>47</v>
      </c>
      <c r="G17" s="47">
        <v>32</v>
      </c>
      <c r="H17" s="133">
        <f>IF(B$17=0,0,G17/B$17)</f>
        <v>1.9265502709211318E-2</v>
      </c>
      <c r="I17" s="94">
        <v>4</v>
      </c>
      <c r="K17" s="38">
        <v>15</v>
      </c>
      <c r="L17" s="99">
        <v>-1.0658141036401503E-14</v>
      </c>
      <c r="N17" s="115" t="s">
        <v>173</v>
      </c>
      <c r="O17" s="125">
        <f>IF(P17=0,0,Q17/P17)</f>
        <v>9.846666666666664</v>
      </c>
      <c r="P17" s="119">
        <v>90</v>
      </c>
      <c r="Q17" s="107">
        <v>886.19999999999982</v>
      </c>
    </row>
    <row r="18" spans="1:17" x14ac:dyDescent="0.4">
      <c r="A18" s="55" t="s">
        <v>12</v>
      </c>
      <c r="B18" s="47">
        <v>717</v>
      </c>
      <c r="C18" s="39">
        <f>IF(B$17=0,0,B18/B$17)</f>
        <v>0.43166767007826612</v>
      </c>
      <c r="E18" s="63" t="s">
        <v>80</v>
      </c>
      <c r="F18" s="60" t="s">
        <v>35</v>
      </c>
      <c r="G18" s="47">
        <v>25</v>
      </c>
      <c r="H18" s="133">
        <f>IF(B$17=0,0,G18/B$17)</f>
        <v>1.5051173991571343E-2</v>
      </c>
      <c r="I18" s="94">
        <v>5</v>
      </c>
      <c r="K18" s="38">
        <v>16</v>
      </c>
      <c r="L18" s="99">
        <v>90.899999999999991</v>
      </c>
      <c r="N18" s="115" t="s">
        <v>184</v>
      </c>
      <c r="O18" s="125">
        <f>IF(P18=0,0,Q18/P18)</f>
        <v>8.5066666666666642</v>
      </c>
      <c r="P18" s="119">
        <v>30</v>
      </c>
      <c r="Q18" s="107">
        <v>255.19999999999993</v>
      </c>
    </row>
    <row r="19" spans="1:17" x14ac:dyDescent="0.4">
      <c r="A19" s="55" t="s">
        <v>11</v>
      </c>
      <c r="B19" s="47">
        <v>944</v>
      </c>
      <c r="C19" s="39">
        <f>IF(B$17=0,0,B19/B$17)</f>
        <v>0.56833232992173388</v>
      </c>
      <c r="E19" s="63" t="s">
        <v>180</v>
      </c>
      <c r="F19" s="60" t="s">
        <v>181</v>
      </c>
      <c r="G19" s="47">
        <v>25</v>
      </c>
      <c r="H19" s="133">
        <f>IF(B$17=0,0,G19/B$17)</f>
        <v>1.5051173991571343E-2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5.396399999999999</v>
      </c>
      <c r="P19" s="119">
        <v>250</v>
      </c>
      <c r="Q19" s="107">
        <v>1349.0999999999997</v>
      </c>
    </row>
    <row r="20" spans="1:17" x14ac:dyDescent="0.4">
      <c r="A20" s="55" t="s">
        <v>13</v>
      </c>
      <c r="B20" s="47">
        <v>934</v>
      </c>
      <c r="C20" s="39">
        <f>IF(B$3=0,0,B20/B$3)</f>
        <v>0.16792520676015821</v>
      </c>
      <c r="E20" s="63" t="s">
        <v>74</v>
      </c>
      <c r="F20" s="60" t="s">
        <v>29</v>
      </c>
      <c r="G20" s="47">
        <v>11</v>
      </c>
      <c r="H20" s="133">
        <f>IF(B$17=0,0,G20/B$17)</f>
        <v>6.6225165562913907E-3</v>
      </c>
      <c r="I20" s="94">
        <v>6</v>
      </c>
      <c r="K20" s="38">
        <v>18</v>
      </c>
      <c r="L20" s="99">
        <v>-3.5527136788005009E-15</v>
      </c>
      <c r="N20" s="115" t="s">
        <v>172</v>
      </c>
      <c r="O20" s="125">
        <f>IF(P20=0,0,Q20/P20)</f>
        <v>0.71644736842105194</v>
      </c>
      <c r="P20" s="119">
        <v>152</v>
      </c>
      <c r="Q20" s="107">
        <v>108.89999999999989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9</v>
      </c>
      <c r="H21" s="133">
        <f>IF(B$17=0,0,G21/B$17)</f>
        <v>5.4184226369656833E-3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-0.53932584269662653</v>
      </c>
      <c r="P21" s="119">
        <v>178</v>
      </c>
      <c r="Q21" s="107">
        <v>-95.999999999999531</v>
      </c>
    </row>
    <row r="22" spans="1:17" x14ac:dyDescent="0.4">
      <c r="A22" s="55" t="s">
        <v>192</v>
      </c>
      <c r="B22" s="47">
        <v>31</v>
      </c>
      <c r="C22" s="135">
        <v>3</v>
      </c>
      <c r="E22" s="63" t="s">
        <v>86</v>
      </c>
      <c r="F22" s="60" t="s">
        <v>41</v>
      </c>
      <c r="G22" s="47">
        <v>7</v>
      </c>
      <c r="H22" s="133">
        <f>IF(B$17=0,0,G22/B$17)</f>
        <v>4.2143287176399759E-3</v>
      </c>
      <c r="I22" s="94">
        <v>3</v>
      </c>
      <c r="K22" s="38">
        <v>20</v>
      </c>
      <c r="L22" s="99">
        <v>0.79999999999999716</v>
      </c>
      <c r="N22" s="115" t="s">
        <v>200</v>
      </c>
      <c r="O22" s="125">
        <f>IF(P22=0,0,Q22/P22)</f>
        <v>-2.7150000000000012</v>
      </c>
      <c r="P22" s="119">
        <v>20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8631.246237206502</v>
      </c>
      <c r="C23" s="41">
        <v>14336500</v>
      </c>
      <c r="E23" s="63" t="s">
        <v>93</v>
      </c>
      <c r="F23" s="60" t="s">
        <v>48</v>
      </c>
      <c r="G23" s="47">
        <v>7</v>
      </c>
      <c r="H23" s="133">
        <f>IF(B$17=0,0,G23/B$17)</f>
        <v>4.2143287176399759E-3</v>
      </c>
      <c r="I23" s="94">
        <v>5</v>
      </c>
      <c r="K23" s="38">
        <v>21</v>
      </c>
      <c r="L23" s="99">
        <v>-2.886579864025407E-15</v>
      </c>
      <c r="N23" s="115" t="s">
        <v>177</v>
      </c>
      <c r="O23" s="125">
        <f>IF(P23=0,0,Q23/P23)</f>
        <v>-8.2285714285714278</v>
      </c>
      <c r="P23" s="119">
        <v>126</v>
      </c>
      <c r="Q23" s="107">
        <v>-1036.8</v>
      </c>
    </row>
    <row r="24" spans="1:17" x14ac:dyDescent="0.4">
      <c r="A24" s="57" t="s">
        <v>14</v>
      </c>
      <c r="B24" s="52">
        <f>IF(B$20=0,0,C24/B$20)</f>
        <v>-8268.0942184154173</v>
      </c>
      <c r="C24" s="45">
        <v>-7722400</v>
      </c>
      <c r="E24" s="63" t="s">
        <v>75</v>
      </c>
      <c r="F24" s="60" t="s">
        <v>30</v>
      </c>
      <c r="G24" s="47">
        <v>6</v>
      </c>
      <c r="H24" s="133">
        <f>IF(B$17=0,0,G24/B$17)</f>
        <v>3.6122817579771222E-3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-17.450333333333312</v>
      </c>
      <c r="P24" s="119">
        <v>300</v>
      </c>
      <c r="Q24" s="107">
        <v>-5235.0999999999931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6</v>
      </c>
      <c r="H25" s="133">
        <f>IF(B$17=0,0,G25/B$17)</f>
        <v>3.6122817579771222E-3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6</v>
      </c>
      <c r="H26" s="133">
        <f>IF(B$17=0,0,G26/B$17)</f>
        <v>3.6122817579771222E-3</v>
      </c>
      <c r="I26" s="94">
        <v>4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2.5170801869830997E-3</v>
      </c>
      <c r="E27" s="63" t="s">
        <v>91</v>
      </c>
      <c r="F27" s="60" t="s">
        <v>46</v>
      </c>
      <c r="G27" s="47">
        <v>5</v>
      </c>
      <c r="H27" s="133">
        <f>IF(B$17=0,0,G27/B$17)</f>
        <v>3.0102347983142685E-3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78</v>
      </c>
      <c r="F28" s="60" t="s">
        <v>33</v>
      </c>
      <c r="G28" s="47">
        <v>4</v>
      </c>
      <c r="H28" s="133">
        <f>IF(B$17=0,0,G28/B$17)</f>
        <v>2.4081878386514148E-3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4</v>
      </c>
      <c r="H29" s="133">
        <f>IF(B$17=0,0,G29/B$17)</f>
        <v>2.4081878386514148E-3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1.2040939193257074E-3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1.2040939193257074E-3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6.020469596628537E-4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6.020469596628537E-4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45.999999999999979</v>
      </c>
    </row>
    <row r="650" spans="11:12" x14ac:dyDescent="0.4">
      <c r="K650" s="38">
        <v>648</v>
      </c>
      <c r="L650" s="99">
        <v>-1.0000000000000213</v>
      </c>
    </row>
    <row r="651" spans="11:12" x14ac:dyDescent="0.4">
      <c r="K651" s="38">
        <v>649</v>
      </c>
      <c r="L651" s="99">
        <v>-15.300000000000022</v>
      </c>
    </row>
    <row r="652" spans="11:12" x14ac:dyDescent="0.4">
      <c r="K652" s="38">
        <v>650</v>
      </c>
      <c r="L652" s="99">
        <v>35.09999999999998</v>
      </c>
    </row>
    <row r="653" spans="11:12" x14ac:dyDescent="0.4">
      <c r="K653" s="38">
        <v>651</v>
      </c>
      <c r="L653" s="99">
        <v>-1.0000000000000213</v>
      </c>
    </row>
    <row r="654" spans="11:12" x14ac:dyDescent="0.4">
      <c r="K654" s="38">
        <v>652</v>
      </c>
      <c r="L654" s="99">
        <v>-1.0000000000000213</v>
      </c>
    </row>
    <row r="655" spans="11:12" x14ac:dyDescent="0.4">
      <c r="K655" s="38">
        <v>653</v>
      </c>
      <c r="L655" s="99">
        <v>-1.0000000000000213</v>
      </c>
    </row>
    <row r="656" spans="11:12" x14ac:dyDescent="0.4">
      <c r="K656" s="38">
        <v>654</v>
      </c>
      <c r="L656" s="99">
        <v>-1.0000000000000213</v>
      </c>
    </row>
    <row r="657" spans="11:12" x14ac:dyDescent="0.4">
      <c r="K657" s="38">
        <v>655</v>
      </c>
      <c r="L657" s="99">
        <v>-61.90000000000002</v>
      </c>
    </row>
    <row r="658" spans="11:12" x14ac:dyDescent="0.4">
      <c r="K658" s="38">
        <v>656</v>
      </c>
      <c r="L658" s="99">
        <v>2.4999999999999858</v>
      </c>
    </row>
    <row r="659" spans="11:12" x14ac:dyDescent="0.4">
      <c r="K659" s="38">
        <v>657</v>
      </c>
      <c r="L659" s="99">
        <v>-1.0000000000000142</v>
      </c>
    </row>
    <row r="660" spans="11:12" x14ac:dyDescent="0.4">
      <c r="K660" s="38">
        <v>658</v>
      </c>
      <c r="L660" s="99">
        <v>66.799999999999983</v>
      </c>
    </row>
    <row r="661" spans="11:12" x14ac:dyDescent="0.4">
      <c r="K661" s="38">
        <v>659</v>
      </c>
      <c r="L661" s="99">
        <v>54.899999999999984</v>
      </c>
    </row>
    <row r="662" spans="11:12" x14ac:dyDescent="0.4">
      <c r="K662" s="38">
        <v>660</v>
      </c>
      <c r="L662" s="99">
        <v>-1.0000000000000142</v>
      </c>
    </row>
    <row r="663" spans="11:12" x14ac:dyDescent="0.4">
      <c r="K663" s="38">
        <v>661</v>
      </c>
      <c r="L663" s="99">
        <v>-15.900000000000015</v>
      </c>
    </row>
    <row r="664" spans="11:12" x14ac:dyDescent="0.4">
      <c r="K664" s="38">
        <v>662</v>
      </c>
      <c r="L664" s="99">
        <v>-52.300000000000011</v>
      </c>
    </row>
    <row r="665" spans="11:12" x14ac:dyDescent="0.4">
      <c r="K665" s="38">
        <v>663</v>
      </c>
      <c r="L665" s="99">
        <v>-1.0000000000000142</v>
      </c>
    </row>
    <row r="666" spans="11:12" x14ac:dyDescent="0.4">
      <c r="K666" s="38">
        <v>664</v>
      </c>
      <c r="L666" s="99">
        <v>-58.700000000000017</v>
      </c>
    </row>
    <row r="667" spans="11:12" x14ac:dyDescent="0.4">
      <c r="K667" s="38">
        <v>665</v>
      </c>
      <c r="L667" s="99">
        <v>-41.100000000000016</v>
      </c>
    </row>
    <row r="668" spans="11:12" x14ac:dyDescent="0.4">
      <c r="K668" s="38">
        <v>666</v>
      </c>
      <c r="L668" s="99">
        <v>-1.0000000000000142</v>
      </c>
    </row>
    <row r="669" spans="11:12" x14ac:dyDescent="0.4">
      <c r="K669" s="38">
        <v>667</v>
      </c>
      <c r="L669" s="99">
        <v>-2.9000000000000141</v>
      </c>
    </row>
    <row r="670" spans="11:12" x14ac:dyDescent="0.4">
      <c r="K670" s="38">
        <v>668</v>
      </c>
      <c r="L670" s="99">
        <v>31.79999999999999</v>
      </c>
    </row>
    <row r="671" spans="11:12" x14ac:dyDescent="0.4">
      <c r="K671" s="38">
        <v>669</v>
      </c>
      <c r="L671" s="99">
        <v>-1.0000000000000071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5C4CE-7006-4F46-8BD2-4265ACD7CDB1}">
  <sheetPr codeName="Sheet7"/>
  <dimension ref="A1:Q1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150</v>
      </c>
      <c r="C2" s="151"/>
      <c r="E2" s="62" t="s">
        <v>65</v>
      </c>
      <c r="F2" s="59" t="s">
        <v>21</v>
      </c>
      <c r="G2" s="46">
        <v>200</v>
      </c>
      <c r="H2" s="132">
        <f>IF(B$17=0,0,G2/B$17)</f>
        <v>0.47619047619047616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2210.0671140939598</v>
      </c>
      <c r="P2" s="118">
        <v>149</v>
      </c>
      <c r="Q2" s="102">
        <v>329300</v>
      </c>
    </row>
    <row r="3" spans="1:17" x14ac:dyDescent="0.4">
      <c r="A3" s="55" t="s">
        <v>8</v>
      </c>
      <c r="B3" s="152">
        <v>1222</v>
      </c>
      <c r="C3" s="153"/>
      <c r="E3" s="63" t="s">
        <v>66</v>
      </c>
      <c r="F3" s="60" t="s">
        <v>22</v>
      </c>
      <c r="G3" s="47">
        <v>53</v>
      </c>
      <c r="H3" s="133">
        <f>IF(B$17=0,0,G3/B$17)</f>
        <v>0.12619047619047619</v>
      </c>
      <c r="I3" s="94">
        <v>3</v>
      </c>
      <c r="K3" s="38">
        <v>1</v>
      </c>
      <c r="L3" s="99">
        <v>-5.0999999999999996</v>
      </c>
      <c r="N3" s="115" t="s">
        <v>133</v>
      </c>
      <c r="O3" s="122">
        <f t="shared" si="0"/>
        <v>1241.3793103448277</v>
      </c>
      <c r="P3" s="119">
        <v>145</v>
      </c>
      <c r="Q3" s="103">
        <v>180000</v>
      </c>
    </row>
    <row r="4" spans="1:17" x14ac:dyDescent="0.4">
      <c r="A4" s="55" t="s">
        <v>6</v>
      </c>
      <c r="B4" s="154">
        <v>1744.7000000000007</v>
      </c>
      <c r="C4" s="155"/>
      <c r="E4" s="63" t="s">
        <v>67</v>
      </c>
      <c r="F4" s="60" t="s">
        <v>23</v>
      </c>
      <c r="G4" s="47">
        <v>303</v>
      </c>
      <c r="H4" s="133">
        <f>IF(B$17=0,0,G4/B$17)</f>
        <v>0.72142857142857142</v>
      </c>
      <c r="I4" s="94">
        <v>8</v>
      </c>
      <c r="K4" s="38">
        <v>2</v>
      </c>
      <c r="L4" s="99">
        <v>-2.8999999999999995</v>
      </c>
      <c r="N4" s="115" t="s">
        <v>134</v>
      </c>
      <c r="O4" s="122">
        <f t="shared" si="0"/>
        <v>705.79710144927537</v>
      </c>
      <c r="P4" s="119">
        <v>138</v>
      </c>
      <c r="Q4" s="103">
        <v>97400</v>
      </c>
    </row>
    <row r="5" spans="1:17" x14ac:dyDescent="0.4">
      <c r="A5" s="55" t="s">
        <v>7</v>
      </c>
      <c r="B5" s="156">
        <f>IF(B$2=0,0,B$4/B$2)</f>
        <v>11.631333333333338</v>
      </c>
      <c r="C5" s="157"/>
      <c r="E5" s="63" t="s">
        <v>68</v>
      </c>
      <c r="F5" s="60" t="s">
        <v>24</v>
      </c>
      <c r="G5" s="47">
        <v>115</v>
      </c>
      <c r="H5" s="133">
        <f>IF(B$17=0,0,G5/B$17)</f>
        <v>0.27380952380952384</v>
      </c>
      <c r="I5" s="94">
        <v>10</v>
      </c>
      <c r="K5" s="38">
        <v>3</v>
      </c>
      <c r="L5" s="99">
        <v>70.399999999999991</v>
      </c>
      <c r="N5" s="115" t="s">
        <v>135</v>
      </c>
      <c r="O5" s="122">
        <f t="shared" si="0"/>
        <v>2396.8253968253966</v>
      </c>
      <c r="P5" s="119">
        <v>126</v>
      </c>
      <c r="Q5" s="103">
        <v>302000</v>
      </c>
    </row>
    <row r="6" spans="1:17" x14ac:dyDescent="0.4">
      <c r="A6" s="55" t="s">
        <v>1</v>
      </c>
      <c r="B6" s="146">
        <f>IF(B$2=0,0,(B$7*1+B$8*2+B$9*3)/B$2)</f>
        <v>1.7533333333333334</v>
      </c>
      <c r="C6" s="147"/>
      <c r="E6" s="63" t="s">
        <v>69</v>
      </c>
      <c r="F6" s="60" t="s">
        <v>12</v>
      </c>
      <c r="G6" s="47">
        <v>110</v>
      </c>
      <c r="H6" s="133">
        <f>IF(B$17=0,0,G6/B$17)</f>
        <v>0.26190476190476192</v>
      </c>
      <c r="I6" s="94">
        <v>12</v>
      </c>
      <c r="K6" s="38">
        <v>4</v>
      </c>
      <c r="L6" s="99">
        <v>110.5</v>
      </c>
      <c r="N6" s="115" t="s">
        <v>136</v>
      </c>
      <c r="O6" s="122">
        <f t="shared" si="0"/>
        <v>260.36036036036035</v>
      </c>
      <c r="P6" s="119">
        <v>111</v>
      </c>
      <c r="Q6" s="103">
        <v>28900</v>
      </c>
    </row>
    <row r="7" spans="1:17" x14ac:dyDescent="0.4">
      <c r="A7" s="55" t="s">
        <v>2</v>
      </c>
      <c r="B7" s="47">
        <v>72</v>
      </c>
      <c r="C7" s="39">
        <f>IF(B$2=0,0,B7/B$2)</f>
        <v>0.48</v>
      </c>
      <c r="E7" s="63" t="s">
        <v>70</v>
      </c>
      <c r="F7" s="60" t="s">
        <v>25</v>
      </c>
      <c r="G7" s="47">
        <v>68</v>
      </c>
      <c r="H7" s="133">
        <f>IF(B$17=0,0,G7/B$17)</f>
        <v>0.16190476190476191</v>
      </c>
      <c r="I7" s="94">
        <v>9</v>
      </c>
      <c r="K7" s="38">
        <v>5</v>
      </c>
      <c r="L7" s="99">
        <v>201.4</v>
      </c>
      <c r="N7" s="116" t="s">
        <v>137</v>
      </c>
      <c r="O7" s="123">
        <f t="shared" si="0"/>
        <v>836.08247422680415</v>
      </c>
      <c r="P7" s="120">
        <v>97</v>
      </c>
      <c r="Q7" s="104">
        <v>81100</v>
      </c>
    </row>
    <row r="8" spans="1:17" x14ac:dyDescent="0.4">
      <c r="A8" s="55" t="s">
        <v>3</v>
      </c>
      <c r="B8" s="47">
        <v>43</v>
      </c>
      <c r="C8" s="39">
        <f>IF(B$2=0,0,B8/B$2)</f>
        <v>0.28666666666666668</v>
      </c>
      <c r="E8" s="63" t="s">
        <v>71</v>
      </c>
      <c r="F8" s="60" t="s">
        <v>26</v>
      </c>
      <c r="G8" s="47">
        <v>37</v>
      </c>
      <c r="H8" s="133">
        <f>IF(B$17=0,0,G8/B$17)</f>
        <v>8.8095238095238101E-2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35</v>
      </c>
      <c r="C9" s="40">
        <f t="shared" ref="C9" si="1">IF(B$2=0,0,B9/B$2)</f>
        <v>0.23333333333333334</v>
      </c>
      <c r="E9" s="63" t="s">
        <v>72</v>
      </c>
      <c r="F9" s="60" t="s">
        <v>27</v>
      </c>
      <c r="G9" s="47">
        <v>29</v>
      </c>
      <c r="H9" s="133">
        <f>IF(B$17=0,0,G9/B$17)</f>
        <v>6.9047619047619052E-2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</v>
      </c>
      <c r="E10" s="63" t="s">
        <v>73</v>
      </c>
      <c r="F10" s="60" t="s">
        <v>28</v>
      </c>
      <c r="G10" s="47">
        <v>241</v>
      </c>
      <c r="H10" s="133">
        <f>IF(B$17=0,0,G10/B$17)</f>
        <v>0.57380952380952377</v>
      </c>
      <c r="I10" s="94">
        <v>5</v>
      </c>
      <c r="K10" s="38">
        <v>8</v>
      </c>
      <c r="L10" s="99">
        <v>285.20000000000005</v>
      </c>
      <c r="N10" s="114" t="s">
        <v>164</v>
      </c>
      <c r="O10" s="124">
        <f>IF(P10=0,0,Q10/P10)</f>
        <v>13.275</v>
      </c>
      <c r="P10" s="118">
        <v>48</v>
      </c>
      <c r="Q10" s="106">
        <v>637.20000000000005</v>
      </c>
    </row>
    <row r="11" spans="1:17" x14ac:dyDescent="0.4">
      <c r="A11" s="56" t="s">
        <v>140</v>
      </c>
      <c r="B11" s="48">
        <v>25</v>
      </c>
      <c r="C11" s="40">
        <f>IF(B$2=0,0,B11/B$2)</f>
        <v>0.16666666666666666</v>
      </c>
      <c r="E11" s="63" t="s">
        <v>74</v>
      </c>
      <c r="F11" s="60" t="s">
        <v>29</v>
      </c>
      <c r="G11" s="47">
        <v>3</v>
      </c>
      <c r="H11" s="133">
        <f>IF(B$17=0,0,G11/B$17)</f>
        <v>7.1428571428571426E-3</v>
      </c>
      <c r="I11" s="94">
        <v>5</v>
      </c>
      <c r="K11" s="38">
        <v>9</v>
      </c>
      <c r="L11" s="99">
        <v>277.90000000000003</v>
      </c>
      <c r="N11" s="115" t="s">
        <v>165</v>
      </c>
      <c r="O11" s="125">
        <f>IF(P11=0,0,Q11/P11)</f>
        <v>10.183720930232557</v>
      </c>
      <c r="P11" s="119">
        <v>43</v>
      </c>
      <c r="Q11" s="107">
        <v>437.9</v>
      </c>
    </row>
    <row r="12" spans="1:17" x14ac:dyDescent="0.4">
      <c r="A12" s="57" t="s">
        <v>160</v>
      </c>
      <c r="B12" s="49">
        <v>21</v>
      </c>
      <c r="C12" s="42">
        <f>IF(B$2=0,0,B12/B$2)</f>
        <v>0.14000000000000001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246.20000000000005</v>
      </c>
      <c r="N12" s="116" t="s">
        <v>166</v>
      </c>
      <c r="O12" s="126">
        <f>IF(P12=0,0,Q12/P12)</f>
        <v>11.349152542372885</v>
      </c>
      <c r="P12" s="120">
        <v>59</v>
      </c>
      <c r="Q12" s="108">
        <v>669.60000000000014</v>
      </c>
    </row>
    <row r="13" spans="1:17" x14ac:dyDescent="0.4">
      <c r="A13" s="58" t="s">
        <v>122</v>
      </c>
      <c r="B13" s="50">
        <v>379</v>
      </c>
      <c r="C13" s="44">
        <f>IF(B$3=0,0,B13/B$3)</f>
        <v>0.31014729950900166</v>
      </c>
      <c r="E13" s="63" t="s">
        <v>76</v>
      </c>
      <c r="F13" s="60" t="s">
        <v>31</v>
      </c>
      <c r="G13" s="47">
        <v>1</v>
      </c>
      <c r="H13" s="133">
        <f>IF(B$17=0,0,G13/B$17)</f>
        <v>2.3809523809523812E-3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268</v>
      </c>
      <c r="C14" s="39">
        <f>IF(B$3=0,0,B14/B$3)</f>
        <v>0.21931260229132571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218</v>
      </c>
      <c r="C15" s="37">
        <f>IF(B$13=0,0,B15/B$13)</f>
        <v>0.57519788918205805</v>
      </c>
      <c r="E15" s="63" t="s">
        <v>78</v>
      </c>
      <c r="F15" s="60" t="s">
        <v>33</v>
      </c>
      <c r="G15" s="47">
        <v>2</v>
      </c>
      <c r="H15" s="133">
        <f>IF(B$17=0,0,G15/B$17)</f>
        <v>4.7619047619047623E-3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 t="shared" ref="O15:O25" si="2"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138</v>
      </c>
      <c r="C16" s="37">
        <f>IF(B$14=0,0,B16/B$14)</f>
        <v>0.5149253731343284</v>
      </c>
      <c r="E16" s="63" t="s">
        <v>79</v>
      </c>
      <c r="F16" s="60" t="s">
        <v>34</v>
      </c>
      <c r="G16" s="47">
        <v>11</v>
      </c>
      <c r="H16" s="133">
        <f>IF(B$17=0,0,G16/B$17)</f>
        <v>2.6190476190476191E-2</v>
      </c>
      <c r="I16" s="94">
        <v>7</v>
      </c>
      <c r="K16" s="38">
        <v>14</v>
      </c>
      <c r="L16" s="99">
        <v>473.50000000000006</v>
      </c>
      <c r="N16" s="115" t="s">
        <v>222</v>
      </c>
      <c r="O16" s="125">
        <f t="shared" si="2"/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420</v>
      </c>
      <c r="C17" s="37">
        <f>IF(B$3=0,0,B17/B$3)</f>
        <v>0.34369885433715219</v>
      </c>
      <c r="E17" s="63" t="s">
        <v>80</v>
      </c>
      <c r="F17" s="60" t="s">
        <v>35</v>
      </c>
      <c r="G17" s="47">
        <v>5</v>
      </c>
      <c r="H17" s="133">
        <f>IF(B$17=0,0,G17/B$17)</f>
        <v>1.1904761904761904E-2</v>
      </c>
      <c r="I17" s="94">
        <v>9</v>
      </c>
      <c r="K17" s="38">
        <v>15</v>
      </c>
      <c r="L17" s="99">
        <v>481.50000000000006</v>
      </c>
      <c r="N17" s="115" t="s">
        <v>129</v>
      </c>
      <c r="O17" s="125">
        <f t="shared" si="2"/>
        <v>27.735714285714291</v>
      </c>
      <c r="P17" s="119">
        <v>56</v>
      </c>
      <c r="Q17" s="107">
        <v>1553.2000000000003</v>
      </c>
    </row>
    <row r="18" spans="1:17" x14ac:dyDescent="0.4">
      <c r="A18" s="55" t="s">
        <v>12</v>
      </c>
      <c r="B18" s="47">
        <v>171</v>
      </c>
      <c r="C18" s="39">
        <f>IF(B$17=0,0,B18/B$17)</f>
        <v>0.40714285714285714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425.50000000000006</v>
      </c>
      <c r="N18" s="115" t="s">
        <v>173</v>
      </c>
      <c r="O18" s="125">
        <f t="shared" si="2"/>
        <v>21.768181818181816</v>
      </c>
      <c r="P18" s="119">
        <v>22</v>
      </c>
      <c r="Q18" s="107">
        <v>478.9</v>
      </c>
    </row>
    <row r="19" spans="1:17" x14ac:dyDescent="0.4">
      <c r="A19" s="55" t="s">
        <v>11</v>
      </c>
      <c r="B19" s="47">
        <v>249</v>
      </c>
      <c r="C19" s="39">
        <f>IF(B$17=0,0,B19/B$17)</f>
        <v>0.59285714285714286</v>
      </c>
      <c r="E19" s="63" t="s">
        <v>82</v>
      </c>
      <c r="F19" s="60" t="s">
        <v>37</v>
      </c>
      <c r="G19" s="47">
        <v>12</v>
      </c>
      <c r="H19" s="133">
        <f>IF(B$17=0,0,G19/B$17)</f>
        <v>2.8571428571428571E-2</v>
      </c>
      <c r="I19" s="94">
        <v>5</v>
      </c>
      <c r="K19" s="38">
        <v>17</v>
      </c>
      <c r="L19" s="99">
        <v>427.40000000000003</v>
      </c>
      <c r="N19" s="115" t="s">
        <v>172</v>
      </c>
      <c r="O19" s="125">
        <f t="shared" si="2"/>
        <v>21.543902439024389</v>
      </c>
      <c r="P19" s="119">
        <v>41</v>
      </c>
      <c r="Q19" s="107">
        <v>883.3</v>
      </c>
    </row>
    <row r="20" spans="1:17" x14ac:dyDescent="0.4">
      <c r="A20" s="55" t="s">
        <v>13</v>
      </c>
      <c r="B20" s="47">
        <v>194</v>
      </c>
      <c r="C20" s="39">
        <f>IF(B$3=0,0,B20/B$3)</f>
        <v>0.15875613747954173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429.3</v>
      </c>
      <c r="N20" s="115" t="s">
        <v>177</v>
      </c>
      <c r="O20" s="125">
        <f t="shared" si="2"/>
        <v>21.500000000000007</v>
      </c>
      <c r="P20" s="119">
        <v>27</v>
      </c>
      <c r="Q20" s="107">
        <v>580.50000000000023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25</v>
      </c>
      <c r="H21" s="133">
        <f>IF(B$17=0,0,G21/B$17)</f>
        <v>5.9523809523809521E-2</v>
      </c>
      <c r="I21" s="94">
        <v>4</v>
      </c>
      <c r="K21" s="38">
        <v>19</v>
      </c>
      <c r="L21" s="99">
        <v>405.40000000000003</v>
      </c>
      <c r="N21" s="115" t="s">
        <v>128</v>
      </c>
      <c r="O21" s="125">
        <f t="shared" si="2"/>
        <v>18.63953488372093</v>
      </c>
      <c r="P21" s="119">
        <v>86</v>
      </c>
      <c r="Q21" s="107">
        <v>1603</v>
      </c>
    </row>
    <row r="22" spans="1:17" x14ac:dyDescent="0.4">
      <c r="A22" s="55" t="s">
        <v>192</v>
      </c>
      <c r="B22" s="47">
        <v>39</v>
      </c>
      <c r="C22" s="135">
        <v>10</v>
      </c>
      <c r="E22" s="63" t="s">
        <v>85</v>
      </c>
      <c r="F22" s="60" t="s">
        <v>40</v>
      </c>
      <c r="G22" s="47">
        <v>1</v>
      </c>
      <c r="H22" s="133">
        <f>IF(B$17=0,0,G22/B$17)</f>
        <v>2.3809523809523812E-3</v>
      </c>
      <c r="I22" s="94">
        <v>4</v>
      </c>
      <c r="K22" s="38">
        <v>20</v>
      </c>
      <c r="L22" s="99">
        <v>469.6</v>
      </c>
      <c r="N22" s="115" t="s">
        <v>184</v>
      </c>
      <c r="O22" s="125">
        <f t="shared" si="2"/>
        <v>12.139999999999993</v>
      </c>
      <c r="P22" s="119">
        <v>10</v>
      </c>
      <c r="Q22" s="107">
        <v>121.39999999999993</v>
      </c>
    </row>
    <row r="23" spans="1:17" x14ac:dyDescent="0.4">
      <c r="A23" s="55" t="s">
        <v>5</v>
      </c>
      <c r="B23" s="51">
        <f>IF(B$17=0,0,C23/B$17)</f>
        <v>9075.9523809523816</v>
      </c>
      <c r="C23" s="41">
        <v>3811900</v>
      </c>
      <c r="E23" s="63" t="s">
        <v>86</v>
      </c>
      <c r="F23" s="60" t="s">
        <v>41</v>
      </c>
      <c r="G23" s="47">
        <v>4</v>
      </c>
      <c r="H23" s="133">
        <f>IF(B$17=0,0,G23/B$17)</f>
        <v>9.5238095238095247E-3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 t="shared" si="2"/>
        <v>0.47499999999999731</v>
      </c>
      <c r="P23" s="119">
        <v>52</v>
      </c>
      <c r="Q23" s="107">
        <v>24.699999999999861</v>
      </c>
    </row>
    <row r="24" spans="1:17" x14ac:dyDescent="0.4">
      <c r="A24" s="57" t="s">
        <v>14</v>
      </c>
      <c r="B24" s="52">
        <f>IF(B$20=0,0,C24/B$20)</f>
        <v>-8265.4639175257726</v>
      </c>
      <c r="C24" s="45">
        <v>-1603500</v>
      </c>
      <c r="E24" s="63" t="s">
        <v>87</v>
      </c>
      <c r="F24" s="60" t="s">
        <v>42</v>
      </c>
      <c r="G24" s="47">
        <v>31</v>
      </c>
      <c r="H24" s="133">
        <f>IF(B$17=0,0,G24/B$17)</f>
        <v>7.3809523809523811E-2</v>
      </c>
      <c r="I24" s="94">
        <v>4</v>
      </c>
      <c r="K24" s="38">
        <v>22</v>
      </c>
      <c r="L24" s="99">
        <v>519.20000000000005</v>
      </c>
      <c r="N24" s="115" t="s">
        <v>200</v>
      </c>
      <c r="O24" s="125">
        <f t="shared" si="2"/>
        <v>-8.9666666666666668</v>
      </c>
      <c r="P24" s="119">
        <v>3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2.3809523809523812E-3</v>
      </c>
      <c r="I25" s="94">
        <v>6</v>
      </c>
      <c r="K25" s="38">
        <v>23</v>
      </c>
      <c r="L25" s="99">
        <v>555.90000000000009</v>
      </c>
      <c r="N25" s="115" t="s">
        <v>223</v>
      </c>
      <c r="O25" s="125">
        <f t="shared" si="2"/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8.1833060556464816E-4</v>
      </c>
      <c r="E27" s="63" t="s">
        <v>90</v>
      </c>
      <c r="F27" s="60" t="s">
        <v>45</v>
      </c>
      <c r="G27" s="47">
        <v>66</v>
      </c>
      <c r="H27" s="133">
        <f>IF(B$17=0,0,G27/B$17)</f>
        <v>0.15714285714285714</v>
      </c>
      <c r="I27" s="94">
        <v>4</v>
      </c>
      <c r="K27" s="38">
        <v>25</v>
      </c>
      <c r="L27" s="99">
        <v>655.20000000000005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4.7619047619047623E-3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92</v>
      </c>
      <c r="F29" s="60" t="s">
        <v>47</v>
      </c>
      <c r="G29" s="47">
        <v>8</v>
      </c>
      <c r="H29" s="133">
        <f>IF(B$17=0,0,G29/B$17)</f>
        <v>1.9047619047619049E-2</v>
      </c>
      <c r="I29" s="94">
        <v>5</v>
      </c>
      <c r="K29" s="38">
        <v>27</v>
      </c>
      <c r="L29" s="99">
        <v>596.30000000000007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4.7619047619047623E-3</v>
      </c>
      <c r="I30" s="94">
        <v>4</v>
      </c>
      <c r="K30" s="38">
        <v>28</v>
      </c>
      <c r="L30" s="99">
        <v>655.6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2.3809523809523812E-3</v>
      </c>
      <c r="I31" s="94">
        <v>6</v>
      </c>
      <c r="K31" s="38">
        <v>29</v>
      </c>
      <c r="L31" s="99">
        <v>703.1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2.3809523809523812E-3</v>
      </c>
      <c r="I33" s="94">
        <v>2</v>
      </c>
      <c r="K33" s="38">
        <v>31</v>
      </c>
      <c r="L33" s="99">
        <v>796.80000000000007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850.1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1013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180</v>
      </c>
      <c r="F50" s="60" t="s">
        <v>181</v>
      </c>
      <c r="G50" s="47">
        <v>14</v>
      </c>
      <c r="H50" s="133">
        <f>IF(B$17=0,0,G50/B$17)</f>
        <v>3.3333333333333333E-2</v>
      </c>
      <c r="I50" s="94">
        <v>1</v>
      </c>
      <c r="K50" s="38">
        <v>48</v>
      </c>
      <c r="L50" s="99">
        <v>1259.3</v>
      </c>
    </row>
    <row r="51" spans="5:12" x14ac:dyDescent="0.4">
      <c r="E51" s="138" t="s">
        <v>245</v>
      </c>
      <c r="F51" s="139" t="s">
        <v>246</v>
      </c>
      <c r="G51" s="48">
        <v>174</v>
      </c>
      <c r="H51" s="140">
        <f>IF(B$17=0,0,G51/B$17)</f>
        <v>0.41428571428571431</v>
      </c>
      <c r="I51" s="141">
        <v>5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1767.0000000000009</v>
      </c>
    </row>
    <row r="150" spans="11:12" x14ac:dyDescent="0.4">
      <c r="K150" s="38">
        <v>148</v>
      </c>
      <c r="L150" s="99">
        <v>1763.5000000000009</v>
      </c>
    </row>
    <row r="151" spans="11:12" x14ac:dyDescent="0.4">
      <c r="K151" s="38">
        <v>149</v>
      </c>
      <c r="L151" s="99">
        <v>1727.1000000000008</v>
      </c>
    </row>
    <row r="152" spans="11:12" x14ac:dyDescent="0.4">
      <c r="K152" s="38">
        <v>150</v>
      </c>
      <c r="L152" s="99">
        <v>1744.7000000000007</v>
      </c>
    </row>
  </sheetData>
  <sortState ref="E2:I1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48DE-6B7B-4B76-A516-189DEE0B8C7B}">
  <sheetPr codeName="Sheet9"/>
  <dimension ref="A1:Q12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125</v>
      </c>
      <c r="C2" s="151"/>
      <c r="E2" s="62" t="s">
        <v>67</v>
      </c>
      <c r="F2" s="59" t="s">
        <v>23</v>
      </c>
      <c r="G2" s="46">
        <v>215</v>
      </c>
      <c r="H2" s="132">
        <f>IF(B$17=0,0,G2/B$17)</f>
        <v>0.77338129496402874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165.6</v>
      </c>
      <c r="P2" s="118">
        <v>125</v>
      </c>
      <c r="Q2" s="102">
        <v>20700</v>
      </c>
    </row>
    <row r="3" spans="1:17" x14ac:dyDescent="0.4">
      <c r="A3" s="55" t="s">
        <v>8</v>
      </c>
      <c r="B3" s="152">
        <v>1034</v>
      </c>
      <c r="C3" s="153"/>
      <c r="E3" s="63" t="s">
        <v>65</v>
      </c>
      <c r="F3" s="60" t="s">
        <v>21</v>
      </c>
      <c r="G3" s="47">
        <v>171</v>
      </c>
      <c r="H3" s="133">
        <f>IF(B$17=0,0,G3/B$17)</f>
        <v>0.6151079136690647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-2240.495867768595</v>
      </c>
      <c r="P3" s="119">
        <v>121</v>
      </c>
      <c r="Q3" s="103">
        <v>-271100</v>
      </c>
    </row>
    <row r="4" spans="1:17" x14ac:dyDescent="0.4">
      <c r="A4" s="55" t="s">
        <v>6</v>
      </c>
      <c r="B4" s="154">
        <v>-449.70000000000005</v>
      </c>
      <c r="C4" s="155"/>
      <c r="E4" s="63" t="s">
        <v>73</v>
      </c>
      <c r="F4" s="60" t="s">
        <v>28</v>
      </c>
      <c r="G4" s="47">
        <v>127</v>
      </c>
      <c r="H4" s="133">
        <f>IF(B$17=0,0,G4/B$17)</f>
        <v>0.45683453237410071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339.31623931623932</v>
      </c>
      <c r="P4" s="119">
        <v>117</v>
      </c>
      <c r="Q4" s="103">
        <v>39700</v>
      </c>
    </row>
    <row r="5" spans="1:17" x14ac:dyDescent="0.4">
      <c r="A5" s="55" t="s">
        <v>7</v>
      </c>
      <c r="B5" s="156">
        <f>IF(B$2=0,0,B$4/B$2)</f>
        <v>-3.5976000000000004</v>
      </c>
      <c r="C5" s="157"/>
      <c r="E5" s="63" t="s">
        <v>245</v>
      </c>
      <c r="F5" s="60" t="s">
        <v>246</v>
      </c>
      <c r="G5" s="47">
        <v>120</v>
      </c>
      <c r="H5" s="133">
        <f>IF(B$17=0,0,G5/B$17)</f>
        <v>0.43165467625899279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-17.475728155339805</v>
      </c>
      <c r="P5" s="119">
        <v>103</v>
      </c>
      <c r="Q5" s="103">
        <v>-1800</v>
      </c>
    </row>
    <row r="6" spans="1:17" x14ac:dyDescent="0.4">
      <c r="A6" s="55" t="s">
        <v>1</v>
      </c>
      <c r="B6" s="146">
        <f>IF(B$2=0,0,(B$7*1+B$8*2+B$9*3)/B$2)</f>
        <v>2.0960000000000001</v>
      </c>
      <c r="C6" s="147"/>
      <c r="E6" s="63" t="s">
        <v>68</v>
      </c>
      <c r="F6" s="60" t="s">
        <v>24</v>
      </c>
      <c r="G6" s="47">
        <v>106</v>
      </c>
      <c r="H6" s="133">
        <f>IF(B$17=0,0,G6/B$17)</f>
        <v>0.38129496402877699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189.13043478260869</v>
      </c>
      <c r="P6" s="119">
        <v>92</v>
      </c>
      <c r="Q6" s="103">
        <v>17400</v>
      </c>
    </row>
    <row r="7" spans="1:17" x14ac:dyDescent="0.4">
      <c r="A7" s="55" t="s">
        <v>2</v>
      </c>
      <c r="B7" s="47">
        <v>33</v>
      </c>
      <c r="C7" s="39">
        <f>IF(B$2=0,0,B7/B$2)</f>
        <v>0.26400000000000001</v>
      </c>
      <c r="E7" s="63" t="s">
        <v>69</v>
      </c>
      <c r="F7" s="60" t="s">
        <v>12</v>
      </c>
      <c r="G7" s="47">
        <v>95</v>
      </c>
      <c r="H7" s="133">
        <f>IF(B$17=0,0,G7/B$17)</f>
        <v>0.34172661870503596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330.23255813953489</v>
      </c>
      <c r="P7" s="120">
        <v>86</v>
      </c>
      <c r="Q7" s="104">
        <v>28400</v>
      </c>
    </row>
    <row r="8" spans="1:17" x14ac:dyDescent="0.4">
      <c r="A8" s="55" t="s">
        <v>3</v>
      </c>
      <c r="B8" s="47">
        <v>47</v>
      </c>
      <c r="C8" s="39">
        <f>IF(B$2=0,0,B8/B$2)</f>
        <v>0.376</v>
      </c>
      <c r="E8" s="63" t="s">
        <v>70</v>
      </c>
      <c r="F8" s="60" t="s">
        <v>25</v>
      </c>
      <c r="G8" s="47">
        <v>61</v>
      </c>
      <c r="H8" s="133">
        <f>IF(B$17=0,0,G8/B$17)</f>
        <v>0.21942446043165467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45</v>
      </c>
      <c r="C9" s="40">
        <f t="shared" ref="C9" si="1">IF(B$2=0,0,B9/B$2)</f>
        <v>0.36</v>
      </c>
      <c r="E9" s="63" t="s">
        <v>66</v>
      </c>
      <c r="F9" s="60" t="s">
        <v>22</v>
      </c>
      <c r="G9" s="47">
        <v>45</v>
      </c>
      <c r="H9" s="133">
        <f>IF(B$17=0,0,G9/B$17)</f>
        <v>0.16187050359712229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0.13600000000000001</v>
      </c>
      <c r="E10" s="63" t="s">
        <v>71</v>
      </c>
      <c r="F10" s="60" t="s">
        <v>26</v>
      </c>
      <c r="G10" s="47">
        <v>34</v>
      </c>
      <c r="H10" s="133">
        <f>IF(B$17=0,0,G10/B$17)</f>
        <v>0.1223021582733813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-7.6725806451612915</v>
      </c>
      <c r="P10" s="118">
        <v>62</v>
      </c>
      <c r="Q10" s="106">
        <v>-475.70000000000005</v>
      </c>
    </row>
    <row r="11" spans="1:17" x14ac:dyDescent="0.4">
      <c r="A11" s="56" t="s">
        <v>140</v>
      </c>
      <c r="B11" s="48">
        <v>11</v>
      </c>
      <c r="C11" s="40">
        <f>IF(B$2=0,0,B11/B$2)</f>
        <v>8.7999999999999995E-2</v>
      </c>
      <c r="E11" s="63" t="s">
        <v>90</v>
      </c>
      <c r="F11" s="60" t="s">
        <v>45</v>
      </c>
      <c r="G11" s="47">
        <v>29</v>
      </c>
      <c r="H11" s="133">
        <f>IF(B$17=0,0,G11/B$17)</f>
        <v>0.10431654676258993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-3.2624999999999988</v>
      </c>
      <c r="P11" s="119">
        <v>32</v>
      </c>
      <c r="Q11" s="107">
        <v>-104.39999999999996</v>
      </c>
    </row>
    <row r="12" spans="1:17" x14ac:dyDescent="0.4">
      <c r="A12" s="57" t="s">
        <v>160</v>
      </c>
      <c r="B12" s="49">
        <v>8</v>
      </c>
      <c r="C12" s="42">
        <f>IF(B$2=0,0,B12/B$2)</f>
        <v>6.4000000000000001E-2</v>
      </c>
      <c r="E12" s="63" t="s">
        <v>72</v>
      </c>
      <c r="F12" s="60" t="s">
        <v>27</v>
      </c>
      <c r="G12" s="47">
        <v>17</v>
      </c>
      <c r="H12" s="133">
        <f>IF(B$17=0,0,G12/B$17)</f>
        <v>6.1151079136690649E-2</v>
      </c>
      <c r="I12" s="94">
        <v>7</v>
      </c>
      <c r="K12" s="38">
        <v>10</v>
      </c>
      <c r="L12" s="99">
        <v>-80.900000000000006</v>
      </c>
      <c r="N12" s="116" t="s">
        <v>166</v>
      </c>
      <c r="O12" s="126">
        <f>IF(P12=0,0,Q12/P12)</f>
        <v>4.2064516129032254</v>
      </c>
      <c r="P12" s="120">
        <v>31</v>
      </c>
      <c r="Q12" s="108">
        <v>130.39999999999998</v>
      </c>
    </row>
    <row r="13" spans="1:17" x14ac:dyDescent="0.4">
      <c r="A13" s="58" t="s">
        <v>122</v>
      </c>
      <c r="B13" s="50">
        <v>310</v>
      </c>
      <c r="C13" s="44">
        <f>IF(B$3=0,0,B13/B$3)</f>
        <v>0.29980657640232106</v>
      </c>
      <c r="E13" s="63" t="s">
        <v>87</v>
      </c>
      <c r="F13" s="60" t="s">
        <v>42</v>
      </c>
      <c r="G13" s="47">
        <v>15</v>
      </c>
      <c r="H13" s="133">
        <f>IF(B$17=0,0,G13/B$17)</f>
        <v>5.3956834532374098E-2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184</v>
      </c>
      <c r="C14" s="39">
        <f>IF(B$3=0,0,B14/B$3)</f>
        <v>0.17794970986460348</v>
      </c>
      <c r="E14" s="63" t="s">
        <v>84</v>
      </c>
      <c r="F14" s="60" t="s">
        <v>39</v>
      </c>
      <c r="G14" s="47">
        <v>10</v>
      </c>
      <c r="H14" s="133">
        <f>IF(B$17=0,0,G14/B$17)</f>
        <v>3.5971223021582732E-2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180</v>
      </c>
      <c r="C15" s="37">
        <f>IF(B$13=0,0,B15/B$13)</f>
        <v>0.58064516129032262</v>
      </c>
      <c r="E15" s="63" t="s">
        <v>82</v>
      </c>
      <c r="F15" s="60" t="s">
        <v>37</v>
      </c>
      <c r="G15" s="47">
        <v>8</v>
      </c>
      <c r="H15" s="133">
        <f>IF(B$17=0,0,G15/B$17)</f>
        <v>2.8776978417266189E-2</v>
      </c>
      <c r="I15" s="94">
        <v>4</v>
      </c>
      <c r="K15" s="38">
        <v>13</v>
      </c>
      <c r="L15" s="99">
        <v>-81.900000000000006</v>
      </c>
      <c r="N15" s="114" t="s">
        <v>184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53</v>
      </c>
      <c r="C16" s="37">
        <f>IF(B$14=0,0,B16/B$14)</f>
        <v>0.28804347826086957</v>
      </c>
      <c r="E16" s="63" t="s">
        <v>80</v>
      </c>
      <c r="F16" s="60" t="s">
        <v>35</v>
      </c>
      <c r="G16" s="47">
        <v>6</v>
      </c>
      <c r="H16" s="133">
        <f>IF(B$17=0,0,G16/B$17)</f>
        <v>2.1582733812949641E-2</v>
      </c>
      <c r="I16" s="94">
        <v>3</v>
      </c>
      <c r="K16" s="38">
        <v>14</v>
      </c>
      <c r="L16" s="99">
        <v>-25.600000000000009</v>
      </c>
      <c r="N16" s="115" t="s">
        <v>129</v>
      </c>
      <c r="O16" s="125">
        <f>IF(P16=0,0,Q16/P16)</f>
        <v>13.074999999999999</v>
      </c>
      <c r="P16" s="119">
        <v>40</v>
      </c>
      <c r="Q16" s="107">
        <v>523</v>
      </c>
    </row>
    <row r="17" spans="1:17" x14ac:dyDescent="0.4">
      <c r="A17" s="54" t="s">
        <v>10</v>
      </c>
      <c r="B17" s="46">
        <f>B19+B18</f>
        <v>278</v>
      </c>
      <c r="C17" s="37">
        <f>IF(B$3=0,0,B17/B$3)</f>
        <v>0.2688588007736944</v>
      </c>
      <c r="E17" s="63" t="s">
        <v>92</v>
      </c>
      <c r="F17" s="60" t="s">
        <v>47</v>
      </c>
      <c r="G17" s="47">
        <v>6</v>
      </c>
      <c r="H17" s="133">
        <f>IF(B$17=0,0,G17/B$17)</f>
        <v>2.1582733812949641E-2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>IF(P17=0,0,Q17/P17)</f>
        <v>5.672727272727272</v>
      </c>
      <c r="P17" s="119">
        <v>22</v>
      </c>
      <c r="Q17" s="107">
        <v>124.79999999999998</v>
      </c>
    </row>
    <row r="18" spans="1:17" x14ac:dyDescent="0.4">
      <c r="A18" s="55" t="s">
        <v>12</v>
      </c>
      <c r="B18" s="47">
        <v>118</v>
      </c>
      <c r="C18" s="39">
        <f>IF(B$17=0,0,B18/B$17)</f>
        <v>0.42446043165467628</v>
      </c>
      <c r="E18" s="63" t="s">
        <v>79</v>
      </c>
      <c r="F18" s="60" t="s">
        <v>34</v>
      </c>
      <c r="G18" s="47">
        <v>5</v>
      </c>
      <c r="H18" s="133">
        <f>IF(B$17=0,0,G18/B$17)</f>
        <v>1.7985611510791366E-2</v>
      </c>
      <c r="I18" s="94">
        <v>8</v>
      </c>
      <c r="K18" s="38">
        <v>16</v>
      </c>
      <c r="L18" s="99">
        <v>41.699999999999989</v>
      </c>
      <c r="N18" s="115" t="s">
        <v>171</v>
      </c>
      <c r="O18" s="125">
        <f>IF(P18=0,0,Q18/P18)</f>
        <v>-2.3171428571428518</v>
      </c>
      <c r="P18" s="119">
        <v>35</v>
      </c>
      <c r="Q18" s="107">
        <v>-81.09999999999981</v>
      </c>
    </row>
    <row r="19" spans="1:17" x14ac:dyDescent="0.4">
      <c r="A19" s="55" t="s">
        <v>11</v>
      </c>
      <c r="B19" s="47">
        <v>160</v>
      </c>
      <c r="C19" s="39">
        <f>IF(B$17=0,0,B19/B$17)</f>
        <v>0.57553956834532372</v>
      </c>
      <c r="E19" s="63" t="s">
        <v>180</v>
      </c>
      <c r="F19" s="60" t="s">
        <v>181</v>
      </c>
      <c r="G19" s="47">
        <v>5</v>
      </c>
      <c r="H19" s="133">
        <f>IF(B$17=0,0,G19/B$17)</f>
        <v>1.7985611510791366E-2</v>
      </c>
      <c r="I19" s="94">
        <v>3</v>
      </c>
      <c r="K19" s="38">
        <v>17</v>
      </c>
      <c r="L19" s="99">
        <v>94.6</v>
      </c>
      <c r="N19" s="115" t="s">
        <v>172</v>
      </c>
      <c r="O19" s="125">
        <f>IF(P19=0,0,Q19/P19)</f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178</v>
      </c>
      <c r="C20" s="39">
        <f>IF(B$3=0,0,B20/B$3)</f>
        <v>0.17214700193423599</v>
      </c>
      <c r="E20" s="63" t="s">
        <v>74</v>
      </c>
      <c r="F20" s="60" t="s">
        <v>29</v>
      </c>
      <c r="G20" s="47">
        <v>2</v>
      </c>
      <c r="H20" s="133">
        <f>IF(B$17=0,0,G20/B$17)</f>
        <v>7.1942446043165471E-3</v>
      </c>
      <c r="I20" s="94">
        <v>4</v>
      </c>
      <c r="K20" s="38">
        <v>18</v>
      </c>
      <c r="L20" s="99">
        <v>116.69999999999999</v>
      </c>
      <c r="N20" s="115" t="s">
        <v>200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75</v>
      </c>
      <c r="F21" s="60" t="s">
        <v>30</v>
      </c>
      <c r="G21" s="47">
        <v>2</v>
      </c>
      <c r="H21" s="133">
        <f>IF(B$17=0,0,G21/B$17)</f>
        <v>7.1942446043165471E-3</v>
      </c>
      <c r="I21" s="94">
        <v>2</v>
      </c>
      <c r="K21" s="38">
        <v>19</v>
      </c>
      <c r="L21" s="99">
        <v>138.79999999999998</v>
      </c>
      <c r="N21" s="115" t="s">
        <v>177</v>
      </c>
      <c r="O21" s="125">
        <f>IF(P21=0,0,Q21/P21)</f>
        <v>-11.464</v>
      </c>
      <c r="P21" s="119">
        <v>25</v>
      </c>
      <c r="Q21" s="107">
        <v>-286.60000000000002</v>
      </c>
    </row>
    <row r="22" spans="1:17" x14ac:dyDescent="0.4">
      <c r="A22" s="55" t="s">
        <v>192</v>
      </c>
      <c r="B22" s="47">
        <v>24</v>
      </c>
      <c r="C22" s="135">
        <v>7</v>
      </c>
      <c r="E22" s="63" t="s">
        <v>76</v>
      </c>
      <c r="F22" s="60" t="s">
        <v>31</v>
      </c>
      <c r="G22" s="47">
        <v>2</v>
      </c>
      <c r="H22" s="133">
        <f>IF(B$17=0,0,G22/B$17)</f>
        <v>7.1942446043165471E-3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>IF(P22=0,0,Q22/P22)</f>
        <v>-18.63953488372093</v>
      </c>
      <c r="P22" s="119">
        <v>86</v>
      </c>
      <c r="Q22" s="107">
        <v>-1603</v>
      </c>
    </row>
    <row r="23" spans="1:17" x14ac:dyDescent="0.4">
      <c r="A23" s="55" t="s">
        <v>5</v>
      </c>
      <c r="B23" s="51">
        <f>IF(B$17=0,0,C23/B$17)</f>
        <v>9251.7985611510794</v>
      </c>
      <c r="C23" s="41">
        <v>2572000</v>
      </c>
      <c r="E23" s="63" t="s">
        <v>78</v>
      </c>
      <c r="F23" s="60" t="s">
        <v>33</v>
      </c>
      <c r="G23" s="47">
        <v>1</v>
      </c>
      <c r="H23" s="133">
        <f>IF(B$17=0,0,G23/B$17)</f>
        <v>3.5971223021582736E-3</v>
      </c>
      <c r="I23" s="94">
        <v>3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-7806.7415730337079</v>
      </c>
      <c r="C24" s="45">
        <v>-1389600</v>
      </c>
      <c r="E24" s="63" t="s">
        <v>85</v>
      </c>
      <c r="F24" s="60" t="s">
        <v>40</v>
      </c>
      <c r="G24" s="47">
        <v>1</v>
      </c>
      <c r="H24" s="133">
        <f>IF(B$17=0,0,G24/B$17)</f>
        <v>3.5971223021582736E-3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3.5971223021582736E-3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97300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3.5971223021582736E-3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4.8355899419729211E-3</v>
      </c>
      <c r="E27" s="63" t="s">
        <v>94</v>
      </c>
      <c r="F27" s="60" t="s">
        <v>49</v>
      </c>
      <c r="G27" s="47">
        <v>1</v>
      </c>
      <c r="H27" s="133">
        <f>IF(B$17=0,0,G27/B$17)</f>
        <v>3.5971223021582736E-3</v>
      </c>
      <c r="I27" s="94">
        <v>5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3.5971223021582736E-3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BFEB-6F0B-46F1-9C81-59F07D552E48}">
  <sheetPr codeName="Sheet11"/>
  <dimension ref="A1:Q9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90</v>
      </c>
      <c r="C2" s="151"/>
      <c r="E2" s="62" t="s">
        <v>65</v>
      </c>
      <c r="F2" s="59" t="s">
        <v>21</v>
      </c>
      <c r="G2" s="46">
        <v>108</v>
      </c>
      <c r="H2" s="132">
        <f>IF(B$17=0,0,G2/B$17)</f>
        <v>0.59668508287292821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-3215.5555555555557</v>
      </c>
      <c r="P2" s="118">
        <v>90</v>
      </c>
      <c r="Q2" s="102">
        <v>-289400</v>
      </c>
    </row>
    <row r="3" spans="1:17" x14ac:dyDescent="0.4">
      <c r="A3" s="55" t="s">
        <v>8</v>
      </c>
      <c r="B3" s="152">
        <v>760</v>
      </c>
      <c r="C3" s="153"/>
      <c r="E3" s="63" t="s">
        <v>66</v>
      </c>
      <c r="F3" s="60" t="s">
        <v>22</v>
      </c>
      <c r="G3" s="47">
        <v>18</v>
      </c>
      <c r="H3" s="133">
        <f>IF(B$17=0,0,G3/B$17)</f>
        <v>9.9447513812154692E-2</v>
      </c>
      <c r="I3" s="94">
        <v>7</v>
      </c>
      <c r="K3" s="38">
        <v>1</v>
      </c>
      <c r="L3" s="99">
        <v>-40.4</v>
      </c>
      <c r="N3" s="115" t="s">
        <v>133</v>
      </c>
      <c r="O3" s="122">
        <f t="shared" si="0"/>
        <v>-1106.8181818181818</v>
      </c>
      <c r="P3" s="119">
        <v>88</v>
      </c>
      <c r="Q3" s="103">
        <v>-97400</v>
      </c>
    </row>
    <row r="4" spans="1:17" x14ac:dyDescent="0.4">
      <c r="A4" s="55" t="s">
        <v>6</v>
      </c>
      <c r="B4" s="154">
        <v>-1324.2</v>
      </c>
      <c r="C4" s="155"/>
      <c r="E4" s="63" t="s">
        <v>67</v>
      </c>
      <c r="F4" s="60" t="s">
        <v>23</v>
      </c>
      <c r="G4" s="47">
        <v>144</v>
      </c>
      <c r="H4" s="133">
        <f>IF(B$17=0,0,G4/B$17)</f>
        <v>0.79558011049723754</v>
      </c>
      <c r="I4" s="94">
        <v>5</v>
      </c>
      <c r="K4" s="38">
        <v>2</v>
      </c>
      <c r="L4" s="99">
        <v>-3.3999999999999986</v>
      </c>
      <c r="N4" s="115" t="s">
        <v>134</v>
      </c>
      <c r="O4" s="122">
        <f t="shared" si="0"/>
        <v>-266.26506024096386</v>
      </c>
      <c r="P4" s="119">
        <v>83</v>
      </c>
      <c r="Q4" s="103">
        <v>-22100</v>
      </c>
    </row>
    <row r="5" spans="1:17" x14ac:dyDescent="0.4">
      <c r="A5" s="55" t="s">
        <v>7</v>
      </c>
      <c r="B5" s="156">
        <f>IF(B$2=0,0,B$4/B$2)</f>
        <v>-14.713333333333335</v>
      </c>
      <c r="C5" s="157"/>
      <c r="E5" s="63" t="s">
        <v>68</v>
      </c>
      <c r="F5" s="60" t="s">
        <v>24</v>
      </c>
      <c r="G5" s="47">
        <v>63</v>
      </c>
      <c r="H5" s="133">
        <f>IF(B$17=0,0,G5/B$17)</f>
        <v>0.34806629834254144</v>
      </c>
      <c r="I5" s="94">
        <v>6</v>
      </c>
      <c r="K5" s="38">
        <v>3</v>
      </c>
      <c r="L5" s="99">
        <v>-23.099999999999998</v>
      </c>
      <c r="N5" s="115" t="s">
        <v>135</v>
      </c>
      <c r="O5" s="122">
        <f t="shared" si="0"/>
        <v>-4465.7534246575342</v>
      </c>
      <c r="P5" s="119">
        <v>73</v>
      </c>
      <c r="Q5" s="103">
        <v>-326000</v>
      </c>
    </row>
    <row r="6" spans="1:17" x14ac:dyDescent="0.4">
      <c r="A6" s="55" t="s">
        <v>1</v>
      </c>
      <c r="B6" s="146">
        <f>IF(B$2=0,0,(B$7*1+B$8*2+B$9*3)/B$2)</f>
        <v>2.2444444444444445</v>
      </c>
      <c r="C6" s="147"/>
      <c r="E6" s="63" t="s">
        <v>69</v>
      </c>
      <c r="F6" s="60" t="s">
        <v>12</v>
      </c>
      <c r="G6" s="47">
        <v>68</v>
      </c>
      <c r="H6" s="133">
        <f>IF(B$17=0,0,G6/B$17)</f>
        <v>0.37569060773480661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-1045.4545454545455</v>
      </c>
      <c r="P6" s="119">
        <v>66</v>
      </c>
      <c r="Q6" s="103">
        <v>-69000</v>
      </c>
    </row>
    <row r="7" spans="1:17" x14ac:dyDescent="0.4">
      <c r="A7" s="55" t="s">
        <v>2</v>
      </c>
      <c r="B7" s="47">
        <v>22</v>
      </c>
      <c r="C7" s="39">
        <f>IF(B$2=0,0,B7/B$2)</f>
        <v>0.24444444444444444</v>
      </c>
      <c r="E7" s="63" t="s">
        <v>70</v>
      </c>
      <c r="F7" s="60" t="s">
        <v>25</v>
      </c>
      <c r="G7" s="47">
        <v>36</v>
      </c>
      <c r="H7" s="133">
        <f>IF(B$17=0,0,G7/B$17)</f>
        <v>0.19889502762430938</v>
      </c>
      <c r="I7" s="94">
        <v>3</v>
      </c>
      <c r="K7" s="38">
        <v>5</v>
      </c>
      <c r="L7" s="99">
        <v>-32.199999999999996</v>
      </c>
      <c r="N7" s="116" t="s">
        <v>137</v>
      </c>
      <c r="O7" s="123">
        <f t="shared" si="0"/>
        <v>-1223.3333333333333</v>
      </c>
      <c r="P7" s="120">
        <v>60</v>
      </c>
      <c r="Q7" s="104">
        <v>-73400</v>
      </c>
    </row>
    <row r="8" spans="1:17" x14ac:dyDescent="0.4">
      <c r="A8" s="55" t="s">
        <v>3</v>
      </c>
      <c r="B8" s="47">
        <v>24</v>
      </c>
      <c r="C8" s="39">
        <f>IF(B$2=0,0,B8/B$2)</f>
        <v>0.26666666666666666</v>
      </c>
      <c r="E8" s="63" t="s">
        <v>71</v>
      </c>
      <c r="F8" s="60" t="s">
        <v>26</v>
      </c>
      <c r="G8" s="47">
        <v>28</v>
      </c>
      <c r="H8" s="133">
        <f>IF(B$17=0,0,G8/B$17)</f>
        <v>0.15469613259668508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44</v>
      </c>
      <c r="C9" s="40">
        <f t="shared" ref="C9" si="1">IF(B$2=0,0,B9/B$2)</f>
        <v>0.48888888888888887</v>
      </c>
      <c r="E9" s="63" t="s">
        <v>72</v>
      </c>
      <c r="F9" s="60" t="s">
        <v>27</v>
      </c>
      <c r="G9" s="47">
        <v>20</v>
      </c>
      <c r="H9" s="133">
        <f>IF(B$17=0,0,G9/B$17)</f>
        <v>0.11049723756906077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0.18888888888888888</v>
      </c>
      <c r="E10" s="63" t="s">
        <v>73</v>
      </c>
      <c r="F10" s="60" t="s">
        <v>28</v>
      </c>
      <c r="G10" s="47">
        <v>65</v>
      </c>
      <c r="H10" s="133">
        <f>IF(B$17=0,0,G10/B$17)</f>
        <v>0.35911602209944754</v>
      </c>
      <c r="I10" s="94">
        <v>12</v>
      </c>
      <c r="K10" s="38">
        <v>8</v>
      </c>
      <c r="L10" s="99">
        <v>-79.599999999999994</v>
      </c>
      <c r="N10" s="114" t="s">
        <v>164</v>
      </c>
      <c r="O10" s="124">
        <f>IF(P10=0,0,Q10/P10)</f>
        <v>-17.74444444444444</v>
      </c>
      <c r="P10" s="118">
        <v>27</v>
      </c>
      <c r="Q10" s="106">
        <v>-479.09999999999985</v>
      </c>
    </row>
    <row r="11" spans="1:17" x14ac:dyDescent="0.4">
      <c r="A11" s="56" t="s">
        <v>140</v>
      </c>
      <c r="B11" s="48">
        <v>9</v>
      </c>
      <c r="C11" s="40">
        <f>IF(B$2=0,0,B11/B$2)</f>
        <v>0.1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-127.6</v>
      </c>
      <c r="N11" s="115" t="s">
        <v>165</v>
      </c>
      <c r="O11" s="125">
        <f>IF(P11=0,0,Q11/P11)</f>
        <v>-12.825000000000005</v>
      </c>
      <c r="P11" s="119">
        <v>36</v>
      </c>
      <c r="Q11" s="107">
        <v>-461.70000000000016</v>
      </c>
    </row>
    <row r="12" spans="1:17" x14ac:dyDescent="0.4">
      <c r="A12" s="57" t="s">
        <v>160</v>
      </c>
      <c r="B12" s="49">
        <v>7</v>
      </c>
      <c r="C12" s="42">
        <f>IF(B$2=0,0,B12/B$2)</f>
        <v>7.7777777777777779E-2</v>
      </c>
      <c r="E12" s="63" t="s">
        <v>75</v>
      </c>
      <c r="F12" s="60" t="s">
        <v>30</v>
      </c>
      <c r="G12" s="47">
        <v>2</v>
      </c>
      <c r="H12" s="133">
        <f>IF(B$17=0,0,G12/B$17)</f>
        <v>1.1049723756906077E-2</v>
      </c>
      <c r="I12" s="94">
        <v>1</v>
      </c>
      <c r="K12" s="38">
        <v>10</v>
      </c>
      <c r="L12" s="99">
        <v>-231.39999999999998</v>
      </c>
      <c r="N12" s="116" t="s">
        <v>166</v>
      </c>
      <c r="O12" s="126">
        <f>IF(P12=0,0,Q12/P12)</f>
        <v>-14.199999999999998</v>
      </c>
      <c r="P12" s="120">
        <v>27</v>
      </c>
      <c r="Q12" s="108">
        <v>-383.39999999999992</v>
      </c>
    </row>
    <row r="13" spans="1:17" x14ac:dyDescent="0.4">
      <c r="A13" s="58" t="s">
        <v>122</v>
      </c>
      <c r="B13" s="50">
        <v>213</v>
      </c>
      <c r="C13" s="44">
        <f>IF(B$3=0,0,B13/B$3)</f>
        <v>0.28026315789473683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122</v>
      </c>
      <c r="C14" s="39">
        <f>IF(B$3=0,0,B14/B$3)</f>
        <v>0.16052631578947368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111</v>
      </c>
      <c r="C15" s="37">
        <f>IF(B$13=0,0,B15/B$13)</f>
        <v>0.52112676056338025</v>
      </c>
      <c r="E15" s="63" t="s">
        <v>78</v>
      </c>
      <c r="F15" s="60" t="s">
        <v>33</v>
      </c>
      <c r="G15" s="47">
        <v>1</v>
      </c>
      <c r="H15" s="133">
        <f>IF(B$17=0,0,G15/B$17)</f>
        <v>5.5248618784530384E-3</v>
      </c>
      <c r="I15" s="94">
        <v>1</v>
      </c>
      <c r="K15" s="38">
        <v>13</v>
      </c>
      <c r="L15" s="99">
        <v>-369.1</v>
      </c>
      <c r="N15" s="114" t="s">
        <v>223</v>
      </c>
      <c r="O15" s="124">
        <f t="shared" ref="O15:O22" si="2"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31</v>
      </c>
      <c r="C16" s="37">
        <f>IF(B$14=0,0,B16/B$14)</f>
        <v>0.25409836065573771</v>
      </c>
      <c r="E16" s="63" t="s">
        <v>79</v>
      </c>
      <c r="F16" s="60" t="s">
        <v>34</v>
      </c>
      <c r="G16" s="47">
        <v>6</v>
      </c>
      <c r="H16" s="133">
        <f>IF(B$17=0,0,G16/B$17)</f>
        <v>3.3149171270718231E-2</v>
      </c>
      <c r="I16" s="94">
        <v>5</v>
      </c>
      <c r="K16" s="38">
        <v>14</v>
      </c>
      <c r="L16" s="99">
        <v>-394.6</v>
      </c>
      <c r="N16" s="115" t="s">
        <v>128</v>
      </c>
      <c r="O16" s="125">
        <f t="shared" si="2"/>
        <v>-13.074999999999998</v>
      </c>
      <c r="P16" s="119">
        <v>40</v>
      </c>
      <c r="Q16" s="107">
        <v>-522.99999999999989</v>
      </c>
    </row>
    <row r="17" spans="1:17" x14ac:dyDescent="0.4">
      <c r="A17" s="54" t="s">
        <v>10</v>
      </c>
      <c r="B17" s="46">
        <f>B19+B18</f>
        <v>181</v>
      </c>
      <c r="C17" s="37">
        <f>IF(B$3=0,0,B17/B$3)</f>
        <v>0.2381578947368421</v>
      </c>
      <c r="E17" s="63" t="s">
        <v>80</v>
      </c>
      <c r="F17" s="60" t="s">
        <v>35</v>
      </c>
      <c r="G17" s="47">
        <v>1</v>
      </c>
      <c r="H17" s="133">
        <f>IF(B$17=0,0,G17/B$17)</f>
        <v>5.5248618784530384E-3</v>
      </c>
      <c r="I17" s="94">
        <v>10</v>
      </c>
      <c r="K17" s="38">
        <v>15</v>
      </c>
      <c r="L17" s="99">
        <v>-424.5</v>
      </c>
      <c r="N17" s="115" t="s">
        <v>177</v>
      </c>
      <c r="O17" s="125">
        <f t="shared" si="2"/>
        <v>-15.755000000000001</v>
      </c>
      <c r="P17" s="119">
        <v>20</v>
      </c>
      <c r="Q17" s="107">
        <v>-315.10000000000002</v>
      </c>
    </row>
    <row r="18" spans="1:17" x14ac:dyDescent="0.4">
      <c r="A18" s="55" t="s">
        <v>12</v>
      </c>
      <c r="B18" s="47">
        <v>78</v>
      </c>
      <c r="C18" s="39">
        <f>IF(B$17=0,0,B18/B$17)</f>
        <v>0.43093922651933703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171</v>
      </c>
      <c r="O18" s="125">
        <f t="shared" si="2"/>
        <v>-20.717241379310344</v>
      </c>
      <c r="P18" s="119">
        <v>29</v>
      </c>
      <c r="Q18" s="107">
        <v>-600.79999999999995</v>
      </c>
    </row>
    <row r="19" spans="1:17" x14ac:dyDescent="0.4">
      <c r="A19" s="55" t="s">
        <v>11</v>
      </c>
      <c r="B19" s="47">
        <v>103</v>
      </c>
      <c r="C19" s="39">
        <f>IF(B$17=0,0,B19/B$17)</f>
        <v>0.56906077348066297</v>
      </c>
      <c r="E19" s="63" t="s">
        <v>82</v>
      </c>
      <c r="F19" s="60" t="s">
        <v>37</v>
      </c>
      <c r="G19" s="47">
        <v>4</v>
      </c>
      <c r="H19" s="133">
        <f>IF(B$17=0,0,G19/B$17)</f>
        <v>2.2099447513812154E-2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 t="shared" si="2"/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146</v>
      </c>
      <c r="C20" s="39">
        <f>IF(B$3=0,0,B20/B$3)</f>
        <v>0.19210526315789472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 t="shared" si="2"/>
        <v>-27.735714285714295</v>
      </c>
      <c r="P20" s="119">
        <v>56</v>
      </c>
      <c r="Q20" s="107">
        <v>-1553.2000000000005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7</v>
      </c>
      <c r="H21" s="133">
        <f>IF(B$17=0,0,G21/B$17)</f>
        <v>3.8674033149171269E-2</v>
      </c>
      <c r="I21" s="94">
        <v>8</v>
      </c>
      <c r="K21" s="38">
        <v>19</v>
      </c>
      <c r="L21" s="99">
        <v>-569.49999999999989</v>
      </c>
      <c r="N21" s="115" t="s">
        <v>172</v>
      </c>
      <c r="O21" s="125">
        <f t="shared" si="2"/>
        <v>-32.104761904761901</v>
      </c>
      <c r="P21" s="119">
        <v>21</v>
      </c>
      <c r="Q21" s="107">
        <v>-674.19999999999993</v>
      </c>
    </row>
    <row r="22" spans="1:17" x14ac:dyDescent="0.4">
      <c r="A22" s="55" t="s">
        <v>192</v>
      </c>
      <c r="B22" s="47">
        <v>31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-632.99999999999989</v>
      </c>
      <c r="N22" s="115" t="s">
        <v>184</v>
      </c>
      <c r="O22" s="125">
        <f t="shared" si="2"/>
        <v>-64</v>
      </c>
      <c r="P22" s="119">
        <v>4</v>
      </c>
      <c r="Q22" s="107">
        <v>-256</v>
      </c>
    </row>
    <row r="23" spans="1:17" x14ac:dyDescent="0.4">
      <c r="A23" s="55" t="s">
        <v>5</v>
      </c>
      <c r="B23" s="51">
        <f>IF(B$17=0,0,C23/B$17)</f>
        <v>8701.1049723756914</v>
      </c>
      <c r="C23" s="41">
        <v>1574900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-9189.7260273972606</v>
      </c>
      <c r="C24" s="45">
        <v>-1341700</v>
      </c>
      <c r="E24" s="63" t="s">
        <v>87</v>
      </c>
      <c r="F24" s="60" t="s">
        <v>42</v>
      </c>
      <c r="G24" s="47">
        <v>10</v>
      </c>
      <c r="H24" s="133">
        <f>IF(B$17=0,0,G24/B$17)</f>
        <v>5.5248618784530384E-2</v>
      </c>
      <c r="I24" s="94">
        <v>6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2</v>
      </c>
      <c r="H25" s="133">
        <f>IF(B$17=0,0,G25/B$17)</f>
        <v>1.1049723756906077E-2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5.5248618784530384E-3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1.3157894736842105E-3</v>
      </c>
      <c r="E27" s="63" t="s">
        <v>90</v>
      </c>
      <c r="F27" s="60" t="s">
        <v>45</v>
      </c>
      <c r="G27" s="47">
        <v>16</v>
      </c>
      <c r="H27" s="133">
        <f>IF(B$17=0,0,G27/B$17)</f>
        <v>8.8397790055248615E-2</v>
      </c>
      <c r="I27" s="94">
        <v>11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5.5248618784530384E-3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5.5248618784530384E-3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1.1049723756906077E-2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138" t="s">
        <v>245</v>
      </c>
      <c r="F51" s="139" t="s">
        <v>246</v>
      </c>
      <c r="G51" s="48">
        <v>69</v>
      </c>
      <c r="H51" s="140">
        <f>IF(B$17=0,0,G51/B$17)</f>
        <v>0.38121546961325969</v>
      </c>
      <c r="I51" s="141">
        <v>9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</sheetData>
  <sortState ref="E2:I9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C5D5-C5FD-421F-AC31-06D742AD5C35}">
  <sheetPr codeName="Sheet13"/>
  <dimension ref="A1:Q9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89</v>
      </c>
      <c r="C2" s="151"/>
      <c r="E2" s="62" t="s">
        <v>65</v>
      </c>
      <c r="F2" s="59" t="s">
        <v>21</v>
      </c>
      <c r="G2" s="46">
        <v>114</v>
      </c>
      <c r="H2" s="132">
        <f>IF(B$17=0,0,G2/B$17)</f>
        <v>0.54028436018957349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-675.28089887640454</v>
      </c>
      <c r="P2" s="118">
        <v>89</v>
      </c>
      <c r="Q2" s="102">
        <v>-60100</v>
      </c>
    </row>
    <row r="3" spans="1:17" x14ac:dyDescent="0.4">
      <c r="A3" s="55" t="s">
        <v>8</v>
      </c>
      <c r="B3" s="152">
        <v>744</v>
      </c>
      <c r="C3" s="153"/>
      <c r="E3" s="63" t="s">
        <v>66</v>
      </c>
      <c r="F3" s="60" t="s">
        <v>22</v>
      </c>
      <c r="G3" s="47">
        <v>28</v>
      </c>
      <c r="H3" s="133">
        <f>IF(B$17=0,0,G3/B$17)</f>
        <v>0.13270142180094788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281.60919540229884</v>
      </c>
      <c r="P3" s="119">
        <v>87</v>
      </c>
      <c r="Q3" s="103">
        <v>24500</v>
      </c>
    </row>
    <row r="4" spans="1:17" x14ac:dyDescent="0.4">
      <c r="A4" s="55" t="s">
        <v>6</v>
      </c>
      <c r="B4" s="154">
        <v>32.000000000000028</v>
      </c>
      <c r="C4" s="155"/>
      <c r="E4" s="63" t="s">
        <v>67</v>
      </c>
      <c r="F4" s="60" t="s">
        <v>23</v>
      </c>
      <c r="G4" s="47">
        <v>175</v>
      </c>
      <c r="H4" s="133">
        <f>IF(B$17=0,0,G4/B$17)</f>
        <v>0.82938388625592419</v>
      </c>
      <c r="I4" s="94">
        <v>2</v>
      </c>
      <c r="K4" s="38">
        <v>2</v>
      </c>
      <c r="L4" s="99">
        <v>-93.300000000000011</v>
      </c>
      <c r="N4" s="115" t="s">
        <v>134</v>
      </c>
      <c r="O4" s="122">
        <f t="shared" si="0"/>
        <v>1300</v>
      </c>
      <c r="P4" s="119">
        <v>80</v>
      </c>
      <c r="Q4" s="103">
        <v>104000</v>
      </c>
    </row>
    <row r="5" spans="1:17" x14ac:dyDescent="0.4">
      <c r="A5" s="55" t="s">
        <v>7</v>
      </c>
      <c r="B5" s="156">
        <f>IF(B$2=0,0,B$4/B$2)</f>
        <v>0.35955056179775313</v>
      </c>
      <c r="C5" s="157"/>
      <c r="E5" s="63" t="s">
        <v>68</v>
      </c>
      <c r="F5" s="60" t="s">
        <v>24</v>
      </c>
      <c r="G5" s="47">
        <v>70</v>
      </c>
      <c r="H5" s="133">
        <f>IF(B$17=0,0,G5/B$17)</f>
        <v>0.33175355450236965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862.31884057971013</v>
      </c>
      <c r="P5" s="119">
        <v>69</v>
      </c>
      <c r="Q5" s="103">
        <v>59500</v>
      </c>
    </row>
    <row r="6" spans="1:17" x14ac:dyDescent="0.4">
      <c r="A6" s="55" t="s">
        <v>1</v>
      </c>
      <c r="B6" s="146">
        <f>IF(B$2=0,0,(B$7*1+B$8*2+B$9*3)/B$2)</f>
        <v>2.0449438202247192</v>
      </c>
      <c r="C6" s="147"/>
      <c r="E6" s="63" t="s">
        <v>69</v>
      </c>
      <c r="F6" s="60" t="s">
        <v>12</v>
      </c>
      <c r="G6" s="47">
        <v>63</v>
      </c>
      <c r="H6" s="133">
        <f>IF(B$17=0,0,G6/B$17)</f>
        <v>0.29857819905213268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-473.77049180327867</v>
      </c>
      <c r="P6" s="119">
        <v>61</v>
      </c>
      <c r="Q6" s="103">
        <v>-28900</v>
      </c>
    </row>
    <row r="7" spans="1:17" x14ac:dyDescent="0.4">
      <c r="A7" s="55" t="s">
        <v>2</v>
      </c>
      <c r="B7" s="47">
        <v>27</v>
      </c>
      <c r="C7" s="39">
        <f>IF(B$2=0,0,B7/B$2)</f>
        <v>0.30337078651685395</v>
      </c>
      <c r="E7" s="63" t="s">
        <v>70</v>
      </c>
      <c r="F7" s="60" t="s">
        <v>25</v>
      </c>
      <c r="G7" s="47">
        <v>41</v>
      </c>
      <c r="H7" s="133">
        <f>IF(B$17=0,0,G7/B$17)</f>
        <v>0.19431279620853081</v>
      </c>
      <c r="I7" s="94">
        <v>5</v>
      </c>
      <c r="K7" s="38">
        <v>5</v>
      </c>
      <c r="L7" s="99">
        <v>-36.100000000000009</v>
      </c>
      <c r="N7" s="116" t="s">
        <v>137</v>
      </c>
      <c r="O7" s="123">
        <f t="shared" si="0"/>
        <v>-285.71428571428572</v>
      </c>
      <c r="P7" s="120">
        <v>56</v>
      </c>
      <c r="Q7" s="104">
        <v>-16000</v>
      </c>
    </row>
    <row r="8" spans="1:17" x14ac:dyDescent="0.4">
      <c r="A8" s="55" t="s">
        <v>3</v>
      </c>
      <c r="B8" s="47">
        <v>31</v>
      </c>
      <c r="C8" s="39">
        <f>IF(B$2=0,0,B8/B$2)</f>
        <v>0.34831460674157305</v>
      </c>
      <c r="E8" s="63" t="s">
        <v>71</v>
      </c>
      <c r="F8" s="60" t="s">
        <v>26</v>
      </c>
      <c r="G8" s="47">
        <v>22</v>
      </c>
      <c r="H8" s="133">
        <f>IF(B$17=0,0,G8/B$17)</f>
        <v>0.10426540284360189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0.34831460674157305</v>
      </c>
      <c r="E9" s="63" t="s">
        <v>72</v>
      </c>
      <c r="F9" s="60" t="s">
        <v>27</v>
      </c>
      <c r="G9" s="47">
        <v>13</v>
      </c>
      <c r="H9" s="133">
        <f>IF(B$17=0,0,G9/B$17)</f>
        <v>6.1611374407582936E-2</v>
      </c>
      <c r="I9" s="94">
        <v>7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0.10112359550561797</v>
      </c>
      <c r="E10" s="63" t="s">
        <v>73</v>
      </c>
      <c r="F10" s="60" t="s">
        <v>28</v>
      </c>
      <c r="G10" s="47">
        <v>109</v>
      </c>
      <c r="H10" s="133">
        <f>IF(B$17=0,0,G10/B$17)</f>
        <v>0.51658767772511849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6.1739130434782608</v>
      </c>
      <c r="P10" s="118">
        <v>23</v>
      </c>
      <c r="Q10" s="106">
        <v>142</v>
      </c>
    </row>
    <row r="11" spans="1:17" x14ac:dyDescent="0.4">
      <c r="A11" s="56" t="s">
        <v>140</v>
      </c>
      <c r="B11" s="48">
        <v>12</v>
      </c>
      <c r="C11" s="40">
        <f>IF(B$2=0,0,B11/B$2)</f>
        <v>0.1348314606741573</v>
      </c>
      <c r="E11" s="63" t="s">
        <v>74</v>
      </c>
      <c r="F11" s="60" t="s">
        <v>29</v>
      </c>
      <c r="G11" s="47">
        <v>2</v>
      </c>
      <c r="H11" s="133">
        <f>IF(B$17=0,0,G11/B$17)</f>
        <v>9.4786729857819912E-3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-2.2176470588235273</v>
      </c>
      <c r="P11" s="119">
        <v>34</v>
      </c>
      <c r="Q11" s="107">
        <v>-75.399999999999935</v>
      </c>
    </row>
    <row r="12" spans="1:17" x14ac:dyDescent="0.4">
      <c r="A12" s="57" t="s">
        <v>160</v>
      </c>
      <c r="B12" s="49">
        <v>6</v>
      </c>
      <c r="C12" s="42">
        <f>IF(B$2=0,0,B12/B$2)</f>
        <v>6.741573033707865E-2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-1.0812500000000003</v>
      </c>
      <c r="P12" s="120">
        <v>32</v>
      </c>
      <c r="Q12" s="108">
        <v>-34.600000000000009</v>
      </c>
    </row>
    <row r="13" spans="1:17" x14ac:dyDescent="0.4">
      <c r="A13" s="58" t="s">
        <v>122</v>
      </c>
      <c r="B13" s="50">
        <v>217</v>
      </c>
      <c r="C13" s="44">
        <f>IF(B$3=0,0,B13/B$3)</f>
        <v>0.29166666666666669</v>
      </c>
      <c r="E13" s="63" t="s">
        <v>76</v>
      </c>
      <c r="F13" s="60" t="s">
        <v>31</v>
      </c>
      <c r="G13" s="47">
        <v>3</v>
      </c>
      <c r="H13" s="133">
        <f>IF(B$17=0,0,G13/B$17)</f>
        <v>1.4218009478672985E-2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140</v>
      </c>
      <c r="C14" s="39">
        <f>IF(B$3=0,0,B14/B$3)</f>
        <v>0.18817204301075269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122</v>
      </c>
      <c r="C15" s="37">
        <f>IF(B$13=0,0,B15/B$13)</f>
        <v>0.56221198156682028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184</v>
      </c>
      <c r="O15" s="124">
        <f t="shared" ref="O15:O23" si="2"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58</v>
      </c>
      <c r="C16" s="37">
        <f>IF(B$14=0,0,B16/B$14)</f>
        <v>0.41428571428571431</v>
      </c>
      <c r="E16" s="63" t="s">
        <v>79</v>
      </c>
      <c r="F16" s="60" t="s">
        <v>34</v>
      </c>
      <c r="G16" s="47">
        <v>9</v>
      </c>
      <c r="H16" s="133">
        <f>IF(B$17=0,0,G16/B$17)</f>
        <v>4.2654028436018961E-2</v>
      </c>
      <c r="I16" s="94">
        <v>3</v>
      </c>
      <c r="K16" s="38">
        <v>14</v>
      </c>
      <c r="L16" s="99">
        <v>-29.400000000000002</v>
      </c>
      <c r="N16" s="115" t="s">
        <v>129</v>
      </c>
      <c r="O16" s="125">
        <f t="shared" si="2"/>
        <v>20.717241379310341</v>
      </c>
      <c r="P16" s="119">
        <v>29</v>
      </c>
      <c r="Q16" s="107">
        <v>600.79999999999984</v>
      </c>
    </row>
    <row r="17" spans="1:17" x14ac:dyDescent="0.4">
      <c r="A17" s="54" t="s">
        <v>10</v>
      </c>
      <c r="B17" s="46">
        <f>B19+B18</f>
        <v>211</v>
      </c>
      <c r="C17" s="37">
        <f>IF(B$3=0,0,B17/B$3)</f>
        <v>0.28360215053763443</v>
      </c>
      <c r="E17" s="63" t="s">
        <v>80</v>
      </c>
      <c r="F17" s="60" t="s">
        <v>35</v>
      </c>
      <c r="G17" s="47">
        <v>3</v>
      </c>
      <c r="H17" s="133">
        <f>IF(B$17=0,0,G17/B$17)</f>
        <v>1.4218009478672985E-2</v>
      </c>
      <c r="I17" s="94">
        <v>6</v>
      </c>
      <c r="K17" s="38">
        <v>15</v>
      </c>
      <c r="L17" s="99">
        <v>-26.3</v>
      </c>
      <c r="N17" s="115" t="s">
        <v>173</v>
      </c>
      <c r="O17" s="125">
        <f t="shared" si="2"/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87</v>
      </c>
      <c r="C18" s="39">
        <f>IF(B$17=0,0,B18/B$17)</f>
        <v>0.41232227488151657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124</v>
      </c>
      <c r="C19" s="39">
        <f>IF(B$17=0,0,B19/B$17)</f>
        <v>0.58767772511848337</v>
      </c>
      <c r="E19" s="63" t="s">
        <v>82</v>
      </c>
      <c r="F19" s="60" t="s">
        <v>37</v>
      </c>
      <c r="G19" s="47">
        <v>8</v>
      </c>
      <c r="H19" s="133">
        <f>IF(B$17=0,0,G19/B$17)</f>
        <v>3.7914691943127965E-2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130</v>
      </c>
      <c r="C20" s="39">
        <f>IF(B$3=0,0,B20/B$3)</f>
        <v>0.17473118279569894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-0.4749999999999957</v>
      </c>
      <c r="P20" s="119">
        <v>52</v>
      </c>
      <c r="Q20" s="107">
        <v>-24.699999999999775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5.2132701421800945E-2</v>
      </c>
      <c r="I21" s="94">
        <v>5</v>
      </c>
      <c r="K21" s="38">
        <v>19</v>
      </c>
      <c r="L21" s="99">
        <v>0.60000000000000853</v>
      </c>
      <c r="N21" s="115" t="s">
        <v>200</v>
      </c>
      <c r="O21" s="125">
        <f t="shared" si="2"/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4</v>
      </c>
      <c r="E22" s="63" t="s">
        <v>85</v>
      </c>
      <c r="F22" s="60" t="s">
        <v>40</v>
      </c>
      <c r="G22" s="47">
        <v>2</v>
      </c>
      <c r="H22" s="133">
        <f>IF(B$17=0,0,G22/B$17)</f>
        <v>9.4786729857819912E-3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-41.294444444444444</v>
      </c>
      <c r="P22" s="119">
        <v>18</v>
      </c>
      <c r="Q22" s="107">
        <v>-743.3</v>
      </c>
    </row>
    <row r="23" spans="1:17" x14ac:dyDescent="0.4">
      <c r="A23" s="55" t="s">
        <v>5</v>
      </c>
      <c r="B23" s="51">
        <f>IF(B$17=0,0,C23/B$17)</f>
        <v>9831.2796208530799</v>
      </c>
      <c r="C23" s="41">
        <v>2074400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-8504.6153846153848</v>
      </c>
      <c r="C24" s="45">
        <v>-1105600</v>
      </c>
      <c r="E24" s="63" t="s">
        <v>87</v>
      </c>
      <c r="F24" s="60" t="s">
        <v>42</v>
      </c>
      <c r="G24" s="47">
        <v>16</v>
      </c>
      <c r="H24" s="133">
        <f>IF(B$17=0,0,G24/B$17)</f>
        <v>7.582938388625593E-2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4.7393364928909956E-3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1.3440860215053765E-3</v>
      </c>
      <c r="E27" s="63" t="s">
        <v>90</v>
      </c>
      <c r="F27" s="60" t="s">
        <v>45</v>
      </c>
      <c r="G27" s="47">
        <v>35</v>
      </c>
      <c r="H27" s="133">
        <f>IF(B$17=0,0,G27/B$17)</f>
        <v>0.16587677725118483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2.843601895734597E-2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9.4786729857819912E-3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4.7393364928909956E-3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1.8957345971563982E-2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138" t="s">
        <v>245</v>
      </c>
      <c r="F51" s="139" t="s">
        <v>246</v>
      </c>
      <c r="G51" s="48">
        <v>80</v>
      </c>
      <c r="H51" s="140">
        <f>IF(B$17=0,0,G51/B$17)</f>
        <v>0.37914691943127959</v>
      </c>
      <c r="I51" s="141">
        <v>10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</sheetData>
  <sortState ref="E2:I9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AE4C-70AF-46BB-AA1E-6CF3427BCB07}">
  <sheetPr codeName="Sheet15"/>
  <dimension ref="A1:Q7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76</v>
      </c>
      <c r="C2" s="151"/>
      <c r="E2" s="62" t="s">
        <v>65</v>
      </c>
      <c r="F2" s="59" t="s">
        <v>21</v>
      </c>
      <c r="G2" s="46">
        <v>79</v>
      </c>
      <c r="H2" s="132">
        <f>IF(B$17=0,0,G2/B$17)</f>
        <v>0.35267857142857145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686.84210526315792</v>
      </c>
      <c r="P2" s="118">
        <v>76</v>
      </c>
      <c r="Q2" s="102">
        <v>52200</v>
      </c>
    </row>
    <row r="3" spans="1:17" x14ac:dyDescent="0.4">
      <c r="A3" s="55" t="s">
        <v>8</v>
      </c>
      <c r="B3" s="152">
        <v>650</v>
      </c>
      <c r="C3" s="153"/>
      <c r="E3" s="63" t="s">
        <v>66</v>
      </c>
      <c r="F3" s="60" t="s">
        <v>22</v>
      </c>
      <c r="G3" s="47">
        <v>26</v>
      </c>
      <c r="H3" s="133">
        <f>IF(B$17=0,0,G3/B$17)</f>
        <v>0.11607142857142858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-756.57894736842104</v>
      </c>
      <c r="P3" s="119">
        <v>76</v>
      </c>
      <c r="Q3" s="103">
        <v>-57500</v>
      </c>
    </row>
    <row r="4" spans="1:17" x14ac:dyDescent="0.4">
      <c r="A4" s="55" t="s">
        <v>6</v>
      </c>
      <c r="B4" s="154">
        <v>-36.300000000000018</v>
      </c>
      <c r="C4" s="155"/>
      <c r="E4" s="63" t="s">
        <v>67</v>
      </c>
      <c r="F4" s="60" t="s">
        <v>23</v>
      </c>
      <c r="G4" s="47">
        <v>144</v>
      </c>
      <c r="H4" s="133">
        <f>IF(B$17=0,0,G4/B$17)</f>
        <v>0.6428571428571429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-1397.0588235294117</v>
      </c>
      <c r="P4" s="119">
        <v>68</v>
      </c>
      <c r="Q4" s="103">
        <v>-95000</v>
      </c>
    </row>
    <row r="5" spans="1:17" x14ac:dyDescent="0.4">
      <c r="A5" s="55" t="s">
        <v>7</v>
      </c>
      <c r="B5" s="156">
        <f>IF(B$2=0,0,B$4/B$2)</f>
        <v>-0.47763157894736868</v>
      </c>
      <c r="C5" s="157"/>
      <c r="E5" s="63" t="s">
        <v>68</v>
      </c>
      <c r="F5" s="60" t="s">
        <v>24</v>
      </c>
      <c r="G5" s="47">
        <v>40</v>
      </c>
      <c r="H5" s="133">
        <f>IF(B$17=0,0,G5/B$17)</f>
        <v>0.17857142857142858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814.0625</v>
      </c>
      <c r="P5" s="119">
        <v>64</v>
      </c>
      <c r="Q5" s="103">
        <v>52100</v>
      </c>
    </row>
    <row r="6" spans="1:17" x14ac:dyDescent="0.4">
      <c r="A6" s="55" t="s">
        <v>1</v>
      </c>
      <c r="B6" s="146">
        <f>IF(B$2=0,0,(B$7*1+B$8*2+B$9*3)/B$2)</f>
        <v>2.0394736842105261</v>
      </c>
      <c r="C6" s="147"/>
      <c r="E6" s="63" t="s">
        <v>69</v>
      </c>
      <c r="F6" s="60" t="s">
        <v>12</v>
      </c>
      <c r="G6" s="47">
        <v>59</v>
      </c>
      <c r="H6" s="133">
        <f>IF(B$17=0,0,G6/B$17)</f>
        <v>0.26339285714285715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606.66666666666663</v>
      </c>
      <c r="P6" s="119">
        <v>60</v>
      </c>
      <c r="Q6" s="103">
        <v>36400</v>
      </c>
    </row>
    <row r="7" spans="1:17" x14ac:dyDescent="0.4">
      <c r="A7" s="55" t="s">
        <v>2</v>
      </c>
      <c r="B7" s="47">
        <v>21</v>
      </c>
      <c r="C7" s="39">
        <f>IF(B$2=0,0,B7/B$2)</f>
        <v>0.27631578947368424</v>
      </c>
      <c r="E7" s="63" t="s">
        <v>70</v>
      </c>
      <c r="F7" s="60" t="s">
        <v>25</v>
      </c>
      <c r="G7" s="47">
        <v>32</v>
      </c>
      <c r="H7" s="133">
        <f>IF(B$17=0,0,G7/B$17)</f>
        <v>0.14285714285714285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-492.30769230769232</v>
      </c>
      <c r="P7" s="120">
        <v>52</v>
      </c>
      <c r="Q7" s="104">
        <v>-25600</v>
      </c>
    </row>
    <row r="8" spans="1:17" x14ac:dyDescent="0.4">
      <c r="A8" s="55" t="s">
        <v>3</v>
      </c>
      <c r="B8" s="47">
        <v>31</v>
      </c>
      <c r="C8" s="39">
        <f>IF(B$2=0,0,B8/B$2)</f>
        <v>0.40789473684210525</v>
      </c>
      <c r="E8" s="63" t="s">
        <v>71</v>
      </c>
      <c r="F8" s="60" t="s">
        <v>26</v>
      </c>
      <c r="G8" s="47">
        <v>15</v>
      </c>
      <c r="H8" s="133">
        <f>IF(B$17=0,0,G8/B$17)</f>
        <v>6.6964285714285712E-2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ref="C9" si="1">IF(B$2=0,0,B9/B$2)</f>
        <v>0.31578947368421051</v>
      </c>
      <c r="E9" s="63" t="s">
        <v>72</v>
      </c>
      <c r="F9" s="60" t="s">
        <v>27</v>
      </c>
      <c r="G9" s="47">
        <v>18</v>
      </c>
      <c r="H9" s="133">
        <f>IF(B$17=0,0,G9/B$17)</f>
        <v>8.0357142857142863E-2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5.2631578947368418E-2</v>
      </c>
      <c r="E10" s="63" t="s">
        <v>73</v>
      </c>
      <c r="F10" s="60" t="s">
        <v>28</v>
      </c>
      <c r="G10" s="47">
        <v>127</v>
      </c>
      <c r="H10" s="133">
        <f>IF(B$17=0,0,G10/B$17)</f>
        <v>0.5669642857142857</v>
      </c>
      <c r="I10" s="94">
        <v>6</v>
      </c>
      <c r="K10" s="38">
        <v>8</v>
      </c>
      <c r="L10" s="99">
        <v>-29.5</v>
      </c>
      <c r="N10" s="114" t="s">
        <v>164</v>
      </c>
      <c r="O10" s="124">
        <f>IF(P10=0,0,Q10/P10)</f>
        <v>-7.654545454545457</v>
      </c>
      <c r="P10" s="118">
        <v>22</v>
      </c>
      <c r="Q10" s="106">
        <v>-168.40000000000006</v>
      </c>
    </row>
    <row r="11" spans="1:17" x14ac:dyDescent="0.4">
      <c r="A11" s="56" t="s">
        <v>140</v>
      </c>
      <c r="B11" s="48">
        <v>9</v>
      </c>
      <c r="C11" s="40">
        <f>IF(B$2=0,0,B11/B$2)</f>
        <v>0.11842105263157894</v>
      </c>
      <c r="E11" s="63" t="s">
        <v>74</v>
      </c>
      <c r="F11" s="60" t="s">
        <v>29</v>
      </c>
      <c r="G11" s="47">
        <v>1</v>
      </c>
      <c r="H11" s="133">
        <f>IF(B$17=0,0,G11/B$17)</f>
        <v>4.464285714285714E-3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5.0640000000000001</v>
      </c>
      <c r="P11" s="119">
        <v>25</v>
      </c>
      <c r="Q11" s="107">
        <v>126.6</v>
      </c>
    </row>
    <row r="12" spans="1:17" x14ac:dyDescent="0.4">
      <c r="A12" s="57" t="s">
        <v>160</v>
      </c>
      <c r="B12" s="49">
        <v>6</v>
      </c>
      <c r="C12" s="42">
        <f>IF(B$2=0,0,B12/B$2)</f>
        <v>7.8947368421052627E-2</v>
      </c>
      <c r="E12" s="63" t="s">
        <v>75</v>
      </c>
      <c r="F12" s="60" t="s">
        <v>30</v>
      </c>
      <c r="G12" s="47">
        <v>1</v>
      </c>
      <c r="H12" s="133">
        <f>IF(B$17=0,0,G12/B$17)</f>
        <v>4.464285714285714E-3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0.18965517241379304</v>
      </c>
      <c r="P12" s="120">
        <v>29</v>
      </c>
      <c r="Q12" s="108">
        <v>5.4999999999999982</v>
      </c>
    </row>
    <row r="13" spans="1:17" x14ac:dyDescent="0.4">
      <c r="A13" s="58" t="s">
        <v>122</v>
      </c>
      <c r="B13" s="50">
        <v>140</v>
      </c>
      <c r="C13" s="44">
        <f>IF(B$3=0,0,B13/B$3)</f>
        <v>0.2153846153846154</v>
      </c>
      <c r="E13" s="63" t="s">
        <v>76</v>
      </c>
      <c r="F13" s="60" t="s">
        <v>31</v>
      </c>
      <c r="G13" s="47">
        <v>1</v>
      </c>
      <c r="H13" s="133">
        <f>IF(B$17=0,0,G13/B$17)</f>
        <v>4.464285714285714E-3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187</v>
      </c>
      <c r="C14" s="39">
        <f>IF(B$3=0,0,B14/B$3)</f>
        <v>0.28769230769230769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80</v>
      </c>
      <c r="C15" s="37">
        <f>IF(B$13=0,0,B15/B$13)</f>
        <v>0.5714285714285714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32.104761904761894</v>
      </c>
      <c r="P15" s="118">
        <v>21</v>
      </c>
      <c r="Q15" s="106">
        <v>674.19999999999982</v>
      </c>
    </row>
    <row r="16" spans="1:17" x14ac:dyDescent="0.4">
      <c r="A16" s="54" t="s">
        <v>125</v>
      </c>
      <c r="B16" s="46">
        <v>78</v>
      </c>
      <c r="C16" s="37">
        <f>IF(B$14=0,0,B16/B$14)</f>
        <v>0.41711229946524064</v>
      </c>
      <c r="E16" s="63" t="s">
        <v>79</v>
      </c>
      <c r="F16" s="60" t="s">
        <v>34</v>
      </c>
      <c r="G16" s="47">
        <v>3</v>
      </c>
      <c r="H16" s="133">
        <f>IF(B$17=0,0,G16/B$17)</f>
        <v>1.3392857142857142E-2</v>
      </c>
      <c r="I16" s="94">
        <v>10</v>
      </c>
      <c r="K16" s="38">
        <v>14</v>
      </c>
      <c r="L16" s="99">
        <v>-12.3</v>
      </c>
      <c r="N16" s="115" t="s">
        <v>223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224</v>
      </c>
      <c r="C17" s="37">
        <f>IF(B$3=0,0,B17/B$3)</f>
        <v>0.3446153846153846</v>
      </c>
      <c r="E17" s="63" t="s">
        <v>80</v>
      </c>
      <c r="F17" s="60" t="s">
        <v>35</v>
      </c>
      <c r="G17" s="47">
        <v>3</v>
      </c>
      <c r="H17" s="133">
        <f>IF(B$17=0,0,G17/B$17)</f>
        <v>1.3392857142857142E-2</v>
      </c>
      <c r="I17" s="94">
        <v>7</v>
      </c>
      <c r="K17" s="38">
        <v>15</v>
      </c>
      <c r="L17" s="99">
        <v>-80.3</v>
      </c>
      <c r="N17" s="115" t="s">
        <v>184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95</v>
      </c>
      <c r="C18" s="39">
        <f>IF(B$17=0,0,B18/B$17)</f>
        <v>0.42410714285714285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173</v>
      </c>
      <c r="O18" s="125">
        <f t="shared" si="2"/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129</v>
      </c>
      <c r="C19" s="39">
        <f>IF(B$17=0,0,B19/B$17)</f>
        <v>0.5758928571428571</v>
      </c>
      <c r="E19" s="63" t="s">
        <v>82</v>
      </c>
      <c r="F19" s="60" t="s">
        <v>37</v>
      </c>
      <c r="G19" s="47">
        <v>8</v>
      </c>
      <c r="H19" s="133">
        <f>IF(B$17=0,0,G19/B$17)</f>
        <v>3.5714285714285712E-2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 t="shared" si="2"/>
        <v>4.3735294117647054</v>
      </c>
      <c r="P19" s="119">
        <v>34</v>
      </c>
      <c r="Q19" s="107">
        <v>148.69999999999999</v>
      </c>
    </row>
    <row r="20" spans="1:17" x14ac:dyDescent="0.4">
      <c r="A20" s="55" t="s">
        <v>13</v>
      </c>
      <c r="B20" s="47">
        <v>90</v>
      </c>
      <c r="C20" s="39">
        <f>IF(B$3=0,0,B20/B$3)</f>
        <v>0.13846153846153847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200</v>
      </c>
      <c r="O20" s="125">
        <f t="shared" si="2"/>
        <v>-2.7400000000000033</v>
      </c>
      <c r="P20" s="119">
        <v>5</v>
      </c>
      <c r="Q20" s="107">
        <v>-13.700000000000017</v>
      </c>
    </row>
    <row r="21" spans="1:17" x14ac:dyDescent="0.4">
      <c r="A21" s="55" t="s">
        <v>191</v>
      </c>
      <c r="B21" s="47">
        <v>10</v>
      </c>
      <c r="C21" s="135">
        <v>3</v>
      </c>
      <c r="E21" s="63" t="s">
        <v>84</v>
      </c>
      <c r="F21" s="60" t="s">
        <v>39</v>
      </c>
      <c r="G21" s="47">
        <v>14</v>
      </c>
      <c r="H21" s="133">
        <f>IF(B$17=0,0,G21/B$17)</f>
        <v>6.25E-2</v>
      </c>
      <c r="I21" s="94">
        <v>3</v>
      </c>
      <c r="K21" s="38">
        <v>19</v>
      </c>
      <c r="L21" s="99">
        <v>29.200000000000003</v>
      </c>
      <c r="N21" s="115" t="s">
        <v>171</v>
      </c>
      <c r="O21" s="125">
        <f t="shared" si="2"/>
        <v>-4.6450000000000005</v>
      </c>
      <c r="P21" s="119">
        <v>20</v>
      </c>
      <c r="Q21" s="107">
        <v>-92.9</v>
      </c>
    </row>
    <row r="22" spans="1:17" x14ac:dyDescent="0.4">
      <c r="A22" s="55" t="s">
        <v>192</v>
      </c>
      <c r="B22" s="47">
        <v>23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177</v>
      </c>
      <c r="O22" s="125">
        <f t="shared" si="2"/>
        <v>-5.4062500000000009</v>
      </c>
      <c r="P22" s="119">
        <v>16</v>
      </c>
      <c r="Q22" s="107">
        <v>-86.500000000000014</v>
      </c>
    </row>
    <row r="23" spans="1:17" x14ac:dyDescent="0.4">
      <c r="A23" s="55" t="s">
        <v>5</v>
      </c>
      <c r="B23" s="51">
        <f>IF(B$17=0,0,C23/B$17)</f>
        <v>6741.5178571428569</v>
      </c>
      <c r="C23" s="41">
        <v>1510100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-21.543902439024389</v>
      </c>
      <c r="P23" s="119">
        <v>41</v>
      </c>
      <c r="Q23" s="107">
        <v>-883.3</v>
      </c>
    </row>
    <row r="24" spans="1:17" x14ac:dyDescent="0.4">
      <c r="A24" s="57" t="s">
        <v>14</v>
      </c>
      <c r="B24" s="52">
        <f>IF(B$20=0,0,C24/B$20)</f>
        <v>-8512.2222222222226</v>
      </c>
      <c r="C24" s="45">
        <v>-766100</v>
      </c>
      <c r="E24" s="63" t="s">
        <v>87</v>
      </c>
      <c r="F24" s="60" t="s">
        <v>42</v>
      </c>
      <c r="G24" s="47">
        <v>8</v>
      </c>
      <c r="H24" s="133">
        <f>IF(B$17=0,0,G24/B$17)</f>
        <v>3.5714285714285712E-2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4.464285714285714E-3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1.5384615384615385E-3</v>
      </c>
      <c r="E27" s="63" t="s">
        <v>90</v>
      </c>
      <c r="F27" s="60" t="s">
        <v>45</v>
      </c>
      <c r="G27" s="47">
        <v>17</v>
      </c>
      <c r="H27" s="133">
        <f>IF(B$17=0,0,G27/B$17)</f>
        <v>7.5892857142857137E-2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4.464285714285714E-3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1.7857142857142856E-2</v>
      </c>
      <c r="I29" s="94">
        <v>6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138" t="s">
        <v>245</v>
      </c>
      <c r="F51" s="139" t="s">
        <v>246</v>
      </c>
      <c r="G51" s="48">
        <v>98</v>
      </c>
      <c r="H51" s="140">
        <f>IF(B$17=0,0,G51/B$17)</f>
        <v>0.4375</v>
      </c>
      <c r="I51" s="141">
        <v>2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</sheetData>
  <sortState ref="E2:I7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B795-E045-4075-9EFD-3EE7D2F6A0D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45</v>
      </c>
      <c r="C2" s="151"/>
      <c r="E2" s="62" t="s">
        <v>67</v>
      </c>
      <c r="F2" s="59" t="s">
        <v>23</v>
      </c>
      <c r="G2" s="46">
        <v>78</v>
      </c>
      <c r="H2" s="132">
        <f>IF(B$17=0,0,G2/B$17)</f>
        <v>0.67241379310344829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-2853.3333333333335</v>
      </c>
      <c r="P2" s="118">
        <v>45</v>
      </c>
      <c r="Q2" s="102">
        <v>-128400</v>
      </c>
    </row>
    <row r="3" spans="1:17" x14ac:dyDescent="0.4">
      <c r="A3" s="55" t="s">
        <v>8</v>
      </c>
      <c r="B3" s="152">
        <v>389</v>
      </c>
      <c r="C3" s="153"/>
      <c r="E3" s="63" t="s">
        <v>73</v>
      </c>
      <c r="F3" s="60" t="s">
        <v>28</v>
      </c>
      <c r="G3" s="47">
        <v>61</v>
      </c>
      <c r="H3" s="133">
        <f>IF(B$17=0,0,G3/B$17)</f>
        <v>0.52586206896551724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2168.8888888888887</v>
      </c>
      <c r="P3" s="119">
        <v>45</v>
      </c>
      <c r="Q3" s="103">
        <v>97600</v>
      </c>
    </row>
    <row r="4" spans="1:17" x14ac:dyDescent="0.4">
      <c r="A4" s="55" t="s">
        <v>6</v>
      </c>
      <c r="B4" s="154">
        <v>-295.39999999999998</v>
      </c>
      <c r="C4" s="155"/>
      <c r="E4" s="63" t="s">
        <v>65</v>
      </c>
      <c r="F4" s="60" t="s">
        <v>21</v>
      </c>
      <c r="G4" s="47">
        <v>50</v>
      </c>
      <c r="H4" s="133">
        <f>IF(B$17=0,0,G4/B$17)</f>
        <v>0.43103448275862066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-865.11627906976742</v>
      </c>
      <c r="P4" s="119">
        <v>43</v>
      </c>
      <c r="Q4" s="103">
        <v>-37200</v>
      </c>
    </row>
    <row r="5" spans="1:17" x14ac:dyDescent="0.4">
      <c r="A5" s="55" t="s">
        <v>7</v>
      </c>
      <c r="B5" s="156">
        <f>IF(B$2=0,0,B$4/B$2)</f>
        <v>-6.5644444444444439</v>
      </c>
      <c r="C5" s="157"/>
      <c r="E5" s="63" t="s">
        <v>245</v>
      </c>
      <c r="F5" s="60" t="s">
        <v>246</v>
      </c>
      <c r="G5" s="47">
        <v>46</v>
      </c>
      <c r="H5" s="133">
        <f>IF(B$17=0,0,G5/B$17)</f>
        <v>0.39655172413793105</v>
      </c>
      <c r="I5" s="94">
        <v>8</v>
      </c>
      <c r="K5" s="38">
        <v>3</v>
      </c>
      <c r="L5" s="99">
        <v>-149</v>
      </c>
      <c r="N5" s="115" t="s">
        <v>135</v>
      </c>
      <c r="O5" s="122">
        <f t="shared" si="0"/>
        <v>-3805</v>
      </c>
      <c r="P5" s="119">
        <v>40</v>
      </c>
      <c r="Q5" s="103">
        <v>-152200</v>
      </c>
    </row>
    <row r="6" spans="1:17" x14ac:dyDescent="0.4">
      <c r="A6" s="55" t="s">
        <v>1</v>
      </c>
      <c r="B6" s="146">
        <f>IF(B$2=0,0,(B$7*1+B$8*2+B$9*3)/B$2)</f>
        <v>2.088888888888889</v>
      </c>
      <c r="C6" s="147"/>
      <c r="E6" s="63" t="s">
        <v>69</v>
      </c>
      <c r="F6" s="60" t="s">
        <v>12</v>
      </c>
      <c r="G6" s="47">
        <v>45</v>
      </c>
      <c r="H6" s="133">
        <f>IF(B$17=0,0,G6/B$17)</f>
        <v>0.38793103448275862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-205.55555555555554</v>
      </c>
      <c r="P6" s="119">
        <v>36</v>
      </c>
      <c r="Q6" s="103">
        <v>-7400</v>
      </c>
    </row>
    <row r="7" spans="1:17" x14ac:dyDescent="0.4">
      <c r="A7" s="55" t="s">
        <v>2</v>
      </c>
      <c r="B7" s="47">
        <v>13</v>
      </c>
      <c r="C7" s="39">
        <f>IF(B$2=0,0,B7/B$2)</f>
        <v>0.28888888888888886</v>
      </c>
      <c r="E7" s="63" t="s">
        <v>68</v>
      </c>
      <c r="F7" s="60" t="s">
        <v>24</v>
      </c>
      <c r="G7" s="47">
        <v>28</v>
      </c>
      <c r="H7" s="133">
        <f>IF(B$17=0,0,G7/B$17)</f>
        <v>0.2413793103448276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520</v>
      </c>
      <c r="P7" s="120">
        <v>35</v>
      </c>
      <c r="Q7" s="104">
        <v>18200</v>
      </c>
    </row>
    <row r="8" spans="1:17" x14ac:dyDescent="0.4">
      <c r="A8" s="55" t="s">
        <v>3</v>
      </c>
      <c r="B8" s="47">
        <v>15</v>
      </c>
      <c r="C8" s="39">
        <f>IF(B$2=0,0,B8/B$2)</f>
        <v>0.33333333333333331</v>
      </c>
      <c r="E8" s="63" t="s">
        <v>71</v>
      </c>
      <c r="F8" s="60" t="s">
        <v>26</v>
      </c>
      <c r="G8" s="47">
        <v>14</v>
      </c>
      <c r="H8" s="133">
        <f>IF(B$17=0,0,G8/B$17)</f>
        <v>0.1206896551724138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0.37777777777777777</v>
      </c>
      <c r="E9" s="63" t="s">
        <v>90</v>
      </c>
      <c r="F9" s="60" t="s">
        <v>45</v>
      </c>
      <c r="G9" s="47">
        <v>14</v>
      </c>
      <c r="H9" s="133">
        <f>IF(B$17=0,0,G9/B$17)</f>
        <v>0.1206896551724138</v>
      </c>
      <c r="I9" s="94">
        <v>8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0.1111111111111111</v>
      </c>
      <c r="E10" s="63" t="s">
        <v>70</v>
      </c>
      <c r="F10" s="60" t="s">
        <v>25</v>
      </c>
      <c r="G10" s="47">
        <v>13</v>
      </c>
      <c r="H10" s="133">
        <f>IF(B$17=0,0,G10/B$17)</f>
        <v>0.11206896551724138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6.6666666666666666E-2</v>
      </c>
      <c r="E11" s="63" t="s">
        <v>66</v>
      </c>
      <c r="F11" s="60" t="s">
        <v>22</v>
      </c>
      <c r="G11" s="47">
        <v>9</v>
      </c>
      <c r="H11" s="133">
        <f>IF(B$17=0,0,G11/B$17)</f>
        <v>7.7586206896551727E-2</v>
      </c>
      <c r="I11" s="94">
        <v>8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4.4444444444444446E-2</v>
      </c>
      <c r="E12" s="63" t="s">
        <v>72</v>
      </c>
      <c r="F12" s="60" t="s">
        <v>27</v>
      </c>
      <c r="G12" s="47">
        <v>6</v>
      </c>
      <c r="H12" s="133">
        <f>IF(B$17=0,0,G12/B$17)</f>
        <v>5.1724137931034482E-2</v>
      </c>
      <c r="I12" s="94">
        <v>10</v>
      </c>
      <c r="K12" s="38">
        <v>10</v>
      </c>
      <c r="L12" s="99">
        <v>-318.39999999999998</v>
      </c>
      <c r="N12" s="116" t="s">
        <v>166</v>
      </c>
      <c r="O12" s="126">
        <f>IF(P12=0,0,Q12/P12)</f>
        <v>-11.453846153846152</v>
      </c>
      <c r="P12" s="120">
        <v>13</v>
      </c>
      <c r="Q12" s="108">
        <v>-148.89999999999998</v>
      </c>
    </row>
    <row r="13" spans="1:17" x14ac:dyDescent="0.4">
      <c r="A13" s="58" t="s">
        <v>122</v>
      </c>
      <c r="B13" s="50">
        <v>89</v>
      </c>
      <c r="C13" s="44">
        <f>IF(B$3=0,0,B13/B$3)</f>
        <v>0.22879177377892032</v>
      </c>
      <c r="E13" s="63" t="s">
        <v>87</v>
      </c>
      <c r="F13" s="60" t="s">
        <v>42</v>
      </c>
      <c r="G13" s="47">
        <v>4</v>
      </c>
      <c r="H13" s="133">
        <f>IF(B$17=0,0,G13/B$17)</f>
        <v>3.4482758620689655E-2</v>
      </c>
      <c r="I13" s="94">
        <v>10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99</v>
      </c>
      <c r="C14" s="39">
        <f>IF(B$3=0,0,B14/B$3)</f>
        <v>0.25449871465295631</v>
      </c>
      <c r="E14" s="63" t="s">
        <v>74</v>
      </c>
      <c r="F14" s="60" t="s">
        <v>29</v>
      </c>
      <c r="G14" s="47">
        <v>2</v>
      </c>
      <c r="H14" s="133">
        <f>IF(B$17=0,0,G14/B$17)</f>
        <v>1.7241379310344827E-2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0.5842696629213483</v>
      </c>
      <c r="E15" s="63" t="s">
        <v>79</v>
      </c>
      <c r="F15" s="60" t="s">
        <v>34</v>
      </c>
      <c r="G15" s="47">
        <v>2</v>
      </c>
      <c r="H15" s="133">
        <f>IF(B$17=0,0,G15/B$17)</f>
        <v>1.7241379310344827E-2</v>
      </c>
      <c r="I15" s="94">
        <v>9</v>
      </c>
      <c r="K15" s="38">
        <v>13</v>
      </c>
      <c r="L15" s="99">
        <v>-302.59999999999997</v>
      </c>
      <c r="N15" s="114" t="s">
        <v>129</v>
      </c>
      <c r="O15" s="124">
        <f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0.33333333333333331</v>
      </c>
      <c r="E16" s="63" t="s">
        <v>80</v>
      </c>
      <c r="F16" s="60" t="s">
        <v>35</v>
      </c>
      <c r="G16" s="47">
        <v>2</v>
      </c>
      <c r="H16" s="133">
        <f>IF(B$17=0,0,G16/B$17)</f>
        <v>1.7241379310344827E-2</v>
      </c>
      <c r="I16" s="94">
        <v>4</v>
      </c>
      <c r="K16" s="38">
        <v>14</v>
      </c>
      <c r="L16" s="99">
        <v>-269.99999999999994</v>
      </c>
      <c r="N16" s="115" t="s">
        <v>128</v>
      </c>
      <c r="O16" s="125">
        <f>IF(P16=0,0,Q16/P16)</f>
        <v>-5.6727272727272711</v>
      </c>
      <c r="P16" s="119">
        <v>22</v>
      </c>
      <c r="Q16" s="107">
        <v>-124.79999999999997</v>
      </c>
    </row>
    <row r="17" spans="1:17" x14ac:dyDescent="0.4">
      <c r="A17" s="54" t="s">
        <v>10</v>
      </c>
      <c r="B17" s="46">
        <f>B19+B18</f>
        <v>116</v>
      </c>
      <c r="C17" s="37">
        <f>IF(B$3=0,0,B17/B$3)</f>
        <v>0.29820051413881749</v>
      </c>
      <c r="E17" s="63" t="s">
        <v>84</v>
      </c>
      <c r="F17" s="60" t="s">
        <v>39</v>
      </c>
      <c r="G17" s="47">
        <v>2</v>
      </c>
      <c r="H17" s="133">
        <f>IF(B$17=0,0,G17/B$17)</f>
        <v>1.7241379310344827E-2</v>
      </c>
      <c r="I17" s="94">
        <v>11</v>
      </c>
      <c r="K17" s="38">
        <v>15</v>
      </c>
      <c r="L17" s="99">
        <v>-264.59999999999997</v>
      </c>
      <c r="N17" s="115" t="s">
        <v>172</v>
      </c>
      <c r="O17" s="125">
        <f>IF(P17=0,0,Q17/P17)</f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59</v>
      </c>
      <c r="C18" s="39">
        <f>IF(B$17=0,0,B18/B$17)</f>
        <v>0.50862068965517238</v>
      </c>
      <c r="E18" s="63" t="s">
        <v>92</v>
      </c>
      <c r="F18" s="60" t="s">
        <v>47</v>
      </c>
      <c r="G18" s="47">
        <v>2</v>
      </c>
      <c r="H18" s="133">
        <f>IF(B$17=0,0,G18/B$17)</f>
        <v>1.7241379310344827E-2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>IF(P18=0,0,Q18/P18)</f>
        <v>-11.647058823529409</v>
      </c>
      <c r="P18" s="119">
        <v>17</v>
      </c>
      <c r="Q18" s="107">
        <v>-197.99999999999997</v>
      </c>
    </row>
    <row r="19" spans="1:17" x14ac:dyDescent="0.4">
      <c r="A19" s="55" t="s">
        <v>11</v>
      </c>
      <c r="B19" s="47">
        <v>57</v>
      </c>
      <c r="C19" s="39">
        <f>IF(B$17=0,0,B19/B$17)</f>
        <v>0.49137931034482757</v>
      </c>
      <c r="E19" s="63" t="s">
        <v>180</v>
      </c>
      <c r="F19" s="60" t="s">
        <v>181</v>
      </c>
      <c r="G19" s="47">
        <v>2</v>
      </c>
      <c r="H19" s="133">
        <f>IF(B$17=0,0,G19/B$17)</f>
        <v>1.7241379310344827E-2</v>
      </c>
      <c r="I19" s="94">
        <v>4</v>
      </c>
      <c r="K19" s="38">
        <v>17</v>
      </c>
      <c r="L19" s="99">
        <v>-248.89999999999995</v>
      </c>
      <c r="N19" s="115" t="s">
        <v>177</v>
      </c>
      <c r="O19" s="125">
        <f>IF(P19=0,0,Q19/P19)</f>
        <v>-13.028571428571427</v>
      </c>
      <c r="P19" s="119">
        <v>7</v>
      </c>
      <c r="Q19" s="107">
        <v>-91.199999999999989</v>
      </c>
    </row>
    <row r="20" spans="1:17" x14ac:dyDescent="0.4">
      <c r="A20" s="55" t="s">
        <v>13</v>
      </c>
      <c r="B20" s="47">
        <v>73</v>
      </c>
      <c r="C20" s="39">
        <f>IF(B$3=0,0,B20/B$3)</f>
        <v>0.18766066838046272</v>
      </c>
      <c r="E20" s="63" t="s">
        <v>88</v>
      </c>
      <c r="F20" s="60" t="s">
        <v>43</v>
      </c>
      <c r="G20" s="47">
        <v>1</v>
      </c>
      <c r="H20" s="133">
        <f>IF(B$17=0,0,G20/B$17)</f>
        <v>8.6206896551724137E-3</v>
      </c>
      <c r="I20" s="94">
        <v>2</v>
      </c>
      <c r="K20" s="38">
        <v>18</v>
      </c>
      <c r="L20" s="99">
        <v>-218.99999999999994</v>
      </c>
      <c r="N20" s="115" t="s">
        <v>127</v>
      </c>
      <c r="O20" s="125">
        <f>IF(P20=0,0,Q20/P20)</f>
        <v>-21.768181818181816</v>
      </c>
      <c r="P20" s="119">
        <v>22</v>
      </c>
      <c r="Q20" s="107">
        <v>-478.9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-188.59999999999994</v>
      </c>
      <c r="N21" s="115" t="s">
        <v>200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3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8</v>
      </c>
      <c r="K22" s="38">
        <v>20</v>
      </c>
      <c r="L22" s="99">
        <v>-182.79999999999993</v>
      </c>
      <c r="N22" s="115" t="s">
        <v>183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6945.6896551724139</v>
      </c>
      <c r="C23" s="41">
        <v>805700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-7787.6712328767126</v>
      </c>
      <c r="C24" s="45">
        <v>-568500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10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5.1413881748071976E-3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CB12-A25C-4FDC-87E8-7AA31C9561EA}">
  <sheetPr codeName="Sheet19"/>
  <dimension ref="A1:Q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63</v>
      </c>
      <c r="C2" s="151"/>
      <c r="E2" s="62" t="s">
        <v>65</v>
      </c>
      <c r="F2" s="59" t="s">
        <v>21</v>
      </c>
      <c r="G2" s="46">
        <v>96</v>
      </c>
      <c r="H2" s="132">
        <f>IF(B$17=0,0,G2/B$17)</f>
        <v>0.62337662337662336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1209.6774193548388</v>
      </c>
      <c r="P2" s="118">
        <v>62</v>
      </c>
      <c r="Q2" s="102">
        <v>75000</v>
      </c>
    </row>
    <row r="3" spans="1:17" x14ac:dyDescent="0.4">
      <c r="A3" s="55" t="s">
        <v>8</v>
      </c>
      <c r="B3" s="152">
        <v>503</v>
      </c>
      <c r="C3" s="153"/>
      <c r="E3" s="63" t="s">
        <v>67</v>
      </c>
      <c r="F3" s="60" t="s">
        <v>23</v>
      </c>
      <c r="G3" s="47">
        <v>88</v>
      </c>
      <c r="H3" s="133">
        <f>IF(B$17=0,0,G3/B$17)</f>
        <v>0.5714285714285714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1496.6101694915253</v>
      </c>
      <c r="P3" s="119">
        <v>59</v>
      </c>
      <c r="Q3" s="103">
        <v>88300</v>
      </c>
    </row>
    <row r="4" spans="1:17" x14ac:dyDescent="0.4">
      <c r="A4" s="55" t="s">
        <v>6</v>
      </c>
      <c r="B4" s="154">
        <v>345.6</v>
      </c>
      <c r="C4" s="155"/>
      <c r="E4" s="63" t="s">
        <v>245</v>
      </c>
      <c r="F4" s="60" t="s">
        <v>246</v>
      </c>
      <c r="G4" s="47">
        <v>65</v>
      </c>
      <c r="H4" s="133">
        <f>IF(B$17=0,0,G4/B$17)</f>
        <v>0.42207792207792205</v>
      </c>
      <c r="I4" s="94">
        <v>4</v>
      </c>
      <c r="K4" s="38">
        <v>2</v>
      </c>
      <c r="L4" s="99">
        <v>30</v>
      </c>
      <c r="N4" s="115" t="s">
        <v>134</v>
      </c>
      <c r="O4" s="122">
        <f t="shared" si="0"/>
        <v>-816.98113207547169</v>
      </c>
      <c r="P4" s="119">
        <v>53</v>
      </c>
      <c r="Q4" s="103">
        <v>-43300</v>
      </c>
    </row>
    <row r="5" spans="1:17" x14ac:dyDescent="0.4">
      <c r="A5" s="55" t="s">
        <v>7</v>
      </c>
      <c r="B5" s="156">
        <f>IF(B$2=0,0,B$4/B$2)</f>
        <v>5.4857142857142858</v>
      </c>
      <c r="C5" s="157"/>
      <c r="E5" s="63" t="s">
        <v>73</v>
      </c>
      <c r="F5" s="60" t="s">
        <v>28</v>
      </c>
      <c r="G5" s="47">
        <v>61</v>
      </c>
      <c r="H5" s="133">
        <f>IF(B$17=0,0,G5/B$17)</f>
        <v>0.39610389610389612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2619.6078431372548</v>
      </c>
      <c r="P5" s="119">
        <v>51</v>
      </c>
      <c r="Q5" s="103">
        <v>133600</v>
      </c>
    </row>
    <row r="6" spans="1:17" x14ac:dyDescent="0.4">
      <c r="A6" s="55" t="s">
        <v>1</v>
      </c>
      <c r="B6" s="146">
        <f>IF(B$2=0,0,(B$7*1+B$8*2+B$9*3)/B$2)</f>
        <v>1.8571428571428572</v>
      </c>
      <c r="C6" s="147"/>
      <c r="E6" s="63" t="s">
        <v>68</v>
      </c>
      <c r="F6" s="60" t="s">
        <v>24</v>
      </c>
      <c r="G6" s="47">
        <v>58</v>
      </c>
      <c r="H6" s="133">
        <f>IF(B$17=0,0,G6/B$17)</f>
        <v>0.37662337662337664</v>
      </c>
      <c r="I6" s="94">
        <v>5</v>
      </c>
      <c r="K6" s="38">
        <v>4</v>
      </c>
      <c r="L6" s="99">
        <v>40</v>
      </c>
      <c r="N6" s="115" t="s">
        <v>136</v>
      </c>
      <c r="O6" s="122">
        <f t="shared" si="0"/>
        <v>-1113.3333333333333</v>
      </c>
      <c r="P6" s="119">
        <v>45</v>
      </c>
      <c r="Q6" s="103">
        <v>-50100</v>
      </c>
    </row>
    <row r="7" spans="1:17" x14ac:dyDescent="0.4">
      <c r="A7" s="55" t="s">
        <v>2</v>
      </c>
      <c r="B7" s="47">
        <v>26</v>
      </c>
      <c r="C7" s="39">
        <f>IF(B$2=0,0,B7/B$2)</f>
        <v>0.41269841269841268</v>
      </c>
      <c r="E7" s="63" t="s">
        <v>69</v>
      </c>
      <c r="F7" s="60" t="s">
        <v>12</v>
      </c>
      <c r="G7" s="47">
        <v>49</v>
      </c>
      <c r="H7" s="133">
        <f>IF(B$17=0,0,G7/B$17)</f>
        <v>0.31818181818181818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602.70270270270271</v>
      </c>
      <c r="P7" s="120">
        <v>37</v>
      </c>
      <c r="Q7" s="104">
        <v>22300</v>
      </c>
    </row>
    <row r="8" spans="1:17" x14ac:dyDescent="0.4">
      <c r="A8" s="55" t="s">
        <v>3</v>
      </c>
      <c r="B8" s="47">
        <v>20</v>
      </c>
      <c r="C8" s="39">
        <f>IF(B$2=0,0,B8/B$2)</f>
        <v>0.31746031746031744</v>
      </c>
      <c r="E8" s="63" t="s">
        <v>70</v>
      </c>
      <c r="F8" s="60" t="s">
        <v>25</v>
      </c>
      <c r="G8" s="47">
        <v>27</v>
      </c>
      <c r="H8" s="133">
        <f>IF(B$17=0,0,G8/B$17)</f>
        <v>0.17532467532467533</v>
      </c>
      <c r="I8" s="94">
        <v>6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0.26984126984126983</v>
      </c>
      <c r="E9" s="63" t="s">
        <v>66</v>
      </c>
      <c r="F9" s="60" t="s">
        <v>22</v>
      </c>
      <c r="G9" s="47">
        <v>19</v>
      </c>
      <c r="H9" s="133">
        <f>IF(B$17=0,0,G9/B$17)</f>
        <v>0.12337662337662338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0.14285714285714285</v>
      </c>
      <c r="E10" s="63" t="s">
        <v>90</v>
      </c>
      <c r="F10" s="60" t="s">
        <v>45</v>
      </c>
      <c r="G10" s="47">
        <v>17</v>
      </c>
      <c r="H10" s="133">
        <f>IF(B$17=0,0,G10/B$17)</f>
        <v>0.11038961038961038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7.4842105263157892</v>
      </c>
      <c r="P10" s="118">
        <v>19</v>
      </c>
      <c r="Q10" s="106">
        <v>142.19999999999999</v>
      </c>
    </row>
    <row r="11" spans="1:17" x14ac:dyDescent="0.4">
      <c r="A11" s="56" t="s">
        <v>140</v>
      </c>
      <c r="B11" s="48">
        <v>9</v>
      </c>
      <c r="C11" s="40">
        <f>IF(B$2=0,0,B11/B$2)</f>
        <v>0.14285714285714285</v>
      </c>
      <c r="E11" s="63" t="s">
        <v>71</v>
      </c>
      <c r="F11" s="60" t="s">
        <v>26</v>
      </c>
      <c r="G11" s="47">
        <v>11</v>
      </c>
      <c r="H11" s="133">
        <f>IF(B$17=0,0,G11/B$17)</f>
        <v>7.1428571428571425E-2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11.691666666666668</v>
      </c>
      <c r="P11" s="119">
        <v>24</v>
      </c>
      <c r="Q11" s="107">
        <v>280.60000000000002</v>
      </c>
    </row>
    <row r="12" spans="1:17" x14ac:dyDescent="0.4">
      <c r="A12" s="57" t="s">
        <v>160</v>
      </c>
      <c r="B12" s="49">
        <v>5</v>
      </c>
      <c r="C12" s="42">
        <f>IF(B$2=0,0,B12/B$2)</f>
        <v>7.9365079365079361E-2</v>
      </c>
      <c r="E12" s="63" t="s">
        <v>72</v>
      </c>
      <c r="F12" s="60" t="s">
        <v>27</v>
      </c>
      <c r="G12" s="47">
        <v>9</v>
      </c>
      <c r="H12" s="133">
        <f>IF(B$17=0,0,G12/B$17)</f>
        <v>5.844155844155844E-2</v>
      </c>
      <c r="I12" s="94">
        <v>8</v>
      </c>
      <c r="K12" s="38">
        <v>10</v>
      </c>
      <c r="L12" s="99">
        <v>-183.7</v>
      </c>
      <c r="N12" s="116" t="s">
        <v>166</v>
      </c>
      <c r="O12" s="126">
        <f>IF(P12=0,0,Q12/P12)</f>
        <v>-3.8600000000000003</v>
      </c>
      <c r="P12" s="120">
        <v>20</v>
      </c>
      <c r="Q12" s="108">
        <v>-77.2</v>
      </c>
    </row>
    <row r="13" spans="1:17" x14ac:dyDescent="0.4">
      <c r="A13" s="58" t="s">
        <v>122</v>
      </c>
      <c r="B13" s="50">
        <v>147</v>
      </c>
      <c r="C13" s="44">
        <f>IF(B$3=0,0,B13/B$3)</f>
        <v>0.2922465208747515</v>
      </c>
      <c r="E13" s="63" t="s">
        <v>84</v>
      </c>
      <c r="F13" s="60" t="s">
        <v>39</v>
      </c>
      <c r="G13" s="47">
        <v>7</v>
      </c>
      <c r="H13" s="133">
        <f>IF(B$17=0,0,G13/B$17)</f>
        <v>4.5454545454545456E-2</v>
      </c>
      <c r="I13" s="94">
        <v>7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90</v>
      </c>
      <c r="C14" s="39">
        <f>IF(B$3=0,0,B14/B$3)</f>
        <v>0.17892644135188868</v>
      </c>
      <c r="E14" s="63" t="s">
        <v>87</v>
      </c>
      <c r="F14" s="60" t="s">
        <v>42</v>
      </c>
      <c r="G14" s="47">
        <v>6</v>
      </c>
      <c r="H14" s="133">
        <f>IF(B$17=0,0,G14/B$17)</f>
        <v>3.896103896103896E-2</v>
      </c>
      <c r="I14" s="94">
        <v>8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96</v>
      </c>
      <c r="C15" s="37">
        <f>IF(B$13=0,0,B15/B$13)</f>
        <v>0.65306122448979587</v>
      </c>
      <c r="E15" s="63" t="s">
        <v>79</v>
      </c>
      <c r="F15" s="60" t="s">
        <v>34</v>
      </c>
      <c r="G15" s="47">
        <v>5</v>
      </c>
      <c r="H15" s="133">
        <f>IF(B$17=0,0,G15/B$17)</f>
        <v>3.2467532467532464E-2</v>
      </c>
      <c r="I15" s="94">
        <v>5</v>
      </c>
      <c r="K15" s="38">
        <v>13</v>
      </c>
      <c r="L15" s="99">
        <v>-209.59999999999997</v>
      </c>
      <c r="N15" s="114" t="s">
        <v>171</v>
      </c>
      <c r="O15" s="124">
        <f>IF(P15=0,0,Q15/P15)</f>
        <v>41.294444444444451</v>
      </c>
      <c r="P15" s="118">
        <v>18</v>
      </c>
      <c r="Q15" s="106">
        <v>743.30000000000007</v>
      </c>
    </row>
    <row r="16" spans="1:17" x14ac:dyDescent="0.4">
      <c r="A16" s="54" t="s">
        <v>125</v>
      </c>
      <c r="B16" s="46">
        <v>33</v>
      </c>
      <c r="C16" s="37">
        <f>IF(B$14=0,0,B16/B$14)</f>
        <v>0.36666666666666664</v>
      </c>
      <c r="E16" s="63" t="s">
        <v>92</v>
      </c>
      <c r="F16" s="60" t="s">
        <v>47</v>
      </c>
      <c r="G16" s="47">
        <v>5</v>
      </c>
      <c r="H16" s="133">
        <f>IF(B$17=0,0,G16/B$17)</f>
        <v>3.2467532467532464E-2</v>
      </c>
      <c r="I16" s="94">
        <v>1</v>
      </c>
      <c r="K16" s="38">
        <v>14</v>
      </c>
      <c r="L16" s="99">
        <v>-178.49999999999997</v>
      </c>
      <c r="N16" s="115" t="s">
        <v>200</v>
      </c>
      <c r="O16" s="125">
        <f>IF(P16=0,0,Q16/P16)</f>
        <v>26.1</v>
      </c>
      <c r="P16" s="119">
        <v>5</v>
      </c>
      <c r="Q16" s="107">
        <v>130.5</v>
      </c>
    </row>
    <row r="17" spans="1:17" x14ac:dyDescent="0.4">
      <c r="A17" s="54" t="s">
        <v>10</v>
      </c>
      <c r="B17" s="46">
        <f>B19+B18</f>
        <v>154</v>
      </c>
      <c r="C17" s="37">
        <f>IF(B$3=0,0,B17/B$3)</f>
        <v>0.3061630218687873</v>
      </c>
      <c r="E17" s="63" t="s">
        <v>82</v>
      </c>
      <c r="F17" s="60" t="s">
        <v>37</v>
      </c>
      <c r="G17" s="47">
        <v>4</v>
      </c>
      <c r="H17" s="133">
        <f>IF(B$17=0,0,G17/B$17)</f>
        <v>2.5974025974025976E-2</v>
      </c>
      <c r="I17" s="94">
        <v>8</v>
      </c>
      <c r="K17" s="38">
        <v>15</v>
      </c>
      <c r="L17" s="99">
        <v>-146.19999999999999</v>
      </c>
      <c r="N17" s="115" t="s">
        <v>184</v>
      </c>
      <c r="O17" s="125">
        <f>IF(P17=0,0,Q17/P17)</f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69</v>
      </c>
      <c r="C18" s="39">
        <f>IF(B$17=0,0,B18/B$17)</f>
        <v>0.44805194805194803</v>
      </c>
      <c r="E18" s="63" t="s">
        <v>86</v>
      </c>
      <c r="F18" s="60" t="s">
        <v>41</v>
      </c>
      <c r="G18" s="47">
        <v>3</v>
      </c>
      <c r="H18" s="133">
        <f>IF(B$17=0,0,G18/B$17)</f>
        <v>1.948051948051948E-2</v>
      </c>
      <c r="I18" s="94">
        <v>1</v>
      </c>
      <c r="K18" s="38">
        <v>16</v>
      </c>
      <c r="L18" s="99">
        <v>-153.29999999999998</v>
      </c>
      <c r="N18" s="115" t="s">
        <v>129</v>
      </c>
      <c r="O18" s="125">
        <f>IF(P18=0,0,Q18/P18)</f>
        <v>15.755000000000001</v>
      </c>
      <c r="P18" s="119">
        <v>20</v>
      </c>
      <c r="Q18" s="107">
        <v>315.10000000000002</v>
      </c>
    </row>
    <row r="19" spans="1:17" x14ac:dyDescent="0.4">
      <c r="A19" s="55" t="s">
        <v>11</v>
      </c>
      <c r="B19" s="47">
        <v>85</v>
      </c>
      <c r="C19" s="39">
        <f>IF(B$17=0,0,B19/B$17)</f>
        <v>0.55194805194805197</v>
      </c>
      <c r="E19" s="63" t="s">
        <v>80</v>
      </c>
      <c r="F19" s="60" t="s">
        <v>35</v>
      </c>
      <c r="G19" s="47">
        <v>2</v>
      </c>
      <c r="H19" s="133">
        <f>IF(B$17=0,0,G19/B$17)</f>
        <v>1.2987012987012988E-2</v>
      </c>
      <c r="I19" s="94">
        <v>8</v>
      </c>
      <c r="K19" s="38">
        <v>17</v>
      </c>
      <c r="L19" s="99">
        <v>-161.19999999999999</v>
      </c>
      <c r="N19" s="115" t="s">
        <v>173</v>
      </c>
      <c r="O19" s="125">
        <f>IF(P19=0,0,Q19/P19)</f>
        <v>13.02857142857143</v>
      </c>
      <c r="P19" s="119">
        <v>7</v>
      </c>
      <c r="Q19" s="107">
        <v>91.200000000000017</v>
      </c>
    </row>
    <row r="20" spans="1:17" x14ac:dyDescent="0.4">
      <c r="A20" s="55" t="s">
        <v>13</v>
      </c>
      <c r="B20" s="47">
        <v>75</v>
      </c>
      <c r="C20" s="39">
        <f>IF(B$3=0,0,B20/B$3)</f>
        <v>0.14910536779324055</v>
      </c>
      <c r="E20" s="63" t="s">
        <v>91</v>
      </c>
      <c r="F20" s="60" t="s">
        <v>46</v>
      </c>
      <c r="G20" s="47">
        <v>2</v>
      </c>
      <c r="H20" s="133">
        <f>IF(B$17=0,0,G20/B$17)</f>
        <v>1.2987012987012988E-2</v>
      </c>
      <c r="I20" s="94">
        <v>1</v>
      </c>
      <c r="K20" s="38">
        <v>18</v>
      </c>
      <c r="L20" s="99">
        <v>-159</v>
      </c>
      <c r="N20" s="115" t="s">
        <v>128</v>
      </c>
      <c r="O20" s="125">
        <f>IF(P20=0,0,Q20/P20)</f>
        <v>11.464</v>
      </c>
      <c r="P20" s="119">
        <v>25</v>
      </c>
      <c r="Q20" s="107">
        <v>286.60000000000002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75</v>
      </c>
      <c r="F21" s="60" t="s">
        <v>30</v>
      </c>
      <c r="G21" s="47">
        <v>1</v>
      </c>
      <c r="H21" s="133">
        <f>IF(B$17=0,0,G21/B$17)</f>
        <v>6.4935064935064939E-3</v>
      </c>
      <c r="I21" s="94">
        <v>3</v>
      </c>
      <c r="K21" s="38">
        <v>19</v>
      </c>
      <c r="L21" s="99">
        <v>-235.6</v>
      </c>
      <c r="N21" s="115" t="s">
        <v>172</v>
      </c>
      <c r="O21" s="125">
        <f>IF(P21=0,0,Q21/P21)</f>
        <v>5.4062499999999973</v>
      </c>
      <c r="P21" s="119">
        <v>16</v>
      </c>
      <c r="Q21" s="107">
        <v>86.499999999999957</v>
      </c>
    </row>
    <row r="22" spans="1:17" x14ac:dyDescent="0.4">
      <c r="A22" s="55" t="s">
        <v>192</v>
      </c>
      <c r="B22" s="47">
        <v>45</v>
      </c>
      <c r="C22" s="135">
        <v>5</v>
      </c>
      <c r="E22" s="63" t="s">
        <v>76</v>
      </c>
      <c r="F22" s="60" t="s">
        <v>31</v>
      </c>
      <c r="G22" s="47">
        <v>1</v>
      </c>
      <c r="H22" s="133">
        <f>IF(B$17=0,0,G22/B$17)</f>
        <v>6.4935064935064939E-3</v>
      </c>
      <c r="I22" s="94">
        <v>4</v>
      </c>
      <c r="K22" s="38">
        <v>20</v>
      </c>
      <c r="L22" s="99">
        <v>-200.8</v>
      </c>
      <c r="N22" s="115" t="s">
        <v>127</v>
      </c>
      <c r="O22" s="125">
        <f>IF(P22=0,0,Q22/P22)</f>
        <v>-21.500000000000007</v>
      </c>
      <c r="P22" s="119">
        <v>27</v>
      </c>
      <c r="Q22" s="107">
        <v>-580.50000000000023</v>
      </c>
    </row>
    <row r="23" spans="1:17" x14ac:dyDescent="0.4">
      <c r="A23" s="55" t="s">
        <v>5</v>
      </c>
      <c r="B23" s="51">
        <f>IF(B$17=0,0,C23/B$17)</f>
        <v>8912.9870129870123</v>
      </c>
      <c r="C23" s="41">
        <v>1372600</v>
      </c>
      <c r="E23" s="63" t="s">
        <v>93</v>
      </c>
      <c r="F23" s="60" t="s">
        <v>48</v>
      </c>
      <c r="G23" s="47">
        <v>1</v>
      </c>
      <c r="H23" s="133">
        <f>IF(B$17=0,0,G23/B$17)</f>
        <v>6.4935064935064939E-3</v>
      </c>
      <c r="I23" s="94">
        <v>2</v>
      </c>
      <c r="K23" s="38">
        <v>21</v>
      </c>
      <c r="L23" s="99">
        <v>-188.60000000000002</v>
      </c>
      <c r="N23" s="115" t="s">
        <v>183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-7568</v>
      </c>
      <c r="C24" s="45">
        <v>-567600</v>
      </c>
      <c r="E24" s="63" t="s">
        <v>94</v>
      </c>
      <c r="F24" s="60" t="s">
        <v>49</v>
      </c>
      <c r="G24" s="47">
        <v>1</v>
      </c>
      <c r="H24" s="133">
        <f>IF(B$17=0,0,G24/B$17)</f>
        <v>6.4935064935064939E-3</v>
      </c>
      <c r="I24" s="94">
        <v>2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102</v>
      </c>
      <c r="F25" s="60" t="s">
        <v>57</v>
      </c>
      <c r="G25" s="47">
        <v>1</v>
      </c>
      <c r="H25" s="133">
        <f>IF(B$17=0,0,G25/B$17)</f>
        <v>6.4935064935064939E-3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74</v>
      </c>
      <c r="F26" s="60" t="s">
        <v>29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5.9642147117296221E-3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-151.5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295</v>
      </c>
    </row>
    <row r="63" spans="5:12" x14ac:dyDescent="0.4">
      <c r="K63" s="38">
        <v>61</v>
      </c>
      <c r="L63" s="99">
        <v>359.4</v>
      </c>
    </row>
    <row r="64" spans="5:12" x14ac:dyDescent="0.4">
      <c r="K64" s="38">
        <v>62</v>
      </c>
      <c r="L64" s="99">
        <v>347.5</v>
      </c>
    </row>
    <row r="65" spans="11:12" x14ac:dyDescent="0.4">
      <c r="K65" s="38">
        <v>63</v>
      </c>
      <c r="L65" s="99">
        <v>345.6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11984-961B-4F6A-9AF9-2C8AAB3A280A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2</v>
      </c>
      <c r="H51" s="140">
        <f>IF(B$17=0,0,G51/B$17)</f>
        <v>0.4</v>
      </c>
      <c r="I51" s="141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81428-ABAF-4D30-BF60-9737845D026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</v>
      </c>
      <c r="C2" s="151"/>
      <c r="E2" s="62" t="s">
        <v>65</v>
      </c>
      <c r="F2" s="59" t="s">
        <v>21</v>
      </c>
      <c r="G2" s="46">
        <v>20</v>
      </c>
      <c r="H2" s="132">
        <f>IF(B$17=0,0,G2/B$17)</f>
        <v>0.55555555555555558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-106.66666666666667</v>
      </c>
      <c r="P2" s="118">
        <v>15</v>
      </c>
      <c r="Q2" s="102">
        <v>-1600</v>
      </c>
    </row>
    <row r="3" spans="1:17" x14ac:dyDescent="0.4">
      <c r="A3" s="55" t="s">
        <v>8</v>
      </c>
      <c r="B3" s="152">
        <v>126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2.7777777777777776E-2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-820</v>
      </c>
      <c r="P3" s="119">
        <v>15</v>
      </c>
      <c r="Q3" s="103">
        <v>-12300</v>
      </c>
    </row>
    <row r="4" spans="1:17" x14ac:dyDescent="0.4">
      <c r="A4" s="55" t="s">
        <v>6</v>
      </c>
      <c r="B4" s="154">
        <v>-85.399999999999991</v>
      </c>
      <c r="C4" s="155"/>
      <c r="E4" s="63" t="s">
        <v>67</v>
      </c>
      <c r="F4" s="60" t="s">
        <v>23</v>
      </c>
      <c r="G4" s="47">
        <v>29</v>
      </c>
      <c r="H4" s="133">
        <f>IF(B$17=0,0,G4/B$17)</f>
        <v>0.80555555555555558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1273.3333333333333</v>
      </c>
      <c r="P4" s="119">
        <v>15</v>
      </c>
      <c r="Q4" s="103">
        <v>19100</v>
      </c>
    </row>
    <row r="5" spans="1:17" x14ac:dyDescent="0.4">
      <c r="A5" s="55" t="s">
        <v>7</v>
      </c>
      <c r="B5" s="156">
        <f>IF(B$2=0,0,B$4/B$2)</f>
        <v>-5.6933333333333325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0.19444444444444445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-4364.2857142857147</v>
      </c>
      <c r="P5" s="119">
        <v>14</v>
      </c>
      <c r="Q5" s="103">
        <v>-61100</v>
      </c>
    </row>
    <row r="6" spans="1:17" x14ac:dyDescent="0.4">
      <c r="A6" s="55" t="s">
        <v>1</v>
      </c>
      <c r="B6" s="146">
        <f>IF(B$2=0,0,(B$7*1+B$8*2+B$9*3)/B$2)</f>
        <v>2.0666666666666669</v>
      </c>
      <c r="C6" s="147"/>
      <c r="E6" s="63" t="s">
        <v>69</v>
      </c>
      <c r="F6" s="60" t="s">
        <v>12</v>
      </c>
      <c r="G6" s="47">
        <v>12</v>
      </c>
      <c r="H6" s="133">
        <f>IF(B$17=0,0,G6/B$17)</f>
        <v>0.33333333333333331</v>
      </c>
      <c r="I6" s="94">
        <v>7</v>
      </c>
      <c r="K6" s="38">
        <v>4</v>
      </c>
      <c r="L6" s="99">
        <v>-49.800000000000004</v>
      </c>
      <c r="N6" s="115" t="s">
        <v>136</v>
      </c>
      <c r="O6" s="122">
        <f t="shared" si="0"/>
        <v>2485.7142857142858</v>
      </c>
      <c r="P6" s="119">
        <v>14</v>
      </c>
      <c r="Q6" s="103">
        <v>34800</v>
      </c>
    </row>
    <row r="7" spans="1:17" x14ac:dyDescent="0.4">
      <c r="A7" s="55" t="s">
        <v>2</v>
      </c>
      <c r="B7" s="47">
        <v>6</v>
      </c>
      <c r="C7" s="39">
        <f>IF(B$2=0,0,B7/B$2)</f>
        <v>0.4</v>
      </c>
      <c r="E7" s="63" t="s">
        <v>70</v>
      </c>
      <c r="F7" s="60" t="s">
        <v>25</v>
      </c>
      <c r="G7" s="47">
        <v>7</v>
      </c>
      <c r="H7" s="133">
        <f>IF(B$17=0,0,G7/B$17)</f>
        <v>0.19444444444444445</v>
      </c>
      <c r="I7" s="94">
        <v>5</v>
      </c>
      <c r="K7" s="38">
        <v>5</v>
      </c>
      <c r="L7" s="99">
        <v>-121</v>
      </c>
      <c r="N7" s="116" t="s">
        <v>137</v>
      </c>
      <c r="O7" s="123">
        <f t="shared" si="0"/>
        <v>-3407.6923076923076</v>
      </c>
      <c r="P7" s="120">
        <v>13</v>
      </c>
      <c r="Q7" s="104">
        <v>-44300</v>
      </c>
    </row>
    <row r="8" spans="1:17" x14ac:dyDescent="0.4">
      <c r="A8" s="55" t="s">
        <v>3</v>
      </c>
      <c r="B8" s="47">
        <v>2</v>
      </c>
      <c r="C8" s="39">
        <f>IF(B$2=0,0,B8/B$2)</f>
        <v>0.13333333333333333</v>
      </c>
      <c r="E8" s="63" t="s">
        <v>71</v>
      </c>
      <c r="F8" s="60" t="s">
        <v>26</v>
      </c>
      <c r="G8" s="47">
        <v>5</v>
      </c>
      <c r="H8" s="133">
        <f>IF(B$17=0,0,G8/B$17)</f>
        <v>0.1388888888888889</v>
      </c>
      <c r="I8" s="94">
        <v>2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72</v>
      </c>
      <c r="F9" s="60" t="s">
        <v>27</v>
      </c>
      <c r="G9" s="47">
        <v>2</v>
      </c>
      <c r="H9" s="133">
        <f>IF(B$17=0,0,G9/B$17)</f>
        <v>5.5555555555555552E-2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0.13333333333333333</v>
      </c>
      <c r="E10" s="63" t="s">
        <v>73</v>
      </c>
      <c r="F10" s="60" t="s">
        <v>28</v>
      </c>
      <c r="G10" s="47">
        <v>21</v>
      </c>
      <c r="H10" s="133">
        <f>IF(B$17=0,0,G10/B$17)</f>
        <v>0.58333333333333337</v>
      </c>
      <c r="I10" s="94">
        <v>4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2.7777777777777776E-2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-3.2200000000000015</v>
      </c>
      <c r="P11" s="119">
        <v>5</v>
      </c>
      <c r="Q11" s="107">
        <v>-16.100000000000009</v>
      </c>
    </row>
    <row r="12" spans="1:17" x14ac:dyDescent="0.4">
      <c r="A12" s="57" t="s">
        <v>160</v>
      </c>
      <c r="B12" s="49">
        <v>1</v>
      </c>
      <c r="C12" s="42">
        <f>IF(B$2=0,0,B12/B$2)</f>
        <v>6.6666666666666666E-2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29</v>
      </c>
      <c r="C13" s="44">
        <f>IF(B$3=0,0,B13/B$3)</f>
        <v>0.23015873015873015</v>
      </c>
      <c r="E13" s="63" t="s">
        <v>76</v>
      </c>
      <c r="F13" s="60" t="s">
        <v>31</v>
      </c>
      <c r="G13" s="47">
        <v>1</v>
      </c>
      <c r="H13" s="133">
        <f>IF(B$17=0,0,G13/B$17)</f>
        <v>2.7777777777777776E-2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27</v>
      </c>
      <c r="C14" s="39">
        <f>IF(B$3=0,0,B14/B$3)</f>
        <v>0.21428571428571427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</v>
      </c>
      <c r="C15" s="37">
        <f>IF(B$13=0,0,B15/B$13)</f>
        <v>0.68965517241379315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64</v>
      </c>
      <c r="P15" s="118">
        <v>4</v>
      </c>
      <c r="Q15" s="106">
        <v>256</v>
      </c>
    </row>
    <row r="16" spans="1:17" x14ac:dyDescent="0.4">
      <c r="A16" s="54" t="s">
        <v>125</v>
      </c>
      <c r="B16" s="46">
        <v>12</v>
      </c>
      <c r="C16" s="37">
        <f>IF(B$14=0,0,B16/B$14)</f>
        <v>0.44444444444444442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127</v>
      </c>
      <c r="O16" s="125">
        <f t="shared" si="2"/>
        <v>-12.140000000000004</v>
      </c>
      <c r="P16" s="119">
        <v>10</v>
      </c>
      <c r="Q16" s="107">
        <v>-121.40000000000005</v>
      </c>
    </row>
    <row r="17" spans="1:17" x14ac:dyDescent="0.4">
      <c r="A17" s="54" t="s">
        <v>10</v>
      </c>
      <c r="B17" s="46">
        <f>B19+B18</f>
        <v>36</v>
      </c>
      <c r="C17" s="37">
        <f>IF(B$3=0,0,B17/B$3)</f>
        <v>0.2857142857142857</v>
      </c>
      <c r="E17" s="63" t="s">
        <v>80</v>
      </c>
      <c r="F17" s="60" t="s">
        <v>35</v>
      </c>
      <c r="G17" s="47">
        <v>2</v>
      </c>
      <c r="H17" s="133">
        <f>IF(B$17=0,0,G17/B$17)</f>
        <v>5.5555555555555552E-2</v>
      </c>
      <c r="I17" s="94">
        <v>1</v>
      </c>
      <c r="K17" s="38">
        <v>15</v>
      </c>
      <c r="L17" s="99">
        <v>-85.399999999999991</v>
      </c>
      <c r="N17" s="115" t="s">
        <v>172</v>
      </c>
      <c r="O17" s="125">
        <f t="shared" si="2"/>
        <v>-17.350000000000001</v>
      </c>
      <c r="P17" s="119">
        <v>2</v>
      </c>
      <c r="Q17" s="107">
        <v>-34.700000000000003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18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2.7777777777777776E-2</v>
      </c>
      <c r="I19" s="94">
        <v>7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27</v>
      </c>
      <c r="C20" s="39">
        <f>IF(B$3=0,0,B20/B$3)</f>
        <v>0.21428571428571427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0.1111111111111111</v>
      </c>
      <c r="I21" s="94">
        <v>2</v>
      </c>
      <c r="N21" s="115" t="s">
        <v>183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192</v>
      </c>
      <c r="B22" s="47">
        <v>17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8300</v>
      </c>
      <c r="C23" s="41">
        <v>298800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-8092.5925925925922</v>
      </c>
      <c r="C24" s="45">
        <v>-218500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68300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0.1388888888888889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2.7777777777777776E-2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13</v>
      </c>
      <c r="H51" s="140">
        <f>IF(B$17=0,0,G51/B$17)</f>
        <v>0.3611111111111111</v>
      </c>
      <c r="I51" s="141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486A-1E85-4CD9-92DE-7E0F8823777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</v>
      </c>
      <c r="C2" s="151"/>
      <c r="E2" s="62" t="s">
        <v>65</v>
      </c>
      <c r="F2" s="59" t="s">
        <v>21</v>
      </c>
      <c r="G2" s="46">
        <v>14</v>
      </c>
      <c r="H2" s="132">
        <f>IF(B$17=0,0,G2/B$17)</f>
        <v>0.48275862068965519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6.8965517241379309E-2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0.55172413793103448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1.8099999999999994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0.31034482758620691</v>
      </c>
      <c r="I5" s="94">
        <v>8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</v>
      </c>
      <c r="C6" s="147"/>
      <c r="E6" s="63" t="s">
        <v>69</v>
      </c>
      <c r="F6" s="60" t="s">
        <v>12</v>
      </c>
      <c r="G6" s="47">
        <v>11</v>
      </c>
      <c r="H6" s="133">
        <f>IF(B$17=0,0,G6/B$17)</f>
        <v>0.37931034482758619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70</v>
      </c>
      <c r="F7" s="60" t="s">
        <v>25</v>
      </c>
      <c r="G7" s="47">
        <v>5</v>
      </c>
      <c r="H7" s="133">
        <f>IF(B$17=0,0,G7/B$17)</f>
        <v>0.17241379310344829</v>
      </c>
      <c r="I7" s="94">
        <v>8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19</v>
      </c>
      <c r="H10" s="133">
        <f>IF(B$17=0,0,G10/B$17)</f>
        <v>0.65517241379310343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2.5749999999999993</v>
      </c>
      <c r="P10" s="118">
        <v>4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18.099999999999994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2</v>
      </c>
      <c r="H16" s="133">
        <f>IF(B$17=0,0,G16/B$17)</f>
        <v>6.8965517241379309E-2</v>
      </c>
      <c r="I16" s="94">
        <v>2</v>
      </c>
      <c r="N16" s="115" t="s">
        <v>171</v>
      </c>
      <c r="O16" s="125">
        <f t="shared" si="2"/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80</v>
      </c>
      <c r="F17" s="60" t="s">
        <v>35</v>
      </c>
      <c r="G17" s="47">
        <v>1</v>
      </c>
      <c r="H17" s="133">
        <f>IF(B$17=0,0,G17/B$17)</f>
        <v>3.4482758620689655E-2</v>
      </c>
      <c r="I17" s="94">
        <v>2</v>
      </c>
      <c r="N17" s="115" t="s">
        <v>127</v>
      </c>
      <c r="O17" s="125">
        <f t="shared" si="2"/>
        <v>8.9666666666666668</v>
      </c>
      <c r="P17" s="119">
        <v>3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-26.1</v>
      </c>
      <c r="P20" s="119">
        <v>5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3.4482758620689655E-2</v>
      </c>
      <c r="I21" s="94">
        <v>10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87</v>
      </c>
      <c r="F24" s="60" t="s">
        <v>42</v>
      </c>
      <c r="G24" s="47">
        <v>3</v>
      </c>
      <c r="H24" s="133">
        <f>IF(B$17=0,0,G24/B$17)</f>
        <v>0.10344827586206896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54800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0.13793103448275862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9</v>
      </c>
      <c r="H51" s="140">
        <f>IF(B$17=0,0,G51/B$17)</f>
        <v>0.31034482758620691</v>
      </c>
      <c r="I51" s="141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4053-E633-45EA-BCE3-5F7BEF1CD416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0.5</v>
      </c>
      <c r="I51" s="141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33E82-91D5-494C-AC3C-82E94060075A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47300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0.2</v>
      </c>
      <c r="I51" s="141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9A1A-11EB-4D4D-9C13-BFB0CB4A1C02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C584-75BA-4460-B6D3-3C88ABBA198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421F-71A8-4330-B42A-F7FE309C5BA6}">
  <sheetPr codeName="Sheet26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18.099999999999994</v>
      </c>
      <c r="C13" s="66">
        <v>1.8099999999999994</v>
      </c>
      <c r="D13" s="71">
        <v>1.8</v>
      </c>
      <c r="E13" s="67">
        <v>0.3</v>
      </c>
      <c r="F13" s="67">
        <v>0.1</v>
      </c>
      <c r="G13" s="67">
        <v>0.3411764705882353</v>
      </c>
      <c r="H13" s="67">
        <v>0.16470588235294117</v>
      </c>
      <c r="I13" s="68">
        <v>6765.5172413793107</v>
      </c>
      <c r="J13" s="68">
        <v>-6378.5714285714284</v>
      </c>
      <c r="K13" s="67">
        <v>0</v>
      </c>
      <c r="L13" s="67">
        <v>0</v>
      </c>
      <c r="M13" s="67">
        <v>0.23529411764705882</v>
      </c>
      <c r="N13" s="67">
        <v>0.29411764705882354</v>
      </c>
      <c r="O13" s="67">
        <v>0.7</v>
      </c>
      <c r="P13" s="67">
        <v>0.48</v>
      </c>
      <c r="Q13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D3DE-EAB2-418C-B5AB-C3CC1E224B1A}">
  <sheetPr codeName="Sheet24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-85.399999999999991</v>
      </c>
      <c r="C18" s="66">
        <v>-5.6933333333333325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481CA-656B-4ABC-8423-4EFD906EF00F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A96D8-CA80-4D9E-B28F-2A29C742664F}">
  <sheetPr codeName="Sheet20"/>
  <dimension ref="A1:Q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295</v>
      </c>
      <c r="C63" s="66">
        <v>4.916666666666667</v>
      </c>
      <c r="D63" s="71">
        <v>1.8666666666666667</v>
      </c>
      <c r="E63" s="67">
        <v>0.41666666666666669</v>
      </c>
      <c r="F63" s="67">
        <v>0.28333333333333333</v>
      </c>
      <c r="G63" s="67">
        <v>0.30721649484536084</v>
      </c>
      <c r="H63" s="67">
        <v>0.15257731958762888</v>
      </c>
      <c r="I63" s="68">
        <v>8833.5570469798658</v>
      </c>
      <c r="J63" s="68">
        <v>-7635.135135135135</v>
      </c>
      <c r="K63" s="67">
        <v>0.15</v>
      </c>
      <c r="L63" s="67">
        <v>0.13333333333333333</v>
      </c>
      <c r="M63" s="67">
        <v>0.2907216494845361</v>
      </c>
      <c r="N63" s="67">
        <v>0.18144329896907216</v>
      </c>
      <c r="O63" s="67">
        <v>0.65957446808510634</v>
      </c>
      <c r="P63" s="67">
        <v>0.375</v>
      </c>
      <c r="Q63" s="67">
        <v>0.44295302013422821</v>
      </c>
    </row>
    <row r="64" spans="1:17" x14ac:dyDescent="0.4">
      <c r="A64" s="69">
        <v>61</v>
      </c>
      <c r="B64" s="66">
        <v>359.4</v>
      </c>
      <c r="C64" s="66">
        <v>5.8918032786885242</v>
      </c>
      <c r="D64" s="71">
        <v>1.8524590163934427</v>
      </c>
      <c r="E64" s="67">
        <v>0.42622950819672129</v>
      </c>
      <c r="F64" s="67">
        <v>0.27868852459016391</v>
      </c>
      <c r="G64" s="67">
        <v>0.30894308943089432</v>
      </c>
      <c r="H64" s="67">
        <v>0.15040650406504066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0.29065040650406504</v>
      </c>
      <c r="N64" s="67">
        <v>0.17886178861788618</v>
      </c>
      <c r="O64" s="67">
        <v>0.65734265734265729</v>
      </c>
      <c r="P64" s="67">
        <v>0.375</v>
      </c>
      <c r="Q64" s="67">
        <v>0.44736842105263158</v>
      </c>
    </row>
    <row r="65" spans="1:17" x14ac:dyDescent="0.4">
      <c r="A65" s="69">
        <v>62</v>
      </c>
      <c r="B65" s="66">
        <v>347.5</v>
      </c>
      <c r="C65" s="66">
        <v>5.604838709677419</v>
      </c>
      <c r="D65" s="71">
        <v>1.8548387096774193</v>
      </c>
      <c r="E65" s="67">
        <v>0.41935483870967744</v>
      </c>
      <c r="F65" s="67">
        <v>0.27419354838709675</v>
      </c>
      <c r="G65" s="67">
        <v>0.30645161290322581</v>
      </c>
      <c r="H65" s="67">
        <v>0.14919354838709678</v>
      </c>
      <c r="I65" s="68">
        <v>8948.0263157894733</v>
      </c>
      <c r="J65" s="68">
        <v>-7635.135135135135</v>
      </c>
      <c r="K65" s="67">
        <v>0.14516129032258066</v>
      </c>
      <c r="L65" s="67">
        <v>0.14516129032258066</v>
      </c>
      <c r="M65" s="67">
        <v>0.29032258064516131</v>
      </c>
      <c r="N65" s="67">
        <v>0.18145161290322581</v>
      </c>
      <c r="O65" s="67">
        <v>0.65277777777777779</v>
      </c>
      <c r="P65" s="67">
        <v>0.36666666666666664</v>
      </c>
      <c r="Q65" s="67">
        <v>0.44736842105263158</v>
      </c>
    </row>
    <row r="66" spans="1:17" x14ac:dyDescent="0.4">
      <c r="A66" s="69">
        <v>63</v>
      </c>
      <c r="B66" s="66">
        <v>345.6</v>
      </c>
      <c r="C66" s="66">
        <v>5.4857142857142858</v>
      </c>
      <c r="D66" s="71">
        <v>1.8571428571428572</v>
      </c>
      <c r="E66" s="67">
        <v>0.41269841269841268</v>
      </c>
      <c r="F66" s="67">
        <v>0.26984126984126983</v>
      </c>
      <c r="G66" s="67">
        <v>0.3061630218687873</v>
      </c>
      <c r="H66" s="67">
        <v>0.14910536779324055</v>
      </c>
      <c r="I66" s="68">
        <v>8912.9870129870123</v>
      </c>
      <c r="J66" s="68">
        <v>-7568</v>
      </c>
      <c r="K66" s="67">
        <v>0.14285714285714285</v>
      </c>
      <c r="L66" s="67">
        <v>0.14285714285714285</v>
      </c>
      <c r="M66" s="67">
        <v>0.2922465208747515</v>
      </c>
      <c r="N66" s="67">
        <v>0.17892644135188868</v>
      </c>
      <c r="O66" s="67">
        <v>0.65306122448979587</v>
      </c>
      <c r="P66" s="67">
        <v>0.36666666666666664</v>
      </c>
      <c r="Q66" s="67">
        <v>0.44805194805194803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E3A4-0A6C-44E2-AD8B-3FE3F455F42F}">
  <sheetPr codeName="Sheet18"/>
  <dimension ref="A1:Q4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FE53-43B9-46DF-BA3A-2E05AF4A0C75}">
  <sheetPr codeName="Sheet16"/>
  <dimension ref="A1:Q7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90D4-F851-4055-A23C-61016B8A87CD}">
  <sheetPr codeName="Sheet14"/>
  <dimension ref="A1:Q9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FB072-025A-40A9-89CB-D0676B3EF31C}">
  <sheetPr codeName="Sheet12"/>
  <dimension ref="A1:Q9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ABBFD-DEFF-4D3D-87BB-17440BF2CCB3}">
  <sheetPr codeName="Sheet10"/>
  <dimension ref="A1:Q12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8177C-30AE-496B-863A-4FC58CDF78AC}">
  <sheetPr codeName="Sheet8"/>
  <dimension ref="A1:Q15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1767.0000000000009</v>
      </c>
      <c r="C150" s="66">
        <v>12.020408163265312</v>
      </c>
      <c r="D150" s="71">
        <v>1.7414965986394557</v>
      </c>
      <c r="E150" s="67">
        <v>0.48979591836734693</v>
      </c>
      <c r="F150" s="67">
        <v>0.23129251700680273</v>
      </c>
      <c r="G150" s="67">
        <v>0.34670008354218879</v>
      </c>
      <c r="H150" s="67">
        <v>0.16040100250626566</v>
      </c>
      <c r="I150" s="68">
        <v>9091.0843373493972</v>
      </c>
      <c r="J150" s="68">
        <v>-8247.9166666666661</v>
      </c>
      <c r="K150" s="67">
        <v>0.10204081632653061</v>
      </c>
      <c r="L150" s="67">
        <v>0.17006802721088435</v>
      </c>
      <c r="M150" s="67">
        <v>0.31244778613199664</v>
      </c>
      <c r="N150" s="67">
        <v>0.21888053467000834</v>
      </c>
      <c r="O150" s="67">
        <v>0.57486631016042777</v>
      </c>
      <c r="P150" s="67">
        <v>0.51908396946564883</v>
      </c>
      <c r="Q150" s="67">
        <v>0.40963855421686746</v>
      </c>
    </row>
    <row r="151" spans="1:17" x14ac:dyDescent="0.4">
      <c r="A151" s="69">
        <v>148</v>
      </c>
      <c r="B151" s="66">
        <v>1763.5000000000009</v>
      </c>
      <c r="C151" s="66">
        <v>11.915540540540547</v>
      </c>
      <c r="D151" s="71">
        <v>1.7432432432432432</v>
      </c>
      <c r="E151" s="67">
        <v>0.48648648648648651</v>
      </c>
      <c r="F151" s="67">
        <v>0.22972972972972974</v>
      </c>
      <c r="G151" s="67">
        <v>0.34551495016611294</v>
      </c>
      <c r="H151" s="67">
        <v>0.15946843853820597</v>
      </c>
      <c r="I151" s="68">
        <v>9088.461538461539</v>
      </c>
      <c r="J151" s="68">
        <v>-8247.9166666666661</v>
      </c>
      <c r="K151" s="67">
        <v>0.10135135135135136</v>
      </c>
      <c r="L151" s="67">
        <v>0.16891891891891891</v>
      </c>
      <c r="M151" s="67">
        <v>0.31146179401993357</v>
      </c>
      <c r="N151" s="67">
        <v>0.22009966777408638</v>
      </c>
      <c r="O151" s="67">
        <v>0.57333333333333336</v>
      </c>
      <c r="P151" s="67">
        <v>0.51698113207547169</v>
      </c>
      <c r="Q151" s="67">
        <v>0.40865384615384615</v>
      </c>
    </row>
    <row r="152" spans="1:17" x14ac:dyDescent="0.4">
      <c r="A152" s="69">
        <v>149</v>
      </c>
      <c r="B152" s="66">
        <v>1727.1000000000008</v>
      </c>
      <c r="C152" s="66">
        <v>11.591275167785241</v>
      </c>
      <c r="D152" s="71">
        <v>1.7516778523489933</v>
      </c>
      <c r="E152" s="67">
        <v>0.48322147651006714</v>
      </c>
      <c r="F152" s="67">
        <v>0.2348993288590604</v>
      </c>
      <c r="G152" s="67">
        <v>0.34349258649093906</v>
      </c>
      <c r="H152" s="67">
        <v>0.15980230642504117</v>
      </c>
      <c r="I152" s="68">
        <v>9085.851318944844</v>
      </c>
      <c r="J152" s="68">
        <v>-8265.4639175257726</v>
      </c>
      <c r="K152" s="67">
        <v>0.10067114093959731</v>
      </c>
      <c r="L152" s="67">
        <v>0.16778523489932887</v>
      </c>
      <c r="M152" s="67">
        <v>0.30971993410214166</v>
      </c>
      <c r="N152" s="67">
        <v>0.21993410214168038</v>
      </c>
      <c r="O152" s="67">
        <v>0.57180851063829785</v>
      </c>
      <c r="P152" s="67">
        <v>0.5168539325842697</v>
      </c>
      <c r="Q152" s="67">
        <v>0.407673860911271</v>
      </c>
    </row>
    <row r="153" spans="1:17" x14ac:dyDescent="0.4">
      <c r="A153" s="69">
        <v>150</v>
      </c>
      <c r="B153" s="66">
        <v>1744.7000000000007</v>
      </c>
      <c r="C153" s="66">
        <v>11.631333333333338</v>
      </c>
      <c r="D153" s="71">
        <v>1.7533333333333334</v>
      </c>
      <c r="E153" s="67">
        <v>0.48</v>
      </c>
      <c r="F153" s="67">
        <v>0.23333333333333334</v>
      </c>
      <c r="G153" s="67">
        <v>0.34369885433715219</v>
      </c>
      <c r="H153" s="67">
        <v>0.15875613747954173</v>
      </c>
      <c r="I153" s="68">
        <v>9075.9523809523816</v>
      </c>
      <c r="J153" s="68">
        <v>-8265.4639175257726</v>
      </c>
      <c r="K153" s="67">
        <v>0.1</v>
      </c>
      <c r="L153" s="67">
        <v>0.16666666666666666</v>
      </c>
      <c r="M153" s="67">
        <v>0.31014729950900166</v>
      </c>
      <c r="N153" s="67">
        <v>0.21931260229132571</v>
      </c>
      <c r="O153" s="67">
        <v>0.57519788918205805</v>
      </c>
      <c r="P153" s="67">
        <v>0.5149253731343284</v>
      </c>
      <c r="Q153" s="67">
        <v>0.40714285714285714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25B43-A7D3-4905-9FA2-B6BE087D125A}">
  <sheetPr codeName="Sheet6"/>
  <dimension ref="A1:Q22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-1.0000000000000213</v>
      </c>
      <c r="C219" s="66">
        <v>-1.5432098765432428E-3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-1.0000000000000213</v>
      </c>
      <c r="C220" s="66">
        <v>-1.5360983102918914E-3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-1.0000000000000213</v>
      </c>
      <c r="C221" s="66">
        <v>-1.5290519877676166E-3</v>
      </c>
      <c r="D221" s="71">
        <v>1.9954128440366972</v>
      </c>
      <c r="E221" s="67">
        <v>0.3363914373088685</v>
      </c>
      <c r="F221" s="67">
        <v>0.33180428134556578</v>
      </c>
      <c r="G221" s="67">
        <v>0.29922992299229922</v>
      </c>
      <c r="H221" s="67">
        <v>0.16813348001466813</v>
      </c>
      <c r="I221" s="68">
        <v>8627.6348039215682</v>
      </c>
      <c r="J221" s="68">
        <v>-8286.0414394765539</v>
      </c>
      <c r="K221" s="67">
        <v>0.11467889908256881</v>
      </c>
      <c r="L221" s="67">
        <v>0.11467889908256881</v>
      </c>
      <c r="M221" s="67">
        <v>0.28034470113678034</v>
      </c>
      <c r="N221" s="67">
        <v>0.20737073707370737</v>
      </c>
      <c r="O221" s="67">
        <v>0.57750163505559193</v>
      </c>
      <c r="P221" s="67">
        <v>0.39434129089301501</v>
      </c>
      <c r="Q221" s="67">
        <v>0.43198529411764708</v>
      </c>
    </row>
    <row r="222" spans="1:17" x14ac:dyDescent="0.4">
      <c r="A222" s="69">
        <v>219</v>
      </c>
      <c r="B222" s="66">
        <v>-1.0000000000000142</v>
      </c>
      <c r="C222" s="66">
        <v>-1.5220700152207218E-3</v>
      </c>
      <c r="D222" s="71">
        <v>1.995433789954338</v>
      </c>
      <c r="E222" s="67">
        <v>0.33637747336377471</v>
      </c>
      <c r="F222" s="67">
        <v>0.33181126331811261</v>
      </c>
      <c r="G222" s="67">
        <v>0.29881278538812783</v>
      </c>
      <c r="H222" s="67">
        <v>0.16785388127853881</v>
      </c>
      <c r="I222" s="68">
        <v>8638.2640586797061</v>
      </c>
      <c r="J222" s="68">
        <v>-8280.9575625680081</v>
      </c>
      <c r="K222" s="67">
        <v>0.11567732115677321</v>
      </c>
      <c r="L222" s="67">
        <v>0.11567732115677321</v>
      </c>
      <c r="M222" s="67">
        <v>0.2798173515981735</v>
      </c>
      <c r="N222" s="67">
        <v>0.20767123287671233</v>
      </c>
      <c r="O222" s="67">
        <v>0.57702349869451697</v>
      </c>
      <c r="P222" s="67">
        <v>0.39313984168865435</v>
      </c>
      <c r="Q222" s="67">
        <v>0.43215158924205377</v>
      </c>
    </row>
    <row r="223" spans="1:17" x14ac:dyDescent="0.4">
      <c r="A223" s="69">
        <v>220</v>
      </c>
      <c r="B223" s="66">
        <v>-1.0000000000000142</v>
      </c>
      <c r="C223" s="66">
        <v>-1.5151515151515366E-3</v>
      </c>
      <c r="D223" s="71">
        <v>1.9954545454545454</v>
      </c>
      <c r="E223" s="67">
        <v>0.33636363636363636</v>
      </c>
      <c r="F223" s="67">
        <v>0.33181818181818185</v>
      </c>
      <c r="G223" s="67">
        <v>0.29888828139238199</v>
      </c>
      <c r="H223" s="67">
        <v>0.16785128485511208</v>
      </c>
      <c r="I223" s="68">
        <v>8643.9024390243903</v>
      </c>
      <c r="J223" s="68">
        <v>-8289.0336590662318</v>
      </c>
      <c r="K223" s="67">
        <v>0.11666666666666667</v>
      </c>
      <c r="L223" s="67">
        <v>0.11666666666666667</v>
      </c>
      <c r="M223" s="67">
        <v>0.27956989247311825</v>
      </c>
      <c r="N223" s="67">
        <v>0.20794605431018773</v>
      </c>
      <c r="O223" s="67">
        <v>0.57692307692307687</v>
      </c>
      <c r="P223" s="67">
        <v>0.39351446099912357</v>
      </c>
      <c r="Q223" s="67">
        <v>0.4323170731707317</v>
      </c>
    </row>
    <row r="224" spans="1:17" x14ac:dyDescent="0.4">
      <c r="A224" s="69">
        <v>221</v>
      </c>
      <c r="B224" s="66">
        <v>-1.0000000000000142</v>
      </c>
      <c r="C224" s="66">
        <v>-1.5082956259427063E-3</v>
      </c>
      <c r="D224" s="71">
        <v>1.995475113122172</v>
      </c>
      <c r="E224" s="67">
        <v>0.33634992458521873</v>
      </c>
      <c r="F224" s="67">
        <v>0.33182503770739064</v>
      </c>
      <c r="G224" s="67">
        <v>0.29853181076672103</v>
      </c>
      <c r="H224" s="67">
        <v>0.16802610114192496</v>
      </c>
      <c r="I224" s="68">
        <v>8648.7553126897383</v>
      </c>
      <c r="J224" s="68">
        <v>-8289.8597626752962</v>
      </c>
      <c r="K224" s="67">
        <v>0.11613876319758673</v>
      </c>
      <c r="L224" s="67">
        <v>0.11613876319758673</v>
      </c>
      <c r="M224" s="67">
        <v>0.27949972811310497</v>
      </c>
      <c r="N224" s="67">
        <v>0.20790284574950155</v>
      </c>
      <c r="O224" s="67">
        <v>0.57652399481193251</v>
      </c>
      <c r="P224" s="67">
        <v>0.39319965126416739</v>
      </c>
      <c r="Q224" s="67">
        <v>0.43108682452944747</v>
      </c>
    </row>
    <row r="225" spans="1:17" x14ac:dyDescent="0.4">
      <c r="A225" s="69">
        <v>222</v>
      </c>
      <c r="B225" s="66">
        <v>-1.0000000000000142</v>
      </c>
      <c r="C225" s="66">
        <v>-1.5015015015015227E-3</v>
      </c>
      <c r="D225" s="71">
        <v>1.9954954954954955</v>
      </c>
      <c r="E225" s="67">
        <v>0.33633633633633636</v>
      </c>
      <c r="F225" s="67">
        <v>0.33183183183183185</v>
      </c>
      <c r="G225" s="67">
        <v>0.29850207543764662</v>
      </c>
      <c r="H225" s="67">
        <v>0.16802021295794983</v>
      </c>
      <c r="I225" s="68">
        <v>8644.256348246674</v>
      </c>
      <c r="J225" s="68">
        <v>-8281.2030075187977</v>
      </c>
      <c r="K225" s="67">
        <v>0.11711711711711711</v>
      </c>
      <c r="L225" s="67">
        <v>0.11711711711711711</v>
      </c>
      <c r="M225" s="67">
        <v>0.27937195452084462</v>
      </c>
      <c r="N225" s="67">
        <v>0.20736329182458041</v>
      </c>
      <c r="O225" s="67">
        <v>0.57816537467700257</v>
      </c>
      <c r="P225" s="67">
        <v>0.39251523063533506</v>
      </c>
      <c r="Q225" s="67">
        <v>0.43107617896009676</v>
      </c>
    </row>
    <row r="226" spans="1:17" x14ac:dyDescent="0.4">
      <c r="A226" s="69">
        <v>223</v>
      </c>
      <c r="B226" s="66">
        <v>-1.0000000000000071</v>
      </c>
      <c r="C226" s="66">
        <v>-1.4947683109118193E-3</v>
      </c>
      <c r="D226" s="71">
        <v>1.9955156950672646</v>
      </c>
      <c r="E226" s="67">
        <v>0.33632286995515698</v>
      </c>
      <c r="F226" s="67">
        <v>0.33183856502242154</v>
      </c>
      <c r="G226" s="67">
        <v>0.29863358504135201</v>
      </c>
      <c r="H226" s="67">
        <v>0.16792520676015821</v>
      </c>
      <c r="I226" s="68">
        <v>8631.246237206502</v>
      </c>
      <c r="J226" s="68">
        <v>-8268.0942184154173</v>
      </c>
      <c r="K226" s="67">
        <v>0.11659192825112108</v>
      </c>
      <c r="L226" s="67">
        <v>0.11659192825112108</v>
      </c>
      <c r="M226" s="67">
        <v>0.27957569219705142</v>
      </c>
      <c r="N226" s="67">
        <v>0.20693994965839627</v>
      </c>
      <c r="O226" s="67">
        <v>0.5787781350482315</v>
      </c>
      <c r="P226" s="67">
        <v>0.39183318853171156</v>
      </c>
      <c r="Q226" s="67">
        <v>0.43166767007826612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2019-06-14T15:47:25Z</dcterms:modified>
</cp:coreProperties>
</file>