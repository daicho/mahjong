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4ECC3375-EBFB-420A-A1E0-A772408C1FDD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239" r:id="rId6"/>
    <sheet name="だいち" sheetId="5241" r:id="rId7"/>
    <sheet name="りくと" sheetId="5243" r:id="rId8"/>
    <sheet name="ただ" sheetId="5245" r:id="rId9"/>
    <sheet name="れんたろう" sheetId="5247" r:id="rId10"/>
    <sheet name="たかの" sheetId="5249" r:id="rId11"/>
    <sheet name="ぱぱ" sheetId="5251" r:id="rId12"/>
    <sheet name="まっつん" sheetId="5253" r:id="rId13"/>
    <sheet name="あさひ" sheetId="5255" r:id="rId14"/>
    <sheet name="いっしー" sheetId="5257" r:id="rId15"/>
    <sheet name="ほたに" sheetId="5259" r:id="rId16"/>
    <sheet name="かわたつ" sheetId="5261" r:id="rId17"/>
    <sheet name="やがさき" sheetId="5263" r:id="rId18"/>
    <sheet name="やがさき2" sheetId="5264" state="hidden" r:id="rId19"/>
    <sheet name="かわたつ2" sheetId="5262" state="hidden" r:id="rId20"/>
    <sheet name="ほたに2" sheetId="5260" state="hidden" r:id="rId21"/>
    <sheet name="いっしー2" sheetId="5258" state="hidden" r:id="rId22"/>
    <sheet name="あさひ2" sheetId="5256" state="hidden" r:id="rId23"/>
    <sheet name="まっつん2" sheetId="5254" state="hidden" r:id="rId24"/>
    <sheet name="ぱぱ2" sheetId="5252" state="hidden" r:id="rId25"/>
    <sheet name="たかの2" sheetId="5250" state="hidden" r:id="rId26"/>
    <sheet name="れんたろう2" sheetId="5248" state="hidden" r:id="rId27"/>
    <sheet name="ただ2" sheetId="5246" state="hidden" r:id="rId28"/>
    <sheet name="りくと2" sheetId="5244" state="hidden" r:id="rId29"/>
    <sheet name="だいち2" sheetId="5242" state="hidden" r:id="rId30"/>
    <sheet name="全体2" sheetId="5240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245" l="1"/>
  <c r="O16" i="5249"/>
  <c r="O15" i="5239"/>
  <c r="O16" i="5263"/>
  <c r="O15" i="5263"/>
  <c r="C27" i="5263"/>
  <c r="B24" i="5263"/>
  <c r="C20" i="5263"/>
  <c r="C18" i="5263"/>
  <c r="B17" i="5263"/>
  <c r="H50" i="5263" s="1"/>
  <c r="C16" i="5263"/>
  <c r="C15" i="5263"/>
  <c r="C14" i="5263"/>
  <c r="C13" i="5263"/>
  <c r="O12" i="5263"/>
  <c r="C12" i="5263"/>
  <c r="O11" i="5263"/>
  <c r="C11" i="5263"/>
  <c r="O10" i="5263"/>
  <c r="C10" i="5263"/>
  <c r="C9" i="5263"/>
  <c r="C8" i="5263"/>
  <c r="O7" i="5263"/>
  <c r="C7" i="5263"/>
  <c r="O6" i="5263"/>
  <c r="H4" i="5263"/>
  <c r="B6" i="5263"/>
  <c r="O5" i="5263"/>
  <c r="H3" i="5263"/>
  <c r="B5" i="5263"/>
  <c r="O4" i="5263"/>
  <c r="O3" i="5263"/>
  <c r="H9" i="5263"/>
  <c r="O2" i="5263"/>
  <c r="O15" i="5261"/>
  <c r="O16" i="5261"/>
  <c r="H49" i="5261"/>
  <c r="H48" i="5261"/>
  <c r="H45" i="5261"/>
  <c r="H43" i="5261"/>
  <c r="H40" i="5261"/>
  <c r="H39" i="5261"/>
  <c r="H35" i="5261"/>
  <c r="H33" i="5261"/>
  <c r="H32" i="5261"/>
  <c r="H28" i="5261"/>
  <c r="C27" i="5261"/>
  <c r="H25" i="5261"/>
  <c r="B24" i="5261"/>
  <c r="B23" i="5261"/>
  <c r="H22" i="5261"/>
  <c r="C20" i="5261"/>
  <c r="C18" i="5261"/>
  <c r="H19" i="5261"/>
  <c r="C17" i="5261"/>
  <c r="B17" i="5261"/>
  <c r="H50" i="5261" s="1"/>
  <c r="H18" i="5261"/>
  <c r="C16" i="5261"/>
  <c r="H17" i="5261"/>
  <c r="C15" i="5261"/>
  <c r="H16" i="5261"/>
  <c r="C14" i="5261"/>
  <c r="H15" i="5261"/>
  <c r="C13" i="5261"/>
  <c r="O12" i="5261"/>
  <c r="H14" i="5261"/>
  <c r="C12" i="5261"/>
  <c r="O11" i="5261"/>
  <c r="H13" i="5261"/>
  <c r="C11" i="5261"/>
  <c r="O10" i="5261"/>
  <c r="H12" i="5261"/>
  <c r="C10" i="5261"/>
  <c r="H11" i="5261"/>
  <c r="C9" i="5261"/>
  <c r="H10" i="5261"/>
  <c r="C8" i="5261"/>
  <c r="O7" i="5261"/>
  <c r="H9" i="5261"/>
  <c r="C7" i="5261"/>
  <c r="O6" i="5261"/>
  <c r="H5" i="5261"/>
  <c r="B6" i="5261"/>
  <c r="O5" i="5261"/>
  <c r="H4" i="5261"/>
  <c r="B5" i="5261"/>
  <c r="O4" i="5261"/>
  <c r="H2" i="5261"/>
  <c r="O3" i="5261"/>
  <c r="H8" i="5261"/>
  <c r="O2" i="5261"/>
  <c r="H3" i="5261"/>
  <c r="O23" i="5247"/>
  <c r="O17" i="5241"/>
  <c r="O25" i="5239"/>
  <c r="H6" i="5263" l="1"/>
  <c r="H15" i="5263"/>
  <c r="H17" i="5263"/>
  <c r="H23" i="5263"/>
  <c r="H33" i="5263"/>
  <c r="H2" i="5263"/>
  <c r="H10" i="5263"/>
  <c r="H13" i="5263"/>
  <c r="H14" i="5263"/>
  <c r="H19" i="5263"/>
  <c r="B23" i="5263"/>
  <c r="H40" i="5263"/>
  <c r="H7" i="5263"/>
  <c r="H35" i="5263"/>
  <c r="H43" i="5263"/>
  <c r="H12" i="5263"/>
  <c r="H5" i="5263"/>
  <c r="H21" i="5263"/>
  <c r="H29" i="5263"/>
  <c r="H37" i="5263"/>
  <c r="H44" i="5263"/>
  <c r="H11" i="5263"/>
  <c r="H16" i="5263"/>
  <c r="H18" i="5263"/>
  <c r="C17" i="5263"/>
  <c r="H26" i="5263"/>
  <c r="H32" i="5263"/>
  <c r="H39" i="5263"/>
  <c r="H48" i="5263"/>
  <c r="H49" i="5263"/>
  <c r="H45" i="5263"/>
  <c r="H51" i="5263"/>
  <c r="C19" i="5263"/>
  <c r="H24" i="5263"/>
  <c r="H27" i="5263"/>
  <c r="H31" i="5263"/>
  <c r="H36" i="5263"/>
  <c r="H41" i="5263"/>
  <c r="H47" i="5263"/>
  <c r="H8" i="5263"/>
  <c r="H20" i="5263"/>
  <c r="H22" i="5263"/>
  <c r="H25" i="5263"/>
  <c r="H28" i="5263"/>
  <c r="H30" i="5263"/>
  <c r="H34" i="5263"/>
  <c r="H38" i="5263"/>
  <c r="H42" i="5263"/>
  <c r="H46" i="5263"/>
  <c r="H6" i="5261"/>
  <c r="H29" i="5261"/>
  <c r="H37" i="5261"/>
  <c r="H44" i="5261"/>
  <c r="H51" i="5261"/>
  <c r="C19" i="5261"/>
  <c r="H23" i="5261"/>
  <c r="H26" i="5261"/>
  <c r="H31" i="5261"/>
  <c r="H36" i="5261"/>
  <c r="H41" i="5261"/>
  <c r="H47" i="5261"/>
  <c r="H7" i="5261"/>
  <c r="H20" i="5261"/>
  <c r="H21" i="5261"/>
  <c r="H24" i="5261"/>
  <c r="H27" i="5261"/>
  <c r="H30" i="5261"/>
  <c r="H34" i="5261"/>
  <c r="H38" i="5261"/>
  <c r="H42" i="5261"/>
  <c r="H46" i="5261"/>
  <c r="O18" i="5249" l="1"/>
  <c r="O18" i="5257"/>
  <c r="O20" i="5259" l="1"/>
  <c r="O18" i="5259"/>
  <c r="O15" i="5253"/>
  <c r="O20" i="5243"/>
  <c r="O24" i="5241" l="1"/>
  <c r="O16" i="5259"/>
  <c r="O21" i="5251"/>
  <c r="O15" i="5259"/>
  <c r="O17" i="5259" l="1"/>
  <c r="O19" i="5259"/>
  <c r="C27" i="5259"/>
  <c r="B24" i="5259"/>
  <c r="C20" i="5259"/>
  <c r="B17" i="5259"/>
  <c r="H50" i="5259" s="1"/>
  <c r="C16" i="5259"/>
  <c r="C15" i="5259"/>
  <c r="C14" i="5259"/>
  <c r="C13" i="5259"/>
  <c r="O12" i="5259"/>
  <c r="C12" i="5259"/>
  <c r="O11" i="5259"/>
  <c r="C11" i="5259"/>
  <c r="O10" i="5259"/>
  <c r="C10" i="5259"/>
  <c r="C9" i="5259"/>
  <c r="C8" i="5259"/>
  <c r="O7" i="5259"/>
  <c r="C7" i="5259"/>
  <c r="O6" i="5259"/>
  <c r="B6" i="5259"/>
  <c r="O5" i="5259"/>
  <c r="B5" i="5259"/>
  <c r="O4" i="5259"/>
  <c r="O3" i="5259"/>
  <c r="O2" i="5259"/>
  <c r="O21" i="5247"/>
  <c r="O19" i="5249"/>
  <c r="O19" i="5239"/>
  <c r="H4" i="5259" l="1"/>
  <c r="H3" i="5259"/>
  <c r="H23" i="5259"/>
  <c r="H29" i="5259"/>
  <c r="H37" i="5259"/>
  <c r="H44" i="5259"/>
  <c r="H18" i="5259"/>
  <c r="H39" i="5259"/>
  <c r="H45" i="5259"/>
  <c r="H14" i="5259"/>
  <c r="C17" i="5259"/>
  <c r="H32" i="5259"/>
  <c r="H21" i="5259"/>
  <c r="H33" i="5259"/>
  <c r="H40" i="5259"/>
  <c r="H48" i="5259"/>
  <c r="H2" i="5259"/>
  <c r="H8" i="5259"/>
  <c r="H20" i="5259"/>
  <c r="H11" i="5259"/>
  <c r="H12" i="5259"/>
  <c r="H6" i="5259"/>
  <c r="H15" i="5259"/>
  <c r="H17" i="5259"/>
  <c r="H13" i="5259"/>
  <c r="H5" i="5259"/>
  <c r="H16" i="5259"/>
  <c r="H19" i="5259"/>
  <c r="H10" i="5259"/>
  <c r="C18" i="5259"/>
  <c r="B23" i="5259"/>
  <c r="H9" i="5259"/>
  <c r="H35" i="5259"/>
  <c r="H43" i="5259"/>
  <c r="H49" i="5259"/>
  <c r="H51" i="5259"/>
  <c r="C19" i="5259"/>
  <c r="H25" i="5259"/>
  <c r="H27" i="5259"/>
  <c r="H31" i="5259"/>
  <c r="H36" i="5259"/>
  <c r="H41" i="5259"/>
  <c r="H47" i="5259"/>
  <c r="H7" i="5259"/>
  <c r="H22" i="5259"/>
  <c r="H24" i="5259"/>
  <c r="H26" i="5259"/>
  <c r="H28" i="5259"/>
  <c r="H30" i="5259"/>
  <c r="H34" i="5259"/>
  <c r="H38" i="5259"/>
  <c r="H42" i="5259"/>
  <c r="H46" i="5259"/>
  <c r="O17" i="5249" l="1"/>
  <c r="O16" i="5245"/>
  <c r="O20" i="5253"/>
  <c r="O21" i="5253"/>
  <c r="O22" i="5241" l="1"/>
  <c r="O16" i="5257"/>
  <c r="O20" i="5257" l="1"/>
  <c r="O15" i="5257"/>
  <c r="O15" i="5247"/>
  <c r="O22" i="5245"/>
  <c r="O17" i="5255" l="1"/>
  <c r="O22" i="5251"/>
  <c r="O15" i="5255"/>
  <c r="O21" i="5257"/>
  <c r="O15" i="5243"/>
  <c r="O17" i="5253"/>
  <c r="O17" i="5239"/>
  <c r="O19" i="5257"/>
  <c r="O17" i="5257"/>
  <c r="C27" i="5257"/>
  <c r="B24" i="5257"/>
  <c r="C20" i="5257"/>
  <c r="B17" i="5257"/>
  <c r="H6" i="5257" s="1"/>
  <c r="C16" i="5257"/>
  <c r="C15" i="5257"/>
  <c r="C14" i="5257"/>
  <c r="C13" i="5257"/>
  <c r="O12" i="5257"/>
  <c r="H18" i="5257"/>
  <c r="C12" i="5257"/>
  <c r="O11" i="5257"/>
  <c r="C11" i="5257"/>
  <c r="O10" i="5257"/>
  <c r="C10" i="5257"/>
  <c r="C9" i="5257"/>
  <c r="C8" i="5257"/>
  <c r="O7" i="5257"/>
  <c r="C7" i="5257"/>
  <c r="O6" i="5257"/>
  <c r="B6" i="5257"/>
  <c r="O5" i="5257"/>
  <c r="B5" i="5257"/>
  <c r="O4" i="5257"/>
  <c r="H2" i="5257"/>
  <c r="O3" i="5257"/>
  <c r="O2" i="5257"/>
  <c r="H4" i="5257"/>
  <c r="O16" i="5255"/>
  <c r="O18" i="5255"/>
  <c r="C27" i="5255"/>
  <c r="B24" i="5255"/>
  <c r="C20" i="5255"/>
  <c r="B17" i="5255"/>
  <c r="H50" i="5255" s="1"/>
  <c r="H19" i="5255"/>
  <c r="C16" i="5255"/>
  <c r="C15" i="5255"/>
  <c r="C14" i="5255"/>
  <c r="C13" i="5255"/>
  <c r="O12" i="5255"/>
  <c r="C12" i="5255"/>
  <c r="O11" i="5255"/>
  <c r="C11" i="5255"/>
  <c r="O10" i="5255"/>
  <c r="C10" i="5255"/>
  <c r="C9" i="5255"/>
  <c r="C8" i="5255"/>
  <c r="O7" i="5255"/>
  <c r="C7" i="5255"/>
  <c r="O6" i="5255"/>
  <c r="B6" i="5255"/>
  <c r="O5" i="5255"/>
  <c r="B5" i="5255"/>
  <c r="O4" i="5255"/>
  <c r="O3" i="5255"/>
  <c r="O2" i="5255"/>
  <c r="O22" i="5253"/>
  <c r="O23" i="5253"/>
  <c r="O15" i="5241"/>
  <c r="O18" i="5241"/>
  <c r="O26" i="5239"/>
  <c r="C19" i="5257" l="1"/>
  <c r="H39" i="5257"/>
  <c r="H19" i="5257"/>
  <c r="H14" i="5257"/>
  <c r="H37" i="5257"/>
  <c r="H13" i="5257"/>
  <c r="H5" i="5257"/>
  <c r="H7" i="5257"/>
  <c r="H10" i="5257"/>
  <c r="H3" i="5257"/>
  <c r="H21" i="5257"/>
  <c r="H15" i="5257"/>
  <c r="C18" i="5257"/>
  <c r="H10" i="5255"/>
  <c r="H3" i="5255"/>
  <c r="H35" i="5255"/>
  <c r="H44" i="5255"/>
  <c r="H45" i="5255"/>
  <c r="H2" i="5255"/>
  <c r="H11" i="5255"/>
  <c r="H13" i="5255"/>
  <c r="H4" i="5255"/>
  <c r="C18" i="5255"/>
  <c r="H5" i="5255"/>
  <c r="H33" i="5255"/>
  <c r="H15" i="5255"/>
  <c r="H17" i="5255"/>
  <c r="H6" i="5255"/>
  <c r="H49" i="5255"/>
  <c r="H24" i="5255"/>
  <c r="H39" i="5255"/>
  <c r="H12" i="5255"/>
  <c r="H8" i="5255"/>
  <c r="H14" i="5255"/>
  <c r="H20" i="5255"/>
  <c r="H29" i="5255"/>
  <c r="H40" i="5255"/>
  <c r="H51" i="5255"/>
  <c r="C19" i="5255"/>
  <c r="H25" i="5255"/>
  <c r="H27" i="5255"/>
  <c r="H31" i="5255"/>
  <c r="H36" i="5255"/>
  <c r="H41" i="5255"/>
  <c r="H47" i="5255"/>
  <c r="H7" i="5255"/>
  <c r="H9" i="5255"/>
  <c r="H16" i="5255"/>
  <c r="H18" i="5255"/>
  <c r="C17" i="5255"/>
  <c r="H22" i="5255"/>
  <c r="B23" i="5255"/>
  <c r="H32" i="5255"/>
  <c r="H37" i="5255"/>
  <c r="H43" i="5255"/>
  <c r="H48" i="5255"/>
  <c r="H29" i="5257"/>
  <c r="H45" i="5257"/>
  <c r="H9" i="5257"/>
  <c r="H16" i="5257"/>
  <c r="H20" i="5257"/>
  <c r="C17" i="5257"/>
  <c r="B23" i="5257"/>
  <c r="H31" i="5257"/>
  <c r="H47" i="5257"/>
  <c r="H27" i="5257"/>
  <c r="H33" i="5257"/>
  <c r="H41" i="5257"/>
  <c r="H49" i="5257"/>
  <c r="H11" i="5257"/>
  <c r="H35" i="5257"/>
  <c r="H43" i="5257"/>
  <c r="H51" i="5257"/>
  <c r="H22" i="5257"/>
  <c r="H23" i="5257"/>
  <c r="H25" i="5257"/>
  <c r="H28" i="5257"/>
  <c r="H30" i="5257"/>
  <c r="H34" i="5257"/>
  <c r="H38" i="5257"/>
  <c r="H42" i="5257"/>
  <c r="H46" i="5257"/>
  <c r="H50" i="5257"/>
  <c r="H12" i="5257"/>
  <c r="H17" i="5257"/>
  <c r="H24" i="5257"/>
  <c r="H26" i="5257"/>
  <c r="H8" i="5257"/>
  <c r="H32" i="5257"/>
  <c r="H36" i="5257"/>
  <c r="H40" i="5257"/>
  <c r="H44" i="5257"/>
  <c r="H48" i="5257"/>
  <c r="H21" i="5255"/>
  <c r="H23" i="5255"/>
  <c r="H26" i="5255"/>
  <c r="H28" i="5255"/>
  <c r="H30" i="5255"/>
  <c r="H34" i="5255"/>
  <c r="H38" i="5255"/>
  <c r="H42" i="5255"/>
  <c r="H46" i="5255"/>
  <c r="O16" i="5253" l="1"/>
  <c r="O20" i="5251"/>
  <c r="O16" i="5251"/>
  <c r="O19" i="5243"/>
  <c r="O20" i="5249" l="1"/>
  <c r="O17" i="5247"/>
  <c r="O17" i="5251"/>
  <c r="O18" i="5251"/>
  <c r="O15" i="5249" l="1"/>
  <c r="O16" i="5247"/>
  <c r="O21" i="5245"/>
  <c r="O18" i="5245"/>
  <c r="O19" i="5253"/>
  <c r="O18" i="5253"/>
  <c r="C27" i="5253"/>
  <c r="B24" i="5253"/>
  <c r="C20" i="5253"/>
  <c r="B17" i="5253"/>
  <c r="H50" i="5253" s="1"/>
  <c r="C16" i="5253"/>
  <c r="C15" i="5253"/>
  <c r="C14" i="5253"/>
  <c r="C13" i="5253"/>
  <c r="O12" i="5253"/>
  <c r="C12" i="5253"/>
  <c r="O11" i="5253"/>
  <c r="C11" i="5253"/>
  <c r="O10" i="5253"/>
  <c r="C10" i="5253"/>
  <c r="C9" i="5253"/>
  <c r="C8" i="5253"/>
  <c r="O7" i="5253"/>
  <c r="C7" i="5253"/>
  <c r="O6" i="5253"/>
  <c r="B6" i="5253"/>
  <c r="O5" i="5253"/>
  <c r="B5" i="5253"/>
  <c r="O4" i="5253"/>
  <c r="O3" i="5253"/>
  <c r="O2" i="5253"/>
  <c r="H3" i="5253"/>
  <c r="O22" i="5247"/>
  <c r="O21" i="5243"/>
  <c r="O21" i="5239"/>
  <c r="H31" i="5253" l="1"/>
  <c r="H38" i="5253"/>
  <c r="H44" i="5253"/>
  <c r="H4" i="5253"/>
  <c r="H2" i="5253"/>
  <c r="H9" i="5253"/>
  <c r="H25" i="5253"/>
  <c r="H18" i="5253"/>
  <c r="H45" i="5253"/>
  <c r="H15" i="5253"/>
  <c r="H20" i="5253"/>
  <c r="H40" i="5253"/>
  <c r="H22" i="5253"/>
  <c r="H34" i="5253"/>
  <c r="H23" i="5253"/>
  <c r="H48" i="5253"/>
  <c r="H11" i="5253"/>
  <c r="C17" i="5253"/>
  <c r="H33" i="5253"/>
  <c r="H10" i="5253"/>
  <c r="H7" i="5253"/>
  <c r="H14" i="5253"/>
  <c r="H19" i="5253"/>
  <c r="H12" i="5253"/>
  <c r="H6" i="5253"/>
  <c r="H24" i="5253"/>
  <c r="H21" i="5253"/>
  <c r="H16" i="5253"/>
  <c r="C18" i="5253"/>
  <c r="B23" i="5253"/>
  <c r="H8" i="5253"/>
  <c r="H36" i="5253"/>
  <c r="H43" i="5253"/>
  <c r="H49" i="5253"/>
  <c r="H51" i="5253"/>
  <c r="C19" i="5253"/>
  <c r="H28" i="5253"/>
  <c r="H29" i="5253"/>
  <c r="H32" i="5253"/>
  <c r="H37" i="5253"/>
  <c r="H41" i="5253"/>
  <c r="H47" i="5253"/>
  <c r="H5" i="5253"/>
  <c r="H26" i="5253"/>
  <c r="H27" i="5253"/>
  <c r="H17" i="5253"/>
  <c r="H30" i="5253"/>
  <c r="H13" i="5253"/>
  <c r="H35" i="5253"/>
  <c r="H39" i="5253"/>
  <c r="H42" i="5253"/>
  <c r="H46" i="5253"/>
  <c r="O19" i="5245" l="1"/>
  <c r="O19" i="5251"/>
  <c r="O15" i="5251"/>
  <c r="C27" i="5251"/>
  <c r="B24" i="5251"/>
  <c r="C20" i="5251"/>
  <c r="B17" i="5251"/>
  <c r="H6" i="5251" s="1"/>
  <c r="C16" i="5251"/>
  <c r="C15" i="5251"/>
  <c r="C14" i="5251"/>
  <c r="C13" i="5251"/>
  <c r="O12" i="5251"/>
  <c r="C12" i="5251"/>
  <c r="O11" i="5251"/>
  <c r="C11" i="5251"/>
  <c r="O10" i="5251"/>
  <c r="C10" i="5251"/>
  <c r="C9" i="5251"/>
  <c r="C8" i="5251"/>
  <c r="O7" i="5251"/>
  <c r="C7" i="5251"/>
  <c r="O6" i="5251"/>
  <c r="B6" i="5251"/>
  <c r="O5" i="5251"/>
  <c r="B5" i="5251"/>
  <c r="O4" i="5251"/>
  <c r="O3" i="5251"/>
  <c r="O2" i="5251"/>
  <c r="O19" i="5241"/>
  <c r="O18" i="5239"/>
  <c r="O21" i="5249"/>
  <c r="O17" i="5243"/>
  <c r="O18" i="5243"/>
  <c r="O20" i="5247"/>
  <c r="O22" i="5249"/>
  <c r="O23" i="5249"/>
  <c r="C27" i="5249"/>
  <c r="B24" i="5249"/>
  <c r="C20" i="5249"/>
  <c r="B17" i="5249"/>
  <c r="H4" i="5249" s="1"/>
  <c r="C16" i="5249"/>
  <c r="C15" i="5249"/>
  <c r="C14" i="5249"/>
  <c r="C13" i="5249"/>
  <c r="O12" i="5249"/>
  <c r="C12" i="5249"/>
  <c r="O11" i="5249"/>
  <c r="C11" i="5249"/>
  <c r="O10" i="5249"/>
  <c r="C10" i="5249"/>
  <c r="C9" i="5249"/>
  <c r="C8" i="5249"/>
  <c r="O7" i="5249"/>
  <c r="C7" i="5249"/>
  <c r="O6" i="5249"/>
  <c r="B6" i="5249"/>
  <c r="O5" i="5249"/>
  <c r="B5" i="5249"/>
  <c r="O4" i="5249"/>
  <c r="O3" i="5249"/>
  <c r="O2" i="5249"/>
  <c r="O19" i="5247"/>
  <c r="O18" i="5247"/>
  <c r="C27" i="5247"/>
  <c r="B24" i="5247"/>
  <c r="C20" i="5247"/>
  <c r="B17" i="5247"/>
  <c r="H5" i="5247" s="1"/>
  <c r="C16" i="5247"/>
  <c r="C15" i="5247"/>
  <c r="C14" i="5247"/>
  <c r="C13" i="5247"/>
  <c r="O12" i="5247"/>
  <c r="C12" i="5247"/>
  <c r="O11" i="5247"/>
  <c r="C11" i="5247"/>
  <c r="O10" i="5247"/>
  <c r="C10" i="5247"/>
  <c r="C9" i="5247"/>
  <c r="C8" i="5247"/>
  <c r="O7" i="5247"/>
  <c r="C7" i="5247"/>
  <c r="O6" i="5247"/>
  <c r="B6" i="5247"/>
  <c r="O5" i="5247"/>
  <c r="B5" i="5247"/>
  <c r="O4" i="5247"/>
  <c r="O3" i="5247"/>
  <c r="O2" i="5247"/>
  <c r="O20" i="5241"/>
  <c r="O23" i="5241"/>
  <c r="O22" i="5239"/>
  <c r="O23" i="5239"/>
  <c r="H10" i="5251" l="1"/>
  <c r="H22" i="5251"/>
  <c r="H50" i="5251"/>
  <c r="H11" i="5251"/>
  <c r="H14" i="5251"/>
  <c r="H29" i="5251"/>
  <c r="H5" i="5251"/>
  <c r="H7" i="5251"/>
  <c r="C18" i="5251"/>
  <c r="C17" i="5251"/>
  <c r="H3" i="5251"/>
  <c r="H21" i="5251"/>
  <c r="H4" i="5251"/>
  <c r="H2" i="5251"/>
  <c r="H8" i="5251"/>
  <c r="H15" i="5251"/>
  <c r="H34" i="5251"/>
  <c r="H38" i="5251"/>
  <c r="H5" i="5249"/>
  <c r="H41" i="5249"/>
  <c r="H21" i="5249"/>
  <c r="H16" i="5249"/>
  <c r="H3" i="5249"/>
  <c r="H2" i="5249"/>
  <c r="C18" i="5249"/>
  <c r="H37" i="5249"/>
  <c r="H42" i="5251"/>
  <c r="B23" i="5251"/>
  <c r="H31" i="5251"/>
  <c r="H46" i="5251"/>
  <c r="H24" i="5251"/>
  <c r="H26" i="5251"/>
  <c r="H28" i="5251"/>
  <c r="H30" i="5251"/>
  <c r="H18" i="5251"/>
  <c r="H35" i="5251"/>
  <c r="H39" i="5251"/>
  <c r="H43" i="5251"/>
  <c r="H47" i="5251"/>
  <c r="H51" i="5251"/>
  <c r="H23" i="5251"/>
  <c r="C19" i="5251"/>
  <c r="H17" i="5251"/>
  <c r="H32" i="5251"/>
  <c r="H36" i="5251"/>
  <c r="H40" i="5251"/>
  <c r="H44" i="5251"/>
  <c r="H48" i="5251"/>
  <c r="H19" i="5251"/>
  <c r="H12" i="5251"/>
  <c r="H20" i="5251"/>
  <c r="H16" i="5251"/>
  <c r="H25" i="5251"/>
  <c r="H27" i="5251"/>
  <c r="H13" i="5251"/>
  <c r="H9" i="5251"/>
  <c r="H33" i="5251"/>
  <c r="H37" i="5251"/>
  <c r="H41" i="5251"/>
  <c r="H45" i="5251"/>
  <c r="H49" i="5251"/>
  <c r="H20" i="5249"/>
  <c r="H14" i="5247"/>
  <c r="H3" i="5247"/>
  <c r="H38" i="5247"/>
  <c r="H4" i="5247"/>
  <c r="H30" i="5249"/>
  <c r="H45" i="5249"/>
  <c r="H12" i="5249"/>
  <c r="H23" i="5249"/>
  <c r="B23" i="5249"/>
  <c r="H7" i="5249"/>
  <c r="C17" i="5249"/>
  <c r="H33" i="5249"/>
  <c r="H49" i="5249"/>
  <c r="H25" i="5249"/>
  <c r="H29" i="5249"/>
  <c r="H46" i="5249"/>
  <c r="H8" i="5249"/>
  <c r="H19" i="5249"/>
  <c r="H24" i="5249"/>
  <c r="C19" i="5249"/>
  <c r="H13" i="5249"/>
  <c r="H31" i="5249"/>
  <c r="H35" i="5249"/>
  <c r="H39" i="5249"/>
  <c r="H43" i="5249"/>
  <c r="H47" i="5249"/>
  <c r="H51" i="5249"/>
  <c r="H26" i="5249"/>
  <c r="H28" i="5249"/>
  <c r="H18" i="5249"/>
  <c r="H34" i="5249"/>
  <c r="H38" i="5249"/>
  <c r="H42" i="5249"/>
  <c r="H50" i="5249"/>
  <c r="H9" i="5249"/>
  <c r="H6" i="5249"/>
  <c r="H10" i="5249"/>
  <c r="H22" i="5249"/>
  <c r="H17" i="5249"/>
  <c r="H15" i="5249"/>
  <c r="H27" i="5249"/>
  <c r="H14" i="5249"/>
  <c r="H11" i="5249"/>
  <c r="H32" i="5249"/>
  <c r="H36" i="5249"/>
  <c r="H40" i="5249"/>
  <c r="H44" i="5249"/>
  <c r="H48" i="5249"/>
  <c r="H11" i="5247"/>
  <c r="H27" i="5247"/>
  <c r="B23" i="5247"/>
  <c r="H42" i="5247"/>
  <c r="H6" i="5247"/>
  <c r="H18" i="5247"/>
  <c r="H46" i="5247"/>
  <c r="H33" i="5247"/>
  <c r="C17" i="5247"/>
  <c r="H2" i="5247"/>
  <c r="H23" i="5247"/>
  <c r="C18" i="5247"/>
  <c r="H24" i="5247"/>
  <c r="H34" i="5247"/>
  <c r="H50" i="5247"/>
  <c r="H29" i="5247"/>
  <c r="H30" i="5247"/>
  <c r="H31" i="5247"/>
  <c r="H32" i="5247"/>
  <c r="H35" i="5247"/>
  <c r="H39" i="5247"/>
  <c r="H43" i="5247"/>
  <c r="H47" i="5247"/>
  <c r="H51" i="5247"/>
  <c r="H8" i="5247"/>
  <c r="H17" i="5247"/>
  <c r="H28" i="5247"/>
  <c r="C19" i="5247"/>
  <c r="H15" i="5247"/>
  <c r="H21" i="5247"/>
  <c r="H36" i="5247"/>
  <c r="H40" i="5247"/>
  <c r="H44" i="5247"/>
  <c r="H48" i="5247"/>
  <c r="H22" i="5247"/>
  <c r="H10" i="5247"/>
  <c r="H7" i="5247"/>
  <c r="H13" i="5247"/>
  <c r="H26" i="5247"/>
  <c r="H19" i="5247"/>
  <c r="H16" i="5247"/>
  <c r="H20" i="5247"/>
  <c r="H12" i="5247"/>
  <c r="H9" i="5247"/>
  <c r="H25" i="5247"/>
  <c r="H37" i="5247"/>
  <c r="H41" i="5247"/>
  <c r="H45" i="5247"/>
  <c r="H49" i="5247"/>
  <c r="O17" i="5245" l="1"/>
  <c r="O20" i="5245"/>
  <c r="C27" i="5245"/>
  <c r="B24" i="5245"/>
  <c r="C20" i="5245"/>
  <c r="B17" i="5245"/>
  <c r="H5" i="5245" s="1"/>
  <c r="C16" i="5245"/>
  <c r="C15" i="5245"/>
  <c r="C14" i="5245"/>
  <c r="C13" i="5245"/>
  <c r="O12" i="5245"/>
  <c r="C12" i="5245"/>
  <c r="O11" i="5245"/>
  <c r="C11" i="5245"/>
  <c r="O10" i="5245"/>
  <c r="C10" i="5245"/>
  <c r="C9" i="5245"/>
  <c r="C8" i="5245"/>
  <c r="O7" i="5245"/>
  <c r="C7" i="5245"/>
  <c r="O6" i="5245"/>
  <c r="B6" i="5245"/>
  <c r="O5" i="5245"/>
  <c r="B5" i="5245"/>
  <c r="O4" i="5245"/>
  <c r="O3" i="5245"/>
  <c r="O2" i="5245"/>
  <c r="O22" i="5243"/>
  <c r="O16" i="5243"/>
  <c r="C27" i="5243"/>
  <c r="B24" i="5243"/>
  <c r="C20" i="5243"/>
  <c r="B17" i="5243"/>
  <c r="H5" i="5243" s="1"/>
  <c r="C16" i="5243"/>
  <c r="C15" i="5243"/>
  <c r="C14" i="5243"/>
  <c r="C13" i="5243"/>
  <c r="O12" i="5243"/>
  <c r="C12" i="5243"/>
  <c r="O11" i="5243"/>
  <c r="C11" i="5243"/>
  <c r="O10" i="5243"/>
  <c r="C10" i="5243"/>
  <c r="C9" i="5243"/>
  <c r="C8" i="5243"/>
  <c r="O7" i="5243"/>
  <c r="C7" i="5243"/>
  <c r="O6" i="5243"/>
  <c r="B6" i="5243"/>
  <c r="O5" i="5243"/>
  <c r="B5" i="5243"/>
  <c r="O4" i="5243"/>
  <c r="O3" i="5243"/>
  <c r="O2" i="5243"/>
  <c r="O24" i="5239"/>
  <c r="O16" i="5241"/>
  <c r="O21" i="5241"/>
  <c r="C27" i="5241"/>
  <c r="B24" i="5241"/>
  <c r="C20" i="5241"/>
  <c r="B17" i="5241"/>
  <c r="H5" i="5241" s="1"/>
  <c r="C16" i="5241"/>
  <c r="C15" i="5241"/>
  <c r="C14" i="5241"/>
  <c r="C13" i="5241"/>
  <c r="O12" i="5241"/>
  <c r="C12" i="5241"/>
  <c r="O11" i="5241"/>
  <c r="C11" i="5241"/>
  <c r="O10" i="5241"/>
  <c r="C10" i="5241"/>
  <c r="C9" i="5241"/>
  <c r="C8" i="5241"/>
  <c r="O7" i="5241"/>
  <c r="C7" i="5241"/>
  <c r="O6" i="5241"/>
  <c r="B6" i="5241"/>
  <c r="O5" i="5241"/>
  <c r="B5" i="5241"/>
  <c r="O4" i="5241"/>
  <c r="O3" i="5241"/>
  <c r="O2" i="5241"/>
  <c r="O16" i="5239"/>
  <c r="O20" i="5239"/>
  <c r="C27" i="5239"/>
  <c r="B24" i="5239"/>
  <c r="C20" i="5239"/>
  <c r="B17" i="5239"/>
  <c r="H50" i="5239" s="1"/>
  <c r="C16" i="5239"/>
  <c r="C15" i="5239"/>
  <c r="C14" i="5239"/>
  <c r="C13" i="5239"/>
  <c r="O12" i="5239"/>
  <c r="C12" i="5239"/>
  <c r="O11" i="5239"/>
  <c r="C11" i="5239"/>
  <c r="O10" i="5239"/>
  <c r="C10" i="5239"/>
  <c r="C9" i="5239"/>
  <c r="C8" i="5239"/>
  <c r="O7" i="5239"/>
  <c r="C7" i="5239"/>
  <c r="O6" i="5239"/>
  <c r="B6" i="5239"/>
  <c r="O5" i="5239"/>
  <c r="B5" i="5239"/>
  <c r="O4" i="5239"/>
  <c r="O3" i="5239"/>
  <c r="O2" i="5239"/>
  <c r="H9" i="5245" l="1"/>
  <c r="H3" i="5245"/>
  <c r="H2" i="5245"/>
  <c r="H7" i="5245"/>
  <c r="H24" i="5241"/>
  <c r="H37" i="5245"/>
  <c r="H47" i="5245"/>
  <c r="H8" i="5245"/>
  <c r="H25" i="5245"/>
  <c r="C17" i="5245"/>
  <c r="H15" i="5245"/>
  <c r="H31" i="5245"/>
  <c r="H39" i="5245"/>
  <c r="H51" i="5245"/>
  <c r="H16" i="5245"/>
  <c r="C18" i="5245"/>
  <c r="B23" i="5245"/>
  <c r="H32" i="5245"/>
  <c r="H43" i="5245"/>
  <c r="H17" i="5245"/>
  <c r="H13" i="5245"/>
  <c r="H4" i="5245"/>
  <c r="H10" i="5245"/>
  <c r="H6" i="5245"/>
  <c r="H24" i="5245"/>
  <c r="H26" i="5245"/>
  <c r="H14" i="5245"/>
  <c r="C19" i="5245"/>
  <c r="H35" i="5245"/>
  <c r="H45" i="5245"/>
  <c r="H20" i="5245"/>
  <c r="H33" i="5245"/>
  <c r="H41" i="5245"/>
  <c r="H49" i="5245"/>
  <c r="H27" i="5245"/>
  <c r="H28" i="5245"/>
  <c r="H30" i="5245"/>
  <c r="H21" i="5245"/>
  <c r="H22" i="5245"/>
  <c r="H34" i="5245"/>
  <c r="H38" i="5245"/>
  <c r="H42" i="5245"/>
  <c r="H46" i="5245"/>
  <c r="H50" i="5245"/>
  <c r="H18" i="5245"/>
  <c r="H19" i="5245"/>
  <c r="H29" i="5245"/>
  <c r="H12" i="5245"/>
  <c r="H11" i="5245"/>
  <c r="H23" i="5245"/>
  <c r="H36" i="5245"/>
  <c r="H40" i="5245"/>
  <c r="H44" i="5245"/>
  <c r="H48" i="5245"/>
  <c r="H29" i="5243"/>
  <c r="C18" i="5243"/>
  <c r="H6" i="5243"/>
  <c r="H21" i="5243"/>
  <c r="H33" i="5243"/>
  <c r="H3" i="5243"/>
  <c r="H38" i="5243"/>
  <c r="H2" i="5243"/>
  <c r="H12" i="5243"/>
  <c r="H10" i="5243"/>
  <c r="H4" i="5243"/>
  <c r="H19" i="5243"/>
  <c r="H42" i="5243"/>
  <c r="B23" i="5243"/>
  <c r="H34" i="5243"/>
  <c r="H46" i="5243"/>
  <c r="H9" i="5243"/>
  <c r="H7" i="5243"/>
  <c r="H20" i="5243"/>
  <c r="C17" i="5243"/>
  <c r="H35" i="5243"/>
  <c r="H50" i="5243"/>
  <c r="H30" i="5243"/>
  <c r="H31" i="5243"/>
  <c r="H32" i="5243"/>
  <c r="H25" i="5243"/>
  <c r="H16" i="5243"/>
  <c r="H28" i="5243"/>
  <c r="H39" i="5243"/>
  <c r="H43" i="5243"/>
  <c r="H47" i="5243"/>
  <c r="H51" i="5243"/>
  <c r="H8" i="5243"/>
  <c r="H22" i="5243"/>
  <c r="H23" i="5243"/>
  <c r="C19" i="5243"/>
  <c r="H14" i="5243"/>
  <c r="H26" i="5243"/>
  <c r="H36" i="5243"/>
  <c r="H40" i="5243"/>
  <c r="H44" i="5243"/>
  <c r="H48" i="5243"/>
  <c r="H18" i="5243"/>
  <c r="H17" i="5243"/>
  <c r="H15" i="5243"/>
  <c r="H24" i="5243"/>
  <c r="H13" i="5243"/>
  <c r="H11" i="5243"/>
  <c r="H27" i="5243"/>
  <c r="H37" i="5243"/>
  <c r="H41" i="5243"/>
  <c r="H45" i="5243"/>
  <c r="H49" i="5243"/>
  <c r="C17" i="5239"/>
  <c r="H3" i="5239"/>
  <c r="H11" i="5239"/>
  <c r="H2" i="5239"/>
  <c r="H4" i="5239"/>
  <c r="C18" i="5241"/>
  <c r="H3" i="5241"/>
  <c r="H38" i="5241"/>
  <c r="H2" i="5241"/>
  <c r="H4" i="5241"/>
  <c r="H20" i="5241"/>
  <c r="H17" i="5241"/>
  <c r="H42" i="5241"/>
  <c r="H11" i="5241"/>
  <c r="H30" i="5241"/>
  <c r="B23" i="5241"/>
  <c r="H25" i="5241"/>
  <c r="H46" i="5241"/>
  <c r="H6" i="5241"/>
  <c r="C17" i="5241"/>
  <c r="H35" i="5241"/>
  <c r="H50" i="5241"/>
  <c r="H47" i="5241"/>
  <c r="H8" i="5241"/>
  <c r="H21" i="5241"/>
  <c r="H22" i="5241"/>
  <c r="C19" i="5241"/>
  <c r="H14" i="5241"/>
  <c r="H26" i="5241"/>
  <c r="H36" i="5241"/>
  <c r="H40" i="5241"/>
  <c r="H44" i="5241"/>
  <c r="H48" i="5241"/>
  <c r="H16" i="5241"/>
  <c r="H31" i="5241"/>
  <c r="H32" i="5241"/>
  <c r="H23" i="5241"/>
  <c r="H34" i="5241"/>
  <c r="H19" i="5241"/>
  <c r="H28" i="5241"/>
  <c r="H39" i="5241"/>
  <c r="H43" i="5241"/>
  <c r="H51" i="5241"/>
  <c r="H10" i="5241"/>
  <c r="H7" i="5241"/>
  <c r="H12" i="5241"/>
  <c r="H29" i="5241"/>
  <c r="H18" i="5241"/>
  <c r="H15" i="5241"/>
  <c r="H33" i="5241"/>
  <c r="H13" i="5241"/>
  <c r="H9" i="5241"/>
  <c r="H27" i="5241"/>
  <c r="H37" i="5241"/>
  <c r="H41" i="5241"/>
  <c r="H45" i="5241"/>
  <c r="H49" i="5241"/>
  <c r="H34" i="5239"/>
  <c r="H35" i="5239"/>
  <c r="H28" i="5239"/>
  <c r="H29" i="5239"/>
  <c r="H17" i="5239"/>
  <c r="H30" i="5239"/>
  <c r="H40" i="5239"/>
  <c r="H43" i="5239"/>
  <c r="H47" i="5239"/>
  <c r="H51" i="5239"/>
  <c r="H8" i="5239"/>
  <c r="H20" i="5239"/>
  <c r="H26" i="5239"/>
  <c r="C19" i="5239"/>
  <c r="H14" i="5239"/>
  <c r="H24" i="5239"/>
  <c r="H37" i="5239"/>
  <c r="H41" i="5239"/>
  <c r="H44" i="5239"/>
  <c r="H48" i="5239"/>
  <c r="H19" i="5239"/>
  <c r="H10" i="5239"/>
  <c r="H6" i="5239"/>
  <c r="H12" i="5239"/>
  <c r="H22" i="5239"/>
  <c r="H18" i="5239"/>
  <c r="H15" i="5239"/>
  <c r="H27" i="5239"/>
  <c r="H13" i="5239"/>
  <c r="H9" i="5239"/>
  <c r="H25" i="5239"/>
  <c r="H38" i="5239"/>
  <c r="H33" i="5239"/>
  <c r="H45" i="5239"/>
  <c r="H49" i="5239"/>
  <c r="H5" i="5239"/>
  <c r="H7" i="5239"/>
  <c r="H21" i="5239"/>
  <c r="H31" i="5239"/>
  <c r="H16" i="5239"/>
  <c r="C18" i="5239"/>
  <c r="B23" i="5239"/>
  <c r="H23" i="5239"/>
  <c r="H32" i="5239"/>
  <c r="H36" i="5239"/>
  <c r="H39" i="5239"/>
  <c r="H42" i="5239"/>
  <c r="H46" i="5239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<sst xmlns="http://schemas.openxmlformats.org/spreadsheetml/2006/main" count="3197" uniqueCount="232">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</sst>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全体!$K$2:$K$503</c:f>
              <c:numCache>
                <c:formatCode>General</c:formatCode>
                <c:ptCount val="5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</c:numCache>
            </c:numRef>
          </c:xVal>
          <c:yVal>
            <c:numRef>
              <c:f>全体!$L$2:$L$503</c:f>
              <c:numCache>
                <c:formatCode>\+0.0;\-0.0;\±0</c:formatCode>
                <c:ptCount val="502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98-4D21-847A-D71312EA5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-15.968063872255488</c:v>
                </c:pt>
                <c:pt idx="1">
                  <c:v>-8.1799591002044991</c:v>
                </c:pt>
                <c:pt idx="2">
                  <c:v>12.903225806451612</c:v>
                </c:pt>
                <c:pt idx="3">
                  <c:v>7.1428571428571432</c:v>
                </c:pt>
                <c:pt idx="4">
                  <c:v>-7.9365079365079367</c:v>
                </c:pt>
                <c:pt idx="5">
                  <c:v>17.391304347826086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12-41B5-B9C9-1B5C9145E1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だいち!$K$2:$K$115</c:f>
              <c:numCache>
                <c:formatCode>General</c:formatCode>
                <c:ptCount val="1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</c:numCache>
            </c:numRef>
          </c:xVal>
          <c:yVal>
            <c:numRef>
              <c:f>だいち!$L$2:$L$115</c:f>
              <c:numCache>
                <c:formatCode>\+0.0;\-0.0;\±0</c:formatCode>
                <c:ptCount val="114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F6-4AA6-A9E4-D134463F6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1882.3008849557523</c:v>
                </c:pt>
                <c:pt idx="1">
                  <c:v>1505.4545454545455</c:v>
                </c:pt>
                <c:pt idx="2">
                  <c:v>1478.0952380952381</c:v>
                </c:pt>
                <c:pt idx="3">
                  <c:v>2204.2105263157896</c:v>
                </c:pt>
                <c:pt idx="4">
                  <c:v>-3.6144578313253013</c:v>
                </c:pt>
                <c:pt idx="5">
                  <c:v>259.45945945945948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69-4398-A9BB-FF2E60A30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りくと!$K$2:$K$115</c:f>
              <c:numCache>
                <c:formatCode>General</c:formatCode>
                <c:ptCount val="1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</c:numCache>
            </c:numRef>
          </c:xVal>
          <c:yVal>
            <c:numRef>
              <c:f>りくと!$L$2:$L$115</c:f>
              <c:numCache>
                <c:formatCode>\+0.0;\-0.0;\±0</c:formatCode>
                <c:ptCount val="114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25-4553-B46F-D80234A26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285.84070796460179</c:v>
                </c:pt>
                <c:pt idx="1">
                  <c:v>-2498.1651376146788</c:v>
                </c:pt>
                <c:pt idx="2">
                  <c:v>6.6037735849056602</c:v>
                </c:pt>
                <c:pt idx="3">
                  <c:v>340</c:v>
                </c:pt>
                <c:pt idx="4">
                  <c:v>321.1764705882353</c:v>
                </c:pt>
                <c:pt idx="5">
                  <c:v>455.69620253164555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A7-4541-BBE0-523AABE79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ただ!$L$2:$L$59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89-42C9-9D36-D491E8C533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-2421.0526315789475</c:v>
                </c:pt>
                <c:pt idx="1">
                  <c:v>-1432.7272727272727</c:v>
                </c:pt>
                <c:pt idx="2">
                  <c:v>-941.17647058823525</c:v>
                </c:pt>
                <c:pt idx="3">
                  <c:v>-4993.181818181818</c:v>
                </c:pt>
                <c:pt idx="4">
                  <c:v>-492.30769230769232</c:v>
                </c:pt>
                <c:pt idx="5">
                  <c:v>-1886.1111111111111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AE-41C6-91C3-B34D6235F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れんたろう!$L$2:$L$69</c:f>
              <c:numCache>
                <c:formatCode>\+0.0;\-0.0;\±0</c:formatCode>
                <c:ptCount val="68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0B-4605-BA70-4172911E2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-1132.8358208955224</c:v>
                </c:pt>
                <c:pt idx="1">
                  <c:v>1183.3333333333333</c:v>
                </c:pt>
                <c:pt idx="2">
                  <c:v>1765.0793650793651</c:v>
                </c:pt>
                <c:pt idx="3">
                  <c:v>2188.6792452830186</c:v>
                </c:pt>
                <c:pt idx="4">
                  <c:v>-1195.8333333333333</c:v>
                </c:pt>
                <c:pt idx="5">
                  <c:v>1138.6363636363637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EF-450C-AA45-2BFEB4CE5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たかの!$L$2:$L$56</c:f>
              <c:numCache>
                <c:formatCode>\+0.0;\-0.0;\±0</c:formatCode>
                <c:ptCount val="55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71-45AD-B18E-983804B72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540.74074074074076</c:v>
                </c:pt>
                <c:pt idx="1">
                  <c:v>370.37037037037038</c:v>
                </c:pt>
                <c:pt idx="2">
                  <c:v>-877.55102040816325</c:v>
                </c:pt>
                <c:pt idx="3">
                  <c:v>184.78260869565219</c:v>
                </c:pt>
                <c:pt idx="4">
                  <c:v>1197.7777777777778</c:v>
                </c:pt>
                <c:pt idx="5">
                  <c:v>-677.5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3A-4B93-81BD-4766B71A9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47-4C27-B895-C61E9C272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-2487.1794871794873</c:v>
                </c:pt>
                <c:pt idx="1">
                  <c:v>1597.4358974358975</c:v>
                </c:pt>
                <c:pt idx="2">
                  <c:v>-716.21621621621625</c:v>
                </c:pt>
                <c:pt idx="3">
                  <c:v>-4045.7142857142858</c:v>
                </c:pt>
                <c:pt idx="4">
                  <c:v>145.16129032258064</c:v>
                </c:pt>
                <c:pt idx="5">
                  <c:v>680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49-42A3-A235-C1A26D94A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まっつん!$L$2:$L$36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A9-473A-B2C5-40C996CE3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1082.3529411764705</c:v>
                </c:pt>
                <c:pt idx="1">
                  <c:v>93.75</c:v>
                </c:pt>
                <c:pt idx="2">
                  <c:v>-2213.3333333333335</c:v>
                </c:pt>
                <c:pt idx="3">
                  <c:v>1482.7586206896551</c:v>
                </c:pt>
                <c:pt idx="4">
                  <c:v>-1450</c:v>
                </c:pt>
                <c:pt idx="5">
                  <c:v>-286.36363636363637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D2-4F4F-A710-CA3D8547B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D-44B3-96D7-2E6B1599F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5B-4240-A270-47BE123CC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いっしー!$L$2:$L$14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0A-4B65-BF17-3A7AE94E4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-508.33333333333331</c:v>
                </c:pt>
                <c:pt idx="1">
                  <c:v>-1075</c:v>
                </c:pt>
                <c:pt idx="2">
                  <c:v>-550</c:v>
                </c:pt>
                <c:pt idx="3">
                  <c:v>-3772.7272727272725</c:v>
                </c:pt>
                <c:pt idx="4">
                  <c:v>390.90909090909093</c:v>
                </c:pt>
                <c:pt idx="5">
                  <c:v>-3072.7272727272725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F0-42CB-8B83-CC1F05300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EB-4660-905C-55D2B8FCE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-2071.4285714285716</c:v>
                </c:pt>
                <c:pt idx="1">
                  <c:v>2828.5714285714284</c:v>
                </c:pt>
                <c:pt idx="2">
                  <c:v>-6371.4285714285716</c:v>
                </c:pt>
                <c:pt idx="3">
                  <c:v>-2471.4285714285716</c:v>
                </c:pt>
                <c:pt idx="4">
                  <c:v>4240</c:v>
                </c:pt>
                <c:pt idx="5">
                  <c:v>2020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8F-4652-AEC5-C079797058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39-4CE3-ABD9-482E7954A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D0-4844-B899-0F10622FE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DB-4F17-B2F6-44E42827D0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2000</c:v>
                </c:pt>
                <c:pt idx="1">
                  <c:v>-8000</c:v>
                </c:pt>
                <c:pt idx="2">
                  <c:v>-9000</c:v>
                </c:pt>
                <c:pt idx="3">
                  <c:v>-2000</c:v>
                </c:pt>
                <c:pt idx="4">
                  <c:v>-16000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CC-47AF-BD37-37881BACDE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やがさき2!$B$1:$B$2</c:f>
              <c:strCache>
                <c:ptCount val="2"/>
                <c:pt idx="0">
                  <c:v>やがさき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やがさき2!$B$3:$B$4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やがさき2!$C$1:$C$2</c:f>
              <c:strCache>
                <c:ptCount val="2"/>
                <c:pt idx="0">
                  <c:v>やがさき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やがさき2!$C$3:$C$4</c:f>
              <c:numCache>
                <c:formatCode>\+0.0;\-0.0;\±0</c:formatCode>
                <c:ptCount val="2"/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4182489735730541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やがさき2!$D$1:$D$2</c:f>
              <c:strCache>
                <c:ptCount val="2"/>
                <c:pt idx="0">
                  <c:v>やがさき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やがさき2!$D$3:$D$4</c:f>
              <c:numCache>
                <c:formatCode>0.00\ "位"</c:formatCode>
                <c:ptCount val="2"/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やがさき2!$E$1:$E$2</c:f>
              <c:strCache>
                <c:ptCount val="2"/>
                <c:pt idx="0">
                  <c:v>やがさき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やがさき2!$E$3:$E$4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やがさき2!$F$1:$F$2</c:f>
              <c:strCache>
                <c:ptCount val="2"/>
                <c:pt idx="0">
                  <c:v>やがさき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やがさき2!$F$3:$F$4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やがさき2!$G$1:$G$2</c:f>
              <c:strCache>
                <c:ptCount val="2"/>
                <c:pt idx="0">
                  <c:v>やがさき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やがさき2!$G$3:$G$4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やがさき2!$H$1:$H$2</c:f>
              <c:strCache>
                <c:ptCount val="2"/>
                <c:pt idx="0">
                  <c:v>やがさき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やがさき2!$H$3:$H$4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142857142857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やがさき2!$I$1:$I$2</c:f>
              <c:strCache>
                <c:ptCount val="2"/>
                <c:pt idx="0">
                  <c:v>やがさき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やがさき2!$I$3:$I$4</c:f>
              <c:numCache>
                <c:formatCode>0</c:formatCode>
                <c:ptCount val="2"/>
                <c:pt idx="1">
                  <c:v>8666.6666666666661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525.15873015872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やがさき2!$J$1:$J$2</c:f>
              <c:strCache>
                <c:ptCount val="2"/>
                <c:pt idx="0">
                  <c:v>やがさき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やがさき2!$J$3:$J$4</c:f>
              <c:numCache>
                <c:formatCode>0</c:formatCode>
                <c:ptCount val="2"/>
                <c:pt idx="1">
                  <c:v>-14000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160.968660968660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やがさき2!$K$1:$K$2</c:f>
              <c:strCache>
                <c:ptCount val="2"/>
                <c:pt idx="0">
                  <c:v>やがさき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やがさき2!$K$3:$K$4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1776447105788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やがさき2!$L$1:$L$2</c:f>
              <c:strCache>
                <c:ptCount val="2"/>
                <c:pt idx="0">
                  <c:v>やがさき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やがさき2!$L$3:$L$4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1776447105788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やがさき2!$M$1:$M$2</c:f>
              <c:strCache>
                <c:ptCount val="2"/>
                <c:pt idx="0">
                  <c:v>やがさき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やがさき2!$M$3:$M$4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452380952380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やがさき2!$N$1:$N$2</c:f>
              <c:strCache>
                <c:ptCount val="2"/>
                <c:pt idx="0">
                  <c:v>やがさき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やがさき2!$N$3:$N$4</c:f>
              <c:numCache>
                <c:formatCode>0.0%</c:formatCode>
                <c:ptCount val="2"/>
                <c:pt idx="1">
                  <c:v>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0238095238095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やがさき2!$O$1:$O$2</c:f>
              <c:strCache>
                <c:ptCount val="2"/>
                <c:pt idx="0">
                  <c:v>やがさき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やがさき2!$O$3:$O$4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7163920208152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やがさき2!$P$1:$P$2</c:f>
              <c:strCache>
                <c:ptCount val="2"/>
                <c:pt idx="0">
                  <c:v>やがさき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やがさき2!$P$3:$P$4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18459796149490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やがさき2!$Q$1:$Q$2</c:f>
              <c:strCache>
                <c:ptCount val="2"/>
                <c:pt idx="0">
                  <c:v>やがさき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やがさき2!$Q$3:$Q$4</c:f>
              <c:numCache>
                <c:formatCode>0.0%</c:formatCode>
                <c:ptCount val="2"/>
                <c:pt idx="1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65079365079365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DEC7A74-0E11-446F-8CB7-2F3F838053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DBAD76F-6B98-42F5-8751-45CA1F3F95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63F22B6-B4EA-4A09-8621-A734709D7C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CED7DDB-908F-4378-A28E-EB5EF57441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BD3ED6B-25A0-45EF-880B-E7C304F01F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E367CD-CD51-40CB-968C-325C524CDD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442C0DE-B55C-4560-BCCB-5EB495EB3C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C6FDE5A-72C2-4412-B5DD-3A94DB8478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7B9D99B-C05B-432E-91B7-C0B8EFA1DE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4C14D94-80AB-4B73-AE74-B5A4FCDE7F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2E2F884-9E9E-46B1-8251-8963A4C7D4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EBB25D1-7A47-4473-92D8-BE69ABB583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C32007E-A39D-43CF-BC61-907E202914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22F1A77-46C5-4439-935D-C9C3E04B04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D5B7126-1B9D-43F2-A710-E057015777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1013603-0DB1-48DC-9D5E-203F787E5F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8698671-52A0-4FBD-96CC-482B312843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8638088-C930-4C35-9117-381A7357F9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84888CB-0344-49EF-9A4C-57B9B9B10E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63A2FC8-1393-49CD-9A30-DAA5FDD5C5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6248888-520E-4192-9F93-4C1B80A5A4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784F9F5-DBCF-44B3-9F1F-BE451C4C80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2B87F36-A6B5-4120-9EF6-26CFA4E7AA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23F3FEB-AD21-427F-BBA1-2662017CF7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65AAB9-4058-4940-94ED-8658147FA6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C520922-6AFA-46E1-AAF8-15A3575ABA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43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43560.923958333333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43560.923958333333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43560.923958333333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43560.923958333333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43561.114791666667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43563.354502314818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43566.043888888889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43566.04109953704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43566.04109953704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43566.04109953704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43567.62232638889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43568.073333333334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43569.506898148145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43570.561921296299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43571.057638888888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43573.881539351853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43574.073113425926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43575.795416666668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43576.362476851849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43577.448182870372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43579.070729166669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43583.728298611109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43583.728298611109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43583.728298611109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43583.728298611109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43591.888472222221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43601.059386574074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43601.059386574074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43601.059386574074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43601.059386574074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43601.059386574074</v>
      </c>
      <c r="C32" s="30" t="s">
        <v>130</v>
      </c>
      <c r="D32" s="30" t="s">
        <v>131</v>
      </c>
    </row>
    <row r="33" spans="1:11" x14ac:dyDescent="0.4">
      <c r="A33" s="30" t="s">
        <v>218</v>
      </c>
      <c r="B33" s="31">
        <v>43601.059386574074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219</v>
      </c>
      <c r="B34" s="31">
        <v>43601.059386574074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220</v>
      </c>
      <c r="B35" s="31">
        <v>43601.059386574074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221</v>
      </c>
      <c r="B36" s="31">
        <v>43601.059386574074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222</v>
      </c>
      <c r="B37" s="31">
        <v>43601.059386574074</v>
      </c>
      <c r="C37" s="30" t="s">
        <v>130</v>
      </c>
      <c r="D37" s="30" t="s">
        <v>131</v>
      </c>
    </row>
    <row r="38" spans="1:11" x14ac:dyDescent="0.4">
      <c r="A38" s="30" t="s">
        <v>223</v>
      </c>
      <c r="B38" s="31">
        <v>43601.059942129628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226</v>
      </c>
      <c r="B39" s="31">
        <v>43602.105740740742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227</v>
      </c>
      <c r="B40" s="31">
        <v>43605.86346064815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187</v>
      </c>
      <c r="I40" s="30" t="s">
        <v>188</v>
      </c>
      <c r="J40" s="30" t="s">
        <v>189</v>
      </c>
      <c r="K40" s="30" t="s">
        <v>230</v>
      </c>
    </row>
    <row r="41" spans="1:11" x14ac:dyDescent="0.4">
      <c r="A41" s="30" t="s">
        <v>228</v>
      </c>
      <c r="B41" s="31">
        <v>43605.863437499997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229</v>
      </c>
      <c r="B42" s="31">
        <v>43605.863379629627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231</v>
      </c>
      <c r="B43" s="31">
        <v>43606.047962962963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501</v>
      </c>
    </row>
    <row r="2" spans="1:2" x14ac:dyDescent="0.4">
      <c r="A2" t="s">
        <v>127</v>
      </c>
      <c r="B2">
        <v>113</v>
      </c>
    </row>
    <row r="3" spans="1:2" x14ac:dyDescent="0.4">
      <c r="A3" t="s">
        <v>128</v>
      </c>
      <c r="B3">
        <v>113</v>
      </c>
    </row>
    <row r="4" spans="1:2" x14ac:dyDescent="0.4">
      <c r="A4" t="s">
        <v>129</v>
      </c>
      <c r="B4">
        <v>57</v>
      </c>
    </row>
    <row r="5" spans="1:2" x14ac:dyDescent="0.4">
      <c r="A5" t="s">
        <v>171</v>
      </c>
      <c r="B5">
        <v>67</v>
      </c>
    </row>
    <row r="6" spans="1:2" x14ac:dyDescent="0.4">
      <c r="A6" t="s">
        <v>172</v>
      </c>
      <c r="B6">
        <v>54</v>
      </c>
    </row>
    <row r="7" spans="1:2" x14ac:dyDescent="0.4">
      <c r="A7" t="s">
        <v>173</v>
      </c>
      <c r="B7">
        <v>39</v>
      </c>
    </row>
    <row r="8" spans="1:2" x14ac:dyDescent="0.4">
      <c r="A8" t="s">
        <v>177</v>
      </c>
      <c r="B8">
        <v>34</v>
      </c>
    </row>
    <row r="9" spans="1:2" x14ac:dyDescent="0.4">
      <c r="A9" t="s">
        <v>185</v>
      </c>
      <c r="B9">
        <v>3</v>
      </c>
    </row>
    <row r="10" spans="1:2" x14ac:dyDescent="0.4">
      <c r="A10" t="s">
        <v>186</v>
      </c>
      <c r="B10">
        <v>12</v>
      </c>
    </row>
    <row r="11" spans="1:2" x14ac:dyDescent="0.4">
      <c r="A11" t="s">
        <v>202</v>
      </c>
      <c r="B11">
        <v>7</v>
      </c>
    </row>
    <row r="12" spans="1:2" x14ac:dyDescent="0.4">
      <c r="A12" t="s">
        <v>224</v>
      </c>
      <c r="B12">
        <v>1</v>
      </c>
    </row>
    <row r="13" spans="1:2" x14ac:dyDescent="0.4">
      <c r="A13" t="s">
        <v>225</v>
      </c>
      <c r="B13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4" t="s">
        <v>6</v>
      </c>
      <c r="C1" s="155"/>
      <c r="D1" s="154" t="s">
        <v>7</v>
      </c>
      <c r="E1" s="155"/>
      <c r="F1" s="154" t="s">
        <v>16</v>
      </c>
      <c r="G1" s="155"/>
      <c r="H1" s="154" t="s">
        <v>15</v>
      </c>
      <c r="I1" s="155"/>
      <c r="J1" s="154" t="s">
        <v>162</v>
      </c>
      <c r="K1" s="155"/>
      <c r="L1" s="154" t="s">
        <v>149</v>
      </c>
      <c r="M1" s="155"/>
      <c r="N1" s="154" t="s">
        <v>150</v>
      </c>
      <c r="O1" s="155"/>
      <c r="P1" s="154" t="s">
        <v>5</v>
      </c>
      <c r="Q1" s="155"/>
      <c r="R1" s="154" t="s">
        <v>17</v>
      </c>
      <c r="S1" s="155"/>
      <c r="T1" s="154" t="s">
        <v>18</v>
      </c>
      <c r="U1" s="155"/>
      <c r="V1" s="154" t="s">
        <v>141</v>
      </c>
      <c r="W1" s="155"/>
      <c r="X1" s="154" t="s">
        <v>123</v>
      </c>
      <c r="Y1" s="155"/>
      <c r="Z1" s="154" t="s">
        <v>120</v>
      </c>
      <c r="AA1" s="155"/>
      <c r="AB1" s="154" t="s">
        <v>126</v>
      </c>
      <c r="AC1" s="155"/>
      <c r="AD1" s="154" t="s">
        <v>151</v>
      </c>
      <c r="AE1" s="155"/>
      <c r="AF1" s="154" t="s">
        <v>144</v>
      </c>
      <c r="AG1" s="155"/>
      <c r="AH1" s="154" t="s">
        <v>153</v>
      </c>
      <c r="AI1" s="155"/>
    </row>
    <row r="2" spans="1:35" x14ac:dyDescent="0.4">
      <c r="A2" s="72" t="s">
        <v>161</v>
      </c>
      <c r="B2" s="156"/>
      <c r="C2" s="157"/>
      <c r="D2" s="156"/>
      <c r="E2" s="157"/>
      <c r="F2" s="158">
        <v>0.43427555723015854</v>
      </c>
      <c r="G2" s="159"/>
      <c r="H2" s="158">
        <v>0.13444759864125969</v>
      </c>
      <c r="I2" s="159"/>
      <c r="J2" s="158">
        <v>0.5561353531383606</v>
      </c>
      <c r="K2" s="159"/>
      <c r="L2" s="158">
        <v>0.18372674199675085</v>
      </c>
      <c r="M2" s="159"/>
      <c r="N2" s="158">
        <v>0.4635660677921688</v>
      </c>
      <c r="O2" s="159"/>
      <c r="P2" s="158">
        <v>0.55554212240637502</v>
      </c>
      <c r="Q2" s="159"/>
      <c r="R2" s="158">
        <v>-6.9070306598601652E-2</v>
      </c>
      <c r="S2" s="159"/>
      <c r="T2" s="158">
        <v>0.14496833039309381</v>
      </c>
      <c r="U2" s="159"/>
      <c r="V2" s="158">
        <v>0.70375683561613311</v>
      </c>
      <c r="W2" s="159"/>
      <c r="X2" s="158">
        <v>0.89338976762356015</v>
      </c>
      <c r="Y2" s="159"/>
      <c r="Z2" s="158">
        <v>-0.201274946492977</v>
      </c>
      <c r="AA2" s="159"/>
      <c r="AB2" s="158">
        <v>-0.43286454100753746</v>
      </c>
      <c r="AC2" s="159"/>
      <c r="AD2" s="158">
        <v>-5.2531104950164663E-3</v>
      </c>
      <c r="AE2" s="159"/>
      <c r="AF2" s="158">
        <v>-0.43685386020783967</v>
      </c>
      <c r="AG2" s="159"/>
      <c r="AH2" s="158">
        <v>0.68797776064394556</v>
      </c>
      <c r="AI2" s="159"/>
    </row>
    <row r="3" spans="1:35" x14ac:dyDescent="0.4">
      <c r="A3" s="74">
        <v>1</v>
      </c>
      <c r="B3" s="75" t="s">
        <v>127</v>
      </c>
      <c r="C3" s="76">
        <v>1346.8000000000009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225</v>
      </c>
      <c r="M3" s="80">
        <v>0.375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0.17699115044247787</v>
      </c>
      <c r="X3" s="77" t="s">
        <v>225</v>
      </c>
      <c r="Y3" s="80">
        <v>0.375</v>
      </c>
      <c r="Z3" s="77" t="s">
        <v>172</v>
      </c>
      <c r="AA3" s="80">
        <v>0.29535864978902954</v>
      </c>
      <c r="AB3" s="77" t="s">
        <v>225</v>
      </c>
      <c r="AC3" s="80">
        <v>1</v>
      </c>
      <c r="AD3" s="77" t="s">
        <v>127</v>
      </c>
      <c r="AE3" s="80">
        <v>0.51</v>
      </c>
      <c r="AF3" s="77" t="s">
        <v>225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154.1</v>
      </c>
      <c r="D4" s="85" t="s">
        <v>224</v>
      </c>
      <c r="E4" s="97">
        <v>13.3</v>
      </c>
      <c r="F4" s="85" t="s">
        <v>127</v>
      </c>
      <c r="G4" s="86">
        <v>1.7433628318584071</v>
      </c>
      <c r="H4" s="85" t="s">
        <v>127</v>
      </c>
      <c r="I4" s="87">
        <v>0.49557522123893805</v>
      </c>
      <c r="J4" s="85" t="s">
        <v>224</v>
      </c>
      <c r="K4" s="87">
        <v>0</v>
      </c>
      <c r="L4" s="85" t="s">
        <v>172</v>
      </c>
      <c r="M4" s="88">
        <v>0.37130801687763715</v>
      </c>
      <c r="N4" s="85" t="s">
        <v>185</v>
      </c>
      <c r="O4" s="88">
        <v>0.10526315789473684</v>
      </c>
      <c r="P4" s="85" t="s">
        <v>171</v>
      </c>
      <c r="Q4" s="89">
        <v>9796.25</v>
      </c>
      <c r="R4" s="85" t="s">
        <v>202</v>
      </c>
      <c r="S4" s="89">
        <v>-6683.333333333333</v>
      </c>
      <c r="T4" s="85" t="s">
        <v>202</v>
      </c>
      <c r="U4" s="87">
        <v>0</v>
      </c>
      <c r="V4" s="85" t="s">
        <v>171</v>
      </c>
      <c r="W4" s="87">
        <v>0.13432835820895522</v>
      </c>
      <c r="X4" s="85" t="s">
        <v>127</v>
      </c>
      <c r="Y4" s="88">
        <v>0.32713347921225383</v>
      </c>
      <c r="Z4" s="85" t="s">
        <v>202</v>
      </c>
      <c r="AA4" s="88">
        <v>0.27536231884057971</v>
      </c>
      <c r="AB4" s="85" t="s">
        <v>202</v>
      </c>
      <c r="AC4" s="88">
        <v>0.70588235294117652</v>
      </c>
      <c r="AD4" s="85" t="s">
        <v>185</v>
      </c>
      <c r="AE4" s="88">
        <v>0.5</v>
      </c>
      <c r="AF4" s="85" t="s">
        <v>202</v>
      </c>
      <c r="AG4" s="88">
        <v>0.5714285714285714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185</v>
      </c>
      <c r="C5" s="84">
        <v>61</v>
      </c>
      <c r="D5" s="85" t="s">
        <v>127</v>
      </c>
      <c r="E5" s="97">
        <v>11.918584070796468</v>
      </c>
      <c r="F5" s="85" t="s">
        <v>177</v>
      </c>
      <c r="G5" s="86">
        <v>1.9705882352941178</v>
      </c>
      <c r="H5" s="85" t="s">
        <v>186</v>
      </c>
      <c r="I5" s="87">
        <v>0.41666666666666669</v>
      </c>
      <c r="J5" s="85" t="s">
        <v>202</v>
      </c>
      <c r="K5" s="87">
        <v>0.14285714285714285</v>
      </c>
      <c r="L5" s="85" t="s">
        <v>127</v>
      </c>
      <c r="M5" s="88">
        <v>0.34901531728665208</v>
      </c>
      <c r="N5" s="85" t="s">
        <v>172</v>
      </c>
      <c r="O5" s="88">
        <v>0.13291139240506328</v>
      </c>
      <c r="P5" s="85" t="s">
        <v>128</v>
      </c>
      <c r="Q5" s="89">
        <v>9246.8503937007881</v>
      </c>
      <c r="R5" s="85" t="s">
        <v>128</v>
      </c>
      <c r="S5" s="89">
        <v>-7563.125</v>
      </c>
      <c r="T5" s="85" t="s">
        <v>224</v>
      </c>
      <c r="U5" s="87">
        <v>0</v>
      </c>
      <c r="V5" s="85" t="s">
        <v>129</v>
      </c>
      <c r="W5" s="87">
        <v>0.12280701754385964</v>
      </c>
      <c r="X5" s="85" t="s">
        <v>128</v>
      </c>
      <c r="Y5" s="88">
        <v>0.29594017094017094</v>
      </c>
      <c r="Z5" s="85" t="s">
        <v>173</v>
      </c>
      <c r="AA5" s="88">
        <v>0.24853801169590642</v>
      </c>
      <c r="AB5" s="85" t="s">
        <v>177</v>
      </c>
      <c r="AC5" s="88">
        <v>0.7</v>
      </c>
      <c r="AD5" s="85" t="s">
        <v>186</v>
      </c>
      <c r="AE5" s="88">
        <v>0.45</v>
      </c>
      <c r="AF5" s="85" t="s">
        <v>173</v>
      </c>
      <c r="AG5" s="88">
        <v>0.5145631067961165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172</v>
      </c>
      <c r="C6" s="84">
        <v>55.599999999999987</v>
      </c>
      <c r="D6" s="85" t="s">
        <v>171</v>
      </c>
      <c r="E6" s="97">
        <v>2.2999999999999998</v>
      </c>
      <c r="F6" s="85" t="s">
        <v>145</v>
      </c>
      <c r="G6" s="86">
        <v>2</v>
      </c>
      <c r="H6" s="85" t="s">
        <v>177</v>
      </c>
      <c r="I6" s="87">
        <v>0.38235294117647056</v>
      </c>
      <c r="J6" s="85" t="s">
        <v>127</v>
      </c>
      <c r="K6" s="87">
        <v>0.23893805309734514</v>
      </c>
      <c r="L6" s="85" t="s">
        <v>202</v>
      </c>
      <c r="M6" s="88">
        <v>0.30434782608695654</v>
      </c>
      <c r="N6" s="85" t="s">
        <v>127</v>
      </c>
      <c r="O6" s="88">
        <v>0.15207877461706784</v>
      </c>
      <c r="P6" s="85" t="s">
        <v>127</v>
      </c>
      <c r="Q6" s="89">
        <v>9076.1755485893409</v>
      </c>
      <c r="R6" s="85" t="s">
        <v>173</v>
      </c>
      <c r="S6" s="89">
        <v>-7690.7692307692305</v>
      </c>
      <c r="T6" s="85" t="s">
        <v>225</v>
      </c>
      <c r="U6" s="87">
        <v>0</v>
      </c>
      <c r="V6" s="85" t="s">
        <v>145</v>
      </c>
      <c r="W6" s="87">
        <v>0.11177644710578842</v>
      </c>
      <c r="X6" s="85" t="s">
        <v>171</v>
      </c>
      <c r="Y6" s="88">
        <v>0.28021015761821366</v>
      </c>
      <c r="Z6" s="85" t="s">
        <v>177</v>
      </c>
      <c r="AA6" s="88">
        <v>0.22614840989399293</v>
      </c>
      <c r="AB6" s="85" t="s">
        <v>186</v>
      </c>
      <c r="AC6" s="88">
        <v>0.625</v>
      </c>
      <c r="AD6" s="85" t="s">
        <v>172</v>
      </c>
      <c r="AE6" s="88">
        <v>0.43571428571428572</v>
      </c>
      <c r="AF6" s="85" t="s">
        <v>186</v>
      </c>
      <c r="AG6" s="88">
        <v>0.5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224</v>
      </c>
      <c r="C7" s="84">
        <v>13.3</v>
      </c>
      <c r="D7" s="85" t="s">
        <v>172</v>
      </c>
      <c r="E7" s="97">
        <v>1.0296296296296295</v>
      </c>
      <c r="F7" s="85" t="s">
        <v>202</v>
      </c>
      <c r="G7" s="86">
        <v>2</v>
      </c>
      <c r="H7" s="85" t="s">
        <v>145</v>
      </c>
      <c r="I7" s="87">
        <v>0.33333333333333331</v>
      </c>
      <c r="J7" s="85" t="s">
        <v>172</v>
      </c>
      <c r="K7" s="87">
        <v>0.31481481481481483</v>
      </c>
      <c r="L7" s="85" t="s">
        <v>173</v>
      </c>
      <c r="M7" s="88">
        <v>0.30116959064327486</v>
      </c>
      <c r="N7" s="85" t="s">
        <v>171</v>
      </c>
      <c r="O7" s="88">
        <v>0.16462346760070051</v>
      </c>
      <c r="P7" s="85" t="s">
        <v>129</v>
      </c>
      <c r="Q7" s="89">
        <v>9033.9622641509432</v>
      </c>
      <c r="R7" s="85" t="s">
        <v>186</v>
      </c>
      <c r="S7" s="89">
        <v>-7700</v>
      </c>
      <c r="T7" s="85" t="s">
        <v>171</v>
      </c>
      <c r="U7" s="87">
        <v>4.4776119402985072E-2</v>
      </c>
      <c r="V7" s="85" t="s">
        <v>172</v>
      </c>
      <c r="W7" s="87">
        <v>0.1111111111111111</v>
      </c>
      <c r="X7" s="85" t="s">
        <v>145</v>
      </c>
      <c r="Y7" s="88">
        <v>0.2745238095238095</v>
      </c>
      <c r="Z7" s="85" t="s">
        <v>127</v>
      </c>
      <c r="AA7" s="88">
        <v>0.21881838074398249</v>
      </c>
      <c r="AB7" s="85" t="s">
        <v>173</v>
      </c>
      <c r="AC7" s="88">
        <v>0.6</v>
      </c>
      <c r="AD7" s="85" t="s">
        <v>202</v>
      </c>
      <c r="AE7" s="88">
        <v>0.42105263157894735</v>
      </c>
      <c r="AF7" s="85" t="s">
        <v>224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145</v>
      </c>
      <c r="C8" s="84">
        <v>7.1054273576010019E-15</v>
      </c>
      <c r="D8" s="85" t="s">
        <v>145</v>
      </c>
      <c r="E8" s="97">
        <v>1.4182489735730541E-17</v>
      </c>
      <c r="F8" s="85" t="s">
        <v>224</v>
      </c>
      <c r="G8" s="86">
        <v>2</v>
      </c>
      <c r="H8" s="85" t="s">
        <v>171</v>
      </c>
      <c r="I8" s="87">
        <v>0.29850746268656714</v>
      </c>
      <c r="J8" s="85" t="s">
        <v>173</v>
      </c>
      <c r="K8" s="87">
        <v>0.33333333333333331</v>
      </c>
      <c r="L8" s="85" t="s">
        <v>145</v>
      </c>
      <c r="M8" s="88">
        <v>0.3</v>
      </c>
      <c r="N8" s="85" t="s">
        <v>145</v>
      </c>
      <c r="O8" s="88">
        <v>0.16714285714285715</v>
      </c>
      <c r="P8" s="85" t="s">
        <v>225</v>
      </c>
      <c r="Q8" s="89">
        <v>8666.6666666666661</v>
      </c>
      <c r="R8" s="85" t="s">
        <v>177</v>
      </c>
      <c r="S8" s="89">
        <v>-7735.416666666667</v>
      </c>
      <c r="T8" s="85" t="s">
        <v>172</v>
      </c>
      <c r="U8" s="87">
        <v>5.5555555555555552E-2</v>
      </c>
      <c r="V8" s="85" t="s">
        <v>128</v>
      </c>
      <c r="W8" s="87">
        <v>8.8495575221238937E-2</v>
      </c>
      <c r="X8" s="85" t="s">
        <v>185</v>
      </c>
      <c r="Y8" s="88">
        <v>0.26315789473684209</v>
      </c>
      <c r="Z8" s="85" t="s">
        <v>185</v>
      </c>
      <c r="AA8" s="88">
        <v>0.21052631578947367</v>
      </c>
      <c r="AB8" s="85" t="s">
        <v>185</v>
      </c>
      <c r="AC8" s="88">
        <v>0.6</v>
      </c>
      <c r="AD8" s="85" t="s">
        <v>171</v>
      </c>
      <c r="AE8" s="88">
        <v>0.39622641509433965</v>
      </c>
      <c r="AF8" s="85" t="s">
        <v>129</v>
      </c>
      <c r="AG8" s="88">
        <v>0.48113207547169812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202</v>
      </c>
      <c r="C9" s="84">
        <v>-25.300000000000004</v>
      </c>
      <c r="D9" s="85" t="s">
        <v>177</v>
      </c>
      <c r="E9" s="97">
        <v>-1.3470588235294119</v>
      </c>
      <c r="F9" s="85" t="s">
        <v>172</v>
      </c>
      <c r="G9" s="86">
        <v>2.0370370370370372</v>
      </c>
      <c r="H9" s="85" t="s">
        <v>173</v>
      </c>
      <c r="I9" s="87">
        <v>0.28205128205128205</v>
      </c>
      <c r="J9" s="85" t="s">
        <v>145</v>
      </c>
      <c r="K9" s="87">
        <v>0.33333333333333331</v>
      </c>
      <c r="L9" s="85" t="s">
        <v>177</v>
      </c>
      <c r="M9" s="88">
        <v>0.29328621908127206</v>
      </c>
      <c r="N9" s="85" t="s">
        <v>177</v>
      </c>
      <c r="O9" s="88">
        <v>0.16961130742049471</v>
      </c>
      <c r="P9" s="85" t="s">
        <v>145</v>
      </c>
      <c r="Q9" s="89">
        <v>8525.1587301587297</v>
      </c>
      <c r="R9" s="85" t="s">
        <v>171</v>
      </c>
      <c r="S9" s="89">
        <v>-7773.4042553191493</v>
      </c>
      <c r="T9" s="85" t="s">
        <v>173</v>
      </c>
      <c r="U9" s="87">
        <v>0.10256410256410256</v>
      </c>
      <c r="V9" s="85" t="s">
        <v>177</v>
      </c>
      <c r="W9" s="87">
        <v>5.8823529411764705E-2</v>
      </c>
      <c r="X9" s="85" t="s">
        <v>129</v>
      </c>
      <c r="Y9" s="88">
        <v>0.2569593147751606</v>
      </c>
      <c r="Z9" s="85" t="s">
        <v>145</v>
      </c>
      <c r="AA9" s="88">
        <v>0.21023809523809525</v>
      </c>
      <c r="AB9" s="85" t="s">
        <v>172</v>
      </c>
      <c r="AC9" s="88">
        <v>0.59047619047619049</v>
      </c>
      <c r="AD9" s="85" t="s">
        <v>145</v>
      </c>
      <c r="AE9" s="88">
        <v>0.39184597961494905</v>
      </c>
      <c r="AF9" s="85" t="s">
        <v>145</v>
      </c>
      <c r="AG9" s="88">
        <v>0.43650793650793651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225</v>
      </c>
      <c r="C10" s="84">
        <v>-37</v>
      </c>
      <c r="D10" s="85" t="s">
        <v>128</v>
      </c>
      <c r="E10" s="97">
        <v>-2.8646017699115052</v>
      </c>
      <c r="F10" s="85" t="s">
        <v>171</v>
      </c>
      <c r="G10" s="86">
        <v>2.044776119402985</v>
      </c>
      <c r="H10" s="85" t="s">
        <v>172</v>
      </c>
      <c r="I10" s="87">
        <v>0.27777777777777779</v>
      </c>
      <c r="J10" s="85" t="s">
        <v>171</v>
      </c>
      <c r="K10" s="87">
        <v>0.34328358208955223</v>
      </c>
      <c r="L10" s="85" t="s">
        <v>171</v>
      </c>
      <c r="M10" s="88">
        <v>0.28021015761821366</v>
      </c>
      <c r="N10" s="85" t="s">
        <v>128</v>
      </c>
      <c r="O10" s="88">
        <v>0.17094017094017094</v>
      </c>
      <c r="P10" s="85" t="s">
        <v>177</v>
      </c>
      <c r="Q10" s="89">
        <v>7945.7831325301204</v>
      </c>
      <c r="R10" s="85" t="s">
        <v>145</v>
      </c>
      <c r="S10" s="89">
        <v>-8160.9686609686605</v>
      </c>
      <c r="T10" s="85" t="s">
        <v>145</v>
      </c>
      <c r="U10" s="87">
        <v>0.11177644710578842</v>
      </c>
      <c r="V10" s="85" t="s">
        <v>173</v>
      </c>
      <c r="W10" s="87">
        <v>5.128205128205128E-2</v>
      </c>
      <c r="X10" s="85" t="s">
        <v>202</v>
      </c>
      <c r="Y10" s="88">
        <v>0.24637681159420291</v>
      </c>
      <c r="Z10" s="85" t="s">
        <v>186</v>
      </c>
      <c r="AA10" s="88">
        <v>0.19230769230769232</v>
      </c>
      <c r="AB10" s="85" t="s">
        <v>171</v>
      </c>
      <c r="AC10" s="88">
        <v>0.58750000000000002</v>
      </c>
      <c r="AD10" s="85" t="s">
        <v>177</v>
      </c>
      <c r="AE10" s="88">
        <v>0.390625</v>
      </c>
      <c r="AF10" s="85" t="s">
        <v>171</v>
      </c>
      <c r="AG10" s="88">
        <v>0.43125000000000002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177</v>
      </c>
      <c r="C11" s="84">
        <v>-45.800000000000004</v>
      </c>
      <c r="D11" s="85" t="s">
        <v>202</v>
      </c>
      <c r="E11" s="97">
        <v>-3.6142857142857148</v>
      </c>
      <c r="F11" s="85" t="s">
        <v>173</v>
      </c>
      <c r="G11" s="86">
        <v>2.0512820512820511</v>
      </c>
      <c r="H11" s="85" t="s">
        <v>128</v>
      </c>
      <c r="I11" s="87">
        <v>0.26548672566371684</v>
      </c>
      <c r="J11" s="85" t="s">
        <v>128</v>
      </c>
      <c r="K11" s="87">
        <v>0.34513274336283184</v>
      </c>
      <c r="L11" s="85" t="s">
        <v>128</v>
      </c>
      <c r="M11" s="88">
        <v>0.27136752136752135</v>
      </c>
      <c r="N11" s="85" t="s">
        <v>202</v>
      </c>
      <c r="O11" s="88">
        <v>0.17391304347826086</v>
      </c>
      <c r="P11" s="85" t="s">
        <v>185</v>
      </c>
      <c r="Q11" s="89">
        <v>7860</v>
      </c>
      <c r="R11" s="85" t="s">
        <v>127</v>
      </c>
      <c r="S11" s="89">
        <v>-8412.9496402877703</v>
      </c>
      <c r="T11" s="85" t="s">
        <v>127</v>
      </c>
      <c r="U11" s="87">
        <v>0.11504424778761062</v>
      </c>
      <c r="V11" s="85" t="s">
        <v>186</v>
      </c>
      <c r="W11" s="87">
        <v>0</v>
      </c>
      <c r="X11" s="85" t="s">
        <v>173</v>
      </c>
      <c r="Y11" s="88">
        <v>0.23391812865497075</v>
      </c>
      <c r="Z11" s="85" t="s">
        <v>171</v>
      </c>
      <c r="AA11" s="88">
        <v>0.18563922942206654</v>
      </c>
      <c r="AB11" s="85" t="s">
        <v>145</v>
      </c>
      <c r="AC11" s="88">
        <v>0.58716392020815267</v>
      </c>
      <c r="AD11" s="85" t="s">
        <v>173</v>
      </c>
      <c r="AE11" s="88">
        <v>0.3411764705882353</v>
      </c>
      <c r="AF11" s="85" t="s">
        <v>128</v>
      </c>
      <c r="AG11" s="88">
        <v>0.42125984251968501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186</v>
      </c>
      <c r="C12" s="84">
        <v>-116.6</v>
      </c>
      <c r="D12" s="85" t="s">
        <v>173</v>
      </c>
      <c r="E12" s="97">
        <v>-5.7410256410256411</v>
      </c>
      <c r="F12" s="85" t="s">
        <v>128</v>
      </c>
      <c r="G12" s="86">
        <v>2.0796460176991149</v>
      </c>
      <c r="H12" s="85" t="s">
        <v>129</v>
      </c>
      <c r="I12" s="87">
        <v>0.24561403508771928</v>
      </c>
      <c r="J12" s="85" t="s">
        <v>177</v>
      </c>
      <c r="K12" s="87">
        <v>0.35294117647058826</v>
      </c>
      <c r="L12" s="85" t="s">
        <v>186</v>
      </c>
      <c r="M12" s="88">
        <v>0.26923076923076922</v>
      </c>
      <c r="N12" s="85" t="s">
        <v>173</v>
      </c>
      <c r="O12" s="88">
        <v>0.19005847953216373</v>
      </c>
      <c r="P12" s="85" t="s">
        <v>186</v>
      </c>
      <c r="Q12" s="89">
        <v>7700</v>
      </c>
      <c r="R12" s="85" t="s">
        <v>129</v>
      </c>
      <c r="S12" s="89">
        <v>-9095.6043956043959</v>
      </c>
      <c r="T12" s="85" t="s">
        <v>128</v>
      </c>
      <c r="U12" s="87">
        <v>0.12389380530973451</v>
      </c>
      <c r="V12" s="85" t="s">
        <v>185</v>
      </c>
      <c r="W12" s="87">
        <v>0</v>
      </c>
      <c r="X12" s="85" t="s">
        <v>186</v>
      </c>
      <c r="Y12" s="88">
        <v>0.23076923076923078</v>
      </c>
      <c r="Z12" s="85" t="s">
        <v>128</v>
      </c>
      <c r="AA12" s="88">
        <v>0.18162393162393162</v>
      </c>
      <c r="AB12" s="85" t="s">
        <v>128</v>
      </c>
      <c r="AC12" s="88">
        <v>0.58483754512635377</v>
      </c>
      <c r="AD12" s="85" t="s">
        <v>128</v>
      </c>
      <c r="AE12" s="88">
        <v>0.29411764705882354</v>
      </c>
      <c r="AF12" s="85" t="s">
        <v>172</v>
      </c>
      <c r="AG12" s="88">
        <v>0.42045454545454547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-223.9</v>
      </c>
      <c r="D13" s="85" t="s">
        <v>186</v>
      </c>
      <c r="E13" s="97">
        <v>-9.7166666666666668</v>
      </c>
      <c r="F13" s="85" t="s">
        <v>186</v>
      </c>
      <c r="G13" s="86">
        <v>2.0833333333333335</v>
      </c>
      <c r="H13" s="85" t="s">
        <v>202</v>
      </c>
      <c r="I13" s="87">
        <v>0.14285714285714285</v>
      </c>
      <c r="J13" s="85" t="s">
        <v>129</v>
      </c>
      <c r="K13" s="87">
        <v>0.49122807017543857</v>
      </c>
      <c r="L13" s="85" t="s">
        <v>185</v>
      </c>
      <c r="M13" s="88">
        <v>0.26315789473684209</v>
      </c>
      <c r="N13" s="85" t="s">
        <v>129</v>
      </c>
      <c r="O13" s="88">
        <v>0.19486081370449679</v>
      </c>
      <c r="P13" s="85" t="s">
        <v>202</v>
      </c>
      <c r="Q13" s="89">
        <v>7438.0952380952385</v>
      </c>
      <c r="R13" s="85" t="s">
        <v>172</v>
      </c>
      <c r="S13" s="89">
        <v>-9374.6031746031749</v>
      </c>
      <c r="T13" s="85" t="s">
        <v>186</v>
      </c>
      <c r="U13" s="87">
        <v>0.16666666666666666</v>
      </c>
      <c r="V13" s="85" t="s">
        <v>202</v>
      </c>
      <c r="W13" s="87">
        <v>0</v>
      </c>
      <c r="X13" s="85" t="s">
        <v>224</v>
      </c>
      <c r="Y13" s="88">
        <v>0.23076923076923078</v>
      </c>
      <c r="Z13" s="85" t="s">
        <v>129</v>
      </c>
      <c r="AA13" s="88">
        <v>0.15631691648822268</v>
      </c>
      <c r="AB13" s="85" t="s">
        <v>127</v>
      </c>
      <c r="AC13" s="88">
        <v>0.57859531772575246</v>
      </c>
      <c r="AD13" s="85" t="s">
        <v>129</v>
      </c>
      <c r="AE13" s="88">
        <v>0.24657534246575341</v>
      </c>
      <c r="AF13" s="85" t="s">
        <v>127</v>
      </c>
      <c r="AG13" s="88">
        <v>0.41692789968652039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-323.7000000000001</v>
      </c>
      <c r="D14" s="85" t="s">
        <v>129</v>
      </c>
      <c r="E14" s="97">
        <v>-15.061403508771926</v>
      </c>
      <c r="F14" s="85" t="s">
        <v>129</v>
      </c>
      <c r="G14" s="86">
        <v>2.2456140350877192</v>
      </c>
      <c r="H14" s="85" t="s">
        <v>224</v>
      </c>
      <c r="I14" s="87">
        <v>0</v>
      </c>
      <c r="J14" s="85" t="s">
        <v>186</v>
      </c>
      <c r="K14" s="87">
        <v>0.5</v>
      </c>
      <c r="L14" s="85" t="s">
        <v>129</v>
      </c>
      <c r="M14" s="88">
        <v>0.22698072805139186</v>
      </c>
      <c r="N14" s="85" t="s">
        <v>186</v>
      </c>
      <c r="O14" s="88">
        <v>0.23076923076923078</v>
      </c>
      <c r="P14" s="85" t="s">
        <v>173</v>
      </c>
      <c r="Q14" s="89">
        <v>6838.8349514563106</v>
      </c>
      <c r="R14" s="85" t="s">
        <v>224</v>
      </c>
      <c r="S14" s="89">
        <v>-12000</v>
      </c>
      <c r="T14" s="85" t="s">
        <v>177</v>
      </c>
      <c r="U14" s="87">
        <v>0.17647058823529413</v>
      </c>
      <c r="V14" s="85" t="s">
        <v>224</v>
      </c>
      <c r="W14" s="87">
        <v>0</v>
      </c>
      <c r="X14" s="85" t="s">
        <v>172</v>
      </c>
      <c r="Y14" s="88">
        <v>0.22151898734177214</v>
      </c>
      <c r="Z14" s="85" t="s">
        <v>225</v>
      </c>
      <c r="AA14" s="88">
        <v>0.125</v>
      </c>
      <c r="AB14" s="85" t="s">
        <v>129</v>
      </c>
      <c r="AC14" s="88">
        <v>0.51666666666666672</v>
      </c>
      <c r="AD14" s="85" t="s">
        <v>224</v>
      </c>
      <c r="AE14" s="88">
        <v>0</v>
      </c>
      <c r="AF14" s="85" t="s">
        <v>177</v>
      </c>
      <c r="AG14" s="88">
        <v>0.39759036144578314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-858.49999999999977</v>
      </c>
      <c r="D15" s="85" t="s">
        <v>225</v>
      </c>
      <c r="E15" s="97">
        <v>-37</v>
      </c>
      <c r="F15" s="85" t="s">
        <v>225</v>
      </c>
      <c r="G15" s="86">
        <v>3</v>
      </c>
      <c r="H15" s="85" t="s">
        <v>225</v>
      </c>
      <c r="I15" s="87">
        <v>0</v>
      </c>
      <c r="J15" s="85" t="s">
        <v>225</v>
      </c>
      <c r="K15" s="87">
        <v>1</v>
      </c>
      <c r="L15" s="85" t="s">
        <v>224</v>
      </c>
      <c r="M15" s="88">
        <v>0.15384615384615385</v>
      </c>
      <c r="N15" s="85" t="s">
        <v>225</v>
      </c>
      <c r="O15" s="88">
        <v>0.375</v>
      </c>
      <c r="P15" s="85" t="s">
        <v>172</v>
      </c>
      <c r="Q15" s="89">
        <v>6500.568181818182</v>
      </c>
      <c r="R15" s="85" t="s">
        <v>225</v>
      </c>
      <c r="S15" s="89">
        <v>-14000</v>
      </c>
      <c r="T15" s="85" t="s">
        <v>129</v>
      </c>
      <c r="U15" s="87">
        <v>0.19298245614035087</v>
      </c>
      <c r="V15" s="85" t="s">
        <v>225</v>
      </c>
      <c r="W15" s="87">
        <v>0</v>
      </c>
      <c r="X15" s="85" t="s">
        <v>177</v>
      </c>
      <c r="Y15" s="88">
        <v>0.21201413427561838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225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18000</v>
      </c>
    </row>
  </sheetData>
  <sortState ref="AH3:AI45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81DE2-DBF1-4511-A66F-3BC2C483E97C}">
  <sheetPr codeName="Sheet4"/>
  <dimension ref="A1:Q50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501</v>
      </c>
      <c r="C2" s="147"/>
      <c r="E2" s="62" t="s">
        <v>67</v>
      </c>
      <c r="F2" s="59" t="s">
        <v>23</v>
      </c>
      <c r="G2" s="46">
        <v>923</v>
      </c>
      <c r="H2" s="132">
        <f>IF(B$17=0,0,G2/B$17)</f>
        <v>0.73253968253968249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-15.968063872255488</v>
      </c>
      <c r="P2" s="118">
        <v>501</v>
      </c>
      <c r="Q2" s="102">
        <v>-8000</v>
      </c>
    </row>
    <row r="3" spans="1:17" x14ac:dyDescent="0.4">
      <c r="A3" s="55" t="s">
        <v>8</v>
      </c>
      <c r="B3" s="148">
        <v>4200</v>
      </c>
      <c r="C3" s="149"/>
      <c r="E3" s="63" t="s">
        <v>65</v>
      </c>
      <c r="F3" s="60" t="s">
        <v>21</v>
      </c>
      <c r="G3" s="47">
        <v>650</v>
      </c>
      <c r="H3" s="133">
        <f>IF(B$17=0,0,G3/B$17)</f>
        <v>0.51587301587301593</v>
      </c>
      <c r="I3" s="94">
        <v>9</v>
      </c>
      <c r="K3" s="38">
        <v>1</v>
      </c>
      <c r="L3" s="99">
        <v>-5.0999999999999996</v>
      </c>
      <c r="N3" s="115" t="s">
        <v>133</v>
      </c>
      <c r="O3" s="122">
        <f t="shared" si="0"/>
        <v>-8.1799591002044991</v>
      </c>
      <c r="P3" s="119">
        <v>489</v>
      </c>
      <c r="Q3" s="103">
        <v>-4000</v>
      </c>
    </row>
    <row r="4" spans="1:17" x14ac:dyDescent="0.4">
      <c r="A4" s="55" t="s">
        <v>6</v>
      </c>
      <c r="B4" s="150">
        <v>7.1054273576010019E-15</v>
      </c>
      <c r="C4" s="151"/>
      <c r="E4" s="63" t="s">
        <v>73</v>
      </c>
      <c r="F4" s="60" t="s">
        <v>28</v>
      </c>
      <c r="G4" s="47">
        <v>649</v>
      </c>
      <c r="H4" s="133">
        <f>IF(B$17=0,0,G4/B$17)</f>
        <v>0.51507936507936503</v>
      </c>
      <c r="I4" s="94">
        <v>7</v>
      </c>
      <c r="K4" s="38">
        <v>2</v>
      </c>
      <c r="L4" s="99">
        <v>40.4</v>
      </c>
      <c r="N4" s="115" t="s">
        <v>134</v>
      </c>
      <c r="O4" s="122">
        <f t="shared" si="0"/>
        <v>12.903225806451612</v>
      </c>
      <c r="P4" s="119">
        <v>465</v>
      </c>
      <c r="Q4" s="103">
        <v>6000</v>
      </c>
    </row>
    <row r="5" spans="1:17" x14ac:dyDescent="0.4">
      <c r="A5" s="55" t="s">
        <v>7</v>
      </c>
      <c r="B5" s="152">
        <f>IF(B$2=0,0,B$4/B$2)</f>
        <v>1.4182489735730541E-17</v>
      </c>
      <c r="C5" s="153"/>
      <c r="E5" s="63" t="s">
        <v>181</v>
      </c>
      <c r="F5" s="60" t="s">
        <v>182</v>
      </c>
      <c r="G5" s="47">
        <v>504</v>
      </c>
      <c r="H5" s="133">
        <f>IF(B$17=0,0,G5/B$17)</f>
        <v>0.4</v>
      </c>
      <c r="I5" s="94">
        <v>5</v>
      </c>
      <c r="K5" s="38">
        <v>3</v>
      </c>
      <c r="L5" s="99">
        <v>0</v>
      </c>
      <c r="N5" s="115" t="s">
        <v>135</v>
      </c>
      <c r="O5" s="122">
        <f t="shared" si="0"/>
        <v>7.1428571428571432</v>
      </c>
      <c r="P5" s="119">
        <v>420</v>
      </c>
      <c r="Q5" s="103">
        <v>3000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392</v>
      </c>
      <c r="H6" s="133">
        <f>IF(B$17=0,0,G6/B$17)</f>
        <v>0.31111111111111112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-7.9365079365079367</v>
      </c>
      <c r="P6" s="119">
        <v>378</v>
      </c>
      <c r="Q6" s="103">
        <v>-3000</v>
      </c>
    </row>
    <row r="7" spans="1:17" x14ac:dyDescent="0.4">
      <c r="A7" s="55" t="s">
        <v>2</v>
      </c>
      <c r="B7" s="47">
        <v>167</v>
      </c>
      <c r="C7" s="39">
        <f>IF(B$2=0,0,B7/B$2)</f>
        <v>0.33333333333333331</v>
      </c>
      <c r="E7" s="63" t="s">
        <v>68</v>
      </c>
      <c r="F7" s="60" t="s">
        <v>24</v>
      </c>
      <c r="G7" s="47">
        <v>383</v>
      </c>
      <c r="H7" s="133">
        <f>IF(B$17=0,0,G7/B$17)</f>
        <v>0.30396825396825394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17.391304347826086</v>
      </c>
      <c r="P7" s="120">
        <v>345</v>
      </c>
      <c r="Q7" s="104">
        <v>6000</v>
      </c>
    </row>
    <row r="8" spans="1:17" x14ac:dyDescent="0.4">
      <c r="A8" s="55" t="s">
        <v>3</v>
      </c>
      <c r="B8" s="47">
        <v>167</v>
      </c>
      <c r="C8" s="39">
        <f>IF(B$2=0,0,B8/B$2)</f>
        <v>0.33333333333333331</v>
      </c>
      <c r="E8" s="63" t="s">
        <v>70</v>
      </c>
      <c r="F8" s="60" t="s">
        <v>25</v>
      </c>
      <c r="G8" s="47">
        <v>230</v>
      </c>
      <c r="H8" s="133">
        <f>IF(B$17=0,0,G8/B$17)</f>
        <v>0.18253968253968253</v>
      </c>
      <c r="I8" s="94">
        <v>7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167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157</v>
      </c>
      <c r="H9" s="133">
        <f>IF(B$17=0,0,G9/B$17)</f>
        <v>0.1246031746031746</v>
      </c>
      <c r="I9" s="94">
        <v>8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56</v>
      </c>
      <c r="C10" s="40">
        <f>IF(B$2=0,0,B10/B$2)</f>
        <v>0.11177644710578842</v>
      </c>
      <c r="E10" s="63" t="s">
        <v>66</v>
      </c>
      <c r="F10" s="60" t="s">
        <v>22</v>
      </c>
      <c r="G10" s="47">
        <v>152</v>
      </c>
      <c r="H10" s="133">
        <f>IF(B$17=0,0,G10/B$17)</f>
        <v>0.12063492063492064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-1.5209580838323356</v>
      </c>
      <c r="P10" s="118">
        <v>167</v>
      </c>
      <c r="Q10" s="106">
        <v>-254.00000000000003</v>
      </c>
    </row>
    <row r="11" spans="1:17" x14ac:dyDescent="0.4">
      <c r="A11" s="56" t="s">
        <v>140</v>
      </c>
      <c r="B11" s="48">
        <v>56</v>
      </c>
      <c r="C11" s="40">
        <f>IF(B$2=0,0,B11/B$2)</f>
        <v>0.11177644710578842</v>
      </c>
      <c r="E11" s="63" t="s">
        <v>71</v>
      </c>
      <c r="F11" s="60" t="s">
        <v>26</v>
      </c>
      <c r="G11" s="47">
        <v>132</v>
      </c>
      <c r="H11" s="133">
        <f>IF(B$17=0,0,G11/B$17)</f>
        <v>0.10476190476190476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-2.0574850299401204</v>
      </c>
      <c r="P11" s="119">
        <v>167</v>
      </c>
      <c r="Q11" s="107">
        <v>-343.60000000000014</v>
      </c>
    </row>
    <row r="12" spans="1:17" x14ac:dyDescent="0.4">
      <c r="A12" s="57" t="s">
        <v>160</v>
      </c>
      <c r="B12" s="49">
        <v>42</v>
      </c>
      <c r="C12" s="42">
        <f>IF(B$2=0,0,B12/B$2)</f>
        <v>8.3832335329341312E-2</v>
      </c>
      <c r="E12" s="63" t="s">
        <v>72</v>
      </c>
      <c r="F12" s="60" t="s">
        <v>27</v>
      </c>
      <c r="G12" s="47">
        <v>83</v>
      </c>
      <c r="H12" s="133">
        <f>IF(B$17=0,0,G12/B$17)</f>
        <v>6.5873015873015875E-2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3.5784431137724551</v>
      </c>
      <c r="P12" s="120">
        <v>167</v>
      </c>
      <c r="Q12" s="108">
        <v>597.6</v>
      </c>
    </row>
    <row r="13" spans="1:17" x14ac:dyDescent="0.4">
      <c r="A13" s="58" t="s">
        <v>122</v>
      </c>
      <c r="B13" s="50">
        <v>1153</v>
      </c>
      <c r="C13" s="44">
        <f>IF(B$3=0,0,B13/B$3)</f>
        <v>0.2745238095238095</v>
      </c>
      <c r="E13" s="63" t="s">
        <v>87</v>
      </c>
      <c r="F13" s="60" t="s">
        <v>42</v>
      </c>
      <c r="G13" s="47">
        <v>75</v>
      </c>
      <c r="H13" s="133">
        <f>IF(B$17=0,0,G13/B$17)</f>
        <v>5.9523809523809521E-2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883</v>
      </c>
      <c r="C14" s="39">
        <f>IF(B$3=0,0,B14/B$3)</f>
        <v>0.21023809523809525</v>
      </c>
      <c r="E14" s="63" t="s">
        <v>84</v>
      </c>
      <c r="F14" s="60" t="s">
        <v>39</v>
      </c>
      <c r="G14" s="47">
        <v>58</v>
      </c>
      <c r="H14" s="133">
        <f>IF(B$17=0,0,G14/B$17)</f>
        <v>4.6031746031746035E-2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677</v>
      </c>
      <c r="C15" s="37">
        <f>IF(B$13=0,0,B15/B$13)</f>
        <v>0.58716392020815267</v>
      </c>
      <c r="E15" s="63" t="s">
        <v>82</v>
      </c>
      <c r="F15" s="60" t="s">
        <v>37</v>
      </c>
      <c r="G15" s="47">
        <v>36</v>
      </c>
      <c r="H15" s="133">
        <f>IF(B$17=0,0,G15/B$17)</f>
        <v>2.8571428571428571E-2</v>
      </c>
      <c r="I15" s="94">
        <v>7</v>
      </c>
      <c r="K15" s="38">
        <v>13</v>
      </c>
      <c r="L15" s="99">
        <v>-42.100000000000009</v>
      </c>
      <c r="N15" s="114" t="s">
        <v>225</v>
      </c>
      <c r="O15" s="124">
        <f>IF(P15=0,0,Q15/P15)</f>
        <v>55.5</v>
      </c>
      <c r="P15" s="118">
        <v>2</v>
      </c>
      <c r="Q15" s="106">
        <v>111</v>
      </c>
    </row>
    <row r="16" spans="1:17" x14ac:dyDescent="0.4">
      <c r="A16" s="54" t="s">
        <v>125</v>
      </c>
      <c r="B16" s="46">
        <v>346</v>
      </c>
      <c r="C16" s="37">
        <f>IF(B$14=0,0,B16/B$14)</f>
        <v>0.39184597961494905</v>
      </c>
      <c r="E16" s="63" t="s">
        <v>79</v>
      </c>
      <c r="F16" s="60" t="s">
        <v>34</v>
      </c>
      <c r="G16" s="47">
        <v>29</v>
      </c>
      <c r="H16" s="133">
        <f>IF(B$17=0,0,G16/B$17)</f>
        <v>2.3015873015873017E-2</v>
      </c>
      <c r="I16" s="94">
        <v>6</v>
      </c>
      <c r="K16" s="38">
        <v>14</v>
      </c>
      <c r="L16" s="99">
        <v>18.79999999999999</v>
      </c>
      <c r="N16" s="115" t="s">
        <v>129</v>
      </c>
      <c r="O16" s="125">
        <f>IF(P16=0,0,Q16/P16)</f>
        <v>22.592105263157908</v>
      </c>
      <c r="P16" s="119">
        <v>114</v>
      </c>
      <c r="Q16" s="107">
        <v>2575.5000000000014</v>
      </c>
    </row>
    <row r="17" spans="1:17" x14ac:dyDescent="0.4">
      <c r="A17" s="54" t="s">
        <v>10</v>
      </c>
      <c r="B17" s="46">
        <f>B19+B18</f>
        <v>1260</v>
      </c>
      <c r="C17" s="37">
        <f>IF(B$3=0,0,B17/B$3)</f>
        <v>0.3</v>
      </c>
      <c r="E17" s="63" t="s">
        <v>92</v>
      </c>
      <c r="F17" s="60" t="s">
        <v>47</v>
      </c>
      <c r="G17" s="47">
        <v>21</v>
      </c>
      <c r="H17" s="133">
        <f>IF(B$17=0,0,G17/B$17)</f>
        <v>1.6666666666666666E-2</v>
      </c>
      <c r="I17" s="94">
        <v>4</v>
      </c>
      <c r="K17" s="38">
        <v>15</v>
      </c>
      <c r="L17" s="99">
        <v>-1.0658141036401503E-14</v>
      </c>
      <c r="N17" s="115" t="s">
        <v>186</v>
      </c>
      <c r="O17" s="125">
        <f>IF(P17=0,0,Q17/P17)</f>
        <v>14.575000000000001</v>
      </c>
      <c r="P17" s="119">
        <v>24</v>
      </c>
      <c r="Q17" s="107">
        <v>349.8</v>
      </c>
    </row>
    <row r="18" spans="1:17" x14ac:dyDescent="0.4">
      <c r="A18" s="55" t="s">
        <v>12</v>
      </c>
      <c r="B18" s="47">
        <v>550</v>
      </c>
      <c r="C18" s="39">
        <f>IF(B$17=0,0,B18/B$17)</f>
        <v>0.43650793650793651</v>
      </c>
      <c r="E18" s="63" t="s">
        <v>80</v>
      </c>
      <c r="F18" s="60" t="s">
        <v>35</v>
      </c>
      <c r="G18" s="47">
        <v>19</v>
      </c>
      <c r="H18" s="133">
        <f>IF(B$17=0,0,G18/B$17)</f>
        <v>1.507936507936508E-2</v>
      </c>
      <c r="I18" s="94">
        <v>4</v>
      </c>
      <c r="K18" s="38">
        <v>16</v>
      </c>
      <c r="L18" s="99">
        <v>90.899999999999991</v>
      </c>
      <c r="N18" s="115" t="s">
        <v>173</v>
      </c>
      <c r="O18" s="125">
        <f>IF(P18=0,0,Q18/P18)</f>
        <v>8.6115384615384585</v>
      </c>
      <c r="P18" s="119">
        <v>78</v>
      </c>
      <c r="Q18" s="107">
        <v>671.69999999999982</v>
      </c>
    </row>
    <row r="19" spans="1:17" x14ac:dyDescent="0.4">
      <c r="A19" s="55" t="s">
        <v>11</v>
      </c>
      <c r="B19" s="47">
        <v>710</v>
      </c>
      <c r="C19" s="39">
        <f>IF(B$17=0,0,B19/B$17)</f>
        <v>0.56349206349206349</v>
      </c>
      <c r="E19" s="63" t="s">
        <v>180</v>
      </c>
      <c r="F19" s="60" t="s">
        <v>183</v>
      </c>
      <c r="G19" s="47">
        <v>17</v>
      </c>
      <c r="H19" s="133">
        <f>IF(B$17=0,0,G19/B$17)</f>
        <v>1.3492063492063493E-2</v>
      </c>
      <c r="I19" s="94">
        <v>3</v>
      </c>
      <c r="K19" s="38">
        <v>17</v>
      </c>
      <c r="L19" s="99">
        <v>8.2999999999999972</v>
      </c>
      <c r="N19" s="115" t="s">
        <v>202</v>
      </c>
      <c r="O19" s="125">
        <f>IF(P19=0,0,Q19/P19)</f>
        <v>5.4214285714285699</v>
      </c>
      <c r="P19" s="119">
        <v>14</v>
      </c>
      <c r="Q19" s="107">
        <v>75.899999999999977</v>
      </c>
    </row>
    <row r="20" spans="1:17" x14ac:dyDescent="0.4">
      <c r="A20" s="55" t="s">
        <v>13</v>
      </c>
      <c r="B20" s="47">
        <v>702</v>
      </c>
      <c r="C20" s="39">
        <f>IF(B$3=0,0,B20/B$3)</f>
        <v>0.16714285714285715</v>
      </c>
      <c r="E20" s="63" t="s">
        <v>76</v>
      </c>
      <c r="F20" s="60" t="s">
        <v>31</v>
      </c>
      <c r="G20" s="47">
        <v>9</v>
      </c>
      <c r="H20" s="133">
        <f>IF(B$17=0,0,G20/B$17)</f>
        <v>7.1428571428571426E-3</v>
      </c>
      <c r="I20" s="94">
        <v>5</v>
      </c>
      <c r="K20" s="38">
        <v>18</v>
      </c>
      <c r="L20" s="99">
        <v>-3.5527136788005009E-15</v>
      </c>
      <c r="N20" s="115" t="s">
        <v>128</v>
      </c>
      <c r="O20" s="125">
        <f>IF(P20=0,0,Q20/P20)</f>
        <v>4.2969026548672575</v>
      </c>
      <c r="P20" s="119">
        <v>226</v>
      </c>
      <c r="Q20" s="107">
        <v>971.10000000000014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74</v>
      </c>
      <c r="F21" s="60" t="s">
        <v>29</v>
      </c>
      <c r="G21" s="47">
        <v>8</v>
      </c>
      <c r="H21" s="133">
        <f>IF(B$17=0,0,G21/B$17)</f>
        <v>6.3492063492063492E-3</v>
      </c>
      <c r="I21" s="94">
        <v>4</v>
      </c>
      <c r="K21" s="38">
        <v>19</v>
      </c>
      <c r="L21" s="99">
        <v>30.999999999999996</v>
      </c>
      <c r="N21" s="115" t="s">
        <v>177</v>
      </c>
      <c r="O21" s="125">
        <f>IF(P21=0,0,Q21/P21)</f>
        <v>2.0205882352941158</v>
      </c>
      <c r="P21" s="119">
        <v>68</v>
      </c>
      <c r="Q21" s="107">
        <v>137.39999999999986</v>
      </c>
    </row>
    <row r="22" spans="1:17" x14ac:dyDescent="0.4">
      <c r="A22" s="55" t="s">
        <v>194</v>
      </c>
      <c r="B22" s="47">
        <v>31</v>
      </c>
      <c r="C22" s="135">
        <v>4</v>
      </c>
      <c r="E22" s="63" t="s">
        <v>75</v>
      </c>
      <c r="F22" s="60" t="s">
        <v>30</v>
      </c>
      <c r="G22" s="47">
        <v>4</v>
      </c>
      <c r="H22" s="133">
        <f>IF(B$17=0,0,G22/B$17)</f>
        <v>3.1746031746031746E-3</v>
      </c>
      <c r="I22" s="94">
        <v>4</v>
      </c>
      <c r="K22" s="38">
        <v>20</v>
      </c>
      <c r="L22" s="99">
        <v>0.79999999999999716</v>
      </c>
      <c r="N22" s="115" t="s">
        <v>172</v>
      </c>
      <c r="O22" s="125">
        <f>IF(P22=0,0,Q22/P22)</f>
        <v>-1.5444444444444463</v>
      </c>
      <c r="P22" s="119">
        <v>108</v>
      </c>
      <c r="Q22" s="107">
        <v>-166.80000000000021</v>
      </c>
    </row>
    <row r="23" spans="1:17" x14ac:dyDescent="0.4">
      <c r="A23" s="55" t="s">
        <v>5</v>
      </c>
      <c r="B23" s="51">
        <f>IF(B$17=0,0,C23/B$17)</f>
        <v>8525.1587301587297</v>
      </c>
      <c r="C23" s="41">
        <v>10741700</v>
      </c>
      <c r="E23" s="63" t="s">
        <v>88</v>
      </c>
      <c r="F23" s="60" t="s">
        <v>43</v>
      </c>
      <c r="G23" s="47">
        <v>4</v>
      </c>
      <c r="H23" s="133">
        <f>IF(B$17=0,0,G23/B$17)</f>
        <v>3.1746031746031746E-3</v>
      </c>
      <c r="I23" s="94">
        <v>4</v>
      </c>
      <c r="K23" s="38">
        <v>21</v>
      </c>
      <c r="L23" s="99">
        <v>-2.886579864025407E-15</v>
      </c>
      <c r="N23" s="115" t="s">
        <v>171</v>
      </c>
      <c r="O23" s="125">
        <f>IF(P23=0,0,Q23/P23)</f>
        <v>-3.449999999999998</v>
      </c>
      <c r="P23" s="119">
        <v>134</v>
      </c>
      <c r="Q23" s="107">
        <v>-462.29999999999973</v>
      </c>
    </row>
    <row r="24" spans="1:17" x14ac:dyDescent="0.4">
      <c r="A24" s="57" t="s">
        <v>14</v>
      </c>
      <c r="B24" s="52">
        <f>IF(B$20=0,0,C24/B$20)</f>
        <v>-8160.9686609686605</v>
      </c>
      <c r="C24" s="45">
        <v>-5729000</v>
      </c>
      <c r="E24" s="63" t="s">
        <v>93</v>
      </c>
      <c r="F24" s="60" t="s">
        <v>48</v>
      </c>
      <c r="G24" s="47">
        <v>4</v>
      </c>
      <c r="H24" s="133">
        <f>IF(B$17=0,0,G24/B$17)</f>
        <v>3.1746031746031746E-3</v>
      </c>
      <c r="I24" s="94">
        <v>3</v>
      </c>
      <c r="K24" s="38">
        <v>22</v>
      </c>
      <c r="L24" s="99">
        <v>23.699999999999996</v>
      </c>
      <c r="N24" s="115" t="s">
        <v>127</v>
      </c>
      <c r="O24" s="125">
        <f>IF(P24=0,0,Q24/P24)</f>
        <v>-17.877876106194673</v>
      </c>
      <c r="P24" s="119">
        <v>226</v>
      </c>
      <c r="Q24" s="107">
        <v>-4040.399999999996</v>
      </c>
    </row>
    <row r="25" spans="1:17" x14ac:dyDescent="0.4">
      <c r="A25" s="90" t="s">
        <v>142</v>
      </c>
      <c r="B25" s="140">
        <v>8</v>
      </c>
      <c r="C25" s="141"/>
      <c r="E25" s="63" t="s">
        <v>94</v>
      </c>
      <c r="F25" s="60" t="s">
        <v>49</v>
      </c>
      <c r="G25" s="47">
        <v>4</v>
      </c>
      <c r="H25" s="133">
        <f>IF(B$17=0,0,G25/B$17)</f>
        <v>3.1746031746031746E-3</v>
      </c>
      <c r="I25" s="94">
        <v>4</v>
      </c>
      <c r="K25" s="38">
        <v>23</v>
      </c>
      <c r="L25" s="99">
        <v>26.299999999999997</v>
      </c>
      <c r="N25" s="115" t="s">
        <v>224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38">
        <v>116000</v>
      </c>
      <c r="C26" s="139"/>
      <c r="E26" s="63" t="s">
        <v>78</v>
      </c>
      <c r="F26" s="60" t="s">
        <v>33</v>
      </c>
      <c r="G26" s="47">
        <v>3</v>
      </c>
      <c r="H26" s="133">
        <f>IF(B$17=0,0,G26/B$17)</f>
        <v>2.3809523809523812E-3</v>
      </c>
      <c r="I26" s="94">
        <v>4</v>
      </c>
      <c r="K26" s="38">
        <v>24</v>
      </c>
      <c r="L26" s="99">
        <v>-3.5527136788005009E-15</v>
      </c>
      <c r="N26" s="115" t="s">
        <v>185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13</v>
      </c>
      <c r="C27" s="42">
        <f>IF(B$3=0,0,B27/B$3)</f>
        <v>3.0952380952380953E-3</v>
      </c>
      <c r="E27" s="63" t="s">
        <v>85</v>
      </c>
      <c r="F27" s="60" t="s">
        <v>40</v>
      </c>
      <c r="G27" s="47">
        <v>3</v>
      </c>
      <c r="H27" s="133">
        <f>IF(B$17=0,0,G27/B$17)</f>
        <v>2.3809523809523812E-3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86</v>
      </c>
      <c r="F28" s="60" t="s">
        <v>41</v>
      </c>
      <c r="G28" s="47">
        <v>3</v>
      </c>
      <c r="H28" s="133">
        <f>IF(B$17=0,0,G28/B$17)</f>
        <v>2.3809523809523812E-3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89</v>
      </c>
      <c r="F29" s="60" t="s">
        <v>44</v>
      </c>
      <c r="G29" s="47">
        <v>2</v>
      </c>
      <c r="H29" s="133">
        <f>IF(B$17=0,0,G29/B$17)</f>
        <v>1.5873015873015873E-3</v>
      </c>
      <c r="I29" s="94">
        <v>3</v>
      </c>
      <c r="K29" s="38">
        <v>27</v>
      </c>
      <c r="L29" s="99">
        <v>-1.3322676295501878E-15</v>
      </c>
    </row>
    <row r="30" spans="1:17" x14ac:dyDescent="0.4">
      <c r="E30" s="63" t="s">
        <v>96</v>
      </c>
      <c r="F30" s="60" t="s">
        <v>51</v>
      </c>
      <c r="G30" s="47">
        <v>2</v>
      </c>
      <c r="H30" s="133">
        <f>IF(B$17=0,0,G30/B$17)</f>
        <v>1.5873015873015873E-3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77</v>
      </c>
      <c r="F31" s="60" t="s">
        <v>32</v>
      </c>
      <c r="G31" s="47">
        <v>1</v>
      </c>
      <c r="H31" s="133">
        <f>IF(B$17=0,0,G31/B$17)</f>
        <v>7.9365079365079365E-4</v>
      </c>
      <c r="I31" s="94">
        <v>2</v>
      </c>
      <c r="K31" s="38">
        <v>29</v>
      </c>
      <c r="L31" s="99">
        <v>-9.5</v>
      </c>
    </row>
    <row r="32" spans="1:17" x14ac:dyDescent="0.4">
      <c r="E32" s="63" t="s">
        <v>91</v>
      </c>
      <c r="F32" s="60" t="s">
        <v>46</v>
      </c>
      <c r="G32" s="47">
        <v>1</v>
      </c>
      <c r="H32" s="133">
        <f>IF(B$17=0,0,G32/B$17)</f>
        <v>7.9365079365079365E-4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7.9365079365079365E-4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81</v>
      </c>
      <c r="F34" s="60" t="s">
        <v>36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83</v>
      </c>
      <c r="F35" s="60" t="s">
        <v>38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74D86-BF82-4C24-A5DA-C833577461A5}">
  <sheetPr codeName="Sheet7"/>
  <dimension ref="A1:Q11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113</v>
      </c>
      <c r="C2" s="147"/>
      <c r="E2" s="62" t="s">
        <v>67</v>
      </c>
      <c r="F2" s="59" t="s">
        <v>23</v>
      </c>
      <c r="G2" s="46">
        <v>230</v>
      </c>
      <c r="H2" s="132">
        <f>IF(B$17=0,0,G2/B$17)</f>
        <v>0.72100313479623823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1882.3008849557523</v>
      </c>
      <c r="P2" s="118">
        <v>113</v>
      </c>
      <c r="Q2" s="102">
        <v>212700</v>
      </c>
    </row>
    <row r="3" spans="1:17" x14ac:dyDescent="0.4">
      <c r="A3" s="55" t="s">
        <v>8</v>
      </c>
      <c r="B3" s="148">
        <v>914</v>
      </c>
      <c r="C3" s="149"/>
      <c r="E3" s="63" t="s">
        <v>73</v>
      </c>
      <c r="F3" s="60" t="s">
        <v>28</v>
      </c>
      <c r="G3" s="47">
        <v>176</v>
      </c>
      <c r="H3" s="133">
        <f>IF(B$17=0,0,G3/B$17)</f>
        <v>0.55172413793103448</v>
      </c>
      <c r="I3" s="94">
        <v>6</v>
      </c>
      <c r="K3" s="38">
        <v>1</v>
      </c>
      <c r="L3" s="99">
        <v>-5.0999999999999996</v>
      </c>
      <c r="N3" s="115" t="s">
        <v>133</v>
      </c>
      <c r="O3" s="122">
        <f t="shared" si="0"/>
        <v>1505.4545454545455</v>
      </c>
      <c r="P3" s="119">
        <v>110</v>
      </c>
      <c r="Q3" s="103">
        <v>165600</v>
      </c>
    </row>
    <row r="4" spans="1:17" x14ac:dyDescent="0.4">
      <c r="A4" s="55" t="s">
        <v>6</v>
      </c>
      <c r="B4" s="150">
        <v>1346.8000000000009</v>
      </c>
      <c r="C4" s="151"/>
      <c r="E4" s="63" t="s">
        <v>65</v>
      </c>
      <c r="F4" s="60" t="s">
        <v>21</v>
      </c>
      <c r="G4" s="47">
        <v>161</v>
      </c>
      <c r="H4" s="133">
        <f>IF(B$17=0,0,G4/B$17)</f>
        <v>0.50470219435736674</v>
      </c>
      <c r="I4" s="94">
        <v>10</v>
      </c>
      <c r="K4" s="38">
        <v>2</v>
      </c>
      <c r="L4" s="99">
        <v>-2.8999999999999995</v>
      </c>
      <c r="N4" s="115" t="s">
        <v>134</v>
      </c>
      <c r="O4" s="122">
        <f t="shared" si="0"/>
        <v>1478.0952380952381</v>
      </c>
      <c r="P4" s="119">
        <v>105</v>
      </c>
      <c r="Q4" s="103">
        <v>155200</v>
      </c>
    </row>
    <row r="5" spans="1:17" x14ac:dyDescent="0.4">
      <c r="A5" s="55" t="s">
        <v>7</v>
      </c>
      <c r="B5" s="152">
        <f>IF(B$2=0,0,B$4/B$2)</f>
        <v>11.918584070796468</v>
      </c>
      <c r="C5" s="153"/>
      <c r="E5" s="63" t="s">
        <v>181</v>
      </c>
      <c r="F5" s="60" t="s">
        <v>182</v>
      </c>
      <c r="G5" s="47">
        <v>135</v>
      </c>
      <c r="H5" s="133">
        <f>IF(B$17=0,0,G5/B$17)</f>
        <v>0.42319749216300939</v>
      </c>
      <c r="I5" s="94">
        <v>3</v>
      </c>
      <c r="K5" s="38">
        <v>3</v>
      </c>
      <c r="L5" s="99">
        <v>70.399999999999991</v>
      </c>
      <c r="N5" s="115" t="s">
        <v>135</v>
      </c>
      <c r="O5" s="122">
        <f t="shared" si="0"/>
        <v>2204.2105263157896</v>
      </c>
      <c r="P5" s="119">
        <v>95</v>
      </c>
      <c r="Q5" s="103">
        <v>209400</v>
      </c>
    </row>
    <row r="6" spans="1:17" x14ac:dyDescent="0.4">
      <c r="A6" s="55" t="s">
        <v>1</v>
      </c>
      <c r="B6" s="142">
        <f>IF(B$2=0,0,(B$7*1+B$8*2+B$9*3)/B$2)</f>
        <v>1.7433628318584071</v>
      </c>
      <c r="C6" s="143"/>
      <c r="E6" s="63" t="s">
        <v>68</v>
      </c>
      <c r="F6" s="60" t="s">
        <v>24</v>
      </c>
      <c r="G6" s="47">
        <v>97</v>
      </c>
      <c r="H6" s="133">
        <f>IF(B$17=0,0,G6/B$17)</f>
        <v>0.30407523510971785</v>
      </c>
      <c r="I6" s="94">
        <v>8</v>
      </c>
      <c r="K6" s="38">
        <v>4</v>
      </c>
      <c r="L6" s="99">
        <v>110.5</v>
      </c>
      <c r="N6" s="115" t="s">
        <v>136</v>
      </c>
      <c r="O6" s="122">
        <f t="shared" si="0"/>
        <v>-3.6144578313253013</v>
      </c>
      <c r="P6" s="119">
        <v>83</v>
      </c>
      <c r="Q6" s="103">
        <v>-300</v>
      </c>
    </row>
    <row r="7" spans="1:17" x14ac:dyDescent="0.4">
      <c r="A7" s="55" t="s">
        <v>2</v>
      </c>
      <c r="B7" s="47">
        <v>56</v>
      </c>
      <c r="C7" s="39">
        <f>IF(B$2=0,0,B7/B$2)</f>
        <v>0.49557522123893805</v>
      </c>
      <c r="E7" s="63" t="s">
        <v>69</v>
      </c>
      <c r="F7" s="60" t="s">
        <v>12</v>
      </c>
      <c r="G7" s="47">
        <v>84</v>
      </c>
      <c r="H7" s="133">
        <f>IF(B$17=0,0,G7/B$17)</f>
        <v>0.26332288401253917</v>
      </c>
      <c r="I7" s="94">
        <v>11</v>
      </c>
      <c r="K7" s="38">
        <v>5</v>
      </c>
      <c r="L7" s="99">
        <v>201.4</v>
      </c>
      <c r="N7" s="116" t="s">
        <v>137</v>
      </c>
      <c r="O7" s="123">
        <f t="shared" si="0"/>
        <v>259.45945945945948</v>
      </c>
      <c r="P7" s="120">
        <v>74</v>
      </c>
      <c r="Q7" s="104">
        <v>19200</v>
      </c>
    </row>
    <row r="8" spans="1:17" x14ac:dyDescent="0.4">
      <c r="A8" s="55" t="s">
        <v>3</v>
      </c>
      <c r="B8" s="47">
        <v>30</v>
      </c>
      <c r="C8" s="39">
        <f>IF(B$2=0,0,B8/B$2)</f>
        <v>0.26548672566371684</v>
      </c>
      <c r="E8" s="63" t="s">
        <v>70</v>
      </c>
      <c r="F8" s="60" t="s">
        <v>25</v>
      </c>
      <c r="G8" s="47">
        <v>59</v>
      </c>
      <c r="H8" s="133">
        <f>IF(B$17=0,0,G8/B$17)</f>
        <v>0.18495297805642633</v>
      </c>
      <c r="I8" s="94">
        <v>6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27</v>
      </c>
      <c r="C9" s="40">
        <f t="shared" ref="C9" si="1">IF(B$2=0,0,B9/B$2)</f>
        <v>0.23893805309734514</v>
      </c>
      <c r="E9" s="63" t="s">
        <v>90</v>
      </c>
      <c r="F9" s="60" t="s">
        <v>45</v>
      </c>
      <c r="G9" s="47">
        <v>50</v>
      </c>
      <c r="H9" s="133">
        <f>IF(B$17=0,0,G9/B$17)</f>
        <v>0.15673981191222572</v>
      </c>
      <c r="I9" s="94">
        <v>5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13</v>
      </c>
      <c r="C10" s="40">
        <f>IF(B$2=0,0,B10/B$2)</f>
        <v>0.11504424778761062</v>
      </c>
      <c r="E10" s="63" t="s">
        <v>66</v>
      </c>
      <c r="F10" s="60" t="s">
        <v>22</v>
      </c>
      <c r="G10" s="47">
        <v>49</v>
      </c>
      <c r="H10" s="133">
        <f>IF(B$17=0,0,G10/B$17)</f>
        <v>0.15360501567398119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16.679411764705883</v>
      </c>
      <c r="P10" s="118">
        <v>34</v>
      </c>
      <c r="Q10" s="106">
        <v>567.1</v>
      </c>
    </row>
    <row r="11" spans="1:17" x14ac:dyDescent="0.4">
      <c r="A11" s="56" t="s">
        <v>140</v>
      </c>
      <c r="B11" s="48">
        <v>20</v>
      </c>
      <c r="C11" s="40">
        <f>IF(B$2=0,0,B11/B$2)</f>
        <v>0.17699115044247787</v>
      </c>
      <c r="E11" s="63" t="s">
        <v>71</v>
      </c>
      <c r="F11" s="60" t="s">
        <v>26</v>
      </c>
      <c r="G11" s="47">
        <v>33</v>
      </c>
      <c r="H11" s="133">
        <f>IF(B$17=0,0,G11/B$17)</f>
        <v>0.10344827586206896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5.6857142857142859</v>
      </c>
      <c r="P11" s="119">
        <v>35</v>
      </c>
      <c r="Q11" s="107">
        <v>199</v>
      </c>
    </row>
    <row r="12" spans="1:17" x14ac:dyDescent="0.4">
      <c r="A12" s="57" t="s">
        <v>160</v>
      </c>
      <c r="B12" s="49">
        <v>17</v>
      </c>
      <c r="C12" s="42">
        <f>IF(B$2=0,0,B12/B$2)</f>
        <v>0.15044247787610621</v>
      </c>
      <c r="E12" s="63" t="s">
        <v>72</v>
      </c>
      <c r="F12" s="60" t="s">
        <v>27</v>
      </c>
      <c r="G12" s="47">
        <v>22</v>
      </c>
      <c r="H12" s="133">
        <f>IF(B$17=0,0,G12/B$17)</f>
        <v>6.8965517241379309E-2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13.197727272727276</v>
      </c>
      <c r="P12" s="120">
        <v>44</v>
      </c>
      <c r="Q12" s="108">
        <v>580.70000000000016</v>
      </c>
    </row>
    <row r="13" spans="1:17" x14ac:dyDescent="0.4">
      <c r="A13" s="58" t="s">
        <v>122</v>
      </c>
      <c r="B13" s="50">
        <v>299</v>
      </c>
      <c r="C13" s="44">
        <f>IF(B$3=0,0,B13/B$3)</f>
        <v>0.32713347921225383</v>
      </c>
      <c r="E13" s="63" t="s">
        <v>87</v>
      </c>
      <c r="F13" s="60" t="s">
        <v>42</v>
      </c>
      <c r="G13" s="47">
        <v>22</v>
      </c>
      <c r="H13" s="133">
        <f>IF(B$17=0,0,G13/B$17)</f>
        <v>6.8965517241379309E-2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200</v>
      </c>
      <c r="C14" s="39">
        <f>IF(B$3=0,0,B14/B$3)</f>
        <v>0.21881838074398249</v>
      </c>
      <c r="E14" s="63" t="s">
        <v>84</v>
      </c>
      <c r="F14" s="60" t="s">
        <v>39</v>
      </c>
      <c r="G14" s="47">
        <v>17</v>
      </c>
      <c r="H14" s="133">
        <f>IF(B$17=0,0,G14/B$17)</f>
        <v>5.329153605015674E-2</v>
      </c>
      <c r="I14" s="94">
        <v>3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173</v>
      </c>
      <c r="C15" s="37">
        <f>IF(B$13=0,0,B15/B$13)</f>
        <v>0.57859531772575246</v>
      </c>
      <c r="E15" s="63" t="s">
        <v>82</v>
      </c>
      <c r="F15" s="60" t="s">
        <v>37</v>
      </c>
      <c r="G15" s="47">
        <v>11</v>
      </c>
      <c r="H15" s="133">
        <f>IF(B$17=0,0,G15/B$17)</f>
        <v>3.4482758620689655E-2</v>
      </c>
      <c r="I15" s="94">
        <v>5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102</v>
      </c>
      <c r="C16" s="37">
        <f>IF(B$14=0,0,B16/B$14)</f>
        <v>0.51</v>
      </c>
      <c r="E16" s="63" t="s">
        <v>180</v>
      </c>
      <c r="F16" s="60" t="s">
        <v>183</v>
      </c>
      <c r="G16" s="47">
        <v>10</v>
      </c>
      <c r="H16" s="133">
        <f>IF(B$17=0,0,G16/B$17)</f>
        <v>3.1347962382445138E-2</v>
      </c>
      <c r="I16" s="94">
        <v>1</v>
      </c>
      <c r="K16" s="38">
        <v>14</v>
      </c>
      <c r="L16" s="99">
        <v>473.50000000000006</v>
      </c>
      <c r="N16" s="115" t="s">
        <v>129</v>
      </c>
      <c r="O16" s="125">
        <f>IF(P16=0,0,Q16/P16)</f>
        <v>35.458823529411767</v>
      </c>
      <c r="P16" s="119">
        <v>34</v>
      </c>
      <c r="Q16" s="107">
        <v>1205.6000000000001</v>
      </c>
    </row>
    <row r="17" spans="1:17" x14ac:dyDescent="0.4">
      <c r="A17" s="54" t="s">
        <v>10</v>
      </c>
      <c r="B17" s="46">
        <f>B19+B18</f>
        <v>319</v>
      </c>
      <c r="C17" s="37">
        <f>IF(B$3=0,0,B17/B$3)</f>
        <v>0.34901531728665208</v>
      </c>
      <c r="E17" s="63" t="s">
        <v>79</v>
      </c>
      <c r="F17" s="60" t="s">
        <v>34</v>
      </c>
      <c r="G17" s="47">
        <v>6</v>
      </c>
      <c r="H17" s="133">
        <f>IF(B$17=0,0,G17/B$17)</f>
        <v>1.8808777429467086E-2</v>
      </c>
      <c r="I17" s="94">
        <v>8</v>
      </c>
      <c r="K17" s="38">
        <v>15</v>
      </c>
      <c r="L17" s="99">
        <v>481.50000000000006</v>
      </c>
      <c r="N17" s="115" t="s">
        <v>224</v>
      </c>
      <c r="O17" s="125">
        <f>IF(P17=0,0,Q17/P17)</f>
        <v>29.599999999999998</v>
      </c>
      <c r="P17" s="119">
        <v>1</v>
      </c>
      <c r="Q17" s="107">
        <v>29.599999999999998</v>
      </c>
    </row>
    <row r="18" spans="1:17" x14ac:dyDescent="0.4">
      <c r="A18" s="55" t="s">
        <v>12</v>
      </c>
      <c r="B18" s="47">
        <v>133</v>
      </c>
      <c r="C18" s="39">
        <f>IF(B$17=0,0,B18/B$17)</f>
        <v>0.41692789968652039</v>
      </c>
      <c r="E18" s="63" t="s">
        <v>80</v>
      </c>
      <c r="F18" s="60" t="s">
        <v>35</v>
      </c>
      <c r="G18" s="47">
        <v>4</v>
      </c>
      <c r="H18" s="133">
        <f>IF(B$17=0,0,G18/B$17)</f>
        <v>1.2539184952978056E-2</v>
      </c>
      <c r="I18" s="94">
        <v>5</v>
      </c>
      <c r="K18" s="38">
        <v>16</v>
      </c>
      <c r="L18" s="99">
        <v>425.50000000000006</v>
      </c>
      <c r="N18" s="115" t="s">
        <v>177</v>
      </c>
      <c r="O18" s="125">
        <f>IF(P18=0,0,Q18/P18)</f>
        <v>22.984615384615385</v>
      </c>
      <c r="P18" s="119">
        <v>13</v>
      </c>
      <c r="Q18" s="107">
        <v>298.8</v>
      </c>
    </row>
    <row r="19" spans="1:17" x14ac:dyDescent="0.4">
      <c r="A19" s="55" t="s">
        <v>11</v>
      </c>
      <c r="B19" s="47">
        <v>186</v>
      </c>
      <c r="C19" s="39">
        <f>IF(B$17=0,0,B19/B$17)</f>
        <v>0.58307210031347967</v>
      </c>
      <c r="E19" s="63" t="s">
        <v>92</v>
      </c>
      <c r="F19" s="60" t="s">
        <v>47</v>
      </c>
      <c r="G19" s="47">
        <v>4</v>
      </c>
      <c r="H19" s="133">
        <f>IF(B$17=0,0,G19/B$17)</f>
        <v>1.2539184952978056E-2</v>
      </c>
      <c r="I19" s="94">
        <v>5</v>
      </c>
      <c r="K19" s="38">
        <v>17</v>
      </c>
      <c r="L19" s="99">
        <v>427.40000000000003</v>
      </c>
      <c r="N19" s="115" t="s">
        <v>173</v>
      </c>
      <c r="O19" s="125">
        <f>IF(P19=0,0,Q19/P19)</f>
        <v>22.754999999999999</v>
      </c>
      <c r="P19" s="119">
        <v>20</v>
      </c>
      <c r="Q19" s="107">
        <v>455.09999999999997</v>
      </c>
    </row>
    <row r="20" spans="1:17" x14ac:dyDescent="0.4">
      <c r="A20" s="55" t="s">
        <v>13</v>
      </c>
      <c r="B20" s="47">
        <v>139</v>
      </c>
      <c r="C20" s="39">
        <f>IF(B$3=0,0,B20/B$3)</f>
        <v>0.15207877461706784</v>
      </c>
      <c r="E20" s="63" t="s">
        <v>74</v>
      </c>
      <c r="F20" s="60" t="s">
        <v>29</v>
      </c>
      <c r="G20" s="47">
        <v>2</v>
      </c>
      <c r="H20" s="133">
        <f>IF(B$17=0,0,G20/B$17)</f>
        <v>6.269592476489028E-3</v>
      </c>
      <c r="I20" s="94">
        <v>5</v>
      </c>
      <c r="K20" s="38">
        <v>18</v>
      </c>
      <c r="L20" s="99">
        <v>429.3</v>
      </c>
      <c r="N20" s="115" t="s">
        <v>172</v>
      </c>
      <c r="O20" s="125">
        <f>IF(P20=0,0,Q20/P20)</f>
        <v>21.879310344827591</v>
      </c>
      <c r="P20" s="119">
        <v>29</v>
      </c>
      <c r="Q20" s="107">
        <v>634.50000000000011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3.134796238244514E-3</v>
      </c>
      <c r="I21" s="94">
        <v>7</v>
      </c>
      <c r="K21" s="38">
        <v>19</v>
      </c>
      <c r="L21" s="99">
        <v>405.40000000000003</v>
      </c>
      <c r="N21" s="115" t="s">
        <v>128</v>
      </c>
      <c r="O21" s="125">
        <f>IF(P21=0,0,Q21/P21)</f>
        <v>16.614102564102566</v>
      </c>
      <c r="P21" s="119">
        <v>78</v>
      </c>
      <c r="Q21" s="107">
        <v>1295.9000000000001</v>
      </c>
    </row>
    <row r="22" spans="1:17" x14ac:dyDescent="0.4">
      <c r="A22" s="55" t="s">
        <v>194</v>
      </c>
      <c r="B22" s="47">
        <v>39</v>
      </c>
      <c r="C22" s="135">
        <v>11</v>
      </c>
      <c r="E22" s="63" t="s">
        <v>78</v>
      </c>
      <c r="F22" s="60" t="s">
        <v>33</v>
      </c>
      <c r="G22" s="47">
        <v>1</v>
      </c>
      <c r="H22" s="133">
        <f>IF(B$17=0,0,G22/B$17)</f>
        <v>3.134796238244514E-3</v>
      </c>
      <c r="I22" s="94">
        <v>3</v>
      </c>
      <c r="K22" s="38">
        <v>20</v>
      </c>
      <c r="L22" s="99">
        <v>469.6</v>
      </c>
      <c r="N22" s="115" t="s">
        <v>186</v>
      </c>
      <c r="O22" s="125">
        <f>IF(P22=0,0,Q22/P22)</f>
        <v>15.424999999999994</v>
      </c>
      <c r="P22" s="119">
        <v>8</v>
      </c>
      <c r="Q22" s="107">
        <v>123.39999999999995</v>
      </c>
    </row>
    <row r="23" spans="1:17" x14ac:dyDescent="0.4">
      <c r="A23" s="55" t="s">
        <v>5</v>
      </c>
      <c r="B23" s="51">
        <f>IF(B$17=0,0,C23/B$17)</f>
        <v>9076.1755485893409</v>
      </c>
      <c r="C23" s="41">
        <v>2895300</v>
      </c>
      <c r="E23" s="63" t="s">
        <v>86</v>
      </c>
      <c r="F23" s="60" t="s">
        <v>41</v>
      </c>
      <c r="G23" s="47">
        <v>1</v>
      </c>
      <c r="H23" s="133">
        <f>IF(B$17=0,0,G23/B$17)</f>
        <v>3.134796238244514E-3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-1.1200000000000032</v>
      </c>
      <c r="P23" s="119">
        <v>40</v>
      </c>
      <c r="Q23" s="107">
        <v>-44.800000000000125</v>
      </c>
    </row>
    <row r="24" spans="1:17" x14ac:dyDescent="0.4">
      <c r="A24" s="57" t="s">
        <v>14</v>
      </c>
      <c r="B24" s="52">
        <f>IF(B$20=0,0,C24/B$20)</f>
        <v>-8412.9496402877703</v>
      </c>
      <c r="C24" s="45">
        <v>-1169400</v>
      </c>
      <c r="E24" s="63" t="s">
        <v>88</v>
      </c>
      <c r="F24" s="60" t="s">
        <v>43</v>
      </c>
      <c r="G24" s="47">
        <v>1</v>
      </c>
      <c r="H24" s="133">
        <f>IF(B$17=0,0,G24/B$17)</f>
        <v>3.134796238244514E-3</v>
      </c>
      <c r="I24" s="94">
        <v>5</v>
      </c>
      <c r="K24" s="38">
        <v>22</v>
      </c>
      <c r="L24" s="99">
        <v>519.20000000000005</v>
      </c>
      <c r="N24" s="115" t="s">
        <v>202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0">
        <v>7</v>
      </c>
      <c r="C25" s="141"/>
      <c r="E25" s="63" t="s">
        <v>91</v>
      </c>
      <c r="F25" s="60" t="s">
        <v>46</v>
      </c>
      <c r="G25" s="47">
        <v>1</v>
      </c>
      <c r="H25" s="133">
        <f>IF(B$17=0,0,G25/B$17)</f>
        <v>3.134796238244514E-3</v>
      </c>
      <c r="I25" s="94">
        <v>1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3.134796238244514E-3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1.0940919037199124E-3</v>
      </c>
      <c r="E27" s="63" t="s">
        <v>94</v>
      </c>
      <c r="F27" s="60" t="s">
        <v>49</v>
      </c>
      <c r="G27" s="47">
        <v>1</v>
      </c>
      <c r="H27" s="133">
        <f>IF(B$17=0,0,G27/B$17)</f>
        <v>3.134796238244514E-3</v>
      </c>
      <c r="I27" s="94">
        <v>5</v>
      </c>
      <c r="K27" s="38">
        <v>25</v>
      </c>
      <c r="L27" s="99">
        <v>655.20000000000005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3.134796238244514E-3</v>
      </c>
      <c r="I28" s="94">
        <v>2</v>
      </c>
      <c r="K28" s="38">
        <v>26</v>
      </c>
      <c r="L28" s="99">
        <v>625.40000000000009</v>
      </c>
    </row>
    <row r="29" spans="1:17" x14ac:dyDescent="0.4">
      <c r="E29" s="63" t="s">
        <v>75</v>
      </c>
      <c r="F29" s="60" t="s">
        <v>30</v>
      </c>
      <c r="G29" s="47">
        <v>0</v>
      </c>
      <c r="H29" s="133">
        <f>IF(B$17=0,0,G29/B$17)</f>
        <v>0</v>
      </c>
      <c r="I29" s="94">
        <v>5</v>
      </c>
      <c r="K29" s="38">
        <v>27</v>
      </c>
      <c r="L29" s="99">
        <v>596.30000000000007</v>
      </c>
    </row>
    <row r="30" spans="1:17" x14ac:dyDescent="0.4">
      <c r="E30" s="63" t="s">
        <v>77</v>
      </c>
      <c r="F30" s="60" t="s">
        <v>32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655.6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85</v>
      </c>
      <c r="F33" s="60" t="s">
        <v>40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5753F-6E01-489F-A137-F37CDB671430}">
  <sheetPr codeName="Sheet9"/>
  <dimension ref="A1:Q11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113</v>
      </c>
      <c r="C2" s="147"/>
      <c r="E2" s="62" t="s">
        <v>67</v>
      </c>
      <c r="F2" s="59" t="s">
        <v>23</v>
      </c>
      <c r="G2" s="46">
        <v>192</v>
      </c>
      <c r="H2" s="132">
        <f>IF(B$17=0,0,G2/B$17)</f>
        <v>0.75590551181102361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285.84070796460179</v>
      </c>
      <c r="P2" s="118">
        <v>113</v>
      </c>
      <c r="Q2" s="102">
        <v>32300</v>
      </c>
    </row>
    <row r="3" spans="1:17" x14ac:dyDescent="0.4">
      <c r="A3" s="55" t="s">
        <v>8</v>
      </c>
      <c r="B3" s="148">
        <v>936</v>
      </c>
      <c r="C3" s="149"/>
      <c r="E3" s="63" t="s">
        <v>65</v>
      </c>
      <c r="F3" s="60" t="s">
        <v>21</v>
      </c>
      <c r="G3" s="47">
        <v>154</v>
      </c>
      <c r="H3" s="133">
        <f>IF(B$17=0,0,G3/B$17)</f>
        <v>0.60629921259842523</v>
      </c>
      <c r="I3" s="94">
        <v>2</v>
      </c>
      <c r="K3" s="38">
        <v>1</v>
      </c>
      <c r="L3" s="99">
        <v>45.5</v>
      </c>
      <c r="N3" s="115" t="s">
        <v>133</v>
      </c>
      <c r="O3" s="122">
        <f t="shared" si="0"/>
        <v>-2498.1651376146788</v>
      </c>
      <c r="P3" s="119">
        <v>109</v>
      </c>
      <c r="Q3" s="103">
        <v>-272300</v>
      </c>
    </row>
    <row r="4" spans="1:17" x14ac:dyDescent="0.4">
      <c r="A4" s="55" t="s">
        <v>6</v>
      </c>
      <c r="B4" s="150">
        <v>-323.7000000000001</v>
      </c>
      <c r="C4" s="151"/>
      <c r="E4" s="63" t="s">
        <v>73</v>
      </c>
      <c r="F4" s="60" t="s">
        <v>28</v>
      </c>
      <c r="G4" s="47">
        <v>118</v>
      </c>
      <c r="H4" s="133">
        <f>IF(B$17=0,0,G4/B$17)</f>
        <v>0.46456692913385828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6.6037735849056602</v>
      </c>
      <c r="P4" s="119">
        <v>106</v>
      </c>
      <c r="Q4" s="103">
        <v>700</v>
      </c>
    </row>
    <row r="5" spans="1:17" x14ac:dyDescent="0.4">
      <c r="A5" s="55" t="s">
        <v>7</v>
      </c>
      <c r="B5" s="152">
        <f>IF(B$2=0,0,B$4/B$2)</f>
        <v>-2.8646017699115052</v>
      </c>
      <c r="C5" s="153"/>
      <c r="E5" s="63" t="s">
        <v>181</v>
      </c>
      <c r="F5" s="60" t="s">
        <v>182</v>
      </c>
      <c r="G5" s="47">
        <v>111</v>
      </c>
      <c r="H5" s="133">
        <f>IF(B$17=0,0,G5/B$17)</f>
        <v>0.43700787401574803</v>
      </c>
      <c r="I5" s="94">
        <v>2</v>
      </c>
      <c r="K5" s="38">
        <v>3</v>
      </c>
      <c r="L5" s="99">
        <v>-47.300000000000004</v>
      </c>
      <c r="N5" s="115" t="s">
        <v>135</v>
      </c>
      <c r="O5" s="122">
        <f t="shared" si="0"/>
        <v>340</v>
      </c>
      <c r="P5" s="119">
        <v>95</v>
      </c>
      <c r="Q5" s="103">
        <v>32300</v>
      </c>
    </row>
    <row r="6" spans="1:17" x14ac:dyDescent="0.4">
      <c r="A6" s="55" t="s">
        <v>1</v>
      </c>
      <c r="B6" s="142">
        <f>IF(B$2=0,0,(B$7*1+B$8*2+B$9*3)/B$2)</f>
        <v>2.0796460176991149</v>
      </c>
      <c r="C6" s="143"/>
      <c r="E6" s="63" t="s">
        <v>68</v>
      </c>
      <c r="F6" s="60" t="s">
        <v>24</v>
      </c>
      <c r="G6" s="47">
        <v>93</v>
      </c>
      <c r="H6" s="133">
        <f>IF(B$17=0,0,G6/B$17)</f>
        <v>0.36614173228346458</v>
      </c>
      <c r="I6" s="94">
        <v>6</v>
      </c>
      <c r="K6" s="38">
        <v>4</v>
      </c>
      <c r="L6" s="99">
        <v>13.599999999999994</v>
      </c>
      <c r="N6" s="115" t="s">
        <v>136</v>
      </c>
      <c r="O6" s="122">
        <f t="shared" si="0"/>
        <v>321.1764705882353</v>
      </c>
      <c r="P6" s="119">
        <v>85</v>
      </c>
      <c r="Q6" s="103">
        <v>27300</v>
      </c>
    </row>
    <row r="7" spans="1:17" x14ac:dyDescent="0.4">
      <c r="A7" s="55" t="s">
        <v>2</v>
      </c>
      <c r="B7" s="47">
        <v>30</v>
      </c>
      <c r="C7" s="39">
        <f>IF(B$2=0,0,B7/B$2)</f>
        <v>0.26548672566371684</v>
      </c>
      <c r="E7" s="63" t="s">
        <v>69</v>
      </c>
      <c r="F7" s="60" t="s">
        <v>12</v>
      </c>
      <c r="G7" s="47">
        <v>85</v>
      </c>
      <c r="H7" s="133">
        <f>IF(B$17=0,0,G7/B$17)</f>
        <v>0.3346456692913386</v>
      </c>
      <c r="I7" s="94">
        <v>6</v>
      </c>
      <c r="K7" s="38">
        <v>5</v>
      </c>
      <c r="L7" s="99">
        <v>-16.600000000000005</v>
      </c>
      <c r="N7" s="116" t="s">
        <v>137</v>
      </c>
      <c r="O7" s="123">
        <f t="shared" si="0"/>
        <v>455.69620253164555</v>
      </c>
      <c r="P7" s="120">
        <v>79</v>
      </c>
      <c r="Q7" s="104">
        <v>36000</v>
      </c>
    </row>
    <row r="8" spans="1:17" x14ac:dyDescent="0.4">
      <c r="A8" s="55" t="s">
        <v>3</v>
      </c>
      <c r="B8" s="47">
        <v>44</v>
      </c>
      <c r="C8" s="39">
        <f>IF(B$2=0,0,B8/B$2)</f>
        <v>0.38938053097345132</v>
      </c>
      <c r="E8" s="63" t="s">
        <v>70</v>
      </c>
      <c r="F8" s="60" t="s">
        <v>25</v>
      </c>
      <c r="G8" s="47">
        <v>56</v>
      </c>
      <c r="H8" s="133">
        <f>IF(B$17=0,0,G8/B$17)</f>
        <v>0.22047244094488189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39</v>
      </c>
      <c r="C9" s="40">
        <f t="shared" ref="C9" si="1">IF(B$2=0,0,B9/B$2)</f>
        <v>0.34513274336283184</v>
      </c>
      <c r="E9" s="63" t="s">
        <v>66</v>
      </c>
      <c r="F9" s="60" t="s">
        <v>22</v>
      </c>
      <c r="G9" s="47">
        <v>40</v>
      </c>
      <c r="H9" s="133">
        <f>IF(B$17=0,0,G9/B$17)</f>
        <v>0.15748031496062992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14</v>
      </c>
      <c r="C10" s="40">
        <f>IF(B$2=0,0,B10/B$2)</f>
        <v>0.12389380530973451</v>
      </c>
      <c r="E10" s="63" t="s">
        <v>71</v>
      </c>
      <c r="F10" s="60" t="s">
        <v>26</v>
      </c>
      <c r="G10" s="47">
        <v>31</v>
      </c>
      <c r="H10" s="133">
        <f>IF(B$17=0,0,G10/B$17)</f>
        <v>0.12204724409448819</v>
      </c>
      <c r="I10" s="94">
        <v>5</v>
      </c>
      <c r="K10" s="38">
        <v>8</v>
      </c>
      <c r="L10" s="99">
        <v>-49.6</v>
      </c>
      <c r="N10" s="114" t="s">
        <v>164</v>
      </c>
      <c r="O10" s="124">
        <f>IF(P10=0,0,Q10/P10)</f>
        <v>-7.0491525423728829</v>
      </c>
      <c r="P10" s="118">
        <v>59</v>
      </c>
      <c r="Q10" s="106">
        <v>-415.90000000000009</v>
      </c>
    </row>
    <row r="11" spans="1:17" x14ac:dyDescent="0.4">
      <c r="A11" s="56" t="s">
        <v>140</v>
      </c>
      <c r="B11" s="48">
        <v>10</v>
      </c>
      <c r="C11" s="40">
        <f>IF(B$2=0,0,B11/B$2)</f>
        <v>8.8495575221238937E-2</v>
      </c>
      <c r="E11" s="63" t="s">
        <v>90</v>
      </c>
      <c r="F11" s="60" t="s">
        <v>45</v>
      </c>
      <c r="G11" s="47">
        <v>25</v>
      </c>
      <c r="H11" s="133">
        <f>IF(B$17=0,0,G11/B$17)</f>
        <v>9.8425196850393706E-2</v>
      </c>
      <c r="I11" s="94">
        <v>10</v>
      </c>
      <c r="K11" s="38">
        <v>9</v>
      </c>
      <c r="L11" s="99">
        <v>-79.5</v>
      </c>
      <c r="N11" s="115" t="s">
        <v>165</v>
      </c>
      <c r="O11" s="125">
        <f>IF(P11=0,0,Q11/P11)</f>
        <v>-2.3846153846153828</v>
      </c>
      <c r="P11" s="119">
        <v>26</v>
      </c>
      <c r="Q11" s="107">
        <v>-61.99999999999995</v>
      </c>
    </row>
    <row r="12" spans="1:17" x14ac:dyDescent="0.4">
      <c r="A12" s="57" t="s">
        <v>160</v>
      </c>
      <c r="B12" s="49">
        <v>8</v>
      </c>
      <c r="C12" s="42">
        <f>IF(B$2=0,0,B12/B$2)</f>
        <v>7.0796460176991149E-2</v>
      </c>
      <c r="E12" s="63" t="s">
        <v>72</v>
      </c>
      <c r="F12" s="60" t="s">
        <v>27</v>
      </c>
      <c r="G12" s="47">
        <v>14</v>
      </c>
      <c r="H12" s="133">
        <f>IF(B$17=0,0,G12/B$17)</f>
        <v>5.5118110236220472E-2</v>
      </c>
      <c r="I12" s="94">
        <v>8</v>
      </c>
      <c r="K12" s="38">
        <v>10</v>
      </c>
      <c r="L12" s="99">
        <v>-80.900000000000006</v>
      </c>
      <c r="N12" s="116" t="s">
        <v>166</v>
      </c>
      <c r="O12" s="126">
        <f>IF(P12=0,0,Q12/P12)</f>
        <v>5.5071428571428571</v>
      </c>
      <c r="P12" s="120">
        <v>28</v>
      </c>
      <c r="Q12" s="108">
        <v>154.19999999999999</v>
      </c>
    </row>
    <row r="13" spans="1:17" x14ac:dyDescent="0.4">
      <c r="A13" s="58" t="s">
        <v>122</v>
      </c>
      <c r="B13" s="50">
        <v>277</v>
      </c>
      <c r="C13" s="44">
        <f>IF(B$3=0,0,B13/B$3)</f>
        <v>0.29594017094017094</v>
      </c>
      <c r="E13" s="63" t="s">
        <v>87</v>
      </c>
      <c r="F13" s="60" t="s">
        <v>42</v>
      </c>
      <c r="G13" s="47">
        <v>14</v>
      </c>
      <c r="H13" s="133">
        <f>IF(B$17=0,0,G13/B$17)</f>
        <v>5.5118110236220472E-2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170</v>
      </c>
      <c r="C14" s="39">
        <f>IF(B$3=0,0,B14/B$3)</f>
        <v>0.18162393162393162</v>
      </c>
      <c r="E14" s="63" t="s">
        <v>84</v>
      </c>
      <c r="F14" s="60" t="s">
        <v>39</v>
      </c>
      <c r="G14" s="47">
        <v>10</v>
      </c>
      <c r="H14" s="133">
        <f>IF(B$17=0,0,G14/B$17)</f>
        <v>3.937007874015748E-2</v>
      </c>
      <c r="I14" s="94">
        <v>8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162</v>
      </c>
      <c r="C15" s="37">
        <f>IF(B$13=0,0,B15/B$13)</f>
        <v>0.58483754512635377</v>
      </c>
      <c r="E15" s="63" t="s">
        <v>82</v>
      </c>
      <c r="F15" s="60" t="s">
        <v>37</v>
      </c>
      <c r="G15" s="47">
        <v>8</v>
      </c>
      <c r="H15" s="133">
        <f>IF(B$17=0,0,G15/B$17)</f>
        <v>3.1496062992125984E-2</v>
      </c>
      <c r="I15" s="94">
        <v>6</v>
      </c>
      <c r="K15" s="38">
        <v>13</v>
      </c>
      <c r="L15" s="99">
        <v>-81.900000000000006</v>
      </c>
      <c r="N15" s="114" t="s">
        <v>186</v>
      </c>
      <c r="O15" s="124">
        <f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50</v>
      </c>
      <c r="C16" s="37">
        <f>IF(B$14=0,0,B16/B$14)</f>
        <v>0.29411764705882354</v>
      </c>
      <c r="E16" s="63" t="s">
        <v>92</v>
      </c>
      <c r="F16" s="60" t="s">
        <v>47</v>
      </c>
      <c r="G16" s="47">
        <v>6</v>
      </c>
      <c r="H16" s="133">
        <f>IF(B$17=0,0,G16/B$17)</f>
        <v>2.3622047244094488E-2</v>
      </c>
      <c r="I16" s="94">
        <v>2</v>
      </c>
      <c r="K16" s="38">
        <v>14</v>
      </c>
      <c r="L16" s="99">
        <v>-25.600000000000009</v>
      </c>
      <c r="N16" s="115" t="s">
        <v>129</v>
      </c>
      <c r="O16" s="125">
        <f>IF(P16=0,0,Q16/P16)</f>
        <v>12.41176470588235</v>
      </c>
      <c r="P16" s="119">
        <v>34</v>
      </c>
      <c r="Q16" s="107">
        <v>421.99999999999989</v>
      </c>
    </row>
    <row r="17" spans="1:17" x14ac:dyDescent="0.4">
      <c r="A17" s="54" t="s">
        <v>10</v>
      </c>
      <c r="B17" s="46">
        <f>B19+B18</f>
        <v>254</v>
      </c>
      <c r="C17" s="37">
        <f>IF(B$3=0,0,B17/B$3)</f>
        <v>0.27136752136752135</v>
      </c>
      <c r="E17" s="63" t="s">
        <v>80</v>
      </c>
      <c r="F17" s="60" t="s">
        <v>35</v>
      </c>
      <c r="G17" s="47">
        <v>5</v>
      </c>
      <c r="H17" s="133">
        <f>IF(B$17=0,0,G17/B$17)</f>
        <v>1.968503937007874E-2</v>
      </c>
      <c r="I17" s="94">
        <v>2</v>
      </c>
      <c r="K17" s="38">
        <v>15</v>
      </c>
      <c r="L17" s="99">
        <v>47.999999999999986</v>
      </c>
      <c r="N17" s="115" t="s">
        <v>171</v>
      </c>
      <c r="O17" s="125">
        <f>IF(P17=0,0,Q17/P17)</f>
        <v>1.6352941176470646</v>
      </c>
      <c r="P17" s="119">
        <v>34</v>
      </c>
      <c r="Q17" s="107">
        <v>55.600000000000193</v>
      </c>
    </row>
    <row r="18" spans="1:17" x14ac:dyDescent="0.4">
      <c r="A18" s="55" t="s">
        <v>12</v>
      </c>
      <c r="B18" s="47">
        <v>107</v>
      </c>
      <c r="C18" s="39">
        <f>IF(B$17=0,0,B18/B$17)</f>
        <v>0.42125984251968501</v>
      </c>
      <c r="E18" s="63" t="s">
        <v>180</v>
      </c>
      <c r="F18" s="60" t="s">
        <v>183</v>
      </c>
      <c r="G18" s="47">
        <v>4</v>
      </c>
      <c r="H18" s="133">
        <f>IF(B$17=0,0,G18/B$17)</f>
        <v>1.5748031496062992E-2</v>
      </c>
      <c r="I18" s="94">
        <v>2</v>
      </c>
      <c r="K18" s="38">
        <v>16</v>
      </c>
      <c r="L18" s="99">
        <v>41.699999999999989</v>
      </c>
      <c r="N18" s="115" t="s">
        <v>172</v>
      </c>
      <c r="O18" s="125">
        <f>IF(P18=0,0,Q18/P18)</f>
        <v>1.070000000000001</v>
      </c>
      <c r="P18" s="119">
        <v>30</v>
      </c>
      <c r="Q18" s="107">
        <v>32.10000000000003</v>
      </c>
    </row>
    <row r="19" spans="1:17" x14ac:dyDescent="0.4">
      <c r="A19" s="55" t="s">
        <v>11</v>
      </c>
      <c r="B19" s="47">
        <v>147</v>
      </c>
      <c r="C19" s="39">
        <f>IF(B$17=0,0,B19/B$17)</f>
        <v>0.57874015748031493</v>
      </c>
      <c r="E19" s="63" t="s">
        <v>79</v>
      </c>
      <c r="F19" s="60" t="s">
        <v>34</v>
      </c>
      <c r="G19" s="47">
        <v>3</v>
      </c>
      <c r="H19" s="133">
        <f>IF(B$17=0,0,G19/B$17)</f>
        <v>1.1811023622047244E-2</v>
      </c>
      <c r="I19" s="94">
        <v>9</v>
      </c>
      <c r="K19" s="38">
        <v>17</v>
      </c>
      <c r="L19" s="99">
        <v>94.6</v>
      </c>
      <c r="N19" s="115" t="s">
        <v>173</v>
      </c>
      <c r="O19" s="125">
        <f>IF(P19=0,0,Q19/P19)</f>
        <v>-3.6750000000000007</v>
      </c>
      <c r="P19" s="119">
        <v>20</v>
      </c>
      <c r="Q19" s="107">
        <v>-73.500000000000014</v>
      </c>
    </row>
    <row r="20" spans="1:17" x14ac:dyDescent="0.4">
      <c r="A20" s="55" t="s">
        <v>13</v>
      </c>
      <c r="B20" s="47">
        <v>160</v>
      </c>
      <c r="C20" s="39">
        <f>IF(B$3=0,0,B20/B$3)</f>
        <v>0.17094017094017094</v>
      </c>
      <c r="E20" s="63" t="s">
        <v>74</v>
      </c>
      <c r="F20" s="60" t="s">
        <v>29</v>
      </c>
      <c r="G20" s="47">
        <v>2</v>
      </c>
      <c r="H20" s="133">
        <f>IF(B$17=0,0,G20/B$17)</f>
        <v>7.874015748031496E-3</v>
      </c>
      <c r="I20" s="94">
        <v>3</v>
      </c>
      <c r="K20" s="38">
        <v>18</v>
      </c>
      <c r="L20" s="99">
        <v>116.69999999999999</v>
      </c>
      <c r="N20" s="115" t="s">
        <v>202</v>
      </c>
      <c r="O20" s="125">
        <f>IF(P20=0,0,Q20/P20)</f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75</v>
      </c>
      <c r="F21" s="60" t="s">
        <v>30</v>
      </c>
      <c r="G21" s="47">
        <v>2</v>
      </c>
      <c r="H21" s="133">
        <f>IF(B$17=0,0,G21/B$17)</f>
        <v>7.874015748031496E-3</v>
      </c>
      <c r="I21" s="94">
        <v>3</v>
      </c>
      <c r="K21" s="38">
        <v>19</v>
      </c>
      <c r="L21" s="99">
        <v>138.79999999999998</v>
      </c>
      <c r="N21" s="115" t="s">
        <v>177</v>
      </c>
      <c r="O21" s="125">
        <f>IF(P21=0,0,Q21/P21)</f>
        <v>-10.631818181818183</v>
      </c>
      <c r="P21" s="119">
        <v>22</v>
      </c>
      <c r="Q21" s="107">
        <v>-233.9</v>
      </c>
    </row>
    <row r="22" spans="1:17" x14ac:dyDescent="0.4">
      <c r="A22" s="55" t="s">
        <v>194</v>
      </c>
      <c r="B22" s="47">
        <v>24</v>
      </c>
      <c r="C22" s="135">
        <v>6</v>
      </c>
      <c r="E22" s="63" t="s">
        <v>76</v>
      </c>
      <c r="F22" s="60" t="s">
        <v>31</v>
      </c>
      <c r="G22" s="47">
        <v>2</v>
      </c>
      <c r="H22" s="133">
        <f>IF(B$17=0,0,G22/B$17)</f>
        <v>7.874015748031496E-3</v>
      </c>
      <c r="I22" s="94">
        <v>4</v>
      </c>
      <c r="K22" s="38">
        <v>20</v>
      </c>
      <c r="L22" s="99">
        <v>164.49999999999997</v>
      </c>
      <c r="N22" s="115" t="s">
        <v>127</v>
      </c>
      <c r="O22" s="125">
        <f>IF(P22=0,0,Q22/P22)</f>
        <v>-16.614102564102566</v>
      </c>
      <c r="P22" s="119">
        <v>78</v>
      </c>
      <c r="Q22" s="107">
        <v>-1295.9000000000001</v>
      </c>
    </row>
    <row r="23" spans="1:17" x14ac:dyDescent="0.4">
      <c r="A23" s="55" t="s">
        <v>5</v>
      </c>
      <c r="B23" s="51">
        <f>IF(B$17=0,0,C23/B$17)</f>
        <v>9246.8503937007881</v>
      </c>
      <c r="C23" s="41">
        <v>2348700</v>
      </c>
      <c r="E23" s="63" t="s">
        <v>78</v>
      </c>
      <c r="F23" s="60" t="s">
        <v>33</v>
      </c>
      <c r="G23" s="47">
        <v>1</v>
      </c>
      <c r="H23" s="133">
        <f>IF(B$17=0,0,G23/B$17)</f>
        <v>3.937007874015748E-3</v>
      </c>
      <c r="I23" s="94">
        <v>2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-7563.125</v>
      </c>
      <c r="C24" s="45">
        <v>-1210100</v>
      </c>
      <c r="E24" s="63" t="s">
        <v>85</v>
      </c>
      <c r="F24" s="60" t="s">
        <v>40</v>
      </c>
      <c r="G24" s="47">
        <v>1</v>
      </c>
      <c r="H24" s="133">
        <f>IF(B$17=0,0,G24/B$17)</f>
        <v>3.937007874015748E-3</v>
      </c>
      <c r="I24" s="94">
        <v>2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>IF(B$17=0,0,G25/B$17)</f>
        <v>3.937007874015748E-3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3.937007874015748E-3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5.341880341880342E-3</v>
      </c>
      <c r="E27" s="63" t="s">
        <v>94</v>
      </c>
      <c r="F27" s="60" t="s">
        <v>49</v>
      </c>
      <c r="G27" s="47">
        <v>1</v>
      </c>
      <c r="H27" s="133">
        <f>IF(B$17=0,0,G27/B$17)</f>
        <v>3.937007874015748E-3</v>
      </c>
      <c r="I27" s="94">
        <v>3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3.937007874015748E-3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B3B1E-B814-44AA-982B-222275CA28E2}">
  <sheetPr codeName="Sheet11"/>
  <dimension ref="A1:Q5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57</v>
      </c>
      <c r="C2" s="147"/>
      <c r="E2" s="62" t="s">
        <v>67</v>
      </c>
      <c r="F2" s="59" t="s">
        <v>23</v>
      </c>
      <c r="G2" s="46">
        <v>99</v>
      </c>
      <c r="H2" s="132">
        <f>IF(B$17=0,0,G2/B$17)</f>
        <v>0.93396226415094341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-2421.0526315789475</v>
      </c>
      <c r="P2" s="118">
        <v>57</v>
      </c>
      <c r="Q2" s="102">
        <v>-138000</v>
      </c>
    </row>
    <row r="3" spans="1:17" x14ac:dyDescent="0.4">
      <c r="A3" s="55" t="s">
        <v>8</v>
      </c>
      <c r="B3" s="148">
        <v>467</v>
      </c>
      <c r="C3" s="149"/>
      <c r="E3" s="63" t="s">
        <v>65</v>
      </c>
      <c r="F3" s="60" t="s">
        <v>21</v>
      </c>
      <c r="G3" s="47">
        <v>60</v>
      </c>
      <c r="H3" s="133">
        <f>IF(B$17=0,0,G3/B$17)</f>
        <v>0.56603773584905659</v>
      </c>
      <c r="I3" s="94">
        <v>5</v>
      </c>
      <c r="K3" s="38">
        <v>1</v>
      </c>
      <c r="L3" s="99">
        <v>-40.4</v>
      </c>
      <c r="N3" s="115" t="s">
        <v>133</v>
      </c>
      <c r="O3" s="122">
        <f t="shared" si="0"/>
        <v>-1432.7272727272727</v>
      </c>
      <c r="P3" s="119">
        <v>55</v>
      </c>
      <c r="Q3" s="103">
        <v>-78800</v>
      </c>
    </row>
    <row r="4" spans="1:17" x14ac:dyDescent="0.4">
      <c r="A4" s="55" t="s">
        <v>6</v>
      </c>
      <c r="B4" s="150">
        <v>-858.49999999999977</v>
      </c>
      <c r="C4" s="151"/>
      <c r="E4" s="63" t="s">
        <v>69</v>
      </c>
      <c r="F4" s="60" t="s">
        <v>12</v>
      </c>
      <c r="G4" s="47">
        <v>45</v>
      </c>
      <c r="H4" s="133">
        <f>IF(B$17=0,0,G4/B$17)</f>
        <v>0.42452830188679247</v>
      </c>
      <c r="I4" s="94">
        <v>3</v>
      </c>
      <c r="K4" s="38">
        <v>2</v>
      </c>
      <c r="L4" s="99">
        <v>-3.3999999999999986</v>
      </c>
      <c r="N4" s="115" t="s">
        <v>134</v>
      </c>
      <c r="O4" s="122">
        <f t="shared" si="0"/>
        <v>-941.17647058823525</v>
      </c>
      <c r="P4" s="119">
        <v>51</v>
      </c>
      <c r="Q4" s="103">
        <v>-48000</v>
      </c>
    </row>
    <row r="5" spans="1:17" x14ac:dyDescent="0.4">
      <c r="A5" s="55" t="s">
        <v>7</v>
      </c>
      <c r="B5" s="152">
        <f>IF(B$2=0,0,B$4/B$2)</f>
        <v>-15.061403508771926</v>
      </c>
      <c r="C5" s="153"/>
      <c r="E5" s="63" t="s">
        <v>181</v>
      </c>
      <c r="F5" s="60" t="s">
        <v>182</v>
      </c>
      <c r="G5" s="47">
        <v>42</v>
      </c>
      <c r="H5" s="133">
        <f>IF(B$17=0,0,G5/B$17)</f>
        <v>0.39622641509433965</v>
      </c>
      <c r="I5" s="94">
        <v>7</v>
      </c>
      <c r="K5" s="38">
        <v>3</v>
      </c>
      <c r="L5" s="99">
        <v>-23.099999999999998</v>
      </c>
      <c r="N5" s="115" t="s">
        <v>135</v>
      </c>
      <c r="O5" s="122">
        <f t="shared" si="0"/>
        <v>-4993.181818181818</v>
      </c>
      <c r="P5" s="119">
        <v>44</v>
      </c>
      <c r="Q5" s="103">
        <v>-219700</v>
      </c>
    </row>
    <row r="6" spans="1:17" x14ac:dyDescent="0.4">
      <c r="A6" s="55" t="s">
        <v>1</v>
      </c>
      <c r="B6" s="142">
        <f>IF(B$2=0,0,(B$7*1+B$8*2+B$9*3)/B$2)</f>
        <v>2.2456140350877192</v>
      </c>
      <c r="C6" s="143"/>
      <c r="E6" s="63" t="s">
        <v>68</v>
      </c>
      <c r="F6" s="60" t="s">
        <v>24</v>
      </c>
      <c r="G6" s="47">
        <v>41</v>
      </c>
      <c r="H6" s="133">
        <f>IF(B$17=0,0,G6/B$17)</f>
        <v>0.3867924528301887</v>
      </c>
      <c r="I6" s="94">
        <v>4</v>
      </c>
      <c r="K6" s="38">
        <v>4</v>
      </c>
      <c r="L6" s="99">
        <v>-31.4</v>
      </c>
      <c r="N6" s="115" t="s">
        <v>136</v>
      </c>
      <c r="O6" s="122">
        <f t="shared" si="0"/>
        <v>-492.30769230769232</v>
      </c>
      <c r="P6" s="119">
        <v>39</v>
      </c>
      <c r="Q6" s="103">
        <v>-19200</v>
      </c>
    </row>
    <row r="7" spans="1:17" x14ac:dyDescent="0.4">
      <c r="A7" s="55" t="s">
        <v>2</v>
      </c>
      <c r="B7" s="47">
        <v>14</v>
      </c>
      <c r="C7" s="39">
        <f>IF(B$2=0,0,B7/B$2)</f>
        <v>0.24561403508771928</v>
      </c>
      <c r="E7" s="63" t="s">
        <v>73</v>
      </c>
      <c r="F7" s="60" t="s">
        <v>28</v>
      </c>
      <c r="G7" s="47">
        <v>35</v>
      </c>
      <c r="H7" s="133">
        <f>IF(B$17=0,0,G7/B$17)</f>
        <v>0.330188679245283</v>
      </c>
      <c r="I7" s="94">
        <v>12</v>
      </c>
      <c r="K7" s="38">
        <v>5</v>
      </c>
      <c r="L7" s="99">
        <v>-32.199999999999996</v>
      </c>
      <c r="N7" s="116" t="s">
        <v>137</v>
      </c>
      <c r="O7" s="123">
        <f t="shared" si="0"/>
        <v>-1886.1111111111111</v>
      </c>
      <c r="P7" s="120">
        <v>36</v>
      </c>
      <c r="Q7" s="104">
        <v>-67900</v>
      </c>
    </row>
    <row r="8" spans="1:17" x14ac:dyDescent="0.4">
      <c r="A8" s="55" t="s">
        <v>3</v>
      </c>
      <c r="B8" s="47">
        <v>15</v>
      </c>
      <c r="C8" s="39">
        <f>IF(B$2=0,0,B8/B$2)</f>
        <v>0.26315789473684209</v>
      </c>
      <c r="E8" s="63" t="s">
        <v>70</v>
      </c>
      <c r="F8" s="60" t="s">
        <v>25</v>
      </c>
      <c r="G8" s="47">
        <v>25</v>
      </c>
      <c r="H8" s="133">
        <f>IF(B$17=0,0,G8/B$17)</f>
        <v>0.23584905660377359</v>
      </c>
      <c r="I8" s="94">
        <v>2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28</v>
      </c>
      <c r="C9" s="40">
        <f t="shared" ref="C9" si="1">IF(B$2=0,0,B9/B$2)</f>
        <v>0.49122807017543857</v>
      </c>
      <c r="E9" s="63" t="s">
        <v>71</v>
      </c>
      <c r="F9" s="60" t="s">
        <v>26</v>
      </c>
      <c r="G9" s="47">
        <v>16</v>
      </c>
      <c r="H9" s="133">
        <f>IF(B$17=0,0,G9/B$17)</f>
        <v>0.15094339622641509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>IF(B$2=0,0,B10/B$2)</f>
        <v>0.19298245614035087</v>
      </c>
      <c r="E10" s="63" t="s">
        <v>72</v>
      </c>
      <c r="F10" s="60" t="s">
        <v>27</v>
      </c>
      <c r="G10" s="47">
        <v>12</v>
      </c>
      <c r="H10" s="133">
        <f>IF(B$17=0,0,G10/B$17)</f>
        <v>0.11320754716981132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-16.227777777777774</v>
      </c>
      <c r="P10" s="118">
        <v>18</v>
      </c>
      <c r="Q10" s="106">
        <v>-292.09999999999997</v>
      </c>
    </row>
    <row r="11" spans="1:17" x14ac:dyDescent="0.4">
      <c r="A11" s="56" t="s">
        <v>140</v>
      </c>
      <c r="B11" s="48">
        <v>7</v>
      </c>
      <c r="C11" s="40">
        <f>IF(B$2=0,0,B11/B$2)</f>
        <v>0.12280701754385964</v>
      </c>
      <c r="E11" s="63" t="s">
        <v>90</v>
      </c>
      <c r="F11" s="60" t="s">
        <v>45</v>
      </c>
      <c r="G11" s="47">
        <v>10</v>
      </c>
      <c r="H11" s="133">
        <f>IF(B$17=0,0,G11/B$17)</f>
        <v>9.4339622641509441E-2</v>
      </c>
      <c r="I11" s="94">
        <v>11</v>
      </c>
      <c r="K11" s="38">
        <v>9</v>
      </c>
      <c r="L11" s="99">
        <v>-127.6</v>
      </c>
      <c r="N11" s="115" t="s">
        <v>165</v>
      </c>
      <c r="O11" s="125">
        <f>IF(P11=0,0,Q11/P11)</f>
        <v>-9.565217391304353</v>
      </c>
      <c r="P11" s="119">
        <v>23</v>
      </c>
      <c r="Q11" s="107">
        <v>-220.00000000000011</v>
      </c>
    </row>
    <row r="12" spans="1:17" x14ac:dyDescent="0.4">
      <c r="A12" s="57" t="s">
        <v>160</v>
      </c>
      <c r="B12" s="49">
        <v>5</v>
      </c>
      <c r="C12" s="42">
        <f>IF(B$2=0,0,B12/B$2)</f>
        <v>8.771929824561403E-2</v>
      </c>
      <c r="E12" s="63" t="s">
        <v>87</v>
      </c>
      <c r="F12" s="60" t="s">
        <v>42</v>
      </c>
      <c r="G12" s="47">
        <v>9</v>
      </c>
      <c r="H12" s="133">
        <f>IF(B$17=0,0,G12/B$17)</f>
        <v>8.4905660377358486E-2</v>
      </c>
      <c r="I12" s="94">
        <v>3</v>
      </c>
      <c r="K12" s="38">
        <v>10</v>
      </c>
      <c r="L12" s="99">
        <v>-231.39999999999998</v>
      </c>
      <c r="N12" s="116" t="s">
        <v>166</v>
      </c>
      <c r="O12" s="126">
        <f>IF(P12=0,0,Q12/P12)</f>
        <v>-21.65</v>
      </c>
      <c r="P12" s="120">
        <v>16</v>
      </c>
      <c r="Q12" s="108">
        <v>-346.4</v>
      </c>
    </row>
    <row r="13" spans="1:17" x14ac:dyDescent="0.4">
      <c r="A13" s="58" t="s">
        <v>122</v>
      </c>
      <c r="B13" s="50">
        <v>120</v>
      </c>
      <c r="C13" s="44">
        <f>IF(B$3=0,0,B13/B$3)</f>
        <v>0.2569593147751606</v>
      </c>
      <c r="E13" s="63" t="s">
        <v>66</v>
      </c>
      <c r="F13" s="60" t="s">
        <v>22</v>
      </c>
      <c r="G13" s="47">
        <v>7</v>
      </c>
      <c r="H13" s="133">
        <f>IF(B$17=0,0,G13/B$17)</f>
        <v>6.6037735849056603E-2</v>
      </c>
      <c r="I13" s="94">
        <v>8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73</v>
      </c>
      <c r="C14" s="39">
        <f>IF(B$3=0,0,B14/B$3)</f>
        <v>0.15631691648822268</v>
      </c>
      <c r="E14" s="63" t="s">
        <v>79</v>
      </c>
      <c r="F14" s="60" t="s">
        <v>34</v>
      </c>
      <c r="G14" s="47">
        <v>4</v>
      </c>
      <c r="H14" s="133">
        <f>IF(B$17=0,0,G14/B$17)</f>
        <v>3.7735849056603772E-2</v>
      </c>
      <c r="I14" s="94">
        <v>4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62</v>
      </c>
      <c r="C15" s="37">
        <f>IF(B$13=0,0,B15/B$13)</f>
        <v>0.51666666666666672</v>
      </c>
      <c r="E15" s="63" t="s">
        <v>84</v>
      </c>
      <c r="F15" s="60" t="s">
        <v>39</v>
      </c>
      <c r="G15" s="47">
        <v>4</v>
      </c>
      <c r="H15" s="133">
        <f>IF(B$17=0,0,G15/B$17)</f>
        <v>3.7735849056603772E-2</v>
      </c>
      <c r="I15" s="94">
        <v>9</v>
      </c>
      <c r="K15" s="38">
        <v>13</v>
      </c>
      <c r="L15" s="99">
        <v>-369.1</v>
      </c>
      <c r="N15" s="114" t="s">
        <v>225</v>
      </c>
      <c r="O15" s="124">
        <f>IF(P15=0,0,Q15/P15)</f>
        <v>80.7</v>
      </c>
      <c r="P15" s="118">
        <v>1</v>
      </c>
      <c r="Q15" s="106">
        <v>80.7</v>
      </c>
    </row>
    <row r="16" spans="1:17" x14ac:dyDescent="0.4">
      <c r="A16" s="54" t="s">
        <v>125</v>
      </c>
      <c r="B16" s="46">
        <v>18</v>
      </c>
      <c r="C16" s="37">
        <f>IF(B$14=0,0,B16/B$14)</f>
        <v>0.24657534246575341</v>
      </c>
      <c r="E16" s="63" t="s">
        <v>75</v>
      </c>
      <c r="F16" s="60" t="s">
        <v>30</v>
      </c>
      <c r="G16" s="47">
        <v>1</v>
      </c>
      <c r="H16" s="133">
        <f>IF(B$17=0,0,G16/B$17)</f>
        <v>9.433962264150943E-3</v>
      </c>
      <c r="I16" s="94">
        <v>2</v>
      </c>
      <c r="K16" s="38">
        <v>14</v>
      </c>
      <c r="L16" s="99">
        <v>-394.6</v>
      </c>
      <c r="N16" s="115" t="s">
        <v>177</v>
      </c>
      <c r="O16" s="125">
        <f>IF(P16=0,0,Q16/P16)</f>
        <v>21.775000000000002</v>
      </c>
      <c r="P16" s="119">
        <v>8</v>
      </c>
      <c r="Q16" s="107">
        <v>174.20000000000002</v>
      </c>
    </row>
    <row r="17" spans="1:17" x14ac:dyDescent="0.4">
      <c r="A17" s="54" t="s">
        <v>10</v>
      </c>
      <c r="B17" s="46">
        <f>B19+B18</f>
        <v>106</v>
      </c>
      <c r="C17" s="37">
        <f>IF(B$3=0,0,B17/B$3)</f>
        <v>0.22698072805139186</v>
      </c>
      <c r="E17" s="63" t="s">
        <v>78</v>
      </c>
      <c r="F17" s="60" t="s">
        <v>33</v>
      </c>
      <c r="G17" s="47">
        <v>1</v>
      </c>
      <c r="H17" s="133">
        <f>IF(B$17=0,0,G17/B$17)</f>
        <v>9.433962264150943E-3</v>
      </c>
      <c r="I17" s="94">
        <v>1</v>
      </c>
      <c r="K17" s="38">
        <v>15</v>
      </c>
      <c r="L17" s="99">
        <v>-424.5</v>
      </c>
      <c r="N17" s="115" t="s">
        <v>128</v>
      </c>
      <c r="O17" s="125">
        <f>IF(P17=0,0,Q17/P17)</f>
        <v>-12.411764705882348</v>
      </c>
      <c r="P17" s="119">
        <v>34</v>
      </c>
      <c r="Q17" s="107">
        <v>-421.99999999999983</v>
      </c>
    </row>
    <row r="18" spans="1:17" x14ac:dyDescent="0.4">
      <c r="A18" s="55" t="s">
        <v>12</v>
      </c>
      <c r="B18" s="47">
        <v>51</v>
      </c>
      <c r="C18" s="39">
        <f>IF(B$17=0,0,B18/B$17)</f>
        <v>0.48113207547169812</v>
      </c>
      <c r="E18" s="63" t="s">
        <v>80</v>
      </c>
      <c r="F18" s="60" t="s">
        <v>35</v>
      </c>
      <c r="G18" s="47">
        <v>1</v>
      </c>
      <c r="H18" s="133">
        <f>IF(B$17=0,0,G18/B$17)</f>
        <v>9.433962264150943E-3</v>
      </c>
      <c r="I18" s="94">
        <v>9</v>
      </c>
      <c r="K18" s="38">
        <v>16</v>
      </c>
      <c r="L18" s="99">
        <v>-472</v>
      </c>
      <c r="N18" s="115" t="s">
        <v>171</v>
      </c>
      <c r="O18" s="125">
        <f>IF(P18=0,0,Q18/P18)</f>
        <v>-21.731250000000003</v>
      </c>
      <c r="P18" s="119">
        <v>16</v>
      </c>
      <c r="Q18" s="107">
        <v>-347.70000000000005</v>
      </c>
    </row>
    <row r="19" spans="1:17" x14ac:dyDescent="0.4">
      <c r="A19" s="55" t="s">
        <v>11</v>
      </c>
      <c r="B19" s="47">
        <v>55</v>
      </c>
      <c r="C19" s="39">
        <f>IF(B$17=0,0,B19/B$17)</f>
        <v>0.51886792452830188</v>
      </c>
      <c r="E19" s="63" t="s">
        <v>82</v>
      </c>
      <c r="F19" s="60" t="s">
        <v>37</v>
      </c>
      <c r="G19" s="47">
        <v>1</v>
      </c>
      <c r="H19" s="133">
        <f>IF(B$17=0,0,G19/B$17)</f>
        <v>9.433962264150943E-3</v>
      </c>
      <c r="I19" s="94">
        <v>9</v>
      </c>
      <c r="K19" s="38">
        <v>17</v>
      </c>
      <c r="L19" s="99">
        <v>-538.29999999999995</v>
      </c>
      <c r="N19" s="115" t="s">
        <v>173</v>
      </c>
      <c r="O19" s="125">
        <f>IF(P19=0,0,Q19/P19)</f>
        <v>-30.299999999999994</v>
      </c>
      <c r="P19" s="119">
        <v>7</v>
      </c>
      <c r="Q19" s="107">
        <v>-212.09999999999997</v>
      </c>
    </row>
    <row r="20" spans="1:17" x14ac:dyDescent="0.4">
      <c r="A20" s="55" t="s">
        <v>13</v>
      </c>
      <c r="B20" s="47">
        <v>91</v>
      </c>
      <c r="C20" s="39">
        <f>IF(B$3=0,0,B20/B$3)</f>
        <v>0.19486081370449679</v>
      </c>
      <c r="E20" s="63" t="s">
        <v>88</v>
      </c>
      <c r="F20" s="60" t="s">
        <v>43</v>
      </c>
      <c r="G20" s="47">
        <v>1</v>
      </c>
      <c r="H20" s="133">
        <f>IF(B$17=0,0,G20/B$17)</f>
        <v>9.433962264150943E-3</v>
      </c>
      <c r="I20" s="94">
        <v>1</v>
      </c>
      <c r="K20" s="38">
        <v>18</v>
      </c>
      <c r="L20" s="99">
        <v>-537.19999999999993</v>
      </c>
      <c r="N20" s="115" t="s">
        <v>127</v>
      </c>
      <c r="O20" s="125">
        <f>IF(P20=0,0,Q20/P20)</f>
        <v>-35.458823529411774</v>
      </c>
      <c r="P20" s="119">
        <v>34</v>
      </c>
      <c r="Q20" s="107">
        <v>-1205.6000000000004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89</v>
      </c>
      <c r="F21" s="60" t="s">
        <v>44</v>
      </c>
      <c r="G21" s="47">
        <v>1</v>
      </c>
      <c r="H21" s="133">
        <f>IF(B$17=0,0,G21/B$17)</f>
        <v>9.433962264150943E-3</v>
      </c>
      <c r="I21" s="94">
        <v>1</v>
      </c>
      <c r="K21" s="38">
        <v>19</v>
      </c>
      <c r="L21" s="99">
        <v>-569.49999999999989</v>
      </c>
      <c r="N21" s="115" t="s">
        <v>172</v>
      </c>
      <c r="O21" s="125">
        <f>IF(P21=0,0,Q21/P21)</f>
        <v>-44.441666666666656</v>
      </c>
      <c r="P21" s="119">
        <v>12</v>
      </c>
      <c r="Q21" s="107">
        <v>-533.29999999999984</v>
      </c>
    </row>
    <row r="22" spans="1:17" x14ac:dyDescent="0.4">
      <c r="A22" s="55" t="s">
        <v>194</v>
      </c>
      <c r="B22" s="47">
        <v>31</v>
      </c>
      <c r="C22" s="135">
        <v>4</v>
      </c>
      <c r="E22" s="63" t="s">
        <v>92</v>
      </c>
      <c r="F22" s="60" t="s">
        <v>47</v>
      </c>
      <c r="G22" s="47">
        <v>1</v>
      </c>
      <c r="H22" s="133">
        <f>IF(B$17=0,0,G22/B$17)</f>
        <v>9.433962264150943E-3</v>
      </c>
      <c r="I22" s="94">
        <v>8</v>
      </c>
      <c r="K22" s="38">
        <v>20</v>
      </c>
      <c r="L22" s="99">
        <v>-632.99999999999989</v>
      </c>
      <c r="N22" s="115" t="s">
        <v>186</v>
      </c>
      <c r="O22" s="125">
        <f>IF(P22=0,0,Q22/P22)</f>
        <v>-54.849999999999994</v>
      </c>
      <c r="P22" s="119">
        <v>2</v>
      </c>
      <c r="Q22" s="107">
        <v>-109.69999999999999</v>
      </c>
    </row>
    <row r="23" spans="1:17" x14ac:dyDescent="0.4">
      <c r="A23" s="55" t="s">
        <v>5</v>
      </c>
      <c r="B23" s="51">
        <f>IF(B$17=0,0,C23/B$17)</f>
        <v>9033.9622641509432</v>
      </c>
      <c r="C23" s="41">
        <v>957600</v>
      </c>
      <c r="E23" s="63" t="s">
        <v>94</v>
      </c>
      <c r="F23" s="60" t="s">
        <v>49</v>
      </c>
      <c r="G23" s="47">
        <v>1</v>
      </c>
      <c r="H23" s="133">
        <f>IF(B$17=0,0,G23/B$17)</f>
        <v>9.433962264150943E-3</v>
      </c>
      <c r="I23" s="94">
        <v>1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-9095.6043956043959</v>
      </c>
      <c r="C24" s="45">
        <v>-827700</v>
      </c>
      <c r="E24" s="63" t="s">
        <v>74</v>
      </c>
      <c r="F24" s="60" t="s">
        <v>29</v>
      </c>
      <c r="G24" s="47">
        <v>0</v>
      </c>
      <c r="H24" s="133">
        <f>IF(B$17=0,0,G24/B$17)</f>
        <v>0</v>
      </c>
      <c r="I24" s="94">
        <v>7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76</v>
      </c>
      <c r="F25" s="60" t="s">
        <v>31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2.1413276231263384E-3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-876.19999999999993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-931.09999999999991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-908.69999999999993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-715.0999999999998</v>
      </c>
    </row>
    <row r="52" spans="5:12" x14ac:dyDescent="0.4"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B2764-043C-4E2C-9841-DBE0F35F5621}">
  <sheetPr codeName="Sheet13"/>
  <dimension ref="A1:Q6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67</v>
      </c>
      <c r="C2" s="147"/>
      <c r="E2" s="62" t="s">
        <v>67</v>
      </c>
      <c r="F2" s="59" t="s">
        <v>23</v>
      </c>
      <c r="G2" s="46">
        <v>130</v>
      </c>
      <c r="H2" s="132">
        <f>IF(B$17=0,0,G2/B$17)</f>
        <v>0.8125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-1132.8358208955224</v>
      </c>
      <c r="P2" s="118">
        <v>67</v>
      </c>
      <c r="Q2" s="102">
        <v>-75900</v>
      </c>
    </row>
    <row r="3" spans="1:17" x14ac:dyDescent="0.4">
      <c r="A3" s="55" t="s">
        <v>8</v>
      </c>
      <c r="B3" s="148">
        <v>571</v>
      </c>
      <c r="C3" s="149"/>
      <c r="E3" s="63" t="s">
        <v>65</v>
      </c>
      <c r="F3" s="60" t="s">
        <v>21</v>
      </c>
      <c r="G3" s="47">
        <v>89</v>
      </c>
      <c r="H3" s="133">
        <f>IF(B$17=0,0,G3/B$17)</f>
        <v>0.55625000000000002</v>
      </c>
      <c r="I3" s="94">
        <v>6</v>
      </c>
      <c r="K3" s="38">
        <v>1</v>
      </c>
      <c r="L3" s="99">
        <v>-51.2</v>
      </c>
      <c r="N3" s="115" t="s">
        <v>133</v>
      </c>
      <c r="O3" s="122">
        <f t="shared" si="0"/>
        <v>1183.3333333333333</v>
      </c>
      <c r="P3" s="119">
        <v>66</v>
      </c>
      <c r="Q3" s="103">
        <v>78100</v>
      </c>
    </row>
    <row r="4" spans="1:17" x14ac:dyDescent="0.4">
      <c r="A4" s="55" t="s">
        <v>6</v>
      </c>
      <c r="B4" s="150">
        <v>154.1</v>
      </c>
      <c r="C4" s="151"/>
      <c r="E4" s="63" t="s">
        <v>73</v>
      </c>
      <c r="F4" s="60" t="s">
        <v>28</v>
      </c>
      <c r="G4" s="47">
        <v>79</v>
      </c>
      <c r="H4" s="133">
        <f>IF(B$17=0,0,G4/B$17)</f>
        <v>0.49375000000000002</v>
      </c>
      <c r="I4" s="94">
        <v>9</v>
      </c>
      <c r="K4" s="38">
        <v>2</v>
      </c>
      <c r="L4" s="99">
        <v>-93.300000000000011</v>
      </c>
      <c r="N4" s="115" t="s">
        <v>134</v>
      </c>
      <c r="O4" s="122">
        <f t="shared" si="0"/>
        <v>1765.0793650793651</v>
      </c>
      <c r="P4" s="119">
        <v>63</v>
      </c>
      <c r="Q4" s="103">
        <v>111200</v>
      </c>
    </row>
    <row r="5" spans="1:17" x14ac:dyDescent="0.4">
      <c r="A5" s="55" t="s">
        <v>7</v>
      </c>
      <c r="B5" s="152">
        <f>IF(B$2=0,0,B$4/B$2)</f>
        <v>2.2999999999999998</v>
      </c>
      <c r="C5" s="153"/>
      <c r="E5" s="63" t="s">
        <v>181</v>
      </c>
      <c r="F5" s="60" t="s">
        <v>182</v>
      </c>
      <c r="G5" s="47">
        <v>60</v>
      </c>
      <c r="H5" s="133">
        <f>IF(B$17=0,0,G5/B$17)</f>
        <v>0.375</v>
      </c>
      <c r="I5" s="94">
        <v>8</v>
      </c>
      <c r="K5" s="38">
        <v>3</v>
      </c>
      <c r="L5" s="99">
        <v>-60.100000000000009</v>
      </c>
      <c r="N5" s="115" t="s">
        <v>135</v>
      </c>
      <c r="O5" s="122">
        <f t="shared" si="0"/>
        <v>2188.6792452830186</v>
      </c>
      <c r="P5" s="119">
        <v>53</v>
      </c>
      <c r="Q5" s="103">
        <v>116000</v>
      </c>
    </row>
    <row r="6" spans="1:17" x14ac:dyDescent="0.4">
      <c r="A6" s="55" t="s">
        <v>1</v>
      </c>
      <c r="B6" s="142">
        <f>IF(B$2=0,0,(B$7*1+B$8*2+B$9*3)/B$2)</f>
        <v>2.044776119402985</v>
      </c>
      <c r="C6" s="143"/>
      <c r="E6" s="63" t="s">
        <v>68</v>
      </c>
      <c r="F6" s="60" t="s">
        <v>24</v>
      </c>
      <c r="G6" s="47">
        <v>52</v>
      </c>
      <c r="H6" s="133">
        <f>IF(B$17=0,0,G6/B$17)</f>
        <v>0.32500000000000001</v>
      </c>
      <c r="I6" s="94">
        <v>7</v>
      </c>
      <c r="K6" s="38">
        <v>4</v>
      </c>
      <c r="L6" s="99">
        <v>-11.300000000000011</v>
      </c>
      <c r="N6" s="115" t="s">
        <v>136</v>
      </c>
      <c r="O6" s="122">
        <f t="shared" si="0"/>
        <v>-1195.8333333333333</v>
      </c>
      <c r="P6" s="119">
        <v>48</v>
      </c>
      <c r="Q6" s="103">
        <v>-57400</v>
      </c>
    </row>
    <row r="7" spans="1:17" x14ac:dyDescent="0.4">
      <c r="A7" s="55" t="s">
        <v>2</v>
      </c>
      <c r="B7" s="47">
        <v>20</v>
      </c>
      <c r="C7" s="39">
        <f>IF(B$2=0,0,B7/B$2)</f>
        <v>0.29850746268656714</v>
      </c>
      <c r="E7" s="63" t="s">
        <v>69</v>
      </c>
      <c r="F7" s="60" t="s">
        <v>12</v>
      </c>
      <c r="G7" s="47">
        <v>49</v>
      </c>
      <c r="H7" s="133">
        <f>IF(B$17=0,0,G7/B$17)</f>
        <v>0.30625000000000002</v>
      </c>
      <c r="I7" s="94">
        <v>9</v>
      </c>
      <c r="K7" s="38">
        <v>5</v>
      </c>
      <c r="L7" s="99">
        <v>-36.100000000000009</v>
      </c>
      <c r="N7" s="116" t="s">
        <v>137</v>
      </c>
      <c r="O7" s="123">
        <f t="shared" si="0"/>
        <v>1138.6363636363637</v>
      </c>
      <c r="P7" s="120">
        <v>44</v>
      </c>
      <c r="Q7" s="104">
        <v>50100</v>
      </c>
    </row>
    <row r="8" spans="1:17" x14ac:dyDescent="0.4">
      <c r="A8" s="55" t="s">
        <v>3</v>
      </c>
      <c r="B8" s="47">
        <v>24</v>
      </c>
      <c r="C8" s="39">
        <f>IF(B$2=0,0,B8/B$2)</f>
        <v>0.35820895522388058</v>
      </c>
      <c r="E8" s="63" t="s">
        <v>70</v>
      </c>
      <c r="F8" s="60" t="s">
        <v>25</v>
      </c>
      <c r="G8" s="47">
        <v>34</v>
      </c>
      <c r="H8" s="133">
        <f>IF(B$17=0,0,G8/B$17)</f>
        <v>0.21249999999999999</v>
      </c>
      <c r="I8" s="94">
        <v>4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23</v>
      </c>
      <c r="C9" s="40">
        <f t="shared" ref="C9" si="1">IF(B$2=0,0,B9/B$2)</f>
        <v>0.34328358208955223</v>
      </c>
      <c r="E9" s="63" t="s">
        <v>90</v>
      </c>
      <c r="F9" s="60" t="s">
        <v>45</v>
      </c>
      <c r="G9" s="47">
        <v>24</v>
      </c>
      <c r="H9" s="133">
        <f>IF(B$17=0,0,G9/B$17)</f>
        <v>0.15</v>
      </c>
      <c r="I9" s="94">
        <v>6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4.4776119402985072E-2</v>
      </c>
      <c r="E10" s="63" t="s">
        <v>66</v>
      </c>
      <c r="F10" s="60" t="s">
        <v>22</v>
      </c>
      <c r="G10" s="47">
        <v>21</v>
      </c>
      <c r="H10" s="133">
        <f>IF(B$17=0,0,G10/B$17)</f>
        <v>0.13125000000000001</v>
      </c>
      <c r="I10" s="94">
        <v>3</v>
      </c>
      <c r="K10" s="38">
        <v>8</v>
      </c>
      <c r="L10" s="99">
        <v>-1.7000000000000028</v>
      </c>
      <c r="N10" s="114" t="s">
        <v>164</v>
      </c>
      <c r="O10" s="124">
        <f>IF(P10=0,0,Q10/P10)</f>
        <v>11.206666666666667</v>
      </c>
      <c r="P10" s="118">
        <v>15</v>
      </c>
      <c r="Q10" s="106">
        <v>168.1</v>
      </c>
    </row>
    <row r="11" spans="1:17" x14ac:dyDescent="0.4">
      <c r="A11" s="56" t="s">
        <v>140</v>
      </c>
      <c r="B11" s="48">
        <v>9</v>
      </c>
      <c r="C11" s="40">
        <f>IF(B$2=0,0,B11/B$2)</f>
        <v>0.13432835820895522</v>
      </c>
      <c r="E11" s="63" t="s">
        <v>71</v>
      </c>
      <c r="F11" s="60" t="s">
        <v>26</v>
      </c>
      <c r="G11" s="47">
        <v>20</v>
      </c>
      <c r="H11" s="133">
        <f>IF(B$17=0,0,G11/B$17)</f>
        <v>0.125</v>
      </c>
      <c r="I11" s="94">
        <v>4</v>
      </c>
      <c r="K11" s="38">
        <v>9</v>
      </c>
      <c r="L11" s="99">
        <v>-5.8000000000000025</v>
      </c>
      <c r="N11" s="115" t="s">
        <v>165</v>
      </c>
      <c r="O11" s="125">
        <f>IF(P11=0,0,Q11/P11)</f>
        <v>-4.9851851851851841</v>
      </c>
      <c r="P11" s="119">
        <v>27</v>
      </c>
      <c r="Q11" s="107">
        <v>-134.59999999999997</v>
      </c>
    </row>
    <row r="12" spans="1:17" x14ac:dyDescent="0.4">
      <c r="A12" s="57" t="s">
        <v>160</v>
      </c>
      <c r="B12" s="49">
        <v>5</v>
      </c>
      <c r="C12" s="42">
        <f>IF(B$2=0,0,B12/B$2)</f>
        <v>7.4626865671641784E-2</v>
      </c>
      <c r="E12" s="63" t="s">
        <v>87</v>
      </c>
      <c r="F12" s="60" t="s">
        <v>42</v>
      </c>
      <c r="G12" s="47">
        <v>13</v>
      </c>
      <c r="H12" s="133">
        <f>IF(B$17=0,0,G12/B$17)</f>
        <v>8.1250000000000003E-2</v>
      </c>
      <c r="I12" s="94">
        <v>4</v>
      </c>
      <c r="K12" s="38">
        <v>10</v>
      </c>
      <c r="L12" s="99">
        <v>-56.500000000000007</v>
      </c>
      <c r="N12" s="116" t="s">
        <v>166</v>
      </c>
      <c r="O12" s="126">
        <f>IF(P12=0,0,Q12/P12)</f>
        <v>4.8239999999999998</v>
      </c>
      <c r="P12" s="120">
        <v>25</v>
      </c>
      <c r="Q12" s="108">
        <v>120.6</v>
      </c>
    </row>
    <row r="13" spans="1:17" x14ac:dyDescent="0.4">
      <c r="A13" s="58" t="s">
        <v>122</v>
      </c>
      <c r="B13" s="50">
        <v>160</v>
      </c>
      <c r="C13" s="44">
        <f>IF(B$3=0,0,B13/B$3)</f>
        <v>0.28021015761821366</v>
      </c>
      <c r="E13" s="63" t="s">
        <v>72</v>
      </c>
      <c r="F13" s="60" t="s">
        <v>27</v>
      </c>
      <c r="G13" s="47">
        <v>11</v>
      </c>
      <c r="H13" s="133">
        <f>IF(B$17=0,0,G13/B$17)</f>
        <v>6.8750000000000006E-2</v>
      </c>
      <c r="I13" s="94">
        <v>5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106</v>
      </c>
      <c r="C14" s="39">
        <f>IF(B$3=0,0,B14/B$3)</f>
        <v>0.18563922942206654</v>
      </c>
      <c r="E14" s="63" t="s">
        <v>79</v>
      </c>
      <c r="F14" s="60" t="s">
        <v>34</v>
      </c>
      <c r="G14" s="47">
        <v>7</v>
      </c>
      <c r="H14" s="133">
        <f>IF(B$17=0,0,G14/B$17)</f>
        <v>4.3749999999999997E-2</v>
      </c>
      <c r="I14" s="94">
        <v>3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94</v>
      </c>
      <c r="C15" s="37">
        <f>IF(B$13=0,0,B15/B$13)</f>
        <v>0.58750000000000002</v>
      </c>
      <c r="E15" s="63" t="s">
        <v>84</v>
      </c>
      <c r="F15" s="60" t="s">
        <v>39</v>
      </c>
      <c r="G15" s="47">
        <v>7</v>
      </c>
      <c r="H15" s="133">
        <f>IF(B$17=0,0,G15/B$17)</f>
        <v>4.3749999999999997E-2</v>
      </c>
      <c r="I15" s="94">
        <v>7</v>
      </c>
      <c r="K15" s="38">
        <v>13</v>
      </c>
      <c r="L15" s="99">
        <v>-58.7</v>
      </c>
      <c r="N15" s="114" t="s">
        <v>186</v>
      </c>
      <c r="O15" s="124">
        <f>IF(P15=0,0,Q15/P15)</f>
        <v>25.400000000000002</v>
      </c>
      <c r="P15" s="118">
        <v>2</v>
      </c>
      <c r="Q15" s="106">
        <v>50.800000000000004</v>
      </c>
    </row>
    <row r="16" spans="1:17" x14ac:dyDescent="0.4">
      <c r="A16" s="54" t="s">
        <v>125</v>
      </c>
      <c r="B16" s="46">
        <v>42</v>
      </c>
      <c r="C16" s="37">
        <f>IF(B$14=0,0,B16/B$14)</f>
        <v>0.39622641509433965</v>
      </c>
      <c r="E16" s="63" t="s">
        <v>82</v>
      </c>
      <c r="F16" s="60" t="s">
        <v>37</v>
      </c>
      <c r="G16" s="47">
        <v>6</v>
      </c>
      <c r="H16" s="133">
        <f>IF(B$17=0,0,G16/B$17)</f>
        <v>3.7499999999999999E-2</v>
      </c>
      <c r="I16" s="94">
        <v>2</v>
      </c>
      <c r="K16" s="38">
        <v>14</v>
      </c>
      <c r="L16" s="99">
        <v>-29.400000000000002</v>
      </c>
      <c r="N16" s="115" t="s">
        <v>129</v>
      </c>
      <c r="O16" s="125">
        <f>IF(P16=0,0,Q16/P16)</f>
        <v>21.731249999999999</v>
      </c>
      <c r="P16" s="119">
        <v>16</v>
      </c>
      <c r="Q16" s="107">
        <v>347.7</v>
      </c>
    </row>
    <row r="17" spans="1:17" x14ac:dyDescent="0.4">
      <c r="A17" s="54" t="s">
        <v>10</v>
      </c>
      <c r="B17" s="46">
        <f>B19+B18</f>
        <v>160</v>
      </c>
      <c r="C17" s="37">
        <f>IF(B$3=0,0,B17/B$3)</f>
        <v>0.28021015761821366</v>
      </c>
      <c r="E17" s="63" t="s">
        <v>76</v>
      </c>
      <c r="F17" s="60" t="s">
        <v>31</v>
      </c>
      <c r="G17" s="47">
        <v>3</v>
      </c>
      <c r="H17" s="133">
        <f>IF(B$17=0,0,G17/B$17)</f>
        <v>1.8749999999999999E-2</v>
      </c>
      <c r="I17" s="94">
        <v>2</v>
      </c>
      <c r="K17" s="38">
        <v>15</v>
      </c>
      <c r="L17" s="99">
        <v>-26.3</v>
      </c>
      <c r="N17" s="115" t="s">
        <v>173</v>
      </c>
      <c r="O17" s="125">
        <f>IF(P17=0,0,Q17/P17)</f>
        <v>13.774999999999999</v>
      </c>
      <c r="P17" s="119">
        <v>16</v>
      </c>
      <c r="Q17" s="107">
        <v>220.39999999999998</v>
      </c>
    </row>
    <row r="18" spans="1:17" x14ac:dyDescent="0.4">
      <c r="A18" s="55" t="s">
        <v>12</v>
      </c>
      <c r="B18" s="47">
        <v>69</v>
      </c>
      <c r="C18" s="39">
        <f>IF(B$17=0,0,B18/B$17)</f>
        <v>0.43125000000000002</v>
      </c>
      <c r="E18" s="63" t="s">
        <v>92</v>
      </c>
      <c r="F18" s="60" t="s">
        <v>47</v>
      </c>
      <c r="G18" s="47">
        <v>3</v>
      </c>
      <c r="H18" s="133">
        <f>IF(B$17=0,0,G18/B$17)</f>
        <v>1.8749999999999999E-2</v>
      </c>
      <c r="I18" s="94">
        <v>3</v>
      </c>
      <c r="K18" s="38">
        <v>16</v>
      </c>
      <c r="L18" s="99">
        <v>-50.3</v>
      </c>
      <c r="N18" s="115" t="s">
        <v>172</v>
      </c>
      <c r="O18" s="125">
        <f>IF(P18=0,0,Q18/P18)</f>
        <v>2.5357142857142851</v>
      </c>
      <c r="P18" s="119">
        <v>14</v>
      </c>
      <c r="Q18" s="107">
        <v>35.499999999999993</v>
      </c>
    </row>
    <row r="19" spans="1:17" x14ac:dyDescent="0.4">
      <c r="A19" s="55" t="s">
        <v>11</v>
      </c>
      <c r="B19" s="47">
        <v>91</v>
      </c>
      <c r="C19" s="39">
        <f>IF(B$17=0,0,B19/B$17)</f>
        <v>0.56874999999999998</v>
      </c>
      <c r="E19" s="63" t="s">
        <v>80</v>
      </c>
      <c r="F19" s="60" t="s">
        <v>35</v>
      </c>
      <c r="G19" s="47">
        <v>2</v>
      </c>
      <c r="H19" s="133">
        <f>IF(B$17=0,0,G19/B$17)</f>
        <v>1.2500000000000001E-2</v>
      </c>
      <c r="I19" s="94">
        <v>6</v>
      </c>
      <c r="K19" s="38">
        <v>17</v>
      </c>
      <c r="L19" s="99">
        <v>-74.3</v>
      </c>
      <c r="N19" s="115" t="s">
        <v>127</v>
      </c>
      <c r="O19" s="125">
        <f>IF(P19=0,0,Q19/P19)</f>
        <v>1.1200000000000052</v>
      </c>
      <c r="P19" s="119">
        <v>40</v>
      </c>
      <c r="Q19" s="107">
        <v>44.80000000000021</v>
      </c>
    </row>
    <row r="20" spans="1:17" x14ac:dyDescent="0.4">
      <c r="A20" s="55" t="s">
        <v>13</v>
      </c>
      <c r="B20" s="47">
        <v>94</v>
      </c>
      <c r="C20" s="39">
        <f>IF(B$3=0,0,B20/B$3)</f>
        <v>0.16462346760070051</v>
      </c>
      <c r="E20" s="63" t="s">
        <v>85</v>
      </c>
      <c r="F20" s="60" t="s">
        <v>40</v>
      </c>
      <c r="G20" s="47">
        <v>2</v>
      </c>
      <c r="H20" s="133">
        <f>IF(B$17=0,0,G20/B$17)</f>
        <v>1.2500000000000001E-2</v>
      </c>
      <c r="I20" s="94">
        <v>1</v>
      </c>
      <c r="K20" s="38">
        <v>18</v>
      </c>
      <c r="L20" s="99">
        <v>-76.099999999999994</v>
      </c>
      <c r="N20" s="115" t="s">
        <v>128</v>
      </c>
      <c r="O20" s="125">
        <f>IF(P20=0,0,Q20/P20)</f>
        <v>-1.6352941176470643</v>
      </c>
      <c r="P20" s="119">
        <v>34</v>
      </c>
      <c r="Q20" s="107">
        <v>-55.600000000000186</v>
      </c>
    </row>
    <row r="21" spans="1:17" x14ac:dyDescent="0.4">
      <c r="A21" s="55" t="s">
        <v>193</v>
      </c>
      <c r="B21" s="47">
        <v>6</v>
      </c>
      <c r="C21" s="135">
        <v>1</v>
      </c>
      <c r="E21" s="63" t="s">
        <v>93</v>
      </c>
      <c r="F21" s="60" t="s">
        <v>48</v>
      </c>
      <c r="G21" s="47">
        <v>2</v>
      </c>
      <c r="H21" s="133">
        <f>IF(B$17=0,0,G21/B$17)</f>
        <v>1.2500000000000001E-2</v>
      </c>
      <c r="I21" s="94">
        <v>1</v>
      </c>
      <c r="K21" s="38">
        <v>19</v>
      </c>
      <c r="L21" s="99">
        <v>0.60000000000000853</v>
      </c>
      <c r="N21" s="115" t="s">
        <v>202</v>
      </c>
      <c r="O21" s="125">
        <f>IF(P21=0,0,Q21/P21)</f>
        <v>-8.9999999999999947</v>
      </c>
      <c r="P21" s="119">
        <v>3</v>
      </c>
      <c r="Q21" s="107">
        <v>-26.999999999999986</v>
      </c>
    </row>
    <row r="22" spans="1:17" x14ac:dyDescent="0.4">
      <c r="A22" s="55" t="s">
        <v>194</v>
      </c>
      <c r="B22" s="47">
        <v>20</v>
      </c>
      <c r="C22" s="135">
        <v>5</v>
      </c>
      <c r="E22" s="63" t="s">
        <v>180</v>
      </c>
      <c r="F22" s="60" t="s">
        <v>183</v>
      </c>
      <c r="G22" s="47">
        <v>2</v>
      </c>
      <c r="H22" s="133">
        <f>IF(B$17=0,0,G22/B$17)</f>
        <v>1.2500000000000001E-2</v>
      </c>
      <c r="I22" s="94">
        <v>4</v>
      </c>
      <c r="K22" s="38">
        <v>20</v>
      </c>
      <c r="L22" s="99">
        <v>-3.5999999999999917</v>
      </c>
      <c r="N22" s="115" t="s">
        <v>177</v>
      </c>
      <c r="O22" s="125">
        <f>IF(P22=0,0,Q22/P22)</f>
        <v>-10.6</v>
      </c>
      <c r="P22" s="119">
        <v>8</v>
      </c>
      <c r="Q22" s="107">
        <v>-84.8</v>
      </c>
    </row>
    <row r="23" spans="1:17" x14ac:dyDescent="0.4">
      <c r="A23" s="55" t="s">
        <v>5</v>
      </c>
      <c r="B23" s="51">
        <f>IF(B$17=0,0,C23/B$17)</f>
        <v>9796.25</v>
      </c>
      <c r="C23" s="41">
        <v>1567400</v>
      </c>
      <c r="E23" s="63" t="s">
        <v>74</v>
      </c>
      <c r="F23" s="60" t="s">
        <v>29</v>
      </c>
      <c r="G23" s="47">
        <v>1</v>
      </c>
      <c r="H23" s="133">
        <f>IF(B$17=0,0,G23/B$17)</f>
        <v>6.2500000000000003E-3</v>
      </c>
      <c r="I23" s="94">
        <v>6</v>
      </c>
      <c r="K23" s="38">
        <v>21</v>
      </c>
      <c r="L23" s="99">
        <v>-3.0999999999999917</v>
      </c>
      <c r="N23" s="115" t="s">
        <v>224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-7773.4042553191493</v>
      </c>
      <c r="C24" s="45">
        <v>-730700</v>
      </c>
      <c r="E24" s="63" t="s">
        <v>88</v>
      </c>
      <c r="F24" s="60" t="s">
        <v>43</v>
      </c>
      <c r="G24" s="47">
        <v>1</v>
      </c>
      <c r="H24" s="133">
        <f>IF(B$17=0,0,G24/B$17)</f>
        <v>6.2500000000000003E-3</v>
      </c>
      <c r="I24" s="94">
        <v>2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8</v>
      </c>
      <c r="C25" s="141"/>
      <c r="E25" s="63" t="s">
        <v>94</v>
      </c>
      <c r="F25" s="60" t="s">
        <v>49</v>
      </c>
      <c r="G25" s="47">
        <v>1</v>
      </c>
      <c r="H25" s="133">
        <f>IF(B$17=0,0,G25/B$17)</f>
        <v>6.2500000000000003E-3</v>
      </c>
      <c r="I25" s="94">
        <v>2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75</v>
      </c>
      <c r="F26" s="60" t="s">
        <v>30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1.7513134851138354E-3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78</v>
      </c>
      <c r="F28" s="60" t="s">
        <v>33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-66.199999999999989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-121.79999999999998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-156.19999999999999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6B6EA-12E7-4DC6-BCE5-56E71A91C50A}">
  <sheetPr codeName="Sheet15"/>
  <dimension ref="A1:Q5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54</v>
      </c>
      <c r="C2" s="147"/>
      <c r="E2" s="62" t="s">
        <v>67</v>
      </c>
      <c r="F2" s="59" t="s">
        <v>23</v>
      </c>
      <c r="G2" s="46">
        <v>118</v>
      </c>
      <c r="H2" s="132">
        <f>IF(B$17=0,0,G2/B$17)</f>
        <v>0.67045454545454541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540.74074074074076</v>
      </c>
      <c r="P2" s="118">
        <v>54</v>
      </c>
      <c r="Q2" s="102">
        <v>29200</v>
      </c>
    </row>
    <row r="3" spans="1:17" x14ac:dyDescent="0.4">
      <c r="A3" s="55" t="s">
        <v>8</v>
      </c>
      <c r="B3" s="148">
        <v>474</v>
      </c>
      <c r="C3" s="149"/>
      <c r="E3" s="63" t="s">
        <v>73</v>
      </c>
      <c r="F3" s="60" t="s">
        <v>28</v>
      </c>
      <c r="G3" s="47">
        <v>102</v>
      </c>
      <c r="H3" s="133">
        <f>IF(B$17=0,0,G3/B$17)</f>
        <v>0.57954545454545459</v>
      </c>
      <c r="I3" s="94">
        <v>5</v>
      </c>
      <c r="K3" s="38">
        <v>1</v>
      </c>
      <c r="L3" s="99">
        <v>11.1</v>
      </c>
      <c r="N3" s="115" t="s">
        <v>133</v>
      </c>
      <c r="O3" s="122">
        <f t="shared" si="0"/>
        <v>370.37037037037038</v>
      </c>
      <c r="P3" s="119">
        <v>54</v>
      </c>
      <c r="Q3" s="103">
        <v>20000</v>
      </c>
    </row>
    <row r="4" spans="1:17" x14ac:dyDescent="0.4">
      <c r="A4" s="55" t="s">
        <v>6</v>
      </c>
      <c r="B4" s="150">
        <v>55.599999999999987</v>
      </c>
      <c r="C4" s="151"/>
      <c r="E4" s="63" t="s">
        <v>181</v>
      </c>
      <c r="F4" s="60" t="s">
        <v>182</v>
      </c>
      <c r="G4" s="47">
        <v>73</v>
      </c>
      <c r="H4" s="133">
        <f>IF(B$17=0,0,G4/B$17)</f>
        <v>0.41477272727272729</v>
      </c>
      <c r="I4" s="94">
        <v>4</v>
      </c>
      <c r="K4" s="38">
        <v>2</v>
      </c>
      <c r="L4" s="99">
        <v>-7.7000000000000011</v>
      </c>
      <c r="N4" s="115" t="s">
        <v>134</v>
      </c>
      <c r="O4" s="122">
        <f t="shared" si="0"/>
        <v>-877.55102040816325</v>
      </c>
      <c r="P4" s="119">
        <v>49</v>
      </c>
      <c r="Q4" s="103">
        <v>-43000</v>
      </c>
    </row>
    <row r="5" spans="1:17" x14ac:dyDescent="0.4">
      <c r="A5" s="55" t="s">
        <v>7</v>
      </c>
      <c r="B5" s="152">
        <f>IF(B$2=0,0,B$4/B$2)</f>
        <v>1.0296296296296295</v>
      </c>
      <c r="C5" s="153"/>
      <c r="E5" s="63" t="s">
        <v>65</v>
      </c>
      <c r="F5" s="60" t="s">
        <v>21</v>
      </c>
      <c r="G5" s="47">
        <v>62</v>
      </c>
      <c r="H5" s="133">
        <f>IF(B$17=0,0,G5/B$17)</f>
        <v>0.35227272727272729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184.78260869565219</v>
      </c>
      <c r="P5" s="119">
        <v>46</v>
      </c>
      <c r="Q5" s="103">
        <v>8500</v>
      </c>
    </row>
    <row r="6" spans="1:17" x14ac:dyDescent="0.4">
      <c r="A6" s="55" t="s">
        <v>1</v>
      </c>
      <c r="B6" s="142">
        <f>IF(B$2=0,0,(B$7*1+B$8*2+B$9*3)/B$2)</f>
        <v>2.0370370370370372</v>
      </c>
      <c r="C6" s="143"/>
      <c r="E6" s="63" t="s">
        <v>69</v>
      </c>
      <c r="F6" s="60" t="s">
        <v>12</v>
      </c>
      <c r="G6" s="47">
        <v>48</v>
      </c>
      <c r="H6" s="133">
        <f>IF(B$17=0,0,G6/B$17)</f>
        <v>0.27272727272727271</v>
      </c>
      <c r="I6" s="94">
        <v>10</v>
      </c>
      <c r="K6" s="38">
        <v>4</v>
      </c>
      <c r="L6" s="99">
        <v>34.9</v>
      </c>
      <c r="N6" s="115" t="s">
        <v>136</v>
      </c>
      <c r="O6" s="122">
        <f t="shared" si="0"/>
        <v>1197.7777777777778</v>
      </c>
      <c r="P6" s="119">
        <v>45</v>
      </c>
      <c r="Q6" s="103">
        <v>53900</v>
      </c>
    </row>
    <row r="7" spans="1:17" x14ac:dyDescent="0.4">
      <c r="A7" s="55" t="s">
        <v>2</v>
      </c>
      <c r="B7" s="47">
        <v>15</v>
      </c>
      <c r="C7" s="39">
        <f>IF(B$2=0,0,B7/B$2)</f>
        <v>0.27777777777777779</v>
      </c>
      <c r="E7" s="63" t="s">
        <v>68</v>
      </c>
      <c r="F7" s="60" t="s">
        <v>24</v>
      </c>
      <c r="G7" s="47">
        <v>31</v>
      </c>
      <c r="H7" s="133">
        <f>IF(B$17=0,0,G7/B$17)</f>
        <v>0.17613636363636365</v>
      </c>
      <c r="I7" s="94">
        <v>13</v>
      </c>
      <c r="K7" s="38">
        <v>5</v>
      </c>
      <c r="L7" s="99">
        <v>29.4</v>
      </c>
      <c r="N7" s="116" t="s">
        <v>137</v>
      </c>
      <c r="O7" s="123">
        <f t="shared" si="0"/>
        <v>-677.5</v>
      </c>
      <c r="P7" s="120">
        <v>40</v>
      </c>
      <c r="Q7" s="104">
        <v>-27100</v>
      </c>
    </row>
    <row r="8" spans="1:17" x14ac:dyDescent="0.4">
      <c r="A8" s="55" t="s">
        <v>3</v>
      </c>
      <c r="B8" s="47">
        <v>22</v>
      </c>
      <c r="C8" s="39">
        <f>IF(B$2=0,0,B8/B$2)</f>
        <v>0.40740740740740738</v>
      </c>
      <c r="E8" s="63" t="s">
        <v>70</v>
      </c>
      <c r="F8" s="60" t="s">
        <v>25</v>
      </c>
      <c r="G8" s="47">
        <v>25</v>
      </c>
      <c r="H8" s="133">
        <f>IF(B$17=0,0,G8/B$17)</f>
        <v>0.14204545454545456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0.31481481481481483</v>
      </c>
      <c r="E9" s="63" t="s">
        <v>66</v>
      </c>
      <c r="F9" s="60" t="s">
        <v>22</v>
      </c>
      <c r="G9" s="47">
        <v>19</v>
      </c>
      <c r="H9" s="133">
        <f>IF(B$17=0,0,G9/B$17)</f>
        <v>0.10795454545454546</v>
      </c>
      <c r="I9" s="94">
        <v>5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5.5555555555555552E-2</v>
      </c>
      <c r="E10" s="63" t="s">
        <v>72</v>
      </c>
      <c r="F10" s="60" t="s">
        <v>27</v>
      </c>
      <c r="G10" s="47">
        <v>13</v>
      </c>
      <c r="H10" s="133">
        <f>IF(B$17=0,0,G10/B$17)</f>
        <v>7.3863636363636367E-2</v>
      </c>
      <c r="I10" s="94">
        <v>3</v>
      </c>
      <c r="K10" s="38">
        <v>8</v>
      </c>
      <c r="L10" s="99">
        <v>-29.5</v>
      </c>
      <c r="N10" s="114" t="s">
        <v>164</v>
      </c>
      <c r="O10" s="124">
        <f>IF(P10=0,0,Q10/P10)</f>
        <v>-9.6437500000000025</v>
      </c>
      <c r="P10" s="118">
        <v>16</v>
      </c>
      <c r="Q10" s="106">
        <v>-154.30000000000004</v>
      </c>
    </row>
    <row r="11" spans="1:17" x14ac:dyDescent="0.4">
      <c r="A11" s="56" t="s">
        <v>140</v>
      </c>
      <c r="B11" s="48">
        <v>6</v>
      </c>
      <c r="C11" s="40">
        <f>IF(B$2=0,0,B11/B$2)</f>
        <v>0.1111111111111111</v>
      </c>
      <c r="E11" s="63" t="s">
        <v>90</v>
      </c>
      <c r="F11" s="60" t="s">
        <v>45</v>
      </c>
      <c r="G11" s="47">
        <v>12</v>
      </c>
      <c r="H11" s="133">
        <f>IF(B$17=0,0,G11/B$17)</f>
        <v>6.8181818181818177E-2</v>
      </c>
      <c r="I11" s="94">
        <v>12</v>
      </c>
      <c r="K11" s="38">
        <v>9</v>
      </c>
      <c r="L11" s="99">
        <v>-56.5</v>
      </c>
      <c r="N11" s="115" t="s">
        <v>165</v>
      </c>
      <c r="O11" s="125">
        <f>IF(P11=0,0,Q11/P11)</f>
        <v>6.7947368421052632</v>
      </c>
      <c r="P11" s="119">
        <v>19</v>
      </c>
      <c r="Q11" s="107">
        <v>129.1</v>
      </c>
    </row>
    <row r="12" spans="1:17" x14ac:dyDescent="0.4">
      <c r="A12" s="57" t="s">
        <v>160</v>
      </c>
      <c r="B12" s="49">
        <v>2</v>
      </c>
      <c r="C12" s="42">
        <f>IF(B$2=0,0,B12/B$2)</f>
        <v>3.7037037037037035E-2</v>
      </c>
      <c r="E12" s="63" t="s">
        <v>71</v>
      </c>
      <c r="F12" s="60" t="s">
        <v>26</v>
      </c>
      <c r="G12" s="47">
        <v>10</v>
      </c>
      <c r="H12" s="133">
        <f>IF(B$17=0,0,G12/B$17)</f>
        <v>5.6818181818181816E-2</v>
      </c>
      <c r="I12" s="94">
        <v>9</v>
      </c>
      <c r="K12" s="38">
        <v>10</v>
      </c>
      <c r="L12" s="99">
        <v>24.200000000000003</v>
      </c>
      <c r="N12" s="116" t="s">
        <v>166</v>
      </c>
      <c r="O12" s="126">
        <f>IF(P12=0,0,Q12/P12)</f>
        <v>4.2526315789473692</v>
      </c>
      <c r="P12" s="120">
        <v>19</v>
      </c>
      <c r="Q12" s="108">
        <v>80.800000000000011</v>
      </c>
    </row>
    <row r="13" spans="1:17" x14ac:dyDescent="0.4">
      <c r="A13" s="58" t="s">
        <v>122</v>
      </c>
      <c r="B13" s="50">
        <v>105</v>
      </c>
      <c r="C13" s="44">
        <f>IF(B$3=0,0,B13/B$3)</f>
        <v>0.22151898734177214</v>
      </c>
      <c r="E13" s="63" t="s">
        <v>84</v>
      </c>
      <c r="F13" s="60" t="s">
        <v>39</v>
      </c>
      <c r="G13" s="47">
        <v>9</v>
      </c>
      <c r="H13" s="133">
        <f>IF(B$17=0,0,G13/B$17)</f>
        <v>5.113636363636364E-2</v>
      </c>
      <c r="I13" s="94">
        <v>4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140</v>
      </c>
      <c r="C14" s="39">
        <f>IF(B$3=0,0,B14/B$3)</f>
        <v>0.29535864978902954</v>
      </c>
      <c r="E14" s="63" t="s">
        <v>87</v>
      </c>
      <c r="F14" s="60" t="s">
        <v>42</v>
      </c>
      <c r="G14" s="47">
        <v>8</v>
      </c>
      <c r="H14" s="133">
        <f>IF(B$17=0,0,G14/B$17)</f>
        <v>4.5454545454545456E-2</v>
      </c>
      <c r="I14" s="94">
        <v>8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62</v>
      </c>
      <c r="C15" s="37">
        <f>IF(B$13=0,0,B15/B$13)</f>
        <v>0.59047619047619049</v>
      </c>
      <c r="E15" s="63" t="s">
        <v>82</v>
      </c>
      <c r="F15" s="60" t="s">
        <v>37</v>
      </c>
      <c r="G15" s="47">
        <v>5</v>
      </c>
      <c r="H15" s="133">
        <f>IF(B$17=0,0,G15/B$17)</f>
        <v>2.8409090909090908E-2</v>
      </c>
      <c r="I15" s="94">
        <v>8</v>
      </c>
      <c r="K15" s="38">
        <v>13</v>
      </c>
      <c r="L15" s="99">
        <v>-3</v>
      </c>
      <c r="N15" s="114" t="s">
        <v>129</v>
      </c>
      <c r="O15" s="124">
        <f>IF(P15=0,0,Q15/P15)</f>
        <v>44.441666666666642</v>
      </c>
      <c r="P15" s="118">
        <v>12</v>
      </c>
      <c r="Q15" s="106">
        <v>533.29999999999973</v>
      </c>
    </row>
    <row r="16" spans="1:17" x14ac:dyDescent="0.4">
      <c r="A16" s="54" t="s">
        <v>125</v>
      </c>
      <c r="B16" s="46">
        <v>61</v>
      </c>
      <c r="C16" s="37">
        <f>IF(B$14=0,0,B16/B$14)</f>
        <v>0.43571428571428572</v>
      </c>
      <c r="E16" s="63" t="s">
        <v>79</v>
      </c>
      <c r="F16" s="60" t="s">
        <v>34</v>
      </c>
      <c r="G16" s="47">
        <v>2</v>
      </c>
      <c r="H16" s="133">
        <f>IF(B$17=0,0,G16/B$17)</f>
        <v>1.1363636363636364E-2</v>
      </c>
      <c r="I16" s="94">
        <v>10</v>
      </c>
      <c r="K16" s="38">
        <v>14</v>
      </c>
      <c r="L16" s="99">
        <v>-12.3</v>
      </c>
      <c r="N16" s="115" t="s">
        <v>225</v>
      </c>
      <c r="O16" s="125">
        <f>IF(P16=0,0,Q16/P16)</f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176</v>
      </c>
      <c r="C17" s="37">
        <f>IF(B$3=0,0,B17/B$3)</f>
        <v>0.37130801687763715</v>
      </c>
      <c r="E17" s="63" t="s">
        <v>80</v>
      </c>
      <c r="F17" s="60" t="s">
        <v>35</v>
      </c>
      <c r="G17" s="47">
        <v>2</v>
      </c>
      <c r="H17" s="133">
        <f>IF(B$17=0,0,G17/B$17)</f>
        <v>1.1363636363636364E-2</v>
      </c>
      <c r="I17" s="94">
        <v>8</v>
      </c>
      <c r="K17" s="38">
        <v>15</v>
      </c>
      <c r="L17" s="99">
        <v>-80.3</v>
      </c>
      <c r="N17" s="115" t="s">
        <v>177</v>
      </c>
      <c r="O17" s="125">
        <f>IF(P17=0,0,Q17/P17)</f>
        <v>18.733333333333334</v>
      </c>
      <c r="P17" s="119">
        <v>6</v>
      </c>
      <c r="Q17" s="107">
        <v>112.4</v>
      </c>
    </row>
    <row r="18" spans="1:17" x14ac:dyDescent="0.4">
      <c r="A18" s="55" t="s">
        <v>12</v>
      </c>
      <c r="B18" s="47">
        <v>74</v>
      </c>
      <c r="C18" s="39">
        <f>IF(B$17=0,0,B18/B$17)</f>
        <v>0.42045454545454547</v>
      </c>
      <c r="E18" s="63" t="s">
        <v>92</v>
      </c>
      <c r="F18" s="60" t="s">
        <v>47</v>
      </c>
      <c r="G18" s="47">
        <v>2</v>
      </c>
      <c r="H18" s="133">
        <f>IF(B$17=0,0,G18/B$17)</f>
        <v>1.1363636363636364E-2</v>
      </c>
      <c r="I18" s="94">
        <v>6</v>
      </c>
      <c r="K18" s="38">
        <v>16</v>
      </c>
      <c r="L18" s="99">
        <v>-87.6</v>
      </c>
      <c r="N18" s="115" t="s">
        <v>186</v>
      </c>
      <c r="O18" s="125">
        <f>IF(P18=0,0,Q18/P18)</f>
        <v>17.349999999999998</v>
      </c>
      <c r="P18" s="119">
        <v>2</v>
      </c>
      <c r="Q18" s="107">
        <v>34.699999999999996</v>
      </c>
    </row>
    <row r="19" spans="1:17" x14ac:dyDescent="0.4">
      <c r="A19" s="55" t="s">
        <v>11</v>
      </c>
      <c r="B19" s="47">
        <v>102</v>
      </c>
      <c r="C19" s="39">
        <f>IF(B$17=0,0,B19/B$17)</f>
        <v>0.57954545454545459</v>
      </c>
      <c r="E19" s="63" t="s">
        <v>76</v>
      </c>
      <c r="F19" s="60" t="s">
        <v>31</v>
      </c>
      <c r="G19" s="47">
        <v>1</v>
      </c>
      <c r="H19" s="133">
        <f>IF(B$17=0,0,G19/B$17)</f>
        <v>5.681818181818182E-3</v>
      </c>
      <c r="I19" s="94">
        <v>6</v>
      </c>
      <c r="K19" s="38">
        <v>17</v>
      </c>
      <c r="L19" s="99">
        <v>-55.099999999999994</v>
      </c>
      <c r="N19" s="115" t="s">
        <v>202</v>
      </c>
      <c r="O19" s="125">
        <f>IF(P19=0,0,Q19/P19)</f>
        <v>16.449999999999996</v>
      </c>
      <c r="P19" s="119">
        <v>4</v>
      </c>
      <c r="Q19" s="107">
        <v>65.799999999999983</v>
      </c>
    </row>
    <row r="20" spans="1:17" x14ac:dyDescent="0.4">
      <c r="A20" s="55" t="s">
        <v>13</v>
      </c>
      <c r="B20" s="47">
        <v>63</v>
      </c>
      <c r="C20" s="39">
        <f>IF(B$3=0,0,B20/B$3)</f>
        <v>0.13291139240506328</v>
      </c>
      <c r="E20" s="63" t="s">
        <v>88</v>
      </c>
      <c r="F20" s="60" t="s">
        <v>43</v>
      </c>
      <c r="G20" s="47">
        <v>1</v>
      </c>
      <c r="H20" s="133">
        <f>IF(B$17=0,0,G20/B$17)</f>
        <v>5.681818181818182E-3</v>
      </c>
      <c r="I20" s="94">
        <v>3</v>
      </c>
      <c r="K20" s="38">
        <v>18</v>
      </c>
      <c r="L20" s="99">
        <v>-28.199999999999996</v>
      </c>
      <c r="N20" s="115" t="s">
        <v>173</v>
      </c>
      <c r="O20" s="125">
        <f>IF(P20=0,0,Q20/P20)</f>
        <v>9.2399999999999984</v>
      </c>
      <c r="P20" s="119">
        <v>10</v>
      </c>
      <c r="Q20" s="107">
        <v>92.399999999999977</v>
      </c>
    </row>
    <row r="21" spans="1:17" x14ac:dyDescent="0.4">
      <c r="A21" s="55" t="s">
        <v>193</v>
      </c>
      <c r="B21" s="47">
        <v>10</v>
      </c>
      <c r="C21" s="135">
        <v>2</v>
      </c>
      <c r="E21" s="63" t="s">
        <v>74</v>
      </c>
      <c r="F21" s="60" t="s">
        <v>29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29.200000000000003</v>
      </c>
      <c r="N21" s="115" t="s">
        <v>128</v>
      </c>
      <c r="O21" s="125">
        <f>IF(P21=0,0,Q21/P21)</f>
        <v>-1.0700000000000003</v>
      </c>
      <c r="P21" s="119">
        <v>30</v>
      </c>
      <c r="Q21" s="107">
        <v>-32.100000000000009</v>
      </c>
    </row>
    <row r="22" spans="1:17" x14ac:dyDescent="0.4">
      <c r="A22" s="55" t="s">
        <v>194</v>
      </c>
      <c r="B22" s="47">
        <v>23</v>
      </c>
      <c r="C22" s="135">
        <v>9</v>
      </c>
      <c r="E22" s="63" t="s">
        <v>75</v>
      </c>
      <c r="F22" s="60" t="s">
        <v>30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43</v>
      </c>
      <c r="N22" s="115" t="s">
        <v>171</v>
      </c>
      <c r="O22" s="125">
        <f>IF(P22=0,0,Q22/P22)</f>
        <v>-2.5357142857142869</v>
      </c>
      <c r="P22" s="119">
        <v>14</v>
      </c>
      <c r="Q22" s="107">
        <v>-35.500000000000014</v>
      </c>
    </row>
    <row r="23" spans="1:17" x14ac:dyDescent="0.4">
      <c r="A23" s="55" t="s">
        <v>5</v>
      </c>
      <c r="B23" s="51">
        <f>IF(B$17=0,0,C23/B$17)</f>
        <v>6500.568181818182</v>
      </c>
      <c r="C23" s="41">
        <v>1144100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3</v>
      </c>
      <c r="K23" s="38">
        <v>21</v>
      </c>
      <c r="L23" s="99">
        <v>89.9</v>
      </c>
      <c r="N23" s="115" t="s">
        <v>127</v>
      </c>
      <c r="O23" s="125">
        <f>IF(P23=0,0,Q23/P23)</f>
        <v>-21.879310344827591</v>
      </c>
      <c r="P23" s="119">
        <v>29</v>
      </c>
      <c r="Q23" s="107">
        <v>-634.50000000000011</v>
      </c>
    </row>
    <row r="24" spans="1:17" x14ac:dyDescent="0.4">
      <c r="A24" s="57" t="s">
        <v>14</v>
      </c>
      <c r="B24" s="52">
        <f>IF(B$20=0,0,C24/B$20)</f>
        <v>-9374.6031746031749</v>
      </c>
      <c r="C24" s="45">
        <v>-590600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2.1097046413502108E-3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4</v>
      </c>
      <c r="K27" s="38">
        <v>25</v>
      </c>
      <c r="L27" s="99">
        <v>30.400000000000006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DB448-925B-4F10-8014-F15BC633296B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39</v>
      </c>
      <c r="C2" s="147"/>
      <c r="E2" s="62" t="s">
        <v>67</v>
      </c>
      <c r="F2" s="59" t="s">
        <v>23</v>
      </c>
      <c r="G2" s="46">
        <v>73</v>
      </c>
      <c r="H2" s="132">
        <f>IF(B$17=0,0,G2/B$17)</f>
        <v>0.70873786407766992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-2487.1794871794873</v>
      </c>
      <c r="P2" s="118">
        <v>39</v>
      </c>
      <c r="Q2" s="102">
        <v>-97000</v>
      </c>
    </row>
    <row r="3" spans="1:17" x14ac:dyDescent="0.4">
      <c r="A3" s="55" t="s">
        <v>8</v>
      </c>
      <c r="B3" s="148">
        <v>342</v>
      </c>
      <c r="C3" s="149"/>
      <c r="E3" s="63" t="s">
        <v>73</v>
      </c>
      <c r="F3" s="60" t="s">
        <v>28</v>
      </c>
      <c r="G3" s="47">
        <v>53</v>
      </c>
      <c r="H3" s="133">
        <f>IF(B$17=0,0,G3/B$17)</f>
        <v>0.5145631067961165</v>
      </c>
      <c r="I3" s="94">
        <v>8</v>
      </c>
      <c r="K3" s="38">
        <v>1</v>
      </c>
      <c r="L3" s="99">
        <v>-82.6</v>
      </c>
      <c r="N3" s="115" t="s">
        <v>133</v>
      </c>
      <c r="O3" s="122">
        <f t="shared" si="0"/>
        <v>1597.4358974358975</v>
      </c>
      <c r="P3" s="119">
        <v>39</v>
      </c>
      <c r="Q3" s="103">
        <v>62300</v>
      </c>
    </row>
    <row r="4" spans="1:17" x14ac:dyDescent="0.4">
      <c r="A4" s="55" t="s">
        <v>6</v>
      </c>
      <c r="B4" s="150">
        <v>-223.9</v>
      </c>
      <c r="C4" s="151"/>
      <c r="E4" s="63" t="s">
        <v>65</v>
      </c>
      <c r="F4" s="60" t="s">
        <v>21</v>
      </c>
      <c r="G4" s="47">
        <v>47</v>
      </c>
      <c r="H4" s="133">
        <f>IF(B$17=0,0,G4/B$17)</f>
        <v>0.4563106796116505</v>
      </c>
      <c r="I4" s="94">
        <v>12</v>
      </c>
      <c r="K4" s="38">
        <v>2</v>
      </c>
      <c r="L4" s="99">
        <v>-122.3</v>
      </c>
      <c r="N4" s="115" t="s">
        <v>134</v>
      </c>
      <c r="O4" s="122">
        <f t="shared" si="0"/>
        <v>-716.21621621621625</v>
      </c>
      <c r="P4" s="119">
        <v>37</v>
      </c>
      <c r="Q4" s="103">
        <v>-26500</v>
      </c>
    </row>
    <row r="5" spans="1:17" x14ac:dyDescent="0.4">
      <c r="A5" s="55" t="s">
        <v>7</v>
      </c>
      <c r="B5" s="152">
        <f>IF(B$2=0,0,B$4/B$2)</f>
        <v>-5.7410256410256411</v>
      </c>
      <c r="C5" s="153"/>
      <c r="E5" s="63" t="s">
        <v>69</v>
      </c>
      <c r="F5" s="60" t="s">
        <v>12</v>
      </c>
      <c r="G5" s="47">
        <v>40</v>
      </c>
      <c r="H5" s="133">
        <f>IF(B$17=0,0,G5/B$17)</f>
        <v>0.38834951456310679</v>
      </c>
      <c r="I5" s="94">
        <v>4</v>
      </c>
      <c r="K5" s="38">
        <v>3</v>
      </c>
      <c r="L5" s="99">
        <v>-149</v>
      </c>
      <c r="N5" s="115" t="s">
        <v>135</v>
      </c>
      <c r="O5" s="122">
        <f t="shared" si="0"/>
        <v>-4045.7142857142858</v>
      </c>
      <c r="P5" s="119">
        <v>35</v>
      </c>
      <c r="Q5" s="103">
        <v>-141600</v>
      </c>
    </row>
    <row r="6" spans="1:17" x14ac:dyDescent="0.4">
      <c r="A6" s="55" t="s">
        <v>1</v>
      </c>
      <c r="B6" s="142">
        <f>IF(B$2=0,0,(B$7*1+B$8*2+B$9*3)/B$2)</f>
        <v>2.0512820512820511</v>
      </c>
      <c r="C6" s="143"/>
      <c r="E6" s="63" t="s">
        <v>181</v>
      </c>
      <c r="F6" s="60" t="s">
        <v>182</v>
      </c>
      <c r="G6" s="47">
        <v>38</v>
      </c>
      <c r="H6" s="133">
        <f>IF(B$17=0,0,G6/B$17)</f>
        <v>0.36893203883495146</v>
      </c>
      <c r="I6" s="94">
        <v>9</v>
      </c>
      <c r="K6" s="38">
        <v>4</v>
      </c>
      <c r="L6" s="99">
        <v>-150.6</v>
      </c>
      <c r="N6" s="115" t="s">
        <v>136</v>
      </c>
      <c r="O6" s="122">
        <f t="shared" si="0"/>
        <v>145.16129032258064</v>
      </c>
      <c r="P6" s="119">
        <v>31</v>
      </c>
      <c r="Q6" s="103">
        <v>4500</v>
      </c>
    </row>
    <row r="7" spans="1:17" x14ac:dyDescent="0.4">
      <c r="A7" s="55" t="s">
        <v>2</v>
      </c>
      <c r="B7" s="47">
        <v>11</v>
      </c>
      <c r="C7" s="39">
        <f>IF(B$2=0,0,B7/B$2)</f>
        <v>0.28205128205128205</v>
      </c>
      <c r="E7" s="63" t="s">
        <v>68</v>
      </c>
      <c r="F7" s="60" t="s">
        <v>24</v>
      </c>
      <c r="G7" s="47">
        <v>26</v>
      </c>
      <c r="H7" s="133">
        <f>IF(B$17=0,0,G7/B$17)</f>
        <v>0.25242718446601942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680</v>
      </c>
      <c r="P7" s="120">
        <v>30</v>
      </c>
      <c r="Q7" s="104">
        <v>20400</v>
      </c>
    </row>
    <row r="8" spans="1:17" x14ac:dyDescent="0.4">
      <c r="A8" s="55" t="s">
        <v>3</v>
      </c>
      <c r="B8" s="47">
        <v>15</v>
      </c>
      <c r="C8" s="39">
        <f>IF(B$2=0,0,B8/B$2)</f>
        <v>0.38461538461538464</v>
      </c>
      <c r="E8" s="63" t="s">
        <v>71</v>
      </c>
      <c r="F8" s="60" t="s">
        <v>26</v>
      </c>
      <c r="G8" s="47">
        <v>13</v>
      </c>
      <c r="H8" s="133">
        <f>IF(B$17=0,0,G8/B$17)</f>
        <v>0.12621359223300971</v>
      </c>
      <c r="I8" s="94">
        <v>3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12</v>
      </c>
      <c r="H9" s="133">
        <f>IF(B$17=0,0,G9/B$17)</f>
        <v>0.11650485436893204</v>
      </c>
      <c r="I9" s="94">
        <v>9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0.10256410256410256</v>
      </c>
      <c r="E10" s="63" t="s">
        <v>70</v>
      </c>
      <c r="F10" s="60" t="s">
        <v>25</v>
      </c>
      <c r="G10" s="47">
        <v>11</v>
      </c>
      <c r="H10" s="133">
        <f>IF(B$17=0,0,G10/B$17)</f>
        <v>0.10679611650485436</v>
      </c>
      <c r="I10" s="94">
        <v>11</v>
      </c>
      <c r="K10" s="38">
        <v>8</v>
      </c>
      <c r="L10" s="99">
        <v>-219.59999999999997</v>
      </c>
      <c r="N10" s="114" t="s">
        <v>164</v>
      </c>
      <c r="O10" s="124">
        <f>IF(P10=0,0,Q10/P10)</f>
        <v>-7</v>
      </c>
      <c r="P10" s="118">
        <v>10</v>
      </c>
      <c r="Q10" s="106">
        <v>-70</v>
      </c>
    </row>
    <row r="11" spans="1:17" x14ac:dyDescent="0.4">
      <c r="A11" s="56" t="s">
        <v>140</v>
      </c>
      <c r="B11" s="48">
        <v>2</v>
      </c>
      <c r="C11" s="40">
        <f>IF(B$2=0,0,B11/B$2)</f>
        <v>5.128205128205128E-2</v>
      </c>
      <c r="E11" s="63" t="s">
        <v>66</v>
      </c>
      <c r="F11" s="60" t="s">
        <v>22</v>
      </c>
      <c r="G11" s="47">
        <v>8</v>
      </c>
      <c r="H11" s="133">
        <f>IF(B$17=0,0,G11/B$17)</f>
        <v>7.7669902912621352E-2</v>
      </c>
      <c r="I11" s="94">
        <v>6</v>
      </c>
      <c r="K11" s="38">
        <v>9</v>
      </c>
      <c r="L11" s="99">
        <v>-260.59999999999997</v>
      </c>
      <c r="N11" s="115" t="s">
        <v>165</v>
      </c>
      <c r="O11" s="125">
        <f>IF(P11=0,0,Q11/P11)</f>
        <v>-5.2111111111111104</v>
      </c>
      <c r="P11" s="119">
        <v>18</v>
      </c>
      <c r="Q11" s="107">
        <v>-93.799999999999983</v>
      </c>
    </row>
    <row r="12" spans="1:17" x14ac:dyDescent="0.4">
      <c r="A12" s="57" t="s">
        <v>160</v>
      </c>
      <c r="B12" s="49">
        <v>1</v>
      </c>
      <c r="C12" s="42">
        <f>IF(B$2=0,0,B12/B$2)</f>
        <v>2.564102564102564E-2</v>
      </c>
      <c r="E12" s="63" t="s">
        <v>72</v>
      </c>
      <c r="F12" s="60" t="s">
        <v>27</v>
      </c>
      <c r="G12" s="47">
        <v>6</v>
      </c>
      <c r="H12" s="133">
        <f>IF(B$17=0,0,G12/B$17)</f>
        <v>5.8252427184466021E-2</v>
      </c>
      <c r="I12" s="94">
        <v>7</v>
      </c>
      <c r="K12" s="38">
        <v>10</v>
      </c>
      <c r="L12" s="99">
        <v>-318.39999999999998</v>
      </c>
      <c r="N12" s="116" t="s">
        <v>166</v>
      </c>
      <c r="O12" s="126">
        <f>IF(P12=0,0,Q12/P12)</f>
        <v>-5.4636363636363621</v>
      </c>
      <c r="P12" s="120">
        <v>11</v>
      </c>
      <c r="Q12" s="108">
        <v>-60.099999999999987</v>
      </c>
    </row>
    <row r="13" spans="1:17" x14ac:dyDescent="0.4">
      <c r="A13" s="58" t="s">
        <v>122</v>
      </c>
      <c r="B13" s="50">
        <v>80</v>
      </c>
      <c r="C13" s="44">
        <f>IF(B$3=0,0,B13/B$3)</f>
        <v>0.23391812865497075</v>
      </c>
      <c r="E13" s="63" t="s">
        <v>87</v>
      </c>
      <c r="F13" s="60" t="s">
        <v>42</v>
      </c>
      <c r="G13" s="47">
        <v>4</v>
      </c>
      <c r="H13" s="133">
        <f>IF(B$17=0,0,G13/B$17)</f>
        <v>3.8834951456310676E-2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85</v>
      </c>
      <c r="C14" s="39">
        <f>IF(B$3=0,0,B14/B$3)</f>
        <v>0.24853801169590642</v>
      </c>
      <c r="E14" s="63" t="s">
        <v>74</v>
      </c>
      <c r="F14" s="60" t="s">
        <v>29</v>
      </c>
      <c r="G14" s="47">
        <v>2</v>
      </c>
      <c r="H14" s="133">
        <f>IF(B$17=0,0,G14/B$17)</f>
        <v>1.9417475728155338E-2</v>
      </c>
      <c r="I14" s="94">
        <v>2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48</v>
      </c>
      <c r="C15" s="37">
        <f>IF(B$13=0,0,B15/B$13)</f>
        <v>0.6</v>
      </c>
      <c r="E15" s="63" t="s">
        <v>79</v>
      </c>
      <c r="F15" s="60" t="s">
        <v>34</v>
      </c>
      <c r="G15" s="47">
        <v>2</v>
      </c>
      <c r="H15" s="133">
        <f>IF(B$17=0,0,G15/B$17)</f>
        <v>1.9417475728155338E-2</v>
      </c>
      <c r="I15" s="94">
        <v>7</v>
      </c>
      <c r="K15" s="38">
        <v>13</v>
      </c>
      <c r="L15" s="99">
        <v>-302.59999999999997</v>
      </c>
      <c r="N15" s="114" t="s">
        <v>129</v>
      </c>
      <c r="O15" s="124">
        <f>IF(P15=0,0,Q15/P15)</f>
        <v>30.3</v>
      </c>
      <c r="P15" s="118">
        <v>7</v>
      </c>
      <c r="Q15" s="106">
        <v>212.1</v>
      </c>
    </row>
    <row r="16" spans="1:17" x14ac:dyDescent="0.4">
      <c r="A16" s="54" t="s">
        <v>125</v>
      </c>
      <c r="B16" s="46">
        <v>29</v>
      </c>
      <c r="C16" s="37">
        <f>IF(B$14=0,0,B16/B$14)</f>
        <v>0.3411764705882353</v>
      </c>
      <c r="E16" s="63" t="s">
        <v>80</v>
      </c>
      <c r="F16" s="60" t="s">
        <v>35</v>
      </c>
      <c r="G16" s="47">
        <v>2</v>
      </c>
      <c r="H16" s="133">
        <f>IF(B$17=0,0,G16/B$17)</f>
        <v>1.9417475728155338E-2</v>
      </c>
      <c r="I16" s="94">
        <v>3</v>
      </c>
      <c r="K16" s="38">
        <v>14</v>
      </c>
      <c r="L16" s="99">
        <v>-269.99999999999994</v>
      </c>
      <c r="N16" s="115" t="s">
        <v>128</v>
      </c>
      <c r="O16" s="125">
        <f>IF(P16=0,0,Q16/P16)</f>
        <v>3.6750000000000016</v>
      </c>
      <c r="P16" s="119">
        <v>20</v>
      </c>
      <c r="Q16" s="107">
        <v>73.500000000000028</v>
      </c>
    </row>
    <row r="17" spans="1:17" x14ac:dyDescent="0.4">
      <c r="A17" s="54" t="s">
        <v>10</v>
      </c>
      <c r="B17" s="46">
        <f>B19+B18</f>
        <v>103</v>
      </c>
      <c r="C17" s="37">
        <f>IF(B$3=0,0,B17/B$3)</f>
        <v>0.30116959064327486</v>
      </c>
      <c r="E17" s="63" t="s">
        <v>84</v>
      </c>
      <c r="F17" s="60" t="s">
        <v>39</v>
      </c>
      <c r="G17" s="47">
        <v>2</v>
      </c>
      <c r="H17" s="133">
        <f>IF(B$17=0,0,G17/B$17)</f>
        <v>1.9417475728155338E-2</v>
      </c>
      <c r="I17" s="94">
        <v>10</v>
      </c>
      <c r="K17" s="38">
        <v>15</v>
      </c>
      <c r="L17" s="99">
        <v>-264.59999999999997</v>
      </c>
      <c r="N17" s="115" t="s">
        <v>172</v>
      </c>
      <c r="O17" s="125">
        <f>IF(P17=0,0,Q17/P17)</f>
        <v>-9.2399999999999984</v>
      </c>
      <c r="P17" s="119">
        <v>10</v>
      </c>
      <c r="Q17" s="107">
        <v>-92.399999999999977</v>
      </c>
    </row>
    <row r="18" spans="1:17" x14ac:dyDescent="0.4">
      <c r="A18" s="55" t="s">
        <v>12</v>
      </c>
      <c r="B18" s="47">
        <v>53</v>
      </c>
      <c r="C18" s="39">
        <f>IF(B$17=0,0,B18/B$17)</f>
        <v>0.5145631067961165</v>
      </c>
      <c r="E18" s="63" t="s">
        <v>92</v>
      </c>
      <c r="F18" s="60" t="s">
        <v>47</v>
      </c>
      <c r="G18" s="47">
        <v>1</v>
      </c>
      <c r="H18" s="133">
        <f>IF(B$17=0,0,G18/B$17)</f>
        <v>9.7087378640776691E-3</v>
      </c>
      <c r="I18" s="94">
        <v>7</v>
      </c>
      <c r="K18" s="38">
        <v>16</v>
      </c>
      <c r="L18" s="99">
        <v>-292.79999999999995</v>
      </c>
      <c r="N18" s="115" t="s">
        <v>171</v>
      </c>
      <c r="O18" s="125">
        <f>IF(P18=0,0,Q18/P18)</f>
        <v>-13.774999999999999</v>
      </c>
      <c r="P18" s="119">
        <v>16</v>
      </c>
      <c r="Q18" s="107">
        <v>-220.39999999999998</v>
      </c>
    </row>
    <row r="19" spans="1:17" x14ac:dyDescent="0.4">
      <c r="A19" s="55" t="s">
        <v>11</v>
      </c>
      <c r="B19" s="47">
        <v>50</v>
      </c>
      <c r="C19" s="39">
        <f>IF(B$17=0,0,B19/B$17)</f>
        <v>0.4854368932038835</v>
      </c>
      <c r="E19" s="63" t="s">
        <v>180</v>
      </c>
      <c r="F19" s="60" t="s">
        <v>183</v>
      </c>
      <c r="G19" s="47">
        <v>1</v>
      </c>
      <c r="H19" s="133">
        <f>IF(B$17=0,0,G19/B$17)</f>
        <v>9.7087378640776691E-3</v>
      </c>
      <c r="I19" s="94">
        <v>5</v>
      </c>
      <c r="K19" s="38">
        <v>17</v>
      </c>
      <c r="L19" s="99">
        <v>-248.89999999999995</v>
      </c>
      <c r="N19" s="115" t="s">
        <v>127</v>
      </c>
      <c r="O19" s="125">
        <f>IF(P19=0,0,Q19/P19)</f>
        <v>-22.754999999999995</v>
      </c>
      <c r="P19" s="119">
        <v>20</v>
      </c>
      <c r="Q19" s="107">
        <v>-455.09999999999991</v>
      </c>
    </row>
    <row r="20" spans="1:17" x14ac:dyDescent="0.4">
      <c r="A20" s="55" t="s">
        <v>13</v>
      </c>
      <c r="B20" s="47">
        <v>65</v>
      </c>
      <c r="C20" s="39">
        <f>IF(B$3=0,0,B20/B$3)</f>
        <v>0.19005847953216373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5</v>
      </c>
      <c r="K20" s="38">
        <v>18</v>
      </c>
      <c r="L20" s="99">
        <v>-218.99999999999994</v>
      </c>
      <c r="N20" s="115" t="s">
        <v>177</v>
      </c>
      <c r="O20" s="125">
        <f>IF(P20=0,0,Q20/P20)</f>
        <v>-33.6</v>
      </c>
      <c r="P20" s="119">
        <v>3</v>
      </c>
      <c r="Q20" s="107">
        <v>-100.80000000000001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8</v>
      </c>
      <c r="K21" s="38">
        <v>19</v>
      </c>
      <c r="L21" s="99">
        <v>-188.59999999999994</v>
      </c>
      <c r="N21" s="115" t="s">
        <v>202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1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3</v>
      </c>
      <c r="K22" s="38">
        <v>20</v>
      </c>
      <c r="L22" s="99">
        <v>-182.79999999999993</v>
      </c>
      <c r="N22" s="115" t="s">
        <v>185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6838.8349514563106</v>
      </c>
      <c r="C23" s="41">
        <v>704400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-7690.7692307692305</v>
      </c>
      <c r="C24" s="45">
        <v>-499900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82</v>
      </c>
      <c r="F25" s="60" t="s">
        <v>37</v>
      </c>
      <c r="G25" s="47">
        <v>0</v>
      </c>
      <c r="H25" s="133">
        <f>IF(B$17=0,0,G25/B$17)</f>
        <v>0</v>
      </c>
      <c r="I25" s="94">
        <v>10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5.8479532163742687E-3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4</v>
      </c>
      <c r="K27" s="38">
        <v>25</v>
      </c>
      <c r="L27" s="99">
        <v>-344.29999999999995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-285.09999999999997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-194.1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-223.9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A3E55-BC8B-4BEF-8BCF-380CCC09A9BE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34</v>
      </c>
      <c r="C2" s="147"/>
      <c r="E2" s="62" t="s">
        <v>73</v>
      </c>
      <c r="F2" s="59" t="s">
        <v>28</v>
      </c>
      <c r="G2" s="46">
        <v>50</v>
      </c>
      <c r="H2" s="132">
        <f>IF(B$17=0,0,G2/B$17)</f>
        <v>0.60240963855421692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1082.3529411764705</v>
      </c>
      <c r="P2" s="118">
        <v>34</v>
      </c>
      <c r="Q2" s="102">
        <v>36800</v>
      </c>
    </row>
    <row r="3" spans="1:17" x14ac:dyDescent="0.4">
      <c r="A3" s="55" t="s">
        <v>8</v>
      </c>
      <c r="B3" s="148">
        <v>283</v>
      </c>
      <c r="C3" s="149"/>
      <c r="E3" s="63" t="s">
        <v>65</v>
      </c>
      <c r="F3" s="60" t="s">
        <v>21</v>
      </c>
      <c r="G3" s="47">
        <v>43</v>
      </c>
      <c r="H3" s="133">
        <f>IF(B$17=0,0,G3/B$17)</f>
        <v>0.51807228915662651</v>
      </c>
      <c r="I3" s="94">
        <v>8</v>
      </c>
      <c r="K3" s="38">
        <v>1</v>
      </c>
      <c r="L3" s="99">
        <v>-1.9</v>
      </c>
      <c r="N3" s="115" t="s">
        <v>133</v>
      </c>
      <c r="O3" s="122">
        <f t="shared" si="0"/>
        <v>93.75</v>
      </c>
      <c r="P3" s="119">
        <v>32</v>
      </c>
      <c r="Q3" s="103">
        <v>3000</v>
      </c>
    </row>
    <row r="4" spans="1:17" x14ac:dyDescent="0.4">
      <c r="A4" s="55" t="s">
        <v>6</v>
      </c>
      <c r="B4" s="150">
        <v>-45.800000000000004</v>
      </c>
      <c r="C4" s="151"/>
      <c r="E4" s="63" t="s">
        <v>67</v>
      </c>
      <c r="F4" s="60" t="s">
        <v>23</v>
      </c>
      <c r="G4" s="47">
        <v>42</v>
      </c>
      <c r="H4" s="133">
        <f>IF(B$17=0,0,G4/B$17)</f>
        <v>0.50602409638554213</v>
      </c>
      <c r="I4" s="94">
        <v>12</v>
      </c>
      <c r="K4" s="38">
        <v>2</v>
      </c>
      <c r="L4" s="99">
        <v>30</v>
      </c>
      <c r="N4" s="115" t="s">
        <v>134</v>
      </c>
      <c r="O4" s="122">
        <f t="shared" si="0"/>
        <v>-2213.3333333333335</v>
      </c>
      <c r="P4" s="119">
        <v>30</v>
      </c>
      <c r="Q4" s="103">
        <v>-66400</v>
      </c>
    </row>
    <row r="5" spans="1:17" x14ac:dyDescent="0.4">
      <c r="A5" s="55" t="s">
        <v>7</v>
      </c>
      <c r="B5" s="152">
        <f>IF(B$2=0,0,B$4/B$2)</f>
        <v>-1.3470588235294119</v>
      </c>
      <c r="C5" s="153"/>
      <c r="E5" s="63" t="s">
        <v>181</v>
      </c>
      <c r="F5" s="60" t="s">
        <v>182</v>
      </c>
      <c r="G5" s="47">
        <v>26</v>
      </c>
      <c r="H5" s="133">
        <f>IF(B$17=0,0,G5/B$17)</f>
        <v>0.31325301204819278</v>
      </c>
      <c r="I5" s="94">
        <v>12</v>
      </c>
      <c r="K5" s="38">
        <v>3</v>
      </c>
      <c r="L5" s="99">
        <v>-10</v>
      </c>
      <c r="N5" s="115" t="s">
        <v>135</v>
      </c>
      <c r="O5" s="122">
        <f t="shared" si="0"/>
        <v>1482.7586206896551</v>
      </c>
      <c r="P5" s="119">
        <v>29</v>
      </c>
      <c r="Q5" s="103">
        <v>43000</v>
      </c>
    </row>
    <row r="6" spans="1:17" x14ac:dyDescent="0.4">
      <c r="A6" s="55" t="s">
        <v>1</v>
      </c>
      <c r="B6" s="142">
        <f>IF(B$2=0,0,(B$7*1+B$8*2+B$9*3)/B$2)</f>
        <v>1.9705882352941178</v>
      </c>
      <c r="C6" s="143"/>
      <c r="E6" s="63" t="s">
        <v>68</v>
      </c>
      <c r="F6" s="60" t="s">
        <v>24</v>
      </c>
      <c r="G6" s="47">
        <v>23</v>
      </c>
      <c r="H6" s="133">
        <f>IF(B$17=0,0,G6/B$17)</f>
        <v>0.27710843373493976</v>
      </c>
      <c r="I6" s="94">
        <v>10</v>
      </c>
      <c r="K6" s="38">
        <v>4</v>
      </c>
      <c r="L6" s="99">
        <v>40</v>
      </c>
      <c r="N6" s="115" t="s">
        <v>136</v>
      </c>
      <c r="O6" s="122">
        <f t="shared" si="0"/>
        <v>-1450</v>
      </c>
      <c r="P6" s="119">
        <v>26</v>
      </c>
      <c r="Q6" s="103">
        <v>-37700</v>
      </c>
    </row>
    <row r="7" spans="1:17" x14ac:dyDescent="0.4">
      <c r="A7" s="55" t="s">
        <v>2</v>
      </c>
      <c r="B7" s="47">
        <v>13</v>
      </c>
      <c r="C7" s="39">
        <f>IF(B$2=0,0,B7/B$2)</f>
        <v>0.38235294117647056</v>
      </c>
      <c r="E7" s="63" t="s">
        <v>69</v>
      </c>
      <c r="F7" s="60" t="s">
        <v>12</v>
      </c>
      <c r="G7" s="47">
        <v>20</v>
      </c>
      <c r="H7" s="133">
        <f>IF(B$17=0,0,G7/B$17)</f>
        <v>0.24096385542168675</v>
      </c>
      <c r="I7" s="94">
        <v>12</v>
      </c>
      <c r="K7" s="38">
        <v>5</v>
      </c>
      <c r="L7" s="99">
        <v>35.4</v>
      </c>
      <c r="N7" s="116" t="s">
        <v>137</v>
      </c>
      <c r="O7" s="123">
        <f t="shared" si="0"/>
        <v>-286.36363636363637</v>
      </c>
      <c r="P7" s="120">
        <v>22</v>
      </c>
      <c r="Q7" s="104">
        <v>-6300</v>
      </c>
    </row>
    <row r="8" spans="1:17" x14ac:dyDescent="0.4">
      <c r="A8" s="55" t="s">
        <v>3</v>
      </c>
      <c r="B8" s="47">
        <v>9</v>
      </c>
      <c r="C8" s="39">
        <f>IF(B$2=0,0,B8/B$2)</f>
        <v>0.26470588235294118</v>
      </c>
      <c r="E8" s="63" t="s">
        <v>90</v>
      </c>
      <c r="F8" s="60" t="s">
        <v>45</v>
      </c>
      <c r="G8" s="47">
        <v>12</v>
      </c>
      <c r="H8" s="133">
        <f>IF(B$17=0,0,G8/B$17)</f>
        <v>0.14457831325301204</v>
      </c>
      <c r="I8" s="94">
        <v>7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12</v>
      </c>
      <c r="C9" s="40">
        <f t="shared" ref="C9" si="1">IF(B$2=0,0,B9/B$2)</f>
        <v>0.35294117647058826</v>
      </c>
      <c r="E9" s="63" t="s">
        <v>70</v>
      </c>
      <c r="F9" s="60" t="s">
        <v>25</v>
      </c>
      <c r="G9" s="47">
        <v>10</v>
      </c>
      <c r="H9" s="133">
        <f>IF(B$17=0,0,G9/B$17)</f>
        <v>0.12048192771084337</v>
      </c>
      <c r="I9" s="94">
        <v>10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</v>
      </c>
      <c r="C10" s="40">
        <f>IF(B$2=0,0,B10/B$2)</f>
        <v>0.17647058823529413</v>
      </c>
      <c r="E10" s="63" t="s">
        <v>66</v>
      </c>
      <c r="F10" s="60" t="s">
        <v>22</v>
      </c>
      <c r="G10" s="47">
        <v>6</v>
      </c>
      <c r="H10" s="133">
        <f>IF(B$17=0,0,G10/B$17)</f>
        <v>7.2289156626506021E-2</v>
      </c>
      <c r="I10" s="94">
        <v>7</v>
      </c>
      <c r="K10" s="38">
        <v>8</v>
      </c>
      <c r="L10" s="99">
        <v>-87.1</v>
      </c>
      <c r="N10" s="114" t="s">
        <v>164</v>
      </c>
      <c r="O10" s="124">
        <f>IF(P10=0,0,Q10/P10)</f>
        <v>7.6428571428571406</v>
      </c>
      <c r="P10" s="118">
        <v>7</v>
      </c>
      <c r="Q10" s="106">
        <v>53.499999999999986</v>
      </c>
    </row>
    <row r="11" spans="1:17" x14ac:dyDescent="0.4">
      <c r="A11" s="56" t="s">
        <v>140</v>
      </c>
      <c r="B11" s="48">
        <v>2</v>
      </c>
      <c r="C11" s="40">
        <f>IF(B$2=0,0,B11/B$2)</f>
        <v>5.8823529411764705E-2</v>
      </c>
      <c r="E11" s="63" t="s">
        <v>71</v>
      </c>
      <c r="F11" s="60" t="s">
        <v>26</v>
      </c>
      <c r="G11" s="47">
        <v>5</v>
      </c>
      <c r="H11" s="133">
        <f>IF(B$17=0,0,G11/B$17)</f>
        <v>6.0240963855421686E-2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-8.6846153846153857</v>
      </c>
      <c r="P11" s="119">
        <v>13</v>
      </c>
      <c r="Q11" s="107">
        <v>-112.9</v>
      </c>
    </row>
    <row r="12" spans="1:17" x14ac:dyDescent="0.4">
      <c r="A12" s="57" t="s">
        <v>160</v>
      </c>
      <c r="B12" s="49">
        <v>3</v>
      </c>
      <c r="C12" s="42">
        <f>IF(B$2=0,0,B12/B$2)</f>
        <v>8.8235294117647065E-2</v>
      </c>
      <c r="E12" s="63" t="s">
        <v>84</v>
      </c>
      <c r="F12" s="60" t="s">
        <v>39</v>
      </c>
      <c r="G12" s="47">
        <v>5</v>
      </c>
      <c r="H12" s="133">
        <f>IF(B$17=0,0,G12/B$17)</f>
        <v>6.0240963855421686E-2</v>
      </c>
      <c r="I12" s="94">
        <v>2</v>
      </c>
      <c r="K12" s="38">
        <v>10</v>
      </c>
      <c r="L12" s="99">
        <v>-183.7</v>
      </c>
      <c r="N12" s="116" t="s">
        <v>166</v>
      </c>
      <c r="O12" s="126">
        <f>IF(P12=0,0,Q12/P12)</f>
        <v>0.97142857142857209</v>
      </c>
      <c r="P12" s="120">
        <v>14</v>
      </c>
      <c r="Q12" s="108">
        <v>13.600000000000009</v>
      </c>
    </row>
    <row r="13" spans="1:17" x14ac:dyDescent="0.4">
      <c r="A13" s="58" t="s">
        <v>122</v>
      </c>
      <c r="B13" s="50">
        <v>60</v>
      </c>
      <c r="C13" s="44">
        <f>IF(B$3=0,0,B13/B$3)</f>
        <v>0.21201413427561838</v>
      </c>
      <c r="E13" s="63" t="s">
        <v>92</v>
      </c>
      <c r="F13" s="60" t="s">
        <v>47</v>
      </c>
      <c r="G13" s="47">
        <v>4</v>
      </c>
      <c r="H13" s="133">
        <f>IF(B$17=0,0,G13/B$17)</f>
        <v>4.8192771084337352E-2</v>
      </c>
      <c r="I13" s="94">
        <v>1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64</v>
      </c>
      <c r="C14" s="39">
        <f>IF(B$3=0,0,B14/B$3)</f>
        <v>0.22614840989399293</v>
      </c>
      <c r="E14" s="63" t="s">
        <v>72</v>
      </c>
      <c r="F14" s="60" t="s">
        <v>27</v>
      </c>
      <c r="G14" s="47">
        <v>3</v>
      </c>
      <c r="H14" s="133">
        <f>IF(B$17=0,0,G14/B$17)</f>
        <v>3.614457831325301E-2</v>
      </c>
      <c r="I14" s="94">
        <v>9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42</v>
      </c>
      <c r="C15" s="37">
        <f>IF(B$13=0,0,B15/B$13)</f>
        <v>0.7</v>
      </c>
      <c r="E15" s="63" t="s">
        <v>82</v>
      </c>
      <c r="F15" s="60" t="s">
        <v>37</v>
      </c>
      <c r="G15" s="47">
        <v>3</v>
      </c>
      <c r="H15" s="133">
        <f>IF(B$17=0,0,G15/B$17)</f>
        <v>3.614457831325301E-2</v>
      </c>
      <c r="I15" s="94">
        <v>3</v>
      </c>
      <c r="K15" s="38">
        <v>13</v>
      </c>
      <c r="L15" s="99">
        <v>-209.59999999999997</v>
      </c>
      <c r="N15" s="114" t="s">
        <v>202</v>
      </c>
      <c r="O15" s="124">
        <f>IF(P15=0,0,Q15/P15)</f>
        <v>59.050000000000004</v>
      </c>
      <c r="P15" s="118">
        <v>2</v>
      </c>
      <c r="Q15" s="106">
        <v>118.10000000000001</v>
      </c>
    </row>
    <row r="16" spans="1:17" x14ac:dyDescent="0.4">
      <c r="A16" s="54" t="s">
        <v>125</v>
      </c>
      <c r="B16" s="46">
        <v>25</v>
      </c>
      <c r="C16" s="37">
        <f>IF(B$14=0,0,B16/B$14)</f>
        <v>0.390625</v>
      </c>
      <c r="E16" s="63" t="s">
        <v>79</v>
      </c>
      <c r="F16" s="60" t="s">
        <v>34</v>
      </c>
      <c r="G16" s="47">
        <v>2</v>
      </c>
      <c r="H16" s="133">
        <f>IF(B$17=0,0,G16/B$17)</f>
        <v>2.4096385542168676E-2</v>
      </c>
      <c r="I16" s="94">
        <v>5</v>
      </c>
      <c r="K16" s="38">
        <v>14</v>
      </c>
      <c r="L16" s="99">
        <v>-178.49999999999997</v>
      </c>
      <c r="N16" s="115" t="s">
        <v>173</v>
      </c>
      <c r="O16" s="125">
        <f>IF(P16=0,0,Q16/P16)</f>
        <v>33.6</v>
      </c>
      <c r="P16" s="119">
        <v>3</v>
      </c>
      <c r="Q16" s="107">
        <v>100.80000000000001</v>
      </c>
    </row>
    <row r="17" spans="1:17" x14ac:dyDescent="0.4">
      <c r="A17" s="54" t="s">
        <v>10</v>
      </c>
      <c r="B17" s="46">
        <f>B19+B18</f>
        <v>83</v>
      </c>
      <c r="C17" s="37">
        <f>IF(B$3=0,0,B17/B$3)</f>
        <v>0.29328621908127206</v>
      </c>
      <c r="E17" s="63" t="s">
        <v>86</v>
      </c>
      <c r="F17" s="60" t="s">
        <v>41</v>
      </c>
      <c r="G17" s="47">
        <v>2</v>
      </c>
      <c r="H17" s="133">
        <f>IF(B$17=0,0,G17/B$17)</f>
        <v>2.4096385542168676E-2</v>
      </c>
      <c r="I17" s="94">
        <v>1</v>
      </c>
      <c r="K17" s="38">
        <v>15</v>
      </c>
      <c r="L17" s="99">
        <v>-146.19999999999999</v>
      </c>
      <c r="N17" s="115" t="s">
        <v>186</v>
      </c>
      <c r="O17" s="125">
        <f>IF(P17=0,0,Q17/P17)</f>
        <v>15.833333333333337</v>
      </c>
      <c r="P17" s="119">
        <v>3</v>
      </c>
      <c r="Q17" s="107">
        <v>47.500000000000014</v>
      </c>
    </row>
    <row r="18" spans="1:17" x14ac:dyDescent="0.4">
      <c r="A18" s="55" t="s">
        <v>12</v>
      </c>
      <c r="B18" s="47">
        <v>33</v>
      </c>
      <c r="C18" s="39">
        <f>IF(B$17=0,0,B18/B$17)</f>
        <v>0.39759036144578314</v>
      </c>
      <c r="E18" s="63" t="s">
        <v>87</v>
      </c>
      <c r="F18" s="60" t="s">
        <v>42</v>
      </c>
      <c r="G18" s="47">
        <v>2</v>
      </c>
      <c r="H18" s="133">
        <f>IF(B$17=0,0,G18/B$17)</f>
        <v>2.4096385542168676E-2</v>
      </c>
      <c r="I18" s="94">
        <v>10</v>
      </c>
      <c r="K18" s="38">
        <v>16</v>
      </c>
      <c r="L18" s="99">
        <v>-153.29999999999998</v>
      </c>
      <c r="N18" s="115" t="s">
        <v>128</v>
      </c>
      <c r="O18" s="125">
        <f>IF(P18=0,0,Q18/P18)</f>
        <v>10.631818181818183</v>
      </c>
      <c r="P18" s="119">
        <v>22</v>
      </c>
      <c r="Q18" s="107">
        <v>233.9</v>
      </c>
    </row>
    <row r="19" spans="1:17" x14ac:dyDescent="0.4">
      <c r="A19" s="55" t="s">
        <v>11</v>
      </c>
      <c r="B19" s="47">
        <v>50</v>
      </c>
      <c r="C19" s="39">
        <f>IF(B$17=0,0,B19/B$17)</f>
        <v>0.60240963855421692</v>
      </c>
      <c r="E19" s="63" t="s">
        <v>75</v>
      </c>
      <c r="F19" s="60" t="s">
        <v>30</v>
      </c>
      <c r="G19" s="47">
        <v>1</v>
      </c>
      <c r="H19" s="133">
        <f>IF(B$17=0,0,G19/B$17)</f>
        <v>1.2048192771084338E-2</v>
      </c>
      <c r="I19" s="94">
        <v>1</v>
      </c>
      <c r="K19" s="38">
        <v>17</v>
      </c>
      <c r="L19" s="99">
        <v>-161.19999999999999</v>
      </c>
      <c r="N19" s="115" t="s">
        <v>171</v>
      </c>
      <c r="O19" s="125">
        <f>IF(P19=0,0,Q19/P19)</f>
        <v>10.600000000000005</v>
      </c>
      <c r="P19" s="119">
        <v>8</v>
      </c>
      <c r="Q19" s="107">
        <v>84.80000000000004</v>
      </c>
    </row>
    <row r="20" spans="1:17" x14ac:dyDescent="0.4">
      <c r="A20" s="55" t="s">
        <v>13</v>
      </c>
      <c r="B20" s="47">
        <v>48</v>
      </c>
      <c r="C20" s="39">
        <f>IF(B$3=0,0,B20/B$3)</f>
        <v>0.16961130742049471</v>
      </c>
      <c r="E20" s="63" t="s">
        <v>76</v>
      </c>
      <c r="F20" s="60" t="s">
        <v>31</v>
      </c>
      <c r="G20" s="47">
        <v>1</v>
      </c>
      <c r="H20" s="133">
        <f>IF(B$17=0,0,G20/B$17)</f>
        <v>1.2048192771084338E-2</v>
      </c>
      <c r="I20" s="94">
        <v>3</v>
      </c>
      <c r="K20" s="38">
        <v>18</v>
      </c>
      <c r="L20" s="99">
        <v>-159</v>
      </c>
      <c r="N20" s="115" t="s">
        <v>172</v>
      </c>
      <c r="O20" s="125">
        <f>IF(P20=0,0,Q20/P20)</f>
        <v>-18.733333333333338</v>
      </c>
      <c r="P20" s="119">
        <v>6</v>
      </c>
      <c r="Q20" s="107">
        <v>-112.40000000000002</v>
      </c>
    </row>
    <row r="21" spans="1:17" x14ac:dyDescent="0.4">
      <c r="A21" s="55" t="s">
        <v>193</v>
      </c>
      <c r="B21" s="47">
        <v>4</v>
      </c>
      <c r="C21" s="135">
        <v>2</v>
      </c>
      <c r="E21" s="63" t="s">
        <v>77</v>
      </c>
      <c r="F21" s="60" t="s">
        <v>32</v>
      </c>
      <c r="G21" s="47">
        <v>1</v>
      </c>
      <c r="H21" s="133">
        <f>IF(B$17=0,0,G21/B$17)</f>
        <v>1.2048192771084338E-2</v>
      </c>
      <c r="I21" s="94">
        <v>1</v>
      </c>
      <c r="K21" s="38">
        <v>19</v>
      </c>
      <c r="L21" s="99">
        <v>-235.6</v>
      </c>
      <c r="N21" s="115" t="s">
        <v>129</v>
      </c>
      <c r="O21" s="125">
        <f>IF(P21=0,0,Q21/P21)</f>
        <v>-21.775000000000006</v>
      </c>
      <c r="P21" s="119">
        <v>8</v>
      </c>
      <c r="Q21" s="107">
        <v>-174.20000000000005</v>
      </c>
    </row>
    <row r="22" spans="1:17" x14ac:dyDescent="0.4">
      <c r="A22" s="55" t="s">
        <v>194</v>
      </c>
      <c r="B22" s="47">
        <v>21</v>
      </c>
      <c r="C22" s="135">
        <v>4</v>
      </c>
      <c r="E22" s="63" t="s">
        <v>80</v>
      </c>
      <c r="F22" s="60" t="s">
        <v>35</v>
      </c>
      <c r="G22" s="47">
        <v>1</v>
      </c>
      <c r="H22" s="133">
        <f>IF(B$17=0,0,G22/B$17)</f>
        <v>1.2048192771084338E-2</v>
      </c>
      <c r="I22" s="94">
        <v>7</v>
      </c>
      <c r="K22" s="38">
        <v>20</v>
      </c>
      <c r="L22" s="99">
        <v>-200.8</v>
      </c>
      <c r="N22" s="115" t="s">
        <v>127</v>
      </c>
      <c r="O22" s="125">
        <f>IF(P22=0,0,Q22/P22)</f>
        <v>-22.984615384615385</v>
      </c>
      <c r="P22" s="119">
        <v>13</v>
      </c>
      <c r="Q22" s="107">
        <v>-298.8</v>
      </c>
    </row>
    <row r="23" spans="1:17" x14ac:dyDescent="0.4">
      <c r="A23" s="55" t="s">
        <v>5</v>
      </c>
      <c r="B23" s="51">
        <f>IF(B$17=0,0,C23/B$17)</f>
        <v>7945.7831325301204</v>
      </c>
      <c r="C23" s="41">
        <v>659500</v>
      </c>
      <c r="E23" s="63" t="s">
        <v>102</v>
      </c>
      <c r="F23" s="60" t="s">
        <v>57</v>
      </c>
      <c r="G23" s="47">
        <v>1</v>
      </c>
      <c r="H23" s="133">
        <f>IF(B$17=0,0,G23/B$17)</f>
        <v>1.2048192771084338E-2</v>
      </c>
      <c r="I23" s="94">
        <v>1</v>
      </c>
      <c r="K23" s="38">
        <v>21</v>
      </c>
      <c r="L23" s="99">
        <v>-188.60000000000002</v>
      </c>
      <c r="N23" s="115" t="s">
        <v>185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-7735.416666666667</v>
      </c>
      <c r="C24" s="45">
        <v>-371300</v>
      </c>
      <c r="E24" s="63" t="s">
        <v>74</v>
      </c>
      <c r="F24" s="60" t="s">
        <v>29</v>
      </c>
      <c r="G24" s="47">
        <v>0</v>
      </c>
      <c r="H24" s="133">
        <f>IF(B$17=0,0,G24/B$17)</f>
        <v>0</v>
      </c>
      <c r="I24" s="94">
        <v>7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7</v>
      </c>
      <c r="C25" s="141"/>
      <c r="E25" s="63" t="s">
        <v>78</v>
      </c>
      <c r="F25" s="60" t="s">
        <v>33</v>
      </c>
      <c r="G25" s="47">
        <v>0</v>
      </c>
      <c r="H25" s="133">
        <f>IF(B$17=0,0,G25/B$17)</f>
        <v>0</v>
      </c>
      <c r="I25" s="94">
        <v>5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103000</v>
      </c>
      <c r="C26" s="139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2</v>
      </c>
      <c r="C27" s="42">
        <f>IF(B$3=0,0,B27/B$3)</f>
        <v>7.0671378091872791E-3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-151.5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-115.1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6</v>
      </c>
      <c r="K29" s="38">
        <v>27</v>
      </c>
      <c r="L29" s="99">
        <v>-27.099999999999994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7.2000000000000028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-49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-99.6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39EE9B-6964-4CB4-8A56-5DBDE85FF5C7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10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4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181</v>
      </c>
      <c r="F7" s="60" t="s">
        <v>182</v>
      </c>
      <c r="G7" s="47">
        <v>2</v>
      </c>
      <c r="H7" s="133">
        <f>IF(B$17=0,0,G7/B$17)</f>
        <v>0.4</v>
      </c>
      <c r="I7" s="94">
        <v>5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5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11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5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8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3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5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10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10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0">
        <v>3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4</v>
      </c>
    </row>
    <row r="26" spans="1:17" x14ac:dyDescent="0.4">
      <c r="A26" s="58" t="s">
        <v>152</v>
      </c>
      <c r="B26" s="138">
        <v>53500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6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1692A-0CD6-491A-ABE8-46E8404B1DBA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12</v>
      </c>
      <c r="C2" s="147"/>
      <c r="E2" s="62" t="s">
        <v>67</v>
      </c>
      <c r="F2" s="59" t="s">
        <v>23</v>
      </c>
      <c r="G2" s="46">
        <v>22</v>
      </c>
      <c r="H2" s="132">
        <f>IF(B$17=0,0,G2/B$17)</f>
        <v>0.7857142857142857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-508.33333333333331</v>
      </c>
      <c r="P2" s="118">
        <v>12</v>
      </c>
      <c r="Q2" s="102">
        <v>-6100</v>
      </c>
    </row>
    <row r="3" spans="1:17" x14ac:dyDescent="0.4">
      <c r="A3" s="55" t="s">
        <v>8</v>
      </c>
      <c r="B3" s="148">
        <v>104</v>
      </c>
      <c r="C3" s="149"/>
      <c r="E3" s="63" t="s">
        <v>73</v>
      </c>
      <c r="F3" s="60" t="s">
        <v>28</v>
      </c>
      <c r="G3" s="47">
        <v>19</v>
      </c>
      <c r="H3" s="133">
        <f>IF(B$17=0,0,G3/B$17)</f>
        <v>0.6785714285714286</v>
      </c>
      <c r="I3" s="94">
        <v>1</v>
      </c>
      <c r="K3" s="38">
        <v>1</v>
      </c>
      <c r="L3" s="99">
        <v>-43.7</v>
      </c>
      <c r="N3" s="115" t="s">
        <v>133</v>
      </c>
      <c r="O3" s="122">
        <f t="shared" si="0"/>
        <v>-1075</v>
      </c>
      <c r="P3" s="119">
        <v>12</v>
      </c>
      <c r="Q3" s="103">
        <v>-12900</v>
      </c>
    </row>
    <row r="4" spans="1:17" x14ac:dyDescent="0.4">
      <c r="A4" s="55" t="s">
        <v>6</v>
      </c>
      <c r="B4" s="150">
        <v>-116.6</v>
      </c>
      <c r="C4" s="151"/>
      <c r="E4" s="63" t="s">
        <v>65</v>
      </c>
      <c r="F4" s="60" t="s">
        <v>21</v>
      </c>
      <c r="G4" s="47">
        <v>15</v>
      </c>
      <c r="H4" s="133">
        <f>IF(B$17=0,0,G4/B$17)</f>
        <v>0.5357142857142857</v>
      </c>
      <c r="I4" s="94">
        <v>7</v>
      </c>
      <c r="K4" s="38">
        <v>2</v>
      </c>
      <c r="L4" s="99">
        <v>-76.2</v>
      </c>
      <c r="N4" s="115" t="s">
        <v>134</v>
      </c>
      <c r="O4" s="122">
        <f t="shared" si="0"/>
        <v>-550</v>
      </c>
      <c r="P4" s="119">
        <v>12</v>
      </c>
      <c r="Q4" s="103">
        <v>-6600</v>
      </c>
    </row>
    <row r="5" spans="1:17" x14ac:dyDescent="0.4">
      <c r="A5" s="55" t="s">
        <v>7</v>
      </c>
      <c r="B5" s="152">
        <f>IF(B$2=0,0,B$4/B$2)</f>
        <v>-9.7166666666666668</v>
      </c>
      <c r="C5" s="153"/>
      <c r="E5" s="63" t="s">
        <v>69</v>
      </c>
      <c r="F5" s="60" t="s">
        <v>12</v>
      </c>
      <c r="G5" s="47">
        <v>9</v>
      </c>
      <c r="H5" s="133">
        <f>IF(B$17=0,0,G5/B$17)</f>
        <v>0.32142857142857145</v>
      </c>
      <c r="I5" s="94">
        <v>7</v>
      </c>
      <c r="K5" s="38">
        <v>3</v>
      </c>
      <c r="L5" s="99">
        <v>-78.400000000000006</v>
      </c>
      <c r="N5" s="115" t="s">
        <v>135</v>
      </c>
      <c r="O5" s="122">
        <f t="shared" si="0"/>
        <v>-3772.7272727272725</v>
      </c>
      <c r="P5" s="119">
        <v>11</v>
      </c>
      <c r="Q5" s="103">
        <v>-41500</v>
      </c>
    </row>
    <row r="6" spans="1:17" x14ac:dyDescent="0.4">
      <c r="A6" s="55" t="s">
        <v>1</v>
      </c>
      <c r="B6" s="142">
        <f>IF(B$2=0,0,(B$7*1+B$8*2+B$9*3)/B$2)</f>
        <v>2.0833333333333335</v>
      </c>
      <c r="C6" s="143"/>
      <c r="E6" s="63" t="s">
        <v>181</v>
      </c>
      <c r="F6" s="60" t="s">
        <v>182</v>
      </c>
      <c r="G6" s="47">
        <v>8</v>
      </c>
      <c r="H6" s="133">
        <f>IF(B$17=0,0,G6/B$17)</f>
        <v>0.2857142857142857</v>
      </c>
      <c r="I6" s="94">
        <v>13</v>
      </c>
      <c r="K6" s="38">
        <v>4</v>
      </c>
      <c r="L6" s="99">
        <v>-49.800000000000004</v>
      </c>
      <c r="N6" s="115" t="s">
        <v>136</v>
      </c>
      <c r="O6" s="122">
        <f t="shared" si="0"/>
        <v>390.90909090909093</v>
      </c>
      <c r="P6" s="119">
        <v>11</v>
      </c>
      <c r="Q6" s="103">
        <v>4300</v>
      </c>
    </row>
    <row r="7" spans="1:17" x14ac:dyDescent="0.4">
      <c r="A7" s="55" t="s">
        <v>2</v>
      </c>
      <c r="B7" s="47">
        <v>5</v>
      </c>
      <c r="C7" s="39">
        <f>IF(B$2=0,0,B7/B$2)</f>
        <v>0.41666666666666669</v>
      </c>
      <c r="E7" s="63" t="s">
        <v>68</v>
      </c>
      <c r="F7" s="60" t="s">
        <v>24</v>
      </c>
      <c r="G7" s="47">
        <v>6</v>
      </c>
      <c r="H7" s="133">
        <f>IF(B$17=0,0,G7/B$17)</f>
        <v>0.21428571428571427</v>
      </c>
      <c r="I7" s="94">
        <v>12</v>
      </c>
      <c r="K7" s="38">
        <v>5</v>
      </c>
      <c r="L7" s="99">
        <v>-121</v>
      </c>
      <c r="N7" s="116" t="s">
        <v>137</v>
      </c>
      <c r="O7" s="123">
        <f t="shared" si="0"/>
        <v>-3072.7272727272725</v>
      </c>
      <c r="P7" s="120">
        <v>11</v>
      </c>
      <c r="Q7" s="104">
        <v>-33800</v>
      </c>
    </row>
    <row r="8" spans="1:17" x14ac:dyDescent="0.4">
      <c r="A8" s="55" t="s">
        <v>3</v>
      </c>
      <c r="B8" s="47">
        <v>1</v>
      </c>
      <c r="C8" s="39">
        <f>IF(B$2=0,0,B8/B$2)</f>
        <v>8.3333333333333329E-2</v>
      </c>
      <c r="E8" s="63" t="s">
        <v>90</v>
      </c>
      <c r="F8" s="60" t="s">
        <v>45</v>
      </c>
      <c r="G8" s="47">
        <v>5</v>
      </c>
      <c r="H8" s="133">
        <f>IF(B$17=0,0,G8/B$17)</f>
        <v>0.17857142857142858</v>
      </c>
      <c r="I8" s="94">
        <v>4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ref="C9" si="1">IF(B$2=0,0,B9/B$2)</f>
        <v>0.5</v>
      </c>
      <c r="E9" s="63" t="s">
        <v>70</v>
      </c>
      <c r="F9" s="60" t="s">
        <v>25</v>
      </c>
      <c r="G9" s="47">
        <v>4</v>
      </c>
      <c r="H9" s="133">
        <f>IF(B$17=0,0,G9/B$17)</f>
        <v>0.14285714285714285</v>
      </c>
      <c r="I9" s="94">
        <v>8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0.16666666666666666</v>
      </c>
      <c r="E10" s="63" t="s">
        <v>71</v>
      </c>
      <c r="F10" s="60" t="s">
        <v>26</v>
      </c>
      <c r="G10" s="47">
        <v>4</v>
      </c>
      <c r="H10" s="133">
        <f>IF(B$17=0,0,G10/B$17)</f>
        <v>0.14285714285714285</v>
      </c>
      <c r="I10" s="94">
        <v>2</v>
      </c>
      <c r="K10" s="38">
        <v>8</v>
      </c>
      <c r="L10" s="99">
        <v>-170.5</v>
      </c>
      <c r="N10" s="114" t="s">
        <v>164</v>
      </c>
      <c r="O10" s="124">
        <f>IF(P10=0,0,Q10/P10)</f>
        <v>-9.759999999999998</v>
      </c>
      <c r="P10" s="118">
        <v>5</v>
      </c>
      <c r="Q10" s="106">
        <v>-48.79999999999999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3</v>
      </c>
      <c r="H11" s="133">
        <f>IF(B$17=0,0,G11/B$17)</f>
        <v>0.10714285714285714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1</v>
      </c>
      <c r="C12" s="42">
        <f>IF(B$2=0,0,B12/B$2)</f>
        <v>8.3333333333333329E-2</v>
      </c>
      <c r="E12" s="63" t="s">
        <v>80</v>
      </c>
      <c r="F12" s="60" t="s">
        <v>35</v>
      </c>
      <c r="G12" s="47">
        <v>2</v>
      </c>
      <c r="H12" s="133">
        <f>IF(B$17=0,0,G12/B$17)</f>
        <v>7.1428571428571425E-2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0.53333333333333377</v>
      </c>
      <c r="P12" s="120">
        <v>3</v>
      </c>
      <c r="Q12" s="108">
        <v>1.6000000000000014</v>
      </c>
    </row>
    <row r="13" spans="1:17" x14ac:dyDescent="0.4">
      <c r="A13" s="58" t="s">
        <v>122</v>
      </c>
      <c r="B13" s="50">
        <v>24</v>
      </c>
      <c r="C13" s="44">
        <f>IF(B$3=0,0,B13/B$3)</f>
        <v>0.23076923076923078</v>
      </c>
      <c r="E13" s="63" t="s">
        <v>66</v>
      </c>
      <c r="F13" s="60" t="s">
        <v>22</v>
      </c>
      <c r="G13" s="47">
        <v>1</v>
      </c>
      <c r="H13" s="133">
        <f>IF(B$17=0,0,G13/B$17)</f>
        <v>3.5714285714285712E-2</v>
      </c>
      <c r="I13" s="94">
        <v>10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</v>
      </c>
      <c r="C14" s="39">
        <f>IF(B$3=0,0,B14/B$3)</f>
        <v>0.19230769230769232</v>
      </c>
      <c r="E14" s="63" t="s">
        <v>72</v>
      </c>
      <c r="F14" s="60" t="s">
        <v>27</v>
      </c>
      <c r="G14" s="47">
        <v>1</v>
      </c>
      <c r="H14" s="133">
        <f>IF(B$17=0,0,G14/B$17)</f>
        <v>3.5714285714285712E-2</v>
      </c>
      <c r="I14" s="94">
        <v>10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15</v>
      </c>
      <c r="C15" s="37">
        <f>IF(B$13=0,0,B15/B$13)</f>
        <v>0.625</v>
      </c>
      <c r="E15" s="63" t="s">
        <v>74</v>
      </c>
      <c r="F15" s="60" t="s">
        <v>29</v>
      </c>
      <c r="G15" s="47">
        <v>1</v>
      </c>
      <c r="H15" s="133">
        <f>IF(B$17=0,0,G15/B$17)</f>
        <v>3.5714285714285712E-2</v>
      </c>
      <c r="I15" s="94">
        <v>1</v>
      </c>
      <c r="N15" s="114" t="s">
        <v>129</v>
      </c>
      <c r="O15" s="124">
        <f>IF(P15=0,0,Q15/P15)</f>
        <v>54.85</v>
      </c>
      <c r="P15" s="118">
        <v>2</v>
      </c>
      <c r="Q15" s="106">
        <v>109.7</v>
      </c>
    </row>
    <row r="16" spans="1:17" x14ac:dyDescent="0.4">
      <c r="A16" s="54" t="s">
        <v>125</v>
      </c>
      <c r="B16" s="46">
        <v>9</v>
      </c>
      <c r="C16" s="37">
        <f>IF(B$14=0,0,B16/B$14)</f>
        <v>0.45</v>
      </c>
      <c r="E16" s="63" t="s">
        <v>76</v>
      </c>
      <c r="F16" s="60" t="s">
        <v>31</v>
      </c>
      <c r="G16" s="47">
        <v>1</v>
      </c>
      <c r="H16" s="133">
        <f>IF(B$17=0,0,G16/B$17)</f>
        <v>3.5714285714285712E-2</v>
      </c>
      <c r="I16" s="94">
        <v>1</v>
      </c>
      <c r="N16" s="115" t="s">
        <v>127</v>
      </c>
      <c r="O16" s="125">
        <f>IF(P16=0,0,Q16/P16)</f>
        <v>-15.425000000000002</v>
      </c>
      <c r="P16" s="119">
        <v>8</v>
      </c>
      <c r="Q16" s="107">
        <v>-123.40000000000002</v>
      </c>
    </row>
    <row r="17" spans="1:17" x14ac:dyDescent="0.4">
      <c r="A17" s="54" t="s">
        <v>10</v>
      </c>
      <c r="B17" s="46">
        <f>B19+B18</f>
        <v>28</v>
      </c>
      <c r="C17" s="37">
        <f>IF(B$3=0,0,B17/B$3)</f>
        <v>0.26923076923076922</v>
      </c>
      <c r="E17" s="63" t="s">
        <v>82</v>
      </c>
      <c r="F17" s="60" t="s">
        <v>37</v>
      </c>
      <c r="G17" s="47">
        <v>1</v>
      </c>
      <c r="H17" s="133">
        <f>IF(B$17=0,0,G17/B$17)</f>
        <v>3.5714285714285712E-2</v>
      </c>
      <c r="I17" s="94">
        <v>4</v>
      </c>
      <c r="N17" s="115" t="s">
        <v>177</v>
      </c>
      <c r="O17" s="125">
        <f>IF(P17=0,0,Q17/P17)</f>
        <v>-15.833333333333337</v>
      </c>
      <c r="P17" s="119">
        <v>3</v>
      </c>
      <c r="Q17" s="107">
        <v>-47.500000000000014</v>
      </c>
    </row>
    <row r="18" spans="1:17" x14ac:dyDescent="0.4">
      <c r="A18" s="55" t="s">
        <v>12</v>
      </c>
      <c r="B18" s="47">
        <v>14</v>
      </c>
      <c r="C18" s="39">
        <f>IF(B$17=0,0,B18/B$17)</f>
        <v>0.5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5</v>
      </c>
      <c r="N18" s="115" t="s">
        <v>172</v>
      </c>
      <c r="O18" s="125">
        <f>IF(P18=0,0,Q18/P18)</f>
        <v>-17.350000000000001</v>
      </c>
      <c r="P18" s="119">
        <v>2</v>
      </c>
      <c r="Q18" s="107">
        <v>-34.700000000000003</v>
      </c>
    </row>
    <row r="19" spans="1:17" x14ac:dyDescent="0.4">
      <c r="A19" s="55" t="s">
        <v>11</v>
      </c>
      <c r="B19" s="47">
        <v>14</v>
      </c>
      <c r="C19" s="39">
        <f>IF(B$17=0,0,B19/B$17)</f>
        <v>0.5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3</v>
      </c>
      <c r="N19" s="115" t="s">
        <v>128</v>
      </c>
      <c r="O19" s="125">
        <f>IF(P19=0,0,Q19/P19)</f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24</v>
      </c>
      <c r="C20" s="39">
        <f>IF(B$3=0,0,B20/B$3)</f>
        <v>0.23076923076923078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5</v>
      </c>
      <c r="N20" s="115" t="s">
        <v>171</v>
      </c>
      <c r="O20" s="125">
        <f>IF(P20=0,0,Q20/P20)</f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11</v>
      </c>
      <c r="N21" s="115" t="s">
        <v>185</v>
      </c>
      <c r="O21" s="125">
        <f>IF(P21=0,0,Q21/P21)</f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13</v>
      </c>
      <c r="C22" s="135">
        <v>13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7700</v>
      </c>
      <c r="C23" s="41">
        <v>215600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-7700</v>
      </c>
      <c r="C24" s="45">
        <v>-184800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4</v>
      </c>
    </row>
    <row r="25" spans="1:17" x14ac:dyDescent="0.4">
      <c r="A25" s="90" t="s">
        <v>142</v>
      </c>
      <c r="B25" s="140">
        <v>6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4</v>
      </c>
    </row>
    <row r="26" spans="1:17" x14ac:dyDescent="0.4">
      <c r="A26" s="58" t="s">
        <v>152</v>
      </c>
      <c r="B26" s="138">
        <v>62700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11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6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8C706-1C7C-413D-B9C6-B784A759C9D4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</v>
      </c>
      <c r="C2" s="147"/>
      <c r="E2" s="62" t="s">
        <v>73</v>
      </c>
      <c r="F2" s="59" t="s">
        <v>28</v>
      </c>
      <c r="G2" s="46">
        <v>13</v>
      </c>
      <c r="H2" s="132">
        <f>IF(B$17=0,0,G2/B$17)</f>
        <v>0.61904761904761907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-2071.4285714285716</v>
      </c>
      <c r="P2" s="118">
        <v>7</v>
      </c>
      <c r="Q2" s="102">
        <v>-14500</v>
      </c>
    </row>
    <row r="3" spans="1:17" x14ac:dyDescent="0.4">
      <c r="A3" s="55" t="s">
        <v>8</v>
      </c>
      <c r="B3" s="148">
        <v>69</v>
      </c>
      <c r="C3" s="149"/>
      <c r="E3" s="63" t="s">
        <v>65</v>
      </c>
      <c r="F3" s="60" t="s">
        <v>21</v>
      </c>
      <c r="G3" s="47">
        <v>12</v>
      </c>
      <c r="H3" s="133">
        <f>IF(B$17=0,0,G3/B$17)</f>
        <v>0.5714285714285714</v>
      </c>
      <c r="I3" s="94">
        <v>4</v>
      </c>
      <c r="K3" s="38">
        <v>1</v>
      </c>
      <c r="L3" s="99">
        <v>-12.5</v>
      </c>
      <c r="N3" s="115" t="s">
        <v>133</v>
      </c>
      <c r="O3" s="122">
        <f t="shared" si="0"/>
        <v>2828.5714285714284</v>
      </c>
      <c r="P3" s="119">
        <v>7</v>
      </c>
      <c r="Q3" s="103">
        <v>19800</v>
      </c>
    </row>
    <row r="4" spans="1:17" x14ac:dyDescent="0.4">
      <c r="A4" s="55" t="s">
        <v>6</v>
      </c>
      <c r="B4" s="150">
        <v>-25.300000000000004</v>
      </c>
      <c r="C4" s="151"/>
      <c r="E4" s="63" t="s">
        <v>67</v>
      </c>
      <c r="F4" s="60" t="s">
        <v>23</v>
      </c>
      <c r="G4" s="47">
        <v>11</v>
      </c>
      <c r="H4" s="133">
        <f>IF(B$17=0,0,G4/B$17)</f>
        <v>0.52380952380952384</v>
      </c>
      <c r="I4" s="94">
        <v>11</v>
      </c>
      <c r="K4" s="38">
        <v>2</v>
      </c>
      <c r="L4" s="99">
        <v>-28.1</v>
      </c>
      <c r="N4" s="115" t="s">
        <v>134</v>
      </c>
      <c r="O4" s="122">
        <f t="shared" si="0"/>
        <v>-6371.4285714285716</v>
      </c>
      <c r="P4" s="119">
        <v>7</v>
      </c>
      <c r="Q4" s="103">
        <v>-44600</v>
      </c>
    </row>
    <row r="5" spans="1:17" x14ac:dyDescent="0.4">
      <c r="A5" s="55" t="s">
        <v>7</v>
      </c>
      <c r="B5" s="152">
        <f>IF(B$2=0,0,B$4/B$2)</f>
        <v>-3.6142857142857148</v>
      </c>
      <c r="C5" s="153"/>
      <c r="E5" s="63" t="s">
        <v>68</v>
      </c>
      <c r="F5" s="60" t="s">
        <v>24</v>
      </c>
      <c r="G5" s="47">
        <v>8</v>
      </c>
      <c r="H5" s="133">
        <f>IF(B$17=0,0,G5/B$17)</f>
        <v>0.38095238095238093</v>
      </c>
      <c r="I5" s="94">
        <v>5</v>
      </c>
      <c r="K5" s="38">
        <v>3</v>
      </c>
      <c r="L5" s="99">
        <v>-20.400000000000002</v>
      </c>
      <c r="N5" s="115" t="s">
        <v>135</v>
      </c>
      <c r="O5" s="122">
        <f t="shared" si="0"/>
        <v>-2471.4285714285716</v>
      </c>
      <c r="P5" s="119">
        <v>7</v>
      </c>
      <c r="Q5" s="103">
        <v>-17300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8</v>
      </c>
      <c r="H6" s="133">
        <f>IF(B$17=0,0,G6/B$17)</f>
        <v>0.38095238095238093</v>
      </c>
      <c r="I6" s="94">
        <v>5</v>
      </c>
      <c r="K6" s="38">
        <v>4</v>
      </c>
      <c r="L6" s="99">
        <v>19.399999999999995</v>
      </c>
      <c r="N6" s="115" t="s">
        <v>136</v>
      </c>
      <c r="O6" s="122">
        <f t="shared" si="0"/>
        <v>4240</v>
      </c>
      <c r="P6" s="119">
        <v>5</v>
      </c>
      <c r="Q6" s="103">
        <v>21200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181</v>
      </c>
      <c r="F7" s="60" t="s">
        <v>182</v>
      </c>
      <c r="G7" s="47">
        <v>7</v>
      </c>
      <c r="H7" s="133">
        <f>IF(B$17=0,0,G7/B$17)</f>
        <v>0.33333333333333331</v>
      </c>
      <c r="I7" s="94">
        <v>10</v>
      </c>
      <c r="K7" s="38">
        <v>5</v>
      </c>
      <c r="L7" s="99">
        <v>-16.100000000000005</v>
      </c>
      <c r="N7" s="116" t="s">
        <v>137</v>
      </c>
      <c r="O7" s="123">
        <f t="shared" si="0"/>
        <v>2020</v>
      </c>
      <c r="P7" s="120">
        <v>5</v>
      </c>
      <c r="Q7" s="104">
        <v>10100</v>
      </c>
    </row>
    <row r="8" spans="1:17" x14ac:dyDescent="0.4">
      <c r="A8" s="55" t="s">
        <v>3</v>
      </c>
      <c r="B8" s="47">
        <v>5</v>
      </c>
      <c r="C8" s="39">
        <f>IF(B$2=0,0,B8/B$2)</f>
        <v>0.7142857142857143</v>
      </c>
      <c r="E8" s="63" t="s">
        <v>70</v>
      </c>
      <c r="F8" s="60" t="s">
        <v>25</v>
      </c>
      <c r="G8" s="47">
        <v>5</v>
      </c>
      <c r="H8" s="133">
        <f>IF(B$17=0,0,G8/B$17)</f>
        <v>0.23809523809523808</v>
      </c>
      <c r="I8" s="94">
        <v>1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0.14285714285714285</v>
      </c>
      <c r="E9" s="63" t="s">
        <v>90</v>
      </c>
      <c r="F9" s="60" t="s">
        <v>45</v>
      </c>
      <c r="G9" s="47">
        <v>4</v>
      </c>
      <c r="H9" s="133">
        <f>IF(B$17=0,0,G9/B$17)</f>
        <v>0.19047619047619047</v>
      </c>
      <c r="I9" s="94">
        <v>3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79</v>
      </c>
      <c r="F10" s="60" t="s">
        <v>34</v>
      </c>
      <c r="G10" s="47">
        <v>2</v>
      </c>
      <c r="H10" s="133">
        <f>IF(B$17=0,0,G10/B$17)</f>
        <v>9.5238095238095233E-2</v>
      </c>
      <c r="I10" s="94">
        <v>2</v>
      </c>
      <c r="N10" s="114" t="s">
        <v>164</v>
      </c>
      <c r="O10" s="124">
        <f>IF(P10=0,0,Q10/P10)</f>
        <v>-12.3</v>
      </c>
      <c r="P10" s="118">
        <v>2</v>
      </c>
      <c r="Q10" s="106">
        <v>-24.6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2</v>
      </c>
      <c r="H11" s="133">
        <f>IF(B$17=0,0,G11/B$17)</f>
        <v>9.5238095238095233E-2</v>
      </c>
      <c r="I11" s="94">
        <v>2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1</v>
      </c>
      <c r="H12" s="133">
        <f>IF(B$17=0,0,G12/B$17)</f>
        <v>4.7619047619047616E-2</v>
      </c>
      <c r="I12" s="94">
        <v>9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17</v>
      </c>
      <c r="C13" s="44">
        <f>IF(B$3=0,0,B13/B$3)</f>
        <v>0.24637681159420291</v>
      </c>
      <c r="E13" s="63" t="s">
        <v>84</v>
      </c>
      <c r="F13" s="60" t="s">
        <v>39</v>
      </c>
      <c r="G13" s="47">
        <v>1</v>
      </c>
      <c r="H13" s="133">
        <f>IF(B$17=0,0,G13/B$17)</f>
        <v>4.7619047619047616E-2</v>
      </c>
      <c r="I13" s="94">
        <v>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0.27536231884057971</v>
      </c>
      <c r="E14" s="63" t="s">
        <v>71</v>
      </c>
      <c r="F14" s="60" t="s">
        <v>26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</v>
      </c>
      <c r="C15" s="37">
        <f>IF(B$13=0,0,B15/B$13)</f>
        <v>0.70588235294117652</v>
      </c>
      <c r="E15" s="63" t="s">
        <v>72</v>
      </c>
      <c r="F15" s="60" t="s">
        <v>27</v>
      </c>
      <c r="G15" s="47">
        <v>0</v>
      </c>
      <c r="H15" s="133">
        <f>IF(B$17=0,0,G15/B$17)</f>
        <v>0</v>
      </c>
      <c r="I15" s="94">
        <v>11</v>
      </c>
      <c r="N15" s="114" t="s">
        <v>173</v>
      </c>
      <c r="O15" s="124">
        <f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8</v>
      </c>
      <c r="C16" s="37">
        <f>IF(B$14=0,0,B16/B$14)</f>
        <v>0.42105263157894735</v>
      </c>
      <c r="E16" s="63" t="s">
        <v>74</v>
      </c>
      <c r="F16" s="60" t="s">
        <v>29</v>
      </c>
      <c r="G16" s="47">
        <v>0</v>
      </c>
      <c r="H16" s="133">
        <f>IF(B$17=0,0,G16/B$17)</f>
        <v>0</v>
      </c>
      <c r="I16" s="94">
        <v>7</v>
      </c>
      <c r="N16" s="115" t="s">
        <v>127</v>
      </c>
      <c r="O16" s="125">
        <f>IF(P16=0,0,Q16/P16)</f>
        <v>13.45</v>
      </c>
      <c r="P16" s="119">
        <v>2</v>
      </c>
      <c r="Q16" s="107">
        <v>26.9</v>
      </c>
    </row>
    <row r="17" spans="1:17" x14ac:dyDescent="0.4">
      <c r="A17" s="54" t="s">
        <v>10</v>
      </c>
      <c r="B17" s="46">
        <f>B19+B18</f>
        <v>21</v>
      </c>
      <c r="C17" s="37">
        <f>IF(B$3=0,0,B17/B$3)</f>
        <v>0.30434782608695654</v>
      </c>
      <c r="E17" s="63" t="s">
        <v>75</v>
      </c>
      <c r="F17" s="60" t="s">
        <v>30</v>
      </c>
      <c r="G17" s="47">
        <v>0</v>
      </c>
      <c r="H17" s="133">
        <f>IF(B$17=0,0,G17/B$17)</f>
        <v>0</v>
      </c>
      <c r="I17" s="94">
        <v>5</v>
      </c>
      <c r="N17" s="115" t="s">
        <v>171</v>
      </c>
      <c r="O17" s="125">
        <f>IF(P17=0,0,Q17/P17)</f>
        <v>9</v>
      </c>
      <c r="P17" s="119">
        <v>3</v>
      </c>
      <c r="Q17" s="107">
        <v>27</v>
      </c>
    </row>
    <row r="18" spans="1:17" x14ac:dyDescent="0.4">
      <c r="A18" s="55" t="s">
        <v>12</v>
      </c>
      <c r="B18" s="47">
        <v>12</v>
      </c>
      <c r="C18" s="39">
        <f>IF(B$17=0,0,B18/B$17)</f>
        <v>0.5714285714285714</v>
      </c>
      <c r="E18" s="63" t="s">
        <v>76</v>
      </c>
      <c r="F18" s="60" t="s">
        <v>31</v>
      </c>
      <c r="G18" s="47">
        <v>0</v>
      </c>
      <c r="H18" s="133">
        <f>IF(B$17=0,0,G18/B$17)</f>
        <v>0</v>
      </c>
      <c r="I18" s="94">
        <v>8</v>
      </c>
      <c r="N18" s="115" t="s">
        <v>128</v>
      </c>
      <c r="O18" s="125">
        <f>IF(P18=0,0,Q18/P18)</f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0.42857142857142855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3</v>
      </c>
      <c r="N19" s="115" t="s">
        <v>172</v>
      </c>
      <c r="O19" s="125">
        <f>IF(P19=0,0,Q19/P19)</f>
        <v>-16.450000000000006</v>
      </c>
      <c r="P19" s="119">
        <v>4</v>
      </c>
      <c r="Q19" s="107">
        <v>-65.800000000000026</v>
      </c>
    </row>
    <row r="20" spans="1:17" x14ac:dyDescent="0.4">
      <c r="A20" s="55" t="s">
        <v>13</v>
      </c>
      <c r="B20" s="47">
        <v>12</v>
      </c>
      <c r="C20" s="39">
        <f>IF(B$3=0,0,B20/B$3)</f>
        <v>0.17391304347826086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5</v>
      </c>
      <c r="N20" s="115" t="s">
        <v>177</v>
      </c>
      <c r="O20" s="125">
        <f>IF(P20=0,0,Q20/P20)</f>
        <v>-59.05</v>
      </c>
      <c r="P20" s="119">
        <v>2</v>
      </c>
      <c r="Q20" s="107">
        <v>-118.1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80</v>
      </c>
      <c r="F21" s="60" t="s">
        <v>35</v>
      </c>
      <c r="G21" s="47">
        <v>0</v>
      </c>
      <c r="H21" s="133">
        <f>IF(B$17=0,0,G21/B$17)</f>
        <v>0</v>
      </c>
      <c r="I21" s="94">
        <v>10</v>
      </c>
    </row>
    <row r="22" spans="1:17" x14ac:dyDescent="0.4">
      <c r="A22" s="55" t="s">
        <v>194</v>
      </c>
      <c r="B22" s="47">
        <v>12</v>
      </c>
      <c r="C22" s="135">
        <v>4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7438.0952380952385</v>
      </c>
      <c r="C23" s="41">
        <v>156200</v>
      </c>
      <c r="E23" s="63" t="s">
        <v>82</v>
      </c>
      <c r="F23" s="60" t="s">
        <v>37</v>
      </c>
      <c r="G23" s="47">
        <v>0</v>
      </c>
      <c r="H23" s="133">
        <f>IF(B$17=0,0,G23/B$17)</f>
        <v>0</v>
      </c>
      <c r="I23" s="94">
        <v>10</v>
      </c>
    </row>
    <row r="24" spans="1:17" x14ac:dyDescent="0.4">
      <c r="A24" s="57" t="s">
        <v>14</v>
      </c>
      <c r="B24" s="52">
        <f>IF(B$20=0,0,C24/B$20)</f>
        <v>-6683.333333333333</v>
      </c>
      <c r="C24" s="45">
        <v>-80200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142</v>
      </c>
      <c r="B25" s="140">
        <v>4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4</v>
      </c>
    </row>
    <row r="26" spans="1:17" x14ac:dyDescent="0.4">
      <c r="A26" s="58" t="s">
        <v>152</v>
      </c>
      <c r="B26" s="138">
        <v>54800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6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6F37D-D9F8-47CC-B8D0-BC650C4DDBCD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67</v>
      </c>
      <c r="F2" s="59" t="s">
        <v>23</v>
      </c>
      <c r="G2" s="46">
        <v>3</v>
      </c>
      <c r="H2" s="132">
        <f>IF(B$17=0,0,G2/B$17)</f>
        <v>1.5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65</v>
      </c>
      <c r="F3" s="60" t="s">
        <v>21</v>
      </c>
      <c r="G3" s="47">
        <v>1</v>
      </c>
      <c r="H3" s="133">
        <f>IF(B$17=0,0,G3/B$17)</f>
        <v>0.5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68</v>
      </c>
      <c r="F4" s="60" t="s">
        <v>24</v>
      </c>
      <c r="G4" s="47">
        <v>1</v>
      </c>
      <c r="H4" s="133">
        <f>IF(B$17=0,0,G4/B$17)</f>
        <v>0.5</v>
      </c>
      <c r="I4" s="94">
        <v>2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69</v>
      </c>
      <c r="F5" s="60" t="s">
        <v>12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82</v>
      </c>
      <c r="F6" s="60" t="s">
        <v>37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181</v>
      </c>
      <c r="F7" s="60" t="s">
        <v>182</v>
      </c>
      <c r="G7" s="47">
        <v>1</v>
      </c>
      <c r="H7" s="133">
        <f>IF(B$17=0,0,G7/B$17)</f>
        <v>0.5</v>
      </c>
      <c r="I7" s="94">
        <v>1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66</v>
      </c>
      <c r="F8" s="60" t="s">
        <v>22</v>
      </c>
      <c r="G8" s="47">
        <v>0</v>
      </c>
      <c r="H8" s="133">
        <f>IF(B$17=0,0,G8/B$17)</f>
        <v>0</v>
      </c>
      <c r="I8" s="94">
        <v>11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0</v>
      </c>
      <c r="H9" s="133">
        <f>IF(B$17=0,0,G9/B$17)</f>
        <v>0</v>
      </c>
      <c r="I9" s="94">
        <v>12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71</v>
      </c>
      <c r="F10" s="60" t="s">
        <v>26</v>
      </c>
      <c r="G10" s="47">
        <v>0</v>
      </c>
      <c r="H10" s="133">
        <f>IF(B$17=0,0,G10/B$17)</f>
        <v>0</v>
      </c>
      <c r="I10" s="94">
        <v>10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72</v>
      </c>
      <c r="F11" s="60" t="s">
        <v>27</v>
      </c>
      <c r="G11" s="47">
        <v>0</v>
      </c>
      <c r="H11" s="133">
        <f>IF(B$17=0,0,G11/B$17)</f>
        <v>0</v>
      </c>
      <c r="I11" s="94">
        <v>11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73</v>
      </c>
      <c r="F12" s="60" t="s">
        <v>28</v>
      </c>
      <c r="G12" s="47">
        <v>0</v>
      </c>
      <c r="H12" s="133">
        <f>IF(B$17=0,0,G12/B$17)</f>
        <v>0</v>
      </c>
      <c r="I12" s="94">
        <v>13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74</v>
      </c>
      <c r="F13" s="60" t="s">
        <v>29</v>
      </c>
      <c r="G13" s="47">
        <v>0</v>
      </c>
      <c r="H13" s="133">
        <f>IF(B$17=0,0,G13/B$17)</f>
        <v>0</v>
      </c>
      <c r="I13" s="94">
        <v>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75</v>
      </c>
      <c r="F14" s="60" t="s">
        <v>30</v>
      </c>
      <c r="G14" s="47">
        <v>0</v>
      </c>
      <c r="H14" s="133">
        <f>IF(B$17=0,0,G14/B$17)</f>
        <v>0</v>
      </c>
      <c r="I14" s="94">
        <v>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76</v>
      </c>
      <c r="F15" s="60" t="s">
        <v>31</v>
      </c>
      <c r="G15" s="47">
        <v>0</v>
      </c>
      <c r="H15" s="133">
        <f>IF(B$17=0,0,G15/B$17)</f>
        <v>0</v>
      </c>
      <c r="I15" s="94">
        <v>8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77</v>
      </c>
      <c r="F16" s="60" t="s">
        <v>32</v>
      </c>
      <c r="G16" s="47">
        <v>0</v>
      </c>
      <c r="H16" s="133">
        <f>IF(B$17=0,0,G16/B$17)</f>
        <v>0</v>
      </c>
      <c r="I16" s="94">
        <v>3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78</v>
      </c>
      <c r="F17" s="60" t="s">
        <v>33</v>
      </c>
      <c r="G17" s="47">
        <v>0</v>
      </c>
      <c r="H17" s="133">
        <f>IF(B$17=0,0,G17/B$17)</f>
        <v>0</v>
      </c>
      <c r="I17" s="94">
        <v>5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79</v>
      </c>
      <c r="F18" s="60" t="s">
        <v>34</v>
      </c>
      <c r="G18" s="47">
        <v>0</v>
      </c>
      <c r="H18" s="133">
        <f>IF(B$17=0,0,G18/B$17)</f>
        <v>0</v>
      </c>
      <c r="I18" s="94">
        <v>11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10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83</v>
      </c>
      <c r="F21" s="60" t="s">
        <v>38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84</v>
      </c>
      <c r="F22" s="60" t="s">
        <v>39</v>
      </c>
      <c r="G22" s="47">
        <v>0</v>
      </c>
      <c r="H22" s="133">
        <f>IF(B$17=0,0,G22/B$17)</f>
        <v>0</v>
      </c>
      <c r="I22" s="94">
        <v>11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86</v>
      </c>
      <c r="F24" s="60" t="s">
        <v>41</v>
      </c>
      <c r="G24" s="47">
        <v>0</v>
      </c>
      <c r="H24" s="133">
        <f>IF(B$17=0,0,G24/B$17)</f>
        <v>0</v>
      </c>
      <c r="I24" s="94">
        <v>4</v>
      </c>
    </row>
    <row r="25" spans="1:9" x14ac:dyDescent="0.4">
      <c r="A25" s="90" t="s">
        <v>142</v>
      </c>
      <c r="B25" s="140">
        <v>5</v>
      </c>
      <c r="C25" s="141"/>
      <c r="E25" s="63" t="s">
        <v>87</v>
      </c>
      <c r="F25" s="60" t="s">
        <v>42</v>
      </c>
      <c r="G25" s="47">
        <v>0</v>
      </c>
      <c r="H25" s="133">
        <f>IF(B$17=0,0,G25/B$17)</f>
        <v>0</v>
      </c>
      <c r="I25" s="94">
        <v>11</v>
      </c>
    </row>
    <row r="26" spans="1:9" x14ac:dyDescent="0.4">
      <c r="A26" s="58" t="s">
        <v>152</v>
      </c>
      <c r="B26" s="138">
        <v>48300</v>
      </c>
      <c r="C26" s="139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6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4</v>
      </c>
    </row>
    <row r="28" spans="1:9" x14ac:dyDescent="0.4">
      <c r="E28" s="63" t="s">
        <v>90</v>
      </c>
      <c r="F28" s="60" t="s">
        <v>45</v>
      </c>
      <c r="G28" s="47">
        <v>0</v>
      </c>
      <c r="H28" s="133">
        <f>IF(B$17=0,0,G28/B$17)</f>
        <v>0</v>
      </c>
      <c r="I28" s="94">
        <v>13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45BE1-C9A4-4E9F-A75F-134633C90F18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2000</v>
      </c>
      <c r="P2" s="118">
        <v>1</v>
      </c>
      <c r="Q2" s="102">
        <v>2000</v>
      </c>
    </row>
    <row r="3" spans="1:17" x14ac:dyDescent="0.4">
      <c r="A3" s="55" t="s">
        <v>8</v>
      </c>
      <c r="B3" s="148">
        <v>8</v>
      </c>
      <c r="C3" s="149"/>
      <c r="E3" s="63" t="s">
        <v>68</v>
      </c>
      <c r="F3" s="60" t="s">
        <v>24</v>
      </c>
      <c r="G3" s="47">
        <v>3</v>
      </c>
      <c r="H3" s="133">
        <f>IF(B$17=0,0,G3/B$17)</f>
        <v>1</v>
      </c>
      <c r="I3" s="94">
        <v>1</v>
      </c>
      <c r="K3" s="38">
        <v>1</v>
      </c>
      <c r="L3" s="99">
        <v>-37</v>
      </c>
      <c r="N3" s="115" t="s">
        <v>133</v>
      </c>
      <c r="O3" s="122">
        <f t="shared" si="0"/>
        <v>-8000</v>
      </c>
      <c r="P3" s="119">
        <v>1</v>
      </c>
      <c r="Q3" s="103">
        <v>-8000</v>
      </c>
    </row>
    <row r="4" spans="1:17" x14ac:dyDescent="0.4">
      <c r="A4" s="55" t="s">
        <v>6</v>
      </c>
      <c r="B4" s="150">
        <v>-37</v>
      </c>
      <c r="C4" s="151"/>
      <c r="E4" s="63" t="s">
        <v>69</v>
      </c>
      <c r="F4" s="60" t="s">
        <v>12</v>
      </c>
      <c r="G4" s="47">
        <v>2</v>
      </c>
      <c r="H4" s="133">
        <f>IF(B$17=0,0,G4/B$17)</f>
        <v>0.66666666666666663</v>
      </c>
      <c r="I4" s="94">
        <v>1</v>
      </c>
      <c r="N4" s="115" t="s">
        <v>134</v>
      </c>
      <c r="O4" s="122">
        <f t="shared" si="0"/>
        <v>-9000</v>
      </c>
      <c r="P4" s="119">
        <v>1</v>
      </c>
      <c r="Q4" s="103">
        <v>-9000</v>
      </c>
    </row>
    <row r="5" spans="1:17" x14ac:dyDescent="0.4">
      <c r="A5" s="55" t="s">
        <v>7</v>
      </c>
      <c r="B5" s="152">
        <f>IF(B$2=0,0,B$4/B$2)</f>
        <v>-37</v>
      </c>
      <c r="C5" s="153"/>
      <c r="E5" s="63" t="s">
        <v>73</v>
      </c>
      <c r="F5" s="60" t="s">
        <v>28</v>
      </c>
      <c r="G5" s="47">
        <v>1</v>
      </c>
      <c r="H5" s="133">
        <f>IF(B$17=0,0,G5/B$17)</f>
        <v>0.33333333333333331</v>
      </c>
      <c r="I5" s="94">
        <v>11</v>
      </c>
      <c r="N5" s="115" t="s">
        <v>135</v>
      </c>
      <c r="O5" s="122">
        <f t="shared" si="0"/>
        <v>-2000</v>
      </c>
      <c r="P5" s="119">
        <v>1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3</v>
      </c>
      <c r="C6" s="143"/>
      <c r="E6" s="63" t="s">
        <v>79</v>
      </c>
      <c r="F6" s="60" t="s">
        <v>34</v>
      </c>
      <c r="G6" s="47">
        <v>1</v>
      </c>
      <c r="H6" s="133">
        <f>IF(B$17=0,0,G6/B$17)</f>
        <v>0.33333333333333331</v>
      </c>
      <c r="I6" s="94">
        <v>1</v>
      </c>
      <c r="N6" s="115" t="s">
        <v>136</v>
      </c>
      <c r="O6" s="122">
        <f t="shared" si="0"/>
        <v>-16000</v>
      </c>
      <c r="P6" s="119">
        <v>1</v>
      </c>
      <c r="Q6" s="103">
        <v>-16000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90</v>
      </c>
      <c r="F7" s="60" t="s">
        <v>45</v>
      </c>
      <c r="G7" s="47">
        <v>1</v>
      </c>
      <c r="H7" s="133">
        <f>IF(B$17=0,0,G7/B$17)</f>
        <v>0.33333333333333331</v>
      </c>
      <c r="I7" s="94">
        <v>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181</v>
      </c>
      <c r="F8" s="60" t="s">
        <v>182</v>
      </c>
      <c r="G8" s="47">
        <v>1</v>
      </c>
      <c r="H8" s="133">
        <f>IF(B$17=0,0,G8/B$17)</f>
        <v>0.33333333333333331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1</v>
      </c>
      <c r="E9" s="63" t="s">
        <v>66</v>
      </c>
      <c r="F9" s="60" t="s">
        <v>22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67</v>
      </c>
      <c r="F10" s="60" t="s">
        <v>23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70</v>
      </c>
      <c r="F11" s="60" t="s">
        <v>25</v>
      </c>
      <c r="G11" s="47">
        <v>0</v>
      </c>
      <c r="H11" s="133">
        <f>IF(B$17=0,0,G11/B$17)</f>
        <v>0</v>
      </c>
      <c r="I11" s="94">
        <v>12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71</v>
      </c>
      <c r="F12" s="60" t="s">
        <v>26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0.375</v>
      </c>
      <c r="E13" s="63" t="s">
        <v>72</v>
      </c>
      <c r="F13" s="60" t="s">
        <v>27</v>
      </c>
      <c r="G13" s="47">
        <v>0</v>
      </c>
      <c r="H13" s="133">
        <f>IF(B$17=0,0,G13/B$17)</f>
        <v>0</v>
      </c>
      <c r="I13" s="94">
        <v>11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0.125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5</v>
      </c>
      <c r="N15" s="114" t="s">
        <v>172</v>
      </c>
      <c r="O15" s="124">
        <f>IF(P15=0,0,Q15/P15)</f>
        <v>-30.3</v>
      </c>
      <c r="P15" s="118">
        <v>1</v>
      </c>
      <c r="Q15" s="106">
        <v>-30.3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8</v>
      </c>
      <c r="N16" s="115" t="s">
        <v>129</v>
      </c>
      <c r="O16" s="125">
        <f>IF(P16=0,0,Q16/P16)</f>
        <v>-80.7</v>
      </c>
      <c r="P16" s="119">
        <v>1</v>
      </c>
      <c r="Q16" s="107">
        <v>-80.7</v>
      </c>
    </row>
    <row r="17" spans="1:9" x14ac:dyDescent="0.4">
      <c r="A17" s="54" t="s">
        <v>10</v>
      </c>
      <c r="B17" s="46">
        <f>B19+B18</f>
        <v>3</v>
      </c>
      <c r="C17" s="37">
        <f>IF(B$3=0,0,B17/B$3)</f>
        <v>0.375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3</v>
      </c>
    </row>
    <row r="18" spans="1:9" x14ac:dyDescent="0.4">
      <c r="A18" s="55" t="s">
        <v>12</v>
      </c>
      <c r="B18" s="47">
        <v>2</v>
      </c>
      <c r="C18" s="39">
        <f>IF(B$17=0,0,B18/B$17)</f>
        <v>0.66666666666666663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5</v>
      </c>
    </row>
    <row r="19" spans="1:9" x14ac:dyDescent="0.4">
      <c r="A19" s="55" t="s">
        <v>11</v>
      </c>
      <c r="B19" s="47">
        <v>1</v>
      </c>
      <c r="C19" s="39">
        <f>IF(B$17=0,0,B19/B$17)</f>
        <v>0.33333333333333331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10</v>
      </c>
    </row>
    <row r="20" spans="1:9" x14ac:dyDescent="0.4">
      <c r="A20" s="55" t="s">
        <v>13</v>
      </c>
      <c r="B20" s="47">
        <v>3</v>
      </c>
      <c r="C20" s="39">
        <f>IF(B$3=0,0,B20/B$3)</f>
        <v>0.375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82</v>
      </c>
      <c r="F21" s="60" t="s">
        <v>37</v>
      </c>
      <c r="G21" s="47">
        <v>0</v>
      </c>
      <c r="H21" s="133">
        <f>IF(B$17=0,0,G21/B$17)</f>
        <v>0</v>
      </c>
      <c r="I21" s="94">
        <v>10</v>
      </c>
    </row>
    <row r="22" spans="1:9" x14ac:dyDescent="0.4">
      <c r="A22" s="55" t="s">
        <v>194</v>
      </c>
      <c r="B22" s="47">
        <v>2</v>
      </c>
      <c r="C22" s="135">
        <v>1</v>
      </c>
      <c r="E22" s="63" t="s">
        <v>83</v>
      </c>
      <c r="F22" s="60" t="s">
        <v>38</v>
      </c>
      <c r="G22" s="47">
        <v>0</v>
      </c>
      <c r="H22" s="133">
        <f>IF(B$17=0,0,G22/B$17)</f>
        <v>0</v>
      </c>
      <c r="I22" s="94">
        <v>1</v>
      </c>
    </row>
    <row r="23" spans="1:9" x14ac:dyDescent="0.4">
      <c r="A23" s="55" t="s">
        <v>5</v>
      </c>
      <c r="B23" s="51">
        <f>IF(B$17=0,0,C23/B$17)</f>
        <v>8666.6666666666661</v>
      </c>
      <c r="C23" s="41">
        <v>26000</v>
      </c>
      <c r="E23" s="63" t="s">
        <v>84</v>
      </c>
      <c r="F23" s="60" t="s">
        <v>39</v>
      </c>
      <c r="G23" s="47">
        <v>0</v>
      </c>
      <c r="H23" s="133">
        <f>IF(B$17=0,0,G23/B$17)</f>
        <v>0</v>
      </c>
      <c r="I23" s="94">
        <v>11</v>
      </c>
    </row>
    <row r="24" spans="1:9" x14ac:dyDescent="0.4">
      <c r="A24" s="57" t="s">
        <v>14</v>
      </c>
      <c r="B24" s="52">
        <f>IF(B$20=0,0,C24/B$20)</f>
        <v>-14000</v>
      </c>
      <c r="C24" s="45">
        <v>-42000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4</v>
      </c>
    </row>
    <row r="25" spans="1:9" x14ac:dyDescent="0.4">
      <c r="A25" s="90" t="s">
        <v>142</v>
      </c>
      <c r="B25" s="140">
        <v>3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4</v>
      </c>
    </row>
    <row r="26" spans="1:9" x14ac:dyDescent="0.4">
      <c r="A26" s="58" t="s">
        <v>152</v>
      </c>
      <c r="B26" s="138">
        <v>18000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11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6</v>
      </c>
    </row>
    <row r="28" spans="1:9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3F8AC-8262-44B3-9AE3-E0312A7D8AE3}">
  <sheetPr codeName="Sheet3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E5ECA-FE31-42B7-A6AA-330BDF7B054C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A5E53-A8D5-4229-BDE2-640C9F698640}">
  <sheetPr codeName="Sheet26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51BF1-8E01-47FE-93DE-5584ACED148A}">
  <sheetPr codeName="Sheet24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7DAEF-E62A-438E-9080-B783F585F2A5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B4A07-7BE2-4AAB-B577-E70D4B5E735F}">
  <sheetPr codeName="Sheet20"/>
  <dimension ref="A1:Q3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5878A-B25D-4425-9C05-11A491EB8AB5}">
  <sheetPr codeName="Sheet18"/>
  <dimension ref="A1:Q4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ECD82-DC20-41BD-B965-3AE1ABB2A775}">
  <sheetPr codeName="Sheet16"/>
  <dimension ref="A1:Q5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E3DBE-63D0-4F73-987C-8C20CE03C447}">
  <sheetPr codeName="Sheet14"/>
  <dimension ref="A1:Q7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D9CB0-DBE4-4C60-B787-0A5D5571FE14}">
  <sheetPr codeName="Sheet12"/>
  <dimension ref="A1:Q6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AB689-E833-43BF-B765-75DF2E5AA9D7}">
  <sheetPr codeName="Sheet10"/>
  <dimension ref="A1:Q11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5AB07-FE4A-46FA-B05E-48F930D2E10E}">
  <sheetPr codeName="Sheet8"/>
  <dimension ref="A1:Q11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34997-FC59-4F2E-84A9-F10D02B45FA1}">
  <sheetPr codeName="Sheet6"/>
  <dimension ref="A1:Q17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2019-05-20T16:14:10Z</dcterms:modified>
</cp:coreProperties>
</file>