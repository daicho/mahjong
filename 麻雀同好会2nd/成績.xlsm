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C1FF74AF-C9DD-49F2-A792-9280E1B11DB8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479" r:id="rId6"/>
    <sheet name="だいち" sheetId="5481" r:id="rId7"/>
    <sheet name="りくと" sheetId="5483" r:id="rId8"/>
    <sheet name="ただ" sheetId="5485" r:id="rId9"/>
    <sheet name="れんたろう" sheetId="5487" r:id="rId10"/>
    <sheet name="たかの" sheetId="5489" r:id="rId11"/>
    <sheet name="ぱぱ" sheetId="5491" r:id="rId12"/>
    <sheet name="まっつん" sheetId="5493" r:id="rId13"/>
    <sheet name="あさひ" sheetId="5495" r:id="rId14"/>
    <sheet name="いっしー" sheetId="5497" r:id="rId15"/>
    <sheet name="ほたに" sheetId="5499" r:id="rId16"/>
    <sheet name="かわたつ" sheetId="5501" r:id="rId17"/>
    <sheet name="やがさき" sheetId="5503" r:id="rId18"/>
    <sheet name="やがさき2" sheetId="5504" state="hidden" r:id="rId19"/>
    <sheet name="かわたつ2" sheetId="5502" state="hidden" r:id="rId20"/>
    <sheet name="ほたに2" sheetId="5500" state="hidden" r:id="rId21"/>
    <sheet name="いっしー2" sheetId="5498" state="hidden" r:id="rId22"/>
    <sheet name="あさひ2" sheetId="5496" state="hidden" r:id="rId23"/>
    <sheet name="まっつん2" sheetId="5494" state="hidden" r:id="rId24"/>
    <sheet name="ぱぱ2" sheetId="5492" state="hidden" r:id="rId25"/>
    <sheet name="たかの2" sheetId="5490" state="hidden" r:id="rId26"/>
    <sheet name="れんたろう2" sheetId="5488" state="hidden" r:id="rId27"/>
    <sheet name="ただ2" sheetId="5486" state="hidden" r:id="rId28"/>
    <sheet name="りくと2" sheetId="5484" state="hidden" r:id="rId29"/>
    <sheet name="だいち2" sheetId="5482" state="hidden" r:id="rId30"/>
    <sheet name="全体2" sheetId="5480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3" i="5491" l="1"/>
  <c r="O15" i="5497"/>
  <c r="O25" i="5481" l="1"/>
  <c r="O15" i="5503"/>
  <c r="O15" i="5485" l="1"/>
  <c r="O15" i="5489"/>
  <c r="O16" i="5479"/>
  <c r="O17" i="5503"/>
  <c r="O16" i="5503"/>
  <c r="C27" i="5503"/>
  <c r="B24" i="5503"/>
  <c r="C20" i="5503"/>
  <c r="B17" i="5503"/>
  <c r="H52" i="5503" s="1"/>
  <c r="C16" i="5503"/>
  <c r="C15" i="5503"/>
  <c r="C14" i="5503"/>
  <c r="C13" i="5503"/>
  <c r="O12" i="5503"/>
  <c r="C12" i="5503"/>
  <c r="O11" i="5503"/>
  <c r="C11" i="5503"/>
  <c r="O10" i="5503"/>
  <c r="C10" i="5503"/>
  <c r="C9" i="5503"/>
  <c r="C8" i="5503"/>
  <c r="O7" i="5503"/>
  <c r="C7" i="5503"/>
  <c r="O6" i="5503"/>
  <c r="B6" i="5503"/>
  <c r="O5" i="5503"/>
  <c r="B5" i="5503"/>
  <c r="O4" i="5503"/>
  <c r="O3" i="5503"/>
  <c r="O2" i="5503"/>
  <c r="O15" i="5501"/>
  <c r="O16" i="5501"/>
  <c r="H44" i="5501"/>
  <c r="H43" i="5501"/>
  <c r="H39" i="5501"/>
  <c r="H34" i="5501"/>
  <c r="H32" i="5501"/>
  <c r="H28" i="5501"/>
  <c r="C27" i="5501"/>
  <c r="H24" i="5501"/>
  <c r="B24" i="5501"/>
  <c r="C20" i="5501"/>
  <c r="C18" i="5501"/>
  <c r="H17" i="5501"/>
  <c r="B17" i="5501"/>
  <c r="H49" i="5501" s="1"/>
  <c r="H16" i="5501"/>
  <c r="C16" i="5501"/>
  <c r="C15" i="5501"/>
  <c r="H14" i="5501"/>
  <c r="C14" i="5501"/>
  <c r="C13" i="5501"/>
  <c r="O12" i="5501"/>
  <c r="H12" i="5501"/>
  <c r="C12" i="5501"/>
  <c r="O11" i="5501"/>
  <c r="H11" i="5501"/>
  <c r="C11" i="5501"/>
  <c r="O10" i="5501"/>
  <c r="C10" i="5501"/>
  <c r="H9" i="5501"/>
  <c r="C9" i="5501"/>
  <c r="H8" i="5501"/>
  <c r="C8" i="5501"/>
  <c r="O7" i="5501"/>
  <c r="C7" i="5501"/>
  <c r="O6" i="5501"/>
  <c r="H6" i="5501"/>
  <c r="B6" i="5501"/>
  <c r="O5" i="5501"/>
  <c r="H5" i="5501"/>
  <c r="B5" i="5501"/>
  <c r="O4" i="5501"/>
  <c r="H4" i="5501"/>
  <c r="O3" i="5501"/>
  <c r="H3" i="5501"/>
  <c r="O2" i="5501"/>
  <c r="H2" i="5501"/>
  <c r="O23" i="5487"/>
  <c r="O16" i="5481"/>
  <c r="O25" i="5479"/>
  <c r="H10" i="5503" l="1"/>
  <c r="C19" i="5503"/>
  <c r="H7" i="5503"/>
  <c r="H15" i="5503"/>
  <c r="H2" i="5503"/>
  <c r="H4" i="5503"/>
  <c r="H13" i="5503"/>
  <c r="H21" i="5503"/>
  <c r="H8" i="5503"/>
  <c r="C17" i="5503"/>
  <c r="H18" i="5503"/>
  <c r="H20" i="5503"/>
  <c r="H23" i="5503"/>
  <c r="H26" i="5503"/>
  <c r="H29" i="5503"/>
  <c r="H33" i="5503"/>
  <c r="H37" i="5503"/>
  <c r="H41" i="5503"/>
  <c r="H45" i="5503"/>
  <c r="H49" i="5503"/>
  <c r="H30" i="5503"/>
  <c r="H34" i="5503"/>
  <c r="H38" i="5503"/>
  <c r="H42" i="5503"/>
  <c r="H46" i="5503"/>
  <c r="H50" i="5503"/>
  <c r="H3" i="5503"/>
  <c r="H6" i="5503"/>
  <c r="H9" i="5503"/>
  <c r="H12" i="5503"/>
  <c r="H17" i="5503"/>
  <c r="H19" i="5503"/>
  <c r="H22" i="5503"/>
  <c r="H24" i="5503"/>
  <c r="H27" i="5503"/>
  <c r="H31" i="5503"/>
  <c r="H35" i="5503"/>
  <c r="H39" i="5503"/>
  <c r="H43" i="5503"/>
  <c r="H47" i="5503"/>
  <c r="H51" i="5503"/>
  <c r="H5" i="5503"/>
  <c r="H11" i="5503"/>
  <c r="H14" i="5503"/>
  <c r="H16" i="5503"/>
  <c r="C18" i="5503"/>
  <c r="B23" i="5503"/>
  <c r="H25" i="5503"/>
  <c r="H28" i="5503"/>
  <c r="H32" i="5503"/>
  <c r="H36" i="5503"/>
  <c r="H40" i="5503"/>
  <c r="H44" i="5503"/>
  <c r="H48" i="5503"/>
  <c r="H21" i="5501"/>
  <c r="H27" i="5501"/>
  <c r="H38" i="5501"/>
  <c r="H48" i="5501"/>
  <c r="H50" i="5501"/>
  <c r="H22" i="5501"/>
  <c r="H25" i="5501"/>
  <c r="H35" i="5501"/>
  <c r="H40" i="5501"/>
  <c r="H46" i="5501"/>
  <c r="H51" i="5501"/>
  <c r="H10" i="5501"/>
  <c r="C19" i="5501"/>
  <c r="H30" i="5501"/>
  <c r="H7" i="5501"/>
  <c r="H13" i="5501"/>
  <c r="H15" i="5501"/>
  <c r="C17" i="5501"/>
  <c r="H19" i="5501"/>
  <c r="B23" i="5501"/>
  <c r="H31" i="5501"/>
  <c r="H36" i="5501"/>
  <c r="H42" i="5501"/>
  <c r="H47" i="5501"/>
  <c r="H52" i="5501"/>
  <c r="H18" i="5501"/>
  <c r="H20" i="5501"/>
  <c r="H23" i="5501"/>
  <c r="H26" i="5501"/>
  <c r="H29" i="5501"/>
  <c r="H33" i="5501"/>
  <c r="H37" i="5501"/>
  <c r="H41" i="5501"/>
  <c r="H45" i="5501"/>
  <c r="O17" i="5489" l="1"/>
  <c r="O18" i="5497"/>
  <c r="O20" i="5499" l="1"/>
  <c r="O18" i="5499"/>
  <c r="O16" i="5493"/>
  <c r="O20" i="5483"/>
  <c r="O24" i="5481" l="1"/>
  <c r="O17" i="5499"/>
  <c r="O21" i="5491"/>
  <c r="O15" i="5499"/>
  <c r="O16" i="5499" l="1"/>
  <c r="O19" i="5499"/>
  <c r="C27" i="5499"/>
  <c r="B24" i="5499"/>
  <c r="C20" i="5499"/>
  <c r="B17" i="5499"/>
  <c r="H50" i="5499" s="1"/>
  <c r="C16" i="5499"/>
  <c r="C15" i="5499"/>
  <c r="C14" i="5499"/>
  <c r="C13" i="5499"/>
  <c r="O12" i="5499"/>
  <c r="C12" i="5499"/>
  <c r="O11" i="5499"/>
  <c r="C11" i="5499"/>
  <c r="O10" i="5499"/>
  <c r="C10" i="5499"/>
  <c r="C9" i="5499"/>
  <c r="C8" i="5499"/>
  <c r="O7" i="5499"/>
  <c r="C7" i="5499"/>
  <c r="O6" i="5499"/>
  <c r="B6" i="5499"/>
  <c r="O5" i="5499"/>
  <c r="B5" i="5499"/>
  <c r="O4" i="5499"/>
  <c r="O3" i="5499"/>
  <c r="O2" i="5499"/>
  <c r="O21" i="5487"/>
  <c r="O21" i="5489"/>
  <c r="O22" i="5479"/>
  <c r="H32" i="5499" l="1"/>
  <c r="H2" i="5499"/>
  <c r="H16" i="5499"/>
  <c r="H39" i="5499"/>
  <c r="H5" i="5499"/>
  <c r="H9" i="5499"/>
  <c r="H25" i="5499"/>
  <c r="H4" i="5499"/>
  <c r="C18" i="5499"/>
  <c r="H40" i="5499"/>
  <c r="H22" i="5499"/>
  <c r="H8" i="5499"/>
  <c r="H10" i="5499"/>
  <c r="H17" i="5499"/>
  <c r="B23" i="5499"/>
  <c r="H31" i="5499"/>
  <c r="H47" i="5499"/>
  <c r="H48" i="5499"/>
  <c r="H19" i="5499"/>
  <c r="H35" i="5499"/>
  <c r="H43" i="5499"/>
  <c r="H51" i="5499"/>
  <c r="H12" i="5499"/>
  <c r="H14" i="5499"/>
  <c r="H27" i="5499"/>
  <c r="H3" i="5499"/>
  <c r="H6" i="5499"/>
  <c r="H11" i="5499"/>
  <c r="C17" i="5499"/>
  <c r="H24" i="5499"/>
  <c r="H28" i="5499"/>
  <c r="H36" i="5499"/>
  <c r="H44" i="5499"/>
  <c r="H52" i="5499"/>
  <c r="H18" i="5499"/>
  <c r="H20" i="5499"/>
  <c r="H23" i="5499"/>
  <c r="H26" i="5499"/>
  <c r="H29" i="5499"/>
  <c r="H33" i="5499"/>
  <c r="H37" i="5499"/>
  <c r="H41" i="5499"/>
  <c r="H45" i="5499"/>
  <c r="H49" i="5499"/>
  <c r="H7" i="5499"/>
  <c r="H13" i="5499"/>
  <c r="H15" i="5499"/>
  <c r="C19" i="5499"/>
  <c r="H21" i="5499"/>
  <c r="H30" i="5499"/>
  <c r="H34" i="5499"/>
  <c r="H38" i="5499"/>
  <c r="H42" i="5499"/>
  <c r="H46" i="5499"/>
  <c r="O20" i="5489" l="1"/>
  <c r="O16" i="5485"/>
  <c r="O21" i="5493"/>
  <c r="O19" i="5493"/>
  <c r="O19" i="5481" l="1"/>
  <c r="O19" i="5497"/>
  <c r="O20" i="5497" l="1"/>
  <c r="O16" i="5497"/>
  <c r="O15" i="5487"/>
  <c r="O20" i="5485"/>
  <c r="O17" i="5495" l="1"/>
  <c r="O22" i="5491"/>
  <c r="O15" i="5495"/>
  <c r="O22" i="5497"/>
  <c r="O15" i="5483"/>
  <c r="O20" i="5493"/>
  <c r="O18" i="5479"/>
  <c r="O21" i="5497"/>
  <c r="O17" i="5497"/>
  <c r="C27" i="5497"/>
  <c r="B24" i="5497"/>
  <c r="C20" i="5497"/>
  <c r="B17" i="5497"/>
  <c r="H50" i="5497" s="1"/>
  <c r="C16" i="5497"/>
  <c r="C15" i="5497"/>
  <c r="C14" i="5497"/>
  <c r="C13" i="5497"/>
  <c r="O12" i="5497"/>
  <c r="H12" i="5497"/>
  <c r="C12" i="5497"/>
  <c r="O11" i="5497"/>
  <c r="C11" i="5497"/>
  <c r="O10" i="5497"/>
  <c r="C10" i="5497"/>
  <c r="C9" i="5497"/>
  <c r="C8" i="5497"/>
  <c r="O7" i="5497"/>
  <c r="C7" i="5497"/>
  <c r="O6" i="5497"/>
  <c r="H6" i="5497"/>
  <c r="B6" i="5497"/>
  <c r="O5" i="5497"/>
  <c r="B5" i="5497"/>
  <c r="O4" i="5497"/>
  <c r="O3" i="5497"/>
  <c r="O2" i="5497"/>
  <c r="O16" i="5495"/>
  <c r="O18" i="5495"/>
  <c r="C27" i="5495"/>
  <c r="H25" i="5495"/>
  <c r="B24" i="5495"/>
  <c r="C20" i="5495"/>
  <c r="B17" i="5495"/>
  <c r="H50" i="5495" s="1"/>
  <c r="C16" i="5495"/>
  <c r="C15" i="5495"/>
  <c r="C14" i="5495"/>
  <c r="C13" i="5495"/>
  <c r="O12" i="5495"/>
  <c r="C12" i="5495"/>
  <c r="O11" i="5495"/>
  <c r="C11" i="5495"/>
  <c r="O10" i="5495"/>
  <c r="C10" i="5495"/>
  <c r="C9" i="5495"/>
  <c r="C8" i="5495"/>
  <c r="O7" i="5495"/>
  <c r="C7" i="5495"/>
  <c r="O6" i="5495"/>
  <c r="B6" i="5495"/>
  <c r="O5" i="5495"/>
  <c r="B5" i="5495"/>
  <c r="O4" i="5495"/>
  <c r="O3" i="5495"/>
  <c r="O2" i="5495"/>
  <c r="O22" i="5493"/>
  <c r="O23" i="5493"/>
  <c r="O15" i="5481"/>
  <c r="O21" i="5481"/>
  <c r="O26" i="5479"/>
  <c r="H3" i="5497" l="1"/>
  <c r="H32" i="5495"/>
  <c r="H5" i="5495"/>
  <c r="H9" i="5495"/>
  <c r="H4" i="5495"/>
  <c r="C18" i="5495"/>
  <c r="H2" i="5495"/>
  <c r="H16" i="5495"/>
  <c r="H39" i="5495"/>
  <c r="H40" i="5495"/>
  <c r="H22" i="5495"/>
  <c r="H8" i="5495"/>
  <c r="H10" i="5495"/>
  <c r="H17" i="5495"/>
  <c r="B23" i="5495"/>
  <c r="H31" i="5495"/>
  <c r="H48" i="5495"/>
  <c r="H47" i="5495"/>
  <c r="H27" i="5495"/>
  <c r="H43" i="5495"/>
  <c r="H51" i="5495"/>
  <c r="H12" i="5495"/>
  <c r="H14" i="5495"/>
  <c r="H19" i="5495"/>
  <c r="H35" i="5495"/>
  <c r="H3" i="5495"/>
  <c r="H6" i="5495"/>
  <c r="H11" i="5495"/>
  <c r="C17" i="5495"/>
  <c r="H24" i="5495"/>
  <c r="H28" i="5495"/>
  <c r="H36" i="5495"/>
  <c r="H44" i="5495"/>
  <c r="H52" i="5495"/>
  <c r="H16" i="5497"/>
  <c r="H25" i="5497"/>
  <c r="H39" i="5497"/>
  <c r="H14" i="5497"/>
  <c r="H40" i="5497"/>
  <c r="H5" i="5497"/>
  <c r="H17" i="5497"/>
  <c r="H31" i="5497"/>
  <c r="H47" i="5497"/>
  <c r="H22" i="5497"/>
  <c r="H8" i="5497"/>
  <c r="B23" i="5497"/>
  <c r="H2" i="5497"/>
  <c r="H4" i="5497"/>
  <c r="C18" i="5497"/>
  <c r="H32" i="5497"/>
  <c r="H48" i="5497"/>
  <c r="H19" i="5497"/>
  <c r="H27" i="5497"/>
  <c r="H35" i="5497"/>
  <c r="H43" i="5497"/>
  <c r="H51" i="5497"/>
  <c r="H9" i="5497"/>
  <c r="H11" i="5497"/>
  <c r="C17" i="5497"/>
  <c r="H24" i="5497"/>
  <c r="H28" i="5497"/>
  <c r="H36" i="5497"/>
  <c r="H44" i="5497"/>
  <c r="H52" i="5497"/>
  <c r="H29" i="5497"/>
  <c r="H49" i="5497"/>
  <c r="H10" i="5497"/>
  <c r="H18" i="5497"/>
  <c r="H20" i="5497"/>
  <c r="H23" i="5497"/>
  <c r="H26" i="5497"/>
  <c r="H33" i="5497"/>
  <c r="H37" i="5497"/>
  <c r="H41" i="5497"/>
  <c r="H45" i="5497"/>
  <c r="H7" i="5497"/>
  <c r="H13" i="5497"/>
  <c r="H15" i="5497"/>
  <c r="C19" i="5497"/>
  <c r="H21" i="5497"/>
  <c r="H30" i="5497"/>
  <c r="H34" i="5497"/>
  <c r="H38" i="5497"/>
  <c r="H42" i="5497"/>
  <c r="H46" i="5497"/>
  <c r="H18" i="5495"/>
  <c r="H20" i="5495"/>
  <c r="H23" i="5495"/>
  <c r="H26" i="5495"/>
  <c r="H29" i="5495"/>
  <c r="H33" i="5495"/>
  <c r="H37" i="5495"/>
  <c r="H41" i="5495"/>
  <c r="H45" i="5495"/>
  <c r="H49" i="5495"/>
  <c r="H7" i="5495"/>
  <c r="H13" i="5495"/>
  <c r="H15" i="5495"/>
  <c r="C19" i="5495"/>
  <c r="H21" i="5495"/>
  <c r="H30" i="5495"/>
  <c r="H34" i="5495"/>
  <c r="H38" i="5495"/>
  <c r="H42" i="5495"/>
  <c r="H46" i="5495"/>
  <c r="O17" i="5493" l="1"/>
  <c r="O20" i="5491"/>
  <c r="O17" i="5491"/>
  <c r="O17" i="5483"/>
  <c r="O18" i="5489" l="1"/>
  <c r="O17" i="5487"/>
  <c r="O16" i="5491"/>
  <c r="O18" i="5491"/>
  <c r="O16" i="5489" l="1"/>
  <c r="O16" i="5487"/>
  <c r="O21" i="5485"/>
  <c r="O18" i="5485"/>
  <c r="O15" i="5493"/>
  <c r="O18" i="5493"/>
  <c r="C27" i="5493"/>
  <c r="B24" i="5493"/>
  <c r="C20" i="5493"/>
  <c r="B17" i="5493"/>
  <c r="H4" i="5493" s="1"/>
  <c r="C16" i="5493"/>
  <c r="C15" i="5493"/>
  <c r="C14" i="5493"/>
  <c r="C13" i="5493"/>
  <c r="O12" i="5493"/>
  <c r="C12" i="5493"/>
  <c r="O11" i="5493"/>
  <c r="C11" i="5493"/>
  <c r="O10" i="5493"/>
  <c r="C10" i="5493"/>
  <c r="C9" i="5493"/>
  <c r="C8" i="5493"/>
  <c r="O7" i="5493"/>
  <c r="C7" i="5493"/>
  <c r="O6" i="5493"/>
  <c r="B6" i="5493"/>
  <c r="O5" i="5493"/>
  <c r="B5" i="5493"/>
  <c r="O4" i="5493"/>
  <c r="O3" i="5493"/>
  <c r="O2" i="5493"/>
  <c r="O22" i="5487"/>
  <c r="O21" i="5483"/>
  <c r="O23" i="5479"/>
  <c r="H3" i="5493" l="1"/>
  <c r="H22" i="5493"/>
  <c r="H27" i="5493"/>
  <c r="H12" i="5493"/>
  <c r="H34" i="5493"/>
  <c r="H2" i="5493"/>
  <c r="H41" i="5493"/>
  <c r="H15" i="5493"/>
  <c r="C18" i="5493"/>
  <c r="B23" i="5493"/>
  <c r="H9" i="5493"/>
  <c r="H7" i="5493"/>
  <c r="H26" i="5493"/>
  <c r="H6" i="5493"/>
  <c r="H11" i="5493"/>
  <c r="H5" i="5493"/>
  <c r="C19" i="5493"/>
  <c r="H8" i="5493"/>
  <c r="H20" i="5493"/>
  <c r="H28" i="5493"/>
  <c r="C17" i="5493"/>
  <c r="H14" i="5493"/>
  <c r="H21" i="5493"/>
  <c r="H45" i="5493"/>
  <c r="H49" i="5493"/>
  <c r="H32" i="5493"/>
  <c r="H38" i="5493"/>
  <c r="H52" i="5493"/>
  <c r="H29" i="5493"/>
  <c r="H30" i="5493"/>
  <c r="H19" i="5493"/>
  <c r="H33" i="5493"/>
  <c r="H17" i="5493"/>
  <c r="H35" i="5493"/>
  <c r="H39" i="5493"/>
  <c r="H42" i="5493"/>
  <c r="H46" i="5493"/>
  <c r="H50" i="5493"/>
  <c r="H23" i="5493"/>
  <c r="H36" i="5493"/>
  <c r="H40" i="5493"/>
  <c r="H43" i="5493"/>
  <c r="H47" i="5493"/>
  <c r="H51" i="5493"/>
  <c r="H18" i="5493"/>
  <c r="H16" i="5493"/>
  <c r="H31" i="5493"/>
  <c r="H13" i="5493"/>
  <c r="H10" i="5493"/>
  <c r="H24" i="5493"/>
  <c r="H37" i="5493"/>
  <c r="H25" i="5493"/>
  <c r="H44" i="5493"/>
  <c r="H48" i="5493"/>
  <c r="O19" i="5485" l="1"/>
  <c r="O19" i="5491"/>
  <c r="O15" i="5491"/>
  <c r="C27" i="5491"/>
  <c r="B24" i="5491"/>
  <c r="C20" i="5491"/>
  <c r="B17" i="5491"/>
  <c r="H52" i="5491" s="1"/>
  <c r="C16" i="5491"/>
  <c r="C15" i="5491"/>
  <c r="C14" i="5491"/>
  <c r="C13" i="5491"/>
  <c r="O12" i="5491"/>
  <c r="C12" i="5491"/>
  <c r="O11" i="5491"/>
  <c r="C11" i="5491"/>
  <c r="O10" i="5491"/>
  <c r="C10" i="5491"/>
  <c r="C9" i="5491"/>
  <c r="C8" i="5491"/>
  <c r="O7" i="5491"/>
  <c r="C7" i="5491"/>
  <c r="O6" i="5491"/>
  <c r="B6" i="5491"/>
  <c r="O5" i="5491"/>
  <c r="B5" i="5491"/>
  <c r="O4" i="5491"/>
  <c r="O3" i="5491"/>
  <c r="O2" i="5491"/>
  <c r="O20" i="5481"/>
  <c r="O17" i="5479"/>
  <c r="O19" i="5489"/>
  <c r="O18" i="5483"/>
  <c r="O19" i="5483"/>
  <c r="O19" i="5487"/>
  <c r="O22" i="5489"/>
  <c r="O23" i="5489"/>
  <c r="C27" i="5489"/>
  <c r="B24" i="5489"/>
  <c r="C20" i="5489"/>
  <c r="B17" i="5489"/>
  <c r="H51" i="5489" s="1"/>
  <c r="C16" i="5489"/>
  <c r="C15" i="5489"/>
  <c r="C14" i="5489"/>
  <c r="C13" i="5489"/>
  <c r="O12" i="5489"/>
  <c r="C12" i="5489"/>
  <c r="O11" i="5489"/>
  <c r="C11" i="5489"/>
  <c r="O10" i="5489"/>
  <c r="C10" i="5489"/>
  <c r="C9" i="5489"/>
  <c r="C8" i="5489"/>
  <c r="O7" i="5489"/>
  <c r="C7" i="5489"/>
  <c r="O6" i="5489"/>
  <c r="B6" i="5489"/>
  <c r="O5" i="5489"/>
  <c r="B5" i="5489"/>
  <c r="O4" i="5489"/>
  <c r="O3" i="5489"/>
  <c r="O2" i="5489"/>
  <c r="O20" i="5487"/>
  <c r="O18" i="5487"/>
  <c r="C27" i="5487"/>
  <c r="B24" i="5487"/>
  <c r="C20" i="5487"/>
  <c r="B17" i="5487"/>
  <c r="H50" i="5487" s="1"/>
  <c r="C16" i="5487"/>
  <c r="C15" i="5487"/>
  <c r="C14" i="5487"/>
  <c r="C13" i="5487"/>
  <c r="O12" i="5487"/>
  <c r="C12" i="5487"/>
  <c r="O11" i="5487"/>
  <c r="C11" i="5487"/>
  <c r="O10" i="5487"/>
  <c r="C10" i="5487"/>
  <c r="C9" i="5487"/>
  <c r="C8" i="5487"/>
  <c r="O7" i="5487"/>
  <c r="C7" i="5487"/>
  <c r="O6" i="5487"/>
  <c r="B6" i="5487"/>
  <c r="O5" i="5487"/>
  <c r="B5" i="5487"/>
  <c r="O4" i="5487"/>
  <c r="O3" i="5487"/>
  <c r="O2" i="5487"/>
  <c r="O18" i="5481"/>
  <c r="O23" i="5481"/>
  <c r="O20" i="5479"/>
  <c r="O21" i="5479"/>
  <c r="H6" i="5491" l="1"/>
  <c r="H10" i="5489"/>
  <c r="H2" i="5489"/>
  <c r="H40" i="5489"/>
  <c r="H5" i="5489"/>
  <c r="H16" i="5489"/>
  <c r="H22" i="5489"/>
  <c r="H5" i="5487"/>
  <c r="H9" i="5487"/>
  <c r="H39" i="5491"/>
  <c r="C17" i="5491"/>
  <c r="H22" i="5491"/>
  <c r="H43" i="5491"/>
  <c r="H3" i="5491"/>
  <c r="H8" i="5491"/>
  <c r="H10" i="5491"/>
  <c r="H27" i="5491"/>
  <c r="H12" i="5491"/>
  <c r="H17" i="5491"/>
  <c r="H31" i="5491"/>
  <c r="H47" i="5491"/>
  <c r="H2" i="5491"/>
  <c r="H4" i="5491"/>
  <c r="H9" i="5491"/>
  <c r="H19" i="5491"/>
  <c r="H24" i="5491"/>
  <c r="H35" i="5491"/>
  <c r="H51" i="5491"/>
  <c r="H18" i="5491"/>
  <c r="H20" i="5491"/>
  <c r="H23" i="5491"/>
  <c r="H26" i="5491"/>
  <c r="H29" i="5491"/>
  <c r="H33" i="5491"/>
  <c r="H37" i="5491"/>
  <c r="H41" i="5491"/>
  <c r="H45" i="5491"/>
  <c r="H49" i="5491"/>
  <c r="H7" i="5491"/>
  <c r="H13" i="5491"/>
  <c r="H15" i="5491"/>
  <c r="C19" i="5491"/>
  <c r="H21" i="5491"/>
  <c r="H30" i="5491"/>
  <c r="H34" i="5491"/>
  <c r="H38" i="5491"/>
  <c r="H42" i="5491"/>
  <c r="H46" i="5491"/>
  <c r="H50" i="5491"/>
  <c r="H5" i="5491"/>
  <c r="H11" i="5491"/>
  <c r="H14" i="5491"/>
  <c r="H16" i="5491"/>
  <c r="C18" i="5491"/>
  <c r="B23" i="5491"/>
  <c r="H25" i="5491"/>
  <c r="H28" i="5491"/>
  <c r="H32" i="5491"/>
  <c r="H36" i="5491"/>
  <c r="H40" i="5491"/>
  <c r="H44" i="5491"/>
  <c r="H48" i="5491"/>
  <c r="H41" i="5489"/>
  <c r="H48" i="5489"/>
  <c r="H28" i="5489"/>
  <c r="H13" i="5489"/>
  <c r="H3" i="5489"/>
  <c r="H18" i="5489"/>
  <c r="B23" i="5489"/>
  <c r="H32" i="5489"/>
  <c r="H7" i="5489"/>
  <c r="C18" i="5489"/>
  <c r="H33" i="5489"/>
  <c r="H12" i="5487"/>
  <c r="H14" i="5487"/>
  <c r="H49" i="5489"/>
  <c r="H11" i="5489"/>
  <c r="H36" i="5489"/>
  <c r="H44" i="5489"/>
  <c r="H4" i="5489"/>
  <c r="H20" i="5489"/>
  <c r="H24" i="5489"/>
  <c r="H15" i="5489"/>
  <c r="H9" i="5489"/>
  <c r="H6" i="5489"/>
  <c r="H19" i="5489"/>
  <c r="C17" i="5489"/>
  <c r="H14" i="5489"/>
  <c r="H23" i="5489"/>
  <c r="H37" i="5489"/>
  <c r="H45" i="5489"/>
  <c r="H52" i="5489"/>
  <c r="H26" i="5489"/>
  <c r="H27" i="5489"/>
  <c r="H29" i="5489"/>
  <c r="H30" i="5489"/>
  <c r="H17" i="5489"/>
  <c r="H34" i="5489"/>
  <c r="H38" i="5489"/>
  <c r="H42" i="5489"/>
  <c r="H46" i="5489"/>
  <c r="H50" i="5489"/>
  <c r="H8" i="5489"/>
  <c r="H21" i="5489"/>
  <c r="H25" i="5489"/>
  <c r="C19" i="5489"/>
  <c r="H12" i="5489"/>
  <c r="H31" i="5489"/>
  <c r="H35" i="5489"/>
  <c r="H39" i="5489"/>
  <c r="H43" i="5489"/>
  <c r="H47" i="5489"/>
  <c r="H8" i="5487"/>
  <c r="H10" i="5487"/>
  <c r="H17" i="5487"/>
  <c r="H22" i="5487"/>
  <c r="H25" i="5487"/>
  <c r="H31" i="5487"/>
  <c r="H39" i="5487"/>
  <c r="H47" i="5487"/>
  <c r="H2" i="5487"/>
  <c r="H4" i="5487"/>
  <c r="H16" i="5487"/>
  <c r="C18" i="5487"/>
  <c r="B23" i="5487"/>
  <c r="H32" i="5487"/>
  <c r="H40" i="5487"/>
  <c r="H48" i="5487"/>
  <c r="H19" i="5487"/>
  <c r="H27" i="5487"/>
  <c r="H35" i="5487"/>
  <c r="H43" i="5487"/>
  <c r="H51" i="5487"/>
  <c r="H3" i="5487"/>
  <c r="H6" i="5487"/>
  <c r="H11" i="5487"/>
  <c r="C17" i="5487"/>
  <c r="H24" i="5487"/>
  <c r="H28" i="5487"/>
  <c r="H36" i="5487"/>
  <c r="H44" i="5487"/>
  <c r="H52" i="5487"/>
  <c r="H18" i="5487"/>
  <c r="H20" i="5487"/>
  <c r="H23" i="5487"/>
  <c r="H26" i="5487"/>
  <c r="H29" i="5487"/>
  <c r="H33" i="5487"/>
  <c r="H37" i="5487"/>
  <c r="H41" i="5487"/>
  <c r="H45" i="5487"/>
  <c r="H49" i="5487"/>
  <c r="H7" i="5487"/>
  <c r="H13" i="5487"/>
  <c r="H15" i="5487"/>
  <c r="C19" i="5487"/>
  <c r="H21" i="5487"/>
  <c r="H30" i="5487"/>
  <c r="H34" i="5487"/>
  <c r="H38" i="5487"/>
  <c r="H42" i="5487"/>
  <c r="H46" i="5487"/>
  <c r="O17" i="5485" l="1"/>
  <c r="O22" i="5485"/>
  <c r="C27" i="5485"/>
  <c r="B24" i="5485"/>
  <c r="C20" i="5485"/>
  <c r="B17" i="5485"/>
  <c r="H51" i="5485" s="1"/>
  <c r="C16" i="5485"/>
  <c r="C15" i="5485"/>
  <c r="C14" i="5485"/>
  <c r="C13" i="5485"/>
  <c r="O12" i="5485"/>
  <c r="C12" i="5485"/>
  <c r="O11" i="5485"/>
  <c r="C11" i="5485"/>
  <c r="O10" i="5485"/>
  <c r="C10" i="5485"/>
  <c r="C9" i="5485"/>
  <c r="C8" i="5485"/>
  <c r="O7" i="5485"/>
  <c r="C7" i="5485"/>
  <c r="O6" i="5485"/>
  <c r="B6" i="5485"/>
  <c r="O5" i="5485"/>
  <c r="B5" i="5485"/>
  <c r="O4" i="5485"/>
  <c r="O3" i="5485"/>
  <c r="O2" i="5485"/>
  <c r="O22" i="5483"/>
  <c r="O16" i="5483"/>
  <c r="C27" i="5483"/>
  <c r="B24" i="5483"/>
  <c r="C20" i="5483"/>
  <c r="B17" i="5483"/>
  <c r="H51" i="5483" s="1"/>
  <c r="C16" i="5483"/>
  <c r="C15" i="5483"/>
  <c r="C14" i="5483"/>
  <c r="C13" i="5483"/>
  <c r="O12" i="5483"/>
  <c r="C12" i="5483"/>
  <c r="O11" i="5483"/>
  <c r="C11" i="5483"/>
  <c r="O10" i="5483"/>
  <c r="C10" i="5483"/>
  <c r="C9" i="5483"/>
  <c r="C8" i="5483"/>
  <c r="O7" i="5483"/>
  <c r="C7" i="5483"/>
  <c r="O6" i="5483"/>
  <c r="B6" i="5483"/>
  <c r="O5" i="5483"/>
  <c r="B5" i="5483"/>
  <c r="O4" i="5483"/>
  <c r="O3" i="5483"/>
  <c r="O2" i="5483"/>
  <c r="O24" i="5479"/>
  <c r="O17" i="5481"/>
  <c r="O22" i="5481"/>
  <c r="C27" i="5481"/>
  <c r="B24" i="5481"/>
  <c r="C20" i="5481"/>
  <c r="B17" i="5481"/>
  <c r="H50" i="5481" s="1"/>
  <c r="C16" i="5481"/>
  <c r="C15" i="5481"/>
  <c r="C14" i="5481"/>
  <c r="C13" i="5481"/>
  <c r="O12" i="5481"/>
  <c r="C12" i="5481"/>
  <c r="O11" i="5481"/>
  <c r="C11" i="5481"/>
  <c r="O10" i="5481"/>
  <c r="C10" i="5481"/>
  <c r="C9" i="5481"/>
  <c r="C8" i="5481"/>
  <c r="O7" i="5481"/>
  <c r="C7" i="5481"/>
  <c r="O6" i="5481"/>
  <c r="B6" i="5481"/>
  <c r="O5" i="5481"/>
  <c r="B5" i="5481"/>
  <c r="O4" i="5481"/>
  <c r="O3" i="5481"/>
  <c r="O2" i="5481"/>
  <c r="O15" i="5479"/>
  <c r="O19" i="5479"/>
  <c r="C27" i="5479"/>
  <c r="B24" i="5479"/>
  <c r="C20" i="5479"/>
  <c r="B17" i="5479"/>
  <c r="H19" i="5479" s="1"/>
  <c r="C16" i="5479"/>
  <c r="C15" i="5479"/>
  <c r="C14" i="5479"/>
  <c r="C13" i="5479"/>
  <c r="O12" i="5479"/>
  <c r="C12" i="5479"/>
  <c r="O11" i="5479"/>
  <c r="C11" i="5479"/>
  <c r="O10" i="5479"/>
  <c r="C10" i="5479"/>
  <c r="C9" i="5479"/>
  <c r="C8" i="5479"/>
  <c r="O7" i="5479"/>
  <c r="C7" i="5479"/>
  <c r="O6" i="5479"/>
  <c r="B6" i="5479"/>
  <c r="O5" i="5479"/>
  <c r="B5" i="5479"/>
  <c r="O4" i="5479"/>
  <c r="O3" i="5479"/>
  <c r="O2" i="5479"/>
  <c r="H9" i="5485" l="1"/>
  <c r="H3" i="5485"/>
  <c r="H22" i="5485"/>
  <c r="H11" i="5483"/>
  <c r="H15" i="5479"/>
  <c r="H26" i="5479"/>
  <c r="H2" i="5485"/>
  <c r="H4" i="5485"/>
  <c r="H2" i="5483"/>
  <c r="C17" i="5483"/>
  <c r="C19" i="5485"/>
  <c r="H30" i="5485"/>
  <c r="H19" i="5485"/>
  <c r="H21" i="5485"/>
  <c r="H40" i="5485"/>
  <c r="H48" i="5485"/>
  <c r="H8" i="5485"/>
  <c r="C17" i="5485"/>
  <c r="H16" i="5485"/>
  <c r="B23" i="5485"/>
  <c r="H33" i="5485"/>
  <c r="H41" i="5485"/>
  <c r="H49" i="5485"/>
  <c r="H23" i="5485"/>
  <c r="H11" i="5485"/>
  <c r="H6" i="5485"/>
  <c r="H10" i="5485"/>
  <c r="H17" i="5485"/>
  <c r="H18" i="5485"/>
  <c r="H12" i="5485"/>
  <c r="H36" i="5485"/>
  <c r="H44" i="5485"/>
  <c r="H5" i="5485"/>
  <c r="H7" i="5485"/>
  <c r="H26" i="5485"/>
  <c r="H27" i="5485"/>
  <c r="H14" i="5485"/>
  <c r="C18" i="5485"/>
  <c r="H15" i="5485"/>
  <c r="H13" i="5485"/>
  <c r="H32" i="5485"/>
  <c r="H37" i="5485"/>
  <c r="H45" i="5485"/>
  <c r="H52" i="5485"/>
  <c r="H28" i="5485"/>
  <c r="H29" i="5485"/>
  <c r="H31" i="5485"/>
  <c r="H24" i="5485"/>
  <c r="H20" i="5485"/>
  <c r="H34" i="5485"/>
  <c r="H38" i="5485"/>
  <c r="H42" i="5485"/>
  <c r="H46" i="5485"/>
  <c r="H50" i="5485"/>
  <c r="H25" i="5485"/>
  <c r="H35" i="5485"/>
  <c r="H39" i="5485"/>
  <c r="H43" i="5485"/>
  <c r="H47" i="5485"/>
  <c r="H28" i="5483"/>
  <c r="H15" i="5483"/>
  <c r="H5" i="5483"/>
  <c r="C18" i="5483"/>
  <c r="B23" i="5483"/>
  <c r="H32" i="5483"/>
  <c r="H10" i="5483"/>
  <c r="H13" i="5483"/>
  <c r="H21" i="5483"/>
  <c r="H8" i="5483"/>
  <c r="H4" i="5483"/>
  <c r="H7" i="5483"/>
  <c r="H14" i="5483"/>
  <c r="H16" i="5483"/>
  <c r="C19" i="5483"/>
  <c r="H40" i="5483"/>
  <c r="H44" i="5483"/>
  <c r="H48" i="5483"/>
  <c r="H25" i="5483"/>
  <c r="H36" i="5483"/>
  <c r="H52" i="5483"/>
  <c r="H18" i="5483"/>
  <c r="H20" i="5483"/>
  <c r="H23" i="5483"/>
  <c r="H26" i="5483"/>
  <c r="H29" i="5483"/>
  <c r="H33" i="5483"/>
  <c r="H37" i="5483"/>
  <c r="H41" i="5483"/>
  <c r="H45" i="5483"/>
  <c r="H49" i="5483"/>
  <c r="H30" i="5483"/>
  <c r="H34" i="5483"/>
  <c r="H38" i="5483"/>
  <c r="H42" i="5483"/>
  <c r="H46" i="5483"/>
  <c r="H50" i="5483"/>
  <c r="H3" i="5483"/>
  <c r="H6" i="5483"/>
  <c r="H9" i="5483"/>
  <c r="H12" i="5483"/>
  <c r="H17" i="5483"/>
  <c r="H19" i="5483"/>
  <c r="H22" i="5483"/>
  <c r="H24" i="5483"/>
  <c r="H27" i="5483"/>
  <c r="H31" i="5483"/>
  <c r="H35" i="5483"/>
  <c r="H39" i="5483"/>
  <c r="H43" i="5483"/>
  <c r="H47" i="5483"/>
  <c r="H3" i="5479"/>
  <c r="H33" i="5479"/>
  <c r="H12" i="5481"/>
  <c r="H14" i="5481"/>
  <c r="H9" i="5481"/>
  <c r="H5" i="5481"/>
  <c r="H8" i="5481"/>
  <c r="H10" i="5481"/>
  <c r="H17" i="5481"/>
  <c r="H22" i="5481"/>
  <c r="H25" i="5481"/>
  <c r="H31" i="5481"/>
  <c r="H39" i="5481"/>
  <c r="H47" i="5481"/>
  <c r="H2" i="5481"/>
  <c r="H4" i="5481"/>
  <c r="H16" i="5481"/>
  <c r="C18" i="5481"/>
  <c r="B23" i="5481"/>
  <c r="H32" i="5481"/>
  <c r="H40" i="5481"/>
  <c r="H48" i="5481"/>
  <c r="H19" i="5481"/>
  <c r="H27" i="5481"/>
  <c r="H35" i="5481"/>
  <c r="H43" i="5481"/>
  <c r="H51" i="5481"/>
  <c r="H3" i="5481"/>
  <c r="H6" i="5481"/>
  <c r="H11" i="5481"/>
  <c r="C17" i="5481"/>
  <c r="H24" i="5481"/>
  <c r="H28" i="5481"/>
  <c r="H36" i="5481"/>
  <c r="H44" i="5481"/>
  <c r="H52" i="5481"/>
  <c r="H18" i="5481"/>
  <c r="H20" i="5481"/>
  <c r="H23" i="5481"/>
  <c r="H26" i="5481"/>
  <c r="H29" i="5481"/>
  <c r="H33" i="5481"/>
  <c r="H37" i="5481"/>
  <c r="H41" i="5481"/>
  <c r="H45" i="5481"/>
  <c r="H49" i="5481"/>
  <c r="H7" i="5481"/>
  <c r="H13" i="5481"/>
  <c r="H15" i="5481"/>
  <c r="C19" i="5481"/>
  <c r="H21" i="5481"/>
  <c r="H30" i="5481"/>
  <c r="H34" i="5481"/>
  <c r="H38" i="5481"/>
  <c r="H42" i="5481"/>
  <c r="H46" i="5481"/>
  <c r="H42" i="5479"/>
  <c r="H18" i="5479"/>
  <c r="H49" i="5479"/>
  <c r="H11" i="5479"/>
  <c r="H4" i="5479"/>
  <c r="H29" i="5479"/>
  <c r="H7" i="5479"/>
  <c r="H22" i="5479"/>
  <c r="B23" i="5479"/>
  <c r="H25" i="5479"/>
  <c r="H2" i="5479"/>
  <c r="H12" i="5479"/>
  <c r="C18" i="5479"/>
  <c r="H37" i="5479"/>
  <c r="H50" i="5479"/>
  <c r="H16" i="5479"/>
  <c r="H9" i="5479"/>
  <c r="H32" i="5479"/>
  <c r="H45" i="5479"/>
  <c r="H5" i="5479"/>
  <c r="H34" i="5479"/>
  <c r="H10" i="5479"/>
  <c r="H6" i="5479"/>
  <c r="H20" i="5479"/>
  <c r="C17" i="5479"/>
  <c r="H13" i="5479"/>
  <c r="H27" i="5479"/>
  <c r="H39" i="5479"/>
  <c r="H46" i="5479"/>
  <c r="H52" i="5479"/>
  <c r="H35" i="5479"/>
  <c r="H36" i="5479"/>
  <c r="H24" i="5479"/>
  <c r="H30" i="5479"/>
  <c r="H17" i="5479"/>
  <c r="H31" i="5479"/>
  <c r="H40" i="5479"/>
  <c r="H43" i="5479"/>
  <c r="H47" i="5479"/>
  <c r="H51" i="5479"/>
  <c r="H8" i="5479"/>
  <c r="H21" i="5479"/>
  <c r="H28" i="5479"/>
  <c r="C19" i="5479"/>
  <c r="H14" i="5479"/>
  <c r="H23" i="5479"/>
  <c r="H38" i="5479"/>
  <c r="H41" i="5479"/>
  <c r="H44" i="5479"/>
  <c r="H48" i="5479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<sst xmlns="http://schemas.openxmlformats.org/spreadsheetml/2006/main" count="3329" uniqueCount="264">
  <si>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</si>
  <si>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</si>
  <si>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</si>
  <si>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</si>
  <si>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</si>
  <si>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</si>
  <si>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</si>
  <si>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</si>
  <si>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</si>
  <si>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</si>
  <si>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</si>
  <si>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</si>
  <si>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</si>
  <si>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</si>
  <si>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</si>
  <si>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</si>
  <si>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</si>
  <si>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</si>
  <si>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</si>
  <si>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</si>
  <si>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</si>
  <si>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</si>
  <si>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</si>
  <si>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</si>
  <si>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</si>
  <si>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</si>
  <si>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</si>
  <si>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</si>
  <si>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</si>
  <si>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</si>
  <si>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</si>
  <si>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</si>
  <si>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</si>
  <si>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</si>
  <si>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</si>
  <si>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</si>
  <si>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</si>
  <si>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</si>
  <si>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</si>
  <si>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</si>
  <si>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</si>
  <si>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</si>
  <si>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</si>
  <si>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</si>
  <si>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</si>
  <si>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</si>
  <si>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</si>
  <si>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</si>
  <si>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</si>
  <si>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</si>
  <si>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</si>
  <si>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</si>
  <si>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</si>
  <si>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</si>
  <si>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</si>
  <si>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</si>
  <si>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</si>
  <si>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</si>
  <si>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</si>
  <si>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</si>
  <si>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</si>
  <si>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</si>
  <si>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</si>
  <si>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</si>
  <si>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</si>
  <si>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</si>
  <si>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</si>
  <si>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</si>
  <si>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</si>
  <si>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</si>
  <si>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</si>
  <si>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</si>
  <si>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</si>
  <si>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</si>
  <si>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</si>
  <si>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</si>
  <si>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</si>
  <si>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</si>
  <si>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</si>
  <si>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</si>
  <si>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</si>
  <si>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</si>
  <si>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</si>
  <si>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</si>
  <si>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</si>
  <si>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</si>
  <si>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</si>
  <si>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</si>
  <si>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</si>
  <si>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</si>
  <si>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</si>
  <si>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</si>
  <si>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</si>
  <si>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</si>
  <si>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</si>
  <si>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</si>
  <si>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</si>
  <si>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</si>
  <si>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</si>
  <si>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</si>
  <si>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</si>
  <si>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</si>
  <si>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</si>
  <si>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</si>
  <si>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</si>
  <si>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</si>
  <si>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</si>
  <si>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</si>
  <si>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</si>
  <si>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</si>
  <si>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</si>
  <si>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</si>
  <si>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</si>
  <si>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</si>
  <si>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</si>
  <si>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</si>
  <si>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</si>
  <si>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</si>
  <si>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</si>
  <si>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</si>
  <si>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</si>
  <si>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</si>
  <si>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</si>
  <si>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</si>
  <si>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</si>
  <si>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</si>
  <si>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</si>
  <si>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</si>
  <si>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</si>
  <si>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</si>
  <si>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</si>
  <si>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</si>
  <si>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</si>
  <si>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</si>
  <si>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</si>
  <si>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</si>
  <si>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</si>
  <si>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</si>
  <si>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</si>
  <si>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</si>
  <si>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</si>
  <si>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</si>
  <si>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</si>
  <si>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</si>
  <si>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</si>
  <si>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</si>
  <si>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</si>
  <si>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</si>
  <si>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</si>
  <si>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</si>
  <si>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</si>
  <si>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</si>
  <si>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</si>
  <si>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</si>
  <si>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</si>
  <si>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</si>
  <si>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</si>
  <si>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</si>
  <si>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</si>
  <si>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</si>
  <si>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</si>
  <si>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</si>
  <si>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</si>
  <si>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</si>
  <si>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</si>
  <si>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</si>
  <si>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</si>
  <si>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</si>
  <si>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</si>
  <si>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</si>
  <si>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</si>
  <si>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</si>
  <si>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</si>
  <si>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</si>
  <si>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</si>
  <si>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</si>
  <si>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</si>
  <si>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</si>
  <si>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</si>
  <si>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</si>
  <si>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</si>
  <si>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</si>
  <si>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</si>
  <si>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</si>
  <si>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</si>
  <si>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</si>
  <si>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</si>
  <si>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</si>
  <si>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</si>
  <si>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</si>
  <si>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</si>
  <si>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</si>
  <si>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</si>
  <si>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</si>
  <si>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</si>
  <si>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</si>
  <si>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</si>
  <si>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</si>
  <si>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</si>
  <si>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</si>
  <si>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</si>
  <si>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</si>
  <si>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</si>
  <si>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</si>
  <si>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</si>
  <si>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</si>
  <si>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</si>
  <si>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</si>
  <si>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</si>
  <si>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</si>
  <si>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</si>
  <si>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</si>
  <si>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</si>
  <si>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</si>
  <si>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</si>
  <si>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</si>
  <si>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</si>
  <si>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</si>
  <si>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</si>
  <si>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</si>
  <si>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</si>
  <si>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</si>
  <si>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</si>
  <si>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</si>
  <si>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</si>
  <si>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</si>
  <si>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</si>
  <si>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</si>
  <si>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</si>
  <si>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</si>
  <si>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</si>
  <si>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</si>
  <si>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</si>
  <si>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</si>
  <si>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</si>
  <si>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</si>
  <si>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</si>
  <si>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</si>
  <si>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</si>
  <si>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</si>
  <si>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</si>
  <si>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</si>
  <si>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</si>
  <si>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</si>
  <si>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</si>
  <si>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</si>
  <si>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</si>
  <si>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</si>
  <si>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</si>
  <si>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</si>
  <si>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</si>
  <si>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</si>
  <si>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</si>
  <si>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</si>
  <si>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</si>
  <si>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</si>
  <si>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</si>
  <si>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</si>
  <si>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</si>
  <si>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2019-06-18@2.xlsm</t>
  </si>
  <si>
    <t>2019-06-18@1.xlsm</t>
  </si>
  <si>
    <t>2019-06-25@2.xlsm</t>
  </si>
  <si>
    <t>2019-06-26@2.xlsm</t>
  </si>
  <si>
    <t>2019-06-27@2.xlsm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</si>
</sst>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全体!$K$2:$K$713</c:f>
              <c:numCache>
                <c:formatCode>General</c:formatCode>
                <c:ptCount val="7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</c:numCache>
            </c:numRef>
          </c:xVal>
          <c:yVal>
            <c:numRef>
              <c:f>全体!$L$2:$L$713</c:f>
              <c:numCache>
                <c:formatCode>\+0.0;\-0.0;\±0</c:formatCode>
                <c:ptCount val="712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5.3000000000000025</c:v>
                </c:pt>
                <c:pt idx="707">
                  <c:v>-26.799999999999997</c:v>
                </c:pt>
                <c:pt idx="708">
                  <c:v>3.5527136788005009E-15</c:v>
                </c:pt>
                <c:pt idx="709">
                  <c:v>9.4000000000000039</c:v>
                </c:pt>
                <c:pt idx="710">
                  <c:v>-36.399999999999991</c:v>
                </c:pt>
                <c:pt idx="711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9D-4184-BE77-9E118DE6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-16.877637130801688</c:v>
                </c:pt>
                <c:pt idx="1">
                  <c:v>-4.3103448275862073</c:v>
                </c:pt>
                <c:pt idx="2">
                  <c:v>9.2165898617511512</c:v>
                </c:pt>
                <c:pt idx="3">
                  <c:v>6.700167504187605</c:v>
                </c:pt>
                <c:pt idx="4">
                  <c:v>-11.235955056179776</c:v>
                </c:pt>
                <c:pt idx="5">
                  <c:v>23.354564755838641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F8-4710-A8CE-A28E763AA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だいち!$K$2:$K$160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だいち!$L$2:$L$160</c:f>
              <c:numCache>
                <c:formatCode>\+0.0;\-0.0;\±0</c:formatCode>
                <c:ptCount val="159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B2-48DD-99FA-A48BE0756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1979.746835443038</c:v>
                </c:pt>
                <c:pt idx="1">
                  <c:v>2033.1168831168832</c:v>
                </c:pt>
                <c:pt idx="2">
                  <c:v>786.98630136986299</c:v>
                </c:pt>
                <c:pt idx="3">
                  <c:v>2197.7777777777778</c:v>
                </c:pt>
                <c:pt idx="4">
                  <c:v>106.77966101694915</c:v>
                </c:pt>
                <c:pt idx="5">
                  <c:v>850.98039215686276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AA-4B57-A04B-3A47E7869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りくと!$K$2:$K$131</c:f>
              <c:numCache>
                <c:formatCode>General</c:formatCode>
                <c:ptCount val="1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</c:numCache>
            </c:numRef>
          </c:xVal>
          <c:yVal>
            <c:numRef>
              <c:f>りくと!$L$2:$L$131</c:f>
              <c:numCache>
                <c:formatCode>\+0.0;\-0.0;\±0</c:formatCode>
                <c:ptCount val="130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E4-4145-97F2-68188FB05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124.8062015503876</c:v>
                </c:pt>
                <c:pt idx="1">
                  <c:v>-2027.2</c:v>
                </c:pt>
                <c:pt idx="2">
                  <c:v>407.43801652892563</c:v>
                </c:pt>
                <c:pt idx="3">
                  <c:v>57.407407407407405</c:v>
                </c:pt>
                <c:pt idx="4">
                  <c:v>915.625</c:v>
                </c:pt>
                <c:pt idx="5">
                  <c:v>237.93103448275863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FA-4F91-9773-27F119D74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ただ!$L$2:$L$99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EC-451E-9E41-677F6D840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-2910.3092783505153</c:v>
                </c:pt>
                <c:pt idx="1">
                  <c:v>-1356.8421052631579</c:v>
                </c:pt>
                <c:pt idx="2">
                  <c:v>-204.49438202247191</c:v>
                </c:pt>
                <c:pt idx="3">
                  <c:v>-4174.6835443037971</c:v>
                </c:pt>
                <c:pt idx="4">
                  <c:v>-608.33333333333337</c:v>
                </c:pt>
                <c:pt idx="5">
                  <c:v>-1085.9375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7-49C1-8E58-14B6F8C16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れんたろう!$K$2:$K$94</c:f>
              <c:numCache>
                <c:formatCode>General</c:formatCode>
                <c:ptCount val="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</c:numCache>
            </c:numRef>
          </c:xVal>
          <c:yVal>
            <c:numRef>
              <c:f>れんたろう!$L$2:$L$94</c:f>
              <c:numCache>
                <c:formatCode>\+0.0;\-0.0;\±0</c:formatCode>
                <c:ptCount val="93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61-4878-925F-1C35A1D12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-723.91304347826087</c:v>
                </c:pt>
                <c:pt idx="1">
                  <c:v>150</c:v>
                </c:pt>
                <c:pt idx="2">
                  <c:v>1246.9879518072289</c:v>
                </c:pt>
                <c:pt idx="3">
                  <c:v>715.27777777777783</c:v>
                </c:pt>
                <c:pt idx="4">
                  <c:v>-1033.3333333333333</c:v>
                </c:pt>
                <c:pt idx="5">
                  <c:v>-192.98245614035088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62-48F0-BDDE-F75672C66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たかの!$K$2:$K$85</c:f>
              <c:numCache>
                <c:formatCode>General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たかの!$L$2:$L$85</c:f>
              <c:numCache>
                <c:formatCode>\+0.0;\-0.0;\±0</c:formatCode>
                <c:ptCount val="84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62-403F-8530-EC9B6F247E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793.97590361445782</c:v>
                </c:pt>
                <c:pt idx="1">
                  <c:v>-1550.6024096385543</c:v>
                </c:pt>
                <c:pt idx="2">
                  <c:v>-1605.4054054054054</c:v>
                </c:pt>
                <c:pt idx="3">
                  <c:v>1146.4788732394366</c:v>
                </c:pt>
                <c:pt idx="4">
                  <c:v>856.06060606060601</c:v>
                </c:pt>
                <c:pt idx="5">
                  <c:v>-510.34482758620692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35-4C80-80E6-F4A34996C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ぱぱ!$L$2:$L$49</c:f>
              <c:numCache>
                <c:formatCode>\+0.0;\-0.0;\±0</c:formatCode>
                <c:ptCount val="48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69-4AD2-B87C-D7D580C4B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-2731.9148936170213</c:v>
                </c:pt>
                <c:pt idx="1">
                  <c:v>2059.5744680851062</c:v>
                </c:pt>
                <c:pt idx="2">
                  <c:v>-1050</c:v>
                </c:pt>
                <c:pt idx="3">
                  <c:v>-3870.731707317073</c:v>
                </c:pt>
                <c:pt idx="4">
                  <c:v>-902.70270270270271</c:v>
                </c:pt>
                <c:pt idx="5">
                  <c:v>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F5-47BC-B708-52F38F084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まっつん!$K$2:$K$74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まっつん!$L$2:$L$74</c:f>
              <c:numCache>
                <c:formatCode>\+0.0;\-0.0;\±0</c:formatCode>
                <c:ptCount val="73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79-4DFF-A543-CF34F2FF2D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1326.3888888888889</c:v>
                </c:pt>
                <c:pt idx="1">
                  <c:v>891.304347826087</c:v>
                </c:pt>
                <c:pt idx="2">
                  <c:v>-395.16129032258067</c:v>
                </c:pt>
                <c:pt idx="3">
                  <c:v>2093.3333333333335</c:v>
                </c:pt>
                <c:pt idx="4">
                  <c:v>-900</c:v>
                </c:pt>
                <c:pt idx="5">
                  <c:v>440.90909090909093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51-4EE5-9B4F-4BA98D9E4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36-4E00-945E-A4295EB1E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58-4BCF-8D78-8462139A7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いっしー!$L$2:$L$20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64-456D-8A2C-B4C092E43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-1016.6666666666666</c:v>
                </c:pt>
                <c:pt idx="1">
                  <c:v>-1044.4444444444443</c:v>
                </c:pt>
                <c:pt idx="2">
                  <c:v>152.94117647058823</c:v>
                </c:pt>
                <c:pt idx="3">
                  <c:v>-4237.5</c:v>
                </c:pt>
                <c:pt idx="4">
                  <c:v>-243.75</c:v>
                </c:pt>
                <c:pt idx="5">
                  <c:v>-3330.7692307692309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78-4064-9EAE-85A29CC68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ほたに!$L$2:$L$11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F4-4511-95A3-50896A52F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-1966.6666666666667</c:v>
                </c:pt>
                <c:pt idx="1">
                  <c:v>4077.7777777777778</c:v>
                </c:pt>
                <c:pt idx="2">
                  <c:v>-3733.3333333333335</c:v>
                </c:pt>
                <c:pt idx="3">
                  <c:v>-1666.6666666666667</c:v>
                </c:pt>
                <c:pt idx="4">
                  <c:v>1957.1428571428571</c:v>
                </c:pt>
                <c:pt idx="5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91-4A7E-867C-54E3D3F64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B-440D-9FD4-7FBB8A86F5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FE-4768-AED9-AC56CBA02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86-40BE-B2A0-962C64700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-7000</c:v>
                </c:pt>
                <c:pt idx="2">
                  <c:v>-3000</c:v>
                </c:pt>
                <c:pt idx="3">
                  <c:v>-1000</c:v>
                </c:pt>
                <c:pt idx="4">
                  <c:v>400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3A-403C-BAB8-D4DACEF26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まっつん2!$B$3:$B$75</c:f>
              <c:numCache>
                <c:formatCode>\+0.0;\-0.0;\±0</c:formatCode>
                <c:ptCount val="73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まっつん2!$C$3:$C$75</c:f>
              <c:numCache>
                <c:formatCode>\+0.0;\-0.0;\±0</c:formatCode>
                <c:ptCount val="73"/>
                <c:pt idx="1">
                  <c:v>-1.9</c:v>
                </c:pt>
                <c:pt idx="2">
                  <c:v>15</c:v>
                </c:pt>
                <c:pt idx="3">
                  <c:v>-3.3333333333333335</c:v>
                </c:pt>
                <c:pt idx="4">
                  <c:v>10</c:v>
                </c:pt>
                <c:pt idx="5">
                  <c:v>7.08</c:v>
                </c:pt>
                <c:pt idx="6">
                  <c:v>0.6499999999999998</c:v>
                </c:pt>
                <c:pt idx="7">
                  <c:v>-4.3</c:v>
                </c:pt>
                <c:pt idx="8">
                  <c:v>-10.887499999999999</c:v>
                </c:pt>
                <c:pt idx="9">
                  <c:v>-14.288888888888888</c:v>
                </c:pt>
                <c:pt idx="10">
                  <c:v>-18.369999999999997</c:v>
                </c:pt>
                <c:pt idx="11">
                  <c:v>-13.899999999999999</c:v>
                </c:pt>
                <c:pt idx="12">
                  <c:v>-17.341666666666665</c:v>
                </c:pt>
                <c:pt idx="13">
                  <c:v>-16.123076923076919</c:v>
                </c:pt>
                <c:pt idx="14">
                  <c:v>-12.749999999999998</c:v>
                </c:pt>
                <c:pt idx="15">
                  <c:v>-9.7466666666666661</c:v>
                </c:pt>
                <c:pt idx="16">
                  <c:v>-9.5812499999999989</c:v>
                </c:pt>
                <c:pt idx="17">
                  <c:v>-9.4823529411764707</c:v>
                </c:pt>
                <c:pt idx="18">
                  <c:v>-8.8333333333333339</c:v>
                </c:pt>
                <c:pt idx="19">
                  <c:v>-12.4</c:v>
                </c:pt>
                <c:pt idx="20">
                  <c:v>-10.040000000000001</c:v>
                </c:pt>
                <c:pt idx="21">
                  <c:v>-8.9809523809523828</c:v>
                </c:pt>
                <c:pt idx="22">
                  <c:v>-6.4818181818181833</c:v>
                </c:pt>
                <c:pt idx="23">
                  <c:v>-6.339130434782609</c:v>
                </c:pt>
                <c:pt idx="24">
                  <c:v>-8.5</c:v>
                </c:pt>
                <c:pt idx="25">
                  <c:v>-6.06</c:v>
                </c:pt>
                <c:pt idx="26">
                  <c:v>-4.4269230769230763</c:v>
                </c:pt>
                <c:pt idx="27">
                  <c:v>-1.0037037037037035</c:v>
                </c:pt>
                <c:pt idx="28">
                  <c:v>0.25714285714285723</c:v>
                </c:pt>
                <c:pt idx="29">
                  <c:v>-1.6896551724137931</c:v>
                </c:pt>
                <c:pt idx="30">
                  <c:v>-3.32</c:v>
                </c:pt>
                <c:pt idx="31">
                  <c:v>-1.7483870967741935</c:v>
                </c:pt>
                <c:pt idx="32">
                  <c:v>-2.875</c:v>
                </c:pt>
                <c:pt idx="33">
                  <c:v>-3.2545454545454549</c:v>
                </c:pt>
                <c:pt idx="34">
                  <c:v>-1.3470588235294119</c:v>
                </c:pt>
                <c:pt idx="35">
                  <c:v>0.55428571428571427</c:v>
                </c:pt>
                <c:pt idx="36">
                  <c:v>2.3833333333333337</c:v>
                </c:pt>
                <c:pt idx="37">
                  <c:v>1.2081081081081084</c:v>
                </c:pt>
                <c:pt idx="38">
                  <c:v>-0.49473684210526292</c:v>
                </c:pt>
                <c:pt idx="39">
                  <c:v>-0.42820512820512791</c:v>
                </c:pt>
                <c:pt idx="40">
                  <c:v>0.98250000000000026</c:v>
                </c:pt>
                <c:pt idx="41">
                  <c:v>2.3487804878048784</c:v>
                </c:pt>
                <c:pt idx="42">
                  <c:v>2.323809523809524</c:v>
                </c:pt>
                <c:pt idx="43">
                  <c:v>2.3976744186046512</c:v>
                </c:pt>
                <c:pt idx="44">
                  <c:v>2.1954545454545458</c:v>
                </c:pt>
                <c:pt idx="45">
                  <c:v>0.87777777777777799</c:v>
                </c:pt>
                <c:pt idx="46">
                  <c:v>0.8108695652173914</c:v>
                </c:pt>
                <c:pt idx="47">
                  <c:v>1.5127659574468084</c:v>
                </c:pt>
                <c:pt idx="48">
                  <c:v>0.85208333333333319</c:v>
                </c:pt>
                <c:pt idx="49">
                  <c:v>-0.61020408163265316</c:v>
                </c:pt>
                <c:pt idx="50">
                  <c:v>-0.53800000000000014</c:v>
                </c:pt>
                <c:pt idx="51">
                  <c:v>0.41176470588235281</c:v>
                </c:pt>
                <c:pt idx="52">
                  <c:v>0.59038461538461529</c:v>
                </c:pt>
                <c:pt idx="53">
                  <c:v>1.4490566037735848</c:v>
                </c:pt>
                <c:pt idx="54">
                  <c:v>2.4685185185185188</c:v>
                </c:pt>
                <c:pt idx="55">
                  <c:v>3.3018181818181822</c:v>
                </c:pt>
                <c:pt idx="56">
                  <c:v>3.3500000000000005</c:v>
                </c:pt>
                <c:pt idx="57">
                  <c:v>4.4824561403508776</c:v>
                </c:pt>
                <c:pt idx="58">
                  <c:v>4.2172413793103454</c:v>
                </c:pt>
                <c:pt idx="59">
                  <c:v>5</c:v>
                </c:pt>
                <c:pt idx="60">
                  <c:v>5.9899999999999993</c:v>
                </c:pt>
                <c:pt idx="61">
                  <c:v>5.6967213114754101</c:v>
                </c:pt>
                <c:pt idx="62">
                  <c:v>5.5741935483870968</c:v>
                </c:pt>
                <c:pt idx="63">
                  <c:v>4.5650793650793657</c:v>
                </c:pt>
                <c:pt idx="64">
                  <c:v>5.0562500000000004</c:v>
                </c:pt>
                <c:pt idx="65">
                  <c:v>5.0553846153846154</c:v>
                </c:pt>
                <c:pt idx="66">
                  <c:v>4.6515151515151514</c:v>
                </c:pt>
                <c:pt idx="67">
                  <c:v>4.0910447761194035</c:v>
                </c:pt>
                <c:pt idx="68">
                  <c:v>4.197058823529412</c:v>
                </c:pt>
                <c:pt idx="69">
                  <c:v>4.7884057971014498</c:v>
                </c:pt>
                <c:pt idx="70">
                  <c:v>5.4642857142857153</c:v>
                </c:pt>
                <c:pt idx="71">
                  <c:v>4.9352112676056343</c:v>
                </c:pt>
                <c:pt idx="72">
                  <c:v>4.2305555555555561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9935687167383994E-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まっつん2!$D$3:$D$75</c:f>
              <c:numCache>
                <c:formatCode>0.00\ "位"</c:formatCode>
                <c:ptCount val="73"/>
                <c:pt idx="1">
                  <c:v>2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2.3333333333333335</c:v>
                </c:pt>
                <c:pt idx="13">
                  <c:v>2.3076923076923075</c:v>
                </c:pt>
                <c:pt idx="14">
                  <c:v>2.2142857142857144</c:v>
                </c:pt>
                <c:pt idx="15">
                  <c:v>2.1333333333333333</c:v>
                </c:pt>
                <c:pt idx="16">
                  <c:v>2.125</c:v>
                </c:pt>
                <c:pt idx="17">
                  <c:v>2.1176470588235294</c:v>
                </c:pt>
                <c:pt idx="18">
                  <c:v>2.1111111111111112</c:v>
                </c:pt>
                <c:pt idx="19">
                  <c:v>2.1578947368421053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2.0454545454545454</c:v>
                </c:pt>
                <c:pt idx="23">
                  <c:v>2.0434782608695654</c:v>
                </c:pt>
                <c:pt idx="24">
                  <c:v>2.0833333333333335</c:v>
                </c:pt>
                <c:pt idx="25">
                  <c:v>2.04</c:v>
                </c:pt>
                <c:pt idx="26">
                  <c:v>2</c:v>
                </c:pt>
                <c:pt idx="27">
                  <c:v>1.962962962962963</c:v>
                </c:pt>
                <c:pt idx="28">
                  <c:v>1.9285714285714286</c:v>
                </c:pt>
                <c:pt idx="29">
                  <c:v>1.9655172413793103</c:v>
                </c:pt>
                <c:pt idx="30">
                  <c:v>2</c:v>
                </c:pt>
                <c:pt idx="31">
                  <c:v>1.967741935483871</c:v>
                </c:pt>
                <c:pt idx="32">
                  <c:v>2</c:v>
                </c:pt>
                <c:pt idx="33">
                  <c:v>2</c:v>
                </c:pt>
                <c:pt idx="34">
                  <c:v>1.9705882352941178</c:v>
                </c:pt>
                <c:pt idx="35">
                  <c:v>1.9428571428571428</c:v>
                </c:pt>
                <c:pt idx="36">
                  <c:v>1.9166666666666667</c:v>
                </c:pt>
                <c:pt idx="37">
                  <c:v>1.9459459459459461</c:v>
                </c:pt>
                <c:pt idx="38">
                  <c:v>1.9736842105263157</c:v>
                </c:pt>
                <c:pt idx="39">
                  <c:v>1.9743589743589745</c:v>
                </c:pt>
                <c:pt idx="40">
                  <c:v>1.95</c:v>
                </c:pt>
                <c:pt idx="41">
                  <c:v>1.9268292682926829</c:v>
                </c:pt>
                <c:pt idx="42">
                  <c:v>1.9285714285714286</c:v>
                </c:pt>
                <c:pt idx="43">
                  <c:v>1.930232558139535</c:v>
                </c:pt>
                <c:pt idx="44">
                  <c:v>1.9318181818181819</c:v>
                </c:pt>
                <c:pt idx="45">
                  <c:v>1.9555555555555555</c:v>
                </c:pt>
                <c:pt idx="46">
                  <c:v>1.9565217391304348</c:v>
                </c:pt>
                <c:pt idx="47">
                  <c:v>1.9361702127659575</c:v>
                </c:pt>
                <c:pt idx="48">
                  <c:v>1.9583333333333333</c:v>
                </c:pt>
                <c:pt idx="49">
                  <c:v>1.9795918367346939</c:v>
                </c:pt>
                <c:pt idx="50">
                  <c:v>1.98</c:v>
                </c:pt>
                <c:pt idx="51">
                  <c:v>1.9607843137254901</c:v>
                </c:pt>
                <c:pt idx="52">
                  <c:v>1.9615384615384615</c:v>
                </c:pt>
                <c:pt idx="53">
                  <c:v>1.9433962264150944</c:v>
                </c:pt>
                <c:pt idx="54">
                  <c:v>1.9259259259259258</c:v>
                </c:pt>
                <c:pt idx="55">
                  <c:v>1.9090909090909092</c:v>
                </c:pt>
                <c:pt idx="56">
                  <c:v>1.9107142857142858</c:v>
                </c:pt>
                <c:pt idx="57">
                  <c:v>1.8947368421052631</c:v>
                </c:pt>
                <c:pt idx="58">
                  <c:v>1.896551724137931</c:v>
                </c:pt>
                <c:pt idx="59">
                  <c:v>1.8813559322033899</c:v>
                </c:pt>
                <c:pt idx="60">
                  <c:v>1.8666666666666667</c:v>
                </c:pt>
                <c:pt idx="61">
                  <c:v>1.8688524590163935</c:v>
                </c:pt>
                <c:pt idx="62">
                  <c:v>1.8709677419354838</c:v>
                </c:pt>
                <c:pt idx="63">
                  <c:v>1.8888888888888888</c:v>
                </c:pt>
                <c:pt idx="64">
                  <c:v>1.875</c:v>
                </c:pt>
                <c:pt idx="65">
                  <c:v>1.8769230769230769</c:v>
                </c:pt>
                <c:pt idx="66">
                  <c:v>1.8787878787878789</c:v>
                </c:pt>
                <c:pt idx="67">
                  <c:v>1.8955223880597014</c:v>
                </c:pt>
                <c:pt idx="68">
                  <c:v>1.8970588235294117</c:v>
                </c:pt>
                <c:pt idx="69">
                  <c:v>1.8840579710144927</c:v>
                </c:pt>
                <c:pt idx="70">
                  <c:v>1.8714285714285714</c:v>
                </c:pt>
                <c:pt idx="71">
                  <c:v>1.8873239436619718</c:v>
                </c:pt>
                <c:pt idx="72">
                  <c:v>1.9027777777777777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まっつん2!$E$3:$E$75</c:f>
              <c:numCache>
                <c:formatCode>0.0%</c:formatCode>
                <c:ptCount val="7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0.4</c:v>
                </c:pt>
                <c:pt idx="36">
                  <c:v>0.41666666666666669</c:v>
                </c:pt>
                <c:pt idx="37">
                  <c:v>0.40540540540540543</c:v>
                </c:pt>
                <c:pt idx="38">
                  <c:v>0.39473684210526316</c:v>
                </c:pt>
                <c:pt idx="39">
                  <c:v>0.38461538461538464</c:v>
                </c:pt>
                <c:pt idx="40">
                  <c:v>0.4</c:v>
                </c:pt>
                <c:pt idx="41">
                  <c:v>0.41463414634146339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0.38636363636363635</c:v>
                </c:pt>
                <c:pt idx="45">
                  <c:v>0.37777777777777777</c:v>
                </c:pt>
                <c:pt idx="46">
                  <c:v>0.36956521739130432</c:v>
                </c:pt>
                <c:pt idx="47">
                  <c:v>0.38297872340425532</c:v>
                </c:pt>
                <c:pt idx="48">
                  <c:v>0.375</c:v>
                </c:pt>
                <c:pt idx="49">
                  <c:v>0.36734693877551022</c:v>
                </c:pt>
                <c:pt idx="50">
                  <c:v>0.36</c:v>
                </c:pt>
                <c:pt idx="51">
                  <c:v>0.37254901960784315</c:v>
                </c:pt>
                <c:pt idx="52">
                  <c:v>0.36538461538461536</c:v>
                </c:pt>
                <c:pt idx="53">
                  <c:v>0.37735849056603776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0.40350877192982454</c:v>
                </c:pt>
                <c:pt idx="58">
                  <c:v>0.39655172413793105</c:v>
                </c:pt>
                <c:pt idx="59">
                  <c:v>0.40677966101694918</c:v>
                </c:pt>
                <c:pt idx="60">
                  <c:v>0.41666666666666669</c:v>
                </c:pt>
                <c:pt idx="61">
                  <c:v>0.4098360655737705</c:v>
                </c:pt>
                <c:pt idx="62">
                  <c:v>0.40322580645161288</c:v>
                </c:pt>
                <c:pt idx="63">
                  <c:v>0.3968253968253968</c:v>
                </c:pt>
                <c:pt idx="64">
                  <c:v>0.40625</c:v>
                </c:pt>
                <c:pt idx="65">
                  <c:v>0.4</c:v>
                </c:pt>
                <c:pt idx="66">
                  <c:v>0.39393939393939392</c:v>
                </c:pt>
                <c:pt idx="67">
                  <c:v>0.38805970149253732</c:v>
                </c:pt>
                <c:pt idx="68">
                  <c:v>0.38235294117647056</c:v>
                </c:pt>
                <c:pt idx="69">
                  <c:v>0.39130434782608697</c:v>
                </c:pt>
                <c:pt idx="70">
                  <c:v>0.4</c:v>
                </c:pt>
                <c:pt idx="71">
                  <c:v>0.39436619718309857</c:v>
                </c:pt>
                <c:pt idx="72">
                  <c:v>0.3888888888888889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まっつん2!$F$3:$F$75</c:f>
              <c:numCache>
                <c:formatCode>0.0%</c:formatCode>
                <c:ptCount val="7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0.375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0.36842105263157893</c:v>
                </c:pt>
                <c:pt idx="39">
                  <c:v>0.35897435897435898</c:v>
                </c:pt>
                <c:pt idx="40">
                  <c:v>0.35</c:v>
                </c:pt>
                <c:pt idx="41">
                  <c:v>0.34146341463414637</c:v>
                </c:pt>
                <c:pt idx="42">
                  <c:v>0.33333333333333331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0.33333333333333331</c:v>
                </c:pt>
                <c:pt idx="49">
                  <c:v>0.34693877551020408</c:v>
                </c:pt>
                <c:pt idx="50">
                  <c:v>0.34</c:v>
                </c:pt>
                <c:pt idx="51">
                  <c:v>0.33333333333333331</c:v>
                </c:pt>
                <c:pt idx="52">
                  <c:v>0.32692307692307693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0.30909090909090908</c:v>
                </c:pt>
                <c:pt idx="56">
                  <c:v>0.30357142857142855</c:v>
                </c:pt>
                <c:pt idx="57">
                  <c:v>0.2982456140350877</c:v>
                </c:pt>
                <c:pt idx="58">
                  <c:v>0.29310344827586204</c:v>
                </c:pt>
                <c:pt idx="59">
                  <c:v>0.28813559322033899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0.27419354838709675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0.27692307692307694</c:v>
                </c:pt>
                <c:pt idx="66">
                  <c:v>0.27272727272727271</c:v>
                </c:pt>
                <c:pt idx="67">
                  <c:v>0.28358208955223879</c:v>
                </c:pt>
                <c:pt idx="68">
                  <c:v>0.27941176470588236</c:v>
                </c:pt>
                <c:pt idx="69">
                  <c:v>0.27536231884057971</c:v>
                </c:pt>
                <c:pt idx="70">
                  <c:v>0.27142857142857141</c:v>
                </c:pt>
                <c:pt idx="71">
                  <c:v>0.28169014084507044</c:v>
                </c:pt>
                <c:pt idx="72">
                  <c:v>0.29166666666666669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まっつん2!$G$3:$G$75</c:f>
              <c:numCache>
                <c:formatCode>0.0%</c:formatCode>
                <c:ptCount val="73"/>
                <c:pt idx="1">
                  <c:v>0.2857142857142857</c:v>
                </c:pt>
                <c:pt idx="2">
                  <c:v>0.29411764705882354</c:v>
                </c:pt>
                <c:pt idx="3">
                  <c:v>0.29166666666666669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0.31111111111111112</c:v>
                </c:pt>
                <c:pt idx="7">
                  <c:v>0.27777777777777779</c:v>
                </c:pt>
                <c:pt idx="8">
                  <c:v>0.25</c:v>
                </c:pt>
                <c:pt idx="9">
                  <c:v>0.24637681159420291</c:v>
                </c:pt>
                <c:pt idx="10">
                  <c:v>0.2361111111111111</c:v>
                </c:pt>
                <c:pt idx="11">
                  <c:v>0.24691358024691357</c:v>
                </c:pt>
                <c:pt idx="12">
                  <c:v>0.22988505747126436</c:v>
                </c:pt>
                <c:pt idx="13">
                  <c:v>0.23404255319148937</c:v>
                </c:pt>
                <c:pt idx="14">
                  <c:v>0.25242718446601942</c:v>
                </c:pt>
                <c:pt idx="15">
                  <c:v>0.25663716814159293</c:v>
                </c:pt>
                <c:pt idx="16">
                  <c:v>0.25833333333333336</c:v>
                </c:pt>
                <c:pt idx="17">
                  <c:v>0.25190839694656486</c:v>
                </c:pt>
                <c:pt idx="18">
                  <c:v>0.24285714285714285</c:v>
                </c:pt>
                <c:pt idx="19">
                  <c:v>0.2348993288590604</c:v>
                </c:pt>
                <c:pt idx="20">
                  <c:v>0.24683544303797469</c:v>
                </c:pt>
                <c:pt idx="21">
                  <c:v>0.24848484848484848</c:v>
                </c:pt>
                <c:pt idx="22">
                  <c:v>0.26256983240223464</c:v>
                </c:pt>
                <c:pt idx="23">
                  <c:v>0.26595744680851063</c:v>
                </c:pt>
                <c:pt idx="24">
                  <c:v>0.26262626262626265</c:v>
                </c:pt>
                <c:pt idx="25">
                  <c:v>0.27450980392156865</c:v>
                </c:pt>
                <c:pt idx="26">
                  <c:v>0.27906976744186046</c:v>
                </c:pt>
                <c:pt idx="27">
                  <c:v>0.29223744292237441</c:v>
                </c:pt>
                <c:pt idx="28">
                  <c:v>0.29515418502202645</c:v>
                </c:pt>
                <c:pt idx="29">
                  <c:v>0.29487179487179488</c:v>
                </c:pt>
                <c:pt idx="30">
                  <c:v>0.28799999999999998</c:v>
                </c:pt>
                <c:pt idx="31">
                  <c:v>0.29296875</c:v>
                </c:pt>
                <c:pt idx="32">
                  <c:v>0.29056603773584905</c:v>
                </c:pt>
                <c:pt idx="33">
                  <c:v>0.28832116788321166</c:v>
                </c:pt>
                <c:pt idx="34">
                  <c:v>0.29328621908127206</c:v>
                </c:pt>
                <c:pt idx="35">
                  <c:v>0.2986111111111111</c:v>
                </c:pt>
                <c:pt idx="36">
                  <c:v>0.30132450331125826</c:v>
                </c:pt>
                <c:pt idx="37">
                  <c:v>0.29773462783171523</c:v>
                </c:pt>
                <c:pt idx="38">
                  <c:v>0.29153605015673983</c:v>
                </c:pt>
                <c:pt idx="39">
                  <c:v>0.29447852760736198</c:v>
                </c:pt>
                <c:pt idx="40">
                  <c:v>0.3</c:v>
                </c:pt>
                <c:pt idx="41">
                  <c:v>0.30630630630630629</c:v>
                </c:pt>
                <c:pt idx="42">
                  <c:v>0.30791788856304986</c:v>
                </c:pt>
                <c:pt idx="43">
                  <c:v>0.30945558739255014</c:v>
                </c:pt>
                <c:pt idx="44">
                  <c:v>0.30422535211267604</c:v>
                </c:pt>
                <c:pt idx="45">
                  <c:v>0.29700272479564033</c:v>
                </c:pt>
                <c:pt idx="46">
                  <c:v>0.29333333333333333</c:v>
                </c:pt>
                <c:pt idx="47">
                  <c:v>0.29396325459317585</c:v>
                </c:pt>
                <c:pt idx="48">
                  <c:v>0.29591836734693877</c:v>
                </c:pt>
                <c:pt idx="49">
                  <c:v>0.29219143576826195</c:v>
                </c:pt>
                <c:pt idx="50">
                  <c:v>0.29484029484029484</c:v>
                </c:pt>
                <c:pt idx="51">
                  <c:v>0.29879518072289157</c:v>
                </c:pt>
                <c:pt idx="52">
                  <c:v>0.30023640661938533</c:v>
                </c:pt>
                <c:pt idx="53">
                  <c:v>0.30162412993039445</c:v>
                </c:pt>
                <c:pt idx="54">
                  <c:v>0.30523917995444189</c:v>
                </c:pt>
                <c:pt idx="55">
                  <c:v>0.3087248322147651</c:v>
                </c:pt>
                <c:pt idx="56">
                  <c:v>0.30905077262693159</c:v>
                </c:pt>
                <c:pt idx="57">
                  <c:v>0.31372549019607843</c:v>
                </c:pt>
                <c:pt idx="58">
                  <c:v>0.30916844349680173</c:v>
                </c:pt>
                <c:pt idx="59">
                  <c:v>0.30721649484536084</c:v>
                </c:pt>
                <c:pt idx="60">
                  <c:v>0.30894308943089432</c:v>
                </c:pt>
                <c:pt idx="61">
                  <c:v>0.30645161290322581</c:v>
                </c:pt>
                <c:pt idx="62">
                  <c:v>0.3061630218687873</c:v>
                </c:pt>
                <c:pt idx="63">
                  <c:v>0.30078125</c:v>
                </c:pt>
                <c:pt idx="64">
                  <c:v>0.30250481695568399</c:v>
                </c:pt>
                <c:pt idx="65">
                  <c:v>0.30285714285714288</c:v>
                </c:pt>
                <c:pt idx="66">
                  <c:v>0.29906542056074764</c:v>
                </c:pt>
                <c:pt idx="67">
                  <c:v>0.29520295202952029</c:v>
                </c:pt>
                <c:pt idx="68">
                  <c:v>0.29454545454545455</c:v>
                </c:pt>
                <c:pt idx="69">
                  <c:v>0.29749103942652327</c:v>
                </c:pt>
                <c:pt idx="70">
                  <c:v>0.29720279720279719</c:v>
                </c:pt>
                <c:pt idx="71">
                  <c:v>0.29776247848537007</c:v>
                </c:pt>
                <c:pt idx="72">
                  <c:v>0.29471890971039183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885511651469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まっつん2!$H$3:$H$75</c:f>
              <c:numCache>
                <c:formatCode>0.0%</c:formatCode>
                <c:ptCount val="73"/>
                <c:pt idx="1">
                  <c:v>0.14285714285714285</c:v>
                </c:pt>
                <c:pt idx="2">
                  <c:v>0.17647058823529413</c:v>
                </c:pt>
                <c:pt idx="3">
                  <c:v>0.20833333333333334</c:v>
                </c:pt>
                <c:pt idx="4">
                  <c:v>0.15151515151515152</c:v>
                </c:pt>
                <c:pt idx="5">
                  <c:v>0.15384615384615385</c:v>
                </c:pt>
                <c:pt idx="6">
                  <c:v>0.2</c:v>
                </c:pt>
                <c:pt idx="7">
                  <c:v>0.18518518518518517</c:v>
                </c:pt>
                <c:pt idx="8">
                  <c:v>0.18333333333333332</c:v>
                </c:pt>
                <c:pt idx="9">
                  <c:v>0.17391304347826086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0.20689655172413793</c:v>
                </c:pt>
                <c:pt idx="13">
                  <c:v>0.20212765957446807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0.20610687022900764</c:v>
                </c:pt>
                <c:pt idx="18">
                  <c:v>0.2</c:v>
                </c:pt>
                <c:pt idx="19">
                  <c:v>0.19463087248322147</c:v>
                </c:pt>
                <c:pt idx="20">
                  <c:v>0.18354430379746836</c:v>
                </c:pt>
                <c:pt idx="21">
                  <c:v>0.17575757575757575</c:v>
                </c:pt>
                <c:pt idx="22">
                  <c:v>0.16759776536312848</c:v>
                </c:pt>
                <c:pt idx="23">
                  <c:v>0.16489361702127658</c:v>
                </c:pt>
                <c:pt idx="24">
                  <c:v>0.18686868686868688</c:v>
                </c:pt>
                <c:pt idx="25">
                  <c:v>0.18137254901960784</c:v>
                </c:pt>
                <c:pt idx="26">
                  <c:v>0.18139534883720931</c:v>
                </c:pt>
                <c:pt idx="27">
                  <c:v>0.17808219178082191</c:v>
                </c:pt>
                <c:pt idx="28">
                  <c:v>0.17180616740088106</c:v>
                </c:pt>
                <c:pt idx="29">
                  <c:v>0.17948717948717949</c:v>
                </c:pt>
                <c:pt idx="30">
                  <c:v>0.17199999999999999</c:v>
                </c:pt>
                <c:pt idx="31">
                  <c:v>0.16796875</c:v>
                </c:pt>
                <c:pt idx="32">
                  <c:v>0.17358490566037735</c:v>
                </c:pt>
                <c:pt idx="33">
                  <c:v>0.17153284671532848</c:v>
                </c:pt>
                <c:pt idx="34">
                  <c:v>0.16961130742049471</c:v>
                </c:pt>
                <c:pt idx="35">
                  <c:v>0.1701388888888889</c:v>
                </c:pt>
                <c:pt idx="36">
                  <c:v>0.16556291390728478</c:v>
                </c:pt>
                <c:pt idx="37">
                  <c:v>0.1650485436893204</c:v>
                </c:pt>
                <c:pt idx="38">
                  <c:v>0.16614420062695925</c:v>
                </c:pt>
                <c:pt idx="39">
                  <c:v>0.16257668711656442</c:v>
                </c:pt>
                <c:pt idx="40">
                  <c:v>0.16060606060606061</c:v>
                </c:pt>
                <c:pt idx="41">
                  <c:v>0.15915915915915915</c:v>
                </c:pt>
                <c:pt idx="42">
                  <c:v>0.15835777126099707</c:v>
                </c:pt>
                <c:pt idx="43">
                  <c:v>0.15759312320916904</c:v>
                </c:pt>
                <c:pt idx="44">
                  <c:v>0.16056338028169015</c:v>
                </c:pt>
                <c:pt idx="45">
                  <c:v>0.16621253405994552</c:v>
                </c:pt>
                <c:pt idx="46">
                  <c:v>0.16266666666666665</c:v>
                </c:pt>
                <c:pt idx="47">
                  <c:v>0.16010498687664043</c:v>
                </c:pt>
                <c:pt idx="48">
                  <c:v>0.16071428571428573</c:v>
                </c:pt>
                <c:pt idx="49">
                  <c:v>0.16372795969773299</c:v>
                </c:pt>
                <c:pt idx="50">
                  <c:v>0.16461916461916462</c:v>
                </c:pt>
                <c:pt idx="51">
                  <c:v>0.16144578313253011</c:v>
                </c:pt>
                <c:pt idx="52">
                  <c:v>0.15839243498817968</c:v>
                </c:pt>
                <c:pt idx="53">
                  <c:v>0.1554524361948956</c:v>
                </c:pt>
                <c:pt idx="54">
                  <c:v>0.15261958997722094</c:v>
                </c:pt>
                <c:pt idx="55">
                  <c:v>0.14988814317673377</c:v>
                </c:pt>
                <c:pt idx="56">
                  <c:v>0.15231788079470199</c:v>
                </c:pt>
                <c:pt idx="57">
                  <c:v>0.15032679738562091</c:v>
                </c:pt>
                <c:pt idx="58">
                  <c:v>0.15351812366737741</c:v>
                </c:pt>
                <c:pt idx="59">
                  <c:v>0.15257731958762888</c:v>
                </c:pt>
                <c:pt idx="60">
                  <c:v>0.15040650406504066</c:v>
                </c:pt>
                <c:pt idx="61">
                  <c:v>0.14919354838709678</c:v>
                </c:pt>
                <c:pt idx="62">
                  <c:v>0.14910536779324055</c:v>
                </c:pt>
                <c:pt idx="63">
                  <c:v>0.1484375</c:v>
                </c:pt>
                <c:pt idx="64">
                  <c:v>0.14836223506743737</c:v>
                </c:pt>
                <c:pt idx="65">
                  <c:v>0.15047619047619049</c:v>
                </c:pt>
                <c:pt idx="66">
                  <c:v>0.15140186915887852</c:v>
                </c:pt>
                <c:pt idx="67">
                  <c:v>0.15313653136531366</c:v>
                </c:pt>
                <c:pt idx="68">
                  <c:v>0.15090909090909091</c:v>
                </c:pt>
                <c:pt idx="69">
                  <c:v>0.14874551971326164</c:v>
                </c:pt>
                <c:pt idx="70">
                  <c:v>0.14685314685314685</c:v>
                </c:pt>
                <c:pt idx="71">
                  <c:v>0.14802065404475043</c:v>
                </c:pt>
                <c:pt idx="72">
                  <c:v>0.14991482112436116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679837892603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まっつん2!$I$3:$I$75</c:f>
              <c:numCache>
                <c:formatCode>0</c:formatCode>
                <c:ptCount val="73"/>
                <c:pt idx="1">
                  <c:v>7050</c:v>
                </c:pt>
                <c:pt idx="2">
                  <c:v>8800</c:v>
                </c:pt>
                <c:pt idx="3">
                  <c:v>6828.5714285714284</c:v>
                </c:pt>
                <c:pt idx="4">
                  <c:v>7050</c:v>
                </c:pt>
                <c:pt idx="5">
                  <c:v>6607.6923076923076</c:v>
                </c:pt>
                <c:pt idx="6">
                  <c:v>6414.2857142857147</c:v>
                </c:pt>
                <c:pt idx="7">
                  <c:v>6253.333333333333</c:v>
                </c:pt>
                <c:pt idx="8">
                  <c:v>6253.333333333333</c:v>
                </c:pt>
                <c:pt idx="9">
                  <c:v>5694.1176470588234</c:v>
                </c:pt>
                <c:pt idx="10">
                  <c:v>5694.1176470588234</c:v>
                </c:pt>
                <c:pt idx="11">
                  <c:v>6480</c:v>
                </c:pt>
                <c:pt idx="12">
                  <c:v>6480</c:v>
                </c:pt>
                <c:pt idx="13">
                  <c:v>6218.181818181818</c:v>
                </c:pt>
                <c:pt idx="14">
                  <c:v>6103.8461538461543</c:v>
                </c:pt>
                <c:pt idx="15">
                  <c:v>6362.0689655172409</c:v>
                </c:pt>
                <c:pt idx="16">
                  <c:v>6458.0645161290322</c:v>
                </c:pt>
                <c:pt idx="17">
                  <c:v>7036.363636363636</c:v>
                </c:pt>
                <c:pt idx="18">
                  <c:v>7535.2941176470586</c:v>
                </c:pt>
                <c:pt idx="19">
                  <c:v>7431.4285714285716</c:v>
                </c:pt>
                <c:pt idx="20">
                  <c:v>7369.2307692307695</c:v>
                </c:pt>
                <c:pt idx="21">
                  <c:v>7512.1951219512193</c:v>
                </c:pt>
                <c:pt idx="22">
                  <c:v>7276.5957446808507</c:v>
                </c:pt>
                <c:pt idx="23">
                  <c:v>7186</c:v>
                </c:pt>
                <c:pt idx="24">
                  <c:v>7163.4615384615381</c:v>
                </c:pt>
                <c:pt idx="25">
                  <c:v>7285.7142857142853</c:v>
                </c:pt>
                <c:pt idx="26">
                  <c:v>7431.666666666667</c:v>
                </c:pt>
                <c:pt idx="27">
                  <c:v>7904.6875</c:v>
                </c:pt>
                <c:pt idx="28">
                  <c:v>7883.5820895522384</c:v>
                </c:pt>
                <c:pt idx="29">
                  <c:v>7846.376811594203</c:v>
                </c:pt>
                <c:pt idx="30">
                  <c:v>7775</c:v>
                </c:pt>
                <c:pt idx="31">
                  <c:v>7889.333333333333</c:v>
                </c:pt>
                <c:pt idx="32">
                  <c:v>7803.8961038961043</c:v>
                </c:pt>
                <c:pt idx="33">
                  <c:v>7783.5443037974683</c:v>
                </c:pt>
                <c:pt idx="34">
                  <c:v>7945.7831325301204</c:v>
                </c:pt>
                <c:pt idx="35">
                  <c:v>8409.3023255813951</c:v>
                </c:pt>
                <c:pt idx="36">
                  <c:v>8735.1648351648346</c:v>
                </c:pt>
                <c:pt idx="37">
                  <c:v>8683.6956521739139</c:v>
                </c:pt>
                <c:pt idx="38">
                  <c:v>8673.1182795698933</c:v>
                </c:pt>
                <c:pt idx="39">
                  <c:v>8621.875</c:v>
                </c:pt>
                <c:pt idx="40">
                  <c:v>8683.8383838383834</c:v>
                </c:pt>
                <c:pt idx="41">
                  <c:v>8781.3725490196084</c:v>
                </c:pt>
                <c:pt idx="42">
                  <c:v>8869.5238095238092</c:v>
                </c:pt>
                <c:pt idx="43">
                  <c:v>8845.3703703703704</c:v>
                </c:pt>
                <c:pt idx="44">
                  <c:v>8845.3703703703704</c:v>
                </c:pt>
                <c:pt idx="45">
                  <c:v>8874.3119266055037</c:v>
                </c:pt>
                <c:pt idx="46">
                  <c:v>8805.454545454546</c:v>
                </c:pt>
                <c:pt idx="47">
                  <c:v>8838.3928571428569</c:v>
                </c:pt>
                <c:pt idx="48">
                  <c:v>8723.2758620689656</c:v>
                </c:pt>
                <c:pt idx="49">
                  <c:v>8723.2758620689656</c:v>
                </c:pt>
                <c:pt idx="50">
                  <c:v>8586.6666666666661</c:v>
                </c:pt>
                <c:pt idx="51">
                  <c:v>8587.0967741935492</c:v>
                </c:pt>
                <c:pt idx="52">
                  <c:v>8508.6614173228354</c:v>
                </c:pt>
                <c:pt idx="53">
                  <c:v>8553.0769230769238</c:v>
                </c:pt>
                <c:pt idx="54">
                  <c:v>8598.507462686568</c:v>
                </c:pt>
                <c:pt idx="55">
                  <c:v>8637.68115942029</c:v>
                </c:pt>
                <c:pt idx="56">
                  <c:v>8685.7142857142862</c:v>
                </c:pt>
                <c:pt idx="57">
                  <c:v>8768.75</c:v>
                </c:pt>
                <c:pt idx="58">
                  <c:v>8762.0689655172409</c:v>
                </c:pt>
                <c:pt idx="59">
                  <c:v>8833.5570469798658</c:v>
                </c:pt>
                <c:pt idx="60">
                  <c:v>8948.0263157894733</c:v>
                </c:pt>
                <c:pt idx="61">
                  <c:v>8948.0263157894733</c:v>
                </c:pt>
                <c:pt idx="62">
                  <c:v>8912.9870129870123</c:v>
                </c:pt>
                <c:pt idx="63">
                  <c:v>8912.9870129870123</c:v>
                </c:pt>
                <c:pt idx="64">
                  <c:v>8923.5668789808915</c:v>
                </c:pt>
                <c:pt idx="65">
                  <c:v>8937.1069182389929</c:v>
                </c:pt>
                <c:pt idx="66">
                  <c:v>8905.625</c:v>
                </c:pt>
                <c:pt idx="67">
                  <c:v>8905.625</c:v>
                </c:pt>
                <c:pt idx="68">
                  <c:v>8905.5555555555547</c:v>
                </c:pt>
                <c:pt idx="69">
                  <c:v>8931.9277108433744</c:v>
                </c:pt>
                <c:pt idx="70">
                  <c:v>9014.1176470588234</c:v>
                </c:pt>
                <c:pt idx="71">
                  <c:v>8984.9710982658962</c:v>
                </c:pt>
                <c:pt idx="72">
                  <c:v>8984.9710982658962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712.42937853107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まっつん2!$J$3:$J$75</c:f>
              <c:numCache>
                <c:formatCode>0</c:formatCode>
                <c:ptCount val="73"/>
                <c:pt idx="1">
                  <c:v>-3900</c:v>
                </c:pt>
                <c:pt idx="2">
                  <c:v>-2933.3333333333335</c:v>
                </c:pt>
                <c:pt idx="3">
                  <c:v>-6560</c:v>
                </c:pt>
                <c:pt idx="4">
                  <c:v>-6560</c:v>
                </c:pt>
                <c:pt idx="5">
                  <c:v>-6116.666666666667</c:v>
                </c:pt>
                <c:pt idx="6">
                  <c:v>-5400</c:v>
                </c:pt>
                <c:pt idx="7">
                  <c:v>-6060</c:v>
                </c:pt>
                <c:pt idx="8">
                  <c:v>-6236.363636363636</c:v>
                </c:pt>
                <c:pt idx="9">
                  <c:v>-6358.333333333333</c:v>
                </c:pt>
                <c:pt idx="10">
                  <c:v>-6921.4285714285716</c:v>
                </c:pt>
                <c:pt idx="11">
                  <c:v>-7141.1764705882351</c:v>
                </c:pt>
                <c:pt idx="12">
                  <c:v>-7411.1111111111113</c:v>
                </c:pt>
                <c:pt idx="13">
                  <c:v>-7426.3157894736842</c:v>
                </c:pt>
                <c:pt idx="14">
                  <c:v>-7426.3157894736842</c:v>
                </c:pt>
                <c:pt idx="15">
                  <c:v>-7250</c:v>
                </c:pt>
                <c:pt idx="16">
                  <c:v>-7500</c:v>
                </c:pt>
                <c:pt idx="17">
                  <c:v>-7029.6296296296296</c:v>
                </c:pt>
                <c:pt idx="18">
                  <c:v>-6917.8571428571431</c:v>
                </c:pt>
                <c:pt idx="19">
                  <c:v>-7093.1034482758623</c:v>
                </c:pt>
                <c:pt idx="20">
                  <c:v>-7093.1034482758623</c:v>
                </c:pt>
                <c:pt idx="21">
                  <c:v>-7093.1034482758623</c:v>
                </c:pt>
                <c:pt idx="22">
                  <c:v>-7113.333333333333</c:v>
                </c:pt>
                <c:pt idx="23">
                  <c:v>-7464.5161290322585</c:v>
                </c:pt>
                <c:pt idx="24">
                  <c:v>-7291.8918918918916</c:v>
                </c:pt>
                <c:pt idx="25">
                  <c:v>-7291.8918918918916</c:v>
                </c:pt>
                <c:pt idx="26">
                  <c:v>-7292.3076923076924</c:v>
                </c:pt>
                <c:pt idx="27">
                  <c:v>-7292.3076923076924</c:v>
                </c:pt>
                <c:pt idx="28">
                  <c:v>-7292.3076923076924</c:v>
                </c:pt>
                <c:pt idx="29">
                  <c:v>-7771.4285714285716</c:v>
                </c:pt>
                <c:pt idx="30">
                  <c:v>-7769.7674418604647</c:v>
                </c:pt>
                <c:pt idx="31">
                  <c:v>-7769.7674418604647</c:v>
                </c:pt>
                <c:pt idx="32">
                  <c:v>-7741.304347826087</c:v>
                </c:pt>
                <c:pt idx="33">
                  <c:v>-7831.9148936170213</c:v>
                </c:pt>
                <c:pt idx="34">
                  <c:v>-7735.416666666667</c:v>
                </c:pt>
                <c:pt idx="35">
                  <c:v>-7822.4489795918371</c:v>
                </c:pt>
                <c:pt idx="36">
                  <c:v>-7782</c:v>
                </c:pt>
                <c:pt idx="37">
                  <c:v>-7680.3921568627447</c:v>
                </c:pt>
                <c:pt idx="38">
                  <c:v>-7664.1509433962265</c:v>
                </c:pt>
                <c:pt idx="39">
                  <c:v>-7664.1509433962265</c:v>
                </c:pt>
                <c:pt idx="40">
                  <c:v>-7664.1509433962265</c:v>
                </c:pt>
                <c:pt idx="41">
                  <c:v>-7664.1509433962265</c:v>
                </c:pt>
                <c:pt idx="42">
                  <c:v>-7670.3703703703704</c:v>
                </c:pt>
                <c:pt idx="43">
                  <c:v>-7749.090909090909</c:v>
                </c:pt>
                <c:pt idx="44">
                  <c:v>-7591.2280701754389</c:v>
                </c:pt>
                <c:pt idx="45">
                  <c:v>-7621.311475409836</c:v>
                </c:pt>
                <c:pt idx="46">
                  <c:v>-7621.311475409836</c:v>
                </c:pt>
                <c:pt idx="47">
                  <c:v>-7621.311475409836</c:v>
                </c:pt>
                <c:pt idx="48">
                  <c:v>-7787.3015873015875</c:v>
                </c:pt>
                <c:pt idx="49">
                  <c:v>-8036.9230769230771</c:v>
                </c:pt>
                <c:pt idx="50">
                  <c:v>-7931.3432835820895</c:v>
                </c:pt>
                <c:pt idx="51">
                  <c:v>-7931.3432835820895</c:v>
                </c:pt>
                <c:pt idx="52">
                  <c:v>-7931.3432835820895</c:v>
                </c:pt>
                <c:pt idx="53">
                  <c:v>-7931.3432835820895</c:v>
                </c:pt>
                <c:pt idx="54">
                  <c:v>-7931.3432835820895</c:v>
                </c:pt>
                <c:pt idx="55">
                  <c:v>-7931.3432835820895</c:v>
                </c:pt>
                <c:pt idx="56">
                  <c:v>-7991.304347826087</c:v>
                </c:pt>
                <c:pt idx="57">
                  <c:v>-7991.304347826087</c:v>
                </c:pt>
                <c:pt idx="58">
                  <c:v>-7793.0555555555557</c:v>
                </c:pt>
                <c:pt idx="59">
                  <c:v>-7635.135135135135</c:v>
                </c:pt>
                <c:pt idx="60">
                  <c:v>-7635.135135135135</c:v>
                </c:pt>
                <c:pt idx="61">
                  <c:v>-7635.135135135135</c:v>
                </c:pt>
                <c:pt idx="62">
                  <c:v>-7568</c:v>
                </c:pt>
                <c:pt idx="63">
                  <c:v>-7626.3157894736842</c:v>
                </c:pt>
                <c:pt idx="64">
                  <c:v>-7553.2467532467535</c:v>
                </c:pt>
                <c:pt idx="65">
                  <c:v>-7539.2405063291135</c:v>
                </c:pt>
                <c:pt idx="66">
                  <c:v>-7460.4938271604942</c:v>
                </c:pt>
                <c:pt idx="67">
                  <c:v>-7336.1445783132531</c:v>
                </c:pt>
                <c:pt idx="68">
                  <c:v>-7336.1445783132531</c:v>
                </c:pt>
                <c:pt idx="69">
                  <c:v>-7336.1445783132531</c:v>
                </c:pt>
                <c:pt idx="70">
                  <c:v>-7266.666666666667</c:v>
                </c:pt>
                <c:pt idx="71">
                  <c:v>-7139.5348837209303</c:v>
                </c:pt>
                <c:pt idx="72">
                  <c:v>-7112.5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70.69486404833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まっつん2!$K$3:$K$75</c:f>
              <c:numCache>
                <c:formatCode>0.0%</c:formatCode>
                <c:ptCount val="7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0.16216216216216217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0.17499999999999999</c:v>
                </c:pt>
                <c:pt idx="41">
                  <c:v>0.17073170731707318</c:v>
                </c:pt>
                <c:pt idx="42">
                  <c:v>0.16666666666666666</c:v>
                </c:pt>
                <c:pt idx="43">
                  <c:v>0.16279069767441862</c:v>
                </c:pt>
                <c:pt idx="44">
                  <c:v>0.15909090909090909</c:v>
                </c:pt>
                <c:pt idx="45">
                  <c:v>0.17777777777777778</c:v>
                </c:pt>
                <c:pt idx="46">
                  <c:v>0.17391304347826086</c:v>
                </c:pt>
                <c:pt idx="47">
                  <c:v>0.1702127659574468</c:v>
                </c:pt>
                <c:pt idx="48">
                  <c:v>0.16666666666666666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  <c:pt idx="52">
                  <c:v>0.17307692307692307</c:v>
                </c:pt>
                <c:pt idx="53">
                  <c:v>0.16981132075471697</c:v>
                </c:pt>
                <c:pt idx="54">
                  <c:v>0.16666666666666666</c:v>
                </c:pt>
                <c:pt idx="55">
                  <c:v>0.16363636363636364</c:v>
                </c:pt>
                <c:pt idx="56">
                  <c:v>0.16071428571428573</c:v>
                </c:pt>
                <c:pt idx="57">
                  <c:v>0.15789473684210525</c:v>
                </c:pt>
                <c:pt idx="58">
                  <c:v>0.15517241379310345</c:v>
                </c:pt>
                <c:pt idx="59">
                  <c:v>0.15254237288135594</c:v>
                </c:pt>
                <c:pt idx="60">
                  <c:v>0.15</c:v>
                </c:pt>
                <c:pt idx="61">
                  <c:v>0.14754098360655737</c:v>
                </c:pt>
                <c:pt idx="62">
                  <c:v>0.14516129032258066</c:v>
                </c:pt>
                <c:pt idx="63">
                  <c:v>0.15873015873015872</c:v>
                </c:pt>
                <c:pt idx="64">
                  <c:v>0.15625</c:v>
                </c:pt>
                <c:pt idx="65">
                  <c:v>0.15384615384615385</c:v>
                </c:pt>
                <c:pt idx="66">
                  <c:v>0.15151515151515152</c:v>
                </c:pt>
                <c:pt idx="67">
                  <c:v>0.14925373134328357</c:v>
                </c:pt>
                <c:pt idx="68">
                  <c:v>0.14705882352941177</c:v>
                </c:pt>
                <c:pt idx="69">
                  <c:v>0.14492753623188406</c:v>
                </c:pt>
                <c:pt idx="70">
                  <c:v>0.14285714285714285</c:v>
                </c:pt>
                <c:pt idx="71">
                  <c:v>0.14084507042253522</c:v>
                </c:pt>
                <c:pt idx="72">
                  <c:v>0.1388888888888889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095639943741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まっつん2!$L$3:$L$75</c:f>
              <c:numCache>
                <c:formatCode>0.0%</c:formatCode>
                <c:ptCount val="7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0.1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  <c:pt idx="52">
                  <c:v>9.6153846153846159E-2</c:v>
                </c:pt>
                <c:pt idx="53">
                  <c:v>9.4339622641509441E-2</c:v>
                </c:pt>
                <c:pt idx="54">
                  <c:v>0.1111111111111111</c:v>
                </c:pt>
                <c:pt idx="55">
                  <c:v>0.12727272727272726</c:v>
                </c:pt>
                <c:pt idx="56">
                  <c:v>0.125</c:v>
                </c:pt>
                <c:pt idx="57">
                  <c:v>0.14035087719298245</c:v>
                </c:pt>
                <c:pt idx="58">
                  <c:v>0.13793103448275862</c:v>
                </c:pt>
                <c:pt idx="59">
                  <c:v>0.13559322033898305</c:v>
                </c:pt>
                <c:pt idx="60">
                  <c:v>0.15</c:v>
                </c:pt>
                <c:pt idx="61">
                  <c:v>0.14754098360655737</c:v>
                </c:pt>
                <c:pt idx="62">
                  <c:v>0.14516129032258066</c:v>
                </c:pt>
                <c:pt idx="63">
                  <c:v>0.14285714285714285</c:v>
                </c:pt>
                <c:pt idx="64">
                  <c:v>0.140625</c:v>
                </c:pt>
                <c:pt idx="65">
                  <c:v>0.13846153846153847</c:v>
                </c:pt>
                <c:pt idx="66">
                  <c:v>0.13636363636363635</c:v>
                </c:pt>
                <c:pt idx="67">
                  <c:v>0.13432835820895522</c:v>
                </c:pt>
                <c:pt idx="68">
                  <c:v>0.13235294117647059</c:v>
                </c:pt>
                <c:pt idx="69">
                  <c:v>0.14492753623188406</c:v>
                </c:pt>
                <c:pt idx="70">
                  <c:v>0.14285714285714285</c:v>
                </c:pt>
                <c:pt idx="71">
                  <c:v>0.14084507042253522</c:v>
                </c:pt>
                <c:pt idx="72">
                  <c:v>0.1388888888888889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095639943741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まっつん2!$M$3:$M$75</c:f>
              <c:numCache>
                <c:formatCode>0.0%</c:formatCode>
                <c:ptCount val="73"/>
                <c:pt idx="1">
                  <c:v>0</c:v>
                </c:pt>
                <c:pt idx="2">
                  <c:v>0.11764705882352941</c:v>
                </c:pt>
                <c:pt idx="3">
                  <c:v>0.16666666666666666</c:v>
                </c:pt>
                <c:pt idx="4">
                  <c:v>0.24242424242424243</c:v>
                </c:pt>
                <c:pt idx="5">
                  <c:v>0.25641025641025639</c:v>
                </c:pt>
                <c:pt idx="6">
                  <c:v>0.26666666666666666</c:v>
                </c:pt>
                <c:pt idx="7">
                  <c:v>0.24074074074074073</c:v>
                </c:pt>
                <c:pt idx="8">
                  <c:v>0.23333333333333334</c:v>
                </c:pt>
                <c:pt idx="9">
                  <c:v>0.20289855072463769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0.19540229885057472</c:v>
                </c:pt>
                <c:pt idx="13">
                  <c:v>0.18085106382978725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0.17557251908396945</c:v>
                </c:pt>
                <c:pt idx="18">
                  <c:v>0.17857142857142858</c:v>
                </c:pt>
                <c:pt idx="19">
                  <c:v>0.18120805369127516</c:v>
                </c:pt>
                <c:pt idx="20">
                  <c:v>0.17721518987341772</c:v>
                </c:pt>
                <c:pt idx="21">
                  <c:v>0.18181818181818182</c:v>
                </c:pt>
                <c:pt idx="22">
                  <c:v>0.18994413407821228</c:v>
                </c:pt>
                <c:pt idx="23">
                  <c:v>0.19680851063829788</c:v>
                </c:pt>
                <c:pt idx="24">
                  <c:v>0.20202020202020202</c:v>
                </c:pt>
                <c:pt idx="25">
                  <c:v>0.21568627450980393</c:v>
                </c:pt>
                <c:pt idx="26">
                  <c:v>0.21395348837209302</c:v>
                </c:pt>
                <c:pt idx="27">
                  <c:v>0.21917808219178081</c:v>
                </c:pt>
                <c:pt idx="28">
                  <c:v>0.22026431718061673</c:v>
                </c:pt>
                <c:pt idx="29">
                  <c:v>0.22222222222222221</c:v>
                </c:pt>
                <c:pt idx="30">
                  <c:v>0.21199999999999999</c:v>
                </c:pt>
                <c:pt idx="31">
                  <c:v>0.21484375</c:v>
                </c:pt>
                <c:pt idx="32">
                  <c:v>0.21509433962264152</c:v>
                </c:pt>
                <c:pt idx="33">
                  <c:v>0.21167883211678831</c:v>
                </c:pt>
                <c:pt idx="34">
                  <c:v>0.21201413427561838</c:v>
                </c:pt>
                <c:pt idx="35">
                  <c:v>0.20833333333333334</c:v>
                </c:pt>
                <c:pt idx="36">
                  <c:v>0.2251655629139073</c:v>
                </c:pt>
                <c:pt idx="37">
                  <c:v>0.22330097087378642</c:v>
                </c:pt>
                <c:pt idx="38">
                  <c:v>0.22884012539184953</c:v>
                </c:pt>
                <c:pt idx="39">
                  <c:v>0.23312883435582821</c:v>
                </c:pt>
                <c:pt idx="40">
                  <c:v>0.23636363636363636</c:v>
                </c:pt>
                <c:pt idx="41">
                  <c:v>0.24324324324324326</c:v>
                </c:pt>
                <c:pt idx="42">
                  <c:v>0.24926686217008798</c:v>
                </c:pt>
                <c:pt idx="43">
                  <c:v>0.25214899713467048</c:v>
                </c:pt>
                <c:pt idx="44">
                  <c:v>0.25352112676056338</c:v>
                </c:pt>
                <c:pt idx="45">
                  <c:v>0.2561307901907357</c:v>
                </c:pt>
                <c:pt idx="46">
                  <c:v>0.25866666666666666</c:v>
                </c:pt>
                <c:pt idx="47">
                  <c:v>0.25984251968503935</c:v>
                </c:pt>
                <c:pt idx="48">
                  <c:v>0.26020408163265307</c:v>
                </c:pt>
                <c:pt idx="49">
                  <c:v>0.26196473551637278</c:v>
                </c:pt>
                <c:pt idx="50">
                  <c:v>0.26289926289926291</c:v>
                </c:pt>
                <c:pt idx="51">
                  <c:v>0.26506024096385544</c:v>
                </c:pt>
                <c:pt idx="52">
                  <c:v>0.26477541371158392</c:v>
                </c:pt>
                <c:pt idx="53">
                  <c:v>0.26682134570765659</c:v>
                </c:pt>
                <c:pt idx="54">
                  <c:v>0.27334851936218679</c:v>
                </c:pt>
                <c:pt idx="55">
                  <c:v>0.27516778523489932</c:v>
                </c:pt>
                <c:pt idx="56">
                  <c:v>0.27593818984547464</c:v>
                </c:pt>
                <c:pt idx="57">
                  <c:v>0.27886710239651419</c:v>
                </c:pt>
                <c:pt idx="58">
                  <c:v>0.28358208955223879</c:v>
                </c:pt>
                <c:pt idx="59">
                  <c:v>0.2907216494845361</c:v>
                </c:pt>
                <c:pt idx="60">
                  <c:v>0.29065040650406504</c:v>
                </c:pt>
                <c:pt idx="61">
                  <c:v>0.29032258064516131</c:v>
                </c:pt>
                <c:pt idx="62">
                  <c:v>0.2922465208747515</c:v>
                </c:pt>
                <c:pt idx="63">
                  <c:v>0.29296875</c:v>
                </c:pt>
                <c:pt idx="64">
                  <c:v>0.2947976878612717</c:v>
                </c:pt>
                <c:pt idx="65">
                  <c:v>0.29523809523809524</c:v>
                </c:pt>
                <c:pt idx="66">
                  <c:v>0.29158878504672897</c:v>
                </c:pt>
                <c:pt idx="67">
                  <c:v>0.28966789667896681</c:v>
                </c:pt>
                <c:pt idx="68">
                  <c:v>0.29090909090909089</c:v>
                </c:pt>
                <c:pt idx="69">
                  <c:v>0.29569892473118281</c:v>
                </c:pt>
                <c:pt idx="70">
                  <c:v>0.2937062937062937</c:v>
                </c:pt>
                <c:pt idx="71">
                  <c:v>0.29432013769363169</c:v>
                </c:pt>
                <c:pt idx="72">
                  <c:v>0.29131175468483816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74400540357987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まっつん2!$N$3:$N$75</c:f>
              <c:numCache>
                <c:formatCode>0.0%</c:formatCode>
                <c:ptCount val="73"/>
                <c:pt idx="1">
                  <c:v>0.14285714285714285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0.27272727272727271</c:v>
                </c:pt>
                <c:pt idx="5">
                  <c:v>0.28205128205128205</c:v>
                </c:pt>
                <c:pt idx="6">
                  <c:v>0.26666666666666666</c:v>
                </c:pt>
                <c:pt idx="7">
                  <c:v>0.25925925925925924</c:v>
                </c:pt>
                <c:pt idx="8">
                  <c:v>0.25</c:v>
                </c:pt>
                <c:pt idx="9">
                  <c:v>0.2608695652173913</c:v>
                </c:pt>
                <c:pt idx="10">
                  <c:v>0.25</c:v>
                </c:pt>
                <c:pt idx="11">
                  <c:v>0.24691358024691357</c:v>
                </c:pt>
                <c:pt idx="12">
                  <c:v>0.2413793103448276</c:v>
                </c:pt>
                <c:pt idx="13">
                  <c:v>0.25531914893617019</c:v>
                </c:pt>
                <c:pt idx="14">
                  <c:v>0.25242718446601942</c:v>
                </c:pt>
                <c:pt idx="15">
                  <c:v>0.29203539823008851</c:v>
                </c:pt>
                <c:pt idx="16">
                  <c:v>0.27500000000000002</c:v>
                </c:pt>
                <c:pt idx="17">
                  <c:v>0.27480916030534353</c:v>
                </c:pt>
                <c:pt idx="18">
                  <c:v>0.27142857142857141</c:v>
                </c:pt>
                <c:pt idx="19">
                  <c:v>0.25503355704697989</c:v>
                </c:pt>
                <c:pt idx="20">
                  <c:v>0.25949367088607594</c:v>
                </c:pt>
                <c:pt idx="21">
                  <c:v>0.24848484848484848</c:v>
                </c:pt>
                <c:pt idx="22">
                  <c:v>0.23463687150837989</c:v>
                </c:pt>
                <c:pt idx="23">
                  <c:v>0.22872340425531915</c:v>
                </c:pt>
                <c:pt idx="24">
                  <c:v>0.22727272727272727</c:v>
                </c:pt>
                <c:pt idx="25">
                  <c:v>0.22058823529411764</c:v>
                </c:pt>
                <c:pt idx="26">
                  <c:v>0.21860465116279071</c:v>
                </c:pt>
                <c:pt idx="27">
                  <c:v>0.22374429223744291</c:v>
                </c:pt>
                <c:pt idx="28">
                  <c:v>0.21585903083700442</c:v>
                </c:pt>
                <c:pt idx="29">
                  <c:v>0.21367521367521367</c:v>
                </c:pt>
                <c:pt idx="30">
                  <c:v>0.22</c:v>
                </c:pt>
                <c:pt idx="31">
                  <c:v>0.21875</c:v>
                </c:pt>
                <c:pt idx="32">
                  <c:v>0.21886792452830189</c:v>
                </c:pt>
                <c:pt idx="33">
                  <c:v>0.22262773722627738</c:v>
                </c:pt>
                <c:pt idx="34">
                  <c:v>0.22614840989399293</c:v>
                </c:pt>
                <c:pt idx="35">
                  <c:v>0.22569444444444445</c:v>
                </c:pt>
                <c:pt idx="36">
                  <c:v>0.22185430463576158</c:v>
                </c:pt>
                <c:pt idx="37">
                  <c:v>0.2168284789644013</c:v>
                </c:pt>
                <c:pt idx="38">
                  <c:v>0.21316614420062696</c:v>
                </c:pt>
                <c:pt idx="39">
                  <c:v>0.21165644171779141</c:v>
                </c:pt>
                <c:pt idx="40">
                  <c:v>0.20909090909090908</c:v>
                </c:pt>
                <c:pt idx="41">
                  <c:v>0.2072072072072072</c:v>
                </c:pt>
                <c:pt idx="42">
                  <c:v>0.20527859237536658</c:v>
                </c:pt>
                <c:pt idx="43">
                  <c:v>0.20057306590257878</c:v>
                </c:pt>
                <c:pt idx="44">
                  <c:v>0.19718309859154928</c:v>
                </c:pt>
                <c:pt idx="45">
                  <c:v>0.1907356948228883</c:v>
                </c:pt>
                <c:pt idx="46">
                  <c:v>0.192</c:v>
                </c:pt>
                <c:pt idx="47">
                  <c:v>0.19160104986876642</c:v>
                </c:pt>
                <c:pt idx="48">
                  <c:v>0.18877551020408162</c:v>
                </c:pt>
                <c:pt idx="49">
                  <c:v>0.18639798488664988</c:v>
                </c:pt>
                <c:pt idx="50">
                  <c:v>0.1891891891891892</c:v>
                </c:pt>
                <c:pt idx="51">
                  <c:v>0.18795180722891566</c:v>
                </c:pt>
                <c:pt idx="52">
                  <c:v>0.1867612293144208</c:v>
                </c:pt>
                <c:pt idx="53">
                  <c:v>0.18793503480278423</c:v>
                </c:pt>
                <c:pt idx="54">
                  <c:v>0.18906605922551253</c:v>
                </c:pt>
                <c:pt idx="55">
                  <c:v>0.18791946308724833</c:v>
                </c:pt>
                <c:pt idx="56">
                  <c:v>0.18543046357615894</c:v>
                </c:pt>
                <c:pt idx="57">
                  <c:v>0.18736383442265794</c:v>
                </c:pt>
                <c:pt idx="58">
                  <c:v>0.18550106609808104</c:v>
                </c:pt>
                <c:pt idx="59">
                  <c:v>0.18144329896907216</c:v>
                </c:pt>
                <c:pt idx="60">
                  <c:v>0.17886178861788618</c:v>
                </c:pt>
                <c:pt idx="61">
                  <c:v>0.18145161290322581</c:v>
                </c:pt>
                <c:pt idx="62">
                  <c:v>0.17892644135188868</c:v>
                </c:pt>
                <c:pt idx="63">
                  <c:v>0.177734375</c:v>
                </c:pt>
                <c:pt idx="64">
                  <c:v>0.17533718689788053</c:v>
                </c:pt>
                <c:pt idx="65">
                  <c:v>0.17714285714285713</c:v>
                </c:pt>
                <c:pt idx="66">
                  <c:v>0.18130841121495328</c:v>
                </c:pt>
                <c:pt idx="67">
                  <c:v>0.18265682656826568</c:v>
                </c:pt>
                <c:pt idx="68">
                  <c:v>0.18181818181818182</c:v>
                </c:pt>
                <c:pt idx="69">
                  <c:v>0.17921146953405018</c:v>
                </c:pt>
                <c:pt idx="70">
                  <c:v>0.18356643356643357</c:v>
                </c:pt>
                <c:pt idx="71">
                  <c:v>0.18588640275387264</c:v>
                </c:pt>
                <c:pt idx="72">
                  <c:v>0.18568994889267462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8882134414049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まっつん2!$O$3:$O$75</c:f>
              <c:numCache>
                <c:formatCode>0.0%</c:formatCode>
                <c:ptCount val="73"/>
                <c:pt idx="1">
                  <c:v>0</c:v>
                </c:pt>
                <c:pt idx="2">
                  <c:v>1</c:v>
                </c:pt>
                <c:pt idx="3">
                  <c:v>0.75</c:v>
                </c:pt>
                <c:pt idx="4">
                  <c:v>0.875</c:v>
                </c:pt>
                <c:pt idx="5">
                  <c:v>0.8</c:v>
                </c:pt>
                <c:pt idx="6">
                  <c:v>0.66666666666666663</c:v>
                </c:pt>
                <c:pt idx="7">
                  <c:v>0.61538461538461542</c:v>
                </c:pt>
                <c:pt idx="8">
                  <c:v>0.5714285714285714</c:v>
                </c:pt>
                <c:pt idx="9">
                  <c:v>0.5714285714285714</c:v>
                </c:pt>
                <c:pt idx="10">
                  <c:v>0.5714285714285714</c:v>
                </c:pt>
                <c:pt idx="11">
                  <c:v>0.52941176470588236</c:v>
                </c:pt>
                <c:pt idx="12">
                  <c:v>0.52941176470588236</c:v>
                </c:pt>
                <c:pt idx="13">
                  <c:v>0.52941176470588236</c:v>
                </c:pt>
                <c:pt idx="14">
                  <c:v>0.57894736842105265</c:v>
                </c:pt>
                <c:pt idx="15">
                  <c:v>0.55000000000000004</c:v>
                </c:pt>
                <c:pt idx="16">
                  <c:v>0.54545454545454541</c:v>
                </c:pt>
                <c:pt idx="17">
                  <c:v>0.52173913043478259</c:v>
                </c:pt>
                <c:pt idx="18">
                  <c:v>0.52</c:v>
                </c:pt>
                <c:pt idx="19">
                  <c:v>0.51851851851851849</c:v>
                </c:pt>
                <c:pt idx="20">
                  <c:v>0.5357142857142857</c:v>
                </c:pt>
                <c:pt idx="21">
                  <c:v>0.56666666666666665</c:v>
                </c:pt>
                <c:pt idx="22">
                  <c:v>0.61764705882352944</c:v>
                </c:pt>
                <c:pt idx="23">
                  <c:v>0.64864864864864868</c:v>
                </c:pt>
                <c:pt idx="24">
                  <c:v>0.625</c:v>
                </c:pt>
                <c:pt idx="25">
                  <c:v>0.65909090909090906</c:v>
                </c:pt>
                <c:pt idx="26">
                  <c:v>0.67391304347826086</c:v>
                </c:pt>
                <c:pt idx="27">
                  <c:v>0.6875</c:v>
                </c:pt>
                <c:pt idx="28">
                  <c:v>0.7</c:v>
                </c:pt>
                <c:pt idx="29">
                  <c:v>0.69230769230769229</c:v>
                </c:pt>
                <c:pt idx="30">
                  <c:v>0.69811320754716977</c:v>
                </c:pt>
                <c:pt idx="31">
                  <c:v>0.70909090909090911</c:v>
                </c:pt>
                <c:pt idx="32">
                  <c:v>0.70175438596491224</c:v>
                </c:pt>
                <c:pt idx="33">
                  <c:v>0.7068965517241379</c:v>
                </c:pt>
                <c:pt idx="34">
                  <c:v>0.7</c:v>
                </c:pt>
                <c:pt idx="35">
                  <c:v>0.7</c:v>
                </c:pt>
                <c:pt idx="36">
                  <c:v>0.69117647058823528</c:v>
                </c:pt>
                <c:pt idx="37">
                  <c:v>0.69565217391304346</c:v>
                </c:pt>
                <c:pt idx="38">
                  <c:v>0.67123287671232879</c:v>
                </c:pt>
                <c:pt idx="39">
                  <c:v>0.67105263157894735</c:v>
                </c:pt>
                <c:pt idx="40">
                  <c:v>0.67948717948717952</c:v>
                </c:pt>
                <c:pt idx="41">
                  <c:v>0.69135802469135799</c:v>
                </c:pt>
                <c:pt idx="42">
                  <c:v>0.69411764705882351</c:v>
                </c:pt>
                <c:pt idx="43">
                  <c:v>0.70454545454545459</c:v>
                </c:pt>
                <c:pt idx="44">
                  <c:v>0.68888888888888888</c:v>
                </c:pt>
                <c:pt idx="45">
                  <c:v>0.67021276595744683</c:v>
                </c:pt>
                <c:pt idx="46">
                  <c:v>0.65979381443298968</c:v>
                </c:pt>
                <c:pt idx="47">
                  <c:v>0.66666666666666663</c:v>
                </c:pt>
                <c:pt idx="48">
                  <c:v>0.67647058823529416</c:v>
                </c:pt>
                <c:pt idx="49">
                  <c:v>0.66346153846153844</c:v>
                </c:pt>
                <c:pt idx="50">
                  <c:v>0.66355140186915884</c:v>
                </c:pt>
                <c:pt idx="51">
                  <c:v>0.66363636363636369</c:v>
                </c:pt>
                <c:pt idx="52">
                  <c:v>0.6696428571428571</c:v>
                </c:pt>
                <c:pt idx="53">
                  <c:v>0.67826086956521736</c:v>
                </c:pt>
                <c:pt idx="54">
                  <c:v>0.66666666666666663</c:v>
                </c:pt>
                <c:pt idx="55">
                  <c:v>0.67479674796747968</c:v>
                </c:pt>
                <c:pt idx="56">
                  <c:v>0.68</c:v>
                </c:pt>
                <c:pt idx="57">
                  <c:v>0.6875</c:v>
                </c:pt>
                <c:pt idx="58">
                  <c:v>0.66917293233082709</c:v>
                </c:pt>
                <c:pt idx="59">
                  <c:v>0.65957446808510634</c:v>
                </c:pt>
                <c:pt idx="60">
                  <c:v>0.65734265734265729</c:v>
                </c:pt>
                <c:pt idx="61">
                  <c:v>0.65277777777777779</c:v>
                </c:pt>
                <c:pt idx="62">
                  <c:v>0.65306122448979587</c:v>
                </c:pt>
                <c:pt idx="63">
                  <c:v>0.64</c:v>
                </c:pt>
                <c:pt idx="64">
                  <c:v>0.64052287581699341</c:v>
                </c:pt>
                <c:pt idx="65">
                  <c:v>0.64516129032258063</c:v>
                </c:pt>
                <c:pt idx="66">
                  <c:v>0.64102564102564108</c:v>
                </c:pt>
                <c:pt idx="67">
                  <c:v>0.63694267515923564</c:v>
                </c:pt>
                <c:pt idx="68">
                  <c:v>0.63749999999999996</c:v>
                </c:pt>
                <c:pt idx="69">
                  <c:v>0.64242424242424245</c:v>
                </c:pt>
                <c:pt idx="70">
                  <c:v>0.6428571428571429</c:v>
                </c:pt>
                <c:pt idx="71">
                  <c:v>0.63742690058479534</c:v>
                </c:pt>
                <c:pt idx="72">
                  <c:v>0.63742690058479534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9427875836883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まっつん2!$P$3:$P$75</c:f>
              <c:numCache>
                <c:formatCode>0.0%</c:formatCode>
                <c:ptCount val="73"/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0.27272727272727271</c:v>
                </c:pt>
                <c:pt idx="6">
                  <c:v>0.33333333333333331</c:v>
                </c:pt>
                <c:pt idx="7">
                  <c:v>0.35714285714285715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0.35</c:v>
                </c:pt>
                <c:pt idx="12">
                  <c:v>0.33333333333333331</c:v>
                </c:pt>
                <c:pt idx="13">
                  <c:v>0.375</c:v>
                </c:pt>
                <c:pt idx="14">
                  <c:v>0.38461538461538464</c:v>
                </c:pt>
                <c:pt idx="15">
                  <c:v>0.39393939393939392</c:v>
                </c:pt>
                <c:pt idx="16">
                  <c:v>0.39393939393939392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0.36842105263157893</c:v>
                </c:pt>
                <c:pt idx="20">
                  <c:v>0.41463414634146339</c:v>
                </c:pt>
                <c:pt idx="21">
                  <c:v>0.41463414634146339</c:v>
                </c:pt>
                <c:pt idx="22">
                  <c:v>0.40476190476190477</c:v>
                </c:pt>
                <c:pt idx="23">
                  <c:v>0.39534883720930231</c:v>
                </c:pt>
                <c:pt idx="24">
                  <c:v>0.4</c:v>
                </c:pt>
                <c:pt idx="25">
                  <c:v>0.4</c:v>
                </c:pt>
                <c:pt idx="26">
                  <c:v>0.40425531914893614</c:v>
                </c:pt>
                <c:pt idx="27">
                  <c:v>0.42857142857142855</c:v>
                </c:pt>
                <c:pt idx="28">
                  <c:v>0.42857142857142855</c:v>
                </c:pt>
                <c:pt idx="29">
                  <c:v>0.42</c:v>
                </c:pt>
                <c:pt idx="30">
                  <c:v>0.4</c:v>
                </c:pt>
                <c:pt idx="31">
                  <c:v>0.4107142857142857</c:v>
                </c:pt>
                <c:pt idx="32">
                  <c:v>0.41379310344827586</c:v>
                </c:pt>
                <c:pt idx="33">
                  <c:v>0.39344262295081966</c:v>
                </c:pt>
                <c:pt idx="34">
                  <c:v>0.390625</c:v>
                </c:pt>
                <c:pt idx="35">
                  <c:v>0.38461538461538464</c:v>
                </c:pt>
                <c:pt idx="36">
                  <c:v>0.37313432835820898</c:v>
                </c:pt>
                <c:pt idx="37">
                  <c:v>0.37313432835820898</c:v>
                </c:pt>
                <c:pt idx="38">
                  <c:v>0.36764705882352944</c:v>
                </c:pt>
                <c:pt idx="39">
                  <c:v>0.37681159420289856</c:v>
                </c:pt>
                <c:pt idx="40">
                  <c:v>0.37681159420289856</c:v>
                </c:pt>
                <c:pt idx="41">
                  <c:v>0.37681159420289856</c:v>
                </c:pt>
                <c:pt idx="42">
                  <c:v>0.37142857142857144</c:v>
                </c:pt>
                <c:pt idx="43">
                  <c:v>0.37142857142857144</c:v>
                </c:pt>
                <c:pt idx="44">
                  <c:v>0.37142857142857144</c:v>
                </c:pt>
                <c:pt idx="45">
                  <c:v>0.37142857142857144</c:v>
                </c:pt>
                <c:pt idx="46">
                  <c:v>0.3611111111111111</c:v>
                </c:pt>
                <c:pt idx="47">
                  <c:v>0.35616438356164382</c:v>
                </c:pt>
                <c:pt idx="48">
                  <c:v>0.35135135135135137</c:v>
                </c:pt>
                <c:pt idx="49">
                  <c:v>0.35135135135135137</c:v>
                </c:pt>
                <c:pt idx="50">
                  <c:v>0.36363636363636365</c:v>
                </c:pt>
                <c:pt idx="51">
                  <c:v>0.37179487179487181</c:v>
                </c:pt>
                <c:pt idx="52">
                  <c:v>0.379746835443038</c:v>
                </c:pt>
                <c:pt idx="53">
                  <c:v>0.37037037037037035</c:v>
                </c:pt>
                <c:pt idx="54">
                  <c:v>0.37349397590361444</c:v>
                </c:pt>
                <c:pt idx="55">
                  <c:v>0.38095238095238093</c:v>
                </c:pt>
                <c:pt idx="56">
                  <c:v>0.38095238095238093</c:v>
                </c:pt>
                <c:pt idx="57">
                  <c:v>0.38372093023255816</c:v>
                </c:pt>
                <c:pt idx="58">
                  <c:v>0.37931034482758619</c:v>
                </c:pt>
                <c:pt idx="59">
                  <c:v>0.375</c:v>
                </c:pt>
                <c:pt idx="60">
                  <c:v>0.375</c:v>
                </c:pt>
                <c:pt idx="61">
                  <c:v>0.36666666666666664</c:v>
                </c:pt>
                <c:pt idx="62">
                  <c:v>0.36666666666666664</c:v>
                </c:pt>
                <c:pt idx="63">
                  <c:v>0.36263736263736263</c:v>
                </c:pt>
                <c:pt idx="64">
                  <c:v>0.36263736263736263</c:v>
                </c:pt>
                <c:pt idx="65">
                  <c:v>0.35483870967741937</c:v>
                </c:pt>
                <c:pt idx="66">
                  <c:v>0.35051546391752575</c:v>
                </c:pt>
                <c:pt idx="67">
                  <c:v>0.34343434343434343</c:v>
                </c:pt>
                <c:pt idx="68">
                  <c:v>0.34</c:v>
                </c:pt>
                <c:pt idx="69">
                  <c:v>0.34</c:v>
                </c:pt>
                <c:pt idx="70">
                  <c:v>0.33333333333333331</c:v>
                </c:pt>
                <c:pt idx="71">
                  <c:v>0.34259259259259262</c:v>
                </c:pt>
                <c:pt idx="72">
                  <c:v>0.33944954128440369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1269199676637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まっつん2!$Q$3:$Q$75</c:f>
              <c:numCache>
                <c:formatCode>0.0%</c:formatCode>
                <c:ptCount val="73"/>
                <c:pt idx="1">
                  <c:v>0.5</c:v>
                </c:pt>
                <c:pt idx="2">
                  <c:v>0.4</c:v>
                </c:pt>
                <c:pt idx="3">
                  <c:v>0.42857142857142855</c:v>
                </c:pt>
                <c:pt idx="4">
                  <c:v>0.33333333333333331</c:v>
                </c:pt>
                <c:pt idx="5">
                  <c:v>0.30769230769230771</c:v>
                </c:pt>
                <c:pt idx="6">
                  <c:v>0.2857142857142857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0.29411764705882354</c:v>
                </c:pt>
                <c:pt idx="10">
                  <c:v>0.29411764705882354</c:v>
                </c:pt>
                <c:pt idx="11">
                  <c:v>0.35</c:v>
                </c:pt>
                <c:pt idx="12">
                  <c:v>0.35</c:v>
                </c:pt>
                <c:pt idx="13">
                  <c:v>0.40909090909090912</c:v>
                </c:pt>
                <c:pt idx="14">
                  <c:v>0.38461538461538464</c:v>
                </c:pt>
                <c:pt idx="15">
                  <c:v>0.37931034482758619</c:v>
                </c:pt>
                <c:pt idx="16">
                  <c:v>0.35483870967741937</c:v>
                </c:pt>
                <c:pt idx="17">
                  <c:v>0.39393939393939392</c:v>
                </c:pt>
                <c:pt idx="18">
                  <c:v>0.41176470588235292</c:v>
                </c:pt>
                <c:pt idx="19">
                  <c:v>0.4</c:v>
                </c:pt>
                <c:pt idx="20">
                  <c:v>0.38461538461538464</c:v>
                </c:pt>
                <c:pt idx="21">
                  <c:v>0.3902439024390244</c:v>
                </c:pt>
                <c:pt idx="22">
                  <c:v>0.38297872340425532</c:v>
                </c:pt>
                <c:pt idx="23">
                  <c:v>0.38</c:v>
                </c:pt>
                <c:pt idx="24">
                  <c:v>0.38461538461538464</c:v>
                </c:pt>
                <c:pt idx="25">
                  <c:v>0.39285714285714285</c:v>
                </c:pt>
                <c:pt idx="26">
                  <c:v>0.38333333333333336</c:v>
                </c:pt>
                <c:pt idx="27">
                  <c:v>0.390625</c:v>
                </c:pt>
                <c:pt idx="28">
                  <c:v>0.40298507462686567</c:v>
                </c:pt>
                <c:pt idx="29">
                  <c:v>0.40579710144927539</c:v>
                </c:pt>
                <c:pt idx="30">
                  <c:v>0.43055555555555558</c:v>
                </c:pt>
                <c:pt idx="31">
                  <c:v>0.41333333333333333</c:v>
                </c:pt>
                <c:pt idx="32">
                  <c:v>0.41558441558441561</c:v>
                </c:pt>
                <c:pt idx="33">
                  <c:v>0.4050632911392405</c:v>
                </c:pt>
                <c:pt idx="34">
                  <c:v>0.39759036144578314</c:v>
                </c:pt>
                <c:pt idx="35">
                  <c:v>0.39534883720930231</c:v>
                </c:pt>
                <c:pt idx="36">
                  <c:v>0.40659340659340659</c:v>
                </c:pt>
                <c:pt idx="37">
                  <c:v>0.41304347826086957</c:v>
                </c:pt>
                <c:pt idx="38">
                  <c:v>0.41935483870967744</c:v>
                </c:pt>
                <c:pt idx="39">
                  <c:v>0.41666666666666669</c:v>
                </c:pt>
                <c:pt idx="40">
                  <c:v>0.41414141414141414</c:v>
                </c:pt>
                <c:pt idx="41">
                  <c:v>0.40196078431372551</c:v>
                </c:pt>
                <c:pt idx="42">
                  <c:v>0.41904761904761906</c:v>
                </c:pt>
                <c:pt idx="43">
                  <c:v>0.41666666666666669</c:v>
                </c:pt>
                <c:pt idx="44">
                  <c:v>0.41666666666666669</c:v>
                </c:pt>
                <c:pt idx="45">
                  <c:v>0.41284403669724773</c:v>
                </c:pt>
                <c:pt idx="46">
                  <c:v>0.40909090909090912</c:v>
                </c:pt>
                <c:pt idx="47">
                  <c:v>0.41964285714285715</c:v>
                </c:pt>
                <c:pt idx="48">
                  <c:v>0.42241379310344829</c:v>
                </c:pt>
                <c:pt idx="49">
                  <c:v>0.42241379310344829</c:v>
                </c:pt>
                <c:pt idx="50">
                  <c:v>0.42499999999999999</c:v>
                </c:pt>
                <c:pt idx="51">
                  <c:v>0.43548387096774194</c:v>
                </c:pt>
                <c:pt idx="52">
                  <c:v>0.43307086614173229</c:v>
                </c:pt>
                <c:pt idx="53">
                  <c:v>0.43076923076923079</c:v>
                </c:pt>
                <c:pt idx="54">
                  <c:v>0.42537313432835822</c:v>
                </c:pt>
                <c:pt idx="55">
                  <c:v>0.42753623188405798</c:v>
                </c:pt>
                <c:pt idx="56">
                  <c:v>0.42142857142857143</c:v>
                </c:pt>
                <c:pt idx="57">
                  <c:v>0.43055555555555558</c:v>
                </c:pt>
                <c:pt idx="58">
                  <c:v>0.43448275862068964</c:v>
                </c:pt>
                <c:pt idx="59">
                  <c:v>0.44295302013422821</c:v>
                </c:pt>
                <c:pt idx="60">
                  <c:v>0.44736842105263158</c:v>
                </c:pt>
                <c:pt idx="61">
                  <c:v>0.44736842105263158</c:v>
                </c:pt>
                <c:pt idx="62">
                  <c:v>0.44805194805194803</c:v>
                </c:pt>
                <c:pt idx="63">
                  <c:v>0.44805194805194803</c:v>
                </c:pt>
                <c:pt idx="64">
                  <c:v>0.45222929936305734</c:v>
                </c:pt>
                <c:pt idx="65">
                  <c:v>0.44654088050314467</c:v>
                </c:pt>
                <c:pt idx="66">
                  <c:v>0.44374999999999998</c:v>
                </c:pt>
                <c:pt idx="67">
                  <c:v>0.44374999999999998</c:v>
                </c:pt>
                <c:pt idx="68">
                  <c:v>0.43827160493827161</c:v>
                </c:pt>
                <c:pt idx="69">
                  <c:v>0.43975903614457829</c:v>
                </c:pt>
                <c:pt idx="70">
                  <c:v>0.44705882352941179</c:v>
                </c:pt>
                <c:pt idx="71">
                  <c:v>0.44508670520231214</c:v>
                </c:pt>
                <c:pt idx="72">
                  <c:v>0.44508670520231214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2203389830508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245</v>
      </c>
      <c r="F51" s="137" t="s">
        <v>246</v>
      </c>
      <c r="G51" s="48">
        <v>0</v>
      </c>
      <c r="H51" s="138">
        <f t="shared" ref="H51" si="3">IF(B$17=0,0,G51/B$17)</f>
        <v>0</v>
      </c>
      <c r="I51" s="139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73"/>
  <sheetViews>
    <sheetView topLeftCell="A56"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43595.036134259259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43599.98951388889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43605.945185185185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43605.945185185185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43608.879282407404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43606.718368055554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43607.87667824074</v>
      </c>
      <c r="C44" s="30" t="s">
        <v>130</v>
      </c>
    </row>
    <row r="45" spans="1:11" x14ac:dyDescent="0.4">
      <c r="A45" s="30" t="s">
        <v>230</v>
      </c>
      <c r="B45" s="31">
        <v>43606.874745370369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43608.430162037039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43607.920266203706</v>
      </c>
      <c r="C47" s="30" t="s">
        <v>130</v>
      </c>
    </row>
    <row r="48" spans="1:11" x14ac:dyDescent="0.4">
      <c r="A48" s="30" t="s">
        <v>235</v>
      </c>
      <c r="B48" s="31">
        <v>43609.644525462965</v>
      </c>
      <c r="C48" s="30" t="s">
        <v>130</v>
      </c>
    </row>
    <row r="49" spans="1:7" x14ac:dyDescent="0.4">
      <c r="A49" s="30" t="s">
        <v>234</v>
      </c>
      <c r="B49" s="31">
        <v>43609.644525462965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43609.871759259258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43612.745358796295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43613.63894675926</v>
      </c>
      <c r="C52" s="30" t="s">
        <v>130</v>
      </c>
    </row>
    <row r="53" spans="1:7" x14ac:dyDescent="0.4">
      <c r="A53" s="30" t="s">
        <v>239</v>
      </c>
      <c r="B53" s="31">
        <v>43613.763310185182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43618.007013888891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43618.036354166667</v>
      </c>
      <c r="C55" s="30" t="s">
        <v>130</v>
      </c>
    </row>
    <row r="56" spans="1:7" x14ac:dyDescent="0.4">
      <c r="A56" s="30" t="s">
        <v>242</v>
      </c>
      <c r="B56" s="31">
        <v>43619.976898148147</v>
      </c>
      <c r="C56" s="30" t="s">
        <v>130</v>
      </c>
    </row>
    <row r="57" spans="1:7" x14ac:dyDescent="0.4">
      <c r="A57" s="30" t="s">
        <v>243</v>
      </c>
      <c r="B57" s="31">
        <v>43620.019814814812</v>
      </c>
      <c r="C57" s="30" t="s">
        <v>130</v>
      </c>
    </row>
    <row r="58" spans="1:7" x14ac:dyDescent="0.4">
      <c r="A58" s="30" t="s">
        <v>244</v>
      </c>
      <c r="B58" s="31">
        <v>43620.765509259261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43622.069513888891</v>
      </c>
      <c r="C59" s="30" t="s">
        <v>130</v>
      </c>
    </row>
    <row r="60" spans="1:7" x14ac:dyDescent="0.4">
      <c r="A60" s="30" t="s">
        <v>250</v>
      </c>
      <c r="B60" s="31">
        <v>43624.129907407405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43624.873993055553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43625.885787037034</v>
      </c>
      <c r="C62" s="30" t="s">
        <v>130</v>
      </c>
    </row>
    <row r="63" spans="1:7" x14ac:dyDescent="0.4">
      <c r="A63" s="30" t="s">
        <v>253</v>
      </c>
      <c r="B63" s="31">
        <v>43627.998032407406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43636.961435185185</v>
      </c>
      <c r="C64" s="30" t="s">
        <v>130</v>
      </c>
      <c r="D64" s="30" t="s">
        <v>131</v>
      </c>
    </row>
    <row r="65" spans="1:5" x14ac:dyDescent="0.4">
      <c r="A65" s="30" t="s">
        <v>255</v>
      </c>
      <c r="B65" s="31">
        <v>43630.051932870374</v>
      </c>
      <c r="C65" s="30" t="s">
        <v>130</v>
      </c>
      <c r="D65" s="30" t="s">
        <v>131</v>
      </c>
      <c r="E65" s="30" t="s">
        <v>169</v>
      </c>
    </row>
    <row r="66" spans="1:5" x14ac:dyDescent="0.4">
      <c r="A66" s="30" t="s">
        <v>256</v>
      </c>
      <c r="B66" s="31">
        <v>43632.957395833335</v>
      </c>
      <c r="C66" s="30" t="s">
        <v>130</v>
      </c>
      <c r="D66" s="30" t="s">
        <v>131</v>
      </c>
    </row>
    <row r="67" spans="1:5" x14ac:dyDescent="0.4">
      <c r="A67" s="30" t="s">
        <v>257</v>
      </c>
      <c r="B67" s="31">
        <v>43632.957395833335</v>
      </c>
      <c r="C67" s="30" t="s">
        <v>130</v>
      </c>
      <c r="D67" s="30" t="s">
        <v>131</v>
      </c>
      <c r="E67" s="30" t="s">
        <v>169</v>
      </c>
    </row>
    <row r="68" spans="1:5" x14ac:dyDescent="0.4">
      <c r="A68" s="30" t="s">
        <v>258</v>
      </c>
      <c r="B68" s="31">
        <v>43633.013645833336</v>
      </c>
      <c r="C68" s="30" t="s">
        <v>130</v>
      </c>
      <c r="D68" s="30" t="s">
        <v>131</v>
      </c>
    </row>
    <row r="69" spans="1:5" x14ac:dyDescent="0.4">
      <c r="A69" s="30" t="s">
        <v>260</v>
      </c>
      <c r="B69" s="31">
        <v>43636.961435185185</v>
      </c>
      <c r="C69" s="30" t="s">
        <v>130</v>
      </c>
    </row>
    <row r="70" spans="1:5" x14ac:dyDescent="0.4">
      <c r="A70" s="30" t="s">
        <v>259</v>
      </c>
      <c r="B70" s="31">
        <v>43636.961435185185</v>
      </c>
      <c r="C70" s="30" t="s">
        <v>130</v>
      </c>
      <c r="D70" s="30" t="s">
        <v>131</v>
      </c>
      <c r="E70" s="30" t="s">
        <v>169</v>
      </c>
    </row>
    <row r="71" spans="1:5" x14ac:dyDescent="0.4">
      <c r="A71" s="30" t="s">
        <v>261</v>
      </c>
      <c r="B71" s="31">
        <v>43642.023356481484</v>
      </c>
      <c r="C71" s="30" t="s">
        <v>130</v>
      </c>
      <c r="D71" s="30" t="s">
        <v>131</v>
      </c>
    </row>
    <row r="72" spans="1:5" x14ac:dyDescent="0.4">
      <c r="A72" s="30" t="s">
        <v>262</v>
      </c>
      <c r="B72" s="31">
        <v>43643.036689814813</v>
      </c>
      <c r="C72" s="30" t="s">
        <v>130</v>
      </c>
      <c r="D72" s="30" t="s">
        <v>131</v>
      </c>
    </row>
    <row r="73" spans="1:5" x14ac:dyDescent="0.4">
      <c r="A73" s="30" t="s">
        <v>263</v>
      </c>
      <c r="B73" s="31">
        <v>43644.021412037036</v>
      </c>
      <c r="C73" s="30" t="s">
        <v>130</v>
      </c>
      <c r="D73" s="30" t="s">
        <v>131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711</v>
      </c>
    </row>
    <row r="2" spans="1:2" x14ac:dyDescent="0.4">
      <c r="A2" t="s">
        <v>127</v>
      </c>
      <c r="B2">
        <v>158</v>
      </c>
    </row>
    <row r="3" spans="1:2" x14ac:dyDescent="0.4">
      <c r="A3" t="s">
        <v>128</v>
      </c>
      <c r="B3">
        <v>129</v>
      </c>
    </row>
    <row r="4" spans="1:2" x14ac:dyDescent="0.4">
      <c r="A4" t="s">
        <v>129</v>
      </c>
      <c r="B4">
        <v>97</v>
      </c>
    </row>
    <row r="5" spans="1:2" x14ac:dyDescent="0.4">
      <c r="A5" t="s">
        <v>171</v>
      </c>
      <c r="B5">
        <v>92</v>
      </c>
    </row>
    <row r="6" spans="1:2" x14ac:dyDescent="0.4">
      <c r="A6" t="s">
        <v>172</v>
      </c>
      <c r="B6">
        <v>83</v>
      </c>
    </row>
    <row r="7" spans="1:2" x14ac:dyDescent="0.4">
      <c r="A7" t="s">
        <v>173</v>
      </c>
      <c r="B7">
        <v>47</v>
      </c>
    </row>
    <row r="8" spans="1:2" x14ac:dyDescent="0.4">
      <c r="A8" t="s">
        <v>177</v>
      </c>
      <c r="B8">
        <v>72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18</v>
      </c>
    </row>
    <row r="11" spans="1:2" x14ac:dyDescent="0.4">
      <c r="A11" t="s">
        <v>200</v>
      </c>
      <c r="B11">
        <v>9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162</v>
      </c>
      <c r="K1" s="159"/>
      <c r="L1" s="158" t="s">
        <v>149</v>
      </c>
      <c r="M1" s="159"/>
      <c r="N1" s="158" t="s">
        <v>150</v>
      </c>
      <c r="O1" s="159"/>
      <c r="P1" s="158" t="s">
        <v>5</v>
      </c>
      <c r="Q1" s="159"/>
      <c r="R1" s="158" t="s">
        <v>17</v>
      </c>
      <c r="S1" s="159"/>
      <c r="T1" s="158" t="s">
        <v>18</v>
      </c>
      <c r="U1" s="159"/>
      <c r="V1" s="158" t="s">
        <v>141</v>
      </c>
      <c r="W1" s="159"/>
      <c r="X1" s="158" t="s">
        <v>123</v>
      </c>
      <c r="Y1" s="159"/>
      <c r="Z1" s="158" t="s">
        <v>120</v>
      </c>
      <c r="AA1" s="159"/>
      <c r="AB1" s="158" t="s">
        <v>126</v>
      </c>
      <c r="AC1" s="159"/>
      <c r="AD1" s="158" t="s">
        <v>151</v>
      </c>
      <c r="AE1" s="159"/>
      <c r="AF1" s="158" t="s">
        <v>144</v>
      </c>
      <c r="AG1" s="159"/>
      <c r="AH1" s="158" t="s">
        <v>153</v>
      </c>
      <c r="AI1" s="159"/>
    </row>
    <row r="2" spans="1:35" x14ac:dyDescent="0.4">
      <c r="A2" s="72" t="s">
        <v>161</v>
      </c>
      <c r="B2" s="160"/>
      <c r="C2" s="161"/>
      <c r="D2" s="160"/>
      <c r="E2" s="161"/>
      <c r="F2" s="162">
        <v>0.97672540554178544</v>
      </c>
      <c r="G2" s="163"/>
      <c r="H2" s="162">
        <v>0.70309083080282708</v>
      </c>
      <c r="I2" s="163"/>
      <c r="J2" s="162">
        <v>0.89505281314492524</v>
      </c>
      <c r="K2" s="163"/>
      <c r="L2" s="162">
        <v>0.70327692163228828</v>
      </c>
      <c r="M2" s="163"/>
      <c r="N2" s="162">
        <v>0.60777973552166842</v>
      </c>
      <c r="O2" s="163"/>
      <c r="P2" s="162">
        <v>0.37509854112636681</v>
      </c>
      <c r="Q2" s="163"/>
      <c r="R2" s="162">
        <v>0.53051124222719026</v>
      </c>
      <c r="S2" s="163"/>
      <c r="T2" s="162">
        <v>0.60251597696738601</v>
      </c>
      <c r="U2" s="163"/>
      <c r="V2" s="162">
        <v>0.83284320059548766</v>
      </c>
      <c r="W2" s="163"/>
      <c r="X2" s="162">
        <v>0.540248984717697</v>
      </c>
      <c r="Y2" s="163"/>
      <c r="Z2" s="162">
        <v>3.3104857427546888E-2</v>
      </c>
      <c r="AA2" s="163"/>
      <c r="AB2" s="162">
        <v>0.26455110534696008</v>
      </c>
      <c r="AC2" s="163"/>
      <c r="AD2" s="162">
        <v>0.69481083276332523</v>
      </c>
      <c r="AE2" s="163"/>
      <c r="AF2" s="162">
        <v>-0.43852118140365209</v>
      </c>
      <c r="AG2" s="163"/>
      <c r="AH2" s="162">
        <v>0.74939577511080246</v>
      </c>
      <c r="AI2" s="163"/>
    </row>
    <row r="3" spans="1:35" x14ac:dyDescent="0.4">
      <c r="A3" s="74">
        <v>1</v>
      </c>
      <c r="B3" s="75" t="s">
        <v>127</v>
      </c>
      <c r="C3" s="76">
        <v>1973.9000000000005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172</v>
      </c>
      <c r="M3" s="80">
        <v>0.34696755994358253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127</v>
      </c>
      <c r="W3" s="79">
        <v>0.17721518987341772</v>
      </c>
      <c r="X3" s="77" t="s">
        <v>127</v>
      </c>
      <c r="Y3" s="80">
        <v>0.31095679012345678</v>
      </c>
      <c r="Z3" s="77" t="s">
        <v>172</v>
      </c>
      <c r="AA3" s="80">
        <v>0.29478138222849082</v>
      </c>
      <c r="AB3" s="77" t="s">
        <v>223</v>
      </c>
      <c r="AC3" s="80">
        <v>1</v>
      </c>
      <c r="AD3" s="77" t="s">
        <v>127</v>
      </c>
      <c r="AE3" s="80">
        <v>0.5161290322580645</v>
      </c>
      <c r="AF3" s="77" t="s">
        <v>223</v>
      </c>
      <c r="AG3" s="80">
        <v>0.6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177</v>
      </c>
      <c r="C4" s="84">
        <v>304.60000000000002</v>
      </c>
      <c r="D4" s="85" t="s">
        <v>222</v>
      </c>
      <c r="E4" s="97">
        <v>13.3</v>
      </c>
      <c r="F4" s="85" t="s">
        <v>127</v>
      </c>
      <c r="G4" s="86">
        <v>1.7531645569620253</v>
      </c>
      <c r="H4" s="85" t="s">
        <v>127</v>
      </c>
      <c r="I4" s="87">
        <v>0.48101265822784811</v>
      </c>
      <c r="J4" s="85" t="s">
        <v>222</v>
      </c>
      <c r="K4" s="87">
        <v>0</v>
      </c>
      <c r="L4" s="85" t="s">
        <v>127</v>
      </c>
      <c r="M4" s="88">
        <v>0.34259259259259262</v>
      </c>
      <c r="N4" s="85" t="s">
        <v>183</v>
      </c>
      <c r="O4" s="88">
        <v>0.10526315789473684</v>
      </c>
      <c r="P4" s="85" t="s">
        <v>223</v>
      </c>
      <c r="Q4" s="89">
        <v>10600</v>
      </c>
      <c r="R4" s="85" t="s">
        <v>200</v>
      </c>
      <c r="S4" s="89">
        <v>-6378.5714285714284</v>
      </c>
      <c r="T4" s="85" t="s">
        <v>200</v>
      </c>
      <c r="U4" s="87">
        <v>0</v>
      </c>
      <c r="V4" s="85" t="s">
        <v>177</v>
      </c>
      <c r="W4" s="87">
        <v>0.1388888888888889</v>
      </c>
      <c r="X4" s="85" t="s">
        <v>128</v>
      </c>
      <c r="Y4" s="88">
        <v>0.30178069353327086</v>
      </c>
      <c r="Z4" s="85" t="s">
        <v>200</v>
      </c>
      <c r="AA4" s="88">
        <v>0.29411764705882354</v>
      </c>
      <c r="AB4" s="85" t="s">
        <v>200</v>
      </c>
      <c r="AC4" s="88">
        <v>0.7</v>
      </c>
      <c r="AD4" s="85" t="s">
        <v>183</v>
      </c>
      <c r="AE4" s="88">
        <v>0.5</v>
      </c>
      <c r="AF4" s="85" t="s">
        <v>200</v>
      </c>
      <c r="AG4" s="88">
        <v>0.58620689655172409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183</v>
      </c>
      <c r="C5" s="84">
        <v>61</v>
      </c>
      <c r="D5" s="85" t="s">
        <v>127</v>
      </c>
      <c r="E5" s="97">
        <v>12.493037974683547</v>
      </c>
      <c r="F5" s="85" t="s">
        <v>200</v>
      </c>
      <c r="G5" s="86">
        <v>1.8888888888888888</v>
      </c>
      <c r="H5" s="85" t="s">
        <v>177</v>
      </c>
      <c r="I5" s="87">
        <v>0.3888888888888889</v>
      </c>
      <c r="J5" s="85" t="s">
        <v>200</v>
      </c>
      <c r="K5" s="87">
        <v>0.1111111111111111</v>
      </c>
      <c r="L5" s="85" t="s">
        <v>200</v>
      </c>
      <c r="M5" s="88">
        <v>0.3411764705882353</v>
      </c>
      <c r="N5" s="85" t="s">
        <v>172</v>
      </c>
      <c r="O5" s="88">
        <v>0.1382228490832158</v>
      </c>
      <c r="P5" s="85" t="s">
        <v>171</v>
      </c>
      <c r="Q5" s="89">
        <v>9812.0370370370365</v>
      </c>
      <c r="R5" s="85" t="s">
        <v>177</v>
      </c>
      <c r="S5" s="89">
        <v>-7112.5</v>
      </c>
      <c r="T5" s="85" t="s">
        <v>222</v>
      </c>
      <c r="U5" s="87">
        <v>0</v>
      </c>
      <c r="V5" s="85" t="s">
        <v>171</v>
      </c>
      <c r="W5" s="87">
        <v>0.13043478260869565</v>
      </c>
      <c r="X5" s="85" t="s">
        <v>177</v>
      </c>
      <c r="Y5" s="88">
        <v>0.29131175468483816</v>
      </c>
      <c r="Z5" s="85" t="s">
        <v>173</v>
      </c>
      <c r="AA5" s="88">
        <v>0.25185185185185183</v>
      </c>
      <c r="AB5" s="85" t="s">
        <v>184</v>
      </c>
      <c r="AC5" s="88">
        <v>0.63888888888888884</v>
      </c>
      <c r="AD5" s="85" t="s">
        <v>200</v>
      </c>
      <c r="AE5" s="88">
        <v>0.48</v>
      </c>
      <c r="AF5" s="85" t="s">
        <v>173</v>
      </c>
      <c r="AG5" s="88">
        <v>0.51282051282051277</v>
      </c>
      <c r="AH5" s="85" t="s">
        <v>128</v>
      </c>
      <c r="AI5" s="92">
        <v>107600</v>
      </c>
    </row>
    <row r="6" spans="1:35" x14ac:dyDescent="0.4">
      <c r="A6" s="82">
        <v>4</v>
      </c>
      <c r="B6" s="83" t="s">
        <v>200</v>
      </c>
      <c r="C6" s="84">
        <v>18.099999999999994</v>
      </c>
      <c r="D6" s="85" t="s">
        <v>177</v>
      </c>
      <c r="E6" s="97">
        <v>4.2305555555555561</v>
      </c>
      <c r="F6" s="85" t="s">
        <v>177</v>
      </c>
      <c r="G6" s="86">
        <v>1.9027777777777777</v>
      </c>
      <c r="H6" s="85" t="s">
        <v>184</v>
      </c>
      <c r="I6" s="87">
        <v>0.3888888888888889</v>
      </c>
      <c r="J6" s="85" t="s">
        <v>127</v>
      </c>
      <c r="K6" s="87">
        <v>0.23417721518987342</v>
      </c>
      <c r="L6" s="85" t="s">
        <v>145</v>
      </c>
      <c r="M6" s="88">
        <v>0.29888551165146909</v>
      </c>
      <c r="N6" s="85" t="s">
        <v>177</v>
      </c>
      <c r="O6" s="88">
        <v>0.14991482112436116</v>
      </c>
      <c r="P6" s="85" t="s">
        <v>127</v>
      </c>
      <c r="Q6" s="89">
        <v>9332.2072072072078</v>
      </c>
      <c r="R6" s="85" t="s">
        <v>128</v>
      </c>
      <c r="S6" s="89">
        <v>-7754.1436464088401</v>
      </c>
      <c r="T6" s="85" t="s">
        <v>223</v>
      </c>
      <c r="U6" s="87">
        <v>0</v>
      </c>
      <c r="V6" s="85" t="s">
        <v>145</v>
      </c>
      <c r="W6" s="87">
        <v>0.1209563994374121</v>
      </c>
      <c r="X6" s="85" t="s">
        <v>171</v>
      </c>
      <c r="Y6" s="88">
        <v>0.28998699609882966</v>
      </c>
      <c r="Z6" s="85" t="s">
        <v>223</v>
      </c>
      <c r="AA6" s="88">
        <v>0.23529411764705882</v>
      </c>
      <c r="AB6" s="85" t="s">
        <v>177</v>
      </c>
      <c r="AC6" s="88">
        <v>0.63742690058479534</v>
      </c>
      <c r="AD6" s="85" t="s">
        <v>172</v>
      </c>
      <c r="AE6" s="88">
        <v>0.42583732057416268</v>
      </c>
      <c r="AF6" s="85" t="s">
        <v>222</v>
      </c>
      <c r="AG6" s="88">
        <v>0.5</v>
      </c>
      <c r="AH6" s="85" t="s">
        <v>177</v>
      </c>
      <c r="AI6" s="92">
        <v>103000</v>
      </c>
    </row>
    <row r="7" spans="1:35" x14ac:dyDescent="0.4">
      <c r="A7" s="82">
        <v>5</v>
      </c>
      <c r="B7" s="83" t="s">
        <v>222</v>
      </c>
      <c r="C7" s="84">
        <v>13.3</v>
      </c>
      <c r="D7" s="85" t="s">
        <v>200</v>
      </c>
      <c r="E7" s="97">
        <v>2.0111111111111106</v>
      </c>
      <c r="F7" s="85" t="s">
        <v>145</v>
      </c>
      <c r="G7" s="86">
        <v>2</v>
      </c>
      <c r="H7" s="85" t="s">
        <v>145</v>
      </c>
      <c r="I7" s="87">
        <v>0.33333333333333331</v>
      </c>
      <c r="J7" s="85" t="s">
        <v>177</v>
      </c>
      <c r="K7" s="87">
        <v>0.29166666666666669</v>
      </c>
      <c r="L7" s="85" t="s">
        <v>177</v>
      </c>
      <c r="M7" s="88">
        <v>0.29471890971039183</v>
      </c>
      <c r="N7" s="85" t="s">
        <v>127</v>
      </c>
      <c r="O7" s="88">
        <v>0.15740740740740741</v>
      </c>
      <c r="P7" s="85" t="s">
        <v>128</v>
      </c>
      <c r="Q7" s="89">
        <v>9275.94501718213</v>
      </c>
      <c r="R7" s="85" t="s">
        <v>127</v>
      </c>
      <c r="S7" s="89">
        <v>-8229.4117647058829</v>
      </c>
      <c r="T7" s="85" t="s">
        <v>172</v>
      </c>
      <c r="U7" s="87">
        <v>4.8192771084337352E-2</v>
      </c>
      <c r="V7" s="85" t="s">
        <v>172</v>
      </c>
      <c r="W7" s="87">
        <v>0.10843373493975904</v>
      </c>
      <c r="X7" s="85" t="s">
        <v>145</v>
      </c>
      <c r="Y7" s="88">
        <v>0.27744005403579874</v>
      </c>
      <c r="Z7" s="85" t="s">
        <v>184</v>
      </c>
      <c r="AA7" s="88">
        <v>0.22448979591836735</v>
      </c>
      <c r="AB7" s="85" t="s">
        <v>183</v>
      </c>
      <c r="AC7" s="88">
        <v>0.6</v>
      </c>
      <c r="AD7" s="85" t="s">
        <v>184</v>
      </c>
      <c r="AE7" s="88">
        <v>0.42424242424242425</v>
      </c>
      <c r="AF7" s="85" t="s">
        <v>184</v>
      </c>
      <c r="AG7" s="88">
        <v>0.47619047619047616</v>
      </c>
      <c r="AH7" s="85" t="s">
        <v>172</v>
      </c>
      <c r="AI7" s="92">
        <v>97500</v>
      </c>
    </row>
    <row r="8" spans="1:35" x14ac:dyDescent="0.4">
      <c r="A8" s="82">
        <v>6</v>
      </c>
      <c r="B8" s="83" t="s">
        <v>145</v>
      </c>
      <c r="C8" s="84">
        <v>7.1054273576010019E-15</v>
      </c>
      <c r="D8" s="85" t="s">
        <v>145</v>
      </c>
      <c r="E8" s="97">
        <v>9.9935687167383994E-18</v>
      </c>
      <c r="F8" s="85" t="s">
        <v>222</v>
      </c>
      <c r="G8" s="86">
        <v>2</v>
      </c>
      <c r="H8" s="85" t="s">
        <v>171</v>
      </c>
      <c r="I8" s="87">
        <v>0.29347826086956524</v>
      </c>
      <c r="J8" s="85" t="s">
        <v>172</v>
      </c>
      <c r="K8" s="87">
        <v>0.30120481927710846</v>
      </c>
      <c r="L8" s="85" t="s">
        <v>223</v>
      </c>
      <c r="M8" s="88">
        <v>0.29411764705882354</v>
      </c>
      <c r="N8" s="85" t="s">
        <v>200</v>
      </c>
      <c r="O8" s="88">
        <v>0.16470588235294117</v>
      </c>
      <c r="P8" s="85" t="s">
        <v>177</v>
      </c>
      <c r="Q8" s="89">
        <v>8984.9710982658962</v>
      </c>
      <c r="R8" s="85" t="s">
        <v>145</v>
      </c>
      <c r="S8" s="89">
        <v>-8270.6948640483388</v>
      </c>
      <c r="T8" s="85" t="s">
        <v>127</v>
      </c>
      <c r="U8" s="87">
        <v>9.49367088607595E-2</v>
      </c>
      <c r="V8" s="85" t="s">
        <v>129</v>
      </c>
      <c r="W8" s="87">
        <v>0.10309278350515463</v>
      </c>
      <c r="X8" s="85" t="s">
        <v>129</v>
      </c>
      <c r="Y8" s="88">
        <v>0.27103960396039606</v>
      </c>
      <c r="Z8" s="85" t="s">
        <v>127</v>
      </c>
      <c r="AA8" s="88">
        <v>0.21527777777777779</v>
      </c>
      <c r="AB8" s="85" t="s">
        <v>128</v>
      </c>
      <c r="AC8" s="88">
        <v>0.59316770186335399</v>
      </c>
      <c r="AD8" s="85" t="s">
        <v>171</v>
      </c>
      <c r="AE8" s="88">
        <v>0.40816326530612246</v>
      </c>
      <c r="AF8" s="85" t="s">
        <v>177</v>
      </c>
      <c r="AG8" s="88">
        <v>0.44508670520231214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223</v>
      </c>
      <c r="C9" s="84">
        <v>-24.7</v>
      </c>
      <c r="D9" s="85" t="s">
        <v>171</v>
      </c>
      <c r="E9" s="97">
        <v>-0.75217391304347803</v>
      </c>
      <c r="F9" s="85" t="s">
        <v>172</v>
      </c>
      <c r="G9" s="86">
        <v>2.0481927710843375</v>
      </c>
      <c r="H9" s="85" t="s">
        <v>173</v>
      </c>
      <c r="I9" s="87">
        <v>0.27659574468085107</v>
      </c>
      <c r="J9" s="85" t="s">
        <v>145</v>
      </c>
      <c r="K9" s="87">
        <v>0.33333333333333331</v>
      </c>
      <c r="L9" s="85" t="s">
        <v>173</v>
      </c>
      <c r="M9" s="88">
        <v>0.28888888888888886</v>
      </c>
      <c r="N9" s="85" t="s">
        <v>145</v>
      </c>
      <c r="O9" s="88">
        <v>0.16767983789260385</v>
      </c>
      <c r="P9" s="85" t="s">
        <v>129</v>
      </c>
      <c r="Q9" s="89">
        <v>8715</v>
      </c>
      <c r="R9" s="85" t="s">
        <v>173</v>
      </c>
      <c r="S9" s="89">
        <v>-8290.9090909090901</v>
      </c>
      <c r="T9" s="85" t="s">
        <v>171</v>
      </c>
      <c r="U9" s="87">
        <v>0.10869565217391304</v>
      </c>
      <c r="V9" s="85" t="s">
        <v>128</v>
      </c>
      <c r="W9" s="87">
        <v>0.10077519379844961</v>
      </c>
      <c r="X9" s="85" t="s">
        <v>183</v>
      </c>
      <c r="Y9" s="88">
        <v>0.26315789473684209</v>
      </c>
      <c r="Z9" s="85" t="s">
        <v>183</v>
      </c>
      <c r="AA9" s="88">
        <v>0.21052631578947367</v>
      </c>
      <c r="AB9" s="85" t="s">
        <v>173</v>
      </c>
      <c r="AC9" s="88">
        <v>0.5842696629213483</v>
      </c>
      <c r="AD9" s="85" t="s">
        <v>145</v>
      </c>
      <c r="AE9" s="88">
        <v>0.39126919967663704</v>
      </c>
      <c r="AF9" s="85" t="s">
        <v>145</v>
      </c>
      <c r="AG9" s="88">
        <v>0.43220338983050849</v>
      </c>
      <c r="AH9" s="85" t="s">
        <v>184</v>
      </c>
      <c r="AI9" s="92">
        <v>92000</v>
      </c>
    </row>
    <row r="10" spans="1:35" x14ac:dyDescent="0.4">
      <c r="A10" s="82">
        <v>8</v>
      </c>
      <c r="B10" s="83" t="s">
        <v>171</v>
      </c>
      <c r="C10" s="84">
        <v>-69.199999999999974</v>
      </c>
      <c r="D10" s="85" t="s">
        <v>172</v>
      </c>
      <c r="E10" s="97">
        <v>-1.219277108433735</v>
      </c>
      <c r="F10" s="85" t="s">
        <v>171</v>
      </c>
      <c r="G10" s="86">
        <v>2.0543478260869565</v>
      </c>
      <c r="H10" s="85" t="s">
        <v>128</v>
      </c>
      <c r="I10" s="87">
        <v>0.27131782945736432</v>
      </c>
      <c r="J10" s="85" t="s">
        <v>171</v>
      </c>
      <c r="K10" s="87">
        <v>0.34782608695652173</v>
      </c>
      <c r="L10" s="85" t="s">
        <v>184</v>
      </c>
      <c r="M10" s="88">
        <v>0.2857142857142857</v>
      </c>
      <c r="N10" s="85" t="s">
        <v>128</v>
      </c>
      <c r="O10" s="88">
        <v>0.1696344892221181</v>
      </c>
      <c r="P10" s="85" t="s">
        <v>145</v>
      </c>
      <c r="Q10" s="89">
        <v>8712.4293785310729</v>
      </c>
      <c r="R10" s="85" t="s">
        <v>184</v>
      </c>
      <c r="S10" s="89">
        <v>-8376.4705882352937</v>
      </c>
      <c r="T10" s="85" t="s">
        <v>145</v>
      </c>
      <c r="U10" s="87">
        <v>0.1209563994374121</v>
      </c>
      <c r="V10" s="85" t="s">
        <v>173</v>
      </c>
      <c r="W10" s="87">
        <v>6.3829787234042548E-2</v>
      </c>
      <c r="X10" s="85" t="s">
        <v>184</v>
      </c>
      <c r="Y10" s="88">
        <v>0.24489795918367346</v>
      </c>
      <c r="Z10" s="85" t="s">
        <v>145</v>
      </c>
      <c r="AA10" s="88">
        <v>0.20888213441404932</v>
      </c>
      <c r="AB10" s="85" t="s">
        <v>145</v>
      </c>
      <c r="AC10" s="88">
        <v>0.57942787583688371</v>
      </c>
      <c r="AD10" s="85" t="s">
        <v>177</v>
      </c>
      <c r="AE10" s="88">
        <v>0.33944954128440369</v>
      </c>
      <c r="AF10" s="85" t="s">
        <v>129</v>
      </c>
      <c r="AG10" s="88">
        <v>0.43</v>
      </c>
      <c r="AH10" s="85" t="s">
        <v>171</v>
      </c>
      <c r="AI10" s="92">
        <v>91700</v>
      </c>
    </row>
    <row r="11" spans="1:35" x14ac:dyDescent="0.4">
      <c r="A11" s="82">
        <v>9</v>
      </c>
      <c r="B11" s="83" t="s">
        <v>172</v>
      </c>
      <c r="C11" s="84">
        <v>-101.20000000000002</v>
      </c>
      <c r="D11" s="85" t="s">
        <v>128</v>
      </c>
      <c r="E11" s="97">
        <v>-2.4046511627906977</v>
      </c>
      <c r="F11" s="85" t="s">
        <v>128</v>
      </c>
      <c r="G11" s="86">
        <v>2.0775193798449614</v>
      </c>
      <c r="H11" s="85" t="s">
        <v>129</v>
      </c>
      <c r="I11" s="87">
        <v>0.26804123711340205</v>
      </c>
      <c r="J11" s="85" t="s">
        <v>128</v>
      </c>
      <c r="K11" s="87">
        <v>0.34883720930232559</v>
      </c>
      <c r="L11" s="85" t="s">
        <v>171</v>
      </c>
      <c r="M11" s="88">
        <v>0.28088426527958388</v>
      </c>
      <c r="N11" s="85" t="s">
        <v>171</v>
      </c>
      <c r="O11" s="88">
        <v>0.17685305591677503</v>
      </c>
      <c r="P11" s="85" t="s">
        <v>184</v>
      </c>
      <c r="Q11" s="89">
        <v>8642.8571428571431</v>
      </c>
      <c r="R11" s="85" t="s">
        <v>172</v>
      </c>
      <c r="S11" s="89">
        <v>-8542.8571428571431</v>
      </c>
      <c r="T11" s="85" t="s">
        <v>128</v>
      </c>
      <c r="U11" s="87">
        <v>0.13178294573643412</v>
      </c>
      <c r="V11" s="85" t="s">
        <v>184</v>
      </c>
      <c r="W11" s="87">
        <v>5.5555555555555552E-2</v>
      </c>
      <c r="X11" s="85" t="s">
        <v>200</v>
      </c>
      <c r="Y11" s="88">
        <v>0.23529411764705882</v>
      </c>
      <c r="Z11" s="85" t="s">
        <v>171</v>
      </c>
      <c r="AA11" s="88">
        <v>0.19115734720416125</v>
      </c>
      <c r="AB11" s="85" t="s">
        <v>127</v>
      </c>
      <c r="AC11" s="88">
        <v>0.57816377171215882</v>
      </c>
      <c r="AD11" s="85" t="s">
        <v>173</v>
      </c>
      <c r="AE11" s="88">
        <v>0.3235294117647059</v>
      </c>
      <c r="AF11" s="85" t="s">
        <v>128</v>
      </c>
      <c r="AG11" s="88">
        <v>0.42268041237113402</v>
      </c>
      <c r="AH11" s="85" t="s">
        <v>173</v>
      </c>
      <c r="AI11" s="92">
        <v>85900</v>
      </c>
    </row>
    <row r="12" spans="1:35" x14ac:dyDescent="0.4">
      <c r="A12" s="82">
        <v>10</v>
      </c>
      <c r="B12" s="83" t="s">
        <v>184</v>
      </c>
      <c r="C12" s="84">
        <v>-126.5</v>
      </c>
      <c r="D12" s="85" t="s">
        <v>184</v>
      </c>
      <c r="E12" s="97">
        <v>-7.0277777777777777</v>
      </c>
      <c r="F12" s="85" t="s">
        <v>184</v>
      </c>
      <c r="G12" s="86">
        <v>2.1111111111111112</v>
      </c>
      <c r="H12" s="85" t="s">
        <v>172</v>
      </c>
      <c r="I12" s="87">
        <v>0.25301204819277107</v>
      </c>
      <c r="J12" s="85" t="s">
        <v>173</v>
      </c>
      <c r="K12" s="87">
        <v>0.40425531914893614</v>
      </c>
      <c r="L12" s="85" t="s">
        <v>128</v>
      </c>
      <c r="M12" s="88">
        <v>0.27272727272727271</v>
      </c>
      <c r="N12" s="85" t="s">
        <v>173</v>
      </c>
      <c r="O12" s="88">
        <v>0.19012345679012346</v>
      </c>
      <c r="P12" s="85" t="s">
        <v>183</v>
      </c>
      <c r="Q12" s="89">
        <v>7860</v>
      </c>
      <c r="R12" s="85" t="s">
        <v>171</v>
      </c>
      <c r="S12" s="89">
        <v>-8544.1176470588234</v>
      </c>
      <c r="T12" s="85" t="s">
        <v>177</v>
      </c>
      <c r="U12" s="87">
        <v>0.1388888888888889</v>
      </c>
      <c r="V12" s="85" t="s">
        <v>183</v>
      </c>
      <c r="W12" s="87">
        <v>0</v>
      </c>
      <c r="X12" s="85" t="s">
        <v>222</v>
      </c>
      <c r="Y12" s="88">
        <v>0.23076923076923078</v>
      </c>
      <c r="Z12" s="85" t="s">
        <v>177</v>
      </c>
      <c r="AA12" s="88">
        <v>0.18568994889267462</v>
      </c>
      <c r="AB12" s="85" t="s">
        <v>171</v>
      </c>
      <c r="AC12" s="88">
        <v>0.5605381165919282</v>
      </c>
      <c r="AD12" s="85" t="s">
        <v>128</v>
      </c>
      <c r="AE12" s="88">
        <v>0.29255319148936171</v>
      </c>
      <c r="AF12" s="85" t="s">
        <v>127</v>
      </c>
      <c r="AG12" s="88">
        <v>0.42117117117117114</v>
      </c>
      <c r="AH12" s="85" t="s">
        <v>200</v>
      </c>
      <c r="AI12" s="92">
        <v>54800</v>
      </c>
    </row>
    <row r="13" spans="1:35" x14ac:dyDescent="0.4">
      <c r="A13" s="82">
        <v>11</v>
      </c>
      <c r="B13" s="83" t="s">
        <v>128</v>
      </c>
      <c r="C13" s="84">
        <v>-310.2</v>
      </c>
      <c r="D13" s="85" t="s">
        <v>173</v>
      </c>
      <c r="E13" s="97">
        <v>-9.3553191489361698</v>
      </c>
      <c r="F13" s="85" t="s">
        <v>173</v>
      </c>
      <c r="G13" s="86">
        <v>2.1276595744680851</v>
      </c>
      <c r="H13" s="85" t="s">
        <v>200</v>
      </c>
      <c r="I13" s="87">
        <v>0.22222222222222221</v>
      </c>
      <c r="J13" s="85" t="s">
        <v>129</v>
      </c>
      <c r="K13" s="87">
        <v>0.4845360824742268</v>
      </c>
      <c r="L13" s="85" t="s">
        <v>183</v>
      </c>
      <c r="M13" s="88">
        <v>0.26315789473684209</v>
      </c>
      <c r="N13" s="85" t="s">
        <v>129</v>
      </c>
      <c r="O13" s="88">
        <v>0.1905940594059406</v>
      </c>
      <c r="P13" s="85" t="s">
        <v>173</v>
      </c>
      <c r="Q13" s="89">
        <v>6904.2735042735039</v>
      </c>
      <c r="R13" s="85" t="s">
        <v>129</v>
      </c>
      <c r="S13" s="89">
        <v>-9226.6233766233763</v>
      </c>
      <c r="T13" s="85" t="s">
        <v>173</v>
      </c>
      <c r="U13" s="87">
        <v>0.14893617021276595</v>
      </c>
      <c r="V13" s="85" t="s">
        <v>200</v>
      </c>
      <c r="W13" s="87">
        <v>0</v>
      </c>
      <c r="X13" s="85" t="s">
        <v>173</v>
      </c>
      <c r="Y13" s="88">
        <v>0.21975308641975308</v>
      </c>
      <c r="Z13" s="85" t="s">
        <v>128</v>
      </c>
      <c r="AA13" s="88">
        <v>0.17619493908153702</v>
      </c>
      <c r="AB13" s="85" t="s">
        <v>172</v>
      </c>
      <c r="AC13" s="88">
        <v>0.55704697986577179</v>
      </c>
      <c r="AD13" s="85" t="s">
        <v>129</v>
      </c>
      <c r="AE13" s="88">
        <v>0.27205882352941174</v>
      </c>
      <c r="AF13" s="85" t="s">
        <v>171</v>
      </c>
      <c r="AG13" s="88">
        <v>0.41203703703703703</v>
      </c>
      <c r="AH13" s="85" t="s">
        <v>183</v>
      </c>
      <c r="AI13" s="92">
        <v>53500</v>
      </c>
    </row>
    <row r="14" spans="1:35" x14ac:dyDescent="0.4">
      <c r="A14" s="82">
        <v>12</v>
      </c>
      <c r="B14" s="83" t="s">
        <v>173</v>
      </c>
      <c r="C14" s="84">
        <v>-439.7</v>
      </c>
      <c r="D14" s="85" t="s">
        <v>223</v>
      </c>
      <c r="E14" s="97">
        <v>-12.35</v>
      </c>
      <c r="F14" s="85" t="s">
        <v>129</v>
      </c>
      <c r="G14" s="86">
        <v>2.2164948453608249</v>
      </c>
      <c r="H14" s="85" t="s">
        <v>222</v>
      </c>
      <c r="I14" s="87">
        <v>0</v>
      </c>
      <c r="J14" s="85" t="s">
        <v>184</v>
      </c>
      <c r="K14" s="87">
        <v>0.5</v>
      </c>
      <c r="L14" s="85" t="s">
        <v>129</v>
      </c>
      <c r="M14" s="88">
        <v>0.24752475247524752</v>
      </c>
      <c r="N14" s="85" t="s">
        <v>184</v>
      </c>
      <c r="O14" s="88">
        <v>0.23129251700680273</v>
      </c>
      <c r="P14" s="85" t="s">
        <v>172</v>
      </c>
      <c r="Q14" s="89">
        <v>6806.9105691056911</v>
      </c>
      <c r="R14" s="85" t="s">
        <v>222</v>
      </c>
      <c r="S14" s="89">
        <v>-12000</v>
      </c>
      <c r="T14" s="85" t="s">
        <v>129</v>
      </c>
      <c r="U14" s="87">
        <v>0.19587628865979381</v>
      </c>
      <c r="V14" s="85" t="s">
        <v>222</v>
      </c>
      <c r="W14" s="87">
        <v>0</v>
      </c>
      <c r="X14" s="85" t="s">
        <v>172</v>
      </c>
      <c r="Y14" s="88">
        <v>0.21015514809590974</v>
      </c>
      <c r="Z14" s="85" t="s">
        <v>129</v>
      </c>
      <c r="AA14" s="88">
        <v>0.16831683168316833</v>
      </c>
      <c r="AB14" s="85" t="s">
        <v>129</v>
      </c>
      <c r="AC14" s="88">
        <v>0.52511415525114158</v>
      </c>
      <c r="AD14" s="85" t="s">
        <v>223</v>
      </c>
      <c r="AE14" s="88">
        <v>0.25</v>
      </c>
      <c r="AF14" s="85" t="s">
        <v>172</v>
      </c>
      <c r="AG14" s="88">
        <v>0.41056910569105692</v>
      </c>
      <c r="AH14" s="85" t="s">
        <v>222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-1299.4000000000001</v>
      </c>
      <c r="D15" s="85" t="s">
        <v>129</v>
      </c>
      <c r="E15" s="97">
        <v>-13.395876288659794</v>
      </c>
      <c r="F15" s="85" t="s">
        <v>223</v>
      </c>
      <c r="G15" s="86">
        <v>2.5</v>
      </c>
      <c r="H15" s="85" t="s">
        <v>223</v>
      </c>
      <c r="I15" s="87">
        <v>0</v>
      </c>
      <c r="J15" s="85" t="s">
        <v>223</v>
      </c>
      <c r="K15" s="87">
        <v>0.5</v>
      </c>
      <c r="L15" s="85" t="s">
        <v>222</v>
      </c>
      <c r="M15" s="88">
        <v>0.15384615384615385</v>
      </c>
      <c r="N15" s="85" t="s">
        <v>223</v>
      </c>
      <c r="O15" s="88">
        <v>0.23529411764705882</v>
      </c>
      <c r="P15" s="85" t="s">
        <v>200</v>
      </c>
      <c r="Q15" s="89">
        <v>6765.5172413793107</v>
      </c>
      <c r="R15" s="85" t="s">
        <v>223</v>
      </c>
      <c r="S15" s="89">
        <v>-12425</v>
      </c>
      <c r="T15" s="85" t="s">
        <v>184</v>
      </c>
      <c r="U15" s="87">
        <v>0.22222222222222221</v>
      </c>
      <c r="V15" s="85" t="s">
        <v>223</v>
      </c>
      <c r="W15" s="87">
        <v>0</v>
      </c>
      <c r="X15" s="85" t="s">
        <v>223</v>
      </c>
      <c r="Y15" s="88">
        <v>0.17647058823529413</v>
      </c>
      <c r="Z15" s="85" t="s">
        <v>222</v>
      </c>
      <c r="AA15" s="88">
        <v>7.6923076923076927E-2</v>
      </c>
      <c r="AB15" s="85" t="s">
        <v>222</v>
      </c>
      <c r="AC15" s="88">
        <v>0.33333333333333331</v>
      </c>
      <c r="AD15" s="85" t="s">
        <v>222</v>
      </c>
      <c r="AE15" s="88">
        <v>0</v>
      </c>
      <c r="AF15" s="85" t="s">
        <v>183</v>
      </c>
      <c r="AG15" s="88">
        <v>0.2</v>
      </c>
      <c r="AH15" s="85" t="s">
        <v>223</v>
      </c>
      <c r="AI15" s="92">
        <v>47300</v>
      </c>
    </row>
  </sheetData>
  <sortState ref="AH3:AI4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9F765-F4EA-4F3E-A3E1-1F37A5C02AB1}">
  <sheetPr codeName="Sheet4"/>
  <dimension ref="A1:Q71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711</v>
      </c>
      <c r="C2" s="151"/>
      <c r="E2" s="62" t="s">
        <v>67</v>
      </c>
      <c r="F2" s="59" t="s">
        <v>23</v>
      </c>
      <c r="G2" s="46">
        <v>1288</v>
      </c>
      <c r="H2" s="132">
        <f>IF(B$17=0,0,G2/B$17)</f>
        <v>0.72768361581920904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-16.877637130801688</v>
      </c>
      <c r="P2" s="118">
        <v>711</v>
      </c>
      <c r="Q2" s="102">
        <v>-12000</v>
      </c>
    </row>
    <row r="3" spans="1:17" x14ac:dyDescent="0.4">
      <c r="A3" s="55" t="s">
        <v>8</v>
      </c>
      <c r="B3" s="152">
        <v>5922</v>
      </c>
      <c r="C3" s="153"/>
      <c r="E3" s="63" t="s">
        <v>65</v>
      </c>
      <c r="F3" s="60" t="s">
        <v>21</v>
      </c>
      <c r="G3" s="47">
        <v>907</v>
      </c>
      <c r="H3" s="133">
        <f>IF(B$17=0,0,G3/B$17)</f>
        <v>0.5124293785310734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-4.3103448275862073</v>
      </c>
      <c r="P3" s="119">
        <v>696</v>
      </c>
      <c r="Q3" s="103">
        <v>-3000</v>
      </c>
    </row>
    <row r="4" spans="1:17" x14ac:dyDescent="0.4">
      <c r="A4" s="55" t="s">
        <v>6</v>
      </c>
      <c r="B4" s="154">
        <v>7.1054273576010019E-15</v>
      </c>
      <c r="C4" s="155"/>
      <c r="E4" s="63" t="s">
        <v>73</v>
      </c>
      <c r="F4" s="60" t="s">
        <v>28</v>
      </c>
      <c r="G4" s="47">
        <v>901</v>
      </c>
      <c r="H4" s="133">
        <f>IF(B$17=0,0,G4/B$17)</f>
        <v>0.50903954802259888</v>
      </c>
      <c r="I4" s="94">
        <v>9</v>
      </c>
      <c r="K4" s="38">
        <v>2</v>
      </c>
      <c r="L4" s="99">
        <v>40.4</v>
      </c>
      <c r="N4" s="115" t="s">
        <v>134</v>
      </c>
      <c r="O4" s="122">
        <f t="shared" si="0"/>
        <v>9.2165898617511512</v>
      </c>
      <c r="P4" s="119">
        <v>651</v>
      </c>
      <c r="Q4" s="103">
        <v>6000</v>
      </c>
    </row>
    <row r="5" spans="1:17" x14ac:dyDescent="0.4">
      <c r="A5" s="55" t="s">
        <v>7</v>
      </c>
      <c r="B5" s="156">
        <f>IF(B$2=0,0,B$4/B$2)</f>
        <v>9.9935687167383994E-18</v>
      </c>
      <c r="C5" s="157"/>
      <c r="E5" s="63" t="s">
        <v>245</v>
      </c>
      <c r="F5" s="60" t="s">
        <v>246</v>
      </c>
      <c r="G5" s="47">
        <v>722</v>
      </c>
      <c r="H5" s="133">
        <f>IF(B$17=0,0,G5/B$17)</f>
        <v>0.40790960451977404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6.700167504187605</v>
      </c>
      <c r="P5" s="119">
        <v>597</v>
      </c>
      <c r="Q5" s="103">
        <v>4000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550</v>
      </c>
      <c r="H6" s="133">
        <f>IF(B$17=0,0,G6/B$17)</f>
        <v>0.31073446327683618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-11.235955056179776</v>
      </c>
      <c r="P6" s="119">
        <v>534</v>
      </c>
      <c r="Q6" s="103">
        <v>-6000</v>
      </c>
    </row>
    <row r="7" spans="1:17" x14ac:dyDescent="0.4">
      <c r="A7" s="55" t="s">
        <v>2</v>
      </c>
      <c r="B7" s="47">
        <v>237</v>
      </c>
      <c r="C7" s="39">
        <f>IF(B$2=0,0,B7/B$2)</f>
        <v>0.33333333333333331</v>
      </c>
      <c r="E7" s="63" t="s">
        <v>68</v>
      </c>
      <c r="F7" s="60" t="s">
        <v>24</v>
      </c>
      <c r="G7" s="47">
        <v>546</v>
      </c>
      <c r="H7" s="133">
        <f>IF(B$17=0,0,G7/B$17)</f>
        <v>0.30847457627118646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23.354564755838641</v>
      </c>
      <c r="P7" s="120">
        <v>471</v>
      </c>
      <c r="Q7" s="104">
        <v>11000</v>
      </c>
    </row>
    <row r="8" spans="1:17" x14ac:dyDescent="0.4">
      <c r="A8" s="55" t="s">
        <v>3</v>
      </c>
      <c r="B8" s="47">
        <v>237</v>
      </c>
      <c r="C8" s="39">
        <f>IF(B$2=0,0,B8/B$2)</f>
        <v>0.33333333333333331</v>
      </c>
      <c r="E8" s="63" t="s">
        <v>70</v>
      </c>
      <c r="F8" s="60" t="s">
        <v>25</v>
      </c>
      <c r="G8" s="47">
        <v>313</v>
      </c>
      <c r="H8" s="133">
        <f>IF(B$17=0,0,G8/B$17)</f>
        <v>0.17683615819209039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237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223</v>
      </c>
      <c r="H9" s="133">
        <f>IF(B$17=0,0,G9/B$17)</f>
        <v>0.12598870056497175</v>
      </c>
      <c r="I9" s="94">
        <v>6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86</v>
      </c>
      <c r="C10" s="40">
        <f>IF(B$2=0,0,B10/B$2)</f>
        <v>0.1209563994374121</v>
      </c>
      <c r="E10" s="63" t="s">
        <v>66</v>
      </c>
      <c r="F10" s="60" t="s">
        <v>22</v>
      </c>
      <c r="G10" s="47">
        <v>208</v>
      </c>
      <c r="H10" s="133">
        <f>IF(B$17=0,0,G10/B$17)</f>
        <v>0.11751412429378531</v>
      </c>
      <c r="I10" s="94">
        <v>5</v>
      </c>
      <c r="K10" s="38">
        <v>8</v>
      </c>
      <c r="L10" s="99">
        <v>19.699999999999996</v>
      </c>
      <c r="N10" s="114" t="s">
        <v>164</v>
      </c>
      <c r="O10" s="124">
        <f>IF(P10=0,0,Q10/P10)</f>
        <v>-2.8147679324894503</v>
      </c>
      <c r="P10" s="118">
        <v>237</v>
      </c>
      <c r="Q10" s="106">
        <v>-667.09999999999968</v>
      </c>
    </row>
    <row r="11" spans="1:17" x14ac:dyDescent="0.4">
      <c r="A11" s="56" t="s">
        <v>140</v>
      </c>
      <c r="B11" s="48">
        <v>86</v>
      </c>
      <c r="C11" s="40">
        <f>IF(B$2=0,0,B11/B$2)</f>
        <v>0.1209563994374121</v>
      </c>
      <c r="E11" s="63" t="s">
        <v>71</v>
      </c>
      <c r="F11" s="60" t="s">
        <v>26</v>
      </c>
      <c r="G11" s="47">
        <v>180</v>
      </c>
      <c r="H11" s="133">
        <f>IF(B$17=0,0,G11/B$17)</f>
        <v>0.10169491525423729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1.0497890295358652</v>
      </c>
      <c r="P11" s="119">
        <v>237</v>
      </c>
      <c r="Q11" s="107">
        <v>248.80000000000004</v>
      </c>
    </row>
    <row r="12" spans="1:17" x14ac:dyDescent="0.4">
      <c r="A12" s="57" t="s">
        <v>160</v>
      </c>
      <c r="B12" s="49">
        <v>59</v>
      </c>
      <c r="C12" s="42">
        <f>IF(B$2=0,0,B12/B$2)</f>
        <v>8.2981715893108293E-2</v>
      </c>
      <c r="E12" s="63" t="s">
        <v>72</v>
      </c>
      <c r="F12" s="60" t="s">
        <v>27</v>
      </c>
      <c r="G12" s="47">
        <v>123</v>
      </c>
      <c r="H12" s="133">
        <f>IF(B$17=0,0,G12/B$17)</f>
        <v>6.9491525423728814E-2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1.7649789029535863</v>
      </c>
      <c r="P12" s="120">
        <v>237</v>
      </c>
      <c r="Q12" s="108">
        <v>418.29999999999995</v>
      </c>
    </row>
    <row r="13" spans="1:17" x14ac:dyDescent="0.4">
      <c r="A13" s="58" t="s">
        <v>122</v>
      </c>
      <c r="B13" s="50">
        <v>1643</v>
      </c>
      <c r="C13" s="44">
        <f>IF(B$3=0,0,B13/B$3)</f>
        <v>0.27744005403579874</v>
      </c>
      <c r="E13" s="63" t="s">
        <v>87</v>
      </c>
      <c r="F13" s="60" t="s">
        <v>42</v>
      </c>
      <c r="G13" s="47">
        <v>101</v>
      </c>
      <c r="H13" s="133">
        <f>IF(B$17=0,0,G13/B$17)</f>
        <v>5.7062146892655367E-2</v>
      </c>
      <c r="I13" s="94">
        <v>5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1237</v>
      </c>
      <c r="C14" s="39">
        <f>IF(B$3=0,0,B14/B$3)</f>
        <v>0.20888213441404932</v>
      </c>
      <c r="E14" s="63" t="s">
        <v>84</v>
      </c>
      <c r="F14" s="60" t="s">
        <v>39</v>
      </c>
      <c r="G14" s="47">
        <v>86</v>
      </c>
      <c r="H14" s="133">
        <f>IF(B$17=0,0,G14/B$17)</f>
        <v>4.8587570621468928E-2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952</v>
      </c>
      <c r="C15" s="37">
        <f>IF(B$13=0,0,B15/B$13)</f>
        <v>0.57942787583688371</v>
      </c>
      <c r="E15" s="63" t="s">
        <v>79</v>
      </c>
      <c r="F15" s="60" t="s">
        <v>34</v>
      </c>
      <c r="G15" s="47">
        <v>50</v>
      </c>
      <c r="H15" s="133">
        <f>IF(B$17=0,0,G15/B$17)</f>
        <v>2.8248587570621469E-2</v>
      </c>
      <c r="I15" s="94">
        <v>6</v>
      </c>
      <c r="K15" s="38">
        <v>13</v>
      </c>
      <c r="L15" s="99">
        <v>-42.100000000000009</v>
      </c>
      <c r="N15" s="114" t="s">
        <v>129</v>
      </c>
      <c r="O15" s="124">
        <f>IF(P15=0,0,Q15/P15)</f>
        <v>20.093814432989717</v>
      </c>
      <c r="P15" s="118">
        <v>194</v>
      </c>
      <c r="Q15" s="106">
        <v>3898.2000000000053</v>
      </c>
    </row>
    <row r="16" spans="1:17" x14ac:dyDescent="0.4">
      <c r="A16" s="54" t="s">
        <v>125</v>
      </c>
      <c r="B16" s="46">
        <v>484</v>
      </c>
      <c r="C16" s="37">
        <f>IF(B$14=0,0,B16/B$14)</f>
        <v>0.39126919967663704</v>
      </c>
      <c r="E16" s="63" t="s">
        <v>82</v>
      </c>
      <c r="F16" s="60" t="s">
        <v>37</v>
      </c>
      <c r="G16" s="47">
        <v>50</v>
      </c>
      <c r="H16" s="133">
        <f>IF(B$17=0,0,G16/B$17)</f>
        <v>2.8248587570621469E-2</v>
      </c>
      <c r="I16" s="94">
        <v>5</v>
      </c>
      <c r="K16" s="38">
        <v>14</v>
      </c>
      <c r="L16" s="99">
        <v>18.79999999999999</v>
      </c>
      <c r="N16" s="115" t="s">
        <v>223</v>
      </c>
      <c r="O16" s="125">
        <f>IF(P16=0,0,Q16/P16)</f>
        <v>18.524999999999995</v>
      </c>
      <c r="P16" s="119">
        <v>4</v>
      </c>
      <c r="Q16" s="107">
        <v>74.09999999999998</v>
      </c>
    </row>
    <row r="17" spans="1:17" x14ac:dyDescent="0.4">
      <c r="A17" s="54" t="s">
        <v>10</v>
      </c>
      <c r="B17" s="46">
        <f>B19+B18</f>
        <v>1770</v>
      </c>
      <c r="C17" s="37">
        <f>IF(B$3=0,0,B17/B$3)</f>
        <v>0.29888551165146909</v>
      </c>
      <c r="E17" s="63" t="s">
        <v>92</v>
      </c>
      <c r="F17" s="60" t="s">
        <v>47</v>
      </c>
      <c r="G17" s="47">
        <v>35</v>
      </c>
      <c r="H17" s="133">
        <f>IF(B$17=0,0,G17/B$17)</f>
        <v>1.977401129943503E-2</v>
      </c>
      <c r="I17" s="94">
        <v>5</v>
      </c>
      <c r="K17" s="38">
        <v>15</v>
      </c>
      <c r="L17" s="99">
        <v>-1.0658141036401503E-14</v>
      </c>
      <c r="N17" s="115" t="s">
        <v>173</v>
      </c>
      <c r="O17" s="125">
        <f>IF(P17=0,0,Q17/P17)</f>
        <v>14.032978723404252</v>
      </c>
      <c r="P17" s="119">
        <v>94</v>
      </c>
      <c r="Q17" s="107">
        <v>1319.0999999999997</v>
      </c>
    </row>
    <row r="18" spans="1:17" x14ac:dyDescent="0.4">
      <c r="A18" s="55" t="s">
        <v>12</v>
      </c>
      <c r="B18" s="47">
        <v>765</v>
      </c>
      <c r="C18" s="39">
        <f>IF(B$17=0,0,B18/B$17)</f>
        <v>0.43220338983050849</v>
      </c>
      <c r="E18" s="63" t="s">
        <v>80</v>
      </c>
      <c r="F18" s="60" t="s">
        <v>35</v>
      </c>
      <c r="G18" s="47">
        <v>29</v>
      </c>
      <c r="H18" s="133">
        <f>IF(B$17=0,0,G18/B$17)</f>
        <v>1.6384180790960452E-2</v>
      </c>
      <c r="I18" s="94">
        <v>7</v>
      </c>
      <c r="K18" s="38">
        <v>16</v>
      </c>
      <c r="L18" s="99">
        <v>90.899999999999991</v>
      </c>
      <c r="N18" s="115" t="s">
        <v>184</v>
      </c>
      <c r="O18" s="125">
        <f>IF(P18=0,0,Q18/P18)</f>
        <v>10.541666666666666</v>
      </c>
      <c r="P18" s="119">
        <v>36</v>
      </c>
      <c r="Q18" s="107">
        <v>379.5</v>
      </c>
    </row>
    <row r="19" spans="1:17" x14ac:dyDescent="0.4">
      <c r="A19" s="55" t="s">
        <v>11</v>
      </c>
      <c r="B19" s="47">
        <v>1005</v>
      </c>
      <c r="C19" s="39">
        <f>IF(B$17=0,0,B19/B$17)</f>
        <v>0.56779661016949157</v>
      </c>
      <c r="E19" s="63" t="s">
        <v>180</v>
      </c>
      <c r="F19" s="60" t="s">
        <v>181</v>
      </c>
      <c r="G19" s="47">
        <v>27</v>
      </c>
      <c r="H19" s="133">
        <f>IF(B$17=0,0,G19/B$17)</f>
        <v>1.5254237288135594E-2</v>
      </c>
      <c r="I19" s="94">
        <v>5</v>
      </c>
      <c r="K19" s="38">
        <v>17</v>
      </c>
      <c r="L19" s="99">
        <v>8.2999999999999972</v>
      </c>
      <c r="N19" s="115" t="s">
        <v>128</v>
      </c>
      <c r="O19" s="125">
        <f>IF(P19=0,0,Q19/P19)</f>
        <v>3.606976744186047</v>
      </c>
      <c r="P19" s="119">
        <v>258</v>
      </c>
      <c r="Q19" s="107">
        <v>930.60000000000014</v>
      </c>
    </row>
    <row r="20" spans="1:17" x14ac:dyDescent="0.4">
      <c r="A20" s="55" t="s">
        <v>13</v>
      </c>
      <c r="B20" s="47">
        <v>993</v>
      </c>
      <c r="C20" s="39">
        <f>IF(B$3=0,0,B20/B$3)</f>
        <v>0.16767983789260385</v>
      </c>
      <c r="E20" s="63" t="s">
        <v>74</v>
      </c>
      <c r="F20" s="60" t="s">
        <v>29</v>
      </c>
      <c r="G20" s="47">
        <v>11</v>
      </c>
      <c r="H20" s="133">
        <f>IF(B$17=0,0,G20/B$17)</f>
        <v>6.2146892655367235E-3</v>
      </c>
      <c r="I20" s="94">
        <v>6</v>
      </c>
      <c r="K20" s="38">
        <v>18</v>
      </c>
      <c r="L20" s="99">
        <v>-3.5527136788005009E-15</v>
      </c>
      <c r="N20" s="115" t="s">
        <v>172</v>
      </c>
      <c r="O20" s="125">
        <f>IF(P20=0,0,Q20/P20)</f>
        <v>1.8289156626506018</v>
      </c>
      <c r="P20" s="119">
        <v>166</v>
      </c>
      <c r="Q20" s="107">
        <v>303.59999999999991</v>
      </c>
    </row>
    <row r="21" spans="1:17" x14ac:dyDescent="0.4">
      <c r="A21" s="55" t="s">
        <v>191</v>
      </c>
      <c r="B21" s="47">
        <v>7</v>
      </c>
      <c r="C21" s="135">
        <v>1</v>
      </c>
      <c r="E21" s="63" t="s">
        <v>76</v>
      </c>
      <c r="F21" s="60" t="s">
        <v>31</v>
      </c>
      <c r="G21" s="47">
        <v>11</v>
      </c>
      <c r="H21" s="133">
        <f>IF(B$17=0,0,G21/B$17)</f>
        <v>6.2146892655367235E-3</v>
      </c>
      <c r="I21" s="94">
        <v>5</v>
      </c>
      <c r="K21" s="38">
        <v>19</v>
      </c>
      <c r="L21" s="99">
        <v>30.999999999999996</v>
      </c>
      <c r="N21" s="115" t="s">
        <v>171</v>
      </c>
      <c r="O21" s="125">
        <f>IF(P21=0,0,Q21/P21)</f>
        <v>1.1282608695652201</v>
      </c>
      <c r="P21" s="119">
        <v>184</v>
      </c>
      <c r="Q21" s="107">
        <v>207.60000000000048</v>
      </c>
    </row>
    <row r="22" spans="1:17" x14ac:dyDescent="0.4">
      <c r="A22" s="55" t="s">
        <v>192</v>
      </c>
      <c r="B22" s="47">
        <v>31</v>
      </c>
      <c r="C22" s="135">
        <v>10</v>
      </c>
      <c r="E22" s="63" t="s">
        <v>75</v>
      </c>
      <c r="F22" s="60" t="s">
        <v>30</v>
      </c>
      <c r="G22" s="47">
        <v>8</v>
      </c>
      <c r="H22" s="133">
        <f>IF(B$17=0,0,G22/B$17)</f>
        <v>4.5197740112994352E-3</v>
      </c>
      <c r="I22" s="94">
        <v>5</v>
      </c>
      <c r="K22" s="38">
        <v>20</v>
      </c>
      <c r="L22" s="99">
        <v>0.79999999999999716</v>
      </c>
      <c r="N22" s="115" t="s">
        <v>200</v>
      </c>
      <c r="O22" s="125">
        <f>IF(P22=0,0,Q22/P22)</f>
        <v>-3.0166666666666679</v>
      </c>
      <c r="P22" s="119">
        <v>18</v>
      </c>
      <c r="Q22" s="107">
        <v>-54.300000000000026</v>
      </c>
    </row>
    <row r="23" spans="1:17" x14ac:dyDescent="0.4">
      <c r="A23" s="55" t="s">
        <v>5</v>
      </c>
      <c r="B23" s="51">
        <f>IF(B$17=0,0,C23/B$17)</f>
        <v>8712.4293785310729</v>
      </c>
      <c r="C23" s="41">
        <v>15421000</v>
      </c>
      <c r="E23" s="63" t="s">
        <v>93</v>
      </c>
      <c r="F23" s="60" t="s">
        <v>48</v>
      </c>
      <c r="G23" s="47">
        <v>8</v>
      </c>
      <c r="H23" s="133">
        <f>IF(B$17=0,0,G23/B$17)</f>
        <v>4.5197740112994352E-3</v>
      </c>
      <c r="I23" s="94">
        <v>5</v>
      </c>
      <c r="K23" s="38">
        <v>21</v>
      </c>
      <c r="L23" s="99">
        <v>-2.886579864025407E-15</v>
      </c>
      <c r="N23" s="115" t="s">
        <v>177</v>
      </c>
      <c r="O23" s="125">
        <f>IF(P23=0,0,Q23/P23)</f>
        <v>-6.3458333333333341</v>
      </c>
      <c r="P23" s="119">
        <v>144</v>
      </c>
      <c r="Q23" s="107">
        <v>-913.80000000000007</v>
      </c>
    </row>
    <row r="24" spans="1:17" x14ac:dyDescent="0.4">
      <c r="A24" s="57" t="s">
        <v>14</v>
      </c>
      <c r="B24" s="52">
        <f>IF(B$20=0,0,C24/B$20)</f>
        <v>-8270.6948640483388</v>
      </c>
      <c r="C24" s="45">
        <v>-8212800</v>
      </c>
      <c r="E24" s="63" t="s">
        <v>86</v>
      </c>
      <c r="F24" s="60" t="s">
        <v>41</v>
      </c>
      <c r="G24" s="47">
        <v>7</v>
      </c>
      <c r="H24" s="133">
        <f>IF(B$17=0,0,G24/B$17)</f>
        <v>3.9548022598870055E-3</v>
      </c>
      <c r="I24" s="94">
        <v>3</v>
      </c>
      <c r="K24" s="38">
        <v>22</v>
      </c>
      <c r="L24" s="99">
        <v>23.699999999999996</v>
      </c>
      <c r="N24" s="115" t="s">
        <v>127</v>
      </c>
      <c r="O24" s="125">
        <f>IF(P24=0,0,Q24/P24)</f>
        <v>-18.739556962025294</v>
      </c>
      <c r="P24" s="119">
        <v>316</v>
      </c>
      <c r="Q24" s="107">
        <v>-5921.6999999999925</v>
      </c>
    </row>
    <row r="25" spans="1:17" x14ac:dyDescent="0.4">
      <c r="A25" s="90" t="s">
        <v>142</v>
      </c>
      <c r="B25" s="144">
        <v>8</v>
      </c>
      <c r="C25" s="145"/>
      <c r="E25" s="63" t="s">
        <v>94</v>
      </c>
      <c r="F25" s="60" t="s">
        <v>49</v>
      </c>
      <c r="G25" s="47">
        <v>7</v>
      </c>
      <c r="H25" s="133">
        <f>IF(B$17=0,0,G25/B$17)</f>
        <v>3.9548022598870055E-3</v>
      </c>
      <c r="I25" s="94">
        <v>5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2">
        <v>116000</v>
      </c>
      <c r="C26" s="143"/>
      <c r="E26" s="63" t="s">
        <v>88</v>
      </c>
      <c r="F26" s="60" t="s">
        <v>43</v>
      </c>
      <c r="G26" s="47">
        <v>6</v>
      </c>
      <c r="H26" s="133">
        <f>IF(B$17=0,0,G26/B$17)</f>
        <v>3.3898305084745762E-3</v>
      </c>
      <c r="I26" s="94">
        <v>5</v>
      </c>
      <c r="K26" s="38">
        <v>24</v>
      </c>
      <c r="L26" s="99">
        <v>-3.5527136788005009E-15</v>
      </c>
      <c r="N26" s="115" t="s">
        <v>183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2.3640661938534278E-3</v>
      </c>
      <c r="E27" s="63" t="s">
        <v>91</v>
      </c>
      <c r="F27" s="60" t="s">
        <v>46</v>
      </c>
      <c r="G27" s="47">
        <v>5</v>
      </c>
      <c r="H27" s="133">
        <f>IF(B$17=0,0,G27/B$17)</f>
        <v>2.8248587570621469E-3</v>
      </c>
      <c r="I27" s="94">
        <v>4</v>
      </c>
      <c r="K27" s="38">
        <v>25</v>
      </c>
      <c r="L27" s="99">
        <v>-31.300000000000004</v>
      </c>
    </row>
    <row r="28" spans="1:17" x14ac:dyDescent="0.4">
      <c r="E28" s="63" t="s">
        <v>78</v>
      </c>
      <c r="F28" s="60" t="s">
        <v>33</v>
      </c>
      <c r="G28" s="47">
        <v>4</v>
      </c>
      <c r="H28" s="133">
        <f>IF(B$17=0,0,G28/B$17)</f>
        <v>2.2598870056497176E-3</v>
      </c>
      <c r="I28" s="94">
        <v>4</v>
      </c>
      <c r="K28" s="38">
        <v>26</v>
      </c>
      <c r="L28" s="99">
        <v>1.8999999999999986</v>
      </c>
    </row>
    <row r="29" spans="1:17" x14ac:dyDescent="0.4">
      <c r="E29" s="63" t="s">
        <v>85</v>
      </c>
      <c r="F29" s="60" t="s">
        <v>40</v>
      </c>
      <c r="G29" s="47">
        <v>4</v>
      </c>
      <c r="H29" s="133">
        <f>IF(B$17=0,0,G29/B$17)</f>
        <v>2.2598870056497176E-3</v>
      </c>
      <c r="I29" s="94">
        <v>3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3</v>
      </c>
      <c r="H30" s="133">
        <f>IF(B$17=0,0,G30/B$17)</f>
        <v>1.6949152542372881E-3</v>
      </c>
      <c r="I30" s="94">
        <v>4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1.1299435028248588E-3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>IF(B$17=0,0,G32/B$17)</f>
        <v>5.649717514124294E-4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5.649717514124294E-4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77</v>
      </c>
      <c r="F34" s="60" t="s">
        <v>32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81</v>
      </c>
      <c r="F35" s="60" t="s">
        <v>36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83</v>
      </c>
      <c r="F36" s="60" t="s">
        <v>38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95</v>
      </c>
      <c r="F37" s="60" t="s">
        <v>50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97</v>
      </c>
      <c r="F38" s="60" t="s">
        <v>52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46.999999999999979</v>
      </c>
    </row>
    <row r="650" spans="11:12" x14ac:dyDescent="0.4">
      <c r="K650" s="38">
        <v>648</v>
      </c>
      <c r="L650" s="99">
        <v>-2.1316282072803006E-14</v>
      </c>
    </row>
    <row r="651" spans="11:12" x14ac:dyDescent="0.4">
      <c r="K651" s="38">
        <v>649</v>
      </c>
      <c r="L651" s="99">
        <v>-14.300000000000022</v>
      </c>
    </row>
    <row r="652" spans="11:12" x14ac:dyDescent="0.4">
      <c r="K652" s="38">
        <v>650</v>
      </c>
      <c r="L652" s="99">
        <v>36.09999999999998</v>
      </c>
    </row>
    <row r="653" spans="11:12" x14ac:dyDescent="0.4">
      <c r="K653" s="38">
        <v>651</v>
      </c>
      <c r="L653" s="99">
        <v>-2.1316282072803006E-14</v>
      </c>
    </row>
    <row r="654" spans="11:12" x14ac:dyDescent="0.4">
      <c r="K654" s="38">
        <v>652</v>
      </c>
      <c r="L654" s="99">
        <v>-60.90000000000002</v>
      </c>
    </row>
    <row r="655" spans="11:12" x14ac:dyDescent="0.4">
      <c r="K655" s="38">
        <v>653</v>
      </c>
      <c r="L655" s="99">
        <v>3.4999999999999858</v>
      </c>
    </row>
    <row r="656" spans="11:12" x14ac:dyDescent="0.4">
      <c r="K656" s="38">
        <v>654</v>
      </c>
      <c r="L656" s="99">
        <v>-1.4210854715202004E-14</v>
      </c>
    </row>
    <row r="657" spans="11:12" x14ac:dyDescent="0.4">
      <c r="K657" s="38">
        <v>655</v>
      </c>
      <c r="L657" s="99">
        <v>67.799999999999983</v>
      </c>
    </row>
    <row r="658" spans="11:12" x14ac:dyDescent="0.4">
      <c r="K658" s="38">
        <v>656</v>
      </c>
      <c r="L658" s="99">
        <v>55.899999999999984</v>
      </c>
    </row>
    <row r="659" spans="11:12" x14ac:dyDescent="0.4">
      <c r="K659" s="38">
        <v>657</v>
      </c>
      <c r="L659" s="99">
        <v>-1.4210854715202004E-14</v>
      </c>
    </row>
    <row r="660" spans="11:12" x14ac:dyDescent="0.4">
      <c r="K660" s="38">
        <v>658</v>
      </c>
      <c r="L660" s="99">
        <v>-14.900000000000015</v>
      </c>
    </row>
    <row r="661" spans="11:12" x14ac:dyDescent="0.4">
      <c r="K661" s="38">
        <v>659</v>
      </c>
      <c r="L661" s="99">
        <v>-51.300000000000011</v>
      </c>
    </row>
    <row r="662" spans="11:12" x14ac:dyDescent="0.4">
      <c r="K662" s="38">
        <v>660</v>
      </c>
      <c r="L662" s="99">
        <v>-1.4210854715202004E-14</v>
      </c>
    </row>
    <row r="663" spans="11:12" x14ac:dyDescent="0.4">
      <c r="K663" s="38">
        <v>661</v>
      </c>
      <c r="L663" s="99">
        <v>-57.700000000000017</v>
      </c>
    </row>
    <row r="664" spans="11:12" x14ac:dyDescent="0.4">
      <c r="K664" s="38">
        <v>662</v>
      </c>
      <c r="L664" s="99">
        <v>-40.100000000000016</v>
      </c>
    </row>
    <row r="665" spans="11:12" x14ac:dyDescent="0.4">
      <c r="K665" s="38">
        <v>663</v>
      </c>
      <c r="L665" s="99">
        <v>-1.4210854715202004E-14</v>
      </c>
    </row>
    <row r="666" spans="11:12" x14ac:dyDescent="0.4">
      <c r="K666" s="38">
        <v>664</v>
      </c>
      <c r="L666" s="99">
        <v>-1.9000000000000141</v>
      </c>
    </row>
    <row r="667" spans="11:12" x14ac:dyDescent="0.4">
      <c r="K667" s="38">
        <v>665</v>
      </c>
      <c r="L667" s="99">
        <v>32.79999999999999</v>
      </c>
    </row>
    <row r="668" spans="11:12" x14ac:dyDescent="0.4">
      <c r="K668" s="38">
        <v>666</v>
      </c>
      <c r="L668" s="99">
        <v>-7.1054273576010019E-15</v>
      </c>
    </row>
    <row r="669" spans="11:12" x14ac:dyDescent="0.4">
      <c r="K669" s="38">
        <v>667</v>
      </c>
      <c r="L669" s="99">
        <v>11.599999999999993</v>
      </c>
    </row>
    <row r="670" spans="11:12" x14ac:dyDescent="0.4">
      <c r="K670" s="38">
        <v>668</v>
      </c>
      <c r="L670" s="99">
        <v>-43.800000000000004</v>
      </c>
    </row>
    <row r="671" spans="11:12" x14ac:dyDescent="0.4">
      <c r="K671" s="38">
        <v>669</v>
      </c>
      <c r="L671" s="99">
        <v>-7.1054273576010019E-15</v>
      </c>
    </row>
    <row r="672" spans="11:12" x14ac:dyDescent="0.4">
      <c r="K672" s="38">
        <v>670</v>
      </c>
      <c r="L672" s="99">
        <v>-1.0000000000000071</v>
      </c>
    </row>
    <row r="673" spans="11:12" x14ac:dyDescent="0.4">
      <c r="K673" s="38">
        <v>671</v>
      </c>
      <c r="L673" s="99">
        <v>-59.000000000000007</v>
      </c>
    </row>
    <row r="674" spans="11:12" x14ac:dyDescent="0.4">
      <c r="K674" s="38">
        <v>672</v>
      </c>
      <c r="L674" s="99">
        <v>-7.1054273576010019E-15</v>
      </c>
    </row>
    <row r="675" spans="11:12" x14ac:dyDescent="0.4">
      <c r="K675" s="38">
        <v>673</v>
      </c>
      <c r="L675" s="99">
        <v>-1.3000000000000071</v>
      </c>
    </row>
    <row r="676" spans="11:12" x14ac:dyDescent="0.4">
      <c r="K676" s="38">
        <v>674</v>
      </c>
      <c r="L676" s="99">
        <v>34.699999999999996</v>
      </c>
    </row>
    <row r="677" spans="11:12" x14ac:dyDescent="0.4">
      <c r="K677" s="38">
        <v>675</v>
      </c>
      <c r="L677" s="99">
        <v>-7.1054273576010019E-15</v>
      </c>
    </row>
    <row r="678" spans="11:12" x14ac:dyDescent="0.4">
      <c r="K678" s="38">
        <v>676</v>
      </c>
      <c r="L678" s="99">
        <v>-7.4000000000000075</v>
      </c>
    </row>
    <row r="679" spans="11:12" x14ac:dyDescent="0.4">
      <c r="K679" s="38">
        <v>677</v>
      </c>
      <c r="L679" s="99">
        <v>-71.100000000000009</v>
      </c>
    </row>
    <row r="680" spans="11:12" x14ac:dyDescent="0.4">
      <c r="K680" s="38">
        <v>678</v>
      </c>
      <c r="L680" s="99">
        <v>-1.4210854715202004E-14</v>
      </c>
    </row>
    <row r="681" spans="11:12" x14ac:dyDescent="0.4">
      <c r="K681" s="38">
        <v>679</v>
      </c>
      <c r="L681" s="99">
        <v>76.999999999999986</v>
      </c>
    </row>
    <row r="682" spans="11:12" x14ac:dyDescent="0.4">
      <c r="K682" s="38">
        <v>680</v>
      </c>
      <c r="L682" s="99">
        <v>-5.0000000000000142</v>
      </c>
    </row>
    <row r="683" spans="11:12" x14ac:dyDescent="0.4">
      <c r="K683" s="38">
        <v>681</v>
      </c>
      <c r="L683" s="99">
        <v>-1.4210854715202004E-14</v>
      </c>
    </row>
    <row r="684" spans="11:12" x14ac:dyDescent="0.4">
      <c r="K684" s="38">
        <v>682</v>
      </c>
      <c r="L684" s="99">
        <v>92.59999999999998</v>
      </c>
    </row>
    <row r="685" spans="11:12" x14ac:dyDescent="0.4">
      <c r="K685" s="38">
        <v>683</v>
      </c>
      <c r="L685" s="99">
        <v>62.299999999999983</v>
      </c>
    </row>
    <row r="686" spans="11:12" x14ac:dyDescent="0.4">
      <c r="K686" s="38">
        <v>684</v>
      </c>
      <c r="L686" s="99">
        <v>-1.4210854715202004E-14</v>
      </c>
    </row>
    <row r="687" spans="11:12" x14ac:dyDescent="0.4">
      <c r="K687" s="38">
        <v>685</v>
      </c>
      <c r="L687" s="99">
        <v>49.699999999999989</v>
      </c>
    </row>
    <row r="688" spans="11:12" x14ac:dyDescent="0.4">
      <c r="K688" s="38">
        <v>686</v>
      </c>
      <c r="L688" s="99">
        <v>38.79999999999999</v>
      </c>
    </row>
    <row r="689" spans="11:12" x14ac:dyDescent="0.4">
      <c r="K689" s="38">
        <v>687</v>
      </c>
      <c r="L689" s="99">
        <v>-7.1054273576010019E-15</v>
      </c>
    </row>
    <row r="690" spans="11:12" x14ac:dyDescent="0.4">
      <c r="K690" s="38">
        <v>688</v>
      </c>
      <c r="L690" s="99">
        <v>-28.400000000000006</v>
      </c>
    </row>
    <row r="691" spans="11:12" x14ac:dyDescent="0.4">
      <c r="K691" s="38">
        <v>689</v>
      </c>
      <c r="L691" s="99">
        <v>57</v>
      </c>
    </row>
    <row r="692" spans="11:12" x14ac:dyDescent="0.4">
      <c r="K692" s="38">
        <v>690</v>
      </c>
      <c r="L692" s="99">
        <v>0</v>
      </c>
    </row>
    <row r="693" spans="11:12" x14ac:dyDescent="0.4">
      <c r="K693" s="38">
        <v>691</v>
      </c>
      <c r="L693" s="99">
        <v>-47.7</v>
      </c>
    </row>
    <row r="694" spans="11:12" x14ac:dyDescent="0.4">
      <c r="K694" s="38">
        <v>692</v>
      </c>
      <c r="L694" s="99">
        <v>-69.300000000000011</v>
      </c>
    </row>
    <row r="695" spans="11:12" x14ac:dyDescent="0.4">
      <c r="K695" s="38">
        <v>693</v>
      </c>
      <c r="L695" s="99">
        <v>-1.4210854715202004E-14</v>
      </c>
    </row>
    <row r="696" spans="11:12" x14ac:dyDescent="0.4">
      <c r="K696" s="38">
        <v>694</v>
      </c>
      <c r="L696" s="99">
        <v>-32.900000000000013</v>
      </c>
    </row>
    <row r="697" spans="11:12" x14ac:dyDescent="0.4">
      <c r="K697" s="38">
        <v>695</v>
      </c>
      <c r="L697" s="99">
        <v>-42.600000000000009</v>
      </c>
    </row>
    <row r="698" spans="11:12" x14ac:dyDescent="0.4">
      <c r="K698" s="38">
        <v>696</v>
      </c>
      <c r="L698" s="99">
        <v>-7.1054273576010019E-15</v>
      </c>
    </row>
    <row r="699" spans="11:12" x14ac:dyDescent="0.4">
      <c r="K699" s="38">
        <v>697</v>
      </c>
      <c r="L699" s="99">
        <v>11.299999999999994</v>
      </c>
    </row>
    <row r="700" spans="11:12" x14ac:dyDescent="0.4">
      <c r="K700" s="38">
        <v>698</v>
      </c>
      <c r="L700" s="99">
        <v>56.3</v>
      </c>
    </row>
    <row r="701" spans="11:12" x14ac:dyDescent="0.4">
      <c r="K701" s="38">
        <v>699</v>
      </c>
      <c r="L701" s="99">
        <v>0</v>
      </c>
    </row>
    <row r="702" spans="11:12" x14ac:dyDescent="0.4">
      <c r="K702" s="38">
        <v>700</v>
      </c>
      <c r="L702" s="99">
        <v>15</v>
      </c>
    </row>
    <row r="703" spans="11:12" x14ac:dyDescent="0.4">
      <c r="K703" s="38">
        <v>701</v>
      </c>
      <c r="L703" s="99">
        <v>60</v>
      </c>
    </row>
    <row r="704" spans="11:12" x14ac:dyDescent="0.4">
      <c r="K704" s="38">
        <v>702</v>
      </c>
      <c r="L704" s="99">
        <v>0</v>
      </c>
    </row>
    <row r="705" spans="11:12" x14ac:dyDescent="0.4">
      <c r="K705" s="38">
        <v>703</v>
      </c>
      <c r="L705" s="99">
        <v>-50.9</v>
      </c>
    </row>
    <row r="706" spans="11:12" x14ac:dyDescent="0.4">
      <c r="K706" s="38">
        <v>704</v>
      </c>
      <c r="L706" s="99">
        <v>1.2000000000000028</v>
      </c>
    </row>
    <row r="707" spans="11:12" x14ac:dyDescent="0.4">
      <c r="K707" s="38">
        <v>705</v>
      </c>
      <c r="L707" s="99">
        <v>2.886579864025407E-15</v>
      </c>
    </row>
    <row r="708" spans="11:12" x14ac:dyDescent="0.4">
      <c r="K708" s="38">
        <v>706</v>
      </c>
      <c r="L708" s="99">
        <v>5.3000000000000025</v>
      </c>
    </row>
    <row r="709" spans="11:12" x14ac:dyDescent="0.4">
      <c r="K709" s="38">
        <v>707</v>
      </c>
      <c r="L709" s="99">
        <v>-26.799999999999997</v>
      </c>
    </row>
    <row r="710" spans="11:12" x14ac:dyDescent="0.4">
      <c r="K710" s="38">
        <v>708</v>
      </c>
      <c r="L710" s="99">
        <v>3.5527136788005009E-15</v>
      </c>
    </row>
    <row r="711" spans="11:12" x14ac:dyDescent="0.4">
      <c r="K711" s="38">
        <v>709</v>
      </c>
      <c r="L711" s="99">
        <v>9.4000000000000039</v>
      </c>
    </row>
    <row r="712" spans="11:12" x14ac:dyDescent="0.4">
      <c r="K712" s="38">
        <v>710</v>
      </c>
      <c r="L712" s="99">
        <v>-36.399999999999991</v>
      </c>
    </row>
    <row r="713" spans="11:12" x14ac:dyDescent="0.4">
      <c r="K713" s="38">
        <v>711</v>
      </c>
      <c r="L713" s="99">
        <v>7.1054273576010019E-15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5F644-13BF-46FE-9F57-E6B2ECDEE509}">
  <sheetPr codeName="Sheet7"/>
  <dimension ref="A1:Q16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158</v>
      </c>
      <c r="C2" s="151"/>
      <c r="E2" s="62" t="s">
        <v>65</v>
      </c>
      <c r="F2" s="59" t="s">
        <v>21</v>
      </c>
      <c r="G2" s="46">
        <v>212</v>
      </c>
      <c r="H2" s="132">
        <f>IF(B$17=0,0,G2/B$17)</f>
        <v>0.47747747747747749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1979.746835443038</v>
      </c>
      <c r="P2" s="118">
        <v>158</v>
      </c>
      <c r="Q2" s="102">
        <v>312800</v>
      </c>
    </row>
    <row r="3" spans="1:17" x14ac:dyDescent="0.4">
      <c r="A3" s="55" t="s">
        <v>8</v>
      </c>
      <c r="B3" s="152">
        <v>1296</v>
      </c>
      <c r="C3" s="153"/>
      <c r="E3" s="63" t="s">
        <v>66</v>
      </c>
      <c r="F3" s="60" t="s">
        <v>22</v>
      </c>
      <c r="G3" s="47">
        <v>55</v>
      </c>
      <c r="H3" s="133">
        <f>IF(B$17=0,0,G3/B$17)</f>
        <v>0.12387387387387387</v>
      </c>
      <c r="I3" s="94">
        <v>3</v>
      </c>
      <c r="K3" s="38">
        <v>1</v>
      </c>
      <c r="L3" s="99">
        <v>-5.0999999999999996</v>
      </c>
      <c r="N3" s="115" t="s">
        <v>133</v>
      </c>
      <c r="O3" s="122">
        <f t="shared" si="0"/>
        <v>2033.1168831168832</v>
      </c>
      <c r="P3" s="119">
        <v>154</v>
      </c>
      <c r="Q3" s="103">
        <v>313100</v>
      </c>
    </row>
    <row r="4" spans="1:17" x14ac:dyDescent="0.4">
      <c r="A4" s="55" t="s">
        <v>6</v>
      </c>
      <c r="B4" s="154">
        <v>1973.9000000000005</v>
      </c>
      <c r="C4" s="155"/>
      <c r="E4" s="63" t="s">
        <v>67</v>
      </c>
      <c r="F4" s="60" t="s">
        <v>23</v>
      </c>
      <c r="G4" s="47">
        <v>318</v>
      </c>
      <c r="H4" s="133">
        <f>IF(B$17=0,0,G4/B$17)</f>
        <v>0.71621621621621623</v>
      </c>
      <c r="I4" s="94">
        <v>8</v>
      </c>
      <c r="K4" s="38">
        <v>2</v>
      </c>
      <c r="L4" s="99">
        <v>-2.8999999999999995</v>
      </c>
      <c r="N4" s="115" t="s">
        <v>134</v>
      </c>
      <c r="O4" s="122">
        <f t="shared" si="0"/>
        <v>786.98630136986299</v>
      </c>
      <c r="P4" s="119">
        <v>146</v>
      </c>
      <c r="Q4" s="103">
        <v>114900</v>
      </c>
    </row>
    <row r="5" spans="1:17" x14ac:dyDescent="0.4">
      <c r="A5" s="55" t="s">
        <v>7</v>
      </c>
      <c r="B5" s="156">
        <f>IF(B$2=0,0,B$4/B$2)</f>
        <v>12.493037974683547</v>
      </c>
      <c r="C5" s="157"/>
      <c r="E5" s="63" t="s">
        <v>68</v>
      </c>
      <c r="F5" s="60" t="s">
        <v>24</v>
      </c>
      <c r="G5" s="47">
        <v>128</v>
      </c>
      <c r="H5" s="133">
        <f>IF(B$17=0,0,G5/B$17)</f>
        <v>0.28828828828828829</v>
      </c>
      <c r="I5" s="94">
        <v>10</v>
      </c>
      <c r="K5" s="38">
        <v>3</v>
      </c>
      <c r="L5" s="99">
        <v>70.399999999999991</v>
      </c>
      <c r="N5" s="115" t="s">
        <v>135</v>
      </c>
      <c r="O5" s="122">
        <f t="shared" si="0"/>
        <v>2197.7777777777778</v>
      </c>
      <c r="P5" s="119">
        <v>135</v>
      </c>
      <c r="Q5" s="103">
        <v>296700</v>
      </c>
    </row>
    <row r="6" spans="1:17" x14ac:dyDescent="0.4">
      <c r="A6" s="55" t="s">
        <v>1</v>
      </c>
      <c r="B6" s="146">
        <f>IF(B$2=0,0,(B$7*1+B$8*2+B$9*3)/B$2)</f>
        <v>1.7531645569620253</v>
      </c>
      <c r="C6" s="147"/>
      <c r="E6" s="63" t="s">
        <v>69</v>
      </c>
      <c r="F6" s="60" t="s">
        <v>12</v>
      </c>
      <c r="G6" s="47">
        <v>121</v>
      </c>
      <c r="H6" s="133">
        <f>IF(B$17=0,0,G6/B$17)</f>
        <v>0.27252252252252251</v>
      </c>
      <c r="I6" s="94">
        <v>11</v>
      </c>
      <c r="K6" s="38">
        <v>4</v>
      </c>
      <c r="L6" s="99">
        <v>110.5</v>
      </c>
      <c r="N6" s="115" t="s">
        <v>136</v>
      </c>
      <c r="O6" s="122">
        <f t="shared" si="0"/>
        <v>106.77966101694915</v>
      </c>
      <c r="P6" s="119">
        <v>118</v>
      </c>
      <c r="Q6" s="103">
        <v>12600</v>
      </c>
    </row>
    <row r="7" spans="1:17" x14ac:dyDescent="0.4">
      <c r="A7" s="55" t="s">
        <v>2</v>
      </c>
      <c r="B7" s="47">
        <v>76</v>
      </c>
      <c r="C7" s="39">
        <f>IF(B$2=0,0,B7/B$2)</f>
        <v>0.48101265822784811</v>
      </c>
      <c r="E7" s="63" t="s">
        <v>70</v>
      </c>
      <c r="F7" s="60" t="s">
        <v>25</v>
      </c>
      <c r="G7" s="47">
        <v>72</v>
      </c>
      <c r="H7" s="133">
        <f>IF(B$17=0,0,G7/B$17)</f>
        <v>0.16216216216216217</v>
      </c>
      <c r="I7" s="94">
        <v>9</v>
      </c>
      <c r="K7" s="38">
        <v>5</v>
      </c>
      <c r="L7" s="99">
        <v>201.4</v>
      </c>
      <c r="N7" s="116" t="s">
        <v>137</v>
      </c>
      <c r="O7" s="123">
        <f t="shared" si="0"/>
        <v>850.98039215686276</v>
      </c>
      <c r="P7" s="120">
        <v>102</v>
      </c>
      <c r="Q7" s="104">
        <v>86800</v>
      </c>
    </row>
    <row r="8" spans="1:17" x14ac:dyDescent="0.4">
      <c r="A8" s="55" t="s">
        <v>3</v>
      </c>
      <c r="B8" s="47">
        <v>45</v>
      </c>
      <c r="C8" s="39">
        <f>IF(B$2=0,0,B8/B$2)</f>
        <v>0.2848101265822785</v>
      </c>
      <c r="E8" s="63" t="s">
        <v>71</v>
      </c>
      <c r="F8" s="60" t="s">
        <v>26</v>
      </c>
      <c r="G8" s="47">
        <v>39</v>
      </c>
      <c r="H8" s="133">
        <f>IF(B$17=0,0,G8/B$17)</f>
        <v>8.7837837837837843E-2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37</v>
      </c>
      <c r="C9" s="40">
        <f t="shared" ref="C9" si="1">IF(B$2=0,0,B9/B$2)</f>
        <v>0.23417721518987342</v>
      </c>
      <c r="E9" s="63" t="s">
        <v>72</v>
      </c>
      <c r="F9" s="60" t="s">
        <v>27</v>
      </c>
      <c r="G9" s="47">
        <v>31</v>
      </c>
      <c r="H9" s="133">
        <f>IF(B$17=0,0,G9/B$17)</f>
        <v>6.9819819819819814E-2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9.49367088607595E-2</v>
      </c>
      <c r="E10" s="63" t="s">
        <v>73</v>
      </c>
      <c r="F10" s="60" t="s">
        <v>28</v>
      </c>
      <c r="G10" s="47">
        <v>250</v>
      </c>
      <c r="H10" s="133">
        <f>IF(B$17=0,0,G10/B$17)</f>
        <v>0.56306306306306309</v>
      </c>
      <c r="I10" s="94">
        <v>5</v>
      </c>
      <c r="K10" s="38">
        <v>8</v>
      </c>
      <c r="L10" s="99">
        <v>285.20000000000005</v>
      </c>
      <c r="N10" s="114" t="s">
        <v>164</v>
      </c>
      <c r="O10" s="124">
        <f>IF(P10=0,0,Q10/P10)</f>
        <v>15.124000000000001</v>
      </c>
      <c r="P10" s="118">
        <v>50</v>
      </c>
      <c r="Q10" s="106">
        <v>756.2</v>
      </c>
    </row>
    <row r="11" spans="1:17" x14ac:dyDescent="0.4">
      <c r="A11" s="56" t="s">
        <v>140</v>
      </c>
      <c r="B11" s="48">
        <v>28</v>
      </c>
      <c r="C11" s="40">
        <f>IF(B$2=0,0,B11/B$2)</f>
        <v>0.17721518987341772</v>
      </c>
      <c r="E11" s="63" t="s">
        <v>74</v>
      </c>
      <c r="F11" s="60" t="s">
        <v>29</v>
      </c>
      <c r="G11" s="47">
        <v>3</v>
      </c>
      <c r="H11" s="133">
        <f>IF(B$17=0,0,G11/B$17)</f>
        <v>6.7567567567567571E-3</v>
      </c>
      <c r="I11" s="94">
        <v>5</v>
      </c>
      <c r="K11" s="38">
        <v>9</v>
      </c>
      <c r="L11" s="99">
        <v>277.90000000000003</v>
      </c>
      <c r="N11" s="115" t="s">
        <v>165</v>
      </c>
      <c r="O11" s="125">
        <f>IF(P11=0,0,Q11/P11)</f>
        <v>10.660416666666668</v>
      </c>
      <c r="P11" s="119">
        <v>48</v>
      </c>
      <c r="Q11" s="107">
        <v>511.70000000000005</v>
      </c>
    </row>
    <row r="12" spans="1:17" x14ac:dyDescent="0.4">
      <c r="A12" s="57" t="s">
        <v>160</v>
      </c>
      <c r="B12" s="49">
        <v>22</v>
      </c>
      <c r="C12" s="42">
        <f>IF(B$2=0,0,B12/B$2)</f>
        <v>0.13924050632911392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246.20000000000005</v>
      </c>
      <c r="N12" s="116" t="s">
        <v>166</v>
      </c>
      <c r="O12" s="126">
        <f>IF(P12=0,0,Q12/P12)</f>
        <v>11.766666666666669</v>
      </c>
      <c r="P12" s="120">
        <v>60</v>
      </c>
      <c r="Q12" s="108">
        <v>706.00000000000011</v>
      </c>
    </row>
    <row r="13" spans="1:17" x14ac:dyDescent="0.4">
      <c r="A13" s="58" t="s">
        <v>122</v>
      </c>
      <c r="B13" s="50">
        <v>403</v>
      </c>
      <c r="C13" s="44">
        <f>IF(B$3=0,0,B13/B$3)</f>
        <v>0.31095679012345678</v>
      </c>
      <c r="E13" s="63" t="s">
        <v>76</v>
      </c>
      <c r="F13" s="60" t="s">
        <v>31</v>
      </c>
      <c r="G13" s="47">
        <v>1</v>
      </c>
      <c r="H13" s="133">
        <f>IF(B$17=0,0,G13/B$17)</f>
        <v>2.2522522522522522E-3</v>
      </c>
      <c r="I13" s="94">
        <v>8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279</v>
      </c>
      <c r="C14" s="39">
        <f>IF(B$3=0,0,B14/B$3)</f>
        <v>0.21527777777777779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233</v>
      </c>
      <c r="C15" s="37">
        <f>IF(B$13=0,0,B15/B$13)</f>
        <v>0.57816377171215882</v>
      </c>
      <c r="E15" s="63" t="s">
        <v>78</v>
      </c>
      <c r="F15" s="60" t="s">
        <v>33</v>
      </c>
      <c r="G15" s="47">
        <v>2</v>
      </c>
      <c r="H15" s="133">
        <f>IF(B$17=0,0,G15/B$17)</f>
        <v>4.5045045045045045E-3</v>
      </c>
      <c r="I15" s="94">
        <v>2</v>
      </c>
      <c r="K15" s="38">
        <v>13</v>
      </c>
      <c r="L15" s="99">
        <v>418.90000000000003</v>
      </c>
      <c r="N15" s="114" t="s">
        <v>183</v>
      </c>
      <c r="O15" s="124">
        <f t="shared" ref="O15:O25" si="2"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144</v>
      </c>
      <c r="C16" s="37">
        <f>IF(B$14=0,0,B16/B$14)</f>
        <v>0.5161290322580645</v>
      </c>
      <c r="E16" s="63" t="s">
        <v>79</v>
      </c>
      <c r="F16" s="60" t="s">
        <v>34</v>
      </c>
      <c r="G16" s="47">
        <v>12</v>
      </c>
      <c r="H16" s="133">
        <f>IF(B$17=0,0,G16/B$17)</f>
        <v>2.7027027027027029E-2</v>
      </c>
      <c r="I16" s="94">
        <v>7</v>
      </c>
      <c r="K16" s="38">
        <v>14</v>
      </c>
      <c r="L16" s="99">
        <v>473.50000000000006</v>
      </c>
      <c r="N16" s="115" t="s">
        <v>222</v>
      </c>
      <c r="O16" s="125">
        <f t="shared" si="2"/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444</v>
      </c>
      <c r="C17" s="37">
        <f>IF(B$3=0,0,B17/B$3)</f>
        <v>0.34259259259259262</v>
      </c>
      <c r="E17" s="63" t="s">
        <v>80</v>
      </c>
      <c r="F17" s="60" t="s">
        <v>35</v>
      </c>
      <c r="G17" s="47">
        <v>5</v>
      </c>
      <c r="H17" s="133">
        <f>IF(B$17=0,0,G17/B$17)</f>
        <v>1.1261261261261261E-2</v>
      </c>
      <c r="I17" s="94">
        <v>9</v>
      </c>
      <c r="K17" s="38">
        <v>15</v>
      </c>
      <c r="L17" s="99">
        <v>481.50000000000006</v>
      </c>
      <c r="N17" s="115" t="s">
        <v>129</v>
      </c>
      <c r="O17" s="125">
        <f t="shared" si="2"/>
        <v>28.908474576271193</v>
      </c>
      <c r="P17" s="119">
        <v>59</v>
      </c>
      <c r="Q17" s="107">
        <v>1705.6000000000004</v>
      </c>
    </row>
    <row r="18" spans="1:17" x14ac:dyDescent="0.4">
      <c r="A18" s="55" t="s">
        <v>12</v>
      </c>
      <c r="B18" s="47">
        <v>187</v>
      </c>
      <c r="C18" s="39">
        <f>IF(B$17=0,0,B18/B$17)</f>
        <v>0.42117117117117114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425.50000000000006</v>
      </c>
      <c r="N18" s="115" t="s">
        <v>172</v>
      </c>
      <c r="O18" s="125">
        <f t="shared" si="2"/>
        <v>23.717391304347821</v>
      </c>
      <c r="P18" s="119">
        <v>46</v>
      </c>
      <c r="Q18" s="107">
        <v>1090.9999999999998</v>
      </c>
    </row>
    <row r="19" spans="1:17" x14ac:dyDescent="0.4">
      <c r="A19" s="55" t="s">
        <v>11</v>
      </c>
      <c r="B19" s="47">
        <v>257</v>
      </c>
      <c r="C19" s="39">
        <f>IF(B$17=0,0,B19/B$17)</f>
        <v>0.5788288288288288</v>
      </c>
      <c r="E19" s="63" t="s">
        <v>82</v>
      </c>
      <c r="F19" s="60" t="s">
        <v>37</v>
      </c>
      <c r="G19" s="47">
        <v>12</v>
      </c>
      <c r="H19" s="133">
        <f>IF(B$17=0,0,G19/B$17)</f>
        <v>2.7027027027027029E-2</v>
      </c>
      <c r="I19" s="94">
        <v>7</v>
      </c>
      <c r="K19" s="38">
        <v>17</v>
      </c>
      <c r="L19" s="99">
        <v>427.40000000000003</v>
      </c>
      <c r="N19" s="115" t="s">
        <v>184</v>
      </c>
      <c r="O19" s="125">
        <f t="shared" si="2"/>
        <v>22.99166666666666</v>
      </c>
      <c r="P19" s="119">
        <v>12</v>
      </c>
      <c r="Q19" s="107">
        <v>275.89999999999992</v>
      </c>
    </row>
    <row r="20" spans="1:17" x14ac:dyDescent="0.4">
      <c r="A20" s="55" t="s">
        <v>13</v>
      </c>
      <c r="B20" s="47">
        <v>204</v>
      </c>
      <c r="C20" s="39">
        <f>IF(B$3=0,0,B20/B$3)</f>
        <v>0.15740740740740741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429.3</v>
      </c>
      <c r="N20" s="115" t="s">
        <v>173</v>
      </c>
      <c r="O20" s="125">
        <f t="shared" si="2"/>
        <v>21.768181818181816</v>
      </c>
      <c r="P20" s="119">
        <v>22</v>
      </c>
      <c r="Q20" s="107">
        <v>478.9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84</v>
      </c>
      <c r="F21" s="60" t="s">
        <v>39</v>
      </c>
      <c r="G21" s="47">
        <v>25</v>
      </c>
      <c r="H21" s="133">
        <f>IF(B$17=0,0,G21/B$17)</f>
        <v>5.6306306306306307E-2</v>
      </c>
      <c r="I21" s="94">
        <v>4</v>
      </c>
      <c r="K21" s="38">
        <v>19</v>
      </c>
      <c r="L21" s="99">
        <v>405.40000000000003</v>
      </c>
      <c r="N21" s="115" t="s">
        <v>177</v>
      </c>
      <c r="O21" s="125">
        <f t="shared" si="2"/>
        <v>18.861290322580651</v>
      </c>
      <c r="P21" s="119">
        <v>31</v>
      </c>
      <c r="Q21" s="107">
        <v>584.70000000000016</v>
      </c>
    </row>
    <row r="22" spans="1:17" x14ac:dyDescent="0.4">
      <c r="A22" s="55" t="s">
        <v>192</v>
      </c>
      <c r="B22" s="47">
        <v>39</v>
      </c>
      <c r="C22" s="135">
        <v>3</v>
      </c>
      <c r="E22" s="63" t="s">
        <v>85</v>
      </c>
      <c r="F22" s="60" t="s">
        <v>40</v>
      </c>
      <c r="G22" s="47">
        <v>1</v>
      </c>
      <c r="H22" s="133">
        <f>IF(B$17=0,0,G22/B$17)</f>
        <v>2.2522522522522522E-3</v>
      </c>
      <c r="I22" s="94">
        <v>4</v>
      </c>
      <c r="K22" s="38">
        <v>20</v>
      </c>
      <c r="L22" s="99">
        <v>469.6</v>
      </c>
      <c r="N22" s="115" t="s">
        <v>128</v>
      </c>
      <c r="O22" s="125">
        <f t="shared" si="2"/>
        <v>18.795402298850576</v>
      </c>
      <c r="P22" s="119">
        <v>87</v>
      </c>
      <c r="Q22" s="107">
        <v>1635.2</v>
      </c>
    </row>
    <row r="23" spans="1:17" x14ac:dyDescent="0.4">
      <c r="A23" s="55" t="s">
        <v>5</v>
      </c>
      <c r="B23" s="51">
        <f>IF(B$17=0,0,C23/B$17)</f>
        <v>9332.2072072072078</v>
      </c>
      <c r="C23" s="41">
        <v>4143500</v>
      </c>
      <c r="E23" s="63" t="s">
        <v>86</v>
      </c>
      <c r="F23" s="60" t="s">
        <v>41</v>
      </c>
      <c r="G23" s="47">
        <v>4</v>
      </c>
      <c r="H23" s="133">
        <f>IF(B$17=0,0,G23/B$17)</f>
        <v>9.0090090090090089E-3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 t="shared" si="2"/>
        <v>2.9685185185185161</v>
      </c>
      <c r="P23" s="119">
        <v>54</v>
      </c>
      <c r="Q23" s="107">
        <v>160.29999999999987</v>
      </c>
    </row>
    <row r="24" spans="1:17" x14ac:dyDescent="0.4">
      <c r="A24" s="57" t="s">
        <v>14</v>
      </c>
      <c r="B24" s="52">
        <f>IF(B$20=0,0,C24/B$20)</f>
        <v>-8229.4117647058829</v>
      </c>
      <c r="C24" s="45">
        <v>-1678800</v>
      </c>
      <c r="E24" s="63" t="s">
        <v>87</v>
      </c>
      <c r="F24" s="60" t="s">
        <v>42</v>
      </c>
      <c r="G24" s="47">
        <v>33</v>
      </c>
      <c r="H24" s="133">
        <f>IF(B$17=0,0,G24/B$17)</f>
        <v>7.4324324324324328E-2</v>
      </c>
      <c r="I24" s="94">
        <v>3</v>
      </c>
      <c r="K24" s="38">
        <v>22</v>
      </c>
      <c r="L24" s="99">
        <v>519.20000000000005</v>
      </c>
      <c r="N24" s="115" t="s">
        <v>200</v>
      </c>
      <c r="O24" s="125">
        <f t="shared" si="2"/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2.2522522522522522E-3</v>
      </c>
      <c r="I25" s="94">
        <v>6</v>
      </c>
      <c r="K25" s="38">
        <v>23</v>
      </c>
      <c r="L25" s="99">
        <v>555.90000000000009</v>
      </c>
      <c r="N25" s="115" t="s">
        <v>223</v>
      </c>
      <c r="O25" s="125">
        <f t="shared" si="2"/>
        <v>-81.8</v>
      </c>
      <c r="P25" s="119">
        <v>1</v>
      </c>
      <c r="Q25" s="107">
        <v>-81.8</v>
      </c>
    </row>
    <row r="26" spans="1:17" x14ac:dyDescent="0.4">
      <c r="A26" s="58" t="s">
        <v>152</v>
      </c>
      <c r="B26" s="142">
        <v>116000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2.2522522522522522E-3</v>
      </c>
      <c r="I26" s="94">
        <v>3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7.716049382716049E-4</v>
      </c>
      <c r="E27" s="63" t="s">
        <v>90</v>
      </c>
      <c r="F27" s="60" t="s">
        <v>45</v>
      </c>
      <c r="G27" s="47">
        <v>70</v>
      </c>
      <c r="H27" s="133">
        <f>IF(B$17=0,0,G27/B$17)</f>
        <v>0.15765765765765766</v>
      </c>
      <c r="I27" s="94">
        <v>4</v>
      </c>
      <c r="K27" s="38">
        <v>25</v>
      </c>
      <c r="L27" s="99">
        <v>655.20000000000005</v>
      </c>
    </row>
    <row r="28" spans="1:17" x14ac:dyDescent="0.4">
      <c r="E28" s="63" t="s">
        <v>91</v>
      </c>
      <c r="F28" s="60" t="s">
        <v>46</v>
      </c>
      <c r="G28" s="47">
        <v>2</v>
      </c>
      <c r="H28" s="133">
        <f>IF(B$17=0,0,G28/B$17)</f>
        <v>4.5045045045045045E-3</v>
      </c>
      <c r="I28" s="94">
        <v>2</v>
      </c>
      <c r="K28" s="38">
        <v>26</v>
      </c>
      <c r="L28" s="99">
        <v>625.40000000000009</v>
      </c>
    </row>
    <row r="29" spans="1:17" x14ac:dyDescent="0.4">
      <c r="E29" s="63" t="s">
        <v>92</v>
      </c>
      <c r="F29" s="60" t="s">
        <v>47</v>
      </c>
      <c r="G29" s="47">
        <v>10</v>
      </c>
      <c r="H29" s="133">
        <f>IF(B$17=0,0,G29/B$17)</f>
        <v>2.2522522522522521E-2</v>
      </c>
      <c r="I29" s="94">
        <v>3</v>
      </c>
      <c r="K29" s="38">
        <v>27</v>
      </c>
      <c r="L29" s="99">
        <v>596.30000000000007</v>
      </c>
    </row>
    <row r="30" spans="1:17" x14ac:dyDescent="0.4">
      <c r="E30" s="63" t="s">
        <v>93</v>
      </c>
      <c r="F30" s="60" t="s">
        <v>48</v>
      </c>
      <c r="G30" s="47">
        <v>3</v>
      </c>
      <c r="H30" s="133">
        <f>IF(B$17=0,0,G30/B$17)</f>
        <v>6.7567567567567571E-3</v>
      </c>
      <c r="I30" s="94">
        <v>2</v>
      </c>
      <c r="K30" s="38">
        <v>28</v>
      </c>
      <c r="L30" s="99">
        <v>655.6</v>
      </c>
    </row>
    <row r="31" spans="1:17" x14ac:dyDescent="0.4">
      <c r="E31" s="63" t="s">
        <v>94</v>
      </c>
      <c r="F31" s="60" t="s">
        <v>49</v>
      </c>
      <c r="G31" s="47">
        <v>2</v>
      </c>
      <c r="H31" s="133">
        <f>IF(B$17=0,0,G31/B$17)</f>
        <v>4.5045045045045045E-3</v>
      </c>
      <c r="I31" s="94">
        <v>4</v>
      </c>
      <c r="K31" s="38">
        <v>29</v>
      </c>
      <c r="L31" s="99">
        <v>703.1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2.2522522522522522E-3</v>
      </c>
      <c r="I33" s="94">
        <v>2</v>
      </c>
      <c r="K33" s="38">
        <v>31</v>
      </c>
      <c r="L33" s="99">
        <v>796.80000000000007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850.1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1013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180</v>
      </c>
      <c r="F50" s="60" t="s">
        <v>181</v>
      </c>
      <c r="G50" s="47">
        <v>16</v>
      </c>
      <c r="H50" s="133">
        <f>IF(B$17=0,0,G50/B$17)</f>
        <v>3.6036036036036036E-2</v>
      </c>
      <c r="I50" s="94">
        <v>1</v>
      </c>
      <c r="K50" s="38">
        <v>48</v>
      </c>
      <c r="L50" s="99">
        <v>1259.3</v>
      </c>
    </row>
    <row r="51" spans="5:12" x14ac:dyDescent="0.4">
      <c r="E51" s="136" t="s">
        <v>245</v>
      </c>
      <c r="F51" s="137" t="s">
        <v>246</v>
      </c>
      <c r="G51" s="48">
        <v>185</v>
      </c>
      <c r="H51" s="138">
        <f>IF(B$17=0,0,G51/B$17)</f>
        <v>0.41666666666666669</v>
      </c>
      <c r="I51" s="139">
        <v>5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1763.5000000000009</v>
      </c>
    </row>
    <row r="150" spans="11:12" x14ac:dyDescent="0.4">
      <c r="K150" s="38">
        <v>148</v>
      </c>
      <c r="L150" s="99">
        <v>1727.1000000000008</v>
      </c>
    </row>
    <row r="151" spans="11:12" x14ac:dyDescent="0.4">
      <c r="K151" s="38">
        <v>149</v>
      </c>
      <c r="L151" s="99">
        <v>1744.7000000000007</v>
      </c>
    </row>
    <row r="152" spans="11:12" x14ac:dyDescent="0.4">
      <c r="K152" s="38">
        <v>150</v>
      </c>
      <c r="L152" s="99">
        <v>1788.5000000000007</v>
      </c>
    </row>
    <row r="153" spans="11:12" x14ac:dyDescent="0.4">
      <c r="K153" s="38">
        <v>151</v>
      </c>
      <c r="L153" s="99">
        <v>1847.5000000000007</v>
      </c>
    </row>
    <row r="154" spans="11:12" x14ac:dyDescent="0.4">
      <c r="K154" s="38">
        <v>152</v>
      </c>
      <c r="L154" s="99">
        <v>1812.8000000000006</v>
      </c>
    </row>
    <row r="155" spans="11:12" x14ac:dyDescent="0.4">
      <c r="K155" s="38">
        <v>153</v>
      </c>
      <c r="L155" s="99">
        <v>1805.4000000000005</v>
      </c>
    </row>
    <row r="156" spans="11:12" x14ac:dyDescent="0.4">
      <c r="K156" s="38">
        <v>154</v>
      </c>
      <c r="L156" s="99">
        <v>1855.1000000000006</v>
      </c>
    </row>
    <row r="157" spans="11:12" x14ac:dyDescent="0.4">
      <c r="K157" s="38">
        <v>155</v>
      </c>
      <c r="L157" s="99">
        <v>1940.5000000000007</v>
      </c>
    </row>
    <row r="158" spans="11:12" x14ac:dyDescent="0.4">
      <c r="K158" s="38">
        <v>156</v>
      </c>
      <c r="L158" s="99">
        <v>2009.8000000000006</v>
      </c>
    </row>
    <row r="159" spans="11:12" x14ac:dyDescent="0.4">
      <c r="K159" s="38">
        <v>157</v>
      </c>
      <c r="L159" s="99">
        <v>2024.8000000000006</v>
      </c>
    </row>
    <row r="160" spans="11:12" x14ac:dyDescent="0.4">
      <c r="K160" s="38">
        <v>158</v>
      </c>
      <c r="L160" s="99">
        <v>1973.9000000000005</v>
      </c>
    </row>
  </sheetData>
  <sortState ref="E2:I160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0AF8C-4ADB-42C0-9690-0130C314A7D7}">
  <sheetPr codeName="Sheet9"/>
  <dimension ref="A1:Q13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129</v>
      </c>
      <c r="C2" s="151"/>
      <c r="E2" s="62" t="s">
        <v>65</v>
      </c>
      <c r="F2" s="59" t="s">
        <v>21</v>
      </c>
      <c r="G2" s="46">
        <v>182</v>
      </c>
      <c r="H2" s="132">
        <f>IF(B$17=0,0,G2/B$17)</f>
        <v>0.62542955326460481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124.8062015503876</v>
      </c>
      <c r="P2" s="118">
        <v>129</v>
      </c>
      <c r="Q2" s="102">
        <v>16100</v>
      </c>
    </row>
    <row r="3" spans="1:17" x14ac:dyDescent="0.4">
      <c r="A3" s="55" t="s">
        <v>8</v>
      </c>
      <c r="B3" s="152">
        <v>1067</v>
      </c>
      <c r="C3" s="153"/>
      <c r="E3" s="63" t="s">
        <v>66</v>
      </c>
      <c r="F3" s="60" t="s">
        <v>22</v>
      </c>
      <c r="G3" s="47">
        <v>47</v>
      </c>
      <c r="H3" s="133">
        <f>IF(B$17=0,0,G3/B$17)</f>
        <v>0.16151202749140894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-2027.2</v>
      </c>
      <c r="P3" s="119">
        <v>125</v>
      </c>
      <c r="Q3" s="103">
        <v>-253400</v>
      </c>
    </row>
    <row r="4" spans="1:17" x14ac:dyDescent="0.4">
      <c r="A4" s="55" t="s">
        <v>6</v>
      </c>
      <c r="B4" s="154">
        <v>-310.2</v>
      </c>
      <c r="C4" s="155"/>
      <c r="E4" s="63" t="s">
        <v>67</v>
      </c>
      <c r="F4" s="60" t="s">
        <v>23</v>
      </c>
      <c r="G4" s="47">
        <v>220</v>
      </c>
      <c r="H4" s="133">
        <f>IF(B$17=0,0,G4/B$17)</f>
        <v>0.75601374570446733</v>
      </c>
      <c r="I4" s="94">
        <v>6</v>
      </c>
      <c r="K4" s="38">
        <v>2</v>
      </c>
      <c r="L4" s="99">
        <v>6.2999999999999972</v>
      </c>
      <c r="N4" s="115" t="s">
        <v>134</v>
      </c>
      <c r="O4" s="122">
        <f t="shared" si="0"/>
        <v>407.43801652892563</v>
      </c>
      <c r="P4" s="119">
        <v>121</v>
      </c>
      <c r="Q4" s="103">
        <v>49300</v>
      </c>
    </row>
    <row r="5" spans="1:17" x14ac:dyDescent="0.4">
      <c r="A5" s="55" t="s">
        <v>7</v>
      </c>
      <c r="B5" s="156">
        <f>IF(B$2=0,0,B$4/B$2)</f>
        <v>-2.4046511627906977</v>
      </c>
      <c r="C5" s="157"/>
      <c r="E5" s="63" t="s">
        <v>68</v>
      </c>
      <c r="F5" s="60" t="s">
        <v>24</v>
      </c>
      <c r="G5" s="47">
        <v>120</v>
      </c>
      <c r="H5" s="133">
        <f>IF(B$17=0,0,G5/B$17)</f>
        <v>0.41237113402061853</v>
      </c>
      <c r="I5" s="94">
        <v>3</v>
      </c>
      <c r="K5" s="38">
        <v>3</v>
      </c>
      <c r="L5" s="99">
        <v>-47.300000000000004</v>
      </c>
      <c r="N5" s="115" t="s">
        <v>135</v>
      </c>
      <c r="O5" s="122">
        <f t="shared" si="0"/>
        <v>57.407407407407405</v>
      </c>
      <c r="P5" s="119">
        <v>108</v>
      </c>
      <c r="Q5" s="103">
        <v>6200</v>
      </c>
    </row>
    <row r="6" spans="1:17" x14ac:dyDescent="0.4">
      <c r="A6" s="55" t="s">
        <v>1</v>
      </c>
      <c r="B6" s="146">
        <f>IF(B$2=0,0,(B$7*1+B$8*2+B$9*3)/B$2)</f>
        <v>2.0775193798449614</v>
      </c>
      <c r="C6" s="147"/>
      <c r="E6" s="63" t="s">
        <v>69</v>
      </c>
      <c r="F6" s="60" t="s">
        <v>12</v>
      </c>
      <c r="G6" s="47">
        <v>100</v>
      </c>
      <c r="H6" s="133">
        <f>IF(B$17=0,0,G6/B$17)</f>
        <v>0.3436426116838488</v>
      </c>
      <c r="I6" s="94">
        <v>6</v>
      </c>
      <c r="K6" s="38">
        <v>4</v>
      </c>
      <c r="L6" s="99">
        <v>13.599999999999994</v>
      </c>
      <c r="N6" s="115" t="s">
        <v>136</v>
      </c>
      <c r="O6" s="122">
        <f t="shared" si="0"/>
        <v>915.625</v>
      </c>
      <c r="P6" s="119">
        <v>96</v>
      </c>
      <c r="Q6" s="103">
        <v>87900</v>
      </c>
    </row>
    <row r="7" spans="1:17" x14ac:dyDescent="0.4">
      <c r="A7" s="55" t="s">
        <v>2</v>
      </c>
      <c r="B7" s="47">
        <v>35</v>
      </c>
      <c r="C7" s="39">
        <f>IF(B$2=0,0,B7/B$2)</f>
        <v>0.27131782945736432</v>
      </c>
      <c r="E7" s="63" t="s">
        <v>70</v>
      </c>
      <c r="F7" s="60" t="s">
        <v>25</v>
      </c>
      <c r="G7" s="47">
        <v>67</v>
      </c>
      <c r="H7" s="133">
        <f>IF(B$17=0,0,G7/B$17)</f>
        <v>0.23024054982817868</v>
      </c>
      <c r="I7" s="94">
        <v>1</v>
      </c>
      <c r="K7" s="38">
        <v>5</v>
      </c>
      <c r="L7" s="99">
        <v>-16.600000000000005</v>
      </c>
      <c r="N7" s="116" t="s">
        <v>137</v>
      </c>
      <c r="O7" s="123">
        <f t="shared" si="0"/>
        <v>237.93103448275863</v>
      </c>
      <c r="P7" s="120">
        <v>87</v>
      </c>
      <c r="Q7" s="104">
        <v>20700</v>
      </c>
    </row>
    <row r="8" spans="1:17" x14ac:dyDescent="0.4">
      <c r="A8" s="55" t="s">
        <v>3</v>
      </c>
      <c r="B8" s="47">
        <v>49</v>
      </c>
      <c r="C8" s="39">
        <f>IF(B$2=0,0,B8/B$2)</f>
        <v>0.37984496124031009</v>
      </c>
      <c r="E8" s="63" t="s">
        <v>71</v>
      </c>
      <c r="F8" s="60" t="s">
        <v>26</v>
      </c>
      <c r="G8" s="47">
        <v>37</v>
      </c>
      <c r="H8" s="133">
        <f>IF(B$17=0,0,G8/B$17)</f>
        <v>0.12714776632302405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45</v>
      </c>
      <c r="C9" s="40">
        <f t="shared" ref="C9" si="1">IF(B$2=0,0,B9/B$2)</f>
        <v>0.34883720930232559</v>
      </c>
      <c r="E9" s="63" t="s">
        <v>72</v>
      </c>
      <c r="F9" s="60" t="s">
        <v>27</v>
      </c>
      <c r="G9" s="47">
        <v>17</v>
      </c>
      <c r="H9" s="133">
        <f>IF(B$17=0,0,G9/B$17)</f>
        <v>5.8419243986254296E-2</v>
      </c>
      <c r="I9" s="94">
        <v>9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17</v>
      </c>
      <c r="C10" s="40">
        <f>IF(B$2=0,0,B10/B$2)</f>
        <v>0.13178294573643412</v>
      </c>
      <c r="E10" s="63" t="s">
        <v>73</v>
      </c>
      <c r="F10" s="60" t="s">
        <v>28</v>
      </c>
      <c r="G10" s="47">
        <v>132</v>
      </c>
      <c r="H10" s="133">
        <f>IF(B$17=0,0,G10/B$17)</f>
        <v>0.45360824742268041</v>
      </c>
      <c r="I10" s="94">
        <v>10</v>
      </c>
      <c r="K10" s="38">
        <v>8</v>
      </c>
      <c r="L10" s="99">
        <v>-49.6</v>
      </c>
      <c r="N10" s="114" t="s">
        <v>164</v>
      </c>
      <c r="O10" s="124">
        <f>IF(P10=0,0,Q10/P10)</f>
        <v>-7.3666666666666671</v>
      </c>
      <c r="P10" s="118">
        <v>63</v>
      </c>
      <c r="Q10" s="106">
        <v>-464.1</v>
      </c>
    </row>
    <row r="11" spans="1:17" x14ac:dyDescent="0.4">
      <c r="A11" s="56" t="s">
        <v>140</v>
      </c>
      <c r="B11" s="48">
        <v>13</v>
      </c>
      <c r="C11" s="40">
        <f>IF(B$2=0,0,B11/B$2)</f>
        <v>0.10077519379844961</v>
      </c>
      <c r="E11" s="63" t="s">
        <v>74</v>
      </c>
      <c r="F11" s="60" t="s">
        <v>29</v>
      </c>
      <c r="G11" s="47">
        <v>2</v>
      </c>
      <c r="H11" s="133">
        <f>IF(B$17=0,0,G11/B$17)</f>
        <v>6.8728522336769758E-3</v>
      </c>
      <c r="I11" s="94">
        <v>4</v>
      </c>
      <c r="K11" s="38">
        <v>9</v>
      </c>
      <c r="L11" s="99">
        <v>-79.5</v>
      </c>
      <c r="N11" s="115" t="s">
        <v>165</v>
      </c>
      <c r="O11" s="125">
        <f>IF(P11=0,0,Q11/P11)</f>
        <v>-0.63235294117646967</v>
      </c>
      <c r="P11" s="119">
        <v>34</v>
      </c>
      <c r="Q11" s="107">
        <v>-21.499999999999968</v>
      </c>
    </row>
    <row r="12" spans="1:17" x14ac:dyDescent="0.4">
      <c r="A12" s="57" t="s">
        <v>160</v>
      </c>
      <c r="B12" s="49">
        <v>9</v>
      </c>
      <c r="C12" s="42">
        <f>IF(B$2=0,0,B12/B$2)</f>
        <v>6.9767441860465115E-2</v>
      </c>
      <c r="E12" s="63" t="s">
        <v>75</v>
      </c>
      <c r="F12" s="60" t="s">
        <v>30</v>
      </c>
      <c r="G12" s="47">
        <v>2</v>
      </c>
      <c r="H12" s="133">
        <f>IF(B$17=0,0,G12/B$17)</f>
        <v>6.8728522336769758E-3</v>
      </c>
      <c r="I12" s="94">
        <v>3</v>
      </c>
      <c r="K12" s="38">
        <v>10</v>
      </c>
      <c r="L12" s="99">
        <v>-80.900000000000006</v>
      </c>
      <c r="N12" s="116" t="s">
        <v>166</v>
      </c>
      <c r="O12" s="126">
        <f>IF(P12=0,0,Q12/P12)</f>
        <v>5.4812499999999993</v>
      </c>
      <c r="P12" s="120">
        <v>32</v>
      </c>
      <c r="Q12" s="108">
        <v>175.39999999999998</v>
      </c>
    </row>
    <row r="13" spans="1:17" x14ac:dyDescent="0.4">
      <c r="A13" s="58" t="s">
        <v>122</v>
      </c>
      <c r="B13" s="50">
        <v>322</v>
      </c>
      <c r="C13" s="44">
        <f>IF(B$3=0,0,B13/B$3)</f>
        <v>0.30178069353327086</v>
      </c>
      <c r="E13" s="63" t="s">
        <v>76</v>
      </c>
      <c r="F13" s="60" t="s">
        <v>31</v>
      </c>
      <c r="G13" s="47">
        <v>2</v>
      </c>
      <c r="H13" s="133">
        <f>IF(B$17=0,0,G13/B$17)</f>
        <v>6.8728522336769758E-3</v>
      </c>
      <c r="I13" s="94">
        <v>3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188</v>
      </c>
      <c r="C14" s="39">
        <f>IF(B$3=0,0,B14/B$3)</f>
        <v>0.17619493908153702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191</v>
      </c>
      <c r="C15" s="37">
        <f>IF(B$13=0,0,B15/B$13)</f>
        <v>0.59316770186335399</v>
      </c>
      <c r="E15" s="63" t="s">
        <v>78</v>
      </c>
      <c r="F15" s="60" t="s">
        <v>33</v>
      </c>
      <c r="G15" s="47">
        <v>1</v>
      </c>
      <c r="H15" s="133">
        <f>IF(B$17=0,0,G15/B$17)</f>
        <v>3.4364261168384879E-3</v>
      </c>
      <c r="I15" s="94">
        <v>3</v>
      </c>
      <c r="K15" s="38">
        <v>13</v>
      </c>
      <c r="L15" s="99">
        <v>-81.900000000000006</v>
      </c>
      <c r="N15" s="114" t="s">
        <v>184</v>
      </c>
      <c r="O15" s="124">
        <f t="shared" ref="O15:O22" si="2">IF(P15=0,0,Q15/P15)</f>
        <v>28.642857142857146</v>
      </c>
      <c r="P15" s="118">
        <v>7</v>
      </c>
      <c r="Q15" s="106">
        <v>200.50000000000003</v>
      </c>
    </row>
    <row r="16" spans="1:17" x14ac:dyDescent="0.4">
      <c r="A16" s="54" t="s">
        <v>125</v>
      </c>
      <c r="B16" s="46">
        <v>55</v>
      </c>
      <c r="C16" s="37">
        <f>IF(B$14=0,0,B16/B$14)</f>
        <v>0.29255319148936171</v>
      </c>
      <c r="E16" s="63" t="s">
        <v>79</v>
      </c>
      <c r="F16" s="60" t="s">
        <v>34</v>
      </c>
      <c r="G16" s="47">
        <v>5</v>
      </c>
      <c r="H16" s="133">
        <f>IF(B$17=0,0,G16/B$17)</f>
        <v>1.7182130584192441E-2</v>
      </c>
      <c r="I16" s="94">
        <v>8</v>
      </c>
      <c r="K16" s="38">
        <v>14</v>
      </c>
      <c r="L16" s="99">
        <v>-25.600000000000009</v>
      </c>
      <c r="N16" s="115" t="s">
        <v>129</v>
      </c>
      <c r="O16" s="125">
        <f t="shared" si="2"/>
        <v>13.619047619047617</v>
      </c>
      <c r="P16" s="119">
        <v>42</v>
      </c>
      <c r="Q16" s="107">
        <v>571.99999999999989</v>
      </c>
    </row>
    <row r="17" spans="1:17" x14ac:dyDescent="0.4">
      <c r="A17" s="54" t="s">
        <v>10</v>
      </c>
      <c r="B17" s="46">
        <f>B19+B18</f>
        <v>291</v>
      </c>
      <c r="C17" s="37">
        <f>IF(B$3=0,0,B17/B$3)</f>
        <v>0.27272727272727271</v>
      </c>
      <c r="E17" s="63" t="s">
        <v>80</v>
      </c>
      <c r="F17" s="60" t="s">
        <v>35</v>
      </c>
      <c r="G17" s="47">
        <v>7</v>
      </c>
      <c r="H17" s="133">
        <f>IF(B$17=0,0,G17/B$17)</f>
        <v>2.4054982817869417E-2</v>
      </c>
      <c r="I17" s="94">
        <v>3</v>
      </c>
      <c r="K17" s="38">
        <v>15</v>
      </c>
      <c r="L17" s="99">
        <v>47.999999999999986</v>
      </c>
      <c r="N17" s="115" t="s">
        <v>173</v>
      </c>
      <c r="O17" s="125">
        <f t="shared" si="2"/>
        <v>12.160869565217391</v>
      </c>
      <c r="P17" s="119">
        <v>23</v>
      </c>
      <c r="Q17" s="107">
        <v>279.7</v>
      </c>
    </row>
    <row r="18" spans="1:17" x14ac:dyDescent="0.4">
      <c r="A18" s="55" t="s">
        <v>12</v>
      </c>
      <c r="B18" s="47">
        <v>123</v>
      </c>
      <c r="C18" s="39">
        <f>IF(B$17=0,0,B18/B$17)</f>
        <v>0.42268041237113402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171</v>
      </c>
      <c r="O18" s="125">
        <f t="shared" si="2"/>
        <v>1.1611111111111161</v>
      </c>
      <c r="P18" s="119">
        <v>36</v>
      </c>
      <c r="Q18" s="107">
        <v>41.800000000000182</v>
      </c>
    </row>
    <row r="19" spans="1:17" x14ac:dyDescent="0.4">
      <c r="A19" s="55" t="s">
        <v>11</v>
      </c>
      <c r="B19" s="47">
        <v>168</v>
      </c>
      <c r="C19" s="39">
        <f>IF(B$17=0,0,B19/B$17)</f>
        <v>0.57731958762886593</v>
      </c>
      <c r="E19" s="63" t="s">
        <v>82</v>
      </c>
      <c r="F19" s="60" t="s">
        <v>37</v>
      </c>
      <c r="G19" s="47">
        <v>8</v>
      </c>
      <c r="H19" s="133">
        <f>IF(B$17=0,0,G19/B$17)</f>
        <v>2.7491408934707903E-2</v>
      </c>
      <c r="I19" s="94">
        <v>5</v>
      </c>
      <c r="K19" s="38">
        <v>17</v>
      </c>
      <c r="L19" s="99">
        <v>94.6</v>
      </c>
      <c r="N19" s="115" t="s">
        <v>172</v>
      </c>
      <c r="O19" s="125">
        <f t="shared" si="2"/>
        <v>-4.3735294117647046</v>
      </c>
      <c r="P19" s="119">
        <v>34</v>
      </c>
      <c r="Q19" s="107">
        <v>-148.69999999999996</v>
      </c>
    </row>
    <row r="20" spans="1:17" x14ac:dyDescent="0.4">
      <c r="A20" s="55" t="s">
        <v>13</v>
      </c>
      <c r="B20" s="47">
        <v>181</v>
      </c>
      <c r="C20" s="39">
        <f>IF(B$3=0,0,B20/B$3)</f>
        <v>0.1696344892221181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200</v>
      </c>
      <c r="O20" s="125">
        <f t="shared" si="2"/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191</v>
      </c>
      <c r="B21" s="47">
        <v>6</v>
      </c>
      <c r="C21" s="135">
        <v>1</v>
      </c>
      <c r="E21" s="63" t="s">
        <v>84</v>
      </c>
      <c r="F21" s="60" t="s">
        <v>39</v>
      </c>
      <c r="G21" s="47">
        <v>10</v>
      </c>
      <c r="H21" s="133">
        <f>IF(B$17=0,0,G21/B$17)</f>
        <v>3.4364261168384883E-2</v>
      </c>
      <c r="I21" s="94">
        <v>10</v>
      </c>
      <c r="K21" s="38">
        <v>19</v>
      </c>
      <c r="L21" s="99">
        <v>138.79999999999998</v>
      </c>
      <c r="N21" s="115" t="s">
        <v>177</v>
      </c>
      <c r="O21" s="125">
        <f t="shared" si="2"/>
        <v>-8.5074074074074097</v>
      </c>
      <c r="P21" s="119">
        <v>27</v>
      </c>
      <c r="Q21" s="107">
        <v>-229.70000000000005</v>
      </c>
    </row>
    <row r="22" spans="1:17" x14ac:dyDescent="0.4">
      <c r="A22" s="55" t="s">
        <v>192</v>
      </c>
      <c r="B22" s="47">
        <v>24</v>
      </c>
      <c r="C22" s="135">
        <v>4</v>
      </c>
      <c r="E22" s="63" t="s">
        <v>85</v>
      </c>
      <c r="F22" s="60" t="s">
        <v>40</v>
      </c>
      <c r="G22" s="47">
        <v>1</v>
      </c>
      <c r="H22" s="133">
        <f>IF(B$17=0,0,G22/B$17)</f>
        <v>3.4364261168384879E-3</v>
      </c>
      <c r="I22" s="94">
        <v>2</v>
      </c>
      <c r="K22" s="38">
        <v>20</v>
      </c>
      <c r="L22" s="99">
        <v>164.49999999999997</v>
      </c>
      <c r="N22" s="115" t="s">
        <v>127</v>
      </c>
      <c r="O22" s="125">
        <f t="shared" si="2"/>
        <v>-18.795402298850576</v>
      </c>
      <c r="P22" s="119">
        <v>87</v>
      </c>
      <c r="Q22" s="107">
        <v>-1635.2</v>
      </c>
    </row>
    <row r="23" spans="1:17" x14ac:dyDescent="0.4">
      <c r="A23" s="55" t="s">
        <v>5</v>
      </c>
      <c r="B23" s="51">
        <f>IF(B$17=0,0,C23/B$17)</f>
        <v>9275.94501718213</v>
      </c>
      <c r="C23" s="41">
        <v>2699300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-7754.1436464088401</v>
      </c>
      <c r="C24" s="45">
        <v>-1403500</v>
      </c>
      <c r="E24" s="63" t="s">
        <v>87</v>
      </c>
      <c r="F24" s="60" t="s">
        <v>42</v>
      </c>
      <c r="G24" s="47">
        <v>15</v>
      </c>
      <c r="H24" s="133">
        <f>IF(B$17=0,0,G24/B$17)</f>
        <v>5.1546391752577317E-2</v>
      </c>
      <c r="I24" s="94">
        <v>7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107600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3.4364261168384879E-3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4.6860356138706651E-3</v>
      </c>
      <c r="E27" s="63" t="s">
        <v>90</v>
      </c>
      <c r="F27" s="60" t="s">
        <v>45</v>
      </c>
      <c r="G27" s="47">
        <v>32</v>
      </c>
      <c r="H27" s="133">
        <f>IF(B$17=0,0,G27/B$17)</f>
        <v>0.10996563573883161</v>
      </c>
      <c r="I27" s="94">
        <v>9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2.0618556701030927E-2</v>
      </c>
      <c r="I29" s="94">
        <v>4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3.4364261168384879E-3</v>
      </c>
      <c r="I30" s="94">
        <v>6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3.4364261168384879E-3</v>
      </c>
      <c r="I31" s="94">
        <v>6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3.4364261168384879E-3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181</v>
      </c>
      <c r="G50" s="47">
        <v>5</v>
      </c>
      <c r="H50" s="133">
        <f>IF(B$17=0,0,G50/B$17)</f>
        <v>1.7182130584192441E-2</v>
      </c>
      <c r="I50" s="94">
        <v>3</v>
      </c>
      <c r="K50" s="38">
        <v>48</v>
      </c>
      <c r="L50" s="99">
        <v>50.599999999999959</v>
      </c>
    </row>
    <row r="51" spans="5:12" x14ac:dyDescent="0.4">
      <c r="E51" s="136" t="s">
        <v>245</v>
      </c>
      <c r="F51" s="137" t="s">
        <v>246</v>
      </c>
      <c r="G51" s="48">
        <v>123</v>
      </c>
      <c r="H51" s="138">
        <f>IF(B$17=0,0,G51/B$17)</f>
        <v>0.42268041237113402</v>
      </c>
      <c r="I51" s="139">
        <v>3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  <row r="129" spans="11:12" x14ac:dyDescent="0.4">
      <c r="K129" s="38">
        <v>127</v>
      </c>
      <c r="L129" s="99">
        <v>-345.5</v>
      </c>
    </row>
    <row r="130" spans="11:12" x14ac:dyDescent="0.4">
      <c r="K130" s="38">
        <v>128</v>
      </c>
      <c r="L130" s="99">
        <v>-355.2</v>
      </c>
    </row>
    <row r="131" spans="11:12" x14ac:dyDescent="0.4">
      <c r="K131" s="38">
        <v>129</v>
      </c>
      <c r="L131" s="99">
        <v>-310.2</v>
      </c>
    </row>
  </sheetData>
  <sortState ref="E2:I13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9D3F3-47C0-45F4-BEFF-F893E17EE9AF}">
  <sheetPr codeName="Sheet11"/>
  <dimension ref="A1:Q9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97</v>
      </c>
      <c r="C2" s="151"/>
      <c r="E2" s="62" t="s">
        <v>67</v>
      </c>
      <c r="F2" s="59" t="s">
        <v>23</v>
      </c>
      <c r="G2" s="46">
        <v>168</v>
      </c>
      <c r="H2" s="132">
        <f>IF(B$17=0,0,G2/B$17)</f>
        <v>0.84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-2910.3092783505153</v>
      </c>
      <c r="P2" s="118">
        <v>97</v>
      </c>
      <c r="Q2" s="102">
        <v>-282300</v>
      </c>
    </row>
    <row r="3" spans="1:17" x14ac:dyDescent="0.4">
      <c r="A3" s="55" t="s">
        <v>8</v>
      </c>
      <c r="B3" s="152">
        <v>808</v>
      </c>
      <c r="C3" s="153"/>
      <c r="E3" s="63" t="s">
        <v>65</v>
      </c>
      <c r="F3" s="60" t="s">
        <v>21</v>
      </c>
      <c r="G3" s="47">
        <v>112</v>
      </c>
      <c r="H3" s="133">
        <f>IF(B$17=0,0,G3/B$17)</f>
        <v>0.56000000000000005</v>
      </c>
      <c r="I3" s="94">
        <v>5</v>
      </c>
      <c r="K3" s="38">
        <v>1</v>
      </c>
      <c r="L3" s="99">
        <v>-40.4</v>
      </c>
      <c r="N3" s="115" t="s">
        <v>133</v>
      </c>
      <c r="O3" s="122">
        <f t="shared" si="0"/>
        <v>-1356.8421052631579</v>
      </c>
      <c r="P3" s="119">
        <v>95</v>
      </c>
      <c r="Q3" s="103">
        <v>-128900</v>
      </c>
    </row>
    <row r="4" spans="1:17" x14ac:dyDescent="0.4">
      <c r="A4" s="55" t="s">
        <v>6</v>
      </c>
      <c r="B4" s="154">
        <v>-1299.4000000000001</v>
      </c>
      <c r="C4" s="155"/>
      <c r="E4" s="63" t="s">
        <v>73</v>
      </c>
      <c r="F4" s="60" t="s">
        <v>28</v>
      </c>
      <c r="G4" s="47">
        <v>77</v>
      </c>
      <c r="H4" s="133">
        <f>IF(B$17=0,0,G4/B$17)</f>
        <v>0.38500000000000001</v>
      </c>
      <c r="I4" s="94">
        <v>12</v>
      </c>
      <c r="K4" s="38">
        <v>2</v>
      </c>
      <c r="L4" s="99">
        <v>-3.3999999999999986</v>
      </c>
      <c r="N4" s="115" t="s">
        <v>134</v>
      </c>
      <c r="O4" s="122">
        <f t="shared" si="0"/>
        <v>-204.49438202247191</v>
      </c>
      <c r="P4" s="119">
        <v>89</v>
      </c>
      <c r="Q4" s="103">
        <v>-18200</v>
      </c>
    </row>
    <row r="5" spans="1:17" x14ac:dyDescent="0.4">
      <c r="A5" s="55" t="s">
        <v>7</v>
      </c>
      <c r="B5" s="156">
        <f>IF(B$2=0,0,B$4/B$2)</f>
        <v>-13.395876288659794</v>
      </c>
      <c r="C5" s="157"/>
      <c r="E5" s="63" t="s">
        <v>245</v>
      </c>
      <c r="F5" s="60" t="s">
        <v>246</v>
      </c>
      <c r="G5" s="47">
        <v>75</v>
      </c>
      <c r="H5" s="133">
        <f>IF(B$17=0,0,G5/B$17)</f>
        <v>0.375</v>
      </c>
      <c r="I5" s="94">
        <v>10</v>
      </c>
      <c r="K5" s="38">
        <v>3</v>
      </c>
      <c r="L5" s="99">
        <v>-23.099999999999998</v>
      </c>
      <c r="N5" s="115" t="s">
        <v>135</v>
      </c>
      <c r="O5" s="122">
        <f t="shared" si="0"/>
        <v>-4174.6835443037971</v>
      </c>
      <c r="P5" s="119">
        <v>79</v>
      </c>
      <c r="Q5" s="103">
        <v>-329800</v>
      </c>
    </row>
    <row r="6" spans="1:17" x14ac:dyDescent="0.4">
      <c r="A6" s="55" t="s">
        <v>1</v>
      </c>
      <c r="B6" s="146">
        <f>IF(B$2=0,0,(B$7*1+B$8*2+B$9*3)/B$2)</f>
        <v>2.2164948453608249</v>
      </c>
      <c r="C6" s="147"/>
      <c r="E6" s="63" t="s">
        <v>69</v>
      </c>
      <c r="F6" s="60" t="s">
        <v>12</v>
      </c>
      <c r="G6" s="47">
        <v>72</v>
      </c>
      <c r="H6" s="133">
        <f>IF(B$17=0,0,G6/B$17)</f>
        <v>0.36</v>
      </c>
      <c r="I6" s="94">
        <v>5</v>
      </c>
      <c r="K6" s="38">
        <v>4</v>
      </c>
      <c r="L6" s="99">
        <v>-31.4</v>
      </c>
      <c r="N6" s="115" t="s">
        <v>136</v>
      </c>
      <c r="O6" s="122">
        <f t="shared" si="0"/>
        <v>-608.33333333333337</v>
      </c>
      <c r="P6" s="119">
        <v>72</v>
      </c>
      <c r="Q6" s="103">
        <v>-43800</v>
      </c>
    </row>
    <row r="7" spans="1:17" x14ac:dyDescent="0.4">
      <c r="A7" s="55" t="s">
        <v>2</v>
      </c>
      <c r="B7" s="47">
        <v>26</v>
      </c>
      <c r="C7" s="39">
        <f>IF(B$2=0,0,B7/B$2)</f>
        <v>0.26804123711340205</v>
      </c>
      <c r="E7" s="63" t="s">
        <v>68</v>
      </c>
      <c r="F7" s="60" t="s">
        <v>24</v>
      </c>
      <c r="G7" s="47">
        <v>64</v>
      </c>
      <c r="H7" s="133">
        <f>IF(B$17=0,0,G7/B$17)</f>
        <v>0.32</v>
      </c>
      <c r="I7" s="94">
        <v>7</v>
      </c>
      <c r="K7" s="38">
        <v>5</v>
      </c>
      <c r="L7" s="99">
        <v>-32.199999999999996</v>
      </c>
      <c r="N7" s="116" t="s">
        <v>137</v>
      </c>
      <c r="O7" s="123">
        <f t="shared" si="0"/>
        <v>-1085.9375</v>
      </c>
      <c r="P7" s="120">
        <v>64</v>
      </c>
      <c r="Q7" s="104">
        <v>-69500</v>
      </c>
    </row>
    <row r="8" spans="1:17" x14ac:dyDescent="0.4">
      <c r="A8" s="55" t="s">
        <v>3</v>
      </c>
      <c r="B8" s="47">
        <v>24</v>
      </c>
      <c r="C8" s="39">
        <f>IF(B$2=0,0,B8/B$2)</f>
        <v>0.24742268041237114</v>
      </c>
      <c r="E8" s="63" t="s">
        <v>70</v>
      </c>
      <c r="F8" s="60" t="s">
        <v>25</v>
      </c>
      <c r="G8" s="47">
        <v>39</v>
      </c>
      <c r="H8" s="133">
        <f>IF(B$17=0,0,G8/B$17)</f>
        <v>0.19500000000000001</v>
      </c>
      <c r="I8" s="94">
        <v>4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47</v>
      </c>
      <c r="C9" s="40">
        <f t="shared" ref="C9" si="1">IF(B$2=0,0,B9/B$2)</f>
        <v>0.4845360824742268</v>
      </c>
      <c r="E9" s="63" t="s">
        <v>71</v>
      </c>
      <c r="F9" s="60" t="s">
        <v>26</v>
      </c>
      <c r="G9" s="47">
        <v>32</v>
      </c>
      <c r="H9" s="133">
        <f>IF(B$17=0,0,G9/B$17)</f>
        <v>0.16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19</v>
      </c>
      <c r="C10" s="40">
        <f>IF(B$2=0,0,B10/B$2)</f>
        <v>0.19587628865979381</v>
      </c>
      <c r="E10" s="63" t="s">
        <v>72</v>
      </c>
      <c r="F10" s="60" t="s">
        <v>27</v>
      </c>
      <c r="G10" s="47">
        <v>21</v>
      </c>
      <c r="H10" s="133">
        <f>IF(B$17=0,0,G10/B$17)</f>
        <v>0.105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-19.121428571428567</v>
      </c>
      <c r="P10" s="118">
        <v>28</v>
      </c>
      <c r="Q10" s="106">
        <v>-535.39999999999986</v>
      </c>
    </row>
    <row r="11" spans="1:17" x14ac:dyDescent="0.4">
      <c r="A11" s="56" t="s">
        <v>140</v>
      </c>
      <c r="B11" s="48">
        <v>10</v>
      </c>
      <c r="C11" s="40">
        <f>IF(B$2=0,0,B11/B$2)</f>
        <v>0.10309278350515463</v>
      </c>
      <c r="E11" s="63" t="s">
        <v>66</v>
      </c>
      <c r="F11" s="60" t="s">
        <v>22</v>
      </c>
      <c r="G11" s="47">
        <v>19</v>
      </c>
      <c r="H11" s="133">
        <f>IF(B$17=0,0,G11/B$17)</f>
        <v>9.5000000000000001E-2</v>
      </c>
      <c r="I11" s="94">
        <v>7</v>
      </c>
      <c r="K11" s="38">
        <v>9</v>
      </c>
      <c r="L11" s="99">
        <v>-127.6</v>
      </c>
      <c r="N11" s="115" t="s">
        <v>165</v>
      </c>
      <c r="O11" s="125">
        <f>IF(P11=0,0,Q11/P11)</f>
        <v>-9.3210526315789508</v>
      </c>
      <c r="P11" s="119">
        <v>38</v>
      </c>
      <c r="Q11" s="107">
        <v>-354.20000000000016</v>
      </c>
    </row>
    <row r="12" spans="1:17" x14ac:dyDescent="0.4">
      <c r="A12" s="57" t="s">
        <v>160</v>
      </c>
      <c r="B12" s="49">
        <v>7</v>
      </c>
      <c r="C12" s="42">
        <f>IF(B$2=0,0,B12/B$2)</f>
        <v>7.2164948453608241E-2</v>
      </c>
      <c r="E12" s="63" t="s">
        <v>90</v>
      </c>
      <c r="F12" s="60" t="s">
        <v>45</v>
      </c>
      <c r="G12" s="47">
        <v>18</v>
      </c>
      <c r="H12" s="133">
        <f>IF(B$17=0,0,G12/B$17)</f>
        <v>0.09</v>
      </c>
      <c r="I12" s="94">
        <v>11</v>
      </c>
      <c r="K12" s="38">
        <v>10</v>
      </c>
      <c r="L12" s="99">
        <v>-231.39999999999998</v>
      </c>
      <c r="N12" s="116" t="s">
        <v>166</v>
      </c>
      <c r="O12" s="126">
        <f>IF(P12=0,0,Q12/P12)</f>
        <v>-13.219354838709673</v>
      </c>
      <c r="P12" s="120">
        <v>31</v>
      </c>
      <c r="Q12" s="108">
        <v>-409.7999999999999</v>
      </c>
    </row>
    <row r="13" spans="1:17" x14ac:dyDescent="0.4">
      <c r="A13" s="58" t="s">
        <v>122</v>
      </c>
      <c r="B13" s="50">
        <v>219</v>
      </c>
      <c r="C13" s="44">
        <f>IF(B$3=0,0,B13/B$3)</f>
        <v>0.27103960396039606</v>
      </c>
      <c r="E13" s="63" t="s">
        <v>87</v>
      </c>
      <c r="F13" s="60" t="s">
        <v>42</v>
      </c>
      <c r="G13" s="47">
        <v>10</v>
      </c>
      <c r="H13" s="133">
        <f>IF(B$17=0,0,G13/B$17)</f>
        <v>0.05</v>
      </c>
      <c r="I13" s="94">
        <v>8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136</v>
      </c>
      <c r="C14" s="39">
        <f>IF(B$3=0,0,B14/B$3)</f>
        <v>0.16831683168316833</v>
      </c>
      <c r="E14" s="63" t="s">
        <v>79</v>
      </c>
      <c r="F14" s="60" t="s">
        <v>34</v>
      </c>
      <c r="G14" s="47">
        <v>9</v>
      </c>
      <c r="H14" s="133">
        <f>IF(B$17=0,0,G14/B$17)</f>
        <v>4.4999999999999998E-2</v>
      </c>
      <c r="I14" s="94">
        <v>3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115</v>
      </c>
      <c r="C15" s="37">
        <f>IF(B$13=0,0,B15/B$13)</f>
        <v>0.52511415525114158</v>
      </c>
      <c r="E15" s="63" t="s">
        <v>84</v>
      </c>
      <c r="F15" s="60" t="s">
        <v>39</v>
      </c>
      <c r="G15" s="47">
        <v>7</v>
      </c>
      <c r="H15" s="133">
        <f>IF(B$17=0,0,G15/B$17)</f>
        <v>3.5000000000000003E-2</v>
      </c>
      <c r="I15" s="94">
        <v>8</v>
      </c>
      <c r="K15" s="38">
        <v>13</v>
      </c>
      <c r="L15" s="99">
        <v>-369.1</v>
      </c>
      <c r="N15" s="114" t="s">
        <v>223</v>
      </c>
      <c r="O15" s="124">
        <f>IF(P15=0,0,Q15/P15)</f>
        <v>62.800000000000004</v>
      </c>
      <c r="P15" s="118">
        <v>2</v>
      </c>
      <c r="Q15" s="106">
        <v>125.60000000000001</v>
      </c>
    </row>
    <row r="16" spans="1:17" x14ac:dyDescent="0.4">
      <c r="A16" s="54" t="s">
        <v>125</v>
      </c>
      <c r="B16" s="46">
        <v>37</v>
      </c>
      <c r="C16" s="37">
        <f>IF(B$14=0,0,B16/B$14)</f>
        <v>0.27205882352941174</v>
      </c>
      <c r="E16" s="63" t="s">
        <v>82</v>
      </c>
      <c r="F16" s="60" t="s">
        <v>37</v>
      </c>
      <c r="G16" s="47">
        <v>5</v>
      </c>
      <c r="H16" s="133">
        <f>IF(B$17=0,0,G16/B$17)</f>
        <v>2.5000000000000001E-2</v>
      </c>
      <c r="I16" s="94">
        <v>8</v>
      </c>
      <c r="K16" s="38">
        <v>14</v>
      </c>
      <c r="L16" s="99">
        <v>-394.6</v>
      </c>
      <c r="N16" s="115" t="s">
        <v>177</v>
      </c>
      <c r="O16" s="125">
        <f>IF(P16=0,0,Q16/P16)</f>
        <v>-6.9208333333333316</v>
      </c>
      <c r="P16" s="119">
        <v>24</v>
      </c>
      <c r="Q16" s="107">
        <v>-166.09999999999997</v>
      </c>
    </row>
    <row r="17" spans="1:17" x14ac:dyDescent="0.4">
      <c r="A17" s="54" t="s">
        <v>10</v>
      </c>
      <c r="B17" s="46">
        <f>B19+B18</f>
        <v>200</v>
      </c>
      <c r="C17" s="37">
        <f>IF(B$3=0,0,B17/B$3)</f>
        <v>0.24752475247524752</v>
      </c>
      <c r="E17" s="63" t="s">
        <v>75</v>
      </c>
      <c r="F17" s="60" t="s">
        <v>30</v>
      </c>
      <c r="G17" s="47">
        <v>3</v>
      </c>
      <c r="H17" s="133">
        <f>IF(B$17=0,0,G17/B$17)</f>
        <v>1.4999999999999999E-2</v>
      </c>
      <c r="I17" s="94">
        <v>2</v>
      </c>
      <c r="K17" s="38">
        <v>15</v>
      </c>
      <c r="L17" s="99">
        <v>-424.5</v>
      </c>
      <c r="N17" s="115" t="s">
        <v>128</v>
      </c>
      <c r="O17" s="125">
        <f>IF(P17=0,0,Q17/P17)</f>
        <v>-13.619047619047617</v>
      </c>
      <c r="P17" s="119">
        <v>42</v>
      </c>
      <c r="Q17" s="107">
        <v>-571.99999999999989</v>
      </c>
    </row>
    <row r="18" spans="1:17" x14ac:dyDescent="0.4">
      <c r="A18" s="55" t="s">
        <v>12</v>
      </c>
      <c r="B18" s="47">
        <v>86</v>
      </c>
      <c r="C18" s="39">
        <f>IF(B$17=0,0,B18/B$17)</f>
        <v>0.43</v>
      </c>
      <c r="E18" s="63" t="s">
        <v>80</v>
      </c>
      <c r="F18" s="60" t="s">
        <v>35</v>
      </c>
      <c r="G18" s="47">
        <v>2</v>
      </c>
      <c r="H18" s="133">
        <f>IF(B$17=0,0,G18/B$17)</f>
        <v>0.01</v>
      </c>
      <c r="I18" s="94">
        <v>10</v>
      </c>
      <c r="K18" s="38">
        <v>16</v>
      </c>
      <c r="L18" s="99">
        <v>-472</v>
      </c>
      <c r="N18" s="115" t="s">
        <v>171</v>
      </c>
      <c r="O18" s="125">
        <f>IF(P18=0,0,Q18/P18)</f>
        <v>-20.956666666666663</v>
      </c>
      <c r="P18" s="119">
        <v>30</v>
      </c>
      <c r="Q18" s="107">
        <v>-628.69999999999993</v>
      </c>
    </row>
    <row r="19" spans="1:17" x14ac:dyDescent="0.4">
      <c r="A19" s="55" t="s">
        <v>11</v>
      </c>
      <c r="B19" s="47">
        <v>114</v>
      </c>
      <c r="C19" s="39">
        <f>IF(B$17=0,0,B19/B$17)</f>
        <v>0.56999999999999995</v>
      </c>
      <c r="E19" s="63" t="s">
        <v>88</v>
      </c>
      <c r="F19" s="60" t="s">
        <v>43</v>
      </c>
      <c r="G19" s="47">
        <v>2</v>
      </c>
      <c r="H19" s="133">
        <f>IF(B$17=0,0,G19/B$17)</f>
        <v>0.01</v>
      </c>
      <c r="I19" s="94">
        <v>1</v>
      </c>
      <c r="K19" s="38">
        <v>17</v>
      </c>
      <c r="L19" s="99">
        <v>-538.29999999999995</v>
      </c>
      <c r="N19" s="115" t="s">
        <v>173</v>
      </c>
      <c r="O19" s="125">
        <f>IF(P19=0,0,Q19/P19)</f>
        <v>-21.862499999999997</v>
      </c>
      <c r="P19" s="119">
        <v>8</v>
      </c>
      <c r="Q19" s="107">
        <v>-174.89999999999998</v>
      </c>
    </row>
    <row r="20" spans="1:17" x14ac:dyDescent="0.4">
      <c r="A20" s="55" t="s">
        <v>13</v>
      </c>
      <c r="B20" s="47">
        <v>154</v>
      </c>
      <c r="C20" s="39">
        <f>IF(B$3=0,0,B20/B$3)</f>
        <v>0.1905940594059406</v>
      </c>
      <c r="E20" s="63" t="s">
        <v>92</v>
      </c>
      <c r="F20" s="60" t="s">
        <v>47</v>
      </c>
      <c r="G20" s="47">
        <v>2</v>
      </c>
      <c r="H20" s="133">
        <f>IF(B$17=0,0,G20/B$17)</f>
        <v>0.01</v>
      </c>
      <c r="I20" s="94">
        <v>8</v>
      </c>
      <c r="K20" s="38">
        <v>18</v>
      </c>
      <c r="L20" s="99">
        <v>-537.19999999999993</v>
      </c>
      <c r="N20" s="115" t="s">
        <v>184</v>
      </c>
      <c r="O20" s="125">
        <f>IF(P20=0,0,Q20/P20)</f>
        <v>-24.44</v>
      </c>
      <c r="P20" s="119">
        <v>5</v>
      </c>
      <c r="Q20" s="107">
        <v>-122.2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94</v>
      </c>
      <c r="F21" s="60" t="s">
        <v>49</v>
      </c>
      <c r="G21" s="47">
        <v>2</v>
      </c>
      <c r="H21" s="133">
        <f>IF(B$17=0,0,G21/B$17)</f>
        <v>0.01</v>
      </c>
      <c r="I21" s="94">
        <v>1</v>
      </c>
      <c r="K21" s="38">
        <v>19</v>
      </c>
      <c r="L21" s="99">
        <v>-569.49999999999989</v>
      </c>
      <c r="N21" s="115" t="s">
        <v>172</v>
      </c>
      <c r="O21" s="125">
        <f>IF(P21=0,0,Q21/P21)</f>
        <v>-27.262499999999999</v>
      </c>
      <c r="P21" s="119">
        <v>24</v>
      </c>
      <c r="Q21" s="107">
        <v>-654.29999999999995</v>
      </c>
    </row>
    <row r="22" spans="1:17" x14ac:dyDescent="0.4">
      <c r="A22" s="55" t="s">
        <v>192</v>
      </c>
      <c r="B22" s="47">
        <v>31</v>
      </c>
      <c r="C22" s="135">
        <v>10</v>
      </c>
      <c r="E22" s="63" t="s">
        <v>76</v>
      </c>
      <c r="F22" s="60" t="s">
        <v>31</v>
      </c>
      <c r="G22" s="47">
        <v>1</v>
      </c>
      <c r="H22" s="133">
        <f>IF(B$17=0,0,G22/B$17)</f>
        <v>5.0000000000000001E-3</v>
      </c>
      <c r="I22" s="94">
        <v>6</v>
      </c>
      <c r="K22" s="38">
        <v>20</v>
      </c>
      <c r="L22" s="99">
        <v>-632.99999999999989</v>
      </c>
      <c r="N22" s="115" t="s">
        <v>127</v>
      </c>
      <c r="O22" s="125">
        <f>IF(P22=0,0,Q22/P22)</f>
        <v>-28.908474576271196</v>
      </c>
      <c r="P22" s="119">
        <v>59</v>
      </c>
      <c r="Q22" s="107">
        <v>-1705.6000000000006</v>
      </c>
    </row>
    <row r="23" spans="1:17" x14ac:dyDescent="0.4">
      <c r="A23" s="55" t="s">
        <v>5</v>
      </c>
      <c r="B23" s="51">
        <f>IF(B$17=0,0,C23/B$17)</f>
        <v>8715</v>
      </c>
      <c r="C23" s="41">
        <v>1743000</v>
      </c>
      <c r="E23" s="63" t="s">
        <v>78</v>
      </c>
      <c r="F23" s="60" t="s">
        <v>33</v>
      </c>
      <c r="G23" s="47">
        <v>1</v>
      </c>
      <c r="H23" s="133">
        <f>IF(B$17=0,0,G23/B$17)</f>
        <v>5.0000000000000001E-3</v>
      </c>
      <c r="I23" s="94">
        <v>1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-9226.6233766233763</v>
      </c>
      <c r="C24" s="45">
        <v>-1420900</v>
      </c>
      <c r="E24" s="63" t="s">
        <v>89</v>
      </c>
      <c r="F24" s="60" t="s">
        <v>44</v>
      </c>
      <c r="G24" s="47">
        <v>1</v>
      </c>
      <c r="H24" s="133">
        <f>IF(B$17=0,0,G24/B$17)</f>
        <v>5.0000000000000001E-3</v>
      </c>
      <c r="I24" s="94">
        <v>1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4">
        <v>7</v>
      </c>
      <c r="C25" s="145"/>
      <c r="E25" s="63" t="s">
        <v>93</v>
      </c>
      <c r="F25" s="60" t="s">
        <v>48</v>
      </c>
      <c r="G25" s="47">
        <v>1</v>
      </c>
      <c r="H25" s="133">
        <f>IF(B$17=0,0,G25/B$17)</f>
        <v>5.0000000000000001E-3</v>
      </c>
      <c r="I25" s="94">
        <v>4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2">
        <v>96900</v>
      </c>
      <c r="C26" s="143"/>
      <c r="E26" s="63" t="s">
        <v>74</v>
      </c>
      <c r="F26" s="60" t="s">
        <v>29</v>
      </c>
      <c r="G26" s="47">
        <v>0</v>
      </c>
      <c r="H26" s="133">
        <f>IF(B$17=0,0,G26/B$17)</f>
        <v>0</v>
      </c>
      <c r="I26" s="94">
        <v>8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1.2376237623762376E-3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-876.19999999999993</v>
      </c>
    </row>
    <row r="30" spans="1:17" x14ac:dyDescent="0.4">
      <c r="E30" s="63" t="s">
        <v>85</v>
      </c>
      <c r="F30" s="60" t="s">
        <v>40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-931.09999999999991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-908.69999999999993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6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  <row r="93" spans="11:12" x14ac:dyDescent="0.4">
      <c r="K93" s="38">
        <v>91</v>
      </c>
      <c r="L93" s="99">
        <v>-1253.1000000000001</v>
      </c>
    </row>
    <row r="94" spans="11:12" x14ac:dyDescent="0.4">
      <c r="K94" s="38">
        <v>92</v>
      </c>
      <c r="L94" s="99">
        <v>-1291.9000000000001</v>
      </c>
    </row>
    <row r="95" spans="11:12" x14ac:dyDescent="0.4">
      <c r="K95" s="38">
        <v>93</v>
      </c>
      <c r="L95" s="99">
        <v>-1348.9</v>
      </c>
    </row>
    <row r="96" spans="11:12" x14ac:dyDescent="0.4">
      <c r="K96" s="38">
        <v>94</v>
      </c>
      <c r="L96" s="99">
        <v>-1306.3000000000002</v>
      </c>
    </row>
    <row r="97" spans="11:12" x14ac:dyDescent="0.4">
      <c r="K97" s="38">
        <v>95</v>
      </c>
      <c r="L97" s="99">
        <v>-1362.6000000000001</v>
      </c>
    </row>
    <row r="98" spans="11:12" x14ac:dyDescent="0.4">
      <c r="K98" s="38">
        <v>96</v>
      </c>
      <c r="L98" s="99">
        <v>-1335.8000000000002</v>
      </c>
    </row>
    <row r="99" spans="11:12" x14ac:dyDescent="0.4">
      <c r="K99" s="38">
        <v>97</v>
      </c>
      <c r="L99" s="99">
        <v>-1299.4000000000001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D06C9-18AA-4D0E-8BEF-EB3D00FB9924}">
  <sheetPr codeName="Sheet13"/>
  <dimension ref="A1:Q9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92</v>
      </c>
      <c r="C2" s="151"/>
      <c r="E2" s="62" t="s">
        <v>65</v>
      </c>
      <c r="F2" s="59" t="s">
        <v>21</v>
      </c>
      <c r="G2" s="46">
        <v>117</v>
      </c>
      <c r="H2" s="132">
        <f>IF(B$17=0,0,G2/B$17)</f>
        <v>0.54166666666666663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-723.91304347826087</v>
      </c>
      <c r="P2" s="118">
        <v>92</v>
      </c>
      <c r="Q2" s="102">
        <v>-66600</v>
      </c>
    </row>
    <row r="3" spans="1:17" x14ac:dyDescent="0.4">
      <c r="A3" s="55" t="s">
        <v>8</v>
      </c>
      <c r="B3" s="152">
        <v>769</v>
      </c>
      <c r="C3" s="153"/>
      <c r="E3" s="63" t="s">
        <v>66</v>
      </c>
      <c r="F3" s="60" t="s">
        <v>22</v>
      </c>
      <c r="G3" s="47">
        <v>28</v>
      </c>
      <c r="H3" s="133">
        <f>IF(B$17=0,0,G3/B$17)</f>
        <v>0.12962962962962962</v>
      </c>
      <c r="I3" s="94">
        <v>2</v>
      </c>
      <c r="K3" s="38">
        <v>1</v>
      </c>
      <c r="L3" s="99">
        <v>-51.2</v>
      </c>
      <c r="N3" s="115" t="s">
        <v>133</v>
      </c>
      <c r="O3" s="122">
        <f t="shared" si="0"/>
        <v>150</v>
      </c>
      <c r="P3" s="119">
        <v>90</v>
      </c>
      <c r="Q3" s="103">
        <v>13500</v>
      </c>
    </row>
    <row r="4" spans="1:17" x14ac:dyDescent="0.4">
      <c r="A4" s="55" t="s">
        <v>6</v>
      </c>
      <c r="B4" s="154">
        <v>-69.199999999999974</v>
      </c>
      <c r="C4" s="155"/>
      <c r="E4" s="63" t="s">
        <v>67</v>
      </c>
      <c r="F4" s="60" t="s">
        <v>23</v>
      </c>
      <c r="G4" s="47">
        <v>176</v>
      </c>
      <c r="H4" s="133">
        <f>IF(B$17=0,0,G4/B$17)</f>
        <v>0.81481481481481477</v>
      </c>
      <c r="I4" s="94">
        <v>4</v>
      </c>
      <c r="K4" s="38">
        <v>2</v>
      </c>
      <c r="L4" s="99">
        <v>-93.300000000000011</v>
      </c>
      <c r="N4" s="115" t="s">
        <v>134</v>
      </c>
      <c r="O4" s="122">
        <f t="shared" si="0"/>
        <v>1246.9879518072289</v>
      </c>
      <c r="P4" s="119">
        <v>83</v>
      </c>
      <c r="Q4" s="103">
        <v>103500</v>
      </c>
    </row>
    <row r="5" spans="1:17" x14ac:dyDescent="0.4">
      <c r="A5" s="55" t="s">
        <v>7</v>
      </c>
      <c r="B5" s="156">
        <f>IF(B$2=0,0,B$4/B$2)</f>
        <v>-0.75217391304347803</v>
      </c>
      <c r="C5" s="157"/>
      <c r="E5" s="63" t="s">
        <v>68</v>
      </c>
      <c r="F5" s="60" t="s">
        <v>24</v>
      </c>
      <c r="G5" s="47">
        <v>70</v>
      </c>
      <c r="H5" s="133">
        <f>IF(B$17=0,0,G5/B$17)</f>
        <v>0.32407407407407407</v>
      </c>
      <c r="I5" s="94">
        <v>7</v>
      </c>
      <c r="K5" s="38">
        <v>3</v>
      </c>
      <c r="L5" s="99">
        <v>-60.100000000000009</v>
      </c>
      <c r="N5" s="115" t="s">
        <v>135</v>
      </c>
      <c r="O5" s="122">
        <f t="shared" si="0"/>
        <v>715.27777777777783</v>
      </c>
      <c r="P5" s="119">
        <v>72</v>
      </c>
      <c r="Q5" s="103">
        <v>51500</v>
      </c>
    </row>
    <row r="6" spans="1:17" x14ac:dyDescent="0.4">
      <c r="A6" s="55" t="s">
        <v>1</v>
      </c>
      <c r="B6" s="146">
        <f>IF(B$2=0,0,(B$7*1+B$8*2+B$9*3)/B$2)</f>
        <v>2.0543478260869565</v>
      </c>
      <c r="C6" s="147"/>
      <c r="E6" s="63" t="s">
        <v>69</v>
      </c>
      <c r="F6" s="60" t="s">
        <v>12</v>
      </c>
      <c r="G6" s="47">
        <v>64</v>
      </c>
      <c r="H6" s="133">
        <f>IF(B$17=0,0,G6/B$17)</f>
        <v>0.29629629629629628</v>
      </c>
      <c r="I6" s="94">
        <v>10</v>
      </c>
      <c r="K6" s="38">
        <v>4</v>
      </c>
      <c r="L6" s="99">
        <v>-11.300000000000011</v>
      </c>
      <c r="N6" s="115" t="s">
        <v>136</v>
      </c>
      <c r="O6" s="122">
        <f t="shared" si="0"/>
        <v>-1033.3333333333333</v>
      </c>
      <c r="P6" s="119">
        <v>63</v>
      </c>
      <c r="Q6" s="103">
        <v>-65100</v>
      </c>
    </row>
    <row r="7" spans="1:17" x14ac:dyDescent="0.4">
      <c r="A7" s="55" t="s">
        <v>2</v>
      </c>
      <c r="B7" s="47">
        <v>27</v>
      </c>
      <c r="C7" s="39">
        <f>IF(B$2=0,0,B7/B$2)</f>
        <v>0.29347826086956524</v>
      </c>
      <c r="E7" s="63" t="s">
        <v>70</v>
      </c>
      <c r="F7" s="60" t="s">
        <v>25</v>
      </c>
      <c r="G7" s="47">
        <v>43</v>
      </c>
      <c r="H7" s="133">
        <f>IF(B$17=0,0,G7/B$17)</f>
        <v>0.19907407407407407</v>
      </c>
      <c r="I7" s="94">
        <v>3</v>
      </c>
      <c r="K7" s="38">
        <v>5</v>
      </c>
      <c r="L7" s="99">
        <v>-36.100000000000009</v>
      </c>
      <c r="N7" s="116" t="s">
        <v>137</v>
      </c>
      <c r="O7" s="123">
        <f t="shared" si="0"/>
        <v>-192.98245614035088</v>
      </c>
      <c r="P7" s="120">
        <v>57</v>
      </c>
      <c r="Q7" s="104">
        <v>-11000</v>
      </c>
    </row>
    <row r="8" spans="1:17" x14ac:dyDescent="0.4">
      <c r="A8" s="55" t="s">
        <v>3</v>
      </c>
      <c r="B8" s="47">
        <v>33</v>
      </c>
      <c r="C8" s="39">
        <f>IF(B$2=0,0,B8/B$2)</f>
        <v>0.35869565217391303</v>
      </c>
      <c r="E8" s="63" t="s">
        <v>71</v>
      </c>
      <c r="F8" s="60" t="s">
        <v>26</v>
      </c>
      <c r="G8" s="47">
        <v>23</v>
      </c>
      <c r="H8" s="133">
        <f>IF(B$17=0,0,G8/B$17)</f>
        <v>0.10648148148148148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32</v>
      </c>
      <c r="C9" s="40">
        <f t="shared" ref="C9" si="1">IF(B$2=0,0,B9/B$2)</f>
        <v>0.34782608695652173</v>
      </c>
      <c r="E9" s="63" t="s">
        <v>72</v>
      </c>
      <c r="F9" s="60" t="s">
        <v>27</v>
      </c>
      <c r="G9" s="47">
        <v>14</v>
      </c>
      <c r="H9" s="133">
        <f>IF(B$17=0,0,G9/B$17)</f>
        <v>6.4814814814814811E-2</v>
      </c>
      <c r="I9" s="94">
        <v>7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10</v>
      </c>
      <c r="C10" s="40">
        <f>IF(B$2=0,0,B10/B$2)</f>
        <v>0.10869565217391304</v>
      </c>
      <c r="E10" s="63" t="s">
        <v>73</v>
      </c>
      <c r="F10" s="60" t="s">
        <v>28</v>
      </c>
      <c r="G10" s="47">
        <v>113</v>
      </c>
      <c r="H10" s="133">
        <f>IF(B$17=0,0,G10/B$17)</f>
        <v>0.52314814814814814</v>
      </c>
      <c r="I10" s="94">
        <v>8</v>
      </c>
      <c r="K10" s="38">
        <v>8</v>
      </c>
      <c r="L10" s="99">
        <v>-1.7000000000000028</v>
      </c>
      <c r="N10" s="114" t="s">
        <v>164</v>
      </c>
      <c r="O10" s="124">
        <f>IF(P10=0,0,Q10/P10)</f>
        <v>3.4166666666666665</v>
      </c>
      <c r="P10" s="118">
        <v>24</v>
      </c>
      <c r="Q10" s="106">
        <v>82</v>
      </c>
    </row>
    <row r="11" spans="1:17" x14ac:dyDescent="0.4">
      <c r="A11" s="56" t="s">
        <v>140</v>
      </c>
      <c r="B11" s="48">
        <v>12</v>
      </c>
      <c r="C11" s="40">
        <f>IF(B$2=0,0,B11/B$2)</f>
        <v>0.13043478260869565</v>
      </c>
      <c r="E11" s="63" t="s">
        <v>74</v>
      </c>
      <c r="F11" s="60" t="s">
        <v>29</v>
      </c>
      <c r="G11" s="47">
        <v>2</v>
      </c>
      <c r="H11" s="133">
        <f>IF(B$17=0,0,G11/B$17)</f>
        <v>9.2592592592592587E-3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-2.465714285714284</v>
      </c>
      <c r="P11" s="119">
        <v>35</v>
      </c>
      <c r="Q11" s="107">
        <v>-86.29999999999994</v>
      </c>
    </row>
    <row r="12" spans="1:17" x14ac:dyDescent="0.4">
      <c r="A12" s="57" t="s">
        <v>160</v>
      </c>
      <c r="B12" s="49">
        <v>6</v>
      </c>
      <c r="C12" s="42">
        <f>IF(B$2=0,0,B12/B$2)</f>
        <v>6.5217391304347824E-2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-56.500000000000007</v>
      </c>
      <c r="N12" s="116" t="s">
        <v>166</v>
      </c>
      <c r="O12" s="126">
        <f>IF(P12=0,0,Q12/P12)</f>
        <v>-1.9666666666666668</v>
      </c>
      <c r="P12" s="120">
        <v>33</v>
      </c>
      <c r="Q12" s="108">
        <v>-64.900000000000006</v>
      </c>
    </row>
    <row r="13" spans="1:17" x14ac:dyDescent="0.4">
      <c r="A13" s="58" t="s">
        <v>122</v>
      </c>
      <c r="B13" s="50">
        <v>223</v>
      </c>
      <c r="C13" s="44">
        <f>IF(B$3=0,0,B13/B$3)</f>
        <v>0.28998699609882966</v>
      </c>
      <c r="E13" s="63" t="s">
        <v>76</v>
      </c>
      <c r="F13" s="60" t="s">
        <v>31</v>
      </c>
      <c r="G13" s="47">
        <v>3</v>
      </c>
      <c r="H13" s="133">
        <f>IF(B$17=0,0,G13/B$17)</f>
        <v>1.3888888888888888E-2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147</v>
      </c>
      <c r="C14" s="39">
        <f>IF(B$3=0,0,B14/B$3)</f>
        <v>0.19115734720416125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125</v>
      </c>
      <c r="C15" s="37">
        <f>IF(B$13=0,0,B15/B$13)</f>
        <v>0.5605381165919282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-58.7</v>
      </c>
      <c r="N15" s="114" t="s">
        <v>184</v>
      </c>
      <c r="O15" s="124">
        <f t="shared" ref="O15:O23" si="2">IF(P15=0,0,Q15/P15)</f>
        <v>25.400000000000002</v>
      </c>
      <c r="P15" s="118">
        <v>2</v>
      </c>
      <c r="Q15" s="106">
        <v>50.800000000000004</v>
      </c>
    </row>
    <row r="16" spans="1:17" x14ac:dyDescent="0.4">
      <c r="A16" s="54" t="s">
        <v>125</v>
      </c>
      <c r="B16" s="46">
        <v>60</v>
      </c>
      <c r="C16" s="37">
        <f>IF(B$14=0,0,B16/B$14)</f>
        <v>0.40816326530612246</v>
      </c>
      <c r="E16" s="63" t="s">
        <v>79</v>
      </c>
      <c r="F16" s="60" t="s">
        <v>34</v>
      </c>
      <c r="G16" s="47">
        <v>9</v>
      </c>
      <c r="H16" s="133">
        <f>IF(B$17=0,0,G16/B$17)</f>
        <v>4.1666666666666664E-2</v>
      </c>
      <c r="I16" s="94">
        <v>3</v>
      </c>
      <c r="K16" s="38">
        <v>14</v>
      </c>
      <c r="L16" s="99">
        <v>-29.400000000000002</v>
      </c>
      <c r="N16" s="115" t="s">
        <v>129</v>
      </c>
      <c r="O16" s="125">
        <f t="shared" si="2"/>
        <v>20.95666666666666</v>
      </c>
      <c r="P16" s="119">
        <v>30</v>
      </c>
      <c r="Q16" s="107">
        <v>628.69999999999982</v>
      </c>
    </row>
    <row r="17" spans="1:17" x14ac:dyDescent="0.4">
      <c r="A17" s="54" t="s">
        <v>10</v>
      </c>
      <c r="B17" s="46">
        <f>B19+B18</f>
        <v>216</v>
      </c>
      <c r="C17" s="37">
        <f>IF(B$3=0,0,B17/B$3)</f>
        <v>0.28088426527958388</v>
      </c>
      <c r="E17" s="63" t="s">
        <v>80</v>
      </c>
      <c r="F17" s="60" t="s">
        <v>35</v>
      </c>
      <c r="G17" s="47">
        <v>4</v>
      </c>
      <c r="H17" s="133">
        <f>IF(B$17=0,0,G17/B$17)</f>
        <v>1.8518518518518517E-2</v>
      </c>
      <c r="I17" s="94">
        <v>4</v>
      </c>
      <c r="K17" s="38">
        <v>15</v>
      </c>
      <c r="L17" s="99">
        <v>-26.3</v>
      </c>
      <c r="N17" s="115" t="s">
        <v>173</v>
      </c>
      <c r="O17" s="125">
        <f t="shared" si="2"/>
        <v>12.777777777777775</v>
      </c>
      <c r="P17" s="119">
        <v>18</v>
      </c>
      <c r="Q17" s="107">
        <v>229.99999999999994</v>
      </c>
    </row>
    <row r="18" spans="1:17" x14ac:dyDescent="0.4">
      <c r="A18" s="55" t="s">
        <v>12</v>
      </c>
      <c r="B18" s="47">
        <v>89</v>
      </c>
      <c r="C18" s="39">
        <f>IF(B$17=0,0,B18/B$17)</f>
        <v>0.41203703703703703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 t="shared" si="2"/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127</v>
      </c>
      <c r="C19" s="39">
        <f>IF(B$17=0,0,B19/B$17)</f>
        <v>0.58796296296296291</v>
      </c>
      <c r="E19" s="63" t="s">
        <v>82</v>
      </c>
      <c r="F19" s="60" t="s">
        <v>37</v>
      </c>
      <c r="G19" s="47">
        <v>8</v>
      </c>
      <c r="H19" s="133">
        <f>IF(B$17=0,0,G19/B$17)</f>
        <v>3.7037037037037035E-2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 t="shared" si="2"/>
        <v>-1.1611111111111159</v>
      </c>
      <c r="P19" s="119">
        <v>36</v>
      </c>
      <c r="Q19" s="107">
        <v>-41.800000000000168</v>
      </c>
    </row>
    <row r="20" spans="1:17" x14ac:dyDescent="0.4">
      <c r="A20" s="55" t="s">
        <v>13</v>
      </c>
      <c r="B20" s="47">
        <v>136</v>
      </c>
      <c r="C20" s="39">
        <f>IF(B$3=0,0,B20/B$3)</f>
        <v>0.17685305591677503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127</v>
      </c>
      <c r="O20" s="125">
        <f t="shared" si="2"/>
        <v>-2.9685185185185143</v>
      </c>
      <c r="P20" s="119">
        <v>54</v>
      </c>
      <c r="Q20" s="107">
        <v>-160.29999999999978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11</v>
      </c>
      <c r="H21" s="133">
        <f>IF(B$17=0,0,G21/B$17)</f>
        <v>5.0925925925925923E-2</v>
      </c>
      <c r="I21" s="94">
        <v>5</v>
      </c>
      <c r="K21" s="38">
        <v>19</v>
      </c>
      <c r="L21" s="99">
        <v>0.60000000000000853</v>
      </c>
      <c r="N21" s="115" t="s">
        <v>200</v>
      </c>
      <c r="O21" s="125">
        <f t="shared" si="2"/>
        <v>-22.524999999999999</v>
      </c>
      <c r="P21" s="119">
        <v>4</v>
      </c>
      <c r="Q21" s="107">
        <v>-90.1</v>
      </c>
    </row>
    <row r="22" spans="1:17" x14ac:dyDescent="0.4">
      <c r="A22" s="55" t="s">
        <v>192</v>
      </c>
      <c r="B22" s="47">
        <v>32</v>
      </c>
      <c r="C22" s="135">
        <v>1</v>
      </c>
      <c r="E22" s="63" t="s">
        <v>85</v>
      </c>
      <c r="F22" s="60" t="s">
        <v>40</v>
      </c>
      <c r="G22" s="47">
        <v>2</v>
      </c>
      <c r="H22" s="133">
        <f>IF(B$17=0,0,G22/B$17)</f>
        <v>9.2592592592592587E-3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2"/>
        <v>-44.647368421052626</v>
      </c>
      <c r="P22" s="119">
        <v>19</v>
      </c>
      <c r="Q22" s="107">
        <v>-848.3</v>
      </c>
    </row>
    <row r="23" spans="1:17" x14ac:dyDescent="0.4">
      <c r="A23" s="55" t="s">
        <v>5</v>
      </c>
      <c r="B23" s="51">
        <f>IF(B$17=0,0,C23/B$17)</f>
        <v>9812.0370370370365</v>
      </c>
      <c r="C23" s="41">
        <v>2119400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222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-8544.1176470588234</v>
      </c>
      <c r="C24" s="45">
        <v>-1162000</v>
      </c>
      <c r="E24" s="63" t="s">
        <v>87</v>
      </c>
      <c r="F24" s="60" t="s">
        <v>42</v>
      </c>
      <c r="G24" s="47">
        <v>16</v>
      </c>
      <c r="H24" s="133">
        <f>IF(B$17=0,0,G24/B$17)</f>
        <v>7.407407407407407E-2</v>
      </c>
      <c r="I24" s="94">
        <v>4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4.6296296296296294E-3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91700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1.3003901170351106E-3</v>
      </c>
      <c r="E27" s="63" t="s">
        <v>90</v>
      </c>
      <c r="F27" s="60" t="s">
        <v>45</v>
      </c>
      <c r="G27" s="47">
        <v>37</v>
      </c>
      <c r="H27" s="133">
        <f>IF(B$17=0,0,G27/B$17)</f>
        <v>0.17129629629629631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2.7777777777777776E-2</v>
      </c>
      <c r="I29" s="94">
        <v>2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9.2592592592592587E-3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4.6296296296296294E-3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181</v>
      </c>
      <c r="G50" s="47">
        <v>4</v>
      </c>
      <c r="H50" s="133">
        <f>IF(B$17=0,0,G50/B$17)</f>
        <v>1.8518518518518517E-2</v>
      </c>
      <c r="I50" s="94">
        <v>2</v>
      </c>
      <c r="K50" s="38">
        <v>48</v>
      </c>
      <c r="L50" s="99">
        <v>-33.800000000000004</v>
      </c>
    </row>
    <row r="51" spans="5:12" x14ac:dyDescent="0.4">
      <c r="E51" s="136" t="s">
        <v>245</v>
      </c>
      <c r="F51" s="137" t="s">
        <v>246</v>
      </c>
      <c r="G51" s="48">
        <v>82</v>
      </c>
      <c r="H51" s="138">
        <f>IF(B$17=0,0,G51/B$17)</f>
        <v>0.37962962962962965</v>
      </c>
      <c r="I51" s="139">
        <v>10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  <row r="92" spans="11:12" x14ac:dyDescent="0.4">
      <c r="K92" s="38">
        <v>90</v>
      </c>
      <c r="L92" s="99">
        <v>1.7000000000000277</v>
      </c>
    </row>
    <row r="93" spans="11:12" x14ac:dyDescent="0.4">
      <c r="K93" s="38">
        <v>91</v>
      </c>
      <c r="L93" s="99">
        <v>-9.1999999999999726</v>
      </c>
    </row>
    <row r="94" spans="11:12" x14ac:dyDescent="0.4">
      <c r="K94" s="38">
        <v>92</v>
      </c>
      <c r="L94" s="99">
        <v>-69.199999999999974</v>
      </c>
    </row>
  </sheetData>
  <sortState ref="E2:I94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9CD6D-3745-49B6-BFDF-E5ECEEC11844}">
  <sheetPr codeName="Sheet15"/>
  <dimension ref="A1:Q8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83</v>
      </c>
      <c r="C2" s="151"/>
      <c r="E2" s="62" t="s">
        <v>67</v>
      </c>
      <c r="F2" s="59" t="s">
        <v>23</v>
      </c>
      <c r="G2" s="46">
        <v>163</v>
      </c>
      <c r="H2" s="132">
        <f>IF(B$17=0,0,G2/B$17)</f>
        <v>0.66260162601626016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793.97590361445782</v>
      </c>
      <c r="P2" s="118">
        <v>83</v>
      </c>
      <c r="Q2" s="102">
        <v>65900</v>
      </c>
    </row>
    <row r="3" spans="1:17" x14ac:dyDescent="0.4">
      <c r="A3" s="55" t="s">
        <v>8</v>
      </c>
      <c r="B3" s="152">
        <v>709</v>
      </c>
      <c r="C3" s="153"/>
      <c r="E3" s="63" t="s">
        <v>73</v>
      </c>
      <c r="F3" s="60" t="s">
        <v>28</v>
      </c>
      <c r="G3" s="47">
        <v>143</v>
      </c>
      <c r="H3" s="133">
        <f>IF(B$17=0,0,G3/B$17)</f>
        <v>0.58130081300813008</v>
      </c>
      <c r="I3" s="94">
        <v>4</v>
      </c>
      <c r="K3" s="38">
        <v>1</v>
      </c>
      <c r="L3" s="99">
        <v>11.1</v>
      </c>
      <c r="N3" s="115" t="s">
        <v>133</v>
      </c>
      <c r="O3" s="122">
        <f t="shared" si="0"/>
        <v>-1550.6024096385543</v>
      </c>
      <c r="P3" s="119">
        <v>83</v>
      </c>
      <c r="Q3" s="103">
        <v>-128700</v>
      </c>
    </row>
    <row r="4" spans="1:17" x14ac:dyDescent="0.4">
      <c r="A4" s="55" t="s">
        <v>6</v>
      </c>
      <c r="B4" s="154">
        <v>-101.20000000000002</v>
      </c>
      <c r="C4" s="155"/>
      <c r="E4" s="63" t="s">
        <v>245</v>
      </c>
      <c r="F4" s="60" t="s">
        <v>246</v>
      </c>
      <c r="G4" s="47">
        <v>107</v>
      </c>
      <c r="H4" s="133">
        <f>IF(B$17=0,0,G4/B$17)</f>
        <v>0.43495934959349591</v>
      </c>
      <c r="I4" s="94">
        <v>3</v>
      </c>
      <c r="K4" s="38">
        <v>2</v>
      </c>
      <c r="L4" s="99">
        <v>-7.7000000000000011</v>
      </c>
      <c r="N4" s="115" t="s">
        <v>134</v>
      </c>
      <c r="O4" s="122">
        <f t="shared" si="0"/>
        <v>-1605.4054054054054</v>
      </c>
      <c r="P4" s="119">
        <v>74</v>
      </c>
      <c r="Q4" s="103">
        <v>-118800</v>
      </c>
    </row>
    <row r="5" spans="1:17" x14ac:dyDescent="0.4">
      <c r="A5" s="55" t="s">
        <v>7</v>
      </c>
      <c r="B5" s="156">
        <f>IF(B$2=0,0,B$4/B$2)</f>
        <v>-1.219277108433735</v>
      </c>
      <c r="C5" s="157"/>
      <c r="E5" s="63" t="s">
        <v>65</v>
      </c>
      <c r="F5" s="60" t="s">
        <v>21</v>
      </c>
      <c r="G5" s="47">
        <v>83</v>
      </c>
      <c r="H5" s="133">
        <f>IF(B$17=0,0,G5/B$17)</f>
        <v>0.33739837398373984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1146.4788732394366</v>
      </c>
      <c r="P5" s="119">
        <v>71</v>
      </c>
      <c r="Q5" s="103">
        <v>81400</v>
      </c>
    </row>
    <row r="6" spans="1:17" x14ac:dyDescent="0.4">
      <c r="A6" s="55" t="s">
        <v>1</v>
      </c>
      <c r="B6" s="146">
        <f>IF(B$2=0,0,(B$7*1+B$8*2+B$9*3)/B$2)</f>
        <v>2.0481927710843375</v>
      </c>
      <c r="C6" s="147"/>
      <c r="E6" s="63" t="s">
        <v>69</v>
      </c>
      <c r="F6" s="60" t="s">
        <v>12</v>
      </c>
      <c r="G6" s="47">
        <v>63</v>
      </c>
      <c r="H6" s="133">
        <f>IF(B$17=0,0,G6/B$17)</f>
        <v>0.25609756097560976</v>
      </c>
      <c r="I6" s="94">
        <v>12</v>
      </c>
      <c r="K6" s="38">
        <v>4</v>
      </c>
      <c r="L6" s="99">
        <v>34.9</v>
      </c>
      <c r="N6" s="115" t="s">
        <v>136</v>
      </c>
      <c r="O6" s="122">
        <f t="shared" si="0"/>
        <v>856.06060606060601</v>
      </c>
      <c r="P6" s="119">
        <v>66</v>
      </c>
      <c r="Q6" s="103">
        <v>56500</v>
      </c>
    </row>
    <row r="7" spans="1:17" x14ac:dyDescent="0.4">
      <c r="A7" s="55" t="s">
        <v>2</v>
      </c>
      <c r="B7" s="47">
        <v>21</v>
      </c>
      <c r="C7" s="39">
        <f>IF(B$2=0,0,B7/B$2)</f>
        <v>0.25301204819277107</v>
      </c>
      <c r="E7" s="63" t="s">
        <v>68</v>
      </c>
      <c r="F7" s="60" t="s">
        <v>24</v>
      </c>
      <c r="G7" s="47">
        <v>43</v>
      </c>
      <c r="H7" s="133">
        <f>IF(B$17=0,0,G7/B$17)</f>
        <v>0.17479674796747968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0"/>
        <v>-510.34482758620692</v>
      </c>
      <c r="P7" s="120">
        <v>58</v>
      </c>
      <c r="Q7" s="104">
        <v>-29600</v>
      </c>
    </row>
    <row r="8" spans="1:17" x14ac:dyDescent="0.4">
      <c r="A8" s="55" t="s">
        <v>3</v>
      </c>
      <c r="B8" s="47">
        <v>37</v>
      </c>
      <c r="C8" s="39">
        <f>IF(B$2=0,0,B8/B$2)</f>
        <v>0.44578313253012047</v>
      </c>
      <c r="E8" s="63" t="s">
        <v>70</v>
      </c>
      <c r="F8" s="60" t="s">
        <v>25</v>
      </c>
      <c r="G8" s="47">
        <v>36</v>
      </c>
      <c r="H8" s="133">
        <f>IF(B$17=0,0,G8/B$17)</f>
        <v>0.14634146341463414</v>
      </c>
      <c r="I8" s="94">
        <v>10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25</v>
      </c>
      <c r="C9" s="40">
        <f t="shared" ref="C9" si="1">IF(B$2=0,0,B9/B$2)</f>
        <v>0.30120481927710846</v>
      </c>
      <c r="E9" s="63" t="s">
        <v>66</v>
      </c>
      <c r="F9" s="60" t="s">
        <v>22</v>
      </c>
      <c r="G9" s="47">
        <v>26</v>
      </c>
      <c r="H9" s="133">
        <f>IF(B$17=0,0,G9/B$17)</f>
        <v>0.10569105691056911</v>
      </c>
      <c r="I9" s="94">
        <v>6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4.8192771084337352E-2</v>
      </c>
      <c r="E10" s="63" t="s">
        <v>72</v>
      </c>
      <c r="F10" s="60" t="s">
        <v>27</v>
      </c>
      <c r="G10" s="47">
        <v>20</v>
      </c>
      <c r="H10" s="133">
        <f>IF(B$17=0,0,G10/B$17)</f>
        <v>8.1300813008130079E-2</v>
      </c>
      <c r="I10" s="94">
        <v>3</v>
      </c>
      <c r="K10" s="38">
        <v>8</v>
      </c>
      <c r="L10" s="99">
        <v>-29.5</v>
      </c>
      <c r="N10" s="114" t="s">
        <v>164</v>
      </c>
      <c r="O10" s="124">
        <f>IF(P10=0,0,Q10/P10)</f>
        <v>-7.708000000000002</v>
      </c>
      <c r="P10" s="118">
        <v>25</v>
      </c>
      <c r="Q10" s="106">
        <v>-192.70000000000005</v>
      </c>
    </row>
    <row r="11" spans="1:17" x14ac:dyDescent="0.4">
      <c r="A11" s="56" t="s">
        <v>140</v>
      </c>
      <c r="B11" s="48">
        <v>9</v>
      </c>
      <c r="C11" s="40">
        <f>IF(B$2=0,0,B11/B$2)</f>
        <v>0.10843373493975904</v>
      </c>
      <c r="E11" s="63" t="s">
        <v>90</v>
      </c>
      <c r="F11" s="60" t="s">
        <v>45</v>
      </c>
      <c r="G11" s="47">
        <v>19</v>
      </c>
      <c r="H11" s="133">
        <f>IF(B$17=0,0,G11/B$17)</f>
        <v>7.7235772357723581E-2</v>
      </c>
      <c r="I11" s="94">
        <v>12</v>
      </c>
      <c r="K11" s="38">
        <v>9</v>
      </c>
      <c r="L11" s="99">
        <v>-56.5</v>
      </c>
      <c r="N11" s="115" t="s">
        <v>165</v>
      </c>
      <c r="O11" s="125">
        <f>IF(P11=0,0,Q11/P11)</f>
        <v>3.0346153846153845</v>
      </c>
      <c r="P11" s="119">
        <v>26</v>
      </c>
      <c r="Q11" s="107">
        <v>78.899999999999991</v>
      </c>
    </row>
    <row r="12" spans="1:17" x14ac:dyDescent="0.4">
      <c r="A12" s="57" t="s">
        <v>160</v>
      </c>
      <c r="B12" s="49">
        <v>6</v>
      </c>
      <c r="C12" s="42">
        <f>IF(B$2=0,0,B12/B$2)</f>
        <v>7.2289156626506021E-2</v>
      </c>
      <c r="E12" s="63" t="s">
        <v>84</v>
      </c>
      <c r="F12" s="60" t="s">
        <v>39</v>
      </c>
      <c r="G12" s="47">
        <v>17</v>
      </c>
      <c r="H12" s="133">
        <f>IF(B$17=0,0,G12/B$17)</f>
        <v>6.910569105691057E-2</v>
      </c>
      <c r="I12" s="94">
        <v>3</v>
      </c>
      <c r="K12" s="38">
        <v>10</v>
      </c>
      <c r="L12" s="99">
        <v>24.200000000000003</v>
      </c>
      <c r="N12" s="116" t="s">
        <v>166</v>
      </c>
      <c r="O12" s="126">
        <f>IF(P12=0,0,Q12/P12)</f>
        <v>0.39374999999999993</v>
      </c>
      <c r="P12" s="120">
        <v>32</v>
      </c>
      <c r="Q12" s="108">
        <v>12.599999999999998</v>
      </c>
    </row>
    <row r="13" spans="1:17" x14ac:dyDescent="0.4">
      <c r="A13" s="58" t="s">
        <v>122</v>
      </c>
      <c r="B13" s="50">
        <v>149</v>
      </c>
      <c r="C13" s="44">
        <f>IF(B$3=0,0,B13/B$3)</f>
        <v>0.21015514809590974</v>
      </c>
      <c r="E13" s="63" t="s">
        <v>71</v>
      </c>
      <c r="F13" s="60" t="s">
        <v>26</v>
      </c>
      <c r="G13" s="47">
        <v>16</v>
      </c>
      <c r="H13" s="133">
        <f>IF(B$17=0,0,G13/B$17)</f>
        <v>6.5040650406504072E-2</v>
      </c>
      <c r="I13" s="94">
        <v>9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209</v>
      </c>
      <c r="C14" s="39">
        <f>IF(B$3=0,0,B14/B$3)</f>
        <v>0.29478138222849082</v>
      </c>
      <c r="E14" s="63" t="s">
        <v>87</v>
      </c>
      <c r="F14" s="60" t="s">
        <v>42</v>
      </c>
      <c r="G14" s="47">
        <v>10</v>
      </c>
      <c r="H14" s="133">
        <f>IF(B$17=0,0,G14/B$17)</f>
        <v>4.065040650406504E-2</v>
      </c>
      <c r="I14" s="94">
        <v>9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83</v>
      </c>
      <c r="C15" s="37">
        <f>IF(B$13=0,0,B15/B$13)</f>
        <v>0.55704697986577179</v>
      </c>
      <c r="E15" s="63" t="s">
        <v>82</v>
      </c>
      <c r="F15" s="60" t="s">
        <v>37</v>
      </c>
      <c r="G15" s="47">
        <v>9</v>
      </c>
      <c r="H15" s="133">
        <f>IF(B$17=0,0,G15/B$17)</f>
        <v>3.6585365853658534E-2</v>
      </c>
      <c r="I15" s="94">
        <v>3</v>
      </c>
      <c r="K15" s="38">
        <v>13</v>
      </c>
      <c r="L15" s="99">
        <v>-3</v>
      </c>
      <c r="N15" s="114" t="s">
        <v>223</v>
      </c>
      <c r="O15" s="124">
        <f>IF(P15=0,0,Q15/P15)</f>
        <v>30.3</v>
      </c>
      <c r="P15" s="118">
        <v>1</v>
      </c>
      <c r="Q15" s="106">
        <v>30.3</v>
      </c>
    </row>
    <row r="16" spans="1:17" x14ac:dyDescent="0.4">
      <c r="A16" s="54" t="s">
        <v>125</v>
      </c>
      <c r="B16" s="46">
        <v>89</v>
      </c>
      <c r="C16" s="37">
        <f>IF(B$14=0,0,B16/B$14)</f>
        <v>0.42583732057416268</v>
      </c>
      <c r="E16" s="63" t="s">
        <v>79</v>
      </c>
      <c r="F16" s="60" t="s">
        <v>34</v>
      </c>
      <c r="G16" s="47">
        <v>4</v>
      </c>
      <c r="H16" s="133">
        <f>IF(B$17=0,0,G16/B$17)</f>
        <v>1.6260162601626018E-2</v>
      </c>
      <c r="I16" s="94">
        <v>10</v>
      </c>
      <c r="K16" s="38">
        <v>14</v>
      </c>
      <c r="L16" s="99">
        <v>-12.3</v>
      </c>
      <c r="N16" s="115" t="s">
        <v>129</v>
      </c>
      <c r="O16" s="125">
        <f>IF(P16=0,0,Q16/P16)</f>
        <v>27.262499999999992</v>
      </c>
      <c r="P16" s="119">
        <v>24</v>
      </c>
      <c r="Q16" s="107">
        <v>654.29999999999984</v>
      </c>
    </row>
    <row r="17" spans="1:17" x14ac:dyDescent="0.4">
      <c r="A17" s="54" t="s">
        <v>10</v>
      </c>
      <c r="B17" s="46">
        <f>B19+B18</f>
        <v>246</v>
      </c>
      <c r="C17" s="37">
        <f>IF(B$3=0,0,B17/B$3)</f>
        <v>0.34696755994358253</v>
      </c>
      <c r="E17" s="63" t="s">
        <v>92</v>
      </c>
      <c r="F17" s="60" t="s">
        <v>47</v>
      </c>
      <c r="G17" s="47">
        <v>4</v>
      </c>
      <c r="H17" s="133">
        <f>IF(B$17=0,0,G17/B$17)</f>
        <v>1.6260162601626018E-2</v>
      </c>
      <c r="I17" s="94">
        <v>7</v>
      </c>
      <c r="K17" s="38">
        <v>15</v>
      </c>
      <c r="L17" s="99">
        <v>-80.3</v>
      </c>
      <c r="N17" s="115" t="s">
        <v>184</v>
      </c>
      <c r="O17" s="125">
        <f>IF(P17=0,0,Q17/P17)</f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101</v>
      </c>
      <c r="C18" s="39">
        <f>IF(B$17=0,0,B18/B$17)</f>
        <v>0.41056910569105692</v>
      </c>
      <c r="E18" s="63" t="s">
        <v>80</v>
      </c>
      <c r="F18" s="60" t="s">
        <v>35</v>
      </c>
      <c r="G18" s="47">
        <v>3</v>
      </c>
      <c r="H18" s="133">
        <f>IF(B$17=0,0,G18/B$17)</f>
        <v>1.2195121951219513E-2</v>
      </c>
      <c r="I18" s="94">
        <v>8</v>
      </c>
      <c r="K18" s="38">
        <v>16</v>
      </c>
      <c r="L18" s="99">
        <v>-87.6</v>
      </c>
      <c r="N18" s="115" t="s">
        <v>173</v>
      </c>
      <c r="O18" s="125">
        <f>IF(P18=0,0,Q18/P18)</f>
        <v>6.6333333333333302</v>
      </c>
      <c r="P18" s="119">
        <v>12</v>
      </c>
      <c r="Q18" s="107">
        <v>79.599999999999966</v>
      </c>
    </row>
    <row r="19" spans="1:17" x14ac:dyDescent="0.4">
      <c r="A19" s="55" t="s">
        <v>11</v>
      </c>
      <c r="B19" s="47">
        <v>145</v>
      </c>
      <c r="C19" s="39">
        <f>IF(B$17=0,0,B19/B$17)</f>
        <v>0.58943089430894313</v>
      </c>
      <c r="E19" s="63" t="s">
        <v>74</v>
      </c>
      <c r="F19" s="60" t="s">
        <v>29</v>
      </c>
      <c r="G19" s="47">
        <v>1</v>
      </c>
      <c r="H19" s="133">
        <f>IF(B$17=0,0,G19/B$17)</f>
        <v>4.0650406504065045E-3</v>
      </c>
      <c r="I19" s="94">
        <v>7</v>
      </c>
      <c r="K19" s="38">
        <v>17</v>
      </c>
      <c r="L19" s="99">
        <v>-55.099999999999994</v>
      </c>
      <c r="N19" s="115" t="s">
        <v>128</v>
      </c>
      <c r="O19" s="125">
        <f>IF(P19=0,0,Q19/P19)</f>
        <v>4.3735294117647054</v>
      </c>
      <c r="P19" s="119">
        <v>34</v>
      </c>
      <c r="Q19" s="107">
        <v>148.69999999999999</v>
      </c>
    </row>
    <row r="20" spans="1:17" x14ac:dyDescent="0.4">
      <c r="A20" s="55" t="s">
        <v>13</v>
      </c>
      <c r="B20" s="47">
        <v>98</v>
      </c>
      <c r="C20" s="39">
        <f>IF(B$3=0,0,B20/B$3)</f>
        <v>0.1382228490832158</v>
      </c>
      <c r="E20" s="63" t="s">
        <v>75</v>
      </c>
      <c r="F20" s="60" t="s">
        <v>30</v>
      </c>
      <c r="G20" s="47">
        <v>1</v>
      </c>
      <c r="H20" s="133">
        <f>IF(B$17=0,0,G20/B$17)</f>
        <v>4.0650406504065045E-3</v>
      </c>
      <c r="I20" s="94">
        <v>6</v>
      </c>
      <c r="K20" s="38">
        <v>18</v>
      </c>
      <c r="L20" s="99">
        <v>-28.199999999999996</v>
      </c>
      <c r="N20" s="115" t="s">
        <v>177</v>
      </c>
      <c r="O20" s="125">
        <f>IF(P20=0,0,Q20/P20)</f>
        <v>-2.436363636363637</v>
      </c>
      <c r="P20" s="119">
        <v>22</v>
      </c>
      <c r="Q20" s="107">
        <v>-53.600000000000009</v>
      </c>
    </row>
    <row r="21" spans="1:17" x14ac:dyDescent="0.4">
      <c r="A21" s="55" t="s">
        <v>191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4.0650406504065045E-3</v>
      </c>
      <c r="I21" s="94">
        <v>7</v>
      </c>
      <c r="K21" s="38">
        <v>19</v>
      </c>
      <c r="L21" s="99">
        <v>29.200000000000003</v>
      </c>
      <c r="N21" s="115" t="s">
        <v>200</v>
      </c>
      <c r="O21" s="125">
        <f>IF(P21=0,0,Q21/P21)</f>
        <v>-2.7400000000000033</v>
      </c>
      <c r="P21" s="119">
        <v>5</v>
      </c>
      <c r="Q21" s="107">
        <v>-13.700000000000017</v>
      </c>
    </row>
    <row r="22" spans="1:17" x14ac:dyDescent="0.4">
      <c r="A22" s="55" t="s">
        <v>192</v>
      </c>
      <c r="B22" s="47">
        <v>23</v>
      </c>
      <c r="C22" s="135">
        <v>11</v>
      </c>
      <c r="E22" s="63" t="s">
        <v>88</v>
      </c>
      <c r="F22" s="60" t="s">
        <v>43</v>
      </c>
      <c r="G22" s="47">
        <v>1</v>
      </c>
      <c r="H22" s="133">
        <f>IF(B$17=0,0,G22/B$17)</f>
        <v>4.0650406504065045E-3</v>
      </c>
      <c r="I22" s="94">
        <v>4</v>
      </c>
      <c r="K22" s="38">
        <v>20</v>
      </c>
      <c r="L22" s="99">
        <v>43</v>
      </c>
      <c r="N22" s="115" t="s">
        <v>171</v>
      </c>
      <c r="O22" s="125">
        <f>IF(P22=0,0,Q22/P22)</f>
        <v>-4.6450000000000005</v>
      </c>
      <c r="P22" s="119">
        <v>20</v>
      </c>
      <c r="Q22" s="107">
        <v>-92.9</v>
      </c>
    </row>
    <row r="23" spans="1:17" x14ac:dyDescent="0.4">
      <c r="A23" s="55" t="s">
        <v>5</v>
      </c>
      <c r="B23" s="51">
        <f>IF(B$17=0,0,C23/B$17)</f>
        <v>6806.9105691056911</v>
      </c>
      <c r="C23" s="41">
        <v>1674500</v>
      </c>
      <c r="E23" s="63" t="s">
        <v>91</v>
      </c>
      <c r="F23" s="60" t="s">
        <v>46</v>
      </c>
      <c r="G23" s="47">
        <v>1</v>
      </c>
      <c r="H23" s="133">
        <f>IF(B$17=0,0,G23/B$17)</f>
        <v>4.0650406504065045E-3</v>
      </c>
      <c r="I23" s="94">
        <v>3</v>
      </c>
      <c r="K23" s="38">
        <v>21</v>
      </c>
      <c r="L23" s="99">
        <v>89.9</v>
      </c>
      <c r="N23" s="115" t="s">
        <v>127</v>
      </c>
      <c r="O23" s="125">
        <f>IF(P23=0,0,Q23/P23)</f>
        <v>-23.717391304347821</v>
      </c>
      <c r="P23" s="119">
        <v>46</v>
      </c>
      <c r="Q23" s="107">
        <v>-1090.9999999999998</v>
      </c>
    </row>
    <row r="24" spans="1:17" x14ac:dyDescent="0.4">
      <c r="A24" s="57" t="s">
        <v>14</v>
      </c>
      <c r="B24" s="52">
        <f>IF(B$20=0,0,C24/B$20)</f>
        <v>-8542.8571428571431</v>
      </c>
      <c r="C24" s="45">
        <v>-837200</v>
      </c>
      <c r="E24" s="63" t="s">
        <v>77</v>
      </c>
      <c r="F24" s="60" t="s">
        <v>32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78</v>
      </c>
      <c r="F25" s="60" t="s">
        <v>33</v>
      </c>
      <c r="G25" s="47">
        <v>0</v>
      </c>
      <c r="H25" s="133">
        <f>IF(B$17=0,0,G25/B$17)</f>
        <v>0</v>
      </c>
      <c r="I25" s="94">
        <v>5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1.4104372355430183E-3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30.400000000000006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32.900000000000006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6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  <row r="81" spans="11:12" x14ac:dyDescent="0.4">
      <c r="K81" s="38">
        <v>79</v>
      </c>
      <c r="L81" s="99">
        <v>-67.000000000000014</v>
      </c>
    </row>
    <row r="82" spans="11:12" x14ac:dyDescent="0.4">
      <c r="K82" s="38">
        <v>80</v>
      </c>
      <c r="L82" s="99">
        <v>-114.70000000000002</v>
      </c>
    </row>
    <row r="83" spans="11:12" x14ac:dyDescent="0.4">
      <c r="K83" s="38">
        <v>81</v>
      </c>
      <c r="L83" s="99">
        <v>-115.90000000000002</v>
      </c>
    </row>
    <row r="84" spans="11:12" x14ac:dyDescent="0.4">
      <c r="K84" s="38">
        <v>82</v>
      </c>
      <c r="L84" s="99">
        <v>-110.60000000000002</v>
      </c>
    </row>
    <row r="85" spans="11:12" x14ac:dyDescent="0.4">
      <c r="K85" s="38">
        <v>83</v>
      </c>
      <c r="L85" s="99">
        <v>-101.20000000000002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A85EF-C5A1-4B36-8F2C-BDE13098FD52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47</v>
      </c>
      <c r="C2" s="151"/>
      <c r="E2" s="62" t="s">
        <v>65</v>
      </c>
      <c r="F2" s="59" t="s">
        <v>21</v>
      </c>
      <c r="G2" s="46">
        <v>50</v>
      </c>
      <c r="H2" s="132">
        <f>IF(B$17=0,0,G2/B$17)</f>
        <v>0.42735042735042733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-2731.9148936170213</v>
      </c>
      <c r="P2" s="118">
        <v>47</v>
      </c>
      <c r="Q2" s="102">
        <v>-128400</v>
      </c>
    </row>
    <row r="3" spans="1:17" x14ac:dyDescent="0.4">
      <c r="A3" s="55" t="s">
        <v>8</v>
      </c>
      <c r="B3" s="152">
        <v>405</v>
      </c>
      <c r="C3" s="153"/>
      <c r="E3" s="63" t="s">
        <v>66</v>
      </c>
      <c r="F3" s="60" t="s">
        <v>22</v>
      </c>
      <c r="G3" s="47">
        <v>9</v>
      </c>
      <c r="H3" s="133">
        <f>IF(B$17=0,0,G3/B$17)</f>
        <v>7.6923076923076927E-2</v>
      </c>
      <c r="I3" s="94">
        <v>8</v>
      </c>
      <c r="K3" s="38">
        <v>1</v>
      </c>
      <c r="L3" s="99">
        <v>-82.6</v>
      </c>
      <c r="N3" s="115" t="s">
        <v>133</v>
      </c>
      <c r="O3" s="122">
        <f t="shared" si="0"/>
        <v>2059.5744680851062</v>
      </c>
      <c r="P3" s="119">
        <v>47</v>
      </c>
      <c r="Q3" s="103">
        <v>96800</v>
      </c>
    </row>
    <row r="4" spans="1:17" x14ac:dyDescent="0.4">
      <c r="A4" s="55" t="s">
        <v>6</v>
      </c>
      <c r="B4" s="154">
        <v>-439.7</v>
      </c>
      <c r="C4" s="155"/>
      <c r="E4" s="63" t="s">
        <v>67</v>
      </c>
      <c r="F4" s="60" t="s">
        <v>23</v>
      </c>
      <c r="G4" s="47">
        <v>78</v>
      </c>
      <c r="H4" s="133">
        <f>IF(B$17=0,0,G4/B$17)</f>
        <v>0.66666666666666663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-1050</v>
      </c>
      <c r="P4" s="119">
        <v>44</v>
      </c>
      <c r="Q4" s="103">
        <v>-46200</v>
      </c>
    </row>
    <row r="5" spans="1:17" x14ac:dyDescent="0.4">
      <c r="A5" s="55" t="s">
        <v>7</v>
      </c>
      <c r="B5" s="156">
        <f>IF(B$2=0,0,B$4/B$2)</f>
        <v>-9.3553191489361698</v>
      </c>
      <c r="C5" s="157"/>
      <c r="E5" s="63" t="s">
        <v>68</v>
      </c>
      <c r="F5" s="60" t="s">
        <v>24</v>
      </c>
      <c r="G5" s="47">
        <v>28</v>
      </c>
      <c r="H5" s="133">
        <f>IF(B$17=0,0,G5/B$17)</f>
        <v>0.23931623931623933</v>
      </c>
      <c r="I5" s="94">
        <v>12</v>
      </c>
      <c r="K5" s="38">
        <v>3</v>
      </c>
      <c r="L5" s="99">
        <v>-149</v>
      </c>
      <c r="N5" s="115" t="s">
        <v>135</v>
      </c>
      <c r="O5" s="122">
        <f t="shared" si="0"/>
        <v>-3870.731707317073</v>
      </c>
      <c r="P5" s="119">
        <v>41</v>
      </c>
      <c r="Q5" s="103">
        <v>-158700</v>
      </c>
    </row>
    <row r="6" spans="1:17" x14ac:dyDescent="0.4">
      <c r="A6" s="55" t="s">
        <v>1</v>
      </c>
      <c r="B6" s="146">
        <f>IF(B$2=0,0,(B$7*1+B$8*2+B$9*3)/B$2)</f>
        <v>2.1276595744680851</v>
      </c>
      <c r="C6" s="147"/>
      <c r="E6" s="63" t="s">
        <v>69</v>
      </c>
      <c r="F6" s="60" t="s">
        <v>12</v>
      </c>
      <c r="G6" s="47">
        <v>46</v>
      </c>
      <c r="H6" s="133">
        <f>IF(B$17=0,0,G6/B$17)</f>
        <v>0.39316239316239315</v>
      </c>
      <c r="I6" s="94">
        <v>3</v>
      </c>
      <c r="K6" s="38">
        <v>4</v>
      </c>
      <c r="L6" s="99">
        <v>-150.6</v>
      </c>
      <c r="N6" s="115" t="s">
        <v>136</v>
      </c>
      <c r="O6" s="122">
        <f t="shared" si="0"/>
        <v>-902.70270270270271</v>
      </c>
      <c r="P6" s="119">
        <v>37</v>
      </c>
      <c r="Q6" s="103">
        <v>-33400</v>
      </c>
    </row>
    <row r="7" spans="1:17" x14ac:dyDescent="0.4">
      <c r="A7" s="55" t="s">
        <v>2</v>
      </c>
      <c r="B7" s="47">
        <v>13</v>
      </c>
      <c r="C7" s="39">
        <f>IF(B$2=0,0,B7/B$2)</f>
        <v>0.27659574468085107</v>
      </c>
      <c r="E7" s="63" t="s">
        <v>70</v>
      </c>
      <c r="F7" s="60" t="s">
        <v>25</v>
      </c>
      <c r="G7" s="47">
        <v>13</v>
      </c>
      <c r="H7" s="133">
        <f>IF(B$17=0,0,G7/B$17)</f>
        <v>0.1111111111111111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520</v>
      </c>
      <c r="P7" s="120">
        <v>35</v>
      </c>
      <c r="Q7" s="104">
        <v>18200</v>
      </c>
    </row>
    <row r="8" spans="1:17" x14ac:dyDescent="0.4">
      <c r="A8" s="55" t="s">
        <v>3</v>
      </c>
      <c r="B8" s="47">
        <v>15</v>
      </c>
      <c r="C8" s="39">
        <f>IF(B$2=0,0,B8/B$2)</f>
        <v>0.31914893617021278</v>
      </c>
      <c r="E8" s="63" t="s">
        <v>71</v>
      </c>
      <c r="F8" s="60" t="s">
        <v>26</v>
      </c>
      <c r="G8" s="47">
        <v>14</v>
      </c>
      <c r="H8" s="133">
        <f>IF(B$17=0,0,G8/B$17)</f>
        <v>0.11965811965811966</v>
      </c>
      <c r="I8" s="94">
        <v>4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19</v>
      </c>
      <c r="C9" s="40">
        <f t="shared" ref="C9" si="1">IF(B$2=0,0,B9/B$2)</f>
        <v>0.40425531914893614</v>
      </c>
      <c r="E9" s="63" t="s">
        <v>72</v>
      </c>
      <c r="F9" s="60" t="s">
        <v>27</v>
      </c>
      <c r="G9" s="47">
        <v>6</v>
      </c>
      <c r="H9" s="133">
        <f>IF(B$17=0,0,G9/B$17)</f>
        <v>5.128205128205128E-2</v>
      </c>
      <c r="I9" s="94">
        <v>10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0.14893617021276595</v>
      </c>
      <c r="E10" s="63" t="s">
        <v>73</v>
      </c>
      <c r="F10" s="60" t="s">
        <v>28</v>
      </c>
      <c r="G10" s="47">
        <v>62</v>
      </c>
      <c r="H10" s="133">
        <f>IF(B$17=0,0,G10/B$17)</f>
        <v>0.52991452991452992</v>
      </c>
      <c r="I10" s="94">
        <v>7</v>
      </c>
      <c r="K10" s="38">
        <v>8</v>
      </c>
      <c r="L10" s="99">
        <v>-219.59999999999997</v>
      </c>
      <c r="N10" s="114" t="s">
        <v>164</v>
      </c>
      <c r="O10" s="124">
        <f>IF(P10=0,0,Q10/P10)</f>
        <v>-14.399999999999999</v>
      </c>
      <c r="P10" s="118">
        <v>13</v>
      </c>
      <c r="Q10" s="106">
        <v>-187.2</v>
      </c>
    </row>
    <row r="11" spans="1:17" x14ac:dyDescent="0.4">
      <c r="A11" s="56" t="s">
        <v>140</v>
      </c>
      <c r="B11" s="48">
        <v>3</v>
      </c>
      <c r="C11" s="40">
        <f>IF(B$2=0,0,B11/B$2)</f>
        <v>6.3829787234042548E-2</v>
      </c>
      <c r="E11" s="63" t="s">
        <v>74</v>
      </c>
      <c r="F11" s="60" t="s">
        <v>29</v>
      </c>
      <c r="G11" s="47">
        <v>2</v>
      </c>
      <c r="H11" s="133">
        <f>IF(B$17=0,0,G11/B$17)</f>
        <v>1.7094017094017096E-2</v>
      </c>
      <c r="I11" s="94">
        <v>2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4.2553191489361701E-2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-11.453846153846152</v>
      </c>
      <c r="P12" s="120">
        <v>13</v>
      </c>
      <c r="Q12" s="108">
        <v>-148.89999999999998</v>
      </c>
    </row>
    <row r="13" spans="1:17" x14ac:dyDescent="0.4">
      <c r="A13" s="58" t="s">
        <v>122</v>
      </c>
      <c r="B13" s="50">
        <v>89</v>
      </c>
      <c r="C13" s="44">
        <f>IF(B$3=0,0,B13/B$3)</f>
        <v>0.21975308641975308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102</v>
      </c>
      <c r="C14" s="39">
        <f>IF(B$3=0,0,B14/B$3)</f>
        <v>0.25185185185185183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52</v>
      </c>
      <c r="C15" s="37">
        <f>IF(B$13=0,0,B15/B$13)</f>
        <v>0.5842696629213483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 t="shared" ref="O15:O23" si="2"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33</v>
      </c>
      <c r="C16" s="37">
        <f>IF(B$14=0,0,B16/B$14)</f>
        <v>0.3235294117647059</v>
      </c>
      <c r="E16" s="63" t="s">
        <v>79</v>
      </c>
      <c r="F16" s="60" t="s">
        <v>34</v>
      </c>
      <c r="G16" s="47">
        <v>2</v>
      </c>
      <c r="H16" s="133">
        <f>IF(B$17=0,0,G16/B$17)</f>
        <v>1.7094017094017096E-2</v>
      </c>
      <c r="I16" s="94">
        <v>9</v>
      </c>
      <c r="K16" s="38">
        <v>14</v>
      </c>
      <c r="L16" s="99">
        <v>-269.99999999999994</v>
      </c>
      <c r="N16" s="115" t="s">
        <v>172</v>
      </c>
      <c r="O16" s="125">
        <f t="shared" si="2"/>
        <v>-6.633333333333332</v>
      </c>
      <c r="P16" s="119">
        <v>12</v>
      </c>
      <c r="Q16" s="107">
        <v>-79.59999999999998</v>
      </c>
    </row>
    <row r="17" spans="1:17" x14ac:dyDescent="0.4">
      <c r="A17" s="54" t="s">
        <v>10</v>
      </c>
      <c r="B17" s="46">
        <f>B19+B18</f>
        <v>117</v>
      </c>
      <c r="C17" s="37">
        <f>IF(B$3=0,0,B17/B$3)</f>
        <v>0.28888888888888886</v>
      </c>
      <c r="E17" s="63" t="s">
        <v>80</v>
      </c>
      <c r="F17" s="60" t="s">
        <v>35</v>
      </c>
      <c r="G17" s="47">
        <v>2</v>
      </c>
      <c r="H17" s="133">
        <f>IF(B$17=0,0,G17/B$17)</f>
        <v>1.7094017094017096E-2</v>
      </c>
      <c r="I17" s="94">
        <v>5</v>
      </c>
      <c r="K17" s="38">
        <v>15</v>
      </c>
      <c r="L17" s="99">
        <v>-264.59999999999997</v>
      </c>
      <c r="N17" s="115" t="s">
        <v>128</v>
      </c>
      <c r="O17" s="125">
        <f t="shared" si="2"/>
        <v>-12.160869565217387</v>
      </c>
      <c r="P17" s="119">
        <v>23</v>
      </c>
      <c r="Q17" s="107">
        <v>-279.69999999999993</v>
      </c>
    </row>
    <row r="18" spans="1:17" x14ac:dyDescent="0.4">
      <c r="A18" s="55" t="s">
        <v>12</v>
      </c>
      <c r="B18" s="47">
        <v>60</v>
      </c>
      <c r="C18" s="39">
        <f>IF(B$17=0,0,B18/B$17)</f>
        <v>0.51282051282051277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171</v>
      </c>
      <c r="O18" s="125">
        <f t="shared" si="2"/>
        <v>-12.777777777777775</v>
      </c>
      <c r="P18" s="119">
        <v>18</v>
      </c>
      <c r="Q18" s="107">
        <v>-229.99999999999994</v>
      </c>
    </row>
    <row r="19" spans="1:17" x14ac:dyDescent="0.4">
      <c r="A19" s="55" t="s">
        <v>11</v>
      </c>
      <c r="B19" s="47">
        <v>57</v>
      </c>
      <c r="C19" s="39">
        <f>IF(B$17=0,0,B19/B$17)</f>
        <v>0.48717948717948717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127</v>
      </c>
      <c r="O19" s="125">
        <f t="shared" si="2"/>
        <v>-21.768181818181816</v>
      </c>
      <c r="P19" s="119">
        <v>22</v>
      </c>
      <c r="Q19" s="107">
        <v>-478.9</v>
      </c>
    </row>
    <row r="20" spans="1:17" x14ac:dyDescent="0.4">
      <c r="A20" s="55" t="s">
        <v>13</v>
      </c>
      <c r="B20" s="47">
        <v>77</v>
      </c>
      <c r="C20" s="39">
        <f>IF(B$3=0,0,B20/B$3)</f>
        <v>0.19012345679012346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177</v>
      </c>
      <c r="O20" s="125">
        <f t="shared" si="2"/>
        <v>-22.274999999999999</v>
      </c>
      <c r="P20" s="119">
        <v>8</v>
      </c>
      <c r="Q20" s="107">
        <v>-178.2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2</v>
      </c>
      <c r="H21" s="133">
        <f>IF(B$17=0,0,G21/B$17)</f>
        <v>1.7094017094017096E-2</v>
      </c>
      <c r="I21" s="94">
        <v>11</v>
      </c>
      <c r="K21" s="38">
        <v>19</v>
      </c>
      <c r="L21" s="99">
        <v>-188.59999999999994</v>
      </c>
      <c r="N21" s="115" t="s">
        <v>200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192</v>
      </c>
      <c r="B22" s="47">
        <v>24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-182.79999999999993</v>
      </c>
      <c r="N22" s="115" t="s">
        <v>183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6904.2735042735039</v>
      </c>
      <c r="C23" s="41">
        <v>807800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  <c r="N23" s="115" t="s">
        <v>184</v>
      </c>
      <c r="O23" s="125">
        <f t="shared" si="2"/>
        <v>-159</v>
      </c>
      <c r="P23" s="119">
        <v>1</v>
      </c>
      <c r="Q23" s="107">
        <v>-159</v>
      </c>
    </row>
    <row r="24" spans="1:17" x14ac:dyDescent="0.4">
      <c r="A24" s="57" t="s">
        <v>14</v>
      </c>
      <c r="B24" s="52">
        <f>IF(B$20=0,0,C24/B$20)</f>
        <v>-8290.9090909090901</v>
      </c>
      <c r="C24" s="45">
        <v>-638400</v>
      </c>
      <c r="E24" s="63" t="s">
        <v>87</v>
      </c>
      <c r="F24" s="60" t="s">
        <v>42</v>
      </c>
      <c r="G24" s="47">
        <v>4</v>
      </c>
      <c r="H24" s="133">
        <f>IF(B$17=0,0,G24/B$17)</f>
        <v>3.4188034188034191E-2</v>
      </c>
      <c r="I24" s="94">
        <v>10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8.5470085470085479E-3</v>
      </c>
      <c r="I25" s="94">
        <v>2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85900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4.9382716049382715E-3</v>
      </c>
      <c r="E27" s="63" t="s">
        <v>90</v>
      </c>
      <c r="F27" s="60" t="s">
        <v>45</v>
      </c>
      <c r="G27" s="47">
        <v>14</v>
      </c>
      <c r="H27" s="133">
        <f>IF(B$17=0,0,G27/B$17)</f>
        <v>0.11965811965811966</v>
      </c>
      <c r="I27" s="94">
        <v>7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1.7094017094017096E-2</v>
      </c>
      <c r="I29" s="94">
        <v>7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-377.4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-439.7</v>
      </c>
    </row>
    <row r="50" spans="5:12" x14ac:dyDescent="0.4">
      <c r="E50" s="63" t="s">
        <v>180</v>
      </c>
      <c r="F50" s="60" t="s">
        <v>181</v>
      </c>
      <c r="G50" s="47">
        <v>2</v>
      </c>
      <c r="H50" s="133">
        <f>IF(B$17=0,0,G50/B$17)</f>
        <v>1.7094017094017096E-2</v>
      </c>
      <c r="I50" s="94">
        <v>4</v>
      </c>
    </row>
    <row r="51" spans="5:12" x14ac:dyDescent="0.4">
      <c r="E51" s="136" t="s">
        <v>245</v>
      </c>
      <c r="F51" s="137" t="s">
        <v>246</v>
      </c>
      <c r="G51" s="48">
        <v>46</v>
      </c>
      <c r="H51" s="138">
        <f>IF(B$17=0,0,G51/B$17)</f>
        <v>0.39316239316239315</v>
      </c>
      <c r="I51" s="139">
        <v>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6F8A7-87FF-4751-B513-0C317656B81C}">
  <sheetPr codeName="Sheet19"/>
  <dimension ref="A1:Q7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72</v>
      </c>
      <c r="C2" s="151"/>
      <c r="E2" s="62" t="s">
        <v>65</v>
      </c>
      <c r="F2" s="59" t="s">
        <v>21</v>
      </c>
      <c r="G2" s="46">
        <v>108</v>
      </c>
      <c r="H2" s="132">
        <f>IF(B$17=0,0,G2/B$17)</f>
        <v>0.62427745664739887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1326.3888888888889</v>
      </c>
      <c r="P2" s="118">
        <v>72</v>
      </c>
      <c r="Q2" s="102">
        <v>95500</v>
      </c>
    </row>
    <row r="3" spans="1:17" x14ac:dyDescent="0.4">
      <c r="A3" s="55" t="s">
        <v>8</v>
      </c>
      <c r="B3" s="152">
        <v>587</v>
      </c>
      <c r="C3" s="153"/>
      <c r="E3" s="63" t="s">
        <v>67</v>
      </c>
      <c r="F3" s="60" t="s">
        <v>23</v>
      </c>
      <c r="G3" s="47">
        <v>100</v>
      </c>
      <c r="H3" s="133">
        <f>IF(B$17=0,0,G3/B$17)</f>
        <v>0.5780346820809249</v>
      </c>
      <c r="I3" s="94">
        <v>12</v>
      </c>
      <c r="K3" s="38">
        <v>1</v>
      </c>
      <c r="L3" s="99">
        <v>-1.9</v>
      </c>
      <c r="N3" s="115" t="s">
        <v>133</v>
      </c>
      <c r="O3" s="122">
        <f t="shared" si="0"/>
        <v>891.304347826087</v>
      </c>
      <c r="P3" s="119">
        <v>69</v>
      </c>
      <c r="Q3" s="103">
        <v>61500</v>
      </c>
    </row>
    <row r="4" spans="1:17" x14ac:dyDescent="0.4">
      <c r="A4" s="55" t="s">
        <v>6</v>
      </c>
      <c r="B4" s="154">
        <v>304.60000000000002</v>
      </c>
      <c r="C4" s="155"/>
      <c r="E4" s="63" t="s">
        <v>245</v>
      </c>
      <c r="F4" s="60" t="s">
        <v>246</v>
      </c>
      <c r="G4" s="47">
        <v>76</v>
      </c>
      <c r="H4" s="133">
        <f>IF(B$17=0,0,G4/B$17)</f>
        <v>0.43930635838150289</v>
      </c>
      <c r="I4" s="94">
        <v>2</v>
      </c>
      <c r="K4" s="38">
        <v>2</v>
      </c>
      <c r="L4" s="99">
        <v>30</v>
      </c>
      <c r="N4" s="115" t="s">
        <v>134</v>
      </c>
      <c r="O4" s="122">
        <f t="shared" si="0"/>
        <v>-395.16129032258067</v>
      </c>
      <c r="P4" s="119">
        <v>62</v>
      </c>
      <c r="Q4" s="103">
        <v>-24500</v>
      </c>
    </row>
    <row r="5" spans="1:17" x14ac:dyDescent="0.4">
      <c r="A5" s="55" t="s">
        <v>7</v>
      </c>
      <c r="B5" s="156">
        <f>IF(B$2=0,0,B$4/B$2)</f>
        <v>4.2305555555555561</v>
      </c>
      <c r="C5" s="157"/>
      <c r="E5" s="63" t="s">
        <v>73</v>
      </c>
      <c r="F5" s="60" t="s">
        <v>28</v>
      </c>
      <c r="G5" s="47">
        <v>74</v>
      </c>
      <c r="H5" s="133">
        <f>IF(B$17=0,0,G5/B$17)</f>
        <v>0.4277456647398844</v>
      </c>
      <c r="I5" s="94">
        <v>11</v>
      </c>
      <c r="K5" s="38">
        <v>3</v>
      </c>
      <c r="L5" s="99">
        <v>-10</v>
      </c>
      <c r="N5" s="115" t="s">
        <v>135</v>
      </c>
      <c r="O5" s="122">
        <f t="shared" si="0"/>
        <v>2093.3333333333335</v>
      </c>
      <c r="P5" s="119">
        <v>60</v>
      </c>
      <c r="Q5" s="103">
        <v>125600</v>
      </c>
    </row>
    <row r="6" spans="1:17" x14ac:dyDescent="0.4">
      <c r="A6" s="55" t="s">
        <v>1</v>
      </c>
      <c r="B6" s="146">
        <f>IF(B$2=0,0,(B$7*1+B$8*2+B$9*3)/B$2)</f>
        <v>1.9027777777777777</v>
      </c>
      <c r="C6" s="147"/>
      <c r="E6" s="63" t="s">
        <v>68</v>
      </c>
      <c r="F6" s="60" t="s">
        <v>24</v>
      </c>
      <c r="G6" s="47">
        <v>67</v>
      </c>
      <c r="H6" s="133">
        <f>IF(B$17=0,0,G6/B$17)</f>
        <v>0.38728323699421963</v>
      </c>
      <c r="I6" s="94">
        <v>5</v>
      </c>
      <c r="K6" s="38">
        <v>4</v>
      </c>
      <c r="L6" s="99">
        <v>40</v>
      </c>
      <c r="N6" s="115" t="s">
        <v>136</v>
      </c>
      <c r="O6" s="122">
        <f t="shared" si="0"/>
        <v>-900</v>
      </c>
      <c r="P6" s="119">
        <v>53</v>
      </c>
      <c r="Q6" s="103">
        <v>-47700</v>
      </c>
    </row>
    <row r="7" spans="1:17" x14ac:dyDescent="0.4">
      <c r="A7" s="55" t="s">
        <v>2</v>
      </c>
      <c r="B7" s="47">
        <v>28</v>
      </c>
      <c r="C7" s="39">
        <f>IF(B$2=0,0,B7/B$2)</f>
        <v>0.3888888888888889</v>
      </c>
      <c r="E7" s="63" t="s">
        <v>69</v>
      </c>
      <c r="F7" s="60" t="s">
        <v>12</v>
      </c>
      <c r="G7" s="47">
        <v>55</v>
      </c>
      <c r="H7" s="133">
        <f>IF(B$17=0,0,G7/B$17)</f>
        <v>0.31791907514450868</v>
      </c>
      <c r="I7" s="94">
        <v>7</v>
      </c>
      <c r="K7" s="38">
        <v>5</v>
      </c>
      <c r="L7" s="99">
        <v>35.4</v>
      </c>
      <c r="N7" s="116" t="s">
        <v>137</v>
      </c>
      <c r="O7" s="123">
        <f t="shared" si="0"/>
        <v>440.90909090909093</v>
      </c>
      <c r="P7" s="120">
        <v>44</v>
      </c>
      <c r="Q7" s="104">
        <v>19400</v>
      </c>
    </row>
    <row r="8" spans="1:17" x14ac:dyDescent="0.4">
      <c r="A8" s="55" t="s">
        <v>3</v>
      </c>
      <c r="B8" s="47">
        <v>23</v>
      </c>
      <c r="C8" s="39">
        <f>IF(B$2=0,0,B8/B$2)</f>
        <v>0.31944444444444442</v>
      </c>
      <c r="E8" s="63" t="s">
        <v>70</v>
      </c>
      <c r="F8" s="60" t="s">
        <v>25</v>
      </c>
      <c r="G8" s="47">
        <v>29</v>
      </c>
      <c r="H8" s="133">
        <f>IF(B$17=0,0,G8/B$17)</f>
        <v>0.16763005780346821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21</v>
      </c>
      <c r="C9" s="40">
        <f t="shared" ref="C9" si="1">IF(B$2=0,0,B9/B$2)</f>
        <v>0.29166666666666669</v>
      </c>
      <c r="E9" s="63" t="s">
        <v>66</v>
      </c>
      <c r="F9" s="60" t="s">
        <v>22</v>
      </c>
      <c r="G9" s="47">
        <v>21</v>
      </c>
      <c r="H9" s="133">
        <f>IF(B$17=0,0,G9/B$17)</f>
        <v>0.12138728323699421</v>
      </c>
      <c r="I9" s="94">
        <v>4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10</v>
      </c>
      <c r="C10" s="40">
        <f>IF(B$2=0,0,B10/B$2)</f>
        <v>0.1388888888888889</v>
      </c>
      <c r="E10" s="63" t="s">
        <v>90</v>
      </c>
      <c r="F10" s="60" t="s">
        <v>45</v>
      </c>
      <c r="G10" s="47">
        <v>20</v>
      </c>
      <c r="H10" s="133">
        <f>IF(B$17=0,0,G10/B$17)</f>
        <v>0.11560693641618497</v>
      </c>
      <c r="I10" s="94">
        <v>9</v>
      </c>
      <c r="K10" s="38">
        <v>8</v>
      </c>
      <c r="L10" s="99">
        <v>-87.1</v>
      </c>
      <c r="N10" s="114" t="s">
        <v>164</v>
      </c>
      <c r="O10" s="124">
        <f>IF(P10=0,0,Q10/P10)</f>
        <v>1.8043478260869559</v>
      </c>
      <c r="P10" s="118">
        <v>23</v>
      </c>
      <c r="Q10" s="106">
        <v>41.499999999999986</v>
      </c>
    </row>
    <row r="11" spans="1:17" x14ac:dyDescent="0.4">
      <c r="A11" s="56" t="s">
        <v>140</v>
      </c>
      <c r="B11" s="48">
        <v>10</v>
      </c>
      <c r="C11" s="40">
        <f>IF(B$2=0,0,B11/B$2)</f>
        <v>0.1388888888888889</v>
      </c>
      <c r="E11" s="63" t="s">
        <v>71</v>
      </c>
      <c r="F11" s="60" t="s">
        <v>26</v>
      </c>
      <c r="G11" s="47">
        <v>12</v>
      </c>
      <c r="H11" s="133">
        <f>IF(B$17=0,0,G11/B$17)</f>
        <v>6.9364161849710976E-2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10.184615384615386</v>
      </c>
      <c r="P11" s="119">
        <v>26</v>
      </c>
      <c r="Q11" s="107">
        <v>264.8</v>
      </c>
    </row>
    <row r="12" spans="1:17" x14ac:dyDescent="0.4">
      <c r="A12" s="57" t="s">
        <v>160</v>
      </c>
      <c r="B12" s="49">
        <v>5</v>
      </c>
      <c r="C12" s="42">
        <f>IF(B$2=0,0,B12/B$2)</f>
        <v>6.9444444444444448E-2</v>
      </c>
      <c r="E12" s="63" t="s">
        <v>72</v>
      </c>
      <c r="F12" s="60" t="s">
        <v>27</v>
      </c>
      <c r="G12" s="47">
        <v>10</v>
      </c>
      <c r="H12" s="133">
        <f>IF(B$17=0,0,G12/B$17)</f>
        <v>5.7803468208092484E-2</v>
      </c>
      <c r="I12" s="94">
        <v>9</v>
      </c>
      <c r="K12" s="38">
        <v>10</v>
      </c>
      <c r="L12" s="99">
        <v>-183.7</v>
      </c>
      <c r="N12" s="116" t="s">
        <v>166</v>
      </c>
      <c r="O12" s="126">
        <f>IF(P12=0,0,Q12/P12)</f>
        <v>-7.3913043478261303E-2</v>
      </c>
      <c r="P12" s="120">
        <v>23</v>
      </c>
      <c r="Q12" s="108">
        <v>-1.7000000000000099</v>
      </c>
    </row>
    <row r="13" spans="1:17" x14ac:dyDescent="0.4">
      <c r="A13" s="58" t="s">
        <v>122</v>
      </c>
      <c r="B13" s="50">
        <v>171</v>
      </c>
      <c r="C13" s="44">
        <f>IF(B$3=0,0,B13/B$3)</f>
        <v>0.29131175468483816</v>
      </c>
      <c r="E13" s="63" t="s">
        <v>87</v>
      </c>
      <c r="F13" s="60" t="s">
        <v>42</v>
      </c>
      <c r="G13" s="47">
        <v>9</v>
      </c>
      <c r="H13" s="133">
        <f>IF(B$17=0,0,G13/B$17)</f>
        <v>5.2023121387283239E-2</v>
      </c>
      <c r="I13" s="94">
        <v>6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109</v>
      </c>
      <c r="C14" s="39">
        <f>IF(B$3=0,0,B14/B$3)</f>
        <v>0.18568994889267462</v>
      </c>
      <c r="E14" s="63" t="s">
        <v>84</v>
      </c>
      <c r="F14" s="60" t="s">
        <v>39</v>
      </c>
      <c r="G14" s="47">
        <v>7</v>
      </c>
      <c r="H14" s="133">
        <f>IF(B$17=0,0,G14/B$17)</f>
        <v>4.046242774566474E-2</v>
      </c>
      <c r="I14" s="94">
        <v>7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109</v>
      </c>
      <c r="C15" s="37">
        <f>IF(B$13=0,0,B15/B$13)</f>
        <v>0.63742690058479534</v>
      </c>
      <c r="E15" s="63" t="s">
        <v>79</v>
      </c>
      <c r="F15" s="60" t="s">
        <v>34</v>
      </c>
      <c r="G15" s="47">
        <v>6</v>
      </c>
      <c r="H15" s="133">
        <f>IF(B$17=0,0,G15/B$17)</f>
        <v>3.4682080924855488E-2</v>
      </c>
      <c r="I15" s="94">
        <v>5</v>
      </c>
      <c r="K15" s="38">
        <v>13</v>
      </c>
      <c r="L15" s="99">
        <v>-209.59999999999997</v>
      </c>
      <c r="N15" s="114" t="s">
        <v>171</v>
      </c>
      <c r="O15" s="124">
        <f>IF(P15=0,0,Q15/P15)</f>
        <v>44.647368421052633</v>
      </c>
      <c r="P15" s="118">
        <v>19</v>
      </c>
      <c r="Q15" s="106">
        <v>848.30000000000007</v>
      </c>
    </row>
    <row r="16" spans="1:17" x14ac:dyDescent="0.4">
      <c r="A16" s="54" t="s">
        <v>125</v>
      </c>
      <c r="B16" s="46">
        <v>37</v>
      </c>
      <c r="C16" s="37">
        <f>IF(B$14=0,0,B16/B$14)</f>
        <v>0.33944954128440369</v>
      </c>
      <c r="E16" s="63" t="s">
        <v>82</v>
      </c>
      <c r="F16" s="60" t="s">
        <v>37</v>
      </c>
      <c r="G16" s="47">
        <v>6</v>
      </c>
      <c r="H16" s="133">
        <f>IF(B$17=0,0,G16/B$17)</f>
        <v>3.4682080924855488E-2</v>
      </c>
      <c r="I16" s="94">
        <v>4</v>
      </c>
      <c r="K16" s="38">
        <v>14</v>
      </c>
      <c r="L16" s="99">
        <v>-178.49999999999997</v>
      </c>
      <c r="N16" s="115" t="s">
        <v>200</v>
      </c>
      <c r="O16" s="125">
        <f>IF(P16=0,0,Q16/P16)</f>
        <v>32.625</v>
      </c>
      <c r="P16" s="119">
        <v>4</v>
      </c>
      <c r="Q16" s="107">
        <v>130.5</v>
      </c>
    </row>
    <row r="17" spans="1:17" x14ac:dyDescent="0.4">
      <c r="A17" s="54" t="s">
        <v>10</v>
      </c>
      <c r="B17" s="46">
        <f>B19+B18</f>
        <v>173</v>
      </c>
      <c r="C17" s="37">
        <f>IF(B$3=0,0,B17/B$3)</f>
        <v>0.29471890971039183</v>
      </c>
      <c r="E17" s="63" t="s">
        <v>92</v>
      </c>
      <c r="F17" s="60" t="s">
        <v>47</v>
      </c>
      <c r="G17" s="47">
        <v>5</v>
      </c>
      <c r="H17" s="133">
        <f>IF(B$17=0,0,G17/B$17)</f>
        <v>2.8901734104046242E-2</v>
      </c>
      <c r="I17" s="94">
        <v>1</v>
      </c>
      <c r="K17" s="38">
        <v>15</v>
      </c>
      <c r="L17" s="99">
        <v>-146.19999999999999</v>
      </c>
      <c r="N17" s="115" t="s">
        <v>173</v>
      </c>
      <c r="O17" s="125">
        <f>IF(P17=0,0,Q17/P17)</f>
        <v>22.275000000000002</v>
      </c>
      <c r="P17" s="119">
        <v>8</v>
      </c>
      <c r="Q17" s="107">
        <v>178.20000000000002</v>
      </c>
    </row>
    <row r="18" spans="1:17" x14ac:dyDescent="0.4">
      <c r="A18" s="55" t="s">
        <v>12</v>
      </c>
      <c r="B18" s="47">
        <v>77</v>
      </c>
      <c r="C18" s="39">
        <f>IF(B$17=0,0,B18/B$17)</f>
        <v>0.44508670520231214</v>
      </c>
      <c r="E18" s="63" t="s">
        <v>80</v>
      </c>
      <c r="F18" s="60" t="s">
        <v>35</v>
      </c>
      <c r="G18" s="47">
        <v>3</v>
      </c>
      <c r="H18" s="133">
        <f>IF(B$17=0,0,G18/B$17)</f>
        <v>1.7341040462427744E-2</v>
      </c>
      <c r="I18" s="94">
        <v>5</v>
      </c>
      <c r="K18" s="38">
        <v>16</v>
      </c>
      <c r="L18" s="99">
        <v>-153.29999999999998</v>
      </c>
      <c r="N18" s="115" t="s">
        <v>128</v>
      </c>
      <c r="O18" s="125">
        <f>IF(P18=0,0,Q18/P18)</f>
        <v>8.5074074074074097</v>
      </c>
      <c r="P18" s="119">
        <v>27</v>
      </c>
      <c r="Q18" s="107">
        <v>229.70000000000005</v>
      </c>
    </row>
    <row r="19" spans="1:17" x14ac:dyDescent="0.4">
      <c r="A19" s="55" t="s">
        <v>11</v>
      </c>
      <c r="B19" s="47">
        <v>96</v>
      </c>
      <c r="C19" s="39">
        <f>IF(B$17=0,0,B19/B$17)</f>
        <v>0.55491329479768781</v>
      </c>
      <c r="E19" s="63" t="s">
        <v>86</v>
      </c>
      <c r="F19" s="60" t="s">
        <v>41</v>
      </c>
      <c r="G19" s="47">
        <v>3</v>
      </c>
      <c r="H19" s="133">
        <f>IF(B$17=0,0,G19/B$17)</f>
        <v>1.7341040462427744E-2</v>
      </c>
      <c r="I19" s="94">
        <v>1</v>
      </c>
      <c r="K19" s="38">
        <v>17</v>
      </c>
      <c r="L19" s="99">
        <v>-161.19999999999999</v>
      </c>
      <c r="N19" s="115" t="s">
        <v>129</v>
      </c>
      <c r="O19" s="125">
        <f>IF(P19=0,0,Q19/P19)</f>
        <v>6.9208333333333334</v>
      </c>
      <c r="P19" s="119">
        <v>24</v>
      </c>
      <c r="Q19" s="107">
        <v>166.1</v>
      </c>
    </row>
    <row r="20" spans="1:17" x14ac:dyDescent="0.4">
      <c r="A20" s="55" t="s">
        <v>13</v>
      </c>
      <c r="B20" s="47">
        <v>88</v>
      </c>
      <c r="C20" s="39">
        <f>IF(B$3=0,0,B20/B$3)</f>
        <v>0.14991482112436116</v>
      </c>
      <c r="E20" s="63" t="s">
        <v>76</v>
      </c>
      <c r="F20" s="60" t="s">
        <v>31</v>
      </c>
      <c r="G20" s="47">
        <v>2</v>
      </c>
      <c r="H20" s="133">
        <f>IF(B$17=0,0,G20/B$17)</f>
        <v>1.1560693641618497E-2</v>
      </c>
      <c r="I20" s="94">
        <v>3</v>
      </c>
      <c r="K20" s="38">
        <v>18</v>
      </c>
      <c r="L20" s="99">
        <v>-159</v>
      </c>
      <c r="N20" s="115" t="s">
        <v>184</v>
      </c>
      <c r="O20" s="125">
        <f>IF(P20=0,0,Q20/P20)</f>
        <v>4.8666666666666698</v>
      </c>
      <c r="P20" s="119">
        <v>6</v>
      </c>
      <c r="Q20" s="107">
        <v>29.200000000000017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91</v>
      </c>
      <c r="F21" s="60" t="s">
        <v>46</v>
      </c>
      <c r="G21" s="47">
        <v>2</v>
      </c>
      <c r="H21" s="133">
        <f>IF(B$17=0,0,G21/B$17)</f>
        <v>1.1560693641618497E-2</v>
      </c>
      <c r="I21" s="94">
        <v>1</v>
      </c>
      <c r="K21" s="38">
        <v>19</v>
      </c>
      <c r="L21" s="99">
        <v>-235.6</v>
      </c>
      <c r="N21" s="115" t="s">
        <v>172</v>
      </c>
      <c r="O21" s="125">
        <f>IF(P21=0,0,Q21/P21)</f>
        <v>2.4363636363636338</v>
      </c>
      <c r="P21" s="119">
        <v>22</v>
      </c>
      <c r="Q21" s="107">
        <v>53.599999999999945</v>
      </c>
    </row>
    <row r="22" spans="1:17" x14ac:dyDescent="0.4">
      <c r="A22" s="55" t="s">
        <v>192</v>
      </c>
      <c r="B22" s="47">
        <v>45</v>
      </c>
      <c r="C22" s="135">
        <v>4</v>
      </c>
      <c r="E22" s="63" t="s">
        <v>75</v>
      </c>
      <c r="F22" s="60" t="s">
        <v>30</v>
      </c>
      <c r="G22" s="47">
        <v>1</v>
      </c>
      <c r="H22" s="133">
        <f>IF(B$17=0,0,G22/B$17)</f>
        <v>5.7803468208092483E-3</v>
      </c>
      <c r="I22" s="94">
        <v>4</v>
      </c>
      <c r="K22" s="38">
        <v>20</v>
      </c>
      <c r="L22" s="99">
        <v>-200.8</v>
      </c>
      <c r="N22" s="115" t="s">
        <v>127</v>
      </c>
      <c r="O22" s="125">
        <f>IF(P22=0,0,Q22/P22)</f>
        <v>-18.861290322580651</v>
      </c>
      <c r="P22" s="119">
        <v>31</v>
      </c>
      <c r="Q22" s="107">
        <v>-584.70000000000016</v>
      </c>
    </row>
    <row r="23" spans="1:17" x14ac:dyDescent="0.4">
      <c r="A23" s="55" t="s">
        <v>5</v>
      </c>
      <c r="B23" s="51">
        <f>IF(B$17=0,0,C23/B$17)</f>
        <v>8984.9710982658962</v>
      </c>
      <c r="C23" s="41">
        <v>1554400</v>
      </c>
      <c r="E23" s="63" t="s">
        <v>93</v>
      </c>
      <c r="F23" s="60" t="s">
        <v>48</v>
      </c>
      <c r="G23" s="47">
        <v>1</v>
      </c>
      <c r="H23" s="133">
        <f>IF(B$17=0,0,G23/B$17)</f>
        <v>5.7803468208092483E-3</v>
      </c>
      <c r="I23" s="94">
        <v>3</v>
      </c>
      <c r="K23" s="38">
        <v>21</v>
      </c>
      <c r="L23" s="99">
        <v>-188.60000000000002</v>
      </c>
      <c r="N23" s="115" t="s">
        <v>183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-7112.5</v>
      </c>
      <c r="C24" s="45">
        <v>-625900</v>
      </c>
      <c r="E24" s="63" t="s">
        <v>94</v>
      </c>
      <c r="F24" s="60" t="s">
        <v>49</v>
      </c>
      <c r="G24" s="47">
        <v>1</v>
      </c>
      <c r="H24" s="133">
        <f>IF(B$17=0,0,G24/B$17)</f>
        <v>5.7803468208092483E-3</v>
      </c>
      <c r="I24" s="94">
        <v>2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4">
        <v>8</v>
      </c>
      <c r="C25" s="145"/>
      <c r="E25" s="63" t="s">
        <v>102</v>
      </c>
      <c r="F25" s="60" t="s">
        <v>57</v>
      </c>
      <c r="G25" s="47">
        <v>1</v>
      </c>
      <c r="H25" s="133">
        <f>IF(B$17=0,0,G25/B$17)</f>
        <v>5.7803468208092483E-3</v>
      </c>
      <c r="I25" s="94">
        <v>1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2">
        <v>103000</v>
      </c>
      <c r="C26" s="143"/>
      <c r="E26" s="63" t="s">
        <v>74</v>
      </c>
      <c r="F26" s="60" t="s">
        <v>29</v>
      </c>
      <c r="G26" s="47">
        <v>0</v>
      </c>
      <c r="H26" s="133">
        <f>IF(B$17=0,0,G26/B$17)</f>
        <v>0</v>
      </c>
      <c r="I26" s="94">
        <v>8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5.1107325383304937E-3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-151.5</v>
      </c>
    </row>
    <row r="28" spans="1:17" x14ac:dyDescent="0.4">
      <c r="E28" s="63" t="s">
        <v>78</v>
      </c>
      <c r="F28" s="60" t="s">
        <v>33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-115.1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7.2000000000000028</v>
      </c>
    </row>
    <row r="31" spans="1:17" x14ac:dyDescent="0.4">
      <c r="E31" s="63" t="s">
        <v>85</v>
      </c>
      <c r="F31" s="60" t="s">
        <v>40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-49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-99.6</v>
      </c>
    </row>
    <row r="33" spans="5:12" x14ac:dyDescent="0.4">
      <c r="E33" s="63" t="s">
        <v>89</v>
      </c>
      <c r="F33" s="60" t="s">
        <v>44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6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359.4</v>
      </c>
    </row>
    <row r="63" spans="5:12" x14ac:dyDescent="0.4">
      <c r="K63" s="38">
        <v>61</v>
      </c>
      <c r="L63" s="99">
        <v>347.5</v>
      </c>
    </row>
    <row r="64" spans="5:12" x14ac:dyDescent="0.4">
      <c r="K64" s="38">
        <v>62</v>
      </c>
      <c r="L64" s="99">
        <v>345.6</v>
      </c>
    </row>
    <row r="65" spans="11:12" x14ac:dyDescent="0.4">
      <c r="K65" s="38">
        <v>63</v>
      </c>
      <c r="L65" s="99">
        <v>287.60000000000002</v>
      </c>
    </row>
    <row r="66" spans="11:12" x14ac:dyDescent="0.4">
      <c r="K66" s="38">
        <v>64</v>
      </c>
      <c r="L66" s="99">
        <v>323.60000000000002</v>
      </c>
    </row>
    <row r="67" spans="11:12" x14ac:dyDescent="0.4">
      <c r="K67" s="38">
        <v>65</v>
      </c>
      <c r="L67" s="99">
        <v>328.6</v>
      </c>
    </row>
    <row r="68" spans="11:12" x14ac:dyDescent="0.4">
      <c r="K68" s="38">
        <v>66</v>
      </c>
      <c r="L68" s="99">
        <v>307</v>
      </c>
    </row>
    <row r="69" spans="11:12" x14ac:dyDescent="0.4">
      <c r="K69" s="38">
        <v>67</v>
      </c>
      <c r="L69" s="99">
        <v>274.10000000000002</v>
      </c>
    </row>
    <row r="70" spans="11:12" x14ac:dyDescent="0.4">
      <c r="K70" s="38">
        <v>68</v>
      </c>
      <c r="L70" s="99">
        <v>285.40000000000003</v>
      </c>
    </row>
    <row r="71" spans="11:12" x14ac:dyDescent="0.4">
      <c r="K71" s="38">
        <v>69</v>
      </c>
      <c r="L71" s="99">
        <v>330.40000000000003</v>
      </c>
    </row>
    <row r="72" spans="11:12" x14ac:dyDescent="0.4">
      <c r="K72" s="38">
        <v>70</v>
      </c>
      <c r="L72" s="99">
        <v>382.50000000000006</v>
      </c>
    </row>
    <row r="73" spans="11:12" x14ac:dyDescent="0.4">
      <c r="K73" s="38">
        <v>71</v>
      </c>
      <c r="L73" s="99">
        <v>350.40000000000003</v>
      </c>
    </row>
    <row r="74" spans="11:12" x14ac:dyDescent="0.4">
      <c r="K74" s="38">
        <v>72</v>
      </c>
      <c r="L74" s="99">
        <v>304.60000000000002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2CD0D-BFEC-4757-B3CA-E6C16BA85A03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4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2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53500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245</v>
      </c>
      <c r="F51" s="137" t="s">
        <v>246</v>
      </c>
      <c r="G51" s="48">
        <v>2</v>
      </c>
      <c r="H51" s="138">
        <f>IF(B$17=0,0,G51/B$17)</f>
        <v>0.4</v>
      </c>
      <c r="I51" s="139">
        <v>7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D3DEC-A330-4466-B0BD-9FE23F305027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18</v>
      </c>
      <c r="C2" s="151"/>
      <c r="E2" s="62" t="s">
        <v>65</v>
      </c>
      <c r="F2" s="59" t="s">
        <v>21</v>
      </c>
      <c r="G2" s="46">
        <v>22</v>
      </c>
      <c r="H2" s="132">
        <f>IF(B$17=0,0,G2/B$17)</f>
        <v>0.52380952380952384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-1016.6666666666666</v>
      </c>
      <c r="P2" s="118">
        <v>18</v>
      </c>
      <c r="Q2" s="102">
        <v>-18300</v>
      </c>
    </row>
    <row r="3" spans="1:17" x14ac:dyDescent="0.4">
      <c r="A3" s="55" t="s">
        <v>8</v>
      </c>
      <c r="B3" s="152">
        <v>147</v>
      </c>
      <c r="C3" s="153"/>
      <c r="E3" s="63" t="s">
        <v>66</v>
      </c>
      <c r="F3" s="60" t="s">
        <v>22</v>
      </c>
      <c r="G3" s="47">
        <v>1</v>
      </c>
      <c r="H3" s="133">
        <f>IF(B$17=0,0,G3/B$17)</f>
        <v>2.3809523809523808E-2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-1044.4444444444443</v>
      </c>
      <c r="P3" s="119">
        <v>18</v>
      </c>
      <c r="Q3" s="103">
        <v>-18800</v>
      </c>
    </row>
    <row r="4" spans="1:17" x14ac:dyDescent="0.4">
      <c r="A4" s="55" t="s">
        <v>6</v>
      </c>
      <c r="B4" s="154">
        <v>-126.5</v>
      </c>
      <c r="C4" s="155"/>
      <c r="E4" s="63" t="s">
        <v>67</v>
      </c>
      <c r="F4" s="60" t="s">
        <v>23</v>
      </c>
      <c r="G4" s="47">
        <v>39</v>
      </c>
      <c r="H4" s="133">
        <f>IF(B$17=0,0,G4/B$17)</f>
        <v>0.9285714285714286</v>
      </c>
      <c r="I4" s="94">
        <v>2</v>
      </c>
      <c r="K4" s="38">
        <v>2</v>
      </c>
      <c r="L4" s="99">
        <v>-76.2</v>
      </c>
      <c r="N4" s="115" t="s">
        <v>134</v>
      </c>
      <c r="O4" s="122">
        <f t="shared" si="0"/>
        <v>152.94117647058823</v>
      </c>
      <c r="P4" s="119">
        <v>17</v>
      </c>
      <c r="Q4" s="103">
        <v>2600</v>
      </c>
    </row>
    <row r="5" spans="1:17" x14ac:dyDescent="0.4">
      <c r="A5" s="55" t="s">
        <v>7</v>
      </c>
      <c r="B5" s="156">
        <f>IF(B$2=0,0,B$4/B$2)</f>
        <v>-7.0277777777777777</v>
      </c>
      <c r="C5" s="157"/>
      <c r="E5" s="63" t="s">
        <v>68</v>
      </c>
      <c r="F5" s="60" t="s">
        <v>24</v>
      </c>
      <c r="G5" s="47">
        <v>11</v>
      </c>
      <c r="H5" s="133">
        <f>IF(B$17=0,0,G5/B$17)</f>
        <v>0.26190476190476192</v>
      </c>
      <c r="I5" s="94">
        <v>11</v>
      </c>
      <c r="K5" s="38">
        <v>3</v>
      </c>
      <c r="L5" s="99">
        <v>-78.400000000000006</v>
      </c>
      <c r="N5" s="115" t="s">
        <v>135</v>
      </c>
      <c r="O5" s="122">
        <f t="shared" si="0"/>
        <v>-4237.5</v>
      </c>
      <c r="P5" s="119">
        <v>16</v>
      </c>
      <c r="Q5" s="103">
        <v>-67800</v>
      </c>
    </row>
    <row r="6" spans="1:17" x14ac:dyDescent="0.4">
      <c r="A6" s="55" t="s">
        <v>1</v>
      </c>
      <c r="B6" s="146">
        <f>IF(B$2=0,0,(B$7*1+B$8*2+B$9*3)/B$2)</f>
        <v>2.1111111111111112</v>
      </c>
      <c r="C6" s="147"/>
      <c r="E6" s="63" t="s">
        <v>69</v>
      </c>
      <c r="F6" s="60" t="s">
        <v>12</v>
      </c>
      <c r="G6" s="47">
        <v>13</v>
      </c>
      <c r="H6" s="133">
        <f>IF(B$17=0,0,G6/B$17)</f>
        <v>0.30952380952380953</v>
      </c>
      <c r="I6" s="94">
        <v>9</v>
      </c>
      <c r="K6" s="38">
        <v>4</v>
      </c>
      <c r="L6" s="99">
        <v>-49.800000000000004</v>
      </c>
      <c r="N6" s="115" t="s">
        <v>136</v>
      </c>
      <c r="O6" s="122">
        <f t="shared" si="0"/>
        <v>-243.75</v>
      </c>
      <c r="P6" s="119">
        <v>16</v>
      </c>
      <c r="Q6" s="103">
        <v>-3900</v>
      </c>
    </row>
    <row r="7" spans="1:17" x14ac:dyDescent="0.4">
      <c r="A7" s="55" t="s">
        <v>2</v>
      </c>
      <c r="B7" s="47">
        <v>7</v>
      </c>
      <c r="C7" s="39">
        <f>IF(B$2=0,0,B7/B$2)</f>
        <v>0.3888888888888889</v>
      </c>
      <c r="E7" s="63" t="s">
        <v>70</v>
      </c>
      <c r="F7" s="60" t="s">
        <v>25</v>
      </c>
      <c r="G7" s="47">
        <v>8</v>
      </c>
      <c r="H7" s="133">
        <f>IF(B$17=0,0,G7/B$17)</f>
        <v>0.19047619047619047</v>
      </c>
      <c r="I7" s="94">
        <v>5</v>
      </c>
      <c r="K7" s="38">
        <v>5</v>
      </c>
      <c r="L7" s="99">
        <v>-121</v>
      </c>
      <c r="N7" s="116" t="s">
        <v>137</v>
      </c>
      <c r="O7" s="123">
        <f t="shared" si="0"/>
        <v>-3330.7692307692309</v>
      </c>
      <c r="P7" s="120">
        <v>13</v>
      </c>
      <c r="Q7" s="104">
        <v>-43300</v>
      </c>
    </row>
    <row r="8" spans="1:17" x14ac:dyDescent="0.4">
      <c r="A8" s="55" t="s">
        <v>3</v>
      </c>
      <c r="B8" s="47">
        <v>2</v>
      </c>
      <c r="C8" s="39">
        <f>IF(B$2=0,0,B8/B$2)</f>
        <v>0.1111111111111111</v>
      </c>
      <c r="E8" s="63" t="s">
        <v>71</v>
      </c>
      <c r="F8" s="60" t="s">
        <v>26</v>
      </c>
      <c r="G8" s="47">
        <v>7</v>
      </c>
      <c r="H8" s="133">
        <f>IF(B$17=0,0,G8/B$17)</f>
        <v>0.16666666666666666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3</v>
      </c>
      <c r="H9" s="133">
        <f>IF(B$17=0,0,G9/B$17)</f>
        <v>7.1428571428571425E-2</v>
      </c>
      <c r="I9" s="94">
        <v>4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0.22222222222222221</v>
      </c>
      <c r="E10" s="63" t="s">
        <v>73</v>
      </c>
      <c r="F10" s="60" t="s">
        <v>28</v>
      </c>
      <c r="G10" s="47">
        <v>23</v>
      </c>
      <c r="H10" s="133">
        <f>IF(B$17=0,0,G10/B$17)</f>
        <v>0.54761904761904767</v>
      </c>
      <c r="I10" s="94">
        <v>6</v>
      </c>
      <c r="K10" s="38">
        <v>8</v>
      </c>
      <c r="L10" s="99">
        <v>-170.5</v>
      </c>
      <c r="N10" s="114" t="s">
        <v>164</v>
      </c>
      <c r="O10" s="124">
        <f>IF(P10=0,0,Q10/P10)</f>
        <v>-20.099999999999998</v>
      </c>
      <c r="P10" s="118">
        <v>7</v>
      </c>
      <c r="Q10" s="106">
        <v>-140.69999999999999</v>
      </c>
    </row>
    <row r="11" spans="1:17" x14ac:dyDescent="0.4">
      <c r="A11" s="56" t="s">
        <v>140</v>
      </c>
      <c r="B11" s="48">
        <v>1</v>
      </c>
      <c r="C11" s="40">
        <f>IF(B$2=0,0,B11/B$2)</f>
        <v>5.5555555555555552E-2</v>
      </c>
      <c r="E11" s="63" t="s">
        <v>74</v>
      </c>
      <c r="F11" s="60" t="s">
        <v>29</v>
      </c>
      <c r="G11" s="47">
        <v>1</v>
      </c>
      <c r="H11" s="133">
        <f>IF(B$17=0,0,G11/B$17)</f>
        <v>2.3809523809523808E-2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-11.75</v>
      </c>
      <c r="P11" s="119">
        <v>6</v>
      </c>
      <c r="Q11" s="107">
        <v>-70.5</v>
      </c>
    </row>
    <row r="12" spans="1:17" x14ac:dyDescent="0.4">
      <c r="A12" s="57" t="s">
        <v>160</v>
      </c>
      <c r="B12" s="49">
        <v>2</v>
      </c>
      <c r="C12" s="42">
        <f>IF(B$2=0,0,B12/B$2)</f>
        <v>0.1111111111111111</v>
      </c>
      <c r="E12" s="63" t="s">
        <v>75</v>
      </c>
      <c r="F12" s="60" t="s">
        <v>30</v>
      </c>
      <c r="G12" s="47">
        <v>1</v>
      </c>
      <c r="H12" s="133">
        <f>IF(B$17=0,0,G12/B$17)</f>
        <v>2.3809523809523808E-2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16.940000000000001</v>
      </c>
      <c r="P12" s="120">
        <v>5</v>
      </c>
      <c r="Q12" s="108">
        <v>84.7</v>
      </c>
    </row>
    <row r="13" spans="1:17" x14ac:dyDescent="0.4">
      <c r="A13" s="58" t="s">
        <v>122</v>
      </c>
      <c r="B13" s="50">
        <v>36</v>
      </c>
      <c r="C13" s="44">
        <f>IF(B$3=0,0,B13/B$3)</f>
        <v>0.24489795918367346</v>
      </c>
      <c r="E13" s="63" t="s">
        <v>76</v>
      </c>
      <c r="F13" s="60" t="s">
        <v>31</v>
      </c>
      <c r="G13" s="47">
        <v>1</v>
      </c>
      <c r="H13" s="133">
        <f>IF(B$17=0,0,G13/B$17)</f>
        <v>2.3809523809523808E-2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33</v>
      </c>
      <c r="C14" s="39">
        <f>IF(B$3=0,0,B14/B$3)</f>
        <v>0.22448979591836735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23</v>
      </c>
      <c r="C15" s="37">
        <f>IF(B$13=0,0,B15/B$13)</f>
        <v>0.63888888888888884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-144.79999999999998</v>
      </c>
      <c r="N15" s="114" t="s">
        <v>173</v>
      </c>
      <c r="O15" s="124">
        <f t="shared" ref="O15:O22" si="2">IF(P15=0,0,Q15/P15)</f>
        <v>159</v>
      </c>
      <c r="P15" s="118">
        <v>1</v>
      </c>
      <c r="Q15" s="106">
        <v>159</v>
      </c>
    </row>
    <row r="16" spans="1:17" x14ac:dyDescent="0.4">
      <c r="A16" s="54" t="s">
        <v>125</v>
      </c>
      <c r="B16" s="46">
        <v>14</v>
      </c>
      <c r="C16" s="37">
        <f>IF(B$14=0,0,B16/B$14)</f>
        <v>0.42424242424242425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K16" s="38">
        <v>14</v>
      </c>
      <c r="L16" s="99">
        <v>-138.69999999999999</v>
      </c>
      <c r="N16" s="115" t="s">
        <v>129</v>
      </c>
      <c r="O16" s="125">
        <f t="shared" si="2"/>
        <v>24.440000000000005</v>
      </c>
      <c r="P16" s="119">
        <v>5</v>
      </c>
      <c r="Q16" s="107">
        <v>122.20000000000002</v>
      </c>
    </row>
    <row r="17" spans="1:17" x14ac:dyDescent="0.4">
      <c r="A17" s="54" t="s">
        <v>10</v>
      </c>
      <c r="B17" s="46">
        <f>B19+B18</f>
        <v>42</v>
      </c>
      <c r="C17" s="37">
        <f>IF(B$3=0,0,B17/B$3)</f>
        <v>0.2857142857142857</v>
      </c>
      <c r="E17" s="63" t="s">
        <v>80</v>
      </c>
      <c r="F17" s="60" t="s">
        <v>35</v>
      </c>
      <c r="G17" s="47">
        <v>2</v>
      </c>
      <c r="H17" s="133">
        <f>IF(B$17=0,0,G17/B$17)</f>
        <v>4.7619047619047616E-2</v>
      </c>
      <c r="I17" s="94">
        <v>1</v>
      </c>
      <c r="K17" s="38">
        <v>15</v>
      </c>
      <c r="L17" s="99">
        <v>-84.399999999999991</v>
      </c>
      <c r="N17" s="115" t="s">
        <v>177</v>
      </c>
      <c r="O17" s="125">
        <f t="shared" si="2"/>
        <v>-4.8666666666666698</v>
      </c>
      <c r="P17" s="119">
        <v>6</v>
      </c>
      <c r="Q17" s="107">
        <v>-29.200000000000017</v>
      </c>
    </row>
    <row r="18" spans="1:17" x14ac:dyDescent="0.4">
      <c r="A18" s="55" t="s">
        <v>12</v>
      </c>
      <c r="B18" s="47">
        <v>20</v>
      </c>
      <c r="C18" s="39">
        <f>IF(B$17=0,0,B18/B$17)</f>
        <v>0.47619047619047616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-139.79999999999998</v>
      </c>
      <c r="N18" s="115" t="s">
        <v>172</v>
      </c>
      <c r="O18" s="125">
        <f t="shared" si="2"/>
        <v>-17.350000000000001</v>
      </c>
      <c r="P18" s="119">
        <v>2</v>
      </c>
      <c r="Q18" s="107">
        <v>-34.700000000000003</v>
      </c>
    </row>
    <row r="19" spans="1:17" x14ac:dyDescent="0.4">
      <c r="A19" s="55" t="s">
        <v>11</v>
      </c>
      <c r="B19" s="47">
        <v>22</v>
      </c>
      <c r="C19" s="39">
        <f>IF(B$17=0,0,B19/B$17)</f>
        <v>0.52380952380952384</v>
      </c>
      <c r="E19" s="63" t="s">
        <v>82</v>
      </c>
      <c r="F19" s="60" t="s">
        <v>37</v>
      </c>
      <c r="G19" s="47">
        <v>1</v>
      </c>
      <c r="H19" s="133">
        <f>IF(B$17=0,0,G19/B$17)</f>
        <v>2.3809523809523808E-2</v>
      </c>
      <c r="I19" s="94">
        <v>8</v>
      </c>
      <c r="K19" s="38">
        <v>17</v>
      </c>
      <c r="L19" s="99">
        <v>-203.5</v>
      </c>
      <c r="N19" s="115" t="s">
        <v>127</v>
      </c>
      <c r="O19" s="125">
        <f t="shared" si="2"/>
        <v>-22.991666666666671</v>
      </c>
      <c r="P19" s="119">
        <v>12</v>
      </c>
      <c r="Q19" s="107">
        <v>-275.90000000000003</v>
      </c>
    </row>
    <row r="20" spans="1:17" x14ac:dyDescent="0.4">
      <c r="A20" s="55" t="s">
        <v>13</v>
      </c>
      <c r="B20" s="47">
        <v>34</v>
      </c>
      <c r="C20" s="39">
        <f>IF(B$3=0,0,B20/B$3)</f>
        <v>0.23129251700680273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-126.5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191</v>
      </c>
      <c r="B21" s="47">
        <v>5</v>
      </c>
      <c r="C21" s="135">
        <v>5</v>
      </c>
      <c r="E21" s="63" t="s">
        <v>84</v>
      </c>
      <c r="F21" s="60" t="s">
        <v>39</v>
      </c>
      <c r="G21" s="47">
        <v>5</v>
      </c>
      <c r="H21" s="133">
        <f>IF(B$17=0,0,G21/B$17)</f>
        <v>0.11904761904761904</v>
      </c>
      <c r="I21" s="94">
        <v>2</v>
      </c>
      <c r="N21" s="115" t="s">
        <v>128</v>
      </c>
      <c r="O21" s="125">
        <f t="shared" si="2"/>
        <v>-28.642857142857142</v>
      </c>
      <c r="P21" s="119">
        <v>7</v>
      </c>
      <c r="Q21" s="107">
        <v>-200.5</v>
      </c>
    </row>
    <row r="22" spans="1:17" x14ac:dyDescent="0.4">
      <c r="A22" s="55" t="s">
        <v>192</v>
      </c>
      <c r="B22" s="47">
        <v>17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N22" s="115" t="s">
        <v>183</v>
      </c>
      <c r="O22" s="125">
        <f t="shared" si="2"/>
        <v>-69.599999999999994</v>
      </c>
      <c r="P22" s="119">
        <v>1</v>
      </c>
      <c r="Q22" s="107">
        <v>-69.599999999999994</v>
      </c>
    </row>
    <row r="23" spans="1:17" x14ac:dyDescent="0.4">
      <c r="A23" s="55" t="s">
        <v>5</v>
      </c>
      <c r="B23" s="51">
        <f>IF(B$17=0,0,C23/B$17)</f>
        <v>8642.8571428571431</v>
      </c>
      <c r="C23" s="41">
        <v>363000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-8376.4705882352937</v>
      </c>
      <c r="C24" s="45">
        <v>-284800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92000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0.11904761904761904</v>
      </c>
      <c r="I27" s="94">
        <v>8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1</v>
      </c>
      <c r="H35" s="133">
        <f>IF(B$17=0,0,G35/B$17)</f>
        <v>2.3809523809523808E-2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245</v>
      </c>
      <c r="F51" s="137" t="s">
        <v>246</v>
      </c>
      <c r="G51" s="48">
        <v>15</v>
      </c>
      <c r="H51" s="138">
        <f>IF(B$17=0,0,G51/B$17)</f>
        <v>0.35714285714285715</v>
      </c>
      <c r="I51" s="139">
        <v>11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6C821-0BF4-4720-A206-B21ED2E22F75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</v>
      </c>
      <c r="C2" s="151"/>
      <c r="E2" s="62" t="s">
        <v>65</v>
      </c>
      <c r="F2" s="59" t="s">
        <v>21</v>
      </c>
      <c r="G2" s="46">
        <v>14</v>
      </c>
      <c r="H2" s="132">
        <f>IF(B$17=0,0,G2/B$17)</f>
        <v>0.48275862068965519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-1966.6666666666667</v>
      </c>
      <c r="P2" s="118">
        <v>9</v>
      </c>
      <c r="Q2" s="102">
        <v>-17700</v>
      </c>
    </row>
    <row r="3" spans="1:17" x14ac:dyDescent="0.4">
      <c r="A3" s="55" t="s">
        <v>8</v>
      </c>
      <c r="B3" s="152">
        <v>85</v>
      </c>
      <c r="C3" s="153"/>
      <c r="E3" s="63" t="s">
        <v>66</v>
      </c>
      <c r="F3" s="60" t="s">
        <v>22</v>
      </c>
      <c r="G3" s="47">
        <v>2</v>
      </c>
      <c r="H3" s="133">
        <f>IF(B$17=0,0,G3/B$17)</f>
        <v>6.8965517241379309E-2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4077.7777777777778</v>
      </c>
      <c r="P3" s="119">
        <v>9</v>
      </c>
      <c r="Q3" s="103">
        <v>36700</v>
      </c>
    </row>
    <row r="4" spans="1:17" x14ac:dyDescent="0.4">
      <c r="A4" s="55" t="s">
        <v>6</v>
      </c>
      <c r="B4" s="154">
        <v>18.099999999999994</v>
      </c>
      <c r="C4" s="155"/>
      <c r="E4" s="63" t="s">
        <v>67</v>
      </c>
      <c r="F4" s="60" t="s">
        <v>23</v>
      </c>
      <c r="G4" s="47">
        <v>16</v>
      </c>
      <c r="H4" s="133">
        <f>IF(B$17=0,0,G4/B$17)</f>
        <v>0.55172413793103448</v>
      </c>
      <c r="I4" s="94">
        <v>13</v>
      </c>
      <c r="K4" s="38">
        <v>2</v>
      </c>
      <c r="L4" s="99">
        <v>-28.1</v>
      </c>
      <c r="N4" s="115" t="s">
        <v>134</v>
      </c>
      <c r="O4" s="122">
        <f t="shared" si="0"/>
        <v>-3733.3333333333335</v>
      </c>
      <c r="P4" s="119">
        <v>9</v>
      </c>
      <c r="Q4" s="103">
        <v>-33600</v>
      </c>
    </row>
    <row r="5" spans="1:17" x14ac:dyDescent="0.4">
      <c r="A5" s="55" t="s">
        <v>7</v>
      </c>
      <c r="B5" s="156">
        <f>IF(B$2=0,0,B$4/B$2)</f>
        <v>2.0111111111111106</v>
      </c>
      <c r="C5" s="157"/>
      <c r="E5" s="63" t="s">
        <v>68</v>
      </c>
      <c r="F5" s="60" t="s">
        <v>24</v>
      </c>
      <c r="G5" s="47">
        <v>9</v>
      </c>
      <c r="H5" s="133">
        <f>IF(B$17=0,0,G5/B$17)</f>
        <v>0.31034482758620691</v>
      </c>
      <c r="I5" s="94">
        <v>8</v>
      </c>
      <c r="K5" s="38">
        <v>3</v>
      </c>
      <c r="L5" s="99">
        <v>-20.400000000000002</v>
      </c>
      <c r="N5" s="115" t="s">
        <v>135</v>
      </c>
      <c r="O5" s="122">
        <f t="shared" si="0"/>
        <v>-1666.6666666666667</v>
      </c>
      <c r="P5" s="119">
        <v>9</v>
      </c>
      <c r="Q5" s="103">
        <v>-15000</v>
      </c>
    </row>
    <row r="6" spans="1:17" x14ac:dyDescent="0.4">
      <c r="A6" s="55" t="s">
        <v>1</v>
      </c>
      <c r="B6" s="146">
        <f>IF(B$2=0,0,(B$7*1+B$8*2+B$9*3)/B$2)</f>
        <v>1.8888888888888888</v>
      </c>
      <c r="C6" s="147"/>
      <c r="E6" s="63" t="s">
        <v>69</v>
      </c>
      <c r="F6" s="60" t="s">
        <v>12</v>
      </c>
      <c r="G6" s="47">
        <v>11</v>
      </c>
      <c r="H6" s="133">
        <f>IF(B$17=0,0,G6/B$17)</f>
        <v>0.37931034482758619</v>
      </c>
      <c r="I6" s="94">
        <v>4</v>
      </c>
      <c r="K6" s="38">
        <v>4</v>
      </c>
      <c r="L6" s="99">
        <v>19.399999999999995</v>
      </c>
      <c r="N6" s="115" t="s">
        <v>136</v>
      </c>
      <c r="O6" s="122">
        <f t="shared" si="0"/>
        <v>1957.1428571428571</v>
      </c>
      <c r="P6" s="119">
        <v>7</v>
      </c>
      <c r="Q6" s="103">
        <v>13700</v>
      </c>
    </row>
    <row r="7" spans="1:17" x14ac:dyDescent="0.4">
      <c r="A7" s="55" t="s">
        <v>2</v>
      </c>
      <c r="B7" s="47">
        <v>2</v>
      </c>
      <c r="C7" s="39">
        <f>IF(B$2=0,0,B7/B$2)</f>
        <v>0.22222222222222221</v>
      </c>
      <c r="E7" s="63" t="s">
        <v>70</v>
      </c>
      <c r="F7" s="60" t="s">
        <v>25</v>
      </c>
      <c r="G7" s="47">
        <v>5</v>
      </c>
      <c r="H7" s="133">
        <f>IF(B$17=0,0,G7/B$17)</f>
        <v>0.17241379310344829</v>
      </c>
      <c r="I7" s="94">
        <v>8</v>
      </c>
      <c r="K7" s="38">
        <v>5</v>
      </c>
      <c r="L7" s="99">
        <v>-16.100000000000005</v>
      </c>
      <c r="N7" s="116" t="s">
        <v>137</v>
      </c>
      <c r="O7" s="123">
        <f t="shared" si="0"/>
        <v>2000</v>
      </c>
      <c r="P7" s="120">
        <v>7</v>
      </c>
      <c r="Q7" s="104">
        <v>14000</v>
      </c>
    </row>
    <row r="8" spans="1:17" x14ac:dyDescent="0.4">
      <c r="A8" s="55" t="s">
        <v>3</v>
      </c>
      <c r="B8" s="47">
        <v>6</v>
      </c>
      <c r="C8" s="39">
        <f>IF(B$2=0,0,B8/B$2)</f>
        <v>0.66666666666666663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0.1111111111111111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19</v>
      </c>
      <c r="H10" s="133">
        <f>IF(B$17=0,0,G10/B$17)</f>
        <v>0.65517241379310343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3.4333333333333322</v>
      </c>
      <c r="P10" s="118">
        <v>3</v>
      </c>
      <c r="Q10" s="106">
        <v>10.299999999999997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18.099999999999994</v>
      </c>
      <c r="N11" s="115" t="s">
        <v>165</v>
      </c>
      <c r="O11" s="125">
        <f>IF(P11=0,0,Q11/P11)</f>
        <v>8.1</v>
      </c>
      <c r="P11" s="119">
        <v>2</v>
      </c>
      <c r="Q11" s="107">
        <v>16.2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20</v>
      </c>
      <c r="C13" s="44">
        <f>IF(B$3=0,0,B13/B$3)</f>
        <v>0.23529411764705882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0.29411764705882354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</v>
      </c>
      <c r="C15" s="37">
        <f>IF(B$13=0,0,B15/B$13)</f>
        <v>0.7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12</v>
      </c>
      <c r="C16" s="37">
        <f>IF(B$14=0,0,B16/B$14)</f>
        <v>0.48</v>
      </c>
      <c r="E16" s="63" t="s">
        <v>79</v>
      </c>
      <c r="F16" s="60" t="s">
        <v>34</v>
      </c>
      <c r="G16" s="47">
        <v>2</v>
      </c>
      <c r="H16" s="133">
        <f>IF(B$17=0,0,G16/B$17)</f>
        <v>6.8965517241379309E-2</v>
      </c>
      <c r="I16" s="94">
        <v>2</v>
      </c>
      <c r="N16" s="115" t="s">
        <v>171</v>
      </c>
      <c r="O16" s="125">
        <f t="shared" si="2"/>
        <v>22.524999999999999</v>
      </c>
      <c r="P16" s="119">
        <v>4</v>
      </c>
      <c r="Q16" s="107">
        <v>90.1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0.3411764705882353</v>
      </c>
      <c r="E17" s="63" t="s">
        <v>80</v>
      </c>
      <c r="F17" s="60" t="s">
        <v>35</v>
      </c>
      <c r="G17" s="47">
        <v>1</v>
      </c>
      <c r="H17" s="133">
        <f>IF(B$17=0,0,G17/B$17)</f>
        <v>3.4482758620689655E-2</v>
      </c>
      <c r="I17" s="94">
        <v>2</v>
      </c>
      <c r="N17" s="115" t="s">
        <v>127</v>
      </c>
      <c r="O17" s="125">
        <f t="shared" si="2"/>
        <v>13.45</v>
      </c>
      <c r="P17" s="119">
        <v>2</v>
      </c>
      <c r="Q17" s="107">
        <v>26.9</v>
      </c>
    </row>
    <row r="18" spans="1:17" x14ac:dyDescent="0.4">
      <c r="A18" s="55" t="s">
        <v>12</v>
      </c>
      <c r="B18" s="47">
        <v>17</v>
      </c>
      <c r="C18" s="39">
        <f>IF(B$17=0,0,B18/B$17)</f>
        <v>0.58620689655172409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12</v>
      </c>
      <c r="C19" s="39">
        <f>IF(B$17=0,0,B19/B$17)</f>
        <v>0.41379310344827586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2.7399999999999949</v>
      </c>
      <c r="P19" s="119">
        <v>5</v>
      </c>
      <c r="Q19" s="107">
        <v>13.699999999999974</v>
      </c>
    </row>
    <row r="20" spans="1:17" x14ac:dyDescent="0.4">
      <c r="A20" s="55" t="s">
        <v>13</v>
      </c>
      <c r="B20" s="47">
        <v>14</v>
      </c>
      <c r="C20" s="39">
        <f>IF(B$3=0,0,B20/B$3)</f>
        <v>0.16470588235294117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-32.625</v>
      </c>
      <c r="P20" s="119">
        <v>4</v>
      </c>
      <c r="Q20" s="107">
        <v>-130.5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3.4482758620689655E-2</v>
      </c>
      <c r="I21" s="94">
        <v>10</v>
      </c>
    </row>
    <row r="22" spans="1:17" x14ac:dyDescent="0.4">
      <c r="A22" s="55" t="s">
        <v>192</v>
      </c>
      <c r="B22" s="47">
        <v>12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6765.5172413793107</v>
      </c>
      <c r="C23" s="41">
        <v>196200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-6378.5714285714284</v>
      </c>
      <c r="C24" s="45">
        <v>-89300</v>
      </c>
      <c r="E24" s="63" t="s">
        <v>87</v>
      </c>
      <c r="F24" s="60" t="s">
        <v>42</v>
      </c>
      <c r="G24" s="47">
        <v>3</v>
      </c>
      <c r="H24" s="133">
        <f>IF(B$17=0,0,G24/B$17)</f>
        <v>0.10344827586206896</v>
      </c>
      <c r="I24" s="94">
        <v>2</v>
      </c>
    </row>
    <row r="25" spans="1:17" x14ac:dyDescent="0.4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54800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0.13793103448275862</v>
      </c>
      <c r="I27" s="94">
        <v>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245</v>
      </c>
      <c r="F51" s="137" t="s">
        <v>246</v>
      </c>
      <c r="G51" s="48">
        <v>9</v>
      </c>
      <c r="H51" s="138">
        <f>IF(B$17=0,0,G51/B$17)</f>
        <v>0.31034482758620691</v>
      </c>
      <c r="I51" s="139">
        <v>12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F9D3B-7979-4749-8636-AF0AB6ECE578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11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2">
        <v>48300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245</v>
      </c>
      <c r="F51" s="137" t="s">
        <v>246</v>
      </c>
      <c r="G51" s="48">
        <v>1</v>
      </c>
      <c r="H51" s="138">
        <f>IF(B$17=0,0,G51/B$17)</f>
        <v>0.5</v>
      </c>
      <c r="I51" s="139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CE084-76E9-45D3-A2E7-D9E800734820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250</v>
      </c>
      <c r="P2" s="118">
        <v>2</v>
      </c>
      <c r="Q2" s="102">
        <v>500</v>
      </c>
    </row>
    <row r="3" spans="1:17" x14ac:dyDescent="0.4">
      <c r="A3" s="55" t="s">
        <v>8</v>
      </c>
      <c r="B3" s="152">
        <v>17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-7000</v>
      </c>
      <c r="P3" s="119">
        <v>2</v>
      </c>
      <c r="Q3" s="103">
        <v>-14000</v>
      </c>
    </row>
    <row r="4" spans="1:17" x14ac:dyDescent="0.4">
      <c r="A4" s="55" t="s">
        <v>6</v>
      </c>
      <c r="B4" s="154">
        <v>-24.7</v>
      </c>
      <c r="C4" s="155"/>
      <c r="E4" s="63" t="s">
        <v>67</v>
      </c>
      <c r="F4" s="60" t="s">
        <v>23</v>
      </c>
      <c r="G4" s="47">
        <v>4</v>
      </c>
      <c r="H4" s="133">
        <f>IF(B$17=0,0,G4/B$17)</f>
        <v>0.8</v>
      </c>
      <c r="I4" s="94">
        <v>5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2</v>
      </c>
      <c r="Q4" s="103">
        <v>-6000</v>
      </c>
    </row>
    <row r="5" spans="1:17" x14ac:dyDescent="0.4">
      <c r="A5" s="55" t="s">
        <v>7</v>
      </c>
      <c r="B5" s="156">
        <f>IF(B$2=0,0,B$4/B$2)</f>
        <v>-12.35</v>
      </c>
      <c r="C5" s="157"/>
      <c r="E5" s="63" t="s">
        <v>68</v>
      </c>
      <c r="F5" s="60" t="s">
        <v>24</v>
      </c>
      <c r="G5" s="47">
        <v>3</v>
      </c>
      <c r="H5" s="133">
        <f>IF(B$17=0,0,G5/B$17)</f>
        <v>0.6</v>
      </c>
      <c r="I5" s="94">
        <v>1</v>
      </c>
      <c r="N5" s="115" t="s">
        <v>135</v>
      </c>
      <c r="O5" s="122">
        <f t="shared" si="0"/>
        <v>-1000</v>
      </c>
      <c r="P5" s="119">
        <v>2</v>
      </c>
      <c r="Q5" s="103">
        <v>-2000</v>
      </c>
    </row>
    <row r="6" spans="1:17" x14ac:dyDescent="0.4">
      <c r="A6" s="55" t="s">
        <v>1</v>
      </c>
      <c r="B6" s="146">
        <f>IF(B$2=0,0,(B$7*1+B$8*2+B$9*3)/B$2)</f>
        <v>2.5</v>
      </c>
      <c r="C6" s="147"/>
      <c r="E6" s="63" t="s">
        <v>69</v>
      </c>
      <c r="F6" s="60" t="s">
        <v>12</v>
      </c>
      <c r="G6" s="47">
        <v>3</v>
      </c>
      <c r="H6" s="133">
        <f>IF(B$17=0,0,G6/B$17)</f>
        <v>0.6</v>
      </c>
      <c r="I6" s="94">
        <v>1</v>
      </c>
      <c r="N6" s="115" t="s">
        <v>136</v>
      </c>
      <c r="O6" s="122">
        <f t="shared" si="0"/>
        <v>400</v>
      </c>
      <c r="P6" s="119">
        <v>2</v>
      </c>
      <c r="Q6" s="103">
        <v>800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1</v>
      </c>
      <c r="C8" s="39">
        <f>IF(B$2=0,0,B8/B$2)</f>
        <v>0.5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5</v>
      </c>
      <c r="H10" s="133">
        <f>IF(B$17=0,0,G10/B$17)</f>
        <v>1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12.3</v>
      </c>
      <c r="P12" s="120">
        <v>1</v>
      </c>
      <c r="Q12" s="108">
        <v>12.3</v>
      </c>
    </row>
    <row r="13" spans="1:17" x14ac:dyDescent="0.4">
      <c r="A13" s="58" t="s">
        <v>122</v>
      </c>
      <c r="B13" s="50">
        <v>3</v>
      </c>
      <c r="C13" s="44">
        <f>IF(B$3=0,0,B13/B$3)</f>
        <v>0.17647058823529413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0.23529411764705882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127</v>
      </c>
      <c r="O15" s="124">
        <f>IF(P15=0,0,Q15/P15)</f>
        <v>81.8</v>
      </c>
      <c r="P15" s="118">
        <v>1</v>
      </c>
      <c r="Q15" s="106">
        <v>81.8</v>
      </c>
    </row>
    <row r="16" spans="1:17" x14ac:dyDescent="0.4">
      <c r="A16" s="54" t="s">
        <v>125</v>
      </c>
      <c r="B16" s="46">
        <v>1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>IF(B$17=0,0,G16/B$17)</f>
        <v>0.2</v>
      </c>
      <c r="I16" s="94">
        <v>1</v>
      </c>
      <c r="N16" s="115" t="s">
        <v>172</v>
      </c>
      <c r="O16" s="125">
        <f>IF(P16=0,0,Q16/P16)</f>
        <v>-30.3</v>
      </c>
      <c r="P16" s="119">
        <v>1</v>
      </c>
      <c r="Q16" s="107">
        <v>-30.3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0.29411764705882354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11</v>
      </c>
      <c r="N17" s="115" t="s">
        <v>129</v>
      </c>
      <c r="O17" s="125">
        <f>IF(P17=0,0,Q17/P17)</f>
        <v>-62.800000000000004</v>
      </c>
      <c r="P17" s="119">
        <v>2</v>
      </c>
      <c r="Q17" s="107">
        <v>-125.60000000000001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17" x14ac:dyDescent="0.4">
      <c r="A19" s="55" t="s">
        <v>11</v>
      </c>
      <c r="B19" s="47">
        <v>2</v>
      </c>
      <c r="C19" s="39">
        <f>IF(B$17=0,0,B19/B$17)</f>
        <v>0.4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4</v>
      </c>
      <c r="C20" s="39">
        <f>IF(B$3=0,0,B20/B$3)</f>
        <v>0.23529411764705882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1</v>
      </c>
      <c r="H21" s="133">
        <f>IF(B$17=0,0,G21/B$17)</f>
        <v>0.2</v>
      </c>
      <c r="I21" s="94">
        <v>1</v>
      </c>
    </row>
    <row r="22" spans="1:17" x14ac:dyDescent="0.4">
      <c r="A22" s="55" t="s">
        <v>192</v>
      </c>
      <c r="B22" s="47">
        <v>7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10600</v>
      </c>
      <c r="C23" s="41">
        <v>53000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-12425</v>
      </c>
      <c r="C24" s="45">
        <v>-49700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47300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245</v>
      </c>
      <c r="F51" s="137" t="s">
        <v>246</v>
      </c>
      <c r="G51" s="48">
        <v>1</v>
      </c>
      <c r="H51" s="138">
        <f>IF(B$17=0,0,G51/B$17)</f>
        <v>0.2</v>
      </c>
      <c r="I51" s="139">
        <v>13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49325-560F-4F2C-BF17-5FFB3DFEC013}">
  <sheetPr codeName="Sheet30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C5312-D45F-4BF3-99D1-0B4357B49510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EB5D6-ADCE-4876-B142-9F59233397A9}">
  <sheetPr codeName="Sheet26"/>
  <dimension ref="A1:Q1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81C2D-7905-4794-8DA5-932F69E34549}">
  <sheetPr codeName="Sheet24"/>
  <dimension ref="A1:Q2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-84.399999999999991</v>
      </c>
      <c r="C18" s="66">
        <v>-5.626666666666666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-139.79999999999998</v>
      </c>
      <c r="C19" s="66">
        <v>-8.7374999999999989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">
      <c r="A20" s="69">
        <v>17</v>
      </c>
      <c r="B20" s="66">
        <v>-203.5</v>
      </c>
      <c r="C20" s="66">
        <v>-11.970588235294118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">
      <c r="A21" s="69">
        <v>18</v>
      </c>
      <c r="B21" s="66">
        <v>-126.5</v>
      </c>
      <c r="C21" s="66">
        <v>-7.0277777777777777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B4F06-0DAD-4049-821E-BF343E3759CD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A72C7-7B69-4C6C-9523-39CA66AD31E7}">
  <sheetPr codeName="Sheet20"/>
  <dimension ref="A1:Q7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359.4</v>
      </c>
      <c r="C63" s="66">
        <v>5.9899999999999993</v>
      </c>
      <c r="D63" s="71">
        <v>1.8666666666666667</v>
      </c>
      <c r="E63" s="67">
        <v>0.41666666666666669</v>
      </c>
      <c r="F63" s="67">
        <v>0.28333333333333333</v>
      </c>
      <c r="G63" s="67">
        <v>0.30894308943089432</v>
      </c>
      <c r="H63" s="67">
        <v>0.15040650406504066</v>
      </c>
      <c r="I63" s="68">
        <v>8948.0263157894733</v>
      </c>
      <c r="J63" s="68">
        <v>-7635.135135135135</v>
      </c>
      <c r="K63" s="67">
        <v>0.15</v>
      </c>
      <c r="L63" s="67">
        <v>0.15</v>
      </c>
      <c r="M63" s="67">
        <v>0.29065040650406504</v>
      </c>
      <c r="N63" s="67">
        <v>0.17886178861788618</v>
      </c>
      <c r="O63" s="67">
        <v>0.65734265734265729</v>
      </c>
      <c r="P63" s="67">
        <v>0.375</v>
      </c>
      <c r="Q63" s="67">
        <v>0.44736842105263158</v>
      </c>
    </row>
    <row r="64" spans="1:17" x14ac:dyDescent="0.4">
      <c r="A64" s="69">
        <v>61</v>
      </c>
      <c r="B64" s="66">
        <v>347.5</v>
      </c>
      <c r="C64" s="66">
        <v>5.6967213114754101</v>
      </c>
      <c r="D64" s="71">
        <v>1.8688524590163935</v>
      </c>
      <c r="E64" s="67">
        <v>0.4098360655737705</v>
      </c>
      <c r="F64" s="67">
        <v>0.27868852459016391</v>
      </c>
      <c r="G64" s="67">
        <v>0.30645161290322581</v>
      </c>
      <c r="H64" s="67">
        <v>0.14919354838709678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0.29032258064516131</v>
      </c>
      <c r="N64" s="67">
        <v>0.18145161290322581</v>
      </c>
      <c r="O64" s="67">
        <v>0.65277777777777779</v>
      </c>
      <c r="P64" s="67">
        <v>0.36666666666666664</v>
      </c>
      <c r="Q64" s="67">
        <v>0.44736842105263158</v>
      </c>
    </row>
    <row r="65" spans="1:17" x14ac:dyDescent="0.4">
      <c r="A65" s="69">
        <v>62</v>
      </c>
      <c r="B65" s="66">
        <v>345.6</v>
      </c>
      <c r="C65" s="66">
        <v>5.5741935483870968</v>
      </c>
      <c r="D65" s="71">
        <v>1.8709677419354838</v>
      </c>
      <c r="E65" s="67">
        <v>0.40322580645161288</v>
      </c>
      <c r="F65" s="67">
        <v>0.27419354838709675</v>
      </c>
      <c r="G65" s="67">
        <v>0.3061630218687873</v>
      </c>
      <c r="H65" s="67">
        <v>0.14910536779324055</v>
      </c>
      <c r="I65" s="68">
        <v>8912.9870129870123</v>
      </c>
      <c r="J65" s="68">
        <v>-7568</v>
      </c>
      <c r="K65" s="67">
        <v>0.14516129032258066</v>
      </c>
      <c r="L65" s="67">
        <v>0.14516129032258066</v>
      </c>
      <c r="M65" s="67">
        <v>0.2922465208747515</v>
      </c>
      <c r="N65" s="67">
        <v>0.17892644135188868</v>
      </c>
      <c r="O65" s="67">
        <v>0.65306122448979587</v>
      </c>
      <c r="P65" s="67">
        <v>0.36666666666666664</v>
      </c>
      <c r="Q65" s="67">
        <v>0.44805194805194803</v>
      </c>
    </row>
    <row r="66" spans="1:17" x14ac:dyDescent="0.4">
      <c r="A66" s="69">
        <v>63</v>
      </c>
      <c r="B66" s="66">
        <v>287.60000000000002</v>
      </c>
      <c r="C66" s="66">
        <v>4.5650793650793657</v>
      </c>
      <c r="D66" s="71">
        <v>1.8888888888888888</v>
      </c>
      <c r="E66" s="67">
        <v>0.3968253968253968</v>
      </c>
      <c r="F66" s="67">
        <v>0.2857142857142857</v>
      </c>
      <c r="G66" s="67">
        <v>0.30078125</v>
      </c>
      <c r="H66" s="67">
        <v>0.1484375</v>
      </c>
      <c r="I66" s="68">
        <v>8912.9870129870123</v>
      </c>
      <c r="J66" s="68">
        <v>-7626.3157894736842</v>
      </c>
      <c r="K66" s="67">
        <v>0.15873015873015872</v>
      </c>
      <c r="L66" s="67">
        <v>0.14285714285714285</v>
      </c>
      <c r="M66" s="67">
        <v>0.29296875</v>
      </c>
      <c r="N66" s="67">
        <v>0.177734375</v>
      </c>
      <c r="O66" s="67">
        <v>0.64</v>
      </c>
      <c r="P66" s="67">
        <v>0.36263736263736263</v>
      </c>
      <c r="Q66" s="67">
        <v>0.44805194805194803</v>
      </c>
    </row>
    <row r="67" spans="1:17" x14ac:dyDescent="0.4">
      <c r="A67" s="69">
        <v>64</v>
      </c>
      <c r="B67" s="66">
        <v>323.60000000000002</v>
      </c>
      <c r="C67" s="66">
        <v>5.0562500000000004</v>
      </c>
      <c r="D67" s="71">
        <v>1.875</v>
      </c>
      <c r="E67" s="67">
        <v>0.40625</v>
      </c>
      <c r="F67" s="67">
        <v>0.28125</v>
      </c>
      <c r="G67" s="67">
        <v>0.30250481695568399</v>
      </c>
      <c r="H67" s="67">
        <v>0.14836223506743737</v>
      </c>
      <c r="I67" s="68">
        <v>8923.5668789808915</v>
      </c>
      <c r="J67" s="68">
        <v>-7553.2467532467535</v>
      </c>
      <c r="K67" s="67">
        <v>0.15625</v>
      </c>
      <c r="L67" s="67">
        <v>0.140625</v>
      </c>
      <c r="M67" s="67">
        <v>0.2947976878612717</v>
      </c>
      <c r="N67" s="67">
        <v>0.17533718689788053</v>
      </c>
      <c r="O67" s="67">
        <v>0.64052287581699341</v>
      </c>
      <c r="P67" s="67">
        <v>0.36263736263736263</v>
      </c>
      <c r="Q67" s="67">
        <v>0.45222929936305734</v>
      </c>
    </row>
    <row r="68" spans="1:17" x14ac:dyDescent="0.4">
      <c r="A68" s="69">
        <v>65</v>
      </c>
      <c r="B68" s="66">
        <v>328.6</v>
      </c>
      <c r="C68" s="66">
        <v>5.0553846153846154</v>
      </c>
      <c r="D68" s="71">
        <v>1.8769230769230769</v>
      </c>
      <c r="E68" s="67">
        <v>0.4</v>
      </c>
      <c r="F68" s="67">
        <v>0.27692307692307694</v>
      </c>
      <c r="G68" s="67">
        <v>0.30285714285714288</v>
      </c>
      <c r="H68" s="67">
        <v>0.15047619047619049</v>
      </c>
      <c r="I68" s="68">
        <v>8937.1069182389929</v>
      </c>
      <c r="J68" s="68">
        <v>-7539.2405063291135</v>
      </c>
      <c r="K68" s="67">
        <v>0.15384615384615385</v>
      </c>
      <c r="L68" s="67">
        <v>0.13846153846153847</v>
      </c>
      <c r="M68" s="67">
        <v>0.29523809523809524</v>
      </c>
      <c r="N68" s="67">
        <v>0.17714285714285713</v>
      </c>
      <c r="O68" s="67">
        <v>0.64516129032258063</v>
      </c>
      <c r="P68" s="67">
        <v>0.35483870967741937</v>
      </c>
      <c r="Q68" s="67">
        <v>0.44654088050314467</v>
      </c>
    </row>
    <row r="69" spans="1:17" x14ac:dyDescent="0.4">
      <c r="A69" s="69">
        <v>66</v>
      </c>
      <c r="B69" s="66">
        <v>307</v>
      </c>
      <c r="C69" s="66">
        <v>4.6515151515151514</v>
      </c>
      <c r="D69" s="71">
        <v>1.8787878787878789</v>
      </c>
      <c r="E69" s="67">
        <v>0.39393939393939392</v>
      </c>
      <c r="F69" s="67">
        <v>0.27272727272727271</v>
      </c>
      <c r="G69" s="67">
        <v>0.29906542056074764</v>
      </c>
      <c r="H69" s="67">
        <v>0.15140186915887852</v>
      </c>
      <c r="I69" s="68">
        <v>8905.625</v>
      </c>
      <c r="J69" s="68">
        <v>-7460.4938271604942</v>
      </c>
      <c r="K69" s="67">
        <v>0.15151515151515152</v>
      </c>
      <c r="L69" s="67">
        <v>0.13636363636363635</v>
      </c>
      <c r="M69" s="67">
        <v>0.29158878504672897</v>
      </c>
      <c r="N69" s="67">
        <v>0.18130841121495328</v>
      </c>
      <c r="O69" s="67">
        <v>0.64102564102564108</v>
      </c>
      <c r="P69" s="67">
        <v>0.35051546391752575</v>
      </c>
      <c r="Q69" s="67">
        <v>0.44374999999999998</v>
      </c>
    </row>
    <row r="70" spans="1:17" x14ac:dyDescent="0.4">
      <c r="A70" s="69">
        <v>67</v>
      </c>
      <c r="B70" s="66">
        <v>274.10000000000002</v>
      </c>
      <c r="C70" s="66">
        <v>4.0910447761194035</v>
      </c>
      <c r="D70" s="71">
        <v>1.8955223880597014</v>
      </c>
      <c r="E70" s="67">
        <v>0.38805970149253732</v>
      </c>
      <c r="F70" s="67">
        <v>0.28358208955223879</v>
      </c>
      <c r="G70" s="67">
        <v>0.29520295202952029</v>
      </c>
      <c r="H70" s="67">
        <v>0.15313653136531366</v>
      </c>
      <c r="I70" s="68">
        <v>8905.625</v>
      </c>
      <c r="J70" s="68">
        <v>-7336.1445783132531</v>
      </c>
      <c r="K70" s="67">
        <v>0.14925373134328357</v>
      </c>
      <c r="L70" s="67">
        <v>0.13432835820895522</v>
      </c>
      <c r="M70" s="67">
        <v>0.28966789667896681</v>
      </c>
      <c r="N70" s="67">
        <v>0.18265682656826568</v>
      </c>
      <c r="O70" s="67">
        <v>0.63694267515923564</v>
      </c>
      <c r="P70" s="67">
        <v>0.34343434343434343</v>
      </c>
      <c r="Q70" s="67">
        <v>0.44374999999999998</v>
      </c>
    </row>
    <row r="71" spans="1:17" x14ac:dyDescent="0.4">
      <c r="A71" s="69">
        <v>68</v>
      </c>
      <c r="B71" s="66">
        <v>285.40000000000003</v>
      </c>
      <c r="C71" s="66">
        <v>4.197058823529412</v>
      </c>
      <c r="D71" s="71">
        <v>1.8970588235294117</v>
      </c>
      <c r="E71" s="67">
        <v>0.38235294117647056</v>
      </c>
      <c r="F71" s="67">
        <v>0.27941176470588236</v>
      </c>
      <c r="G71" s="67">
        <v>0.29454545454545455</v>
      </c>
      <c r="H71" s="67">
        <v>0.15090909090909091</v>
      </c>
      <c r="I71" s="68">
        <v>8905.5555555555547</v>
      </c>
      <c r="J71" s="68">
        <v>-7336.1445783132531</v>
      </c>
      <c r="K71" s="67">
        <v>0.14705882352941177</v>
      </c>
      <c r="L71" s="67">
        <v>0.13235294117647059</v>
      </c>
      <c r="M71" s="67">
        <v>0.29090909090909089</v>
      </c>
      <c r="N71" s="67">
        <v>0.18181818181818182</v>
      </c>
      <c r="O71" s="67">
        <v>0.63749999999999996</v>
      </c>
      <c r="P71" s="67">
        <v>0.34</v>
      </c>
      <c r="Q71" s="67">
        <v>0.43827160493827161</v>
      </c>
    </row>
    <row r="72" spans="1:17" x14ac:dyDescent="0.4">
      <c r="A72" s="69">
        <v>69</v>
      </c>
      <c r="B72" s="66">
        <v>330.40000000000003</v>
      </c>
      <c r="C72" s="66">
        <v>4.7884057971014498</v>
      </c>
      <c r="D72" s="71">
        <v>1.8840579710144927</v>
      </c>
      <c r="E72" s="67">
        <v>0.39130434782608697</v>
      </c>
      <c r="F72" s="67">
        <v>0.27536231884057971</v>
      </c>
      <c r="G72" s="67">
        <v>0.29749103942652327</v>
      </c>
      <c r="H72" s="67">
        <v>0.14874551971326164</v>
      </c>
      <c r="I72" s="68">
        <v>8931.9277108433744</v>
      </c>
      <c r="J72" s="68">
        <v>-7336.1445783132531</v>
      </c>
      <c r="K72" s="67">
        <v>0.14492753623188406</v>
      </c>
      <c r="L72" s="67">
        <v>0.14492753623188406</v>
      </c>
      <c r="M72" s="67">
        <v>0.29569892473118281</v>
      </c>
      <c r="N72" s="67">
        <v>0.17921146953405018</v>
      </c>
      <c r="O72" s="67">
        <v>0.64242424242424245</v>
      </c>
      <c r="P72" s="67">
        <v>0.34</v>
      </c>
      <c r="Q72" s="67">
        <v>0.43975903614457829</v>
      </c>
    </row>
    <row r="73" spans="1:17" x14ac:dyDescent="0.4">
      <c r="A73" s="69">
        <v>70</v>
      </c>
      <c r="B73" s="66">
        <v>382.50000000000006</v>
      </c>
      <c r="C73" s="66">
        <v>5.4642857142857153</v>
      </c>
      <c r="D73" s="71">
        <v>1.8714285714285714</v>
      </c>
      <c r="E73" s="67">
        <v>0.4</v>
      </c>
      <c r="F73" s="67">
        <v>0.27142857142857141</v>
      </c>
      <c r="G73" s="67">
        <v>0.29720279720279719</v>
      </c>
      <c r="H73" s="67">
        <v>0.14685314685314685</v>
      </c>
      <c r="I73" s="68">
        <v>9014.1176470588234</v>
      </c>
      <c r="J73" s="68">
        <v>-7266.666666666667</v>
      </c>
      <c r="K73" s="67">
        <v>0.14285714285714285</v>
      </c>
      <c r="L73" s="67">
        <v>0.14285714285714285</v>
      </c>
      <c r="M73" s="67">
        <v>0.2937062937062937</v>
      </c>
      <c r="N73" s="67">
        <v>0.18356643356643357</v>
      </c>
      <c r="O73" s="67">
        <v>0.6428571428571429</v>
      </c>
      <c r="P73" s="67">
        <v>0.33333333333333331</v>
      </c>
      <c r="Q73" s="67">
        <v>0.44705882352941179</v>
      </c>
    </row>
    <row r="74" spans="1:17" x14ac:dyDescent="0.4">
      <c r="A74" s="69">
        <v>71</v>
      </c>
      <c r="B74" s="66">
        <v>350.40000000000003</v>
      </c>
      <c r="C74" s="66">
        <v>4.9352112676056343</v>
      </c>
      <c r="D74" s="71">
        <v>1.8873239436619718</v>
      </c>
      <c r="E74" s="67">
        <v>0.39436619718309857</v>
      </c>
      <c r="F74" s="67">
        <v>0.28169014084507044</v>
      </c>
      <c r="G74" s="67">
        <v>0.29776247848537007</v>
      </c>
      <c r="H74" s="67">
        <v>0.14802065404475043</v>
      </c>
      <c r="I74" s="68">
        <v>8984.9710982658962</v>
      </c>
      <c r="J74" s="68">
        <v>-7139.5348837209303</v>
      </c>
      <c r="K74" s="67">
        <v>0.14084507042253522</v>
      </c>
      <c r="L74" s="67">
        <v>0.14084507042253522</v>
      </c>
      <c r="M74" s="67">
        <v>0.29432013769363169</v>
      </c>
      <c r="N74" s="67">
        <v>0.18588640275387264</v>
      </c>
      <c r="O74" s="67">
        <v>0.63742690058479534</v>
      </c>
      <c r="P74" s="67">
        <v>0.34259259259259262</v>
      </c>
      <c r="Q74" s="67">
        <v>0.44508670520231214</v>
      </c>
    </row>
    <row r="75" spans="1:17" x14ac:dyDescent="0.4">
      <c r="A75" s="69">
        <v>72</v>
      </c>
      <c r="B75" s="66">
        <v>304.60000000000002</v>
      </c>
      <c r="C75" s="66">
        <v>4.2305555555555561</v>
      </c>
      <c r="D75" s="71">
        <v>1.9027777777777777</v>
      </c>
      <c r="E75" s="67">
        <v>0.3888888888888889</v>
      </c>
      <c r="F75" s="67">
        <v>0.29166666666666669</v>
      </c>
      <c r="G75" s="67">
        <v>0.29471890971039183</v>
      </c>
      <c r="H75" s="67">
        <v>0.14991482112436116</v>
      </c>
      <c r="I75" s="68">
        <v>8984.9710982658962</v>
      </c>
      <c r="J75" s="68">
        <v>-7112.5</v>
      </c>
      <c r="K75" s="67">
        <v>0.1388888888888889</v>
      </c>
      <c r="L75" s="67">
        <v>0.1388888888888889</v>
      </c>
      <c r="M75" s="67">
        <v>0.29131175468483816</v>
      </c>
      <c r="N75" s="67">
        <v>0.18568994889267462</v>
      </c>
      <c r="O75" s="67">
        <v>0.63742690058479534</v>
      </c>
      <c r="P75" s="67">
        <v>0.33944954128440369</v>
      </c>
      <c r="Q75" s="67">
        <v>0.44508670520231214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A33FF-C27E-41F4-976C-95057370ED3F}">
  <sheetPr codeName="Sheet18"/>
  <dimension ref="A1:Q5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  <row r="50" spans="1:17" x14ac:dyDescent="0.4">
      <c r="A50" s="69">
        <v>47</v>
      </c>
      <c r="B50" s="66">
        <v>-439.7</v>
      </c>
      <c r="C50" s="66">
        <v>-9.3553191489361698</v>
      </c>
      <c r="D50" s="71">
        <v>2.1276595744680851</v>
      </c>
      <c r="E50" s="67">
        <v>0.27659574468085107</v>
      </c>
      <c r="F50" s="67">
        <v>0.40425531914893614</v>
      </c>
      <c r="G50" s="67">
        <v>0.28888888888888886</v>
      </c>
      <c r="H50" s="67">
        <v>0.19012345679012346</v>
      </c>
      <c r="I50" s="68">
        <v>6904.2735042735039</v>
      </c>
      <c r="J50" s="68">
        <v>-8290.9090909090901</v>
      </c>
      <c r="K50" s="67">
        <v>0.14893617021276595</v>
      </c>
      <c r="L50" s="67">
        <v>6.3829787234042548E-2</v>
      </c>
      <c r="M50" s="67">
        <v>0.21975308641975308</v>
      </c>
      <c r="N50" s="67">
        <v>0.25185185185185183</v>
      </c>
      <c r="O50" s="67">
        <v>0.5842696629213483</v>
      </c>
      <c r="P50" s="67">
        <v>0.3235294117647059</v>
      </c>
      <c r="Q50" s="67">
        <v>0.51282051282051277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29AA3-BF57-4733-AE9F-444AFC15BF97}">
  <sheetPr codeName="Sheet16"/>
  <dimension ref="A1:Q8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  <row r="82" spans="1:17" x14ac:dyDescent="0.4">
      <c r="A82" s="69">
        <v>79</v>
      </c>
      <c r="B82" s="66">
        <v>-67.000000000000014</v>
      </c>
      <c r="C82" s="66">
        <v>-0.848101265822785</v>
      </c>
      <c r="D82" s="71">
        <v>2.037974683544304</v>
      </c>
      <c r="E82" s="67">
        <v>0.26582278481012656</v>
      </c>
      <c r="F82" s="67">
        <v>0.30379746835443039</v>
      </c>
      <c r="G82" s="67">
        <v>0.34328358208955223</v>
      </c>
      <c r="H82" s="67">
        <v>0.1373134328358209</v>
      </c>
      <c r="I82" s="68">
        <v>6787.391304347826</v>
      </c>
      <c r="J82" s="68">
        <v>-8579.347826086956</v>
      </c>
      <c r="K82" s="67">
        <v>5.0632911392405063E-2</v>
      </c>
      <c r="L82" s="67">
        <v>0.11392405063291139</v>
      </c>
      <c r="M82" s="67">
        <v>0.21343283582089553</v>
      </c>
      <c r="N82" s="67">
        <v>0.28955223880597014</v>
      </c>
      <c r="O82" s="67">
        <v>0.55944055944055948</v>
      </c>
      <c r="P82" s="67">
        <v>0.42268041237113402</v>
      </c>
      <c r="Q82" s="67">
        <v>0.42173913043478262</v>
      </c>
    </row>
    <row r="83" spans="1:17" x14ac:dyDescent="0.4">
      <c r="A83" s="69">
        <v>80</v>
      </c>
      <c r="B83" s="66">
        <v>-114.70000000000002</v>
      </c>
      <c r="C83" s="66">
        <v>-1.4337500000000003</v>
      </c>
      <c r="D83" s="71">
        <v>2.0499999999999998</v>
      </c>
      <c r="E83" s="67">
        <v>0.26250000000000001</v>
      </c>
      <c r="F83" s="67">
        <v>0.3125</v>
      </c>
      <c r="G83" s="67">
        <v>0.34264705882352942</v>
      </c>
      <c r="H83" s="67">
        <v>0.13970588235294118</v>
      </c>
      <c r="I83" s="68">
        <v>6754.0772532188839</v>
      </c>
      <c r="J83" s="68">
        <v>-8538.9473684210534</v>
      </c>
      <c r="K83" s="67">
        <v>0.05</v>
      </c>
      <c r="L83" s="67">
        <v>0.1125</v>
      </c>
      <c r="M83" s="67">
        <v>0.21029411764705883</v>
      </c>
      <c r="N83" s="67">
        <v>0.29264705882352943</v>
      </c>
      <c r="O83" s="67">
        <v>0.55944055944055948</v>
      </c>
      <c r="P83" s="67">
        <v>0.42713567839195982</v>
      </c>
      <c r="Q83" s="67">
        <v>0.41630901287553645</v>
      </c>
    </row>
    <row r="84" spans="1:17" x14ac:dyDescent="0.4">
      <c r="A84" s="69">
        <v>81</v>
      </c>
      <c r="B84" s="66">
        <v>-115.90000000000002</v>
      </c>
      <c r="C84" s="66">
        <v>-1.4308641975308645</v>
      </c>
      <c r="D84" s="71">
        <v>2.0493827160493829</v>
      </c>
      <c r="E84" s="67">
        <v>0.25925925925925924</v>
      </c>
      <c r="F84" s="67">
        <v>0.30864197530864196</v>
      </c>
      <c r="G84" s="67">
        <v>0.34438040345821325</v>
      </c>
      <c r="H84" s="67">
        <v>0.13832853025936601</v>
      </c>
      <c r="I84" s="68">
        <v>6772.3849372384939</v>
      </c>
      <c r="J84" s="68">
        <v>-8575</v>
      </c>
      <c r="K84" s="67">
        <v>4.9382716049382713E-2</v>
      </c>
      <c r="L84" s="67">
        <v>0.1111111111111111</v>
      </c>
      <c r="M84" s="67">
        <v>0.21037463976945245</v>
      </c>
      <c r="N84" s="67">
        <v>0.29394812680115273</v>
      </c>
      <c r="O84" s="67">
        <v>0.5547945205479452</v>
      </c>
      <c r="P84" s="67">
        <v>0.4264705882352941</v>
      </c>
      <c r="Q84" s="67">
        <v>0.41422594142259417</v>
      </c>
    </row>
    <row r="85" spans="1:17" x14ac:dyDescent="0.4">
      <c r="A85" s="69">
        <v>82</v>
      </c>
      <c r="B85" s="66">
        <v>-110.60000000000002</v>
      </c>
      <c r="C85" s="66">
        <v>-1.3487804878048784</v>
      </c>
      <c r="D85" s="71">
        <v>2.0487804878048781</v>
      </c>
      <c r="E85" s="67">
        <v>0.25609756097560976</v>
      </c>
      <c r="F85" s="67">
        <v>0.3048780487804878</v>
      </c>
      <c r="G85" s="67">
        <v>0.34566145092460882</v>
      </c>
      <c r="H85" s="67">
        <v>0.13940256045519203</v>
      </c>
      <c r="I85" s="68">
        <v>6810.2880658436216</v>
      </c>
      <c r="J85" s="68">
        <v>-8542.8571428571431</v>
      </c>
      <c r="K85" s="67">
        <v>4.878048780487805E-2</v>
      </c>
      <c r="L85" s="67">
        <v>0.10975609756097561</v>
      </c>
      <c r="M85" s="67">
        <v>0.21052631578947367</v>
      </c>
      <c r="N85" s="67">
        <v>0.29445234708392604</v>
      </c>
      <c r="O85" s="67">
        <v>0.55405405405405406</v>
      </c>
      <c r="P85" s="67">
        <v>0.4251207729468599</v>
      </c>
      <c r="Q85" s="67">
        <v>0.41152263374485598</v>
      </c>
    </row>
    <row r="86" spans="1:17" x14ac:dyDescent="0.4">
      <c r="A86" s="69">
        <v>83</v>
      </c>
      <c r="B86" s="66">
        <v>-101.20000000000002</v>
      </c>
      <c r="C86" s="66">
        <v>-1.219277108433735</v>
      </c>
      <c r="D86" s="71">
        <v>2.0481927710843375</v>
      </c>
      <c r="E86" s="67">
        <v>0.25301204819277107</v>
      </c>
      <c r="F86" s="67">
        <v>0.30120481927710846</v>
      </c>
      <c r="G86" s="67">
        <v>0.34696755994358253</v>
      </c>
      <c r="H86" s="67">
        <v>0.1382228490832158</v>
      </c>
      <c r="I86" s="68">
        <v>6806.9105691056911</v>
      </c>
      <c r="J86" s="68">
        <v>-8542.8571428571431</v>
      </c>
      <c r="K86" s="67">
        <v>4.8192771084337352E-2</v>
      </c>
      <c r="L86" s="67">
        <v>0.10843373493975904</v>
      </c>
      <c r="M86" s="67">
        <v>0.21015514809590974</v>
      </c>
      <c r="N86" s="67">
        <v>0.29478138222849082</v>
      </c>
      <c r="O86" s="67">
        <v>0.55704697986577179</v>
      </c>
      <c r="P86" s="67">
        <v>0.42583732057416268</v>
      </c>
      <c r="Q86" s="67">
        <v>0.41056910569105692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64328-EE0F-4FB6-9433-C8E791C9CA9A}">
  <sheetPr codeName="Sheet14"/>
  <dimension ref="A1:Q9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  <row r="93" spans="1:17" x14ac:dyDescent="0.4">
      <c r="A93" s="69">
        <v>90</v>
      </c>
      <c r="B93" s="66">
        <v>1.7000000000000277</v>
      </c>
      <c r="C93" s="66">
        <v>1.8888888888889198E-2</v>
      </c>
      <c r="D93" s="71">
        <v>2.0444444444444443</v>
      </c>
      <c r="E93" s="67">
        <v>0.3</v>
      </c>
      <c r="F93" s="67">
        <v>0.34444444444444444</v>
      </c>
      <c r="G93" s="67">
        <v>0.28249336870026526</v>
      </c>
      <c r="H93" s="67">
        <v>0.17506631299734748</v>
      </c>
      <c r="I93" s="68">
        <v>9828.1690140845076</v>
      </c>
      <c r="J93" s="68">
        <v>-8572.7272727272721</v>
      </c>
      <c r="K93" s="67">
        <v>0.1</v>
      </c>
      <c r="L93" s="67">
        <v>0.13333333333333333</v>
      </c>
      <c r="M93" s="67">
        <v>0.29045092838196285</v>
      </c>
      <c r="N93" s="67">
        <v>0.18965517241379309</v>
      </c>
      <c r="O93" s="67">
        <v>0.56164383561643838</v>
      </c>
      <c r="P93" s="67">
        <v>0.41258741258741261</v>
      </c>
      <c r="Q93" s="67">
        <v>0.41314553990610331</v>
      </c>
    </row>
    <row r="94" spans="1:17" x14ac:dyDescent="0.4">
      <c r="A94" s="69">
        <v>91</v>
      </c>
      <c r="B94" s="66">
        <v>-9.1999999999999726</v>
      </c>
      <c r="C94" s="66">
        <v>-0.1010989010989008</v>
      </c>
      <c r="D94" s="71">
        <v>2.0439560439560438</v>
      </c>
      <c r="E94" s="67">
        <v>0.2967032967032967</v>
      </c>
      <c r="F94" s="67">
        <v>0.34065934065934067</v>
      </c>
      <c r="G94" s="67">
        <v>0.28252299605781866</v>
      </c>
      <c r="H94" s="67">
        <v>0.1773981603153745</v>
      </c>
      <c r="I94" s="68">
        <v>9848.3720930232557</v>
      </c>
      <c r="J94" s="68">
        <v>-8548.1481481481478</v>
      </c>
      <c r="K94" s="67">
        <v>9.8901098901098897E-2</v>
      </c>
      <c r="L94" s="67">
        <v>0.13186813186813187</v>
      </c>
      <c r="M94" s="67">
        <v>0.29040735873850199</v>
      </c>
      <c r="N94" s="67">
        <v>0.18922470433639949</v>
      </c>
      <c r="O94" s="67">
        <v>0.56561085972850678</v>
      </c>
      <c r="P94" s="67">
        <v>0.40972222222222221</v>
      </c>
      <c r="Q94" s="67">
        <v>0.413953488372093</v>
      </c>
    </row>
    <row r="95" spans="1:17" x14ac:dyDescent="0.4">
      <c r="A95" s="69">
        <v>92</v>
      </c>
      <c r="B95" s="66">
        <v>-69.199999999999974</v>
      </c>
      <c r="C95" s="66">
        <v>-0.75217391304347803</v>
      </c>
      <c r="D95" s="71">
        <v>2.0543478260869565</v>
      </c>
      <c r="E95" s="67">
        <v>0.29347826086956524</v>
      </c>
      <c r="F95" s="67">
        <v>0.34782608695652173</v>
      </c>
      <c r="G95" s="67">
        <v>0.28088426527958388</v>
      </c>
      <c r="H95" s="67">
        <v>0.17685305591677503</v>
      </c>
      <c r="I95" s="68">
        <v>9812.0370370370365</v>
      </c>
      <c r="J95" s="68">
        <v>-8544.1176470588234</v>
      </c>
      <c r="K95" s="67">
        <v>0.10869565217391304</v>
      </c>
      <c r="L95" s="67">
        <v>0.13043478260869565</v>
      </c>
      <c r="M95" s="67">
        <v>0.28998699609882966</v>
      </c>
      <c r="N95" s="67">
        <v>0.19115734720416125</v>
      </c>
      <c r="O95" s="67">
        <v>0.5605381165919282</v>
      </c>
      <c r="P95" s="67">
        <v>0.40816326530612246</v>
      </c>
      <c r="Q95" s="67">
        <v>0.41203703703703703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F17D9-023D-4495-AACF-5AF3F6A859D3}">
  <sheetPr codeName="Sheet12"/>
  <dimension ref="A1:Q10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  <row r="95" spans="1:17" x14ac:dyDescent="0.4">
      <c r="A95" s="69">
        <v>92</v>
      </c>
      <c r="B95" s="66">
        <v>-1291.9000000000001</v>
      </c>
      <c r="C95" s="66">
        <v>-14.042391304347827</v>
      </c>
      <c r="D95" s="71">
        <v>2.2391304347826089</v>
      </c>
      <c r="E95" s="67">
        <v>0.25</v>
      </c>
      <c r="F95" s="67">
        <v>0.4891304347826087</v>
      </c>
      <c r="G95" s="67">
        <v>0.24289405684754523</v>
      </c>
      <c r="H95" s="67">
        <v>0.18992248062015504</v>
      </c>
      <c r="I95" s="68">
        <v>8755.3191489361707</v>
      </c>
      <c r="J95" s="68">
        <v>-9236.0544217687075</v>
      </c>
      <c r="K95" s="67">
        <v>0.18478260869565216</v>
      </c>
      <c r="L95" s="67">
        <v>0.10869565217391304</v>
      </c>
      <c r="M95" s="67">
        <v>0.27777777777777779</v>
      </c>
      <c r="N95" s="67">
        <v>0.16020671834625322</v>
      </c>
      <c r="O95" s="67">
        <v>0.52093023255813953</v>
      </c>
      <c r="P95" s="67">
        <v>0.25</v>
      </c>
      <c r="Q95" s="67">
        <v>0.42553191489361702</v>
      </c>
    </row>
    <row r="96" spans="1:17" x14ac:dyDescent="0.4">
      <c r="A96" s="69">
        <v>93</v>
      </c>
      <c r="B96" s="66">
        <v>-1348.9</v>
      </c>
      <c r="C96" s="66">
        <v>-14.504301075268819</v>
      </c>
      <c r="D96" s="71">
        <v>2.247311827956989</v>
      </c>
      <c r="E96" s="67">
        <v>0.24731182795698925</v>
      </c>
      <c r="F96" s="67">
        <v>0.4946236559139785</v>
      </c>
      <c r="G96" s="67">
        <v>0.2416452442159383</v>
      </c>
      <c r="H96" s="67">
        <v>0.18894601542416453</v>
      </c>
      <c r="I96" s="68">
        <v>8755.3191489361707</v>
      </c>
      <c r="J96" s="68">
        <v>-9236.0544217687075</v>
      </c>
      <c r="K96" s="67">
        <v>0.19354838709677419</v>
      </c>
      <c r="L96" s="67">
        <v>0.10752688172043011</v>
      </c>
      <c r="M96" s="67">
        <v>0.2763496143958869</v>
      </c>
      <c r="N96" s="67">
        <v>0.15938303341902313</v>
      </c>
      <c r="O96" s="67">
        <v>0.52093023255813953</v>
      </c>
      <c r="P96" s="67">
        <v>0.25</v>
      </c>
      <c r="Q96" s="67">
        <v>0.42553191489361702</v>
      </c>
    </row>
    <row r="97" spans="1:17" x14ac:dyDescent="0.4">
      <c r="A97" s="69">
        <v>94</v>
      </c>
      <c r="B97" s="66">
        <v>-1306.3000000000002</v>
      </c>
      <c r="C97" s="66">
        <v>-13.8968085106383</v>
      </c>
      <c r="D97" s="71">
        <v>2.2340425531914891</v>
      </c>
      <c r="E97" s="67">
        <v>0.25531914893617019</v>
      </c>
      <c r="F97" s="67">
        <v>0.48936170212765956</v>
      </c>
      <c r="G97" s="67">
        <v>0.24585987261146497</v>
      </c>
      <c r="H97" s="67">
        <v>0.18726114649681527</v>
      </c>
      <c r="I97" s="68">
        <v>8661.1398963730571</v>
      </c>
      <c r="J97" s="68">
        <v>-9236.0544217687075</v>
      </c>
      <c r="K97" s="67">
        <v>0.19148936170212766</v>
      </c>
      <c r="L97" s="67">
        <v>0.10638297872340426</v>
      </c>
      <c r="M97" s="67">
        <v>0.27643312101910827</v>
      </c>
      <c r="N97" s="67">
        <v>0.16305732484076432</v>
      </c>
      <c r="O97" s="67">
        <v>0.52073732718894006</v>
      </c>
      <c r="P97" s="67">
        <v>0.265625</v>
      </c>
      <c r="Q97" s="67">
        <v>0.42487046632124353</v>
      </c>
    </row>
    <row r="98" spans="1:17" x14ac:dyDescent="0.4">
      <c r="A98" s="69">
        <v>95</v>
      </c>
      <c r="B98" s="66">
        <v>-1362.6000000000001</v>
      </c>
      <c r="C98" s="66">
        <v>-14.343157894736844</v>
      </c>
      <c r="D98" s="71">
        <v>2.2421052631578946</v>
      </c>
      <c r="E98" s="67">
        <v>0.25263157894736843</v>
      </c>
      <c r="F98" s="67">
        <v>0.49473684210526314</v>
      </c>
      <c r="G98" s="67">
        <v>0.24464060529634299</v>
      </c>
      <c r="H98" s="67">
        <v>0.19167717528373265</v>
      </c>
      <c r="I98" s="68">
        <v>8643.2989690721643</v>
      </c>
      <c r="J98" s="68">
        <v>-9165.78947368421</v>
      </c>
      <c r="K98" s="67">
        <v>0.2</v>
      </c>
      <c r="L98" s="67">
        <v>0.10526315789473684</v>
      </c>
      <c r="M98" s="67">
        <v>0.27490542244640603</v>
      </c>
      <c r="N98" s="67">
        <v>0.16393442622950818</v>
      </c>
      <c r="O98" s="67">
        <v>0.52293577981651373</v>
      </c>
      <c r="P98" s="67">
        <v>0.26153846153846155</v>
      </c>
      <c r="Q98" s="67">
        <v>0.42268041237113402</v>
      </c>
    </row>
    <row r="99" spans="1:17" x14ac:dyDescent="0.4">
      <c r="A99" s="69">
        <v>96</v>
      </c>
      <c r="B99" s="66">
        <v>-1335.8000000000002</v>
      </c>
      <c r="C99" s="66">
        <v>-13.914583333333335</v>
      </c>
      <c r="D99" s="71">
        <v>2.2291666666666665</v>
      </c>
      <c r="E99" s="67">
        <v>0.26041666666666669</v>
      </c>
      <c r="F99" s="67">
        <v>0.48958333333333331</v>
      </c>
      <c r="G99" s="67">
        <v>0.2456359102244389</v>
      </c>
      <c r="H99" s="67">
        <v>0.19201995012468828</v>
      </c>
      <c r="I99" s="68">
        <v>8740.1015228426404</v>
      </c>
      <c r="J99" s="68">
        <v>-9226.6233766233763</v>
      </c>
      <c r="K99" s="67">
        <v>0.19791666666666666</v>
      </c>
      <c r="L99" s="67">
        <v>0.10416666666666667</v>
      </c>
      <c r="M99" s="67">
        <v>0.27306733167082292</v>
      </c>
      <c r="N99" s="67">
        <v>0.16583541147132169</v>
      </c>
      <c r="O99" s="67">
        <v>0.52511415525114158</v>
      </c>
      <c r="P99" s="67">
        <v>0.26315789473684209</v>
      </c>
      <c r="Q99" s="67">
        <v>0.42131979695431471</v>
      </c>
    </row>
    <row r="100" spans="1:17" x14ac:dyDescent="0.4">
      <c r="A100" s="69">
        <v>97</v>
      </c>
      <c r="B100" s="66">
        <v>-1299.4000000000001</v>
      </c>
      <c r="C100" s="66">
        <v>-13.395876288659794</v>
      </c>
      <c r="D100" s="71">
        <v>2.2164948453608249</v>
      </c>
      <c r="E100" s="67">
        <v>0.26804123711340205</v>
      </c>
      <c r="F100" s="67">
        <v>0.4845360824742268</v>
      </c>
      <c r="G100" s="67">
        <v>0.24752475247524752</v>
      </c>
      <c r="H100" s="67">
        <v>0.1905940594059406</v>
      </c>
      <c r="I100" s="68">
        <v>8715</v>
      </c>
      <c r="J100" s="68">
        <v>-9226.6233766233763</v>
      </c>
      <c r="K100" s="67">
        <v>0.19587628865979381</v>
      </c>
      <c r="L100" s="67">
        <v>0.10309278350515463</v>
      </c>
      <c r="M100" s="67">
        <v>0.27103960396039606</v>
      </c>
      <c r="N100" s="67">
        <v>0.16831683168316833</v>
      </c>
      <c r="O100" s="67">
        <v>0.52511415525114158</v>
      </c>
      <c r="P100" s="67">
        <v>0.27205882352941174</v>
      </c>
      <c r="Q100" s="67">
        <v>0.43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0A272-4085-46DC-B519-601DACFF536E}">
  <sheetPr codeName="Sheet10"/>
  <dimension ref="A1:Q13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  <row r="130" spans="1:17" x14ac:dyDescent="0.4">
      <c r="A130" s="69">
        <v>127</v>
      </c>
      <c r="B130" s="66">
        <v>-345.5</v>
      </c>
      <c r="C130" s="66">
        <v>-2.7204724409448819</v>
      </c>
      <c r="D130" s="71">
        <v>2.0866141732283463</v>
      </c>
      <c r="E130" s="67">
        <v>0.26771653543307089</v>
      </c>
      <c r="F130" s="67">
        <v>0.3543307086614173</v>
      </c>
      <c r="G130" s="67">
        <v>0.27186311787072243</v>
      </c>
      <c r="H130" s="67">
        <v>0.17015209125475286</v>
      </c>
      <c r="I130" s="68">
        <v>9320.279720279721</v>
      </c>
      <c r="J130" s="68">
        <v>-7768.7150837988829</v>
      </c>
      <c r="K130" s="67">
        <v>0.13385826771653545</v>
      </c>
      <c r="L130" s="67">
        <v>9.4488188976377951E-2</v>
      </c>
      <c r="M130" s="67">
        <v>0.30133079847908745</v>
      </c>
      <c r="N130" s="67">
        <v>0.17680608365019013</v>
      </c>
      <c r="O130" s="67">
        <v>0.58675078864353314</v>
      </c>
      <c r="P130" s="67">
        <v>0.29569892473118281</v>
      </c>
      <c r="Q130" s="67">
        <v>0.42307692307692307</v>
      </c>
    </row>
    <row r="131" spans="1:17" x14ac:dyDescent="0.4">
      <c r="A131" s="69">
        <v>128</v>
      </c>
      <c r="B131" s="66">
        <v>-355.2</v>
      </c>
      <c r="C131" s="66">
        <v>-2.7749999999999999</v>
      </c>
      <c r="D131" s="71">
        <v>2.0859375</v>
      </c>
      <c r="E131" s="67">
        <v>0.265625</v>
      </c>
      <c r="F131" s="67">
        <v>0.3515625</v>
      </c>
      <c r="G131" s="67">
        <v>0.27101038715769593</v>
      </c>
      <c r="H131" s="67">
        <v>0.16997167138810199</v>
      </c>
      <c r="I131" s="68">
        <v>9301.7421602787454</v>
      </c>
      <c r="J131" s="68">
        <v>-7768.333333333333</v>
      </c>
      <c r="K131" s="67">
        <v>0.1328125</v>
      </c>
      <c r="L131" s="67">
        <v>9.375E-2</v>
      </c>
      <c r="M131" s="67">
        <v>0.3002832861189802</v>
      </c>
      <c r="N131" s="67">
        <v>0.17658168083097261</v>
      </c>
      <c r="O131" s="67">
        <v>0.58805031446540879</v>
      </c>
      <c r="P131" s="67">
        <v>0.29411764705882354</v>
      </c>
      <c r="Q131" s="67">
        <v>0.42508710801393729</v>
      </c>
    </row>
    <row r="132" spans="1:17" x14ac:dyDescent="0.4">
      <c r="A132" s="69">
        <v>129</v>
      </c>
      <c r="B132" s="66">
        <v>-310.2</v>
      </c>
      <c r="C132" s="66">
        <v>-2.4046511627906977</v>
      </c>
      <c r="D132" s="71">
        <v>2.0775193798449614</v>
      </c>
      <c r="E132" s="67">
        <v>0.27131782945736432</v>
      </c>
      <c r="F132" s="67">
        <v>0.34883720930232559</v>
      </c>
      <c r="G132" s="67">
        <v>0.27272727272727271</v>
      </c>
      <c r="H132" s="67">
        <v>0.1696344892221181</v>
      </c>
      <c r="I132" s="68">
        <v>9275.94501718213</v>
      </c>
      <c r="J132" s="68">
        <v>-7754.1436464088401</v>
      </c>
      <c r="K132" s="67">
        <v>0.13178294573643412</v>
      </c>
      <c r="L132" s="67">
        <v>0.10077519379844961</v>
      </c>
      <c r="M132" s="67">
        <v>0.30178069353327086</v>
      </c>
      <c r="N132" s="67">
        <v>0.17619493908153702</v>
      </c>
      <c r="O132" s="67">
        <v>0.59316770186335399</v>
      </c>
      <c r="P132" s="67">
        <v>0.29255319148936171</v>
      </c>
      <c r="Q132" s="67">
        <v>0.42268041237113402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ADCAE-1C45-4CA5-BC5C-0BFC8E003A17}">
  <sheetPr codeName="Sheet8"/>
  <dimension ref="A1:Q16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1763.5000000000009</v>
      </c>
      <c r="C150" s="66">
        <v>11.996598639455788</v>
      </c>
      <c r="D150" s="71">
        <v>1.7482993197278911</v>
      </c>
      <c r="E150" s="67">
        <v>0.48299319727891155</v>
      </c>
      <c r="F150" s="67">
        <v>0.23129251700680273</v>
      </c>
      <c r="G150" s="67">
        <v>0.34551495016611294</v>
      </c>
      <c r="H150" s="67">
        <v>0.15946843853820597</v>
      </c>
      <c r="I150" s="68">
        <v>9088.461538461539</v>
      </c>
      <c r="J150" s="68">
        <v>-8247.9166666666661</v>
      </c>
      <c r="K150" s="67">
        <v>0.10204081632653061</v>
      </c>
      <c r="L150" s="67">
        <v>0.17006802721088435</v>
      </c>
      <c r="M150" s="67">
        <v>0.31146179401993357</v>
      </c>
      <c r="N150" s="67">
        <v>0.22009966777408638</v>
      </c>
      <c r="O150" s="67">
        <v>0.57333333333333336</v>
      </c>
      <c r="P150" s="67">
        <v>0.51698113207547169</v>
      </c>
      <c r="Q150" s="67">
        <v>0.40865384615384615</v>
      </c>
    </row>
    <row r="151" spans="1:17" x14ac:dyDescent="0.4">
      <c r="A151" s="69">
        <v>148</v>
      </c>
      <c r="B151" s="66">
        <v>1727.1000000000008</v>
      </c>
      <c r="C151" s="66">
        <v>11.669594594594599</v>
      </c>
      <c r="D151" s="71">
        <v>1.7567567567567568</v>
      </c>
      <c r="E151" s="67">
        <v>0.47972972972972971</v>
      </c>
      <c r="F151" s="67">
        <v>0.23648648648648649</v>
      </c>
      <c r="G151" s="67">
        <v>0.34349258649093906</v>
      </c>
      <c r="H151" s="67">
        <v>0.15980230642504117</v>
      </c>
      <c r="I151" s="68">
        <v>9085.851318944844</v>
      </c>
      <c r="J151" s="68">
        <v>-8265.4639175257726</v>
      </c>
      <c r="K151" s="67">
        <v>0.10135135135135136</v>
      </c>
      <c r="L151" s="67">
        <v>0.16891891891891891</v>
      </c>
      <c r="M151" s="67">
        <v>0.30971993410214166</v>
      </c>
      <c r="N151" s="67">
        <v>0.21993410214168038</v>
      </c>
      <c r="O151" s="67">
        <v>0.57180851063829785</v>
      </c>
      <c r="P151" s="67">
        <v>0.5168539325842697</v>
      </c>
      <c r="Q151" s="67">
        <v>0.407673860911271</v>
      </c>
    </row>
    <row r="152" spans="1:17" x14ac:dyDescent="0.4">
      <c r="A152" s="69">
        <v>149</v>
      </c>
      <c r="B152" s="66">
        <v>1744.7000000000007</v>
      </c>
      <c r="C152" s="66">
        <v>11.709395973154367</v>
      </c>
      <c r="D152" s="71">
        <v>1.7583892617449663</v>
      </c>
      <c r="E152" s="67">
        <v>0.47651006711409394</v>
      </c>
      <c r="F152" s="67">
        <v>0.2348993288590604</v>
      </c>
      <c r="G152" s="67">
        <v>0.34369885433715219</v>
      </c>
      <c r="H152" s="67">
        <v>0.15875613747954173</v>
      </c>
      <c r="I152" s="68">
        <v>9075.9523809523816</v>
      </c>
      <c r="J152" s="68">
        <v>-8265.4639175257726</v>
      </c>
      <c r="K152" s="67">
        <v>0.10067114093959731</v>
      </c>
      <c r="L152" s="67">
        <v>0.16778523489932887</v>
      </c>
      <c r="M152" s="67">
        <v>0.31014729950900166</v>
      </c>
      <c r="N152" s="67">
        <v>0.21931260229132571</v>
      </c>
      <c r="O152" s="67">
        <v>0.57519788918205805</v>
      </c>
      <c r="P152" s="67">
        <v>0.5149253731343284</v>
      </c>
      <c r="Q152" s="67">
        <v>0.40714285714285714</v>
      </c>
    </row>
    <row r="153" spans="1:17" x14ac:dyDescent="0.4">
      <c r="A153" s="69">
        <v>150</v>
      </c>
      <c r="B153" s="66">
        <v>1788.5000000000007</v>
      </c>
      <c r="C153" s="66">
        <v>11.923333333333337</v>
      </c>
      <c r="D153" s="71">
        <v>1.7533333333333334</v>
      </c>
      <c r="E153" s="67">
        <v>0.48</v>
      </c>
      <c r="F153" s="67">
        <v>0.23333333333333334</v>
      </c>
      <c r="G153" s="67">
        <v>0.34471544715447155</v>
      </c>
      <c r="H153" s="67">
        <v>0.15772357723577235</v>
      </c>
      <c r="I153" s="68">
        <v>9064.3867924528295</v>
      </c>
      <c r="J153" s="68">
        <v>-8265.4639175257726</v>
      </c>
      <c r="K153" s="67">
        <v>0.1</v>
      </c>
      <c r="L153" s="67">
        <v>0.17333333333333334</v>
      </c>
      <c r="M153" s="67">
        <v>0.31056910569105689</v>
      </c>
      <c r="N153" s="67">
        <v>0.21951219512195122</v>
      </c>
      <c r="O153" s="67">
        <v>0.5759162303664922</v>
      </c>
      <c r="P153" s="67">
        <v>0.51851851851851849</v>
      </c>
      <c r="Q153" s="67">
        <v>0.40801886792452829</v>
      </c>
    </row>
    <row r="154" spans="1:17" x14ac:dyDescent="0.4">
      <c r="A154" s="69">
        <v>151</v>
      </c>
      <c r="B154" s="66">
        <v>1847.5000000000007</v>
      </c>
      <c r="C154" s="66">
        <v>12.235099337748348</v>
      </c>
      <c r="D154" s="71">
        <v>1.7483443708609272</v>
      </c>
      <c r="E154" s="67">
        <v>0.48344370860927155</v>
      </c>
      <c r="F154" s="67">
        <v>0.23178807947019867</v>
      </c>
      <c r="G154" s="67">
        <v>0.34543987086359967</v>
      </c>
      <c r="H154" s="67">
        <v>0.15738498789346247</v>
      </c>
      <c r="I154" s="68">
        <v>9089.9532710280382</v>
      </c>
      <c r="J154" s="68">
        <v>-8262.5641025641035</v>
      </c>
      <c r="K154" s="67">
        <v>9.9337748344370855E-2</v>
      </c>
      <c r="L154" s="67">
        <v>0.17880794701986755</v>
      </c>
      <c r="M154" s="67">
        <v>0.31234866828087166</v>
      </c>
      <c r="N154" s="67">
        <v>0.21791767554479419</v>
      </c>
      <c r="O154" s="67">
        <v>0.57622739018087854</v>
      </c>
      <c r="P154" s="67">
        <v>0.51851851851851849</v>
      </c>
      <c r="Q154" s="67">
        <v>0.40887850467289721</v>
      </c>
    </row>
    <row r="155" spans="1:17" x14ac:dyDescent="0.4">
      <c r="A155" s="69">
        <v>152</v>
      </c>
      <c r="B155" s="66">
        <v>1812.8000000000006</v>
      </c>
      <c r="C155" s="66">
        <v>11.926315789473689</v>
      </c>
      <c r="D155" s="71">
        <v>1.756578947368421</v>
      </c>
      <c r="E155" s="67">
        <v>0.48026315789473684</v>
      </c>
      <c r="F155" s="67">
        <v>0.23684210526315788</v>
      </c>
      <c r="G155" s="67">
        <v>0.34430176565008025</v>
      </c>
      <c r="H155" s="67">
        <v>0.15730337078651685</v>
      </c>
      <c r="I155" s="68">
        <v>9096.7365967365968</v>
      </c>
      <c r="J155" s="68">
        <v>-8253.0612244897966</v>
      </c>
      <c r="K155" s="67">
        <v>9.8684210526315791E-2</v>
      </c>
      <c r="L155" s="67">
        <v>0.17763157894736842</v>
      </c>
      <c r="M155" s="67">
        <v>0.3130016051364366</v>
      </c>
      <c r="N155" s="67">
        <v>0.21669341894060995</v>
      </c>
      <c r="O155" s="67">
        <v>0.57435897435897432</v>
      </c>
      <c r="P155" s="67">
        <v>0.51851851851851849</v>
      </c>
      <c r="Q155" s="67">
        <v>0.41025641025641024</v>
      </c>
    </row>
    <row r="156" spans="1:17" x14ac:dyDescent="0.4">
      <c r="A156" s="69">
        <v>153</v>
      </c>
      <c r="B156" s="66">
        <v>1805.4000000000005</v>
      </c>
      <c r="C156" s="66">
        <v>11.800000000000004</v>
      </c>
      <c r="D156" s="71">
        <v>1.7581699346405228</v>
      </c>
      <c r="E156" s="67">
        <v>0.47712418300653597</v>
      </c>
      <c r="F156" s="67">
        <v>0.23529411764705882</v>
      </c>
      <c r="G156" s="67">
        <v>0.34397446129289705</v>
      </c>
      <c r="H156" s="67">
        <v>0.15722266560255388</v>
      </c>
      <c r="I156" s="68">
        <v>9078.8863109048725</v>
      </c>
      <c r="J156" s="68">
        <v>-8230.9644670050766</v>
      </c>
      <c r="K156" s="67">
        <v>9.8039215686274508E-2</v>
      </c>
      <c r="L156" s="67">
        <v>0.17647058823529413</v>
      </c>
      <c r="M156" s="67">
        <v>0.31364724660814047</v>
      </c>
      <c r="N156" s="67">
        <v>0.2154828411811652</v>
      </c>
      <c r="O156" s="67">
        <v>0.5750636132315522</v>
      </c>
      <c r="P156" s="67">
        <v>0.51851851851851849</v>
      </c>
      <c r="Q156" s="67">
        <v>0.41067285382830626</v>
      </c>
    </row>
    <row r="157" spans="1:17" x14ac:dyDescent="0.4">
      <c r="A157" s="69">
        <v>154</v>
      </c>
      <c r="B157" s="66">
        <v>1855.1000000000006</v>
      </c>
      <c r="C157" s="66">
        <v>12.046103896103899</v>
      </c>
      <c r="D157" s="71">
        <v>1.7532467532467533</v>
      </c>
      <c r="E157" s="67">
        <v>0.48051948051948051</v>
      </c>
      <c r="F157" s="67">
        <v>0.23376623376623376</v>
      </c>
      <c r="G157" s="67">
        <v>0.34365079365079365</v>
      </c>
      <c r="H157" s="67">
        <v>0.15634920634920635</v>
      </c>
      <c r="I157" s="68">
        <v>9122.8637413394918</v>
      </c>
      <c r="J157" s="68">
        <v>-8230.9644670050766</v>
      </c>
      <c r="K157" s="67">
        <v>9.7402597402597407E-2</v>
      </c>
      <c r="L157" s="67">
        <v>0.17532467532467533</v>
      </c>
      <c r="M157" s="67">
        <v>0.31349206349206349</v>
      </c>
      <c r="N157" s="67">
        <v>0.21587301587301588</v>
      </c>
      <c r="O157" s="67">
        <v>0.57721518987341769</v>
      </c>
      <c r="P157" s="67">
        <v>0.51470588235294112</v>
      </c>
      <c r="Q157" s="67">
        <v>0.4110854503464203</v>
      </c>
    </row>
    <row r="158" spans="1:17" x14ac:dyDescent="0.4">
      <c r="A158" s="69">
        <v>155</v>
      </c>
      <c r="B158" s="66">
        <v>1940.5000000000007</v>
      </c>
      <c r="C158" s="66">
        <v>12.519354838709681</v>
      </c>
      <c r="D158" s="71">
        <v>1.7483870967741935</v>
      </c>
      <c r="E158" s="67">
        <v>0.4838709677419355</v>
      </c>
      <c r="F158" s="67">
        <v>0.23225806451612904</v>
      </c>
      <c r="G158" s="67">
        <v>0.34414556962025317</v>
      </c>
      <c r="H158" s="67">
        <v>0.15664556962025317</v>
      </c>
      <c r="I158" s="68">
        <v>9232.6436781609191</v>
      </c>
      <c r="J158" s="68">
        <v>-8237.878787878788</v>
      </c>
      <c r="K158" s="67">
        <v>9.6774193548387094E-2</v>
      </c>
      <c r="L158" s="67">
        <v>0.18064516129032257</v>
      </c>
      <c r="M158" s="67">
        <v>0.31329113924050633</v>
      </c>
      <c r="N158" s="67">
        <v>0.21677215189873417</v>
      </c>
      <c r="O158" s="67">
        <v>0.5757575757575758</v>
      </c>
      <c r="P158" s="67">
        <v>0.51459854014598538</v>
      </c>
      <c r="Q158" s="67">
        <v>0.41379310344827586</v>
      </c>
    </row>
    <row r="159" spans="1:17" x14ac:dyDescent="0.4">
      <c r="A159" s="69">
        <v>156</v>
      </c>
      <c r="B159" s="66">
        <v>2009.8000000000006</v>
      </c>
      <c r="C159" s="66">
        <v>12.883333333333338</v>
      </c>
      <c r="D159" s="71">
        <v>1.7435897435897436</v>
      </c>
      <c r="E159" s="67">
        <v>0.48717948717948717</v>
      </c>
      <c r="F159" s="67">
        <v>0.23076923076923078</v>
      </c>
      <c r="G159" s="67">
        <v>0.34536891679748821</v>
      </c>
      <c r="H159" s="67">
        <v>0.15620094191522763</v>
      </c>
      <c r="I159" s="68">
        <v>9240.681818181818</v>
      </c>
      <c r="J159" s="68">
        <v>-8216.0804020100495</v>
      </c>
      <c r="K159" s="67">
        <v>9.6153846153846159E-2</v>
      </c>
      <c r="L159" s="67">
        <v>0.17948717948717949</v>
      </c>
      <c r="M159" s="67">
        <v>0.31240188383045525</v>
      </c>
      <c r="N159" s="67">
        <v>0.21742543171114601</v>
      </c>
      <c r="O159" s="67">
        <v>0.57788944723618085</v>
      </c>
      <c r="P159" s="67">
        <v>0.51624548736462095</v>
      </c>
      <c r="Q159" s="67">
        <v>0.41590909090909089</v>
      </c>
    </row>
    <row r="160" spans="1:17" x14ac:dyDescent="0.4">
      <c r="A160" s="69">
        <v>157</v>
      </c>
      <c r="B160" s="66">
        <v>2024.8000000000006</v>
      </c>
      <c r="C160" s="66">
        <v>12.896815286624207</v>
      </c>
      <c r="D160" s="71">
        <v>1.7452229299363058</v>
      </c>
      <c r="E160" s="67">
        <v>0.48407643312101911</v>
      </c>
      <c r="F160" s="67">
        <v>0.22929936305732485</v>
      </c>
      <c r="G160" s="67">
        <v>0.34399375975039004</v>
      </c>
      <c r="H160" s="67">
        <v>0.15678627145085802</v>
      </c>
      <c r="I160" s="68">
        <v>9328.5714285714294</v>
      </c>
      <c r="J160" s="68">
        <v>-8203.9800995024871</v>
      </c>
      <c r="K160" s="67">
        <v>9.5541401273885357E-2</v>
      </c>
      <c r="L160" s="67">
        <v>0.17834394904458598</v>
      </c>
      <c r="M160" s="67">
        <v>0.31279251170046801</v>
      </c>
      <c r="N160" s="67">
        <v>0.21684867394695787</v>
      </c>
      <c r="O160" s="67">
        <v>0.57605985037406482</v>
      </c>
      <c r="P160" s="67">
        <v>0.51438848920863312</v>
      </c>
      <c r="Q160" s="67">
        <v>0.41723356009070295</v>
      </c>
    </row>
    <row r="161" spans="1:17" x14ac:dyDescent="0.4">
      <c r="A161" s="69">
        <v>158</v>
      </c>
      <c r="B161" s="66">
        <v>1973.9000000000005</v>
      </c>
      <c r="C161" s="66">
        <v>12.493037974683547</v>
      </c>
      <c r="D161" s="71">
        <v>1.7531645569620253</v>
      </c>
      <c r="E161" s="67">
        <v>0.48101265822784811</v>
      </c>
      <c r="F161" s="67">
        <v>0.23417721518987342</v>
      </c>
      <c r="G161" s="67">
        <v>0.34259259259259262</v>
      </c>
      <c r="H161" s="67">
        <v>0.15740740740740741</v>
      </c>
      <c r="I161" s="68">
        <v>9332.2072072072078</v>
      </c>
      <c r="J161" s="68">
        <v>-8229.4117647058829</v>
      </c>
      <c r="K161" s="67">
        <v>9.49367088607595E-2</v>
      </c>
      <c r="L161" s="67">
        <v>0.17721518987341772</v>
      </c>
      <c r="M161" s="67">
        <v>0.31095679012345678</v>
      </c>
      <c r="N161" s="67">
        <v>0.21527777777777779</v>
      </c>
      <c r="O161" s="67">
        <v>0.57816377171215882</v>
      </c>
      <c r="P161" s="67">
        <v>0.5161290322580645</v>
      </c>
      <c r="Q161" s="67">
        <v>0.42117117117117114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5696F-1A10-4417-8DAD-A4313AE739A6}">
  <sheetPr codeName="Sheet6"/>
  <dimension ref="A1:Q24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-2.1316282072803006E-14</v>
      </c>
      <c r="C219" s="66">
        <v>-3.2895497025930562E-17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-2.1316282072803006E-14</v>
      </c>
      <c r="C220" s="66">
        <v>-3.2743904873737336E-17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-1.4210854715202004E-14</v>
      </c>
      <c r="C221" s="66">
        <v>-2.1729135650155969E-17</v>
      </c>
      <c r="D221" s="71">
        <v>2</v>
      </c>
      <c r="E221" s="67">
        <v>0.33333333333333331</v>
      </c>
      <c r="F221" s="67">
        <v>0.33333333333333331</v>
      </c>
      <c r="G221" s="67">
        <v>0.29881278538812783</v>
      </c>
      <c r="H221" s="67">
        <v>0.16785388127853881</v>
      </c>
      <c r="I221" s="68">
        <v>8638.2640586797061</v>
      </c>
      <c r="J221" s="68">
        <v>-8280.9575625680081</v>
      </c>
      <c r="K221" s="67">
        <v>0.11620795107033639</v>
      </c>
      <c r="L221" s="67">
        <v>0.11620795107033639</v>
      </c>
      <c r="M221" s="67">
        <v>0.2798173515981735</v>
      </c>
      <c r="N221" s="67">
        <v>0.20767123287671233</v>
      </c>
      <c r="O221" s="67">
        <v>0.57702349869451697</v>
      </c>
      <c r="P221" s="67">
        <v>0.39313984168865435</v>
      </c>
      <c r="Q221" s="67">
        <v>0.43215158924205377</v>
      </c>
    </row>
    <row r="222" spans="1:17" x14ac:dyDescent="0.4">
      <c r="A222" s="69">
        <v>219</v>
      </c>
      <c r="B222" s="66">
        <v>-1.4210854715202004E-14</v>
      </c>
      <c r="C222" s="66">
        <v>-2.1629915852666671E-17</v>
      </c>
      <c r="D222" s="71">
        <v>2</v>
      </c>
      <c r="E222" s="67">
        <v>0.33333333333333331</v>
      </c>
      <c r="F222" s="67">
        <v>0.33333333333333331</v>
      </c>
      <c r="G222" s="67">
        <v>0.29888828139238199</v>
      </c>
      <c r="H222" s="67">
        <v>0.16785128485511208</v>
      </c>
      <c r="I222" s="68">
        <v>8643.9024390243903</v>
      </c>
      <c r="J222" s="68">
        <v>-8289.0336590662318</v>
      </c>
      <c r="K222" s="67">
        <v>0.11719939117199391</v>
      </c>
      <c r="L222" s="67">
        <v>0.11719939117199391</v>
      </c>
      <c r="M222" s="67">
        <v>0.27956989247311825</v>
      </c>
      <c r="N222" s="67">
        <v>0.20794605431018773</v>
      </c>
      <c r="O222" s="67">
        <v>0.57692307692307687</v>
      </c>
      <c r="P222" s="67">
        <v>0.39351446099912357</v>
      </c>
      <c r="Q222" s="67">
        <v>0.4323170731707317</v>
      </c>
    </row>
    <row r="223" spans="1:17" x14ac:dyDescent="0.4">
      <c r="A223" s="69">
        <v>220</v>
      </c>
      <c r="B223" s="66">
        <v>-1.4210854715202004E-14</v>
      </c>
      <c r="C223" s="66">
        <v>-2.1531598053336369E-17</v>
      </c>
      <c r="D223" s="71">
        <v>2</v>
      </c>
      <c r="E223" s="67">
        <v>0.33333333333333331</v>
      </c>
      <c r="F223" s="67">
        <v>0.33333333333333331</v>
      </c>
      <c r="G223" s="67">
        <v>0.29853181076672103</v>
      </c>
      <c r="H223" s="67">
        <v>0.16802610114192496</v>
      </c>
      <c r="I223" s="68">
        <v>8648.7553126897383</v>
      </c>
      <c r="J223" s="68">
        <v>-8289.8597626752962</v>
      </c>
      <c r="K223" s="67">
        <v>0.11666666666666667</v>
      </c>
      <c r="L223" s="67">
        <v>0.11666666666666667</v>
      </c>
      <c r="M223" s="67">
        <v>0.27949972811310497</v>
      </c>
      <c r="N223" s="67">
        <v>0.20790284574950155</v>
      </c>
      <c r="O223" s="67">
        <v>0.57652399481193251</v>
      </c>
      <c r="P223" s="67">
        <v>0.39319965126416739</v>
      </c>
      <c r="Q223" s="67">
        <v>0.43108682452944747</v>
      </c>
    </row>
    <row r="224" spans="1:17" x14ac:dyDescent="0.4">
      <c r="A224" s="69">
        <v>221</v>
      </c>
      <c r="B224" s="66">
        <v>-1.4210854715202004E-14</v>
      </c>
      <c r="C224" s="66">
        <v>-2.143417000784616E-17</v>
      </c>
      <c r="D224" s="71">
        <v>2</v>
      </c>
      <c r="E224" s="67">
        <v>0.33333333333333331</v>
      </c>
      <c r="F224" s="67">
        <v>0.33333333333333331</v>
      </c>
      <c r="G224" s="67">
        <v>0.29850207543764662</v>
      </c>
      <c r="H224" s="67">
        <v>0.16802021295794983</v>
      </c>
      <c r="I224" s="68">
        <v>8644.256348246674</v>
      </c>
      <c r="J224" s="68">
        <v>-8281.2030075187977</v>
      </c>
      <c r="K224" s="67">
        <v>0.11764705882352941</v>
      </c>
      <c r="L224" s="67">
        <v>0.11764705882352941</v>
      </c>
      <c r="M224" s="67">
        <v>0.27937195452084462</v>
      </c>
      <c r="N224" s="67">
        <v>0.20736329182458041</v>
      </c>
      <c r="O224" s="67">
        <v>0.57816537467700257</v>
      </c>
      <c r="P224" s="67">
        <v>0.39251523063533506</v>
      </c>
      <c r="Q224" s="67">
        <v>0.43107617896009676</v>
      </c>
    </row>
    <row r="225" spans="1:17" x14ac:dyDescent="0.4">
      <c r="A225" s="69">
        <v>222</v>
      </c>
      <c r="B225" s="66">
        <v>-7.1054273576010019E-15</v>
      </c>
      <c r="C225" s="66">
        <v>-1.066880984624775E-17</v>
      </c>
      <c r="D225" s="71">
        <v>2</v>
      </c>
      <c r="E225" s="67">
        <v>0.33333333333333331</v>
      </c>
      <c r="F225" s="67">
        <v>0.33333333333333331</v>
      </c>
      <c r="G225" s="67">
        <v>0.29863358504135201</v>
      </c>
      <c r="H225" s="67">
        <v>0.16792520676015821</v>
      </c>
      <c r="I225" s="68">
        <v>8631.246237206502</v>
      </c>
      <c r="J225" s="68">
        <v>-8268.0942184154173</v>
      </c>
      <c r="K225" s="67">
        <v>0.11711711711711711</v>
      </c>
      <c r="L225" s="67">
        <v>0.11711711711711711</v>
      </c>
      <c r="M225" s="67">
        <v>0.27957569219705142</v>
      </c>
      <c r="N225" s="67">
        <v>0.20693994965839627</v>
      </c>
      <c r="O225" s="67">
        <v>0.5787781350482315</v>
      </c>
      <c r="P225" s="67">
        <v>0.39183318853171156</v>
      </c>
      <c r="Q225" s="67">
        <v>0.43166767007826612</v>
      </c>
    </row>
    <row r="226" spans="1:17" x14ac:dyDescent="0.4">
      <c r="A226" s="69">
        <v>223</v>
      </c>
      <c r="B226" s="66">
        <v>-7.1054273576010019E-15</v>
      </c>
      <c r="C226" s="66">
        <v>-1.0620967649627806E-17</v>
      </c>
      <c r="D226" s="71">
        <v>2</v>
      </c>
      <c r="E226" s="67">
        <v>0.33333333333333331</v>
      </c>
      <c r="F226" s="67">
        <v>0.33333333333333331</v>
      </c>
      <c r="G226" s="67">
        <v>0.29860365198711064</v>
      </c>
      <c r="H226" s="67">
        <v>0.16774078052273542</v>
      </c>
      <c r="I226" s="68">
        <v>8624.5803357314144</v>
      </c>
      <c r="J226" s="68">
        <v>-8266.2753468516548</v>
      </c>
      <c r="K226" s="67">
        <v>0.11808669656203288</v>
      </c>
      <c r="L226" s="67">
        <v>0.11808669656203288</v>
      </c>
      <c r="M226" s="67">
        <v>0.27980665950590761</v>
      </c>
      <c r="N226" s="67">
        <v>0.20658789831722163</v>
      </c>
      <c r="O226" s="67">
        <v>0.57837492002559177</v>
      </c>
      <c r="P226" s="67">
        <v>0.39254766031195842</v>
      </c>
      <c r="Q226" s="67">
        <v>0.43225419664268583</v>
      </c>
    </row>
    <row r="227" spans="1:17" x14ac:dyDescent="0.4">
      <c r="A227" s="69">
        <v>224</v>
      </c>
      <c r="B227" s="66">
        <v>-7.1054273576010019E-15</v>
      </c>
      <c r="C227" s="66">
        <v>-1.0573552615477681E-17</v>
      </c>
      <c r="D227" s="71">
        <v>2</v>
      </c>
      <c r="E227" s="67">
        <v>0.33333333333333331</v>
      </c>
      <c r="F227" s="67">
        <v>0.33333333333333331</v>
      </c>
      <c r="G227" s="67">
        <v>0.29841439515410656</v>
      </c>
      <c r="H227" s="67">
        <v>0.16764653482985925</v>
      </c>
      <c r="I227" s="68">
        <v>8635.6417910447763</v>
      </c>
      <c r="J227" s="68">
        <v>-8276.7268862911787</v>
      </c>
      <c r="K227" s="67">
        <v>0.11904761904761904</v>
      </c>
      <c r="L227" s="67">
        <v>0.11904761904761904</v>
      </c>
      <c r="M227" s="67">
        <v>0.28006413682522713</v>
      </c>
      <c r="N227" s="67">
        <v>0.20630678781400322</v>
      </c>
      <c r="O227" s="67">
        <v>0.57697201017811706</v>
      </c>
      <c r="P227" s="67">
        <v>0.39291882556131263</v>
      </c>
      <c r="Q227" s="67">
        <v>0.43223880597014924</v>
      </c>
    </row>
    <row r="228" spans="1:17" x14ac:dyDescent="0.4">
      <c r="A228" s="69">
        <v>225</v>
      </c>
      <c r="B228" s="66">
        <v>-7.1054273576010019E-15</v>
      </c>
      <c r="C228" s="66">
        <v>-1.052655904829778E-17</v>
      </c>
      <c r="D228" s="71">
        <v>2</v>
      </c>
      <c r="E228" s="67">
        <v>0.33333333333333331</v>
      </c>
      <c r="F228" s="67">
        <v>0.33333333333333331</v>
      </c>
      <c r="G228" s="67">
        <v>0.29836705715299966</v>
      </c>
      <c r="H228" s="67">
        <v>0.16737664181753639</v>
      </c>
      <c r="I228" s="68">
        <v>8634.6222486615115</v>
      </c>
      <c r="J228" s="68">
        <v>-8268.0805938494159</v>
      </c>
      <c r="K228" s="67">
        <v>0.11851851851851852</v>
      </c>
      <c r="L228" s="67">
        <v>0.11851851851851852</v>
      </c>
      <c r="M228" s="67">
        <v>0.28026269080582178</v>
      </c>
      <c r="N228" s="67">
        <v>0.20624778132765353</v>
      </c>
      <c r="O228" s="67">
        <v>0.57631412286257122</v>
      </c>
      <c r="P228" s="67">
        <v>0.39328743545611017</v>
      </c>
      <c r="Q228" s="67">
        <v>0.43307555026769778</v>
      </c>
    </row>
    <row r="229" spans="1:17" x14ac:dyDescent="0.4">
      <c r="A229" s="69">
        <v>226</v>
      </c>
      <c r="B229" s="66">
        <v>-1.4210854715202004E-14</v>
      </c>
      <c r="C229" s="66">
        <v>-2.0959962706787616E-17</v>
      </c>
      <c r="D229" s="71">
        <v>2</v>
      </c>
      <c r="E229" s="67">
        <v>0.33333333333333331</v>
      </c>
      <c r="F229" s="67">
        <v>0.33333333333333331</v>
      </c>
      <c r="G229" s="67">
        <v>0.29832007073386385</v>
      </c>
      <c r="H229" s="67">
        <v>0.16746242263483643</v>
      </c>
      <c r="I229" s="68">
        <v>8639.7154712507418</v>
      </c>
      <c r="J229" s="68">
        <v>-8274.4456177402317</v>
      </c>
      <c r="K229" s="67">
        <v>0.11946902654867257</v>
      </c>
      <c r="L229" s="67">
        <v>0.11946902654867257</v>
      </c>
      <c r="M229" s="67">
        <v>0.28028293545534927</v>
      </c>
      <c r="N229" s="67">
        <v>0.20636604774535808</v>
      </c>
      <c r="O229" s="67">
        <v>0.57602523659305993</v>
      </c>
      <c r="P229" s="67">
        <v>0.3916023993144816</v>
      </c>
      <c r="Q229" s="67">
        <v>0.43272080616478958</v>
      </c>
    </row>
    <row r="230" spans="1:17" x14ac:dyDescent="0.4">
      <c r="A230" s="69">
        <v>227</v>
      </c>
      <c r="B230" s="66">
        <v>-1.4210854715202004E-14</v>
      </c>
      <c r="C230" s="66">
        <v>-2.086762806931278E-17</v>
      </c>
      <c r="D230" s="71">
        <v>2</v>
      </c>
      <c r="E230" s="67">
        <v>0.33333333333333331</v>
      </c>
      <c r="F230" s="67">
        <v>0.33333333333333331</v>
      </c>
      <c r="G230" s="67">
        <v>0.29860743874493212</v>
      </c>
      <c r="H230" s="67">
        <v>0.16781244491450731</v>
      </c>
      <c r="I230" s="68">
        <v>8652.4203069657615</v>
      </c>
      <c r="J230" s="68">
        <v>-8310.8193277310929</v>
      </c>
      <c r="K230" s="67">
        <v>0.12041116005873716</v>
      </c>
      <c r="L230" s="67">
        <v>0.12041116005873716</v>
      </c>
      <c r="M230" s="67">
        <v>0.28027498677948176</v>
      </c>
      <c r="N230" s="67">
        <v>0.20676890534108938</v>
      </c>
      <c r="O230" s="67">
        <v>0.57735849056603772</v>
      </c>
      <c r="P230" s="67">
        <v>0.39130434782608697</v>
      </c>
      <c r="Q230" s="67">
        <v>0.43152302243211332</v>
      </c>
    </row>
    <row r="231" spans="1:17" x14ac:dyDescent="0.4">
      <c r="A231" s="69">
        <v>228</v>
      </c>
      <c r="B231" s="66">
        <v>-1.4210854715202004E-14</v>
      </c>
      <c r="C231" s="66">
        <v>-2.077610338479825E-17</v>
      </c>
      <c r="D231" s="71">
        <v>2</v>
      </c>
      <c r="E231" s="67">
        <v>0.33333333333333331</v>
      </c>
      <c r="F231" s="67">
        <v>0.33333333333333331</v>
      </c>
      <c r="G231" s="67">
        <v>0.29861476415921445</v>
      </c>
      <c r="H231" s="67">
        <v>0.16780641767490795</v>
      </c>
      <c r="I231" s="68">
        <v>8664.8267762771575</v>
      </c>
      <c r="J231" s="68">
        <v>-8312.2257053291542</v>
      </c>
      <c r="K231" s="67">
        <v>0.12134502923976608</v>
      </c>
      <c r="L231" s="67">
        <v>0.12134502923976608</v>
      </c>
      <c r="M231" s="67">
        <v>0.28002805540943365</v>
      </c>
      <c r="N231" s="67">
        <v>0.20673329826407155</v>
      </c>
      <c r="O231" s="67">
        <v>0.577958672510958</v>
      </c>
      <c r="P231" s="67">
        <v>0.39185750636132316</v>
      </c>
      <c r="Q231" s="67">
        <v>0.43159130945390489</v>
      </c>
    </row>
    <row r="232" spans="1:17" x14ac:dyDescent="0.4">
      <c r="A232" s="69">
        <v>229</v>
      </c>
      <c r="B232" s="66">
        <v>-7.1054273576010019E-15</v>
      </c>
      <c r="C232" s="66">
        <v>-1.0342689021253278E-17</v>
      </c>
      <c r="D232" s="71">
        <v>2</v>
      </c>
      <c r="E232" s="67">
        <v>0.33333333333333331</v>
      </c>
      <c r="F232" s="67">
        <v>0.33333333333333331</v>
      </c>
      <c r="G232" s="67">
        <v>0.29874213836477986</v>
      </c>
      <c r="H232" s="67">
        <v>0.16788958770090845</v>
      </c>
      <c r="I232" s="68">
        <v>8677.5438596491222</v>
      </c>
      <c r="J232" s="68">
        <v>-8317.5858480749212</v>
      </c>
      <c r="K232" s="67">
        <v>0.12081513828238719</v>
      </c>
      <c r="L232" s="67">
        <v>0.12081513828238719</v>
      </c>
      <c r="M232" s="67">
        <v>0.27969951083158628</v>
      </c>
      <c r="N232" s="67">
        <v>0.20649895178197064</v>
      </c>
      <c r="O232" s="67">
        <v>0.57901311680199874</v>
      </c>
      <c r="P232" s="67">
        <v>0.39086294416243655</v>
      </c>
      <c r="Q232" s="67">
        <v>0.43157894736842106</v>
      </c>
    </row>
    <row r="233" spans="1:17" x14ac:dyDescent="0.4">
      <c r="A233" s="69">
        <v>230</v>
      </c>
      <c r="B233" s="66">
        <v>0</v>
      </c>
      <c r="C233" s="66">
        <v>0</v>
      </c>
      <c r="D233" s="71">
        <v>2</v>
      </c>
      <c r="E233" s="67">
        <v>0.33333333333333331</v>
      </c>
      <c r="F233" s="67">
        <v>0.33333333333333331</v>
      </c>
      <c r="G233" s="67">
        <v>0.29864016736401672</v>
      </c>
      <c r="H233" s="67">
        <v>0.16771269177126918</v>
      </c>
      <c r="I233" s="68">
        <v>8706.4798598949219</v>
      </c>
      <c r="J233" s="68">
        <v>-8318.9189189189183</v>
      </c>
      <c r="K233" s="67">
        <v>0.12173913043478261</v>
      </c>
      <c r="L233" s="67">
        <v>0.12173913043478261</v>
      </c>
      <c r="M233" s="67">
        <v>0.27946304044630405</v>
      </c>
      <c r="N233" s="67">
        <v>0.20641562064156208</v>
      </c>
      <c r="O233" s="67">
        <v>0.57829070492825951</v>
      </c>
      <c r="P233" s="67">
        <v>0.39104729729729731</v>
      </c>
      <c r="Q233" s="67">
        <v>0.4319906596614127</v>
      </c>
    </row>
    <row r="234" spans="1:17" x14ac:dyDescent="0.4">
      <c r="A234" s="69">
        <v>231</v>
      </c>
      <c r="B234" s="66">
        <v>-1.4210854715202004E-14</v>
      </c>
      <c r="C234" s="66">
        <v>-2.0506283860320352E-17</v>
      </c>
      <c r="D234" s="71">
        <v>2</v>
      </c>
      <c r="E234" s="67">
        <v>0.33333333333333331</v>
      </c>
      <c r="F234" s="67">
        <v>0.33333333333333331</v>
      </c>
      <c r="G234" s="67">
        <v>0.29864724245577523</v>
      </c>
      <c r="H234" s="67">
        <v>0.1678806798473812</v>
      </c>
      <c r="I234" s="68">
        <v>8699.4192799070843</v>
      </c>
      <c r="J234" s="68">
        <v>-8302.9958677685954</v>
      </c>
      <c r="K234" s="67">
        <v>0.12121212121212122</v>
      </c>
      <c r="L234" s="67">
        <v>0.12121212121212122</v>
      </c>
      <c r="M234" s="67">
        <v>0.27852930974679152</v>
      </c>
      <c r="N234" s="67">
        <v>0.20742282344779744</v>
      </c>
      <c r="O234" s="67">
        <v>0.57845579078455789</v>
      </c>
      <c r="P234" s="67">
        <v>0.39214046822742477</v>
      </c>
      <c r="Q234" s="67">
        <v>0.43147502903600465</v>
      </c>
    </row>
    <row r="235" spans="1:17" x14ac:dyDescent="0.4">
      <c r="A235" s="69">
        <v>232</v>
      </c>
      <c r="B235" s="66">
        <v>-7.1054273576010019E-15</v>
      </c>
      <c r="C235" s="66">
        <v>-1.0208947352875003E-17</v>
      </c>
      <c r="D235" s="71">
        <v>2</v>
      </c>
      <c r="E235" s="67">
        <v>0.33333333333333331</v>
      </c>
      <c r="F235" s="67">
        <v>0.33333333333333331</v>
      </c>
      <c r="G235" s="67">
        <v>0.2986003110419907</v>
      </c>
      <c r="H235" s="67">
        <v>0.16778987385519267</v>
      </c>
      <c r="I235" s="68">
        <v>8686.3425925925931</v>
      </c>
      <c r="J235" s="68">
        <v>-8290.0102986611746</v>
      </c>
      <c r="K235" s="67">
        <v>0.1206896551724138</v>
      </c>
      <c r="L235" s="67">
        <v>0.1206896551724138</v>
      </c>
      <c r="M235" s="67">
        <v>0.27820978054259549</v>
      </c>
      <c r="N235" s="67">
        <v>0.20787973043027475</v>
      </c>
      <c r="O235" s="67">
        <v>0.57826086956521738</v>
      </c>
      <c r="P235" s="67">
        <v>0.39235245220282627</v>
      </c>
      <c r="Q235" s="67">
        <v>0.43171296296296297</v>
      </c>
    </row>
    <row r="236" spans="1:17" x14ac:dyDescent="0.4">
      <c r="A236" s="69">
        <v>233</v>
      </c>
      <c r="B236" s="66">
        <v>0</v>
      </c>
      <c r="C236" s="66">
        <v>0</v>
      </c>
      <c r="D236" s="71">
        <v>2</v>
      </c>
      <c r="E236" s="67">
        <v>0.33333333333333331</v>
      </c>
      <c r="F236" s="67">
        <v>0.33333333333333331</v>
      </c>
      <c r="G236" s="67">
        <v>0.29857167441060056</v>
      </c>
      <c r="H236" s="67">
        <v>0.16812940974014801</v>
      </c>
      <c r="I236" s="68">
        <v>8681.6714697406333</v>
      </c>
      <c r="J236" s="68">
        <v>-8280.757420675538</v>
      </c>
      <c r="K236" s="67">
        <v>0.12160228898426323</v>
      </c>
      <c r="L236" s="67">
        <v>0.12160228898426323</v>
      </c>
      <c r="M236" s="67">
        <v>0.27843744622268113</v>
      </c>
      <c r="N236" s="67">
        <v>0.20770951643434865</v>
      </c>
      <c r="O236" s="67">
        <v>0.57972805933250926</v>
      </c>
      <c r="P236" s="67">
        <v>0.39105219552609777</v>
      </c>
      <c r="Q236" s="67">
        <v>0.43054755043227666</v>
      </c>
    </row>
    <row r="237" spans="1:17" x14ac:dyDescent="0.4">
      <c r="A237" s="69">
        <v>234</v>
      </c>
      <c r="B237" s="66">
        <v>0</v>
      </c>
      <c r="C237" s="66">
        <v>0</v>
      </c>
      <c r="D237" s="71">
        <v>2</v>
      </c>
      <c r="E237" s="67">
        <v>0.33333333333333331</v>
      </c>
      <c r="F237" s="67">
        <v>0.33333333333333331</v>
      </c>
      <c r="G237" s="67">
        <v>0.2983718937446444</v>
      </c>
      <c r="H237" s="67">
        <v>0.16795201371036847</v>
      </c>
      <c r="I237" s="68">
        <v>8703.4462952326248</v>
      </c>
      <c r="J237" s="68">
        <v>-8277.8571428571431</v>
      </c>
      <c r="K237" s="67">
        <v>0.12250712250712251</v>
      </c>
      <c r="L237" s="67">
        <v>0.12250712250712251</v>
      </c>
      <c r="M237" s="67">
        <v>0.27900599828620393</v>
      </c>
      <c r="N237" s="67">
        <v>0.20754070265638389</v>
      </c>
      <c r="O237" s="67">
        <v>0.57923832923832919</v>
      </c>
      <c r="P237" s="67">
        <v>0.39058629232039638</v>
      </c>
      <c r="Q237" s="67">
        <v>0.43078690407811604</v>
      </c>
    </row>
    <row r="238" spans="1:17" x14ac:dyDescent="0.4">
      <c r="A238" s="69">
        <v>235</v>
      </c>
      <c r="B238" s="66">
        <v>2.886579864025407E-15</v>
      </c>
      <c r="C238" s="66">
        <v>4.0944395234402934E-18</v>
      </c>
      <c r="D238" s="71">
        <v>2</v>
      </c>
      <c r="E238" s="67">
        <v>0.33333333333333331</v>
      </c>
      <c r="F238" s="67">
        <v>0.33333333333333331</v>
      </c>
      <c r="G238" s="67">
        <v>0.29845159094776247</v>
      </c>
      <c r="H238" s="67">
        <v>0.16760251829164541</v>
      </c>
      <c r="I238" s="68">
        <v>8709.7491448118581</v>
      </c>
      <c r="J238" s="68">
        <v>-8279.796954314721</v>
      </c>
      <c r="K238" s="67">
        <v>0.12198581560283688</v>
      </c>
      <c r="L238" s="67">
        <v>0.12198581560283688</v>
      </c>
      <c r="M238" s="67">
        <v>0.27837331972094609</v>
      </c>
      <c r="N238" s="67">
        <v>0.20792921558618344</v>
      </c>
      <c r="O238" s="67">
        <v>0.5794621026894865</v>
      </c>
      <c r="P238" s="67">
        <v>0.39034369885433717</v>
      </c>
      <c r="Q238" s="67">
        <v>0.4321550741163056</v>
      </c>
    </row>
    <row r="239" spans="1:17" x14ac:dyDescent="0.4">
      <c r="A239" s="69">
        <v>236</v>
      </c>
      <c r="B239" s="66">
        <v>3.5527136788005009E-15</v>
      </c>
      <c r="C239" s="66">
        <v>5.0179571734470352E-18</v>
      </c>
      <c r="D239" s="71">
        <v>2</v>
      </c>
      <c r="E239" s="67">
        <v>0.33333333333333331</v>
      </c>
      <c r="F239" s="67">
        <v>0.33333333333333331</v>
      </c>
      <c r="G239" s="67">
        <v>0.29878048780487804</v>
      </c>
      <c r="H239" s="67">
        <v>0.16785230352303523</v>
      </c>
      <c r="I239" s="68">
        <v>8718.9342403628125</v>
      </c>
      <c r="J239" s="68">
        <v>-8275.3784056508575</v>
      </c>
      <c r="K239" s="67">
        <v>0.12146892655367232</v>
      </c>
      <c r="L239" s="67">
        <v>0.12146892655367232</v>
      </c>
      <c r="M239" s="67">
        <v>0.27811653116531165</v>
      </c>
      <c r="N239" s="67">
        <v>0.20850271002710027</v>
      </c>
      <c r="O239" s="67">
        <v>0.57917174177831909</v>
      </c>
      <c r="P239" s="67">
        <v>0.39073923639317626</v>
      </c>
      <c r="Q239" s="67">
        <v>0.43140589569160998</v>
      </c>
    </row>
    <row r="240" spans="1:17" x14ac:dyDescent="0.4">
      <c r="A240" s="69">
        <v>237</v>
      </c>
      <c r="B240" s="66">
        <v>7.1054273576010019E-15</v>
      </c>
      <c r="C240" s="66">
        <v>9.9935687167383994E-18</v>
      </c>
      <c r="D240" s="71">
        <v>2</v>
      </c>
      <c r="E240" s="67">
        <v>0.33333333333333331</v>
      </c>
      <c r="F240" s="67">
        <v>0.33333333333333331</v>
      </c>
      <c r="G240" s="67">
        <v>0.29888551165146909</v>
      </c>
      <c r="H240" s="67">
        <v>0.16767983789260385</v>
      </c>
      <c r="I240" s="68">
        <v>8712.4293785310729</v>
      </c>
      <c r="J240" s="68">
        <v>-8270.6948640483388</v>
      </c>
      <c r="K240" s="67">
        <v>0.1209563994374121</v>
      </c>
      <c r="L240" s="67">
        <v>0.1209563994374121</v>
      </c>
      <c r="M240" s="67">
        <v>0.27744005403579874</v>
      </c>
      <c r="N240" s="67">
        <v>0.20888213441404932</v>
      </c>
      <c r="O240" s="67">
        <v>0.57942787583688371</v>
      </c>
      <c r="P240" s="67">
        <v>0.39126919967663704</v>
      </c>
      <c r="Q240" s="67">
        <v>0.43220338983050849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2019-06-27T15:32:19Z</dcterms:modified>
</cp:coreProperties>
</file>