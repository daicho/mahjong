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C3A2B07-5477-4C69-856C-6515543E1E0E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375" r:id="rId6"/>
    <sheet name="だいち" sheetId="5377" r:id="rId7"/>
    <sheet name="りくと" sheetId="5379" r:id="rId8"/>
    <sheet name="ただ" sheetId="5381" r:id="rId9"/>
    <sheet name="れんたろう" sheetId="5383" r:id="rId10"/>
    <sheet name="たかの" sheetId="5385" r:id="rId11"/>
    <sheet name="ぱぱ" sheetId="5387" r:id="rId12"/>
    <sheet name="まっつん" sheetId="5389" r:id="rId13"/>
    <sheet name="あさひ" sheetId="5391" r:id="rId14"/>
    <sheet name="いっしー" sheetId="5393" r:id="rId15"/>
    <sheet name="ほたに" sheetId="5395" r:id="rId16"/>
    <sheet name="かわたつ" sheetId="5397" r:id="rId17"/>
    <sheet name="やがさき" sheetId="5399" r:id="rId18"/>
    <sheet name="やがさき2" sheetId="5400" state="hidden" r:id="rId19"/>
    <sheet name="かわたつ2" sheetId="5398" state="hidden" r:id="rId20"/>
    <sheet name="ほたに2" sheetId="5396" state="hidden" r:id="rId21"/>
    <sheet name="いっしー2" sheetId="5394" state="hidden" r:id="rId22"/>
    <sheet name="あさひ2" sheetId="5392" state="hidden" r:id="rId23"/>
    <sheet name="まっつん2" sheetId="5390" state="hidden" r:id="rId24"/>
    <sheet name="ぱぱ2" sheetId="5388" state="hidden" r:id="rId25"/>
    <sheet name="たかの2" sheetId="5386" state="hidden" r:id="rId26"/>
    <sheet name="れんたろう2" sheetId="5384" state="hidden" r:id="rId27"/>
    <sheet name="ただ2" sheetId="5382" state="hidden" r:id="rId28"/>
    <sheet name="りくと2" sheetId="5380" state="hidden" r:id="rId29"/>
    <sheet name="だいち2" sheetId="5378" state="hidden" r:id="rId30"/>
    <sheet name="全体2" sheetId="537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381" l="1"/>
  <c r="O16" i="5385"/>
  <c r="O15" i="5375"/>
  <c r="O16" i="5399"/>
  <c r="O15" i="5399"/>
  <c r="C27" i="5399"/>
  <c r="B24" i="5399"/>
  <c r="C20" i="5399"/>
  <c r="B17" i="5399"/>
  <c r="H49" i="5399" s="1"/>
  <c r="C16" i="5399"/>
  <c r="C15" i="5399"/>
  <c r="C14" i="5399"/>
  <c r="C13" i="5399"/>
  <c r="O12" i="5399"/>
  <c r="C12" i="5399"/>
  <c r="O11" i="5399"/>
  <c r="C11" i="5399"/>
  <c r="O10" i="5399"/>
  <c r="C10" i="5399"/>
  <c r="C9" i="5399"/>
  <c r="C8" i="5399"/>
  <c r="O7" i="5399"/>
  <c r="C7" i="5399"/>
  <c r="O6" i="5399"/>
  <c r="B6" i="5399"/>
  <c r="O5" i="5399"/>
  <c r="B5" i="5399"/>
  <c r="O4" i="5399"/>
  <c r="O3" i="5399"/>
  <c r="O2" i="5399"/>
  <c r="O15" i="5397"/>
  <c r="O16" i="5397"/>
  <c r="H35" i="5397"/>
  <c r="C27" i="5397"/>
  <c r="B24" i="5397"/>
  <c r="B23" i="5397"/>
  <c r="C20" i="5397"/>
  <c r="B17" i="5397"/>
  <c r="H50" i="5397" s="1"/>
  <c r="H18" i="5397"/>
  <c r="C16" i="5397"/>
  <c r="C15" i="5397"/>
  <c r="C14" i="5397"/>
  <c r="C13" i="5397"/>
  <c r="O12" i="5397"/>
  <c r="H14" i="5397"/>
  <c r="C12" i="5397"/>
  <c r="O11" i="5397"/>
  <c r="C11" i="5397"/>
  <c r="O10" i="5397"/>
  <c r="C10" i="5397"/>
  <c r="H11" i="5397"/>
  <c r="C9" i="5397"/>
  <c r="C8" i="5397"/>
  <c r="O7" i="5397"/>
  <c r="C7" i="5397"/>
  <c r="O6" i="5397"/>
  <c r="B6" i="5397"/>
  <c r="O5" i="5397"/>
  <c r="B5" i="5397"/>
  <c r="O4" i="5397"/>
  <c r="O3" i="5397"/>
  <c r="O2" i="5397"/>
  <c r="H3" i="5397"/>
  <c r="O23" i="5383"/>
  <c r="O17" i="5377"/>
  <c r="O25" i="5375"/>
  <c r="H5" i="5399" l="1"/>
  <c r="H2" i="5399"/>
  <c r="H10" i="5399"/>
  <c r="C17" i="5399"/>
  <c r="H12" i="5399"/>
  <c r="H22" i="5399"/>
  <c r="H28" i="5399"/>
  <c r="H34" i="5399"/>
  <c r="H42" i="5399"/>
  <c r="H50" i="5399"/>
  <c r="H11" i="5399"/>
  <c r="H16" i="5399"/>
  <c r="H23" i="5399"/>
  <c r="H35" i="5399"/>
  <c r="H43" i="5399"/>
  <c r="H51" i="5399"/>
  <c r="H19" i="5399"/>
  <c r="H24" i="5399"/>
  <c r="H7" i="5399"/>
  <c r="H36" i="5399"/>
  <c r="H44" i="5399"/>
  <c r="H8" i="5399"/>
  <c r="H3" i="5399"/>
  <c r="H14" i="5399"/>
  <c r="H17" i="5399"/>
  <c r="C18" i="5399"/>
  <c r="B23" i="5399"/>
  <c r="H29" i="5399"/>
  <c r="H37" i="5399"/>
  <c r="H45" i="5399"/>
  <c r="H20" i="5399"/>
  <c r="H25" i="5399"/>
  <c r="H30" i="5399"/>
  <c r="H38" i="5399"/>
  <c r="H46" i="5399"/>
  <c r="H18" i="5399"/>
  <c r="C19" i="5399"/>
  <c r="H31" i="5399"/>
  <c r="H39" i="5399"/>
  <c r="H47" i="5399"/>
  <c r="H9" i="5399"/>
  <c r="H4" i="5399"/>
  <c r="H13" i="5399"/>
  <c r="H15" i="5399"/>
  <c r="H21" i="5399"/>
  <c r="H26" i="5399"/>
  <c r="H32" i="5399"/>
  <c r="H40" i="5399"/>
  <c r="H48" i="5399"/>
  <c r="H6" i="5399"/>
  <c r="H27" i="5399"/>
  <c r="H33" i="5399"/>
  <c r="H41" i="5399"/>
  <c r="H24" i="5397"/>
  <c r="H8" i="5397"/>
  <c r="H19" i="5397"/>
  <c r="C18" i="5397"/>
  <c r="C19" i="5397"/>
  <c r="H36" i="5397"/>
  <c r="H5" i="5397"/>
  <c r="H25" i="5397"/>
  <c r="H16" i="5397"/>
  <c r="H44" i="5397"/>
  <c r="H46" i="5397"/>
  <c r="H37" i="5397"/>
  <c r="H43" i="5397"/>
  <c r="H2" i="5397"/>
  <c r="H20" i="5397"/>
  <c r="H13" i="5397"/>
  <c r="H28" i="5397"/>
  <c r="H45" i="5397"/>
  <c r="H17" i="5397"/>
  <c r="H6" i="5397"/>
  <c r="H31" i="5397"/>
  <c r="H4" i="5397"/>
  <c r="H10" i="5397"/>
  <c r="H32" i="5397"/>
  <c r="H47" i="5397"/>
  <c r="H38" i="5397"/>
  <c r="H48" i="5397"/>
  <c r="H22" i="5397"/>
  <c r="H29" i="5397"/>
  <c r="H39" i="5397"/>
  <c r="H51" i="5397"/>
  <c r="H12" i="5397"/>
  <c r="H9" i="5397"/>
  <c r="H15" i="5397"/>
  <c r="C17" i="5397"/>
  <c r="H23" i="5397"/>
  <c r="H30" i="5397"/>
  <c r="H40" i="5397"/>
  <c r="H7" i="5397"/>
  <c r="H26" i="5397"/>
  <c r="H33" i="5397"/>
  <c r="H41" i="5397"/>
  <c r="H49" i="5397"/>
  <c r="H21" i="5397"/>
  <c r="H27" i="5397"/>
  <c r="H34" i="5397"/>
  <c r="H42" i="5397"/>
  <c r="O17" i="5385" l="1"/>
  <c r="O18" i="5393"/>
  <c r="O20" i="5395" l="1"/>
  <c r="O18" i="5395"/>
  <c r="O15" i="5389"/>
  <c r="O20" i="5379"/>
  <c r="O24" i="5377" l="1"/>
  <c r="O16" i="5395"/>
  <c r="O21" i="5387"/>
  <c r="O15" i="5395"/>
  <c r="O17" i="5395" l="1"/>
  <c r="O19" i="5395"/>
  <c r="C27" i="5395"/>
  <c r="B24" i="5395"/>
  <c r="C20" i="5395"/>
  <c r="B17" i="5395"/>
  <c r="H50" i="5395" s="1"/>
  <c r="C16" i="5395"/>
  <c r="C15" i="5395"/>
  <c r="C14" i="5395"/>
  <c r="C13" i="5395"/>
  <c r="O12" i="5395"/>
  <c r="C12" i="5395"/>
  <c r="O11" i="5395"/>
  <c r="C11" i="5395"/>
  <c r="O10" i="5395"/>
  <c r="C10" i="5395"/>
  <c r="C9" i="5395"/>
  <c r="C8" i="5395"/>
  <c r="O7" i="5395"/>
  <c r="C7" i="5395"/>
  <c r="O6" i="5395"/>
  <c r="B6" i="5395"/>
  <c r="O5" i="5395"/>
  <c r="B5" i="5395"/>
  <c r="O4" i="5395"/>
  <c r="O3" i="5395"/>
  <c r="O2" i="5395"/>
  <c r="O21" i="5383"/>
  <c r="O18" i="5385"/>
  <c r="O19" i="5375"/>
  <c r="H3" i="5395" l="1"/>
  <c r="H11" i="5395"/>
  <c r="H6" i="5395"/>
  <c r="H12" i="5395"/>
  <c r="H44" i="5395"/>
  <c r="H22" i="5395"/>
  <c r="H47" i="5395"/>
  <c r="H38" i="5395"/>
  <c r="H21" i="5395"/>
  <c r="C18" i="5395"/>
  <c r="H45" i="5395"/>
  <c r="H46" i="5395"/>
  <c r="H35" i="5395"/>
  <c r="H15" i="5395"/>
  <c r="H43" i="5395"/>
  <c r="H19" i="5395"/>
  <c r="H9" i="5395"/>
  <c r="H16" i="5395"/>
  <c r="C19" i="5395"/>
  <c r="H31" i="5395"/>
  <c r="H20" i="5395"/>
  <c r="H23" i="5395"/>
  <c r="H32" i="5395"/>
  <c r="H5" i="5395"/>
  <c r="H14" i="5395"/>
  <c r="H17" i="5395"/>
  <c r="H10" i="5395"/>
  <c r="B23" i="5395"/>
  <c r="H37" i="5395"/>
  <c r="H26" i="5395"/>
  <c r="H36" i="5395"/>
  <c r="H48" i="5395"/>
  <c r="H4" i="5395"/>
  <c r="H2" i="5395"/>
  <c r="H13" i="5395"/>
  <c r="H39" i="5395"/>
  <c r="H51" i="5395"/>
  <c r="H29" i="5395"/>
  <c r="H8" i="5395"/>
  <c r="H18" i="5395"/>
  <c r="C17" i="5395"/>
  <c r="H25" i="5395"/>
  <c r="H30" i="5395"/>
  <c r="H40" i="5395"/>
  <c r="H7" i="5395"/>
  <c r="H27" i="5395"/>
  <c r="H33" i="5395"/>
  <c r="H41" i="5395"/>
  <c r="H49" i="5395"/>
  <c r="H24" i="5395"/>
  <c r="H28" i="5395"/>
  <c r="H34" i="5395"/>
  <c r="H42" i="5395"/>
  <c r="O20" i="5385" l="1"/>
  <c r="O16" i="5381"/>
  <c r="O21" i="5389"/>
  <c r="O20" i="5389"/>
  <c r="O22" i="5377" l="1"/>
  <c r="O16" i="5393"/>
  <c r="O20" i="5393" l="1"/>
  <c r="O15" i="5393"/>
  <c r="O16" i="5383"/>
  <c r="O22" i="5381"/>
  <c r="O17" i="5391" l="1"/>
  <c r="O22" i="5387"/>
  <c r="O15" i="5391"/>
  <c r="O21" i="5393"/>
  <c r="O15" i="5379"/>
  <c r="O18" i="5389"/>
  <c r="O17" i="5375"/>
  <c r="O19" i="5393"/>
  <c r="O17" i="5393"/>
  <c r="C27" i="5393"/>
  <c r="B24" i="5393"/>
  <c r="C20" i="5393"/>
  <c r="B17" i="5393"/>
  <c r="H50" i="5393" s="1"/>
  <c r="C16" i="5393"/>
  <c r="C15" i="5393"/>
  <c r="C14" i="5393"/>
  <c r="C13" i="5393"/>
  <c r="O12" i="5393"/>
  <c r="C12" i="5393"/>
  <c r="O11" i="5393"/>
  <c r="C11" i="5393"/>
  <c r="O10" i="5393"/>
  <c r="C10" i="5393"/>
  <c r="C9" i="5393"/>
  <c r="C8" i="5393"/>
  <c r="O7" i="5393"/>
  <c r="C7" i="5393"/>
  <c r="O6" i="5393"/>
  <c r="B6" i="5393"/>
  <c r="O5" i="5393"/>
  <c r="B5" i="5393"/>
  <c r="O4" i="5393"/>
  <c r="O3" i="5393"/>
  <c r="O2" i="5393"/>
  <c r="O16" i="5391"/>
  <c r="O18" i="5391"/>
  <c r="C27" i="5391"/>
  <c r="B24" i="5391"/>
  <c r="C20" i="5391"/>
  <c r="B17" i="5391"/>
  <c r="H51" i="5391" s="1"/>
  <c r="C16" i="5391"/>
  <c r="C15" i="5391"/>
  <c r="C14" i="5391"/>
  <c r="C13" i="5391"/>
  <c r="O12" i="5391"/>
  <c r="C12" i="5391"/>
  <c r="O11" i="5391"/>
  <c r="C11" i="5391"/>
  <c r="O10" i="5391"/>
  <c r="C10" i="5391"/>
  <c r="C9" i="5391"/>
  <c r="C8" i="5391"/>
  <c r="O7" i="5391"/>
  <c r="C7" i="5391"/>
  <c r="O6" i="5391"/>
  <c r="B6" i="5391"/>
  <c r="O5" i="5391"/>
  <c r="B5" i="5391"/>
  <c r="O4" i="5391"/>
  <c r="O3" i="5391"/>
  <c r="O2" i="5391"/>
  <c r="O22" i="5389"/>
  <c r="O23" i="5389"/>
  <c r="O15" i="5377"/>
  <c r="O18" i="5377"/>
  <c r="O26" i="5375"/>
  <c r="H36" i="5393" l="1"/>
  <c r="H8" i="5393"/>
  <c r="H35" i="5393"/>
  <c r="H3" i="5393"/>
  <c r="H5" i="5393"/>
  <c r="C17" i="5391"/>
  <c r="H13" i="5391"/>
  <c r="H12" i="5391"/>
  <c r="H4" i="5391"/>
  <c r="H2" i="5391"/>
  <c r="H3" i="5391"/>
  <c r="H21" i="5393"/>
  <c r="H13" i="5393"/>
  <c r="H27" i="5393"/>
  <c r="H44" i="5393"/>
  <c r="H18" i="5393"/>
  <c r="H17" i="5393"/>
  <c r="H14" i="5393"/>
  <c r="H45" i="5393"/>
  <c r="H2" i="5393"/>
  <c r="H11" i="5393"/>
  <c r="H9" i="5393"/>
  <c r="H47" i="5393"/>
  <c r="H37" i="5393"/>
  <c r="H16" i="5393"/>
  <c r="H24" i="5393"/>
  <c r="H30" i="5393"/>
  <c r="H7" i="5393"/>
  <c r="H19" i="5393"/>
  <c r="H25" i="5393"/>
  <c r="H31" i="5393"/>
  <c r="H40" i="5393"/>
  <c r="H49" i="5393"/>
  <c r="H46" i="5393"/>
  <c r="H29" i="5393"/>
  <c r="B23" i="5393"/>
  <c r="H48" i="5393"/>
  <c r="H15" i="5393"/>
  <c r="H4" i="5393"/>
  <c r="H10" i="5393"/>
  <c r="H22" i="5393"/>
  <c r="H32" i="5393"/>
  <c r="H41" i="5393"/>
  <c r="H51" i="5393"/>
  <c r="C17" i="5393"/>
  <c r="H38" i="5393"/>
  <c r="H12" i="5393"/>
  <c r="H39" i="5393"/>
  <c r="C18" i="5393"/>
  <c r="H20" i="5393"/>
  <c r="C19" i="5393"/>
  <c r="H26" i="5393"/>
  <c r="H33" i="5393"/>
  <c r="H43" i="5393"/>
  <c r="H6" i="5393"/>
  <c r="H23" i="5393"/>
  <c r="H28" i="5393"/>
  <c r="H34" i="5393"/>
  <c r="H42" i="5393"/>
  <c r="H20" i="5391"/>
  <c r="H25" i="5391"/>
  <c r="H6" i="5391"/>
  <c r="H36" i="5391"/>
  <c r="H44" i="5391"/>
  <c r="H7" i="5391"/>
  <c r="H5" i="5391"/>
  <c r="H14" i="5391"/>
  <c r="H17" i="5391"/>
  <c r="C18" i="5391"/>
  <c r="B23" i="5391"/>
  <c r="H29" i="5391"/>
  <c r="H37" i="5391"/>
  <c r="H45" i="5391"/>
  <c r="H21" i="5391"/>
  <c r="H26" i="5391"/>
  <c r="H30" i="5391"/>
  <c r="H38" i="5391"/>
  <c r="H46" i="5391"/>
  <c r="H18" i="5391"/>
  <c r="C19" i="5391"/>
  <c r="H31" i="5391"/>
  <c r="H39" i="5391"/>
  <c r="H47" i="5391"/>
  <c r="H8" i="5391"/>
  <c r="H10" i="5391"/>
  <c r="H15" i="5391"/>
  <c r="H22" i="5391"/>
  <c r="H11" i="5391"/>
  <c r="H32" i="5391"/>
  <c r="H40" i="5391"/>
  <c r="H48" i="5391"/>
  <c r="H19" i="5391"/>
  <c r="H27" i="5391"/>
  <c r="H33" i="5391"/>
  <c r="H41" i="5391"/>
  <c r="H49" i="5391"/>
  <c r="H23" i="5391"/>
  <c r="H28" i="5391"/>
  <c r="H34" i="5391"/>
  <c r="H42" i="5391"/>
  <c r="H50" i="5391"/>
  <c r="H9" i="5391"/>
  <c r="H16" i="5391"/>
  <c r="H24" i="5391"/>
  <c r="H35" i="5391"/>
  <c r="H43" i="5391"/>
  <c r="O17" i="5389" l="1"/>
  <c r="O20" i="5387"/>
  <c r="O16" i="5387"/>
  <c r="O17" i="5379"/>
  <c r="O19" i="5385" l="1"/>
  <c r="O17" i="5383"/>
  <c r="O17" i="5387"/>
  <c r="O18" i="5387"/>
  <c r="O15" i="5385" l="1"/>
  <c r="O15" i="5383"/>
  <c r="O21" i="5381"/>
  <c r="O19" i="5381"/>
  <c r="O16" i="5389"/>
  <c r="O19" i="5389"/>
  <c r="C27" i="5389"/>
  <c r="B24" i="5389"/>
  <c r="C20" i="5389"/>
  <c r="B17" i="5389"/>
  <c r="H50" i="5389" s="1"/>
  <c r="C16" i="5389"/>
  <c r="C15" i="5389"/>
  <c r="C14" i="5389"/>
  <c r="C13" i="5389"/>
  <c r="O12" i="5389"/>
  <c r="C12" i="5389"/>
  <c r="O11" i="5389"/>
  <c r="C11" i="5389"/>
  <c r="O10" i="5389"/>
  <c r="C10" i="5389"/>
  <c r="C9" i="5389"/>
  <c r="C8" i="5389"/>
  <c r="O7" i="5389"/>
  <c r="C7" i="5389"/>
  <c r="O6" i="5389"/>
  <c r="B6" i="5389"/>
  <c r="O5" i="5389"/>
  <c r="B5" i="5389"/>
  <c r="O4" i="5389"/>
  <c r="O3" i="5389"/>
  <c r="O2" i="5389"/>
  <c r="O22" i="5383"/>
  <c r="O21" i="5379"/>
  <c r="O23" i="5375"/>
  <c r="H12" i="5389" l="1"/>
  <c r="H24" i="5389"/>
  <c r="H9" i="5389"/>
  <c r="H43" i="5389"/>
  <c r="H17" i="5389"/>
  <c r="H14" i="5389"/>
  <c r="H4" i="5389"/>
  <c r="C17" i="5389"/>
  <c r="H33" i="5389"/>
  <c r="H6" i="5389"/>
  <c r="H25" i="5389"/>
  <c r="H18" i="5389"/>
  <c r="H11" i="5389"/>
  <c r="H37" i="5389"/>
  <c r="H48" i="5389"/>
  <c r="H3" i="5389"/>
  <c r="H13" i="5389"/>
  <c r="H21" i="5389"/>
  <c r="H44" i="5389"/>
  <c r="H45" i="5389"/>
  <c r="C18" i="5389"/>
  <c r="H46" i="5389"/>
  <c r="C19" i="5389"/>
  <c r="H19" i="5389"/>
  <c r="H38" i="5389"/>
  <c r="H51" i="5389"/>
  <c r="H22" i="5389"/>
  <c r="H8" i="5389"/>
  <c r="H30" i="5389"/>
  <c r="B23" i="5389"/>
  <c r="H26" i="5389"/>
  <c r="H36" i="5389"/>
  <c r="H2" i="5389"/>
  <c r="H28" i="5389"/>
  <c r="H27" i="5389"/>
  <c r="H10" i="5389"/>
  <c r="H7" i="5389"/>
  <c r="H15" i="5389"/>
  <c r="H20" i="5389"/>
  <c r="H16" i="5389"/>
  <c r="H39" i="5389"/>
  <c r="H5" i="5389"/>
  <c r="H23" i="5389"/>
  <c r="H40" i="5389"/>
  <c r="H47" i="5389"/>
  <c r="H31" i="5389"/>
  <c r="H34" i="5389"/>
  <c r="H41" i="5389"/>
  <c r="H49" i="5389"/>
  <c r="H29" i="5389"/>
  <c r="H32" i="5389"/>
  <c r="H35" i="5389"/>
  <c r="H42" i="5389"/>
  <c r="O18" i="5381" l="1"/>
  <c r="O19" i="5387"/>
  <c r="O15" i="5387"/>
  <c r="C27" i="5387"/>
  <c r="B24" i="5387"/>
  <c r="C20" i="5387"/>
  <c r="B17" i="5387"/>
  <c r="H51" i="5387" s="1"/>
  <c r="C16" i="5387"/>
  <c r="C15" i="5387"/>
  <c r="C14" i="5387"/>
  <c r="C13" i="5387"/>
  <c r="O12" i="5387"/>
  <c r="C12" i="5387"/>
  <c r="O11" i="5387"/>
  <c r="C11" i="5387"/>
  <c r="O10" i="5387"/>
  <c r="C10" i="5387"/>
  <c r="C9" i="5387"/>
  <c r="C8" i="5387"/>
  <c r="O7" i="5387"/>
  <c r="C7" i="5387"/>
  <c r="O6" i="5387"/>
  <c r="B6" i="5387"/>
  <c r="O5" i="5387"/>
  <c r="B5" i="5387"/>
  <c r="O4" i="5387"/>
  <c r="O3" i="5387"/>
  <c r="O2" i="5387"/>
  <c r="O20" i="5377"/>
  <c r="O18" i="5375"/>
  <c r="O21" i="5385"/>
  <c r="O19" i="5379"/>
  <c r="O18" i="5379"/>
  <c r="O19" i="5383"/>
  <c r="O22" i="5385"/>
  <c r="O23" i="5385"/>
  <c r="C27" i="5385"/>
  <c r="B24" i="5385"/>
  <c r="C20" i="5385"/>
  <c r="B17" i="5385"/>
  <c r="H51" i="5385" s="1"/>
  <c r="C16" i="5385"/>
  <c r="C15" i="5385"/>
  <c r="C14" i="5385"/>
  <c r="C13" i="5385"/>
  <c r="O12" i="5385"/>
  <c r="C12" i="5385"/>
  <c r="O11" i="5385"/>
  <c r="C11" i="5385"/>
  <c r="O10" i="5385"/>
  <c r="C10" i="5385"/>
  <c r="C9" i="5385"/>
  <c r="C8" i="5385"/>
  <c r="O7" i="5385"/>
  <c r="C7" i="5385"/>
  <c r="O6" i="5385"/>
  <c r="B6" i="5385"/>
  <c r="O5" i="5385"/>
  <c r="B5" i="5385"/>
  <c r="O4" i="5385"/>
  <c r="O3" i="5385"/>
  <c r="O2" i="5385"/>
  <c r="O20" i="5383"/>
  <c r="O18" i="5383"/>
  <c r="C27" i="5383"/>
  <c r="B24" i="5383"/>
  <c r="C20" i="5383"/>
  <c r="B17" i="5383"/>
  <c r="H22" i="5383" s="1"/>
  <c r="C16" i="5383"/>
  <c r="C15" i="5383"/>
  <c r="C14" i="5383"/>
  <c r="C13" i="5383"/>
  <c r="O12" i="5383"/>
  <c r="C12" i="5383"/>
  <c r="O11" i="5383"/>
  <c r="C11" i="5383"/>
  <c r="O10" i="5383"/>
  <c r="C10" i="5383"/>
  <c r="C9" i="5383"/>
  <c r="C8" i="5383"/>
  <c r="O7" i="5383"/>
  <c r="C7" i="5383"/>
  <c r="O6" i="5383"/>
  <c r="B6" i="5383"/>
  <c r="O5" i="5383"/>
  <c r="B5" i="5383"/>
  <c r="O4" i="5383"/>
  <c r="O3" i="5383"/>
  <c r="O2" i="5383"/>
  <c r="O19" i="5377"/>
  <c r="O23" i="5377"/>
  <c r="O21" i="5375"/>
  <c r="O22" i="5375"/>
  <c r="H44" i="5385" l="1"/>
  <c r="H32" i="5387"/>
  <c r="H8" i="5387"/>
  <c r="H15" i="5387"/>
  <c r="H26" i="5387"/>
  <c r="H7" i="5387"/>
  <c r="H33" i="5387"/>
  <c r="H45" i="5387"/>
  <c r="H4" i="5387"/>
  <c r="H47" i="5387"/>
  <c r="H24" i="5387"/>
  <c r="H21" i="5387"/>
  <c r="H12" i="5387"/>
  <c r="C19" i="5387"/>
  <c r="H46" i="5387"/>
  <c r="H14" i="5387"/>
  <c r="H9" i="5387"/>
  <c r="B23" i="5387"/>
  <c r="H11" i="5387"/>
  <c r="H29" i="5387"/>
  <c r="H3" i="5387"/>
  <c r="H38" i="5387"/>
  <c r="H48" i="5387"/>
  <c r="H5" i="5387"/>
  <c r="H49" i="5387"/>
  <c r="H16" i="5387"/>
  <c r="H2" i="5387"/>
  <c r="C18" i="5387"/>
  <c r="H13" i="5387"/>
  <c r="H39" i="5387"/>
  <c r="H36" i="5387"/>
  <c r="H37" i="5387"/>
  <c r="H23" i="5387"/>
  <c r="H25" i="5387"/>
  <c r="H44" i="5387"/>
  <c r="H41" i="5385"/>
  <c r="H10" i="5383"/>
  <c r="H2" i="5383"/>
  <c r="H4" i="5383"/>
  <c r="H7" i="5383"/>
  <c r="H17" i="5387"/>
  <c r="H31" i="5387"/>
  <c r="H40" i="5387"/>
  <c r="H20" i="5387"/>
  <c r="H10" i="5387"/>
  <c r="H22" i="5387"/>
  <c r="C17" i="5387"/>
  <c r="H28" i="5387"/>
  <c r="H18" i="5387"/>
  <c r="H41" i="5387"/>
  <c r="H6" i="5387"/>
  <c r="H19" i="5387"/>
  <c r="H34" i="5387"/>
  <c r="H42" i="5387"/>
  <c r="H50" i="5387"/>
  <c r="H27" i="5387"/>
  <c r="H30" i="5387"/>
  <c r="H35" i="5387"/>
  <c r="H43" i="5387"/>
  <c r="H17" i="5385"/>
  <c r="H45" i="5385"/>
  <c r="H10" i="5385"/>
  <c r="H31" i="5385"/>
  <c r="H9" i="5385"/>
  <c r="H23" i="5385"/>
  <c r="C19" i="5385"/>
  <c r="H33" i="5385"/>
  <c r="H7" i="5385"/>
  <c r="H12" i="5385"/>
  <c r="H14" i="5385"/>
  <c r="H21" i="5385"/>
  <c r="H5" i="5385"/>
  <c r="C18" i="5385"/>
  <c r="H46" i="5385"/>
  <c r="H6" i="5385"/>
  <c r="H25" i="5385"/>
  <c r="H32" i="5385"/>
  <c r="H22" i="5385"/>
  <c r="H24" i="5385"/>
  <c r="H28" i="5385"/>
  <c r="H36" i="5385"/>
  <c r="H19" i="5385"/>
  <c r="H15" i="5385"/>
  <c r="H37" i="5385"/>
  <c r="H47" i="5385"/>
  <c r="H16" i="5385"/>
  <c r="H11" i="5385"/>
  <c r="H38" i="5385"/>
  <c r="H48" i="5385"/>
  <c r="H49" i="5385"/>
  <c r="H2" i="5385"/>
  <c r="H3" i="5385"/>
  <c r="H27" i="5385"/>
  <c r="H30" i="5385"/>
  <c r="H39" i="5385"/>
  <c r="H8" i="5385"/>
  <c r="H20" i="5385"/>
  <c r="C17" i="5385"/>
  <c r="B23" i="5385"/>
  <c r="H18" i="5385"/>
  <c r="H40" i="5385"/>
  <c r="H4" i="5385"/>
  <c r="H26" i="5385"/>
  <c r="H29" i="5385"/>
  <c r="H34" i="5385"/>
  <c r="H42" i="5385"/>
  <c r="H50" i="5385"/>
  <c r="H13" i="5385"/>
  <c r="H35" i="5385"/>
  <c r="H43" i="5385"/>
  <c r="H11" i="5383"/>
  <c r="C17" i="5383"/>
  <c r="H26" i="5383"/>
  <c r="H3" i="5383"/>
  <c r="H13" i="5383"/>
  <c r="H19" i="5383"/>
  <c r="H20" i="5383"/>
  <c r="H9" i="5383"/>
  <c r="H37" i="5383"/>
  <c r="H45" i="5383"/>
  <c r="H5" i="5383"/>
  <c r="H6" i="5383"/>
  <c r="H23" i="5383"/>
  <c r="H27" i="5383"/>
  <c r="C18" i="5383"/>
  <c r="B23" i="5383"/>
  <c r="H33" i="5383"/>
  <c r="H38" i="5383"/>
  <c r="H46" i="5383"/>
  <c r="H29" i="5383"/>
  <c r="H31" i="5383"/>
  <c r="H17" i="5383"/>
  <c r="H39" i="5383"/>
  <c r="H47" i="5383"/>
  <c r="H28" i="5383"/>
  <c r="C19" i="5383"/>
  <c r="H21" i="5383"/>
  <c r="H40" i="5383"/>
  <c r="H48" i="5383"/>
  <c r="H15" i="5383"/>
  <c r="H12" i="5383"/>
  <c r="H25" i="5383"/>
  <c r="H41" i="5383"/>
  <c r="H49" i="5383"/>
  <c r="H14" i="5383"/>
  <c r="H24" i="5383"/>
  <c r="H34" i="5383"/>
  <c r="H42" i="5383"/>
  <c r="H50" i="5383"/>
  <c r="H30" i="5383"/>
  <c r="H32" i="5383"/>
  <c r="H35" i="5383"/>
  <c r="H43" i="5383"/>
  <c r="H51" i="5383"/>
  <c r="H8" i="5383"/>
  <c r="H18" i="5383"/>
  <c r="H16" i="5383"/>
  <c r="H36" i="5383"/>
  <c r="H44" i="5383"/>
  <c r="O17" i="5381" l="1"/>
  <c r="O20" i="5381"/>
  <c r="C27" i="5381"/>
  <c r="B24" i="5381"/>
  <c r="C20" i="5381"/>
  <c r="B17" i="5381"/>
  <c r="H51" i="5381" s="1"/>
  <c r="C16" i="5381"/>
  <c r="C15" i="5381"/>
  <c r="C14" i="5381"/>
  <c r="C13" i="5381"/>
  <c r="O12" i="5381"/>
  <c r="C12" i="5381"/>
  <c r="O11" i="5381"/>
  <c r="C11" i="5381"/>
  <c r="O10" i="5381"/>
  <c r="C10" i="5381"/>
  <c r="C9" i="5381"/>
  <c r="C8" i="5381"/>
  <c r="O7" i="5381"/>
  <c r="C7" i="5381"/>
  <c r="O6" i="5381"/>
  <c r="B6" i="5381"/>
  <c r="O5" i="5381"/>
  <c r="B5" i="5381"/>
  <c r="O4" i="5381"/>
  <c r="O3" i="5381"/>
  <c r="O2" i="5381"/>
  <c r="O22" i="5379"/>
  <c r="O16" i="5379"/>
  <c r="C27" i="5379"/>
  <c r="B24" i="5379"/>
  <c r="C20" i="5379"/>
  <c r="B17" i="5379"/>
  <c r="H51" i="5379" s="1"/>
  <c r="C16" i="5379"/>
  <c r="C15" i="5379"/>
  <c r="C14" i="5379"/>
  <c r="C13" i="5379"/>
  <c r="O12" i="5379"/>
  <c r="C12" i="5379"/>
  <c r="O11" i="5379"/>
  <c r="C11" i="5379"/>
  <c r="O10" i="5379"/>
  <c r="C10" i="5379"/>
  <c r="C9" i="5379"/>
  <c r="C8" i="5379"/>
  <c r="O7" i="5379"/>
  <c r="C7" i="5379"/>
  <c r="O6" i="5379"/>
  <c r="B6" i="5379"/>
  <c r="O5" i="5379"/>
  <c r="B5" i="5379"/>
  <c r="O4" i="5379"/>
  <c r="O3" i="5379"/>
  <c r="O2" i="5379"/>
  <c r="O24" i="5375"/>
  <c r="O16" i="5377"/>
  <c r="O21" i="5377"/>
  <c r="C27" i="5377"/>
  <c r="B24" i="5377"/>
  <c r="C20" i="5377"/>
  <c r="B17" i="5377"/>
  <c r="H51" i="5377" s="1"/>
  <c r="C16" i="5377"/>
  <c r="C15" i="5377"/>
  <c r="C14" i="5377"/>
  <c r="C13" i="5377"/>
  <c r="O12" i="5377"/>
  <c r="C12" i="5377"/>
  <c r="O11" i="5377"/>
  <c r="C11" i="5377"/>
  <c r="O10" i="5377"/>
  <c r="C10" i="5377"/>
  <c r="C9" i="5377"/>
  <c r="C8" i="5377"/>
  <c r="O7" i="5377"/>
  <c r="C7" i="5377"/>
  <c r="O6" i="5377"/>
  <c r="B6" i="5377"/>
  <c r="O5" i="5377"/>
  <c r="B5" i="5377"/>
  <c r="O4" i="5377"/>
  <c r="O3" i="5377"/>
  <c r="O2" i="5377"/>
  <c r="O16" i="5375"/>
  <c r="O20" i="5375"/>
  <c r="C27" i="5375"/>
  <c r="B24" i="5375"/>
  <c r="C20" i="5375"/>
  <c r="B17" i="5375"/>
  <c r="H5" i="5375" s="1"/>
  <c r="C16" i="5375"/>
  <c r="C15" i="5375"/>
  <c r="C14" i="5375"/>
  <c r="C13" i="5375"/>
  <c r="O12" i="5375"/>
  <c r="C12" i="5375"/>
  <c r="O11" i="5375"/>
  <c r="C11" i="5375"/>
  <c r="O10" i="5375"/>
  <c r="C10" i="5375"/>
  <c r="C9" i="5375"/>
  <c r="C8" i="5375"/>
  <c r="O7" i="5375"/>
  <c r="C7" i="5375"/>
  <c r="O6" i="5375"/>
  <c r="B6" i="5375"/>
  <c r="O5" i="5375"/>
  <c r="B5" i="5375"/>
  <c r="O4" i="5375"/>
  <c r="O3" i="5375"/>
  <c r="O2" i="5375"/>
  <c r="H19" i="5379" l="1"/>
  <c r="H23" i="5377"/>
  <c r="H4" i="5377"/>
  <c r="H44" i="5377"/>
  <c r="H45" i="5377"/>
  <c r="H17" i="5377"/>
  <c r="H13" i="5381"/>
  <c r="H2" i="5381"/>
  <c r="H9" i="5379"/>
  <c r="H2" i="5377"/>
  <c r="H11" i="5377"/>
  <c r="H13" i="5377"/>
  <c r="H25" i="5377"/>
  <c r="H46" i="5377"/>
  <c r="H12" i="5377"/>
  <c r="H31" i="5377"/>
  <c r="H27" i="5377"/>
  <c r="H29" i="5377"/>
  <c r="C19" i="5377"/>
  <c r="H35" i="5377"/>
  <c r="H10" i="5377"/>
  <c r="H3" i="5377"/>
  <c r="H15" i="5377"/>
  <c r="H36" i="5377"/>
  <c r="H7" i="5377"/>
  <c r="H37" i="5377"/>
  <c r="H9" i="5381"/>
  <c r="H11" i="5381"/>
  <c r="H16" i="5381"/>
  <c r="H20" i="5381"/>
  <c r="H18" i="5381"/>
  <c r="H36" i="5381"/>
  <c r="C17" i="5381"/>
  <c r="H3" i="5381"/>
  <c r="H10" i="5381"/>
  <c r="H17" i="5381"/>
  <c r="H4" i="5381"/>
  <c r="H40" i="5381"/>
  <c r="H12" i="5381"/>
  <c r="H6" i="5381"/>
  <c r="H29" i="5381"/>
  <c r="H44" i="5381"/>
  <c r="H5" i="5381"/>
  <c r="H7" i="5381"/>
  <c r="H24" i="5381"/>
  <c r="H26" i="5381"/>
  <c r="C18" i="5381"/>
  <c r="B23" i="5381"/>
  <c r="H31" i="5381"/>
  <c r="H37" i="5381"/>
  <c r="H45" i="5381"/>
  <c r="H27" i="5381"/>
  <c r="H30" i="5381"/>
  <c r="H23" i="5381"/>
  <c r="H38" i="5381"/>
  <c r="H46" i="5381"/>
  <c r="H19" i="5381"/>
  <c r="C19" i="5381"/>
  <c r="H32" i="5381"/>
  <c r="H39" i="5381"/>
  <c r="H47" i="5381"/>
  <c r="H48" i="5381"/>
  <c r="H15" i="5381"/>
  <c r="H21" i="5381"/>
  <c r="H33" i="5381"/>
  <c r="H41" i="5381"/>
  <c r="H49" i="5381"/>
  <c r="H28" i="5381"/>
  <c r="H22" i="5381"/>
  <c r="H34" i="5381"/>
  <c r="H42" i="5381"/>
  <c r="H50" i="5381"/>
  <c r="H8" i="5381"/>
  <c r="H25" i="5381"/>
  <c r="H14" i="5381"/>
  <c r="H35" i="5381"/>
  <c r="H43" i="5381"/>
  <c r="H2" i="5379"/>
  <c r="H12" i="5379"/>
  <c r="H36" i="5379"/>
  <c r="H33" i="5379"/>
  <c r="H7" i="5379"/>
  <c r="H37" i="5379"/>
  <c r="H45" i="5379"/>
  <c r="H21" i="5379"/>
  <c r="H15" i="5379"/>
  <c r="H46" i="5379"/>
  <c r="H47" i="5379"/>
  <c r="H11" i="5379"/>
  <c r="H22" i="5379"/>
  <c r="H48" i="5379"/>
  <c r="H17" i="5379"/>
  <c r="C17" i="5379"/>
  <c r="H34" i="5379"/>
  <c r="H16" i="5379"/>
  <c r="H20" i="5379"/>
  <c r="H29" i="5379"/>
  <c r="C18" i="5379"/>
  <c r="H32" i="5379"/>
  <c r="H26" i="5379"/>
  <c r="H41" i="5379"/>
  <c r="H50" i="5379"/>
  <c r="H38" i="5379"/>
  <c r="H24" i="5379"/>
  <c r="H49" i="5379"/>
  <c r="H10" i="5379"/>
  <c r="H30" i="5379"/>
  <c r="H27" i="5379"/>
  <c r="H42" i="5379"/>
  <c r="H18" i="5379"/>
  <c r="H4" i="5379"/>
  <c r="H14" i="5379"/>
  <c r="H8" i="5379"/>
  <c r="H39" i="5379"/>
  <c r="B23" i="5379"/>
  <c r="H40" i="5379"/>
  <c r="H6" i="5379"/>
  <c r="H3" i="5379"/>
  <c r="H23" i="5379"/>
  <c r="C19" i="5379"/>
  <c r="H13" i="5379"/>
  <c r="H35" i="5379"/>
  <c r="H44" i="5379"/>
  <c r="H5" i="5379"/>
  <c r="H31" i="5379"/>
  <c r="H25" i="5379"/>
  <c r="H28" i="5379"/>
  <c r="H43" i="5379"/>
  <c r="H47" i="5377"/>
  <c r="H22" i="5377"/>
  <c r="H14" i="5377"/>
  <c r="H38" i="5377"/>
  <c r="C17" i="5377"/>
  <c r="H39" i="5377"/>
  <c r="B23" i="5377"/>
  <c r="H18" i="5377"/>
  <c r="H40" i="5377"/>
  <c r="H16" i="5377"/>
  <c r="H9" i="5377"/>
  <c r="H48" i="5377"/>
  <c r="H8" i="5377"/>
  <c r="H33" i="5377"/>
  <c r="H26" i="5377"/>
  <c r="H50" i="5377"/>
  <c r="H19" i="5377"/>
  <c r="H6" i="5377"/>
  <c r="H20" i="5377"/>
  <c r="H30" i="5377"/>
  <c r="C18" i="5377"/>
  <c r="H24" i="5377"/>
  <c r="H21" i="5377"/>
  <c r="H42" i="5377"/>
  <c r="H5" i="5377"/>
  <c r="H41" i="5377"/>
  <c r="H49" i="5377"/>
  <c r="H32" i="5377"/>
  <c r="H34" i="5377"/>
  <c r="H28" i="5377"/>
  <c r="H43" i="5377"/>
  <c r="H16" i="5375"/>
  <c r="H9" i="5375"/>
  <c r="H22" i="5375"/>
  <c r="H17" i="5375"/>
  <c r="H37" i="5375"/>
  <c r="H44" i="5375"/>
  <c r="C17" i="5375"/>
  <c r="H4" i="5375"/>
  <c r="H34" i="5375"/>
  <c r="H40" i="5375"/>
  <c r="H26" i="5375"/>
  <c r="H47" i="5375"/>
  <c r="H6" i="5375"/>
  <c r="H12" i="5375"/>
  <c r="H2" i="5375"/>
  <c r="H20" i="5375"/>
  <c r="H8" i="5375"/>
  <c r="C19" i="5375"/>
  <c r="H7" i="5375"/>
  <c r="H14" i="5375"/>
  <c r="H3" i="5375"/>
  <c r="H11" i="5375"/>
  <c r="H28" i="5375"/>
  <c r="H19" i="5375"/>
  <c r="H21" i="5375"/>
  <c r="H33" i="5375"/>
  <c r="C18" i="5375"/>
  <c r="B23" i="5375"/>
  <c r="H30" i="5375"/>
  <c r="H39" i="5375"/>
  <c r="H46" i="5375"/>
  <c r="H23" i="5375"/>
  <c r="H41" i="5375"/>
  <c r="H48" i="5375"/>
  <c r="H15" i="5375"/>
  <c r="H13" i="5375"/>
  <c r="H25" i="5375"/>
  <c r="H32" i="5375"/>
  <c r="H49" i="5375"/>
  <c r="H24" i="5375"/>
  <c r="H36" i="5375"/>
  <c r="H42" i="5375"/>
  <c r="H50" i="5375"/>
  <c r="H35" i="5375"/>
  <c r="H29" i="5375"/>
  <c r="H31" i="5375"/>
  <c r="H43" i="5375"/>
  <c r="H51" i="5375"/>
  <c r="H18" i="5375"/>
  <c r="H27" i="5375"/>
  <c r="H10" i="5375"/>
  <c r="H38" i="5375"/>
  <c r="H45" i="53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<sst xmlns="http://schemas.openxmlformats.org/spreadsheetml/2006/main" count="3216" uniqueCount="238">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</sst>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全体!$K$2:$K$542</c:f>
              <c:numCache>
                <c:formatCode>General</c:formatCode>
                <c:ptCount val="5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</c:numCache>
            </c:numRef>
          </c:xVal>
          <c:yVal>
            <c:numRef>
              <c:f>全体!$L$2:$L$542</c:f>
              <c:numCache>
                <c:formatCode>\+0.0;\-0.0;\±0</c:formatCode>
                <c:ptCount val="54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90-4A5D-971C-64D3E319C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-14.814814814814815</c:v>
                </c:pt>
                <c:pt idx="1">
                  <c:v>-7.5757575757575761</c:v>
                </c:pt>
                <c:pt idx="2">
                  <c:v>12.048192771084338</c:v>
                </c:pt>
                <c:pt idx="3">
                  <c:v>6.666666666666667</c:v>
                </c:pt>
                <c:pt idx="4">
                  <c:v>-14.925373134328359</c:v>
                </c:pt>
                <c:pt idx="5">
                  <c:v>24.590163934426229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AC-44ED-B190-DD90D7426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だいち!$L$2:$L$122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7-4C00-BA82-65451FE46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1727.5</c:v>
                </c:pt>
                <c:pt idx="1">
                  <c:v>1323.931623931624</c:v>
                </c:pt>
                <c:pt idx="2">
                  <c:v>1472.0720720720722</c:v>
                </c:pt>
                <c:pt idx="3">
                  <c:v>2295.0495049504952</c:v>
                </c:pt>
                <c:pt idx="4">
                  <c:v>781.81818181818187</c:v>
                </c:pt>
                <c:pt idx="5">
                  <c:v>715.38461538461536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8-4059-BF9F-CEA8B53F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りくと!$L$2:$L$117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B7-41EE-ACE0-BE0C248E7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444.3478260869565</c:v>
                </c:pt>
                <c:pt idx="1">
                  <c:v>-2309.0090090090089</c:v>
                </c:pt>
                <c:pt idx="2">
                  <c:v>62.037037037037038</c:v>
                </c:pt>
                <c:pt idx="3">
                  <c:v>256.25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F-4750-8037-10A29FABB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ただ!$L$2:$L$66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3-4D4B-AD64-6015C4A8D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-1973.4375</c:v>
                </c:pt>
                <c:pt idx="1">
                  <c:v>-1333.8709677419354</c:v>
                </c:pt>
                <c:pt idx="2">
                  <c:v>-1018.9655172413793</c:v>
                </c:pt>
                <c:pt idx="3">
                  <c:v>-5580</c:v>
                </c:pt>
                <c:pt idx="4">
                  <c:v>-1686.3636363636363</c:v>
                </c:pt>
                <c:pt idx="5">
                  <c:v>-2143.9024390243903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18-465F-B258-BC66FFAD0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9-496F-A4A5-B043ADED6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-1152</c:v>
                </c:pt>
                <c:pt idx="1">
                  <c:v>382.43243243243245</c:v>
                </c:pt>
                <c:pt idx="2">
                  <c:v>1686.9565217391305</c:v>
                </c:pt>
                <c:pt idx="3">
                  <c:v>2362.7118644067796</c:v>
                </c:pt>
                <c:pt idx="4">
                  <c:v>-838.46153846153845</c:v>
                </c:pt>
                <c:pt idx="5">
                  <c:v>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A-442D-9664-F6D4C5DF6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たかの!$L$2:$L$61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6-45CF-BDFD-F27CA662A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445.76271186440675</c:v>
                </c:pt>
                <c:pt idx="1">
                  <c:v>100</c:v>
                </c:pt>
                <c:pt idx="2">
                  <c:v>-1135.8490566037735</c:v>
                </c:pt>
                <c:pt idx="3">
                  <c:v>372</c:v>
                </c:pt>
                <c:pt idx="4">
                  <c:v>661.22448979591832</c:v>
                </c:pt>
                <c:pt idx="5">
                  <c:v>-351.16279069767444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25-4F8F-BFDC-68AF86709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ぱぱ!$L$2:$L$43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3E-4127-8E0A-3C77FA5B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-3139.0243902439024</c:v>
                </c:pt>
                <c:pt idx="1">
                  <c:v>2056.0975609756097</c:v>
                </c:pt>
                <c:pt idx="2">
                  <c:v>-987.17948717948718</c:v>
                </c:pt>
                <c:pt idx="3">
                  <c:v>-3933.3333333333335</c:v>
                </c:pt>
                <c:pt idx="4">
                  <c:v>-46.875</c:v>
                </c:pt>
                <c:pt idx="5">
                  <c:v>270.96774193548384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EC8-93B4-9E170C428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A-4075-AF7F-0AC65B988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1352.3809523809523</c:v>
                </c:pt>
                <c:pt idx="1">
                  <c:v>1087.5</c:v>
                </c:pt>
                <c:pt idx="2">
                  <c:v>-1263.8888888888889</c:v>
                </c:pt>
                <c:pt idx="3">
                  <c:v>1545.7142857142858</c:v>
                </c:pt>
                <c:pt idx="4">
                  <c:v>-1325.8064516129032</c:v>
                </c:pt>
                <c:pt idx="5">
                  <c:v>307.69230769230768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4A-431D-A7C5-40DB1E39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B-4428-B3A6-0EDFB1BE6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94-4049-A35D-49CEF8D06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7-4485-A2EE-4762E28E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C35-BC73-8FE55BD45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7-4C24-A1E8-E166072AA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D-4258-B654-A4C76D318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E0-49BD-AF9C-E7729BF2B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5-4D71-8D50-39BE4C994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A-48E4-9D43-D68FD2F72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A6-407E-97CA-5DD370CD7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315819881037222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466355762824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777703753053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83.14855875831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57.39014647137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814814814814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814814814814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147235176548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638019098378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725536992840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9830508474576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024390243902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3037104-4489-4997-B3B4-40F5BA073B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446DF65-2153-46D6-86B0-CE5140E6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EC5860-7078-45C7-8B45-E13F61DCCA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23F5FB-A95F-4CDC-A267-D49E9365F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399496-2B73-4627-9AF4-2E9FB46E53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6F6F78-7462-480E-9489-733E48AD02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91B20C-6BF8-4DE8-AF64-E6F0475B65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80089D3-58D3-4481-9F36-34ABDE18F1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DA22A6-99EB-4F20-84C0-8CA52D4E3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B18E1C9-3E13-4CEB-ADD8-22F609727B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02EC0D-B6C3-4A34-B46F-02F9690744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1AF040-FFF7-4E08-AD39-0E7FE6F4D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458750-91C2-47DA-90A8-B453E4FA9A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460917D-7DB8-46DC-884A-ED4E33CB9F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B02D483-0151-46AF-AF68-E5132B2D5C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845297-0493-4A4F-B611-69CA455AE3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F3F8AF-6203-4C1E-B24B-CD3F727F5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FF5138-F686-4298-90A3-B7AA3D7F3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9A59DF-AF92-4CDA-89DA-1985D0F0E7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6AC2CCF-1275-44FC-AFF6-6A30F2479A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3F8A0C-01B7-4DCD-A44B-C153614666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20707D-FCBB-4E8D-9A85-79A9BC2842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46EE6F-945C-46D5-985B-D3096EAA36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D2E74D-5575-4FAC-8CAF-ACA564A756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CB354A-8F7C-4200-80D2-CE9EC5C1E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C483E82-C710-442C-9A9A-CF041B100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9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43607.939467592594</v>
      </c>
      <c r="C44" s="30" t="s">
        <v>130</v>
      </c>
    </row>
    <row r="45" spans="1:11" x14ac:dyDescent="0.4">
      <c r="A45" s="30" t="s">
        <v>232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43608.535393518519</v>
      </c>
      <c r="C47" s="30" t="s">
        <v>130</v>
      </c>
    </row>
    <row r="48" spans="1:11" x14ac:dyDescent="0.4">
      <c r="A48" s="30" t="s">
        <v>237</v>
      </c>
      <c r="B48" s="31">
        <v>43609.017604166664</v>
      </c>
      <c r="C48" s="30" t="s">
        <v>130</v>
      </c>
    </row>
    <row r="49" spans="1:6" x14ac:dyDescent="0.4">
      <c r="A49" s="30" t="s">
        <v>236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540</v>
      </c>
    </row>
    <row r="2" spans="1:2" x14ac:dyDescent="0.4">
      <c r="A2" t="s">
        <v>127</v>
      </c>
      <c r="B2">
        <v>120</v>
      </c>
    </row>
    <row r="3" spans="1:2" x14ac:dyDescent="0.4">
      <c r="A3" t="s">
        <v>128</v>
      </c>
      <c r="B3">
        <v>115</v>
      </c>
    </row>
    <row r="4" spans="1:2" x14ac:dyDescent="0.4">
      <c r="A4" t="s">
        <v>129</v>
      </c>
      <c r="B4">
        <v>64</v>
      </c>
    </row>
    <row r="5" spans="1:2" x14ac:dyDescent="0.4">
      <c r="A5" t="s">
        <v>171</v>
      </c>
      <c r="B5">
        <v>75</v>
      </c>
    </row>
    <row r="6" spans="1:2" x14ac:dyDescent="0.4">
      <c r="A6" t="s">
        <v>172</v>
      </c>
      <c r="B6">
        <v>59</v>
      </c>
    </row>
    <row r="7" spans="1:2" x14ac:dyDescent="0.4">
      <c r="A7" t="s">
        <v>173</v>
      </c>
      <c r="B7">
        <v>41</v>
      </c>
    </row>
    <row r="8" spans="1:2" x14ac:dyDescent="0.4">
      <c r="A8" t="s">
        <v>177</v>
      </c>
      <c r="B8">
        <v>42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0.38120819014498819</v>
      </c>
      <c r="G2" s="159"/>
      <c r="H2" s="158">
        <v>3.8408035841949136E-2</v>
      </c>
      <c r="I2" s="159"/>
      <c r="J2" s="158">
        <v>0.58500166142322219</v>
      </c>
      <c r="K2" s="159"/>
      <c r="L2" s="158">
        <v>0.1930248303111165</v>
      </c>
      <c r="M2" s="159"/>
      <c r="N2" s="158">
        <v>0.44501215162299346</v>
      </c>
      <c r="O2" s="159"/>
      <c r="P2" s="158">
        <v>0.46220452106127119</v>
      </c>
      <c r="Q2" s="159"/>
      <c r="R2" s="158">
        <v>-9.6803076048694606E-2</v>
      </c>
      <c r="S2" s="159"/>
      <c r="T2" s="158">
        <v>0.23465666477914876</v>
      </c>
      <c r="U2" s="159"/>
      <c r="V2" s="158">
        <v>0.65985034047802593</v>
      </c>
      <c r="W2" s="159"/>
      <c r="X2" s="158">
        <v>0.8460054033497687</v>
      </c>
      <c r="Y2" s="159"/>
      <c r="Z2" s="158">
        <v>-0.11255441200447808</v>
      </c>
      <c r="AA2" s="159"/>
      <c r="AB2" s="158">
        <v>-0.37920415006594921</v>
      </c>
      <c r="AC2" s="159"/>
      <c r="AD2" s="158">
        <v>-7.6471745910942608E-3</v>
      </c>
      <c r="AE2" s="159"/>
      <c r="AF2" s="158">
        <v>-0.4787637517433101</v>
      </c>
      <c r="AG2" s="159"/>
      <c r="AH2" s="158">
        <v>0.71118122098051539</v>
      </c>
      <c r="AI2" s="159"/>
    </row>
    <row r="3" spans="1:35" x14ac:dyDescent="0.4">
      <c r="A3" s="74">
        <v>1</v>
      </c>
      <c r="B3" s="75" t="s">
        <v>127</v>
      </c>
      <c r="C3" s="76">
        <v>1527.0000000000011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0.17499999999999999</v>
      </c>
      <c r="X3" s="77" t="s">
        <v>225</v>
      </c>
      <c r="Y3" s="80">
        <v>0.375</v>
      </c>
      <c r="Z3" s="77" t="s">
        <v>172</v>
      </c>
      <c r="AA3" s="80">
        <v>0.28875968992248063</v>
      </c>
      <c r="AB3" s="77" t="s">
        <v>225</v>
      </c>
      <c r="AC3" s="80">
        <v>1</v>
      </c>
      <c r="AD3" s="77" t="s">
        <v>127</v>
      </c>
      <c r="AE3" s="80">
        <v>0.51162790697674421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145.29999999999998</v>
      </c>
      <c r="D4" s="85" t="s">
        <v>224</v>
      </c>
      <c r="E4" s="97">
        <v>13.3</v>
      </c>
      <c r="F4" s="85" t="s">
        <v>127</v>
      </c>
      <c r="G4" s="86">
        <v>1.7333333333333334</v>
      </c>
      <c r="H4" s="85" t="s">
        <v>127</v>
      </c>
      <c r="I4" s="87">
        <v>0.49166666666666664</v>
      </c>
      <c r="J4" s="85" t="s">
        <v>224</v>
      </c>
      <c r="K4" s="87">
        <v>0</v>
      </c>
      <c r="L4" s="85" t="s">
        <v>172</v>
      </c>
      <c r="M4" s="88">
        <v>0.36434108527131781</v>
      </c>
      <c r="N4" s="85" t="s">
        <v>185</v>
      </c>
      <c r="O4" s="88">
        <v>0.10526315789473684</v>
      </c>
      <c r="P4" s="85" t="s">
        <v>171</v>
      </c>
      <c r="Q4" s="89">
        <v>9939.8876404494385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0.13333333333333333</v>
      </c>
      <c r="X4" s="85" t="s">
        <v>127</v>
      </c>
      <c r="Y4" s="88">
        <v>0.32818930041152261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177</v>
      </c>
      <c r="C5" s="84">
        <v>97.600000000000009</v>
      </c>
      <c r="D5" s="85" t="s">
        <v>127</v>
      </c>
      <c r="E5" s="97">
        <v>12.72500000000001</v>
      </c>
      <c r="F5" s="85" t="s">
        <v>177</v>
      </c>
      <c r="G5" s="86">
        <v>1.9285714285714286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0.3508230452674897</v>
      </c>
      <c r="N5" s="85" t="s">
        <v>172</v>
      </c>
      <c r="O5" s="88">
        <v>0.12790697674418605</v>
      </c>
      <c r="P5" s="85" t="s">
        <v>128</v>
      </c>
      <c r="Q5" s="89">
        <v>9304.2635658914733</v>
      </c>
      <c r="R5" s="85" t="s">
        <v>177</v>
      </c>
      <c r="S5" s="89">
        <v>-7670.3703703703704</v>
      </c>
      <c r="T5" s="85" t="s">
        <v>224</v>
      </c>
      <c r="U5" s="87">
        <v>0</v>
      </c>
      <c r="V5" s="85" t="s">
        <v>177</v>
      </c>
      <c r="W5" s="87">
        <v>0.11904761904761904</v>
      </c>
      <c r="X5" s="85" t="s">
        <v>128</v>
      </c>
      <c r="Y5" s="88">
        <v>0.29778247096092925</v>
      </c>
      <c r="Z5" s="85" t="s">
        <v>173</v>
      </c>
      <c r="AA5" s="88">
        <v>0.25352112676056338</v>
      </c>
      <c r="AB5" s="85" t="s">
        <v>177</v>
      </c>
      <c r="AC5" s="88">
        <v>0.69411764705882351</v>
      </c>
      <c r="AD5" s="85" t="s">
        <v>186</v>
      </c>
      <c r="AE5" s="88">
        <v>0.45</v>
      </c>
      <c r="AF5" s="85" t="s">
        <v>173</v>
      </c>
      <c r="AG5" s="88">
        <v>0.51923076923076927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177</v>
      </c>
      <c r="E6" s="97">
        <v>2.323809523809524</v>
      </c>
      <c r="F6" s="85" t="s">
        <v>145</v>
      </c>
      <c r="G6" s="86">
        <v>2</v>
      </c>
      <c r="H6" s="85" t="s">
        <v>177</v>
      </c>
      <c r="I6" s="87">
        <v>0.40476190476190477</v>
      </c>
      <c r="J6" s="85" t="s">
        <v>127</v>
      </c>
      <c r="K6" s="87">
        <v>0.22500000000000001</v>
      </c>
      <c r="L6" s="85" t="s">
        <v>177</v>
      </c>
      <c r="M6" s="88">
        <v>0.30791788856304986</v>
      </c>
      <c r="N6" s="85" t="s">
        <v>127</v>
      </c>
      <c r="O6" s="88">
        <v>0.15020576131687244</v>
      </c>
      <c r="P6" s="85" t="s">
        <v>129</v>
      </c>
      <c r="Q6" s="89">
        <v>9125.8333333333339</v>
      </c>
      <c r="R6" s="85" t="s">
        <v>173</v>
      </c>
      <c r="S6" s="89">
        <v>-7689.7058823529414</v>
      </c>
      <c r="T6" s="85" t="s">
        <v>225</v>
      </c>
      <c r="U6" s="87">
        <v>0</v>
      </c>
      <c r="V6" s="85" t="s">
        <v>145</v>
      </c>
      <c r="W6" s="87">
        <v>0.11481481481481481</v>
      </c>
      <c r="X6" s="85" t="s">
        <v>171</v>
      </c>
      <c r="Y6" s="88">
        <v>0.2861685214626391</v>
      </c>
      <c r="Z6" s="85" t="s">
        <v>127</v>
      </c>
      <c r="AA6" s="88">
        <v>0.22119341563786007</v>
      </c>
      <c r="AB6" s="85" t="s">
        <v>186</v>
      </c>
      <c r="AC6" s="88">
        <v>0.625</v>
      </c>
      <c r="AD6" s="85" t="s">
        <v>172</v>
      </c>
      <c r="AE6" s="88">
        <v>0.44295302013422821</v>
      </c>
      <c r="AF6" s="85" t="s">
        <v>129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172</v>
      </c>
      <c r="C7" s="84">
        <v>21.999999999999986</v>
      </c>
      <c r="D7" s="85" t="s">
        <v>171</v>
      </c>
      <c r="E7" s="97">
        <v>1.9373333333333331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0.30508474576271188</v>
      </c>
      <c r="L7" s="85" t="s">
        <v>202</v>
      </c>
      <c r="M7" s="88">
        <v>0.30434782608695654</v>
      </c>
      <c r="N7" s="85" t="s">
        <v>177</v>
      </c>
      <c r="O7" s="88">
        <v>0.15835777126099707</v>
      </c>
      <c r="P7" s="85" t="s">
        <v>127</v>
      </c>
      <c r="Q7" s="89">
        <v>9120.5278592375362</v>
      </c>
      <c r="R7" s="85" t="s">
        <v>186</v>
      </c>
      <c r="S7" s="89">
        <v>-7700</v>
      </c>
      <c r="T7" s="85" t="s">
        <v>172</v>
      </c>
      <c r="U7" s="87">
        <v>5.0847457627118647E-2</v>
      </c>
      <c r="V7" s="85" t="s">
        <v>129</v>
      </c>
      <c r="W7" s="87">
        <v>0.109375</v>
      </c>
      <c r="X7" s="85" t="s">
        <v>145</v>
      </c>
      <c r="Y7" s="88">
        <v>0.27914723517654899</v>
      </c>
      <c r="Z7" s="85" t="s">
        <v>185</v>
      </c>
      <c r="AA7" s="88">
        <v>0.21052631578947367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186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224</v>
      </c>
      <c r="C8" s="84">
        <v>13.3</v>
      </c>
      <c r="D8" s="85" t="s">
        <v>172</v>
      </c>
      <c r="E8" s="97">
        <v>0.37288135593220317</v>
      </c>
      <c r="F8" s="85" t="s">
        <v>224</v>
      </c>
      <c r="G8" s="86">
        <v>2</v>
      </c>
      <c r="H8" s="85" t="s">
        <v>171</v>
      </c>
      <c r="I8" s="87">
        <v>0.30666666666666664</v>
      </c>
      <c r="J8" s="85" t="s">
        <v>177</v>
      </c>
      <c r="K8" s="87">
        <v>0.33333333333333331</v>
      </c>
      <c r="L8" s="85" t="s">
        <v>145</v>
      </c>
      <c r="M8" s="88">
        <v>0.30046635576282477</v>
      </c>
      <c r="N8" s="85" t="s">
        <v>145</v>
      </c>
      <c r="O8" s="88">
        <v>0.16677770375305351</v>
      </c>
      <c r="P8" s="85" t="s">
        <v>177</v>
      </c>
      <c r="Q8" s="89">
        <v>8869.5238095238092</v>
      </c>
      <c r="R8" s="85" t="s">
        <v>128</v>
      </c>
      <c r="S8" s="89">
        <v>-7741.1042944785277</v>
      </c>
      <c r="T8" s="85" t="s">
        <v>171</v>
      </c>
      <c r="U8" s="87">
        <v>6.6666666666666666E-2</v>
      </c>
      <c r="V8" s="85" t="s">
        <v>172</v>
      </c>
      <c r="W8" s="87">
        <v>0.10169491525423729</v>
      </c>
      <c r="X8" s="85" t="s">
        <v>129</v>
      </c>
      <c r="Y8" s="88">
        <v>0.26981132075471698</v>
      </c>
      <c r="Z8" s="85" t="s">
        <v>145</v>
      </c>
      <c r="AA8" s="88">
        <v>0.20963801909837887</v>
      </c>
      <c r="AB8" s="85" t="s">
        <v>173</v>
      </c>
      <c r="AC8" s="88">
        <v>0.59756097560975607</v>
      </c>
      <c r="AD8" s="85" t="s">
        <v>171</v>
      </c>
      <c r="AE8" s="88">
        <v>0.39830508474576271</v>
      </c>
      <c r="AF8" s="85" t="s">
        <v>224</v>
      </c>
      <c r="AG8" s="88">
        <v>0.5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7.1054273576010019E-15</v>
      </c>
      <c r="D9" s="85" t="s">
        <v>145</v>
      </c>
      <c r="E9" s="97">
        <v>1.3158198810372226E-17</v>
      </c>
      <c r="F9" s="85" t="s">
        <v>172</v>
      </c>
      <c r="G9" s="86">
        <v>2.0338983050847457</v>
      </c>
      <c r="H9" s="85" t="s">
        <v>172</v>
      </c>
      <c r="I9" s="87">
        <v>0.2711864406779661</v>
      </c>
      <c r="J9" s="85" t="s">
        <v>145</v>
      </c>
      <c r="K9" s="87">
        <v>0.33333333333333331</v>
      </c>
      <c r="L9" s="85" t="s">
        <v>173</v>
      </c>
      <c r="M9" s="88">
        <v>0.29295774647887324</v>
      </c>
      <c r="N9" s="85" t="s">
        <v>171</v>
      </c>
      <c r="O9" s="88">
        <v>0.17170111287758347</v>
      </c>
      <c r="P9" s="85" t="s">
        <v>145</v>
      </c>
      <c r="Q9" s="89">
        <v>8683.1485587583156</v>
      </c>
      <c r="R9" s="85" t="s">
        <v>171</v>
      </c>
      <c r="S9" s="89">
        <v>-7845.3703703703704</v>
      </c>
      <c r="T9" s="85" t="s">
        <v>127</v>
      </c>
      <c r="U9" s="87">
        <v>0.10833333333333334</v>
      </c>
      <c r="V9" s="85" t="s">
        <v>128</v>
      </c>
      <c r="W9" s="87">
        <v>9.5652173913043481E-2</v>
      </c>
      <c r="X9" s="85" t="s">
        <v>185</v>
      </c>
      <c r="Y9" s="88">
        <v>0.26315789473684209</v>
      </c>
      <c r="Z9" s="85" t="s">
        <v>177</v>
      </c>
      <c r="AA9" s="88">
        <v>0.20527859237536658</v>
      </c>
      <c r="AB9" s="85" t="s">
        <v>171</v>
      </c>
      <c r="AC9" s="88">
        <v>0.58888888888888891</v>
      </c>
      <c r="AD9" s="85" t="s">
        <v>145</v>
      </c>
      <c r="AE9" s="88">
        <v>0.38983050847457629</v>
      </c>
      <c r="AF9" s="85" t="s">
        <v>145</v>
      </c>
      <c r="AG9" s="88">
        <v>0.43902439024390244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-2.8486956521739137</v>
      </c>
      <c r="F10" s="85" t="s">
        <v>171</v>
      </c>
      <c r="G10" s="86">
        <v>2.04</v>
      </c>
      <c r="H10" s="85" t="s">
        <v>128</v>
      </c>
      <c r="I10" s="87">
        <v>0.26956521739130435</v>
      </c>
      <c r="J10" s="85" t="s">
        <v>171</v>
      </c>
      <c r="K10" s="87">
        <v>0.34666666666666668</v>
      </c>
      <c r="L10" s="85" t="s">
        <v>171</v>
      </c>
      <c r="M10" s="88">
        <v>0.28298887122416533</v>
      </c>
      <c r="N10" s="85" t="s">
        <v>128</v>
      </c>
      <c r="O10" s="88">
        <v>0.17212249208025343</v>
      </c>
      <c r="P10" s="85" t="s">
        <v>225</v>
      </c>
      <c r="Q10" s="89">
        <v>8666.6666666666661</v>
      </c>
      <c r="R10" s="85" t="s">
        <v>145</v>
      </c>
      <c r="S10" s="89">
        <v>-8257.3901464713708</v>
      </c>
      <c r="T10" s="85" t="s">
        <v>145</v>
      </c>
      <c r="U10" s="87">
        <v>0.11481481481481481</v>
      </c>
      <c r="V10" s="85" t="s">
        <v>173</v>
      </c>
      <c r="W10" s="87">
        <v>4.878048780487805E-2</v>
      </c>
      <c r="X10" s="85" t="s">
        <v>177</v>
      </c>
      <c r="Y10" s="88">
        <v>0.24926686217008798</v>
      </c>
      <c r="Z10" s="85" t="s">
        <v>186</v>
      </c>
      <c r="AA10" s="88">
        <v>0.19230769230769232</v>
      </c>
      <c r="AB10" s="85" t="s">
        <v>128</v>
      </c>
      <c r="AC10" s="88">
        <v>0.58510638297872342</v>
      </c>
      <c r="AD10" s="85" t="s">
        <v>177</v>
      </c>
      <c r="AE10" s="88">
        <v>0.37142857142857144</v>
      </c>
      <c r="AF10" s="85" t="s">
        <v>171</v>
      </c>
      <c r="AG10" s="88">
        <v>0.42696629213483145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128</v>
      </c>
      <c r="G11" s="86">
        <v>2.0782608695652174</v>
      </c>
      <c r="H11" s="85" t="s">
        <v>173</v>
      </c>
      <c r="I11" s="87">
        <v>0.26829268292682928</v>
      </c>
      <c r="J11" s="85" t="s">
        <v>128</v>
      </c>
      <c r="K11" s="87">
        <v>0.34782608695652173</v>
      </c>
      <c r="L11" s="85" t="s">
        <v>128</v>
      </c>
      <c r="M11" s="88">
        <v>0.27243928194297784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-8356.1643835616433</v>
      </c>
      <c r="T11" s="85" t="s">
        <v>173</v>
      </c>
      <c r="U11" s="87">
        <v>0.12195121951219512</v>
      </c>
      <c r="V11" s="85" t="s">
        <v>186</v>
      </c>
      <c r="W11" s="87">
        <v>0</v>
      </c>
      <c r="X11" s="85" t="s">
        <v>202</v>
      </c>
      <c r="Y11" s="88">
        <v>0.24637681159420291</v>
      </c>
      <c r="Z11" s="85" t="s">
        <v>171</v>
      </c>
      <c r="AA11" s="88">
        <v>0.18759936406995231</v>
      </c>
      <c r="AB11" s="85" t="s">
        <v>145</v>
      </c>
      <c r="AC11" s="88">
        <v>0.58472553699284013</v>
      </c>
      <c r="AD11" s="85" t="s">
        <v>173</v>
      </c>
      <c r="AE11" s="88">
        <v>0.32222222222222224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-7.4048780487804873</v>
      </c>
      <c r="F12" s="85" t="s">
        <v>186</v>
      </c>
      <c r="G12" s="86">
        <v>2.0833333333333335</v>
      </c>
      <c r="H12" s="85" t="s">
        <v>129</v>
      </c>
      <c r="I12" s="87">
        <v>0.234375</v>
      </c>
      <c r="J12" s="85" t="s">
        <v>173</v>
      </c>
      <c r="K12" s="87">
        <v>0.36585365853658536</v>
      </c>
      <c r="L12" s="85" t="s">
        <v>186</v>
      </c>
      <c r="M12" s="88">
        <v>0.26923076923076922</v>
      </c>
      <c r="N12" s="85" t="s">
        <v>173</v>
      </c>
      <c r="O12" s="88">
        <v>0.19154929577464788</v>
      </c>
      <c r="P12" s="85" t="s">
        <v>186</v>
      </c>
      <c r="Q12" s="89">
        <v>7700</v>
      </c>
      <c r="R12" s="85" t="s">
        <v>172</v>
      </c>
      <c r="S12" s="89">
        <v>-9269.69696969697</v>
      </c>
      <c r="T12" s="85" t="s">
        <v>128</v>
      </c>
      <c r="U12" s="87">
        <v>0.13043478260869565</v>
      </c>
      <c r="V12" s="85" t="s">
        <v>185</v>
      </c>
      <c r="W12" s="87">
        <v>0</v>
      </c>
      <c r="X12" s="85" t="s">
        <v>173</v>
      </c>
      <c r="Y12" s="88">
        <v>0.23098591549295774</v>
      </c>
      <c r="Z12" s="85" t="s">
        <v>128</v>
      </c>
      <c r="AA12" s="88">
        <v>0.18057022175290391</v>
      </c>
      <c r="AB12" s="85" t="s">
        <v>127</v>
      </c>
      <c r="AC12" s="88">
        <v>0.57993730407523514</v>
      </c>
      <c r="AD12" s="85" t="s">
        <v>128</v>
      </c>
      <c r="AE12" s="88">
        <v>0.2982456140350877</v>
      </c>
      <c r="AF12" s="85" t="s">
        <v>172</v>
      </c>
      <c r="AG12" s="88">
        <v>0.42021276595744683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-303.59999999999997</v>
      </c>
      <c r="D13" s="85" t="s">
        <v>186</v>
      </c>
      <c r="E13" s="97">
        <v>-9.7166666666666668</v>
      </c>
      <c r="F13" s="85" t="s">
        <v>173</v>
      </c>
      <c r="G13" s="86">
        <v>2.0975609756097562</v>
      </c>
      <c r="H13" s="85" t="s">
        <v>202</v>
      </c>
      <c r="I13" s="87">
        <v>0.14285714285714285</v>
      </c>
      <c r="J13" s="85" t="s">
        <v>129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0.19622641509433963</v>
      </c>
      <c r="P13" s="85" t="s">
        <v>202</v>
      </c>
      <c r="Q13" s="89">
        <v>7438.0952380952385</v>
      </c>
      <c r="R13" s="85" t="s">
        <v>129</v>
      </c>
      <c r="S13" s="89">
        <v>-9557.6923076923085</v>
      </c>
      <c r="T13" s="85" t="s">
        <v>177</v>
      </c>
      <c r="U13" s="87">
        <v>0.16666666666666666</v>
      </c>
      <c r="V13" s="85" t="s">
        <v>202</v>
      </c>
      <c r="W13" s="87">
        <v>0</v>
      </c>
      <c r="X13" s="85" t="s">
        <v>186</v>
      </c>
      <c r="Y13" s="88">
        <v>0.23076923076923078</v>
      </c>
      <c r="Z13" s="85" t="s">
        <v>129</v>
      </c>
      <c r="AA13" s="88">
        <v>0.16226415094339622</v>
      </c>
      <c r="AB13" s="85" t="s">
        <v>172</v>
      </c>
      <c r="AC13" s="88">
        <v>0.57894736842105265</v>
      </c>
      <c r="AD13" s="85" t="s">
        <v>129</v>
      </c>
      <c r="AE13" s="88">
        <v>0.23255813953488372</v>
      </c>
      <c r="AF13" s="85" t="s">
        <v>177</v>
      </c>
      <c r="AG13" s="88">
        <v>0.41904761904761906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-327.60000000000008</v>
      </c>
      <c r="D14" s="85" t="s">
        <v>129</v>
      </c>
      <c r="E14" s="97">
        <v>-16.501562499999995</v>
      </c>
      <c r="F14" s="85" t="s">
        <v>129</v>
      </c>
      <c r="G14" s="86">
        <v>2.265625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0.22641509433962265</v>
      </c>
      <c r="N14" s="85" t="s">
        <v>186</v>
      </c>
      <c r="O14" s="88">
        <v>0.23076923076923078</v>
      </c>
      <c r="P14" s="85" t="s">
        <v>173</v>
      </c>
      <c r="Q14" s="89">
        <v>7119.2307692307695</v>
      </c>
      <c r="R14" s="85" t="s">
        <v>224</v>
      </c>
      <c r="S14" s="89">
        <v>-12000</v>
      </c>
      <c r="T14" s="85" t="s">
        <v>186</v>
      </c>
      <c r="U14" s="87">
        <v>0.16666666666666666</v>
      </c>
      <c r="V14" s="85" t="s">
        <v>224</v>
      </c>
      <c r="W14" s="87">
        <v>0</v>
      </c>
      <c r="X14" s="85" t="s">
        <v>224</v>
      </c>
      <c r="Y14" s="88">
        <v>0.23076923076923078</v>
      </c>
      <c r="Z14" s="85" t="s">
        <v>225</v>
      </c>
      <c r="AA14" s="88">
        <v>0.125</v>
      </c>
      <c r="AB14" s="85" t="s">
        <v>129</v>
      </c>
      <c r="AC14" s="88">
        <v>0.49650349650349651</v>
      </c>
      <c r="AD14" s="85" t="s">
        <v>224</v>
      </c>
      <c r="AE14" s="88">
        <v>0</v>
      </c>
      <c r="AF14" s="85" t="s">
        <v>127</v>
      </c>
      <c r="AG14" s="88">
        <v>0.41348973607038125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-1056.0999999999997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6579.255319148936</v>
      </c>
      <c r="R15" s="85" t="s">
        <v>225</v>
      </c>
      <c r="S15" s="89">
        <v>-14000</v>
      </c>
      <c r="T15" s="85" t="s">
        <v>129</v>
      </c>
      <c r="U15" s="87">
        <v>0.1875</v>
      </c>
      <c r="V15" s="85" t="s">
        <v>225</v>
      </c>
      <c r="W15" s="87">
        <v>0</v>
      </c>
      <c r="X15" s="85" t="s">
        <v>172</v>
      </c>
      <c r="Y15" s="88">
        <v>0.22093023255813954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017C8-B4FA-41A2-BCFD-E2187B042FB4}">
  <sheetPr codeName="Sheet4"/>
  <dimension ref="A1:Q54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540</v>
      </c>
      <c r="C2" s="147"/>
      <c r="E2" s="62" t="s">
        <v>67</v>
      </c>
      <c r="F2" s="59" t="s">
        <v>23</v>
      </c>
      <c r="G2" s="46">
        <v>1003</v>
      </c>
      <c r="H2" s="132">
        <f>IF(B$17=0,0,G2/B$17)</f>
        <v>0.74131559497413158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-14.814814814814815</v>
      </c>
      <c r="P2" s="118">
        <v>540</v>
      </c>
      <c r="Q2" s="102">
        <v>-8000</v>
      </c>
    </row>
    <row r="3" spans="1:17" x14ac:dyDescent="0.4">
      <c r="A3" s="55" t="s">
        <v>8</v>
      </c>
      <c r="B3" s="148">
        <v>4503</v>
      </c>
      <c r="C3" s="149"/>
      <c r="E3" s="63" t="s">
        <v>65</v>
      </c>
      <c r="F3" s="60" t="s">
        <v>21</v>
      </c>
      <c r="G3" s="47">
        <v>703</v>
      </c>
      <c r="H3" s="133">
        <f>IF(B$17=0,0,G3/B$17)</f>
        <v>0.51958610495195856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-7.5757575757575761</v>
      </c>
      <c r="P3" s="119">
        <v>528</v>
      </c>
      <c r="Q3" s="103">
        <v>-4000</v>
      </c>
    </row>
    <row r="4" spans="1:17" x14ac:dyDescent="0.4">
      <c r="A4" s="55" t="s">
        <v>6</v>
      </c>
      <c r="B4" s="150">
        <v>7.1054273576010019E-15</v>
      </c>
      <c r="C4" s="151"/>
      <c r="E4" s="63" t="s">
        <v>73</v>
      </c>
      <c r="F4" s="60" t="s">
        <v>28</v>
      </c>
      <c r="G4" s="47">
        <v>689</v>
      </c>
      <c r="H4" s="133">
        <f>IF(B$17=0,0,G4/B$17)</f>
        <v>0.50923872875092391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12.048192771084338</v>
      </c>
      <c r="P4" s="119">
        <v>498</v>
      </c>
      <c r="Q4" s="103">
        <v>6000</v>
      </c>
    </row>
    <row r="5" spans="1:17" x14ac:dyDescent="0.4">
      <c r="A5" s="55" t="s">
        <v>7</v>
      </c>
      <c r="B5" s="152">
        <f>IF(B$2=0,0,B$4/B$2)</f>
        <v>1.3158198810372226E-17</v>
      </c>
      <c r="C5" s="153"/>
      <c r="E5" s="63" t="s">
        <v>181</v>
      </c>
      <c r="F5" s="60" t="s">
        <v>182</v>
      </c>
      <c r="G5" s="47">
        <v>557</v>
      </c>
      <c r="H5" s="133">
        <f>IF(B$17=0,0,G5/B$17)</f>
        <v>0.41167775314116778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6.666666666666667</v>
      </c>
      <c r="P5" s="119">
        <v>450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428</v>
      </c>
      <c r="H6" s="133">
        <f>IF(B$17=0,0,G6/B$17)</f>
        <v>0.31633407243163342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-14.925373134328359</v>
      </c>
      <c r="P6" s="119">
        <v>402</v>
      </c>
      <c r="Q6" s="103">
        <v>-6000</v>
      </c>
    </row>
    <row r="7" spans="1:17" x14ac:dyDescent="0.4">
      <c r="A7" s="55" t="s">
        <v>2</v>
      </c>
      <c r="B7" s="47">
        <v>180</v>
      </c>
      <c r="C7" s="39">
        <f>IF(B$2=0,0,B7/B$2)</f>
        <v>0.33333333333333331</v>
      </c>
      <c r="E7" s="63" t="s">
        <v>68</v>
      </c>
      <c r="F7" s="60" t="s">
        <v>24</v>
      </c>
      <c r="G7" s="47">
        <v>408</v>
      </c>
      <c r="H7" s="133">
        <f>IF(B$17=0,0,G7/B$17)</f>
        <v>0.30155210643015523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24.590163934426229</v>
      </c>
      <c r="P7" s="120">
        <v>366</v>
      </c>
      <c r="Q7" s="104">
        <v>9000</v>
      </c>
    </row>
    <row r="8" spans="1:17" x14ac:dyDescent="0.4">
      <c r="A8" s="55" t="s">
        <v>3</v>
      </c>
      <c r="B8" s="47">
        <v>180</v>
      </c>
      <c r="C8" s="39">
        <f>IF(B$2=0,0,B8/B$2)</f>
        <v>0.33333333333333331</v>
      </c>
      <c r="E8" s="63" t="s">
        <v>70</v>
      </c>
      <c r="F8" s="60" t="s">
        <v>25</v>
      </c>
      <c r="G8" s="47">
        <v>244</v>
      </c>
      <c r="H8" s="133">
        <f>IF(B$17=0,0,G8/B$17)</f>
        <v>0.18033998521803399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180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165</v>
      </c>
      <c r="H9" s="133">
        <f>IF(B$17=0,0,G9/B$17)</f>
        <v>0.12195121951219512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62</v>
      </c>
      <c r="C10" s="40">
        <f>IF(B$2=0,0,B10/B$2)</f>
        <v>0.11481481481481481</v>
      </c>
      <c r="E10" s="63" t="s">
        <v>90</v>
      </c>
      <c r="F10" s="60" t="s">
        <v>45</v>
      </c>
      <c r="G10" s="47">
        <v>164</v>
      </c>
      <c r="H10" s="133">
        <f>IF(B$17=0,0,G10/B$17)</f>
        <v>0.12121212121212122</v>
      </c>
      <c r="I10" s="94">
        <v>8</v>
      </c>
      <c r="K10" s="38">
        <v>8</v>
      </c>
      <c r="L10" s="99">
        <v>19.699999999999996</v>
      </c>
      <c r="N10" s="114" t="s">
        <v>164</v>
      </c>
      <c r="O10" s="124">
        <f>IF(P10=0,0,Q10/P10)</f>
        <v>-2.3155555555555556</v>
      </c>
      <c r="P10" s="118">
        <v>180</v>
      </c>
      <c r="Q10" s="106">
        <v>-416.8</v>
      </c>
    </row>
    <row r="11" spans="1:17" x14ac:dyDescent="0.4">
      <c r="A11" s="56" t="s">
        <v>140</v>
      </c>
      <c r="B11" s="48">
        <v>62</v>
      </c>
      <c r="C11" s="40">
        <f>IF(B$2=0,0,B11/B$2)</f>
        <v>0.11481481481481481</v>
      </c>
      <c r="E11" s="63" t="s">
        <v>71</v>
      </c>
      <c r="F11" s="60" t="s">
        <v>26</v>
      </c>
      <c r="G11" s="47">
        <v>140</v>
      </c>
      <c r="H11" s="133">
        <f>IF(B$17=0,0,G11/B$17)</f>
        <v>0.10347376201034737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-0.67944444444444463</v>
      </c>
      <c r="P11" s="119">
        <v>180</v>
      </c>
      <c r="Q11" s="107">
        <v>-122.30000000000003</v>
      </c>
    </row>
    <row r="12" spans="1:17" x14ac:dyDescent="0.4">
      <c r="A12" s="57" t="s">
        <v>160</v>
      </c>
      <c r="B12" s="49">
        <v>46</v>
      </c>
      <c r="C12" s="42">
        <f>IF(B$2=0,0,B12/B$2)</f>
        <v>8.5185185185185183E-2</v>
      </c>
      <c r="E12" s="63" t="s">
        <v>72</v>
      </c>
      <c r="F12" s="60" t="s">
        <v>27</v>
      </c>
      <c r="G12" s="47">
        <v>89</v>
      </c>
      <c r="H12" s="133">
        <f>IF(B$17=0,0,G12/B$17)</f>
        <v>6.5779748706577976E-2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2.9950000000000001</v>
      </c>
      <c r="P12" s="120">
        <v>180</v>
      </c>
      <c r="Q12" s="108">
        <v>539.1</v>
      </c>
    </row>
    <row r="13" spans="1:17" x14ac:dyDescent="0.4">
      <c r="A13" s="58" t="s">
        <v>122</v>
      </c>
      <c r="B13" s="50">
        <v>1257</v>
      </c>
      <c r="C13" s="44">
        <f>IF(B$3=0,0,B13/B$3)</f>
        <v>0.27914723517654899</v>
      </c>
      <c r="E13" s="63" t="s">
        <v>87</v>
      </c>
      <c r="F13" s="60" t="s">
        <v>42</v>
      </c>
      <c r="G13" s="47">
        <v>76</v>
      </c>
      <c r="H13" s="133">
        <f>IF(B$17=0,0,G13/B$17)</f>
        <v>5.6171470805617151E-2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944</v>
      </c>
      <c r="C14" s="39">
        <f>IF(B$3=0,0,B14/B$3)</f>
        <v>0.20963801909837887</v>
      </c>
      <c r="E14" s="63" t="s">
        <v>84</v>
      </c>
      <c r="F14" s="60" t="s">
        <v>39</v>
      </c>
      <c r="G14" s="47">
        <v>60</v>
      </c>
      <c r="H14" s="133">
        <f>IF(B$17=0,0,G14/B$17)</f>
        <v>4.4345898004434593E-2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735</v>
      </c>
      <c r="C15" s="37">
        <f>IF(B$13=0,0,B15/B$13)</f>
        <v>0.58472553699284013</v>
      </c>
      <c r="E15" s="63" t="s">
        <v>82</v>
      </c>
      <c r="F15" s="60" t="s">
        <v>37</v>
      </c>
      <c r="G15" s="47">
        <v>39</v>
      </c>
      <c r="H15" s="133">
        <f>IF(B$17=0,0,G15/B$17)</f>
        <v>2.8824833702882482E-2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368</v>
      </c>
      <c r="C16" s="37">
        <f>IF(B$14=0,0,B16/B$14)</f>
        <v>0.38983050847457629</v>
      </c>
      <c r="E16" s="63" t="s">
        <v>79</v>
      </c>
      <c r="F16" s="60" t="s">
        <v>34</v>
      </c>
      <c r="G16" s="47">
        <v>36</v>
      </c>
      <c r="H16" s="133">
        <f>IF(B$17=0,0,G16/B$17)</f>
        <v>2.6607538802660754E-2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24.752343750000019</v>
      </c>
      <c r="P16" s="119">
        <v>128</v>
      </c>
      <c r="Q16" s="107">
        <v>3168.3000000000025</v>
      </c>
    </row>
    <row r="17" spans="1:17" x14ac:dyDescent="0.4">
      <c r="A17" s="54" t="s">
        <v>10</v>
      </c>
      <c r="B17" s="46">
        <f>B19+B18</f>
        <v>1353</v>
      </c>
      <c r="C17" s="37">
        <f>IF(B$3=0,0,B17/B$3)</f>
        <v>0.30046635576282477</v>
      </c>
      <c r="E17" s="63" t="s">
        <v>92</v>
      </c>
      <c r="F17" s="60" t="s">
        <v>47</v>
      </c>
      <c r="G17" s="47">
        <v>26</v>
      </c>
      <c r="H17" s="133">
        <f>IF(B$17=0,0,G17/B$17)</f>
        <v>1.9216555801921657E-2</v>
      </c>
      <c r="I17" s="94">
        <v>5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594</v>
      </c>
      <c r="C18" s="39">
        <f>IF(B$17=0,0,B18/B$17)</f>
        <v>0.43902439024390244</v>
      </c>
      <c r="E18" s="63" t="s">
        <v>80</v>
      </c>
      <c r="F18" s="60" t="s">
        <v>35</v>
      </c>
      <c r="G18" s="47">
        <v>21</v>
      </c>
      <c r="H18" s="133">
        <f>IF(B$17=0,0,G18/B$17)</f>
        <v>1.5521064301552107E-2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11.10731707317073</v>
      </c>
      <c r="P18" s="119">
        <v>82</v>
      </c>
      <c r="Q18" s="107">
        <v>910.79999999999984</v>
      </c>
    </row>
    <row r="19" spans="1:17" x14ac:dyDescent="0.4">
      <c r="A19" s="55" t="s">
        <v>11</v>
      </c>
      <c r="B19" s="47">
        <v>759</v>
      </c>
      <c r="C19" s="39">
        <f>IF(B$17=0,0,B19/B$17)</f>
        <v>0.56097560975609762</v>
      </c>
      <c r="E19" s="63" t="s">
        <v>180</v>
      </c>
      <c r="F19" s="60" t="s">
        <v>183</v>
      </c>
      <c r="G19" s="47">
        <v>19</v>
      </c>
      <c r="H19" s="133">
        <f>IF(B$17=0,0,G19/B$17)</f>
        <v>1.4042867701404288E-2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751</v>
      </c>
      <c r="C20" s="39">
        <f>IF(B$3=0,0,B20/B$3)</f>
        <v>0.16677770375305351</v>
      </c>
      <c r="E20" s="63" t="s">
        <v>76</v>
      </c>
      <c r="F20" s="60" t="s">
        <v>31</v>
      </c>
      <c r="G20" s="47">
        <v>9</v>
      </c>
      <c r="H20" s="133">
        <f>IF(B$17=0,0,G20/B$17)</f>
        <v>6.6518847006651885E-3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4.2730434782608713</v>
      </c>
      <c r="P20" s="119">
        <v>230</v>
      </c>
      <c r="Q20" s="107">
        <v>982.80000000000041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5.9127864005912786E-3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-0.5593220338983067</v>
      </c>
      <c r="P21" s="119">
        <v>118</v>
      </c>
      <c r="Q21" s="107">
        <v>-66.000000000000185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75</v>
      </c>
      <c r="F22" s="60" t="s">
        <v>30</v>
      </c>
      <c r="G22" s="47">
        <v>6</v>
      </c>
      <c r="H22" s="133">
        <f>IF(B$17=0,0,G22/B$17)</f>
        <v>4.434589800443459E-3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>IF(P22=0,0,Q22/P22)</f>
        <v>-2.9059999999999979</v>
      </c>
      <c r="P22" s="119">
        <v>150</v>
      </c>
      <c r="Q22" s="107">
        <v>-435.89999999999969</v>
      </c>
    </row>
    <row r="23" spans="1:17" x14ac:dyDescent="0.4">
      <c r="A23" s="55" t="s">
        <v>5</v>
      </c>
      <c r="B23" s="51">
        <f>IF(B$17=0,0,C23/B$17)</f>
        <v>8683.1485587583156</v>
      </c>
      <c r="C23" s="41">
        <v>11748300</v>
      </c>
      <c r="E23" s="63" t="s">
        <v>93</v>
      </c>
      <c r="F23" s="60" t="s">
        <v>48</v>
      </c>
      <c r="G23" s="47">
        <v>6</v>
      </c>
      <c r="H23" s="133">
        <f>IF(B$17=0,0,G23/B$17)</f>
        <v>4.434589800443459E-3</v>
      </c>
      <c r="I23" s="94">
        <v>4</v>
      </c>
      <c r="K23" s="38">
        <v>21</v>
      </c>
      <c r="L23" s="99">
        <v>-2.886579864025407E-15</v>
      </c>
      <c r="N23" s="115" t="s">
        <v>177</v>
      </c>
      <c r="O23" s="125">
        <f>IF(P23=0,0,Q23/P23)</f>
        <v>-3.485714285714288</v>
      </c>
      <c r="P23" s="119">
        <v>84</v>
      </c>
      <c r="Q23" s="107">
        <v>-292.80000000000018</v>
      </c>
    </row>
    <row r="24" spans="1:17" x14ac:dyDescent="0.4">
      <c r="A24" s="57" t="s">
        <v>14</v>
      </c>
      <c r="B24" s="52">
        <f>IF(B$20=0,0,C24/B$20)</f>
        <v>-8257.3901464713708</v>
      </c>
      <c r="C24" s="45">
        <v>-6201300</v>
      </c>
      <c r="E24" s="63" t="s">
        <v>88</v>
      </c>
      <c r="F24" s="60" t="s">
        <v>43</v>
      </c>
      <c r="G24" s="47">
        <v>5</v>
      </c>
      <c r="H24" s="133">
        <f>IF(B$17=0,0,G24/B$17)</f>
        <v>3.6954915003695491E-3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-19.087499999999967</v>
      </c>
      <c r="P24" s="119">
        <v>240</v>
      </c>
      <c r="Q24" s="107">
        <v>-4580.9999999999918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3.6954915003695491E-3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2.2172949002217295E-3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2.8869642460581835E-3</v>
      </c>
      <c r="E27" s="63" t="s">
        <v>85</v>
      </c>
      <c r="F27" s="60" t="s">
        <v>40</v>
      </c>
      <c r="G27" s="47">
        <v>3</v>
      </c>
      <c r="H27" s="133">
        <f>IF(B$17=0,0,G27/B$17)</f>
        <v>2.2172949002217295E-3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2.2172949002217295E-3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1.4781966001478197E-3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1.4781966001478197E-3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1.4781966001478197E-3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7.3909830007390983E-4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A16FD-1D7B-43C9-8428-0CD1C8A80EB5}">
  <sheetPr codeName="Sheet7"/>
  <dimension ref="A1:Q12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120</v>
      </c>
      <c r="C2" s="147"/>
      <c r="E2" s="62" t="s">
        <v>67</v>
      </c>
      <c r="F2" s="59" t="s">
        <v>23</v>
      </c>
      <c r="G2" s="46">
        <v>249</v>
      </c>
      <c r="H2" s="132">
        <f>IF(B$17=0,0,G2/B$17)</f>
        <v>0.73020527859237538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1727.5</v>
      </c>
      <c r="P2" s="118">
        <v>120</v>
      </c>
      <c r="Q2" s="102">
        <v>207300</v>
      </c>
    </row>
    <row r="3" spans="1:17" x14ac:dyDescent="0.4">
      <c r="A3" s="55" t="s">
        <v>8</v>
      </c>
      <c r="B3" s="148">
        <v>972</v>
      </c>
      <c r="C3" s="149"/>
      <c r="E3" s="63" t="s">
        <v>73</v>
      </c>
      <c r="F3" s="60" t="s">
        <v>28</v>
      </c>
      <c r="G3" s="47">
        <v>192</v>
      </c>
      <c r="H3" s="133">
        <f>IF(B$17=0,0,G3/B$17)</f>
        <v>0.56304985337243407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1323.931623931624</v>
      </c>
      <c r="P3" s="119">
        <v>117</v>
      </c>
      <c r="Q3" s="103">
        <v>154900</v>
      </c>
    </row>
    <row r="4" spans="1:17" x14ac:dyDescent="0.4">
      <c r="A4" s="55" t="s">
        <v>6</v>
      </c>
      <c r="B4" s="150">
        <v>1527.0000000000011</v>
      </c>
      <c r="C4" s="151"/>
      <c r="E4" s="63" t="s">
        <v>65</v>
      </c>
      <c r="F4" s="60" t="s">
        <v>21</v>
      </c>
      <c r="G4" s="47">
        <v>171</v>
      </c>
      <c r="H4" s="133">
        <f>IF(B$17=0,0,G4/B$17)</f>
        <v>0.50146627565982405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1472.0720720720722</v>
      </c>
      <c r="P4" s="119">
        <v>111</v>
      </c>
      <c r="Q4" s="103">
        <v>163400</v>
      </c>
    </row>
    <row r="5" spans="1:17" x14ac:dyDescent="0.4">
      <c r="A5" s="55" t="s">
        <v>7</v>
      </c>
      <c r="B5" s="152">
        <f>IF(B$2=0,0,B$4/B$2)</f>
        <v>12.72500000000001</v>
      </c>
      <c r="C5" s="153"/>
      <c r="E5" s="63" t="s">
        <v>181</v>
      </c>
      <c r="F5" s="60" t="s">
        <v>182</v>
      </c>
      <c r="G5" s="47">
        <v>141</v>
      </c>
      <c r="H5" s="133">
        <f>IF(B$17=0,0,G5/B$17)</f>
        <v>0.41348973607038125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2295.0495049504952</v>
      </c>
      <c r="P5" s="119">
        <v>101</v>
      </c>
      <c r="Q5" s="103">
        <v>231800</v>
      </c>
    </row>
    <row r="6" spans="1:17" x14ac:dyDescent="0.4">
      <c r="A6" s="55" t="s">
        <v>1</v>
      </c>
      <c r="B6" s="142">
        <f>IF(B$2=0,0,(B$7*1+B$8*2+B$9*3)/B$2)</f>
        <v>1.7333333333333334</v>
      </c>
      <c r="C6" s="143"/>
      <c r="E6" s="63" t="s">
        <v>68</v>
      </c>
      <c r="F6" s="60" t="s">
        <v>24</v>
      </c>
      <c r="G6" s="47">
        <v>100</v>
      </c>
      <c r="H6" s="133">
        <f>IF(B$17=0,0,G6/B$17)</f>
        <v>0.2932551319648094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781.81818181818187</v>
      </c>
      <c r="P6" s="119">
        <v>88</v>
      </c>
      <c r="Q6" s="103">
        <v>68800</v>
      </c>
    </row>
    <row r="7" spans="1:17" x14ac:dyDescent="0.4">
      <c r="A7" s="55" t="s">
        <v>2</v>
      </c>
      <c r="B7" s="47">
        <v>59</v>
      </c>
      <c r="C7" s="39">
        <f>IF(B$2=0,0,B7/B$2)</f>
        <v>0.49166666666666664</v>
      </c>
      <c r="E7" s="63" t="s">
        <v>69</v>
      </c>
      <c r="F7" s="60" t="s">
        <v>12</v>
      </c>
      <c r="G7" s="47">
        <v>89</v>
      </c>
      <c r="H7" s="133">
        <f>IF(B$17=0,0,G7/B$17)</f>
        <v>0.26099706744868034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715.38461538461536</v>
      </c>
      <c r="P7" s="120">
        <v>78</v>
      </c>
      <c r="Q7" s="104">
        <v>55800</v>
      </c>
    </row>
    <row r="8" spans="1:17" x14ac:dyDescent="0.4">
      <c r="A8" s="55" t="s">
        <v>3</v>
      </c>
      <c r="B8" s="47">
        <v>34</v>
      </c>
      <c r="C8" s="39">
        <f>IF(B$2=0,0,B8/B$2)</f>
        <v>0.28333333333333333</v>
      </c>
      <c r="E8" s="63" t="s">
        <v>70</v>
      </c>
      <c r="F8" s="60" t="s">
        <v>25</v>
      </c>
      <c r="G8" s="47">
        <v>59</v>
      </c>
      <c r="H8" s="133">
        <f>IF(B$17=0,0,G8/B$17)</f>
        <v>0.17302052785923755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0.22500000000000001</v>
      </c>
      <c r="E9" s="63" t="s">
        <v>90</v>
      </c>
      <c r="F9" s="60" t="s">
        <v>45</v>
      </c>
      <c r="G9" s="47">
        <v>52</v>
      </c>
      <c r="H9" s="133">
        <f>IF(B$17=0,0,G9/B$17)</f>
        <v>0.15249266862170088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0.10833333333333334</v>
      </c>
      <c r="E10" s="63" t="s">
        <v>66</v>
      </c>
      <c r="F10" s="60" t="s">
        <v>22</v>
      </c>
      <c r="G10" s="47">
        <v>49</v>
      </c>
      <c r="H10" s="133">
        <f>IF(B$17=0,0,G10/B$17)</f>
        <v>0.14369501466275661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21</v>
      </c>
      <c r="C11" s="40">
        <f>IF(B$2=0,0,B11/B$2)</f>
        <v>0.17499999999999999</v>
      </c>
      <c r="E11" s="63" t="s">
        <v>71</v>
      </c>
      <c r="F11" s="60" t="s">
        <v>26</v>
      </c>
      <c r="G11" s="47">
        <v>33</v>
      </c>
      <c r="H11" s="133">
        <f>IF(B$17=0,0,G11/B$17)</f>
        <v>9.6774193548387094E-2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8.5289473684210524</v>
      </c>
      <c r="P11" s="119">
        <v>38</v>
      </c>
      <c r="Q11" s="107">
        <v>324.10000000000002</v>
      </c>
    </row>
    <row r="12" spans="1:17" x14ac:dyDescent="0.4">
      <c r="A12" s="57" t="s">
        <v>160</v>
      </c>
      <c r="B12" s="49">
        <v>18</v>
      </c>
      <c r="C12" s="42">
        <f>IF(B$2=0,0,B12/B$2)</f>
        <v>0.15</v>
      </c>
      <c r="E12" s="63" t="s">
        <v>72</v>
      </c>
      <c r="F12" s="60" t="s">
        <v>27</v>
      </c>
      <c r="G12" s="47">
        <v>23</v>
      </c>
      <c r="H12" s="133">
        <f>IF(B$17=0,0,G12/B$17)</f>
        <v>6.7448680351906154E-2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13.245833333333337</v>
      </c>
      <c r="P12" s="120">
        <v>48</v>
      </c>
      <c r="Q12" s="108">
        <v>635.80000000000018</v>
      </c>
    </row>
    <row r="13" spans="1:17" x14ac:dyDescent="0.4">
      <c r="A13" s="58" t="s">
        <v>122</v>
      </c>
      <c r="B13" s="50">
        <v>319</v>
      </c>
      <c r="C13" s="44">
        <f>IF(B$3=0,0,B13/B$3)</f>
        <v>0.32818930041152261</v>
      </c>
      <c r="E13" s="63" t="s">
        <v>87</v>
      </c>
      <c r="F13" s="60" t="s">
        <v>42</v>
      </c>
      <c r="G13" s="47">
        <v>23</v>
      </c>
      <c r="H13" s="133">
        <f>IF(B$17=0,0,G13/B$17)</f>
        <v>6.7448680351906154E-2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215</v>
      </c>
      <c r="C14" s="39">
        <f>IF(B$3=0,0,B14/B$3)</f>
        <v>0.22119341563786007</v>
      </c>
      <c r="E14" s="63" t="s">
        <v>84</v>
      </c>
      <c r="F14" s="60" t="s">
        <v>39</v>
      </c>
      <c r="G14" s="47">
        <v>17</v>
      </c>
      <c r="H14" s="133">
        <f>IF(B$17=0,0,G14/B$17)</f>
        <v>4.9853372434017593E-2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185</v>
      </c>
      <c r="C15" s="37">
        <f>IF(B$13=0,0,B15/B$13)</f>
        <v>0.57993730407523514</v>
      </c>
      <c r="E15" s="63" t="s">
        <v>82</v>
      </c>
      <c r="F15" s="60" t="s">
        <v>37</v>
      </c>
      <c r="G15" s="47">
        <v>11</v>
      </c>
      <c r="H15" s="133">
        <f>IF(B$17=0,0,G15/B$17)</f>
        <v>3.2258064516129031E-2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110</v>
      </c>
      <c r="C16" s="37">
        <f>IF(B$14=0,0,B16/B$14)</f>
        <v>0.51162790697674421</v>
      </c>
      <c r="E16" s="63" t="s">
        <v>180</v>
      </c>
      <c r="F16" s="60" t="s">
        <v>183</v>
      </c>
      <c r="G16" s="47">
        <v>11</v>
      </c>
      <c r="H16" s="133">
        <f>IF(B$17=0,0,G16/B$17)</f>
        <v>3.2258064516129031E-2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36.205263157894748</v>
      </c>
      <c r="P16" s="119">
        <v>38</v>
      </c>
      <c r="Q16" s="107">
        <v>1375.8000000000004</v>
      </c>
    </row>
    <row r="17" spans="1:17" x14ac:dyDescent="0.4">
      <c r="A17" s="54" t="s">
        <v>10</v>
      </c>
      <c r="B17" s="46">
        <f>B19+B18</f>
        <v>341</v>
      </c>
      <c r="C17" s="37">
        <f>IF(B$3=0,0,B17/B$3)</f>
        <v>0.3508230452674897</v>
      </c>
      <c r="E17" s="63" t="s">
        <v>79</v>
      </c>
      <c r="F17" s="60" t="s">
        <v>34</v>
      </c>
      <c r="G17" s="47">
        <v>7</v>
      </c>
      <c r="H17" s="133">
        <f>IF(B$17=0,0,G17/B$17)</f>
        <v>2.0527859237536656E-2</v>
      </c>
      <c r="I17" s="94">
        <v>7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141</v>
      </c>
      <c r="C18" s="39">
        <f>IF(B$17=0,0,B18/B$17)</f>
        <v>0.41348973607038125</v>
      </c>
      <c r="E18" s="63" t="s">
        <v>92</v>
      </c>
      <c r="F18" s="60" t="s">
        <v>47</v>
      </c>
      <c r="G18" s="47">
        <v>6</v>
      </c>
      <c r="H18" s="133">
        <f>IF(B$17=0,0,G18/B$17)</f>
        <v>1.7595307917888565E-2</v>
      </c>
      <c r="I18" s="94">
        <v>6</v>
      </c>
      <c r="K18" s="38">
        <v>16</v>
      </c>
      <c r="L18" s="99">
        <v>425.50000000000006</v>
      </c>
      <c r="N18" s="115" t="s">
        <v>177</v>
      </c>
      <c r="O18" s="125">
        <f>IF(P18=0,0,Q18/P18)</f>
        <v>27.193750000000001</v>
      </c>
      <c r="P18" s="119">
        <v>16</v>
      </c>
      <c r="Q18" s="107">
        <v>435.1</v>
      </c>
    </row>
    <row r="19" spans="1:17" x14ac:dyDescent="0.4">
      <c r="A19" s="55" t="s">
        <v>11</v>
      </c>
      <c r="B19" s="47">
        <v>200</v>
      </c>
      <c r="C19" s="39">
        <f>IF(B$17=0,0,B19/B$17)</f>
        <v>0.5865102639296188</v>
      </c>
      <c r="E19" s="63" t="s">
        <v>80</v>
      </c>
      <c r="F19" s="60" t="s">
        <v>35</v>
      </c>
      <c r="G19" s="47">
        <v>4</v>
      </c>
      <c r="H19" s="133">
        <f>IF(B$17=0,0,G19/B$17)</f>
        <v>1.1730205278592375E-2</v>
      </c>
      <c r="I19" s="94">
        <v>7</v>
      </c>
      <c r="K19" s="38">
        <v>17</v>
      </c>
      <c r="L19" s="99">
        <v>427.40000000000003</v>
      </c>
      <c r="N19" s="115" t="s">
        <v>172</v>
      </c>
      <c r="O19" s="125">
        <f>IF(P19=0,0,Q19/P19)</f>
        <v>24.890322580645162</v>
      </c>
      <c r="P19" s="119">
        <v>31</v>
      </c>
      <c r="Q19" s="107">
        <v>771.6</v>
      </c>
    </row>
    <row r="20" spans="1:17" x14ac:dyDescent="0.4">
      <c r="A20" s="55" t="s">
        <v>13</v>
      </c>
      <c r="B20" s="47">
        <v>146</v>
      </c>
      <c r="C20" s="39">
        <f>IF(B$3=0,0,B20/B$3)</f>
        <v>0.15020576131687244</v>
      </c>
      <c r="E20" s="63" t="s">
        <v>74</v>
      </c>
      <c r="F20" s="60" t="s">
        <v>29</v>
      </c>
      <c r="G20" s="47">
        <v>2</v>
      </c>
      <c r="H20" s="133">
        <f>IF(B$17=0,0,G20/B$17)</f>
        <v>5.8651026392961877E-3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22.754999999999999</v>
      </c>
      <c r="P20" s="119">
        <v>20</v>
      </c>
      <c r="Q20" s="107">
        <v>455.09999999999997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5.8651026392961877E-3</v>
      </c>
      <c r="I21" s="94">
        <v>3</v>
      </c>
      <c r="K21" s="38">
        <v>19</v>
      </c>
      <c r="L21" s="99">
        <v>405.40000000000003</v>
      </c>
      <c r="N21" s="115" t="s">
        <v>128</v>
      </c>
      <c r="O21" s="125">
        <f>IF(P21=0,0,Q21/P21)</f>
        <v>17.662025316455697</v>
      </c>
      <c r="P21" s="119">
        <v>79</v>
      </c>
      <c r="Q21" s="107">
        <v>1395.3000000000002</v>
      </c>
    </row>
    <row r="22" spans="1:17" x14ac:dyDescent="0.4">
      <c r="A22" s="55" t="s">
        <v>194</v>
      </c>
      <c r="B22" s="47">
        <v>39</v>
      </c>
      <c r="C22" s="135">
        <v>0</v>
      </c>
      <c r="E22" s="63" t="s">
        <v>76</v>
      </c>
      <c r="F22" s="60" t="s">
        <v>31</v>
      </c>
      <c r="G22" s="47">
        <v>1</v>
      </c>
      <c r="H22" s="133">
        <f>IF(B$17=0,0,G22/B$17)</f>
        <v>2.9325513196480938E-3</v>
      </c>
      <c r="I22" s="94">
        <v>7</v>
      </c>
      <c r="K22" s="38">
        <v>20</v>
      </c>
      <c r="L22" s="99">
        <v>469.6</v>
      </c>
      <c r="N22" s="115" t="s">
        <v>186</v>
      </c>
      <c r="O22" s="125">
        <f>IF(P22=0,0,Q22/P22)</f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9120.5278592375362</v>
      </c>
      <c r="C23" s="41">
        <v>3110100</v>
      </c>
      <c r="E23" s="63" t="s">
        <v>78</v>
      </c>
      <c r="F23" s="60" t="s">
        <v>33</v>
      </c>
      <c r="G23" s="47">
        <v>1</v>
      </c>
      <c r="H23" s="133">
        <f>IF(B$17=0,0,G23/B$17)</f>
        <v>2.9325513196480938E-3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-1.0727272727272756</v>
      </c>
      <c r="P23" s="119">
        <v>44</v>
      </c>
      <c r="Q23" s="107">
        <v>-47.200000000000131</v>
      </c>
    </row>
    <row r="24" spans="1:17" x14ac:dyDescent="0.4">
      <c r="A24" s="57" t="s">
        <v>14</v>
      </c>
      <c r="B24" s="52">
        <f>IF(B$20=0,0,C24/B$20)</f>
        <v>-8356.1643835616433</v>
      </c>
      <c r="C24" s="45">
        <v>-1220000</v>
      </c>
      <c r="E24" s="63" t="s">
        <v>86</v>
      </c>
      <c r="F24" s="60" t="s">
        <v>41</v>
      </c>
      <c r="G24" s="47">
        <v>1</v>
      </c>
      <c r="H24" s="133">
        <f>IF(B$17=0,0,G24/B$17)</f>
        <v>2.9325513196480938E-3</v>
      </c>
      <c r="I24" s="94">
        <v>2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2.9325513196480938E-3</v>
      </c>
      <c r="I25" s="94">
        <v>6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91</v>
      </c>
      <c r="F26" s="60" t="s">
        <v>46</v>
      </c>
      <c r="G26" s="47">
        <v>1</v>
      </c>
      <c r="H26" s="133">
        <f>IF(B$17=0,0,G26/B$17)</f>
        <v>2.9325513196480938E-3</v>
      </c>
      <c r="I26" s="94">
        <v>2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1.02880658436214E-3</v>
      </c>
      <c r="E27" s="63" t="s">
        <v>94</v>
      </c>
      <c r="F27" s="60" t="s">
        <v>49</v>
      </c>
      <c r="G27" s="47">
        <v>1</v>
      </c>
      <c r="H27" s="133">
        <f>IF(B$17=0,0,G27/B$17)</f>
        <v>2.9325513196480938E-3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2.9325513196480938E-3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8118-3A13-46AA-BDAA-4B416E5635CB}">
  <sheetPr codeName="Sheet9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67</v>
      </c>
      <c r="F2" s="59" t="s">
        <v>23</v>
      </c>
      <c r="G2" s="46">
        <v>197</v>
      </c>
      <c r="H2" s="132">
        <f>IF(B$17=0,0,G2/B$17)</f>
        <v>0.76356589147286824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444.3478260869565</v>
      </c>
      <c r="P2" s="118">
        <v>115</v>
      </c>
      <c r="Q2" s="102">
        <v>51100</v>
      </c>
    </row>
    <row r="3" spans="1:17" x14ac:dyDescent="0.4">
      <c r="A3" s="55" t="s">
        <v>8</v>
      </c>
      <c r="B3" s="148">
        <v>947</v>
      </c>
      <c r="C3" s="149"/>
      <c r="E3" s="63" t="s">
        <v>65</v>
      </c>
      <c r="F3" s="60" t="s">
        <v>21</v>
      </c>
      <c r="G3" s="47">
        <v>156</v>
      </c>
      <c r="H3" s="133">
        <f>IF(B$17=0,0,G3/B$17)</f>
        <v>0.60465116279069764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-2309.0090090090089</v>
      </c>
      <c r="P3" s="119">
        <v>111</v>
      </c>
      <c r="Q3" s="103">
        <v>-256300</v>
      </c>
    </row>
    <row r="4" spans="1:17" x14ac:dyDescent="0.4">
      <c r="A4" s="55" t="s">
        <v>6</v>
      </c>
      <c r="B4" s="150">
        <v>-327.60000000000008</v>
      </c>
      <c r="C4" s="151"/>
      <c r="E4" s="63" t="s">
        <v>73</v>
      </c>
      <c r="F4" s="60" t="s">
        <v>28</v>
      </c>
      <c r="G4" s="47">
        <v>120</v>
      </c>
      <c r="H4" s="133">
        <f>IF(B$17=0,0,G4/B$17)</f>
        <v>0.46511627906976744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62.037037037037038</v>
      </c>
      <c r="P4" s="119">
        <v>108</v>
      </c>
      <c r="Q4" s="103">
        <v>6700</v>
      </c>
    </row>
    <row r="5" spans="1:17" x14ac:dyDescent="0.4">
      <c r="A5" s="55" t="s">
        <v>7</v>
      </c>
      <c r="B5" s="152">
        <f>IF(B$2=0,0,B$4/B$2)</f>
        <v>-2.8486956521739137</v>
      </c>
      <c r="C5" s="153"/>
      <c r="E5" s="63" t="s">
        <v>181</v>
      </c>
      <c r="F5" s="60" t="s">
        <v>182</v>
      </c>
      <c r="G5" s="47">
        <v>114</v>
      </c>
      <c r="H5" s="133">
        <f>IF(B$17=0,0,G5/B$17)</f>
        <v>0.44186046511627908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256.25</v>
      </c>
      <c r="P5" s="119">
        <v>96</v>
      </c>
      <c r="Q5" s="103">
        <v>24600</v>
      </c>
    </row>
    <row r="6" spans="1:17" x14ac:dyDescent="0.4">
      <c r="A6" s="55" t="s">
        <v>1</v>
      </c>
      <c r="B6" s="142">
        <f>IF(B$2=0,0,(B$7*1+B$8*2+B$9*3)/B$2)</f>
        <v>2.0782608695652174</v>
      </c>
      <c r="C6" s="143"/>
      <c r="E6" s="63" t="s">
        <v>68</v>
      </c>
      <c r="F6" s="60" t="s">
        <v>24</v>
      </c>
      <c r="G6" s="47">
        <v>94</v>
      </c>
      <c r="H6" s="133">
        <f>IF(B$17=0,0,G6/B$17)</f>
        <v>0.36434108527131781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0.26956521739130435</v>
      </c>
      <c r="E7" s="63" t="s">
        <v>69</v>
      </c>
      <c r="F7" s="60" t="s">
        <v>12</v>
      </c>
      <c r="G7" s="47">
        <v>88</v>
      </c>
      <c r="H7" s="133">
        <f>IF(B$17=0,0,G7/B$17)</f>
        <v>0.34108527131782945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0.38260869565217392</v>
      </c>
      <c r="E8" s="63" t="s">
        <v>70</v>
      </c>
      <c r="F8" s="60" t="s">
        <v>25</v>
      </c>
      <c r="G8" s="47">
        <v>58</v>
      </c>
      <c r="H8" s="133">
        <f>IF(B$17=0,0,G8/B$17)</f>
        <v>0.22480620155038761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0.34782608695652173</v>
      </c>
      <c r="E9" s="63" t="s">
        <v>66</v>
      </c>
      <c r="F9" s="60" t="s">
        <v>22</v>
      </c>
      <c r="G9" s="47">
        <v>41</v>
      </c>
      <c r="H9" s="133">
        <f>IF(B$17=0,0,G9/B$17)</f>
        <v>0.15891472868217055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0.13043478260869565</v>
      </c>
      <c r="E10" s="63" t="s">
        <v>71</v>
      </c>
      <c r="F10" s="60" t="s">
        <v>26</v>
      </c>
      <c r="G10" s="47">
        <v>31</v>
      </c>
      <c r="H10" s="133">
        <f>IF(B$17=0,0,G10/B$17)</f>
        <v>0.12015503875968993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9.5652173913043481E-2</v>
      </c>
      <c r="E11" s="63" t="s">
        <v>90</v>
      </c>
      <c r="F11" s="60" t="s">
        <v>45</v>
      </c>
      <c r="G11" s="47">
        <v>25</v>
      </c>
      <c r="H11" s="133">
        <f>IF(B$17=0,0,G11/B$17)</f>
        <v>9.6899224806201556E-2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6.9565217391304349E-2</v>
      </c>
      <c r="E12" s="63" t="s">
        <v>72</v>
      </c>
      <c r="F12" s="60" t="s">
        <v>27</v>
      </c>
      <c r="G12" s="47">
        <v>14</v>
      </c>
      <c r="H12" s="133">
        <f>IF(B$17=0,0,G12/B$17)</f>
        <v>5.4263565891472867E-2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282</v>
      </c>
      <c r="C13" s="44">
        <f>IF(B$3=0,0,B13/B$3)</f>
        <v>0.29778247096092925</v>
      </c>
      <c r="E13" s="63" t="s">
        <v>87</v>
      </c>
      <c r="F13" s="60" t="s">
        <v>42</v>
      </c>
      <c r="G13" s="47">
        <v>14</v>
      </c>
      <c r="H13" s="133">
        <f>IF(B$17=0,0,G13/B$17)</f>
        <v>5.4263565891472867E-2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0.18057022175290391</v>
      </c>
      <c r="E14" s="63" t="s">
        <v>84</v>
      </c>
      <c r="F14" s="60" t="s">
        <v>39</v>
      </c>
      <c r="G14" s="47">
        <v>10</v>
      </c>
      <c r="H14" s="133">
        <f>IF(B$17=0,0,G14/B$17)</f>
        <v>3.875968992248062E-2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0.58510638297872342</v>
      </c>
      <c r="E15" s="63" t="s">
        <v>82</v>
      </c>
      <c r="F15" s="60" t="s">
        <v>37</v>
      </c>
      <c r="G15" s="47">
        <v>8</v>
      </c>
      <c r="H15" s="133">
        <f>IF(B$17=0,0,G15/B$17)</f>
        <v>3.1007751937984496E-2</v>
      </c>
      <c r="I15" s="94">
        <v>6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92</v>
      </c>
      <c r="F16" s="60" t="s">
        <v>47</v>
      </c>
      <c r="G16" s="47">
        <v>6</v>
      </c>
      <c r="H16" s="133">
        <f>IF(B$17=0,0,G16/B$17)</f>
        <v>2.3255813953488372E-2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0.27243928194297784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180</v>
      </c>
      <c r="F18" s="60" t="s">
        <v>183</v>
      </c>
      <c r="G18" s="47">
        <v>5</v>
      </c>
      <c r="H18" s="133">
        <f>IF(B$17=0,0,G18/B$17)</f>
        <v>1.937984496124031E-2</v>
      </c>
      <c r="I18" s="94">
        <v>2</v>
      </c>
      <c r="K18" s="38">
        <v>16</v>
      </c>
      <c r="L18" s="99">
        <v>41.699999999999989</v>
      </c>
      <c r="N18" s="115" t="s">
        <v>172</v>
      </c>
      <c r="O18" s="125">
        <f>IF(P18=0,0,Q18/P18)</f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79</v>
      </c>
      <c r="F19" s="60" t="s">
        <v>34</v>
      </c>
      <c r="G19" s="47">
        <v>4</v>
      </c>
      <c r="H19" s="133">
        <f>IF(B$17=0,0,G19/B$17)</f>
        <v>1.5503875968992248E-2</v>
      </c>
      <c r="I19" s="94">
        <v>9</v>
      </c>
      <c r="K19" s="38">
        <v>17</v>
      </c>
      <c r="L19" s="99">
        <v>94.6</v>
      </c>
      <c r="N19" s="115" t="s">
        <v>171</v>
      </c>
      <c r="O19" s="125">
        <f>IF(P19=0,0,Q19/P19)</f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163</v>
      </c>
      <c r="C20" s="39">
        <f>IF(B$3=0,0,B20/B$3)</f>
        <v>0.17212249208025343</v>
      </c>
      <c r="E20" s="63" t="s">
        <v>74</v>
      </c>
      <c r="F20" s="60" t="s">
        <v>29</v>
      </c>
      <c r="G20" s="47">
        <v>2</v>
      </c>
      <c r="H20" s="133">
        <f>IF(B$17=0,0,G20/B$17)</f>
        <v>7.7519379844961239E-3</v>
      </c>
      <c r="I20" s="94">
        <v>3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7.7519379844961239E-3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76</v>
      </c>
      <c r="F22" s="60" t="s">
        <v>31</v>
      </c>
      <c r="G22" s="47">
        <v>2</v>
      </c>
      <c r="H22" s="133">
        <f>IF(B$17=0,0,G22/B$17)</f>
        <v>7.7519379844961239E-3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-17.662025316455697</v>
      </c>
      <c r="P22" s="119">
        <v>79</v>
      </c>
      <c r="Q22" s="107">
        <v>-1395.3000000000002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78</v>
      </c>
      <c r="F23" s="60" t="s">
        <v>33</v>
      </c>
      <c r="G23" s="47">
        <v>1</v>
      </c>
      <c r="H23" s="133">
        <f>IF(B$17=0,0,G23/B$17)</f>
        <v>3.875968992248062E-3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-7741.1042944785277</v>
      </c>
      <c r="C24" s="45">
        <v>-1261800</v>
      </c>
      <c r="E24" s="63" t="s">
        <v>85</v>
      </c>
      <c r="F24" s="60" t="s">
        <v>40</v>
      </c>
      <c r="G24" s="47">
        <v>1</v>
      </c>
      <c r="H24" s="133">
        <f>IF(B$17=0,0,G24/B$17)</f>
        <v>3.875968992248062E-3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3.875968992248062E-3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3.875968992248062E-3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5.279831045406547E-3</v>
      </c>
      <c r="E27" s="63" t="s">
        <v>94</v>
      </c>
      <c r="F27" s="60" t="s">
        <v>49</v>
      </c>
      <c r="G27" s="47">
        <v>1</v>
      </c>
      <c r="H27" s="133">
        <f>IF(B$17=0,0,G27/B$17)</f>
        <v>3.875968992248062E-3</v>
      </c>
      <c r="I27" s="94">
        <v>3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3.875968992248062E-3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C4E6-4960-44B9-84DF-0C7256D0DAEE}">
  <sheetPr codeName="Sheet11"/>
  <dimension ref="A1:Q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64</v>
      </c>
      <c r="C2" s="147"/>
      <c r="E2" s="62" t="s">
        <v>67</v>
      </c>
      <c r="F2" s="59" t="s">
        <v>23</v>
      </c>
      <c r="G2" s="46">
        <v>107</v>
      </c>
      <c r="H2" s="132">
        <f>IF(B$17=0,0,G2/B$17)</f>
        <v>0.89166666666666672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-1973.4375</v>
      </c>
      <c r="P2" s="118">
        <v>64</v>
      </c>
      <c r="Q2" s="102">
        <v>-126300</v>
      </c>
    </row>
    <row r="3" spans="1:17" x14ac:dyDescent="0.4">
      <c r="A3" s="55" t="s">
        <v>8</v>
      </c>
      <c r="B3" s="148">
        <v>530</v>
      </c>
      <c r="C3" s="149"/>
      <c r="E3" s="63" t="s">
        <v>65</v>
      </c>
      <c r="F3" s="60" t="s">
        <v>21</v>
      </c>
      <c r="G3" s="47">
        <v>68</v>
      </c>
      <c r="H3" s="133">
        <f>IF(B$17=0,0,G3/B$17)</f>
        <v>0.56666666666666665</v>
      </c>
      <c r="I3" s="94">
        <v>6</v>
      </c>
      <c r="K3" s="38">
        <v>1</v>
      </c>
      <c r="L3" s="99">
        <v>-40.4</v>
      </c>
      <c r="N3" s="115" t="s">
        <v>133</v>
      </c>
      <c r="O3" s="122">
        <f t="shared" si="0"/>
        <v>-1333.8709677419354</v>
      </c>
      <c r="P3" s="119">
        <v>62</v>
      </c>
      <c r="Q3" s="103">
        <v>-82700</v>
      </c>
    </row>
    <row r="4" spans="1:17" x14ac:dyDescent="0.4">
      <c r="A4" s="55" t="s">
        <v>6</v>
      </c>
      <c r="B4" s="150">
        <v>-1056.0999999999997</v>
      </c>
      <c r="C4" s="151"/>
      <c r="E4" s="63" t="s">
        <v>69</v>
      </c>
      <c r="F4" s="60" t="s">
        <v>12</v>
      </c>
      <c r="G4" s="47">
        <v>52</v>
      </c>
      <c r="H4" s="133">
        <f>IF(B$17=0,0,G4/B$17)</f>
        <v>0.43333333333333335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-1018.9655172413793</v>
      </c>
      <c r="P4" s="119">
        <v>58</v>
      </c>
      <c r="Q4" s="103">
        <v>-59100</v>
      </c>
    </row>
    <row r="5" spans="1:17" x14ac:dyDescent="0.4">
      <c r="A5" s="55" t="s">
        <v>7</v>
      </c>
      <c r="B5" s="152">
        <f>IF(B$2=0,0,B$4/B$2)</f>
        <v>-16.501562499999995</v>
      </c>
      <c r="C5" s="153"/>
      <c r="E5" s="63" t="s">
        <v>181</v>
      </c>
      <c r="F5" s="60" t="s">
        <v>182</v>
      </c>
      <c r="G5" s="47">
        <v>47</v>
      </c>
      <c r="H5" s="133">
        <f>IF(B$17=0,0,G5/B$17)</f>
        <v>0.39166666666666666</v>
      </c>
      <c r="I5" s="94">
        <v>9</v>
      </c>
      <c r="K5" s="38">
        <v>3</v>
      </c>
      <c r="L5" s="99">
        <v>-23.099999999999998</v>
      </c>
      <c r="N5" s="115" t="s">
        <v>135</v>
      </c>
      <c r="O5" s="122">
        <f t="shared" si="0"/>
        <v>-5580</v>
      </c>
      <c r="P5" s="119">
        <v>50</v>
      </c>
      <c r="Q5" s="103">
        <v>-279000</v>
      </c>
    </row>
    <row r="6" spans="1:17" x14ac:dyDescent="0.4">
      <c r="A6" s="55" t="s">
        <v>1</v>
      </c>
      <c r="B6" s="142">
        <f>IF(B$2=0,0,(B$7*1+B$8*2+B$9*3)/B$2)</f>
        <v>2.265625</v>
      </c>
      <c r="C6" s="143"/>
      <c r="E6" s="63" t="s">
        <v>73</v>
      </c>
      <c r="F6" s="60" t="s">
        <v>28</v>
      </c>
      <c r="G6" s="47">
        <v>42</v>
      </c>
      <c r="H6" s="133">
        <f>IF(B$17=0,0,G6/B$17)</f>
        <v>0.35</v>
      </c>
      <c r="I6" s="94">
        <v>11</v>
      </c>
      <c r="K6" s="38">
        <v>4</v>
      </c>
      <c r="L6" s="99">
        <v>-31.4</v>
      </c>
      <c r="N6" s="115" t="s">
        <v>136</v>
      </c>
      <c r="O6" s="122">
        <f t="shared" si="0"/>
        <v>-1686.3636363636363</v>
      </c>
      <c r="P6" s="119">
        <v>44</v>
      </c>
      <c r="Q6" s="103">
        <v>-74200</v>
      </c>
    </row>
    <row r="7" spans="1:17" x14ac:dyDescent="0.4">
      <c r="A7" s="55" t="s">
        <v>2</v>
      </c>
      <c r="B7" s="47">
        <v>15</v>
      </c>
      <c r="C7" s="39">
        <f>IF(B$2=0,0,B7/B$2)</f>
        <v>0.234375</v>
      </c>
      <c r="E7" s="63" t="s">
        <v>68</v>
      </c>
      <c r="F7" s="60" t="s">
        <v>24</v>
      </c>
      <c r="G7" s="47">
        <v>41</v>
      </c>
      <c r="H7" s="133">
        <f>IF(B$17=0,0,G7/B$17)</f>
        <v>0.34166666666666667</v>
      </c>
      <c r="I7" s="94">
        <v>7</v>
      </c>
      <c r="K7" s="38">
        <v>5</v>
      </c>
      <c r="L7" s="99">
        <v>-32.199999999999996</v>
      </c>
      <c r="N7" s="116" t="s">
        <v>137</v>
      </c>
      <c r="O7" s="123">
        <f t="shared" si="0"/>
        <v>-2143.9024390243903</v>
      </c>
      <c r="P7" s="120">
        <v>41</v>
      </c>
      <c r="Q7" s="104">
        <v>-87900</v>
      </c>
    </row>
    <row r="8" spans="1:17" x14ac:dyDescent="0.4">
      <c r="A8" s="55" t="s">
        <v>3</v>
      </c>
      <c r="B8" s="47">
        <v>17</v>
      </c>
      <c r="C8" s="39">
        <f>IF(B$2=0,0,B8/B$2)</f>
        <v>0.265625</v>
      </c>
      <c r="E8" s="63" t="s">
        <v>70</v>
      </c>
      <c r="F8" s="60" t="s">
        <v>25</v>
      </c>
      <c r="G8" s="47">
        <v>27</v>
      </c>
      <c r="H8" s="133">
        <f>IF(B$17=0,0,G8/B$17)</f>
        <v>0.22500000000000001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ref="C9" si="1">IF(B$2=0,0,B9/B$2)</f>
        <v>0.5</v>
      </c>
      <c r="E9" s="63" t="s">
        <v>71</v>
      </c>
      <c r="F9" s="60" t="s">
        <v>26</v>
      </c>
      <c r="G9" s="47">
        <v>20</v>
      </c>
      <c r="H9" s="133">
        <f>IF(B$17=0,0,G9/B$17)</f>
        <v>0.16666666666666666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0.1875</v>
      </c>
      <c r="E10" s="63" t="s">
        <v>72</v>
      </c>
      <c r="F10" s="60" t="s">
        <v>27</v>
      </c>
      <c r="G10" s="47">
        <v>13</v>
      </c>
      <c r="H10" s="133">
        <f>IF(B$17=0,0,G10/B$17)</f>
        <v>0.10833333333333334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-19.049999999999997</v>
      </c>
      <c r="P10" s="118">
        <v>20</v>
      </c>
      <c r="Q10" s="106">
        <v>-380.99999999999994</v>
      </c>
    </row>
    <row r="11" spans="1:17" x14ac:dyDescent="0.4">
      <c r="A11" s="56" t="s">
        <v>140</v>
      </c>
      <c r="B11" s="48">
        <v>7</v>
      </c>
      <c r="C11" s="40">
        <f>IF(B$2=0,0,B11/B$2)</f>
        <v>0.109375</v>
      </c>
      <c r="E11" s="63" t="s">
        <v>90</v>
      </c>
      <c r="F11" s="60" t="s">
        <v>45</v>
      </c>
      <c r="G11" s="47">
        <v>11</v>
      </c>
      <c r="H11" s="133">
        <f>IF(B$17=0,0,G11/B$17)</f>
        <v>9.166666666666666E-2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-13.276923076923081</v>
      </c>
      <c r="P11" s="119">
        <v>26</v>
      </c>
      <c r="Q11" s="107">
        <v>-345.2000000000001</v>
      </c>
    </row>
    <row r="12" spans="1:17" x14ac:dyDescent="0.4">
      <c r="A12" s="57" t="s">
        <v>160</v>
      </c>
      <c r="B12" s="49">
        <v>5</v>
      </c>
      <c r="C12" s="42">
        <f>IF(B$2=0,0,B12/B$2)</f>
        <v>7.8125E-2</v>
      </c>
      <c r="E12" s="63" t="s">
        <v>66</v>
      </c>
      <c r="F12" s="60" t="s">
        <v>22</v>
      </c>
      <c r="G12" s="47">
        <v>9</v>
      </c>
      <c r="H12" s="133">
        <f>IF(B$17=0,0,G12/B$17)</f>
        <v>7.4999999999999997E-2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143</v>
      </c>
      <c r="C13" s="44">
        <f>IF(B$3=0,0,B13/B$3)</f>
        <v>0.26981132075471698</v>
      </c>
      <c r="E13" s="63" t="s">
        <v>87</v>
      </c>
      <c r="F13" s="60" t="s">
        <v>42</v>
      </c>
      <c r="G13" s="47">
        <v>9</v>
      </c>
      <c r="H13" s="133">
        <f>IF(B$17=0,0,G13/B$17)</f>
        <v>7.4999999999999997E-2</v>
      </c>
      <c r="I13" s="94">
        <v>3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86</v>
      </c>
      <c r="C14" s="39">
        <f>IF(B$3=0,0,B14/B$3)</f>
        <v>0.16226415094339622</v>
      </c>
      <c r="E14" s="63" t="s">
        <v>84</v>
      </c>
      <c r="F14" s="60" t="s">
        <v>39</v>
      </c>
      <c r="G14" s="47">
        <v>5</v>
      </c>
      <c r="H14" s="133">
        <f>IF(B$17=0,0,G14/B$17)</f>
        <v>4.1666666666666664E-2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71</v>
      </c>
      <c r="C15" s="37">
        <f>IF(B$13=0,0,B15/B$13)</f>
        <v>0.49650349650349651</v>
      </c>
      <c r="E15" s="63" t="s">
        <v>79</v>
      </c>
      <c r="F15" s="60" t="s">
        <v>34</v>
      </c>
      <c r="G15" s="47">
        <v>4</v>
      </c>
      <c r="H15" s="133">
        <f>IF(B$17=0,0,G15/B$17)</f>
        <v>3.3333333333333333E-2</v>
      </c>
      <c r="I15" s="94">
        <v>5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20</v>
      </c>
      <c r="C16" s="37">
        <f>IF(B$14=0,0,B16/B$14)</f>
        <v>0.23255813953488372</v>
      </c>
      <c r="E16" s="63" t="s">
        <v>75</v>
      </c>
      <c r="F16" s="60" t="s">
        <v>30</v>
      </c>
      <c r="G16" s="47">
        <v>2</v>
      </c>
      <c r="H16" s="133">
        <f>IF(B$17=0,0,G16/B$17)</f>
        <v>1.6666666666666666E-2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3.3454545454545457</v>
      </c>
      <c r="P16" s="119">
        <v>11</v>
      </c>
      <c r="Q16" s="107">
        <v>36.800000000000004</v>
      </c>
    </row>
    <row r="17" spans="1:17" x14ac:dyDescent="0.4">
      <c r="A17" s="54" t="s">
        <v>10</v>
      </c>
      <c r="B17" s="46">
        <f>B19+B18</f>
        <v>120</v>
      </c>
      <c r="C17" s="37">
        <f>IF(B$3=0,0,B17/B$3)</f>
        <v>0.22641509433962265</v>
      </c>
      <c r="E17" s="63" t="s">
        <v>82</v>
      </c>
      <c r="F17" s="60" t="s">
        <v>37</v>
      </c>
      <c r="G17" s="47">
        <v>2</v>
      </c>
      <c r="H17" s="133">
        <f>IF(B$17=0,0,G17/B$17)</f>
        <v>1.6666666666666666E-2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60</v>
      </c>
      <c r="C18" s="39">
        <f>IF(B$17=0,0,B18/B$17)</f>
        <v>0.5</v>
      </c>
      <c r="E18" s="63" t="s">
        <v>94</v>
      </c>
      <c r="F18" s="60" t="s">
        <v>49</v>
      </c>
      <c r="G18" s="47">
        <v>2</v>
      </c>
      <c r="H18" s="133">
        <f>IF(B$17=0,0,G18/B$17)</f>
        <v>1.6666666666666666E-2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60</v>
      </c>
      <c r="C19" s="39">
        <f>IF(B$17=0,0,B19/B$17)</f>
        <v>0.5</v>
      </c>
      <c r="E19" s="63" t="s">
        <v>78</v>
      </c>
      <c r="F19" s="60" t="s">
        <v>33</v>
      </c>
      <c r="G19" s="47">
        <v>1</v>
      </c>
      <c r="H19" s="133">
        <f>IF(B$17=0,0,G19/B$17)</f>
        <v>8.3333333333333332E-3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-26.395</v>
      </c>
      <c r="P19" s="119">
        <v>20</v>
      </c>
      <c r="Q19" s="107">
        <v>-527.9</v>
      </c>
    </row>
    <row r="20" spans="1:17" x14ac:dyDescent="0.4">
      <c r="A20" s="55" t="s">
        <v>13</v>
      </c>
      <c r="B20" s="47">
        <v>104</v>
      </c>
      <c r="C20" s="39">
        <f>IF(B$3=0,0,B20/B$3)</f>
        <v>0.19622641509433963</v>
      </c>
      <c r="E20" s="63" t="s">
        <v>80</v>
      </c>
      <c r="F20" s="60" t="s">
        <v>35</v>
      </c>
      <c r="G20" s="47">
        <v>1</v>
      </c>
      <c r="H20" s="133">
        <f>IF(B$17=0,0,G20/B$17)</f>
        <v>8.3333333333333332E-3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-36.205263157894755</v>
      </c>
      <c r="P20" s="119">
        <v>38</v>
      </c>
      <c r="Q20" s="107">
        <v>-1375.8000000000006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8.3333333333333332E-3</v>
      </c>
      <c r="I21" s="94">
        <v>2</v>
      </c>
      <c r="K21" s="38">
        <v>19</v>
      </c>
      <c r="L21" s="99">
        <v>-569.49999999999989</v>
      </c>
      <c r="N21" s="115" t="s">
        <v>172</v>
      </c>
      <c r="O21" s="125">
        <f>IF(P21=0,0,Q21/P21)</f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89</v>
      </c>
      <c r="F22" s="60" t="s">
        <v>44</v>
      </c>
      <c r="G22" s="47">
        <v>1</v>
      </c>
      <c r="H22" s="133">
        <f>IF(B$17=0,0,G22/B$17)</f>
        <v>8.3333333333333332E-3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9125.8333333333339</v>
      </c>
      <c r="C23" s="41">
        <v>1095100</v>
      </c>
      <c r="E23" s="63" t="s">
        <v>92</v>
      </c>
      <c r="F23" s="60" t="s">
        <v>47</v>
      </c>
      <c r="G23" s="47">
        <v>1</v>
      </c>
      <c r="H23" s="133">
        <f>IF(B$17=0,0,G23/B$17)</f>
        <v>8.3333333333333332E-3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-9557.6923076923085</v>
      </c>
      <c r="C24" s="45">
        <v>-994000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1.8867924528301887E-3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08340-0AAD-49FA-81BA-E02D22FAD482}">
  <sheetPr codeName="Sheet13"/>
  <dimension ref="A1:Q7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75</v>
      </c>
      <c r="C2" s="147"/>
      <c r="E2" s="62" t="s">
        <v>67</v>
      </c>
      <c r="F2" s="59" t="s">
        <v>23</v>
      </c>
      <c r="G2" s="46">
        <v>155</v>
      </c>
      <c r="H2" s="132">
        <f>IF(B$17=0,0,G2/B$17)</f>
        <v>0.8707865168539326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-1152</v>
      </c>
      <c r="P2" s="118">
        <v>75</v>
      </c>
      <c r="Q2" s="102">
        <v>-86400</v>
      </c>
    </row>
    <row r="3" spans="1:17" x14ac:dyDescent="0.4">
      <c r="A3" s="55" t="s">
        <v>8</v>
      </c>
      <c r="B3" s="148">
        <v>629</v>
      </c>
      <c r="C3" s="149"/>
      <c r="E3" s="63" t="s">
        <v>65</v>
      </c>
      <c r="F3" s="60" t="s">
        <v>21</v>
      </c>
      <c r="G3" s="47">
        <v>101</v>
      </c>
      <c r="H3" s="133">
        <f>IF(B$17=0,0,G3/B$17)</f>
        <v>0.56741573033707871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382.43243243243245</v>
      </c>
      <c r="P3" s="119">
        <v>74</v>
      </c>
      <c r="Q3" s="103">
        <v>28300</v>
      </c>
    </row>
    <row r="4" spans="1:17" x14ac:dyDescent="0.4">
      <c r="A4" s="55" t="s">
        <v>6</v>
      </c>
      <c r="B4" s="150">
        <v>145.29999999999998</v>
      </c>
      <c r="C4" s="151"/>
      <c r="E4" s="63" t="s">
        <v>73</v>
      </c>
      <c r="F4" s="60" t="s">
        <v>28</v>
      </c>
      <c r="G4" s="47">
        <v>89</v>
      </c>
      <c r="H4" s="133">
        <f>IF(B$17=0,0,G4/B$17)</f>
        <v>0.5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1686.9565217391305</v>
      </c>
      <c r="P4" s="119">
        <v>69</v>
      </c>
      <c r="Q4" s="103">
        <v>116400</v>
      </c>
    </row>
    <row r="5" spans="1:17" x14ac:dyDescent="0.4">
      <c r="A5" s="55" t="s">
        <v>7</v>
      </c>
      <c r="B5" s="152">
        <f>IF(B$2=0,0,B$4/B$2)</f>
        <v>1.9373333333333331</v>
      </c>
      <c r="C5" s="153"/>
      <c r="E5" s="63" t="s">
        <v>181</v>
      </c>
      <c r="F5" s="60" t="s">
        <v>182</v>
      </c>
      <c r="G5" s="47">
        <v>70</v>
      </c>
      <c r="H5" s="133">
        <f>IF(B$17=0,0,G5/B$17)</f>
        <v>0.39325842696629215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2362.7118644067796</v>
      </c>
      <c r="P5" s="119">
        <v>59</v>
      </c>
      <c r="Q5" s="103">
        <v>139400</v>
      </c>
    </row>
    <row r="6" spans="1:17" x14ac:dyDescent="0.4">
      <c r="A6" s="55" t="s">
        <v>1</v>
      </c>
      <c r="B6" s="142">
        <f>IF(B$2=0,0,(B$7*1+B$8*2+B$9*3)/B$2)</f>
        <v>2.04</v>
      </c>
      <c r="C6" s="143"/>
      <c r="E6" s="63" t="s">
        <v>68</v>
      </c>
      <c r="F6" s="60" t="s">
        <v>24</v>
      </c>
      <c r="G6" s="47">
        <v>59</v>
      </c>
      <c r="H6" s="133">
        <f>IF(B$17=0,0,G6/B$17)</f>
        <v>0.33146067415730335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-838.46153846153845</v>
      </c>
      <c r="P6" s="119">
        <v>52</v>
      </c>
      <c r="Q6" s="103">
        <v>-43600</v>
      </c>
    </row>
    <row r="7" spans="1:17" x14ac:dyDescent="0.4">
      <c r="A7" s="55" t="s">
        <v>2</v>
      </c>
      <c r="B7" s="47">
        <v>23</v>
      </c>
      <c r="C7" s="39">
        <f>IF(B$2=0,0,B7/B$2)</f>
        <v>0.30666666666666664</v>
      </c>
      <c r="E7" s="63" t="s">
        <v>69</v>
      </c>
      <c r="F7" s="60" t="s">
        <v>12</v>
      </c>
      <c r="G7" s="47">
        <v>56</v>
      </c>
      <c r="H7" s="133">
        <f>IF(B$17=0,0,G7/B$17)</f>
        <v>0.3146067415730337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462.5</v>
      </c>
      <c r="P7" s="120">
        <v>48</v>
      </c>
      <c r="Q7" s="104">
        <v>22200</v>
      </c>
    </row>
    <row r="8" spans="1:17" x14ac:dyDescent="0.4">
      <c r="A8" s="55" t="s">
        <v>3</v>
      </c>
      <c r="B8" s="47">
        <v>26</v>
      </c>
      <c r="C8" s="39">
        <f>IF(B$2=0,0,B8/B$2)</f>
        <v>0.34666666666666668</v>
      </c>
      <c r="E8" s="63" t="s">
        <v>70</v>
      </c>
      <c r="F8" s="60" t="s">
        <v>25</v>
      </c>
      <c r="G8" s="47">
        <v>35</v>
      </c>
      <c r="H8" s="133">
        <f>IF(B$17=0,0,G8/B$17)</f>
        <v>0.19662921348314608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0.34666666666666668</v>
      </c>
      <c r="E9" s="63" t="s">
        <v>90</v>
      </c>
      <c r="F9" s="60" t="s">
        <v>45</v>
      </c>
      <c r="G9" s="47">
        <v>27</v>
      </c>
      <c r="H9" s="133">
        <f>IF(B$17=0,0,G9/B$17)</f>
        <v>0.15168539325842698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6.6666666666666666E-2</v>
      </c>
      <c r="E10" s="63" t="s">
        <v>66</v>
      </c>
      <c r="F10" s="60" t="s">
        <v>22</v>
      </c>
      <c r="G10" s="47">
        <v>25</v>
      </c>
      <c r="H10" s="133">
        <f>IF(B$17=0,0,G10/B$17)</f>
        <v>0.1404494382022472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4.68</v>
      </c>
      <c r="P10" s="118">
        <v>20</v>
      </c>
      <c r="Q10" s="106">
        <v>93.6</v>
      </c>
    </row>
    <row r="11" spans="1:17" x14ac:dyDescent="0.4">
      <c r="A11" s="56" t="s">
        <v>140</v>
      </c>
      <c r="B11" s="48">
        <v>10</v>
      </c>
      <c r="C11" s="40">
        <f>IF(B$2=0,0,B11/B$2)</f>
        <v>0.13333333333333333</v>
      </c>
      <c r="E11" s="63" t="s">
        <v>71</v>
      </c>
      <c r="F11" s="60" t="s">
        <v>26</v>
      </c>
      <c r="G11" s="47">
        <v>20</v>
      </c>
      <c r="H11" s="133">
        <f>IF(B$17=0,0,G11/B$17)</f>
        <v>0.11235955056179775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-2.7357142857142844</v>
      </c>
      <c r="P11" s="119">
        <v>28</v>
      </c>
      <c r="Q11" s="107">
        <v>-76.599999999999966</v>
      </c>
    </row>
    <row r="12" spans="1:17" x14ac:dyDescent="0.4">
      <c r="A12" s="57" t="s">
        <v>160</v>
      </c>
      <c r="B12" s="49">
        <v>6</v>
      </c>
      <c r="C12" s="42">
        <f>IF(B$2=0,0,B12/B$2)</f>
        <v>0.08</v>
      </c>
      <c r="E12" s="63" t="s">
        <v>87</v>
      </c>
      <c r="F12" s="60" t="s">
        <v>42</v>
      </c>
      <c r="G12" s="47">
        <v>13</v>
      </c>
      <c r="H12" s="133">
        <f>IF(B$17=0,0,G12/B$17)</f>
        <v>7.3033707865168537E-2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4.7518518518518524</v>
      </c>
      <c r="P12" s="120">
        <v>27</v>
      </c>
      <c r="Q12" s="108">
        <v>128.30000000000001</v>
      </c>
    </row>
    <row r="13" spans="1:17" x14ac:dyDescent="0.4">
      <c r="A13" s="58" t="s">
        <v>122</v>
      </c>
      <c r="B13" s="50">
        <v>180</v>
      </c>
      <c r="C13" s="44">
        <f>IF(B$3=0,0,B13/B$3)</f>
        <v>0.2861685214626391</v>
      </c>
      <c r="E13" s="63" t="s">
        <v>72</v>
      </c>
      <c r="F13" s="60" t="s">
        <v>27</v>
      </c>
      <c r="G13" s="47">
        <v>12</v>
      </c>
      <c r="H13" s="133">
        <f>IF(B$17=0,0,G13/B$17)</f>
        <v>6.741573033707865E-2</v>
      </c>
      <c r="I13" s="94">
        <v>5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118</v>
      </c>
      <c r="C14" s="39">
        <f>IF(B$3=0,0,B14/B$3)</f>
        <v>0.18759936406995231</v>
      </c>
      <c r="E14" s="63" t="s">
        <v>79</v>
      </c>
      <c r="F14" s="60" t="s">
        <v>34</v>
      </c>
      <c r="G14" s="47">
        <v>9</v>
      </c>
      <c r="H14" s="133">
        <f>IF(B$17=0,0,G14/B$17)</f>
        <v>5.0561797752808987E-2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106</v>
      </c>
      <c r="C15" s="37">
        <f>IF(B$13=0,0,B15/B$13)</f>
        <v>0.58888888888888891</v>
      </c>
      <c r="E15" s="63" t="s">
        <v>82</v>
      </c>
      <c r="F15" s="60" t="s">
        <v>37</v>
      </c>
      <c r="G15" s="47">
        <v>7</v>
      </c>
      <c r="H15" s="133">
        <f>IF(B$17=0,0,G15/B$17)</f>
        <v>3.9325842696629212E-2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26.394999999999992</v>
      </c>
      <c r="P15" s="118">
        <v>20</v>
      </c>
      <c r="Q15" s="106">
        <v>527.89999999999986</v>
      </c>
    </row>
    <row r="16" spans="1:17" x14ac:dyDescent="0.4">
      <c r="A16" s="54" t="s">
        <v>125</v>
      </c>
      <c r="B16" s="46">
        <v>47</v>
      </c>
      <c r="C16" s="37">
        <f>IF(B$14=0,0,B16/B$14)</f>
        <v>0.39830508474576271</v>
      </c>
      <c r="E16" s="63" t="s">
        <v>84</v>
      </c>
      <c r="F16" s="60" t="s">
        <v>39</v>
      </c>
      <c r="G16" s="47">
        <v>7</v>
      </c>
      <c r="H16" s="133">
        <f>IF(B$17=0,0,G16/B$17)</f>
        <v>3.9325842696629212E-2</v>
      </c>
      <c r="I16" s="94">
        <v>8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178</v>
      </c>
      <c r="C17" s="37">
        <f>IF(B$3=0,0,B17/B$3)</f>
        <v>0.28298887122416533</v>
      </c>
      <c r="E17" s="63" t="s">
        <v>92</v>
      </c>
      <c r="F17" s="60" t="s">
        <v>47</v>
      </c>
      <c r="G17" s="47">
        <v>4</v>
      </c>
      <c r="H17" s="133">
        <f>IF(B$17=0,0,G17/B$17)</f>
        <v>2.247191011235955E-2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76</v>
      </c>
      <c r="C18" s="39">
        <f>IF(B$17=0,0,B18/B$17)</f>
        <v>0.42696629213483145</v>
      </c>
      <c r="E18" s="63" t="s">
        <v>76</v>
      </c>
      <c r="F18" s="60" t="s">
        <v>31</v>
      </c>
      <c r="G18" s="47">
        <v>3</v>
      </c>
      <c r="H18" s="133">
        <f>IF(B$17=0,0,G18/B$17)</f>
        <v>1.6853932584269662E-2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3.6749999999999998</v>
      </c>
      <c r="P18" s="119">
        <v>16</v>
      </c>
      <c r="Q18" s="107">
        <v>58.8</v>
      </c>
    </row>
    <row r="19" spans="1:17" x14ac:dyDescent="0.4">
      <c r="A19" s="55" t="s">
        <v>11</v>
      </c>
      <c r="B19" s="47">
        <v>102</v>
      </c>
      <c r="C19" s="39">
        <f>IF(B$17=0,0,B19/B$17)</f>
        <v>0.5730337078651685</v>
      </c>
      <c r="E19" s="63" t="s">
        <v>80</v>
      </c>
      <c r="F19" s="60" t="s">
        <v>35</v>
      </c>
      <c r="G19" s="47">
        <v>3</v>
      </c>
      <c r="H19" s="133">
        <f>IF(B$17=0,0,G19/B$17)</f>
        <v>1.6853932584269662E-2</v>
      </c>
      <c r="I19" s="94">
        <v>5</v>
      </c>
      <c r="K19" s="38">
        <v>17</v>
      </c>
      <c r="L19" s="99">
        <v>-74.3</v>
      </c>
      <c r="N19" s="115" t="s">
        <v>128</v>
      </c>
      <c r="O19" s="125">
        <f>IF(P19=0,0,Q19/P19)</f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108</v>
      </c>
      <c r="C20" s="39">
        <f>IF(B$3=0,0,B20/B$3)</f>
        <v>0.17170111287758347</v>
      </c>
      <c r="E20" s="63" t="s">
        <v>85</v>
      </c>
      <c r="F20" s="60" t="s">
        <v>40</v>
      </c>
      <c r="G20" s="47">
        <v>2</v>
      </c>
      <c r="H20" s="133">
        <f>IF(B$17=0,0,G20/B$17)</f>
        <v>1.1235955056179775E-2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>IF(P20=0,0,Q20/P20)</f>
        <v>1.0727272727272774</v>
      </c>
      <c r="P20" s="119">
        <v>44</v>
      </c>
      <c r="Q20" s="107">
        <v>47.200000000000202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93</v>
      </c>
      <c r="F21" s="60" t="s">
        <v>48</v>
      </c>
      <c r="G21" s="47">
        <v>2</v>
      </c>
      <c r="H21" s="133">
        <f>IF(B$17=0,0,G21/B$17)</f>
        <v>1.1235955056179775E-2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7</v>
      </c>
      <c r="E22" s="63" t="s">
        <v>180</v>
      </c>
      <c r="F22" s="60" t="s">
        <v>183</v>
      </c>
      <c r="G22" s="47">
        <v>2</v>
      </c>
      <c r="H22" s="133">
        <f>IF(B$17=0,0,G22/B$17)</f>
        <v>1.1235955056179775E-2</v>
      </c>
      <c r="I22" s="94">
        <v>4</v>
      </c>
      <c r="K22" s="38">
        <v>20</v>
      </c>
      <c r="L22" s="99">
        <v>-3.5999999999999917</v>
      </c>
      <c r="N22" s="115" t="s">
        <v>177</v>
      </c>
      <c r="O22" s="125">
        <f>IF(P22=0,0,Q22/P22)</f>
        <v>-34.907692307692308</v>
      </c>
      <c r="P22" s="119">
        <v>13</v>
      </c>
      <c r="Q22" s="107">
        <v>-453.8</v>
      </c>
    </row>
    <row r="23" spans="1:17" x14ac:dyDescent="0.4">
      <c r="A23" s="55" t="s">
        <v>5</v>
      </c>
      <c r="B23" s="51">
        <f>IF(B$17=0,0,C23/B$17)</f>
        <v>9939.8876404494385</v>
      </c>
      <c r="C23" s="41">
        <v>1769300</v>
      </c>
      <c r="E23" s="63" t="s">
        <v>74</v>
      </c>
      <c r="F23" s="60" t="s">
        <v>29</v>
      </c>
      <c r="G23" s="47">
        <v>1</v>
      </c>
      <c r="H23" s="133">
        <f>IF(B$17=0,0,G23/B$17)</f>
        <v>5.6179775280898875E-3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-7845.3703703703704</v>
      </c>
      <c r="C24" s="45">
        <v>-847300</v>
      </c>
      <c r="E24" s="63" t="s">
        <v>88</v>
      </c>
      <c r="F24" s="60" t="s">
        <v>43</v>
      </c>
      <c r="G24" s="47">
        <v>1</v>
      </c>
      <c r="H24" s="133">
        <f>IF(B$17=0,0,G24/B$17)</f>
        <v>5.6179775280898875E-3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5.6179775280898875E-3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6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1.589825119236884E-3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5715C-F592-49A8-9CA3-A30916D7A69D}">
  <sheetPr codeName="Sheet15"/>
  <dimension ref="A1:Q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59</v>
      </c>
      <c r="C2" s="147"/>
      <c r="E2" s="62" t="s">
        <v>67</v>
      </c>
      <c r="F2" s="59" t="s">
        <v>23</v>
      </c>
      <c r="G2" s="46">
        <v>125</v>
      </c>
      <c r="H2" s="132">
        <f>IF(B$17=0,0,G2/B$17)</f>
        <v>0.66489361702127658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445.76271186440675</v>
      </c>
      <c r="P2" s="118">
        <v>59</v>
      </c>
      <c r="Q2" s="102">
        <v>26300</v>
      </c>
    </row>
    <row r="3" spans="1:17" x14ac:dyDescent="0.4">
      <c r="A3" s="55" t="s">
        <v>8</v>
      </c>
      <c r="B3" s="148">
        <v>516</v>
      </c>
      <c r="C3" s="149"/>
      <c r="E3" s="63" t="s">
        <v>73</v>
      </c>
      <c r="F3" s="60" t="s">
        <v>28</v>
      </c>
      <c r="G3" s="47">
        <v>106</v>
      </c>
      <c r="H3" s="133">
        <f>IF(B$17=0,0,G3/B$17)</f>
        <v>0.56382978723404253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100</v>
      </c>
      <c r="P3" s="119">
        <v>59</v>
      </c>
      <c r="Q3" s="103">
        <v>5900</v>
      </c>
    </row>
    <row r="4" spans="1:17" x14ac:dyDescent="0.4">
      <c r="A4" s="55" t="s">
        <v>6</v>
      </c>
      <c r="B4" s="150">
        <v>21.999999999999986</v>
      </c>
      <c r="C4" s="151"/>
      <c r="E4" s="63" t="s">
        <v>181</v>
      </c>
      <c r="F4" s="60" t="s">
        <v>182</v>
      </c>
      <c r="G4" s="47">
        <v>86</v>
      </c>
      <c r="H4" s="133">
        <f>IF(B$17=0,0,G4/B$17)</f>
        <v>0.45744680851063829</v>
      </c>
      <c r="I4" s="94">
        <v>2</v>
      </c>
      <c r="K4" s="38">
        <v>2</v>
      </c>
      <c r="L4" s="99">
        <v>-7.7000000000000011</v>
      </c>
      <c r="N4" s="115" t="s">
        <v>134</v>
      </c>
      <c r="O4" s="122">
        <f t="shared" si="0"/>
        <v>-1135.8490566037735</v>
      </c>
      <c r="P4" s="119">
        <v>53</v>
      </c>
      <c r="Q4" s="103">
        <v>-60200</v>
      </c>
    </row>
    <row r="5" spans="1:17" x14ac:dyDescent="0.4">
      <c r="A5" s="55" t="s">
        <v>7</v>
      </c>
      <c r="B5" s="152">
        <f>IF(B$2=0,0,B$4/B$2)</f>
        <v>0.37288135593220317</v>
      </c>
      <c r="C5" s="153"/>
      <c r="E5" s="63" t="s">
        <v>65</v>
      </c>
      <c r="F5" s="60" t="s">
        <v>21</v>
      </c>
      <c r="G5" s="47">
        <v>66</v>
      </c>
      <c r="H5" s="133">
        <f>IF(B$17=0,0,G5/B$17)</f>
        <v>0.35106382978723405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372</v>
      </c>
      <c r="P5" s="119">
        <v>50</v>
      </c>
      <c r="Q5" s="103">
        <v>18600</v>
      </c>
    </row>
    <row r="6" spans="1:17" x14ac:dyDescent="0.4">
      <c r="A6" s="55" t="s">
        <v>1</v>
      </c>
      <c r="B6" s="142">
        <f>IF(B$2=0,0,(B$7*1+B$8*2+B$9*3)/B$2)</f>
        <v>2.0338983050847457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0.27127659574468083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661.22448979591832</v>
      </c>
      <c r="P6" s="119">
        <v>49</v>
      </c>
      <c r="Q6" s="103">
        <v>32400</v>
      </c>
    </row>
    <row r="7" spans="1:17" x14ac:dyDescent="0.4">
      <c r="A7" s="55" t="s">
        <v>2</v>
      </c>
      <c r="B7" s="47">
        <v>16</v>
      </c>
      <c r="C7" s="39">
        <f>IF(B$2=0,0,B7/B$2)</f>
        <v>0.2711864406779661</v>
      </c>
      <c r="E7" s="63" t="s">
        <v>68</v>
      </c>
      <c r="F7" s="60" t="s">
        <v>24</v>
      </c>
      <c r="G7" s="47">
        <v>32</v>
      </c>
      <c r="H7" s="133">
        <f>IF(B$17=0,0,G7/B$17)</f>
        <v>0.1702127659574468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-351.16279069767444</v>
      </c>
      <c r="P7" s="120">
        <v>43</v>
      </c>
      <c r="Q7" s="104">
        <v>-15100</v>
      </c>
    </row>
    <row r="8" spans="1:17" x14ac:dyDescent="0.4">
      <c r="A8" s="55" t="s">
        <v>3</v>
      </c>
      <c r="B8" s="47">
        <v>25</v>
      </c>
      <c r="C8" s="39">
        <f>IF(B$2=0,0,B8/B$2)</f>
        <v>0.42372881355932202</v>
      </c>
      <c r="E8" s="63" t="s">
        <v>70</v>
      </c>
      <c r="F8" s="60" t="s">
        <v>25</v>
      </c>
      <c r="G8" s="47">
        <v>28</v>
      </c>
      <c r="H8" s="133">
        <f>IF(B$17=0,0,G8/B$17)</f>
        <v>0.14893617021276595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0.30508474576271188</v>
      </c>
      <c r="E9" s="63" t="s">
        <v>66</v>
      </c>
      <c r="F9" s="60" t="s">
        <v>22</v>
      </c>
      <c r="G9" s="47">
        <v>21</v>
      </c>
      <c r="H9" s="133">
        <f>IF(B$17=0,0,G9/B$17)</f>
        <v>0.11170212765957446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5.0847457627118647E-2</v>
      </c>
      <c r="E10" s="63" t="s">
        <v>72</v>
      </c>
      <c r="F10" s="60" t="s">
        <v>27</v>
      </c>
      <c r="G10" s="47">
        <v>15</v>
      </c>
      <c r="H10" s="133">
        <f>IF(B$17=0,0,G10/B$17)</f>
        <v>7.9787234042553196E-2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0.10169491525423729</v>
      </c>
      <c r="E11" s="63" t="s">
        <v>90</v>
      </c>
      <c r="F11" s="60" t="s">
        <v>45</v>
      </c>
      <c r="G11" s="47">
        <v>12</v>
      </c>
      <c r="H11" s="133">
        <f>IF(B$17=0,0,G11/B$17)</f>
        <v>6.3829787234042548E-2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3</v>
      </c>
      <c r="C12" s="42">
        <f>IF(B$2=0,0,B12/B$2)</f>
        <v>5.0847457627118647E-2</v>
      </c>
      <c r="E12" s="63" t="s">
        <v>71</v>
      </c>
      <c r="F12" s="60" t="s">
        <v>26</v>
      </c>
      <c r="G12" s="47">
        <v>11</v>
      </c>
      <c r="H12" s="133">
        <f>IF(B$17=0,0,G12/B$17)</f>
        <v>5.8510638297872342E-2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2.8409090909090913</v>
      </c>
      <c r="P12" s="120">
        <v>22</v>
      </c>
      <c r="Q12" s="108">
        <v>62.500000000000007</v>
      </c>
    </row>
    <row r="13" spans="1:17" x14ac:dyDescent="0.4">
      <c r="A13" s="58" t="s">
        <v>122</v>
      </c>
      <c r="B13" s="50">
        <v>114</v>
      </c>
      <c r="C13" s="44">
        <f>IF(B$3=0,0,B13/B$3)</f>
        <v>0.22093023255813954</v>
      </c>
      <c r="E13" s="63" t="s">
        <v>84</v>
      </c>
      <c r="F13" s="60" t="s">
        <v>39</v>
      </c>
      <c r="G13" s="47">
        <v>10</v>
      </c>
      <c r="H13" s="133">
        <f>IF(B$17=0,0,G13/B$17)</f>
        <v>5.3191489361702128E-2</v>
      </c>
      <c r="I13" s="94">
        <v>2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149</v>
      </c>
      <c r="C14" s="39">
        <f>IF(B$3=0,0,B14/B$3)</f>
        <v>0.28875968992248063</v>
      </c>
      <c r="E14" s="63" t="s">
        <v>87</v>
      </c>
      <c r="F14" s="60" t="s">
        <v>42</v>
      </c>
      <c r="G14" s="47">
        <v>8</v>
      </c>
      <c r="H14" s="133">
        <f>IF(B$17=0,0,G14/B$17)</f>
        <v>4.2553191489361701E-2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0.57894736842105265</v>
      </c>
      <c r="E15" s="63" t="s">
        <v>82</v>
      </c>
      <c r="F15" s="60" t="s">
        <v>37</v>
      </c>
      <c r="G15" s="47">
        <v>6</v>
      </c>
      <c r="H15" s="133">
        <f>IF(B$17=0,0,G15/B$17)</f>
        <v>3.1914893617021274E-2</v>
      </c>
      <c r="I15" s="94">
        <v>5</v>
      </c>
      <c r="K15" s="38">
        <v>13</v>
      </c>
      <c r="L15" s="99">
        <v>-3</v>
      </c>
      <c r="N15" s="114" t="s">
        <v>129</v>
      </c>
      <c r="O15" s="124">
        <f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66</v>
      </c>
      <c r="C16" s="37">
        <f>IF(B$14=0,0,B16/B$14)</f>
        <v>0.44295302013422821</v>
      </c>
      <c r="E16" s="63" t="s">
        <v>79</v>
      </c>
      <c r="F16" s="60" t="s">
        <v>34</v>
      </c>
      <c r="G16" s="47">
        <v>2</v>
      </c>
      <c r="H16" s="133">
        <f>IF(B$17=0,0,G16/B$17)</f>
        <v>1.0638297872340425E-2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0.36434108527131781</v>
      </c>
      <c r="E17" s="63" t="s">
        <v>80</v>
      </c>
      <c r="F17" s="60" t="s">
        <v>35</v>
      </c>
      <c r="G17" s="47">
        <v>2</v>
      </c>
      <c r="H17" s="133">
        <f>IF(B$17=0,0,G17/B$17)</f>
        <v>1.0638297872340425E-2</v>
      </c>
      <c r="I17" s="94">
        <v>8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79</v>
      </c>
      <c r="C18" s="39">
        <f>IF(B$17=0,0,B18/B$17)</f>
        <v>0.42021276595744683</v>
      </c>
      <c r="E18" s="63" t="s">
        <v>92</v>
      </c>
      <c r="F18" s="60" t="s">
        <v>47</v>
      </c>
      <c r="G18" s="47">
        <v>2</v>
      </c>
      <c r="H18" s="133">
        <f>IF(B$17=0,0,G18/B$17)</f>
        <v>1.0638297872340425E-2</v>
      </c>
      <c r="I18" s="94">
        <v>7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109</v>
      </c>
      <c r="C19" s="39">
        <f>IF(B$17=0,0,B19/B$17)</f>
        <v>0.57978723404255317</v>
      </c>
      <c r="E19" s="63" t="s">
        <v>75</v>
      </c>
      <c r="F19" s="60" t="s">
        <v>30</v>
      </c>
      <c r="G19" s="47">
        <v>1</v>
      </c>
      <c r="H19" s="133">
        <f>IF(B$17=0,0,G19/B$17)</f>
        <v>5.3191489361702126E-3</v>
      </c>
      <c r="I19" s="94">
        <v>4</v>
      </c>
      <c r="K19" s="38">
        <v>17</v>
      </c>
      <c r="L19" s="99">
        <v>-55.099999999999994</v>
      </c>
      <c r="N19" s="115" t="s">
        <v>173</v>
      </c>
      <c r="O19" s="125">
        <f>IF(P19=0,0,Q19/P19)</f>
        <v>12.590909090909088</v>
      </c>
      <c r="P19" s="119">
        <v>11</v>
      </c>
      <c r="Q19" s="107">
        <v>138.49999999999997</v>
      </c>
    </row>
    <row r="20" spans="1:17" x14ac:dyDescent="0.4">
      <c r="A20" s="55" t="s">
        <v>13</v>
      </c>
      <c r="B20" s="47">
        <v>66</v>
      </c>
      <c r="C20" s="39">
        <f>IF(B$3=0,0,B20/B$3)</f>
        <v>0.12790697674418605</v>
      </c>
      <c r="E20" s="63" t="s">
        <v>76</v>
      </c>
      <c r="F20" s="60" t="s">
        <v>31</v>
      </c>
      <c r="G20" s="47">
        <v>1</v>
      </c>
      <c r="H20" s="133">
        <f>IF(B$17=0,0,G20/B$17)</f>
        <v>5.3191489361702126E-3</v>
      </c>
      <c r="I20" s="94">
        <v>6</v>
      </c>
      <c r="K20" s="38">
        <v>18</v>
      </c>
      <c r="L20" s="99">
        <v>-28.199999999999996</v>
      </c>
      <c r="N20" s="115" t="s">
        <v>177</v>
      </c>
      <c r="O20" s="125">
        <f>IF(P20=0,0,Q20/P20)</f>
        <v>7.7299999999999995</v>
      </c>
      <c r="P20" s="119">
        <v>10</v>
      </c>
      <c r="Q20" s="107">
        <v>77.3</v>
      </c>
    </row>
    <row r="21" spans="1:17" x14ac:dyDescent="0.4">
      <c r="A21" s="55" t="s">
        <v>193</v>
      </c>
      <c r="B21" s="47">
        <v>10</v>
      </c>
      <c r="C21" s="135">
        <v>3</v>
      </c>
      <c r="E21" s="63" t="s">
        <v>88</v>
      </c>
      <c r="F21" s="60" t="s">
        <v>43</v>
      </c>
      <c r="G21" s="47">
        <v>1</v>
      </c>
      <c r="H21" s="133">
        <f>IF(B$17=0,0,G21/B$17)</f>
        <v>5.3191489361702126E-3</v>
      </c>
      <c r="I21" s="94">
        <v>4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15</v>
      </c>
      <c r="E22" s="63" t="s">
        <v>74</v>
      </c>
      <c r="F22" s="60" t="s">
        <v>29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43</v>
      </c>
      <c r="N22" s="115" t="s">
        <v>171</v>
      </c>
      <c r="O22" s="125">
        <f>IF(P22=0,0,Q22/P22)</f>
        <v>-3.6750000000000007</v>
      </c>
      <c r="P22" s="119">
        <v>16</v>
      </c>
      <c r="Q22" s="107">
        <v>-58.800000000000011</v>
      </c>
    </row>
    <row r="23" spans="1:17" x14ac:dyDescent="0.4">
      <c r="A23" s="55" t="s">
        <v>5</v>
      </c>
      <c r="B23" s="51">
        <f>IF(B$17=0,0,C23/B$17)</f>
        <v>6579.255319148936</v>
      </c>
      <c r="C23" s="41">
        <v>1236900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89.9</v>
      </c>
      <c r="N23" s="115" t="s">
        <v>127</v>
      </c>
      <c r="O23" s="125">
        <f>IF(P23=0,0,Q23/P23)</f>
        <v>-24.890322580645162</v>
      </c>
      <c r="P23" s="119">
        <v>31</v>
      </c>
      <c r="Q23" s="107">
        <v>-771.6</v>
      </c>
    </row>
    <row r="24" spans="1:17" x14ac:dyDescent="0.4">
      <c r="A24" s="57" t="s">
        <v>14</v>
      </c>
      <c r="B24" s="52">
        <f>IF(B$20=0,0,C24/B$20)</f>
        <v>-9269.69696969697</v>
      </c>
      <c r="C24" s="45">
        <v>-611800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1.937984496124031E-3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66764-8195-48A4-A88A-DF4F1B91545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41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0.70192307692307687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-3139.0243902439024</v>
      </c>
      <c r="P2" s="118">
        <v>41</v>
      </c>
      <c r="Q2" s="102">
        <v>-128700</v>
      </c>
    </row>
    <row r="3" spans="1:17" x14ac:dyDescent="0.4">
      <c r="A3" s="55" t="s">
        <v>8</v>
      </c>
      <c r="B3" s="148">
        <v>355</v>
      </c>
      <c r="C3" s="149"/>
      <c r="E3" s="63" t="s">
        <v>73</v>
      </c>
      <c r="F3" s="60" t="s">
        <v>28</v>
      </c>
      <c r="G3" s="47">
        <v>53</v>
      </c>
      <c r="H3" s="133">
        <f>IF(B$17=0,0,G3/B$17)</f>
        <v>0.50961538461538458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2056.0975609756097</v>
      </c>
      <c r="P3" s="119">
        <v>41</v>
      </c>
      <c r="Q3" s="103">
        <v>84300</v>
      </c>
    </row>
    <row r="4" spans="1:17" x14ac:dyDescent="0.4">
      <c r="A4" s="55" t="s">
        <v>6</v>
      </c>
      <c r="B4" s="150">
        <v>-303.59999999999997</v>
      </c>
      <c r="C4" s="151"/>
      <c r="E4" s="63" t="s">
        <v>65</v>
      </c>
      <c r="F4" s="60" t="s">
        <v>21</v>
      </c>
      <c r="G4" s="47">
        <v>48</v>
      </c>
      <c r="H4" s="133">
        <f>IF(B$17=0,0,G4/B$17)</f>
        <v>0.46153846153846156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-987.17948717948718</v>
      </c>
      <c r="P4" s="119">
        <v>39</v>
      </c>
      <c r="Q4" s="103">
        <v>-38500</v>
      </c>
    </row>
    <row r="5" spans="1:17" x14ac:dyDescent="0.4">
      <c r="A5" s="55" t="s">
        <v>7</v>
      </c>
      <c r="B5" s="152">
        <f>IF(B$2=0,0,B$4/B$2)</f>
        <v>-7.4048780487804873</v>
      </c>
      <c r="C5" s="153"/>
      <c r="E5" s="63" t="s">
        <v>69</v>
      </c>
      <c r="F5" s="60" t="s">
        <v>12</v>
      </c>
      <c r="G5" s="47">
        <v>41</v>
      </c>
      <c r="H5" s="133">
        <f>IF(B$17=0,0,G5/B$17)</f>
        <v>0.39423076923076922</v>
      </c>
      <c r="I5" s="94">
        <v>4</v>
      </c>
      <c r="K5" s="38">
        <v>3</v>
      </c>
      <c r="L5" s="99">
        <v>-149</v>
      </c>
      <c r="N5" s="115" t="s">
        <v>135</v>
      </c>
      <c r="O5" s="122">
        <f t="shared" si="0"/>
        <v>-3933.3333333333335</v>
      </c>
      <c r="P5" s="119">
        <v>36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2.0975609756097562</v>
      </c>
      <c r="C6" s="143"/>
      <c r="E6" s="63" t="s">
        <v>181</v>
      </c>
      <c r="F6" s="60" t="s">
        <v>182</v>
      </c>
      <c r="G6" s="47">
        <v>38</v>
      </c>
      <c r="H6" s="133">
        <f>IF(B$17=0,0,G6/B$17)</f>
        <v>0.36538461538461536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-46.875</v>
      </c>
      <c r="P6" s="119">
        <v>32</v>
      </c>
      <c r="Q6" s="103">
        <v>-1500</v>
      </c>
    </row>
    <row r="7" spans="1:17" x14ac:dyDescent="0.4">
      <c r="A7" s="55" t="s">
        <v>2</v>
      </c>
      <c r="B7" s="47">
        <v>11</v>
      </c>
      <c r="C7" s="39">
        <f>IF(B$2=0,0,B7/B$2)</f>
        <v>0.26829268292682928</v>
      </c>
      <c r="E7" s="63" t="s">
        <v>68</v>
      </c>
      <c r="F7" s="60" t="s">
        <v>24</v>
      </c>
      <c r="G7" s="47">
        <v>26</v>
      </c>
      <c r="H7" s="133">
        <f>IF(B$17=0,0,G7/B$17)</f>
        <v>0.25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270.96774193548384</v>
      </c>
      <c r="P7" s="120">
        <v>31</v>
      </c>
      <c r="Q7" s="104">
        <v>8400</v>
      </c>
    </row>
    <row r="8" spans="1:17" x14ac:dyDescent="0.4">
      <c r="A8" s="55" t="s">
        <v>3</v>
      </c>
      <c r="B8" s="47">
        <v>15</v>
      </c>
      <c r="C8" s="39">
        <f>IF(B$2=0,0,B8/B$2)</f>
        <v>0.36585365853658536</v>
      </c>
      <c r="E8" s="63" t="s">
        <v>71</v>
      </c>
      <c r="F8" s="60" t="s">
        <v>26</v>
      </c>
      <c r="G8" s="47">
        <v>13</v>
      </c>
      <c r="H8" s="133">
        <f>IF(B$17=0,0,G8/B$17)</f>
        <v>0.125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0.36585365853658536</v>
      </c>
      <c r="E9" s="63" t="s">
        <v>90</v>
      </c>
      <c r="F9" s="60" t="s">
        <v>45</v>
      </c>
      <c r="G9" s="47">
        <v>12</v>
      </c>
      <c r="H9" s="133">
        <f>IF(B$17=0,0,G9/B$17)</f>
        <v>0.11538461538461539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0.12195121951219512</v>
      </c>
      <c r="E10" s="63" t="s">
        <v>70</v>
      </c>
      <c r="F10" s="60" t="s">
        <v>25</v>
      </c>
      <c r="G10" s="47">
        <v>11</v>
      </c>
      <c r="H10" s="133">
        <f>IF(B$17=0,0,G10/B$17)</f>
        <v>0.10576923076923077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4.878048780487805E-2</v>
      </c>
      <c r="E11" s="63" t="s">
        <v>66</v>
      </c>
      <c r="F11" s="60" t="s">
        <v>22</v>
      </c>
      <c r="G11" s="47">
        <v>8</v>
      </c>
      <c r="H11" s="133">
        <f>IF(B$17=0,0,G11/B$17)</f>
        <v>7.6923076923076927E-2</v>
      </c>
      <c r="I11" s="94">
        <v>7</v>
      </c>
      <c r="K11" s="38">
        <v>9</v>
      </c>
      <c r="L11" s="99">
        <v>-260.59999999999997</v>
      </c>
      <c r="N11" s="115" t="s">
        <v>165</v>
      </c>
      <c r="O11" s="125">
        <f>IF(P11=0,0,Q11/P11)</f>
        <v>-6.1842105263157885</v>
      </c>
      <c r="P11" s="119">
        <v>19</v>
      </c>
      <c r="Q11" s="107">
        <v>-117.49999999999999</v>
      </c>
    </row>
    <row r="12" spans="1:17" x14ac:dyDescent="0.4">
      <c r="A12" s="57" t="s">
        <v>160</v>
      </c>
      <c r="B12" s="49">
        <v>1</v>
      </c>
      <c r="C12" s="42">
        <f>IF(B$2=0,0,B12/B$2)</f>
        <v>2.4390243902439025E-2</v>
      </c>
      <c r="E12" s="63" t="s">
        <v>72</v>
      </c>
      <c r="F12" s="60" t="s">
        <v>27</v>
      </c>
      <c r="G12" s="47">
        <v>6</v>
      </c>
      <c r="H12" s="133">
        <f>IF(B$17=0,0,G12/B$17)</f>
        <v>5.7692307692307696E-2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82</v>
      </c>
      <c r="C13" s="44">
        <f>IF(B$3=0,0,B13/B$3)</f>
        <v>0.23098591549295774</v>
      </c>
      <c r="E13" s="63" t="s">
        <v>87</v>
      </c>
      <c r="F13" s="60" t="s">
        <v>42</v>
      </c>
      <c r="G13" s="47">
        <v>4</v>
      </c>
      <c r="H13" s="133">
        <f>IF(B$17=0,0,G13/B$17)</f>
        <v>3.8461538461538464E-2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90</v>
      </c>
      <c r="C14" s="39">
        <f>IF(B$3=0,0,B14/B$3)</f>
        <v>0.25352112676056338</v>
      </c>
      <c r="E14" s="63" t="s">
        <v>74</v>
      </c>
      <c r="F14" s="60" t="s">
        <v>29</v>
      </c>
      <c r="G14" s="47">
        <v>2</v>
      </c>
      <c r="H14" s="133">
        <f>IF(B$17=0,0,G14/B$17)</f>
        <v>1.9230769230769232E-2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49</v>
      </c>
      <c r="C15" s="37">
        <f>IF(B$13=0,0,B15/B$13)</f>
        <v>0.59756097560975607</v>
      </c>
      <c r="E15" s="63" t="s">
        <v>79</v>
      </c>
      <c r="F15" s="60" t="s">
        <v>34</v>
      </c>
      <c r="G15" s="47">
        <v>2</v>
      </c>
      <c r="H15" s="133">
        <f>IF(B$17=0,0,G15/B$17)</f>
        <v>1.9230769230769232E-2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29</v>
      </c>
      <c r="C16" s="37">
        <f>IF(B$14=0,0,B16/B$14)</f>
        <v>0.32222222222222224</v>
      </c>
      <c r="E16" s="63" t="s">
        <v>80</v>
      </c>
      <c r="F16" s="60" t="s">
        <v>35</v>
      </c>
      <c r="G16" s="47">
        <v>2</v>
      </c>
      <c r="H16" s="133">
        <f>IF(B$17=0,0,G16/B$17)</f>
        <v>1.9230769230769232E-2</v>
      </c>
      <c r="I16" s="94">
        <v>3</v>
      </c>
      <c r="K16" s="38">
        <v>14</v>
      </c>
      <c r="L16" s="99">
        <v>-269.99999999999994</v>
      </c>
      <c r="N16" s="115" t="s">
        <v>128</v>
      </c>
      <c r="O16" s="125">
        <f>IF(P16=0,0,Q16/P16)</f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104</v>
      </c>
      <c r="C17" s="37">
        <f>IF(B$3=0,0,B17/B$3)</f>
        <v>0.29295774647887324</v>
      </c>
      <c r="E17" s="63" t="s">
        <v>84</v>
      </c>
      <c r="F17" s="60" t="s">
        <v>39</v>
      </c>
      <c r="G17" s="47">
        <v>2</v>
      </c>
      <c r="H17" s="133">
        <f>IF(B$17=0,0,G17/B$17)</f>
        <v>1.9230769230769232E-2</v>
      </c>
      <c r="I17" s="94">
        <v>10</v>
      </c>
      <c r="K17" s="38">
        <v>15</v>
      </c>
      <c r="L17" s="99">
        <v>-264.59999999999997</v>
      </c>
      <c r="N17" s="115" t="s">
        <v>172</v>
      </c>
      <c r="O17" s="125">
        <f>IF(P17=0,0,Q17/P17)</f>
        <v>-12.590909090909088</v>
      </c>
      <c r="P17" s="119">
        <v>11</v>
      </c>
      <c r="Q17" s="107">
        <v>-138.49999999999997</v>
      </c>
    </row>
    <row r="18" spans="1:17" x14ac:dyDescent="0.4">
      <c r="A18" s="55" t="s">
        <v>12</v>
      </c>
      <c r="B18" s="47">
        <v>54</v>
      </c>
      <c r="C18" s="39">
        <f>IF(B$17=0,0,B18/B$17)</f>
        <v>0.51923076923076927</v>
      </c>
      <c r="E18" s="63" t="s">
        <v>92</v>
      </c>
      <c r="F18" s="60" t="s">
        <v>47</v>
      </c>
      <c r="G18" s="47">
        <v>2</v>
      </c>
      <c r="H18" s="133">
        <f>IF(B$17=0,0,G18/B$17)</f>
        <v>1.9230769230769232E-2</v>
      </c>
      <c r="I18" s="94">
        <v>4</v>
      </c>
      <c r="K18" s="38">
        <v>16</v>
      </c>
      <c r="L18" s="99">
        <v>-292.79999999999995</v>
      </c>
      <c r="N18" s="115" t="s">
        <v>171</v>
      </c>
      <c r="O18" s="125">
        <f>IF(P18=0,0,Q18/P18)</f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0.48076923076923078</v>
      </c>
      <c r="E19" s="63" t="s">
        <v>88</v>
      </c>
      <c r="F19" s="60" t="s">
        <v>43</v>
      </c>
      <c r="G19" s="47">
        <v>1</v>
      </c>
      <c r="H19" s="133">
        <f>IF(B$17=0,0,G19/B$17)</f>
        <v>9.6153846153846159E-3</v>
      </c>
      <c r="I19" s="94">
        <v>1</v>
      </c>
      <c r="K19" s="38">
        <v>17</v>
      </c>
      <c r="L19" s="99">
        <v>-248.89999999999995</v>
      </c>
      <c r="N19" s="115" t="s">
        <v>127</v>
      </c>
      <c r="O19" s="125">
        <f>IF(P19=0,0,Q19/P19)</f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68</v>
      </c>
      <c r="C20" s="39">
        <f>IF(B$3=0,0,B20/B$3)</f>
        <v>0.19154929577464788</v>
      </c>
      <c r="E20" s="63" t="s">
        <v>180</v>
      </c>
      <c r="F20" s="60" t="s">
        <v>183</v>
      </c>
      <c r="G20" s="47">
        <v>1</v>
      </c>
      <c r="H20" s="133">
        <f>IF(B$17=0,0,G20/B$17)</f>
        <v>9.6153846153846159E-3</v>
      </c>
      <c r="I20" s="94">
        <v>5</v>
      </c>
      <c r="K20" s="38">
        <v>18</v>
      </c>
      <c r="L20" s="99">
        <v>-218.99999999999994</v>
      </c>
      <c r="N20" s="115" t="s">
        <v>177</v>
      </c>
      <c r="O20" s="125">
        <f>IF(P20=0,0,Q20/P20)</f>
        <v>-31.450000000000003</v>
      </c>
      <c r="P20" s="119">
        <v>4</v>
      </c>
      <c r="Q20" s="107">
        <v>-125.80000000000001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7119.2307692307695</v>
      </c>
      <c r="C23" s="41">
        <v>740400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-7689.7058823529414</v>
      </c>
      <c r="C24" s="45">
        <v>-522900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5.6338028169014088E-3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764A7-1F12-442F-AB65-AF140CF570E0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42</v>
      </c>
      <c r="C2" s="147"/>
      <c r="E2" s="62" t="s">
        <v>65</v>
      </c>
      <c r="F2" s="59" t="s">
        <v>21</v>
      </c>
      <c r="G2" s="46">
        <v>59</v>
      </c>
      <c r="H2" s="132">
        <f>IF(B$17=0,0,G2/B$17)</f>
        <v>0.56190476190476191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1352.3809523809523</v>
      </c>
      <c r="P2" s="118">
        <v>42</v>
      </c>
      <c r="Q2" s="102">
        <v>56800</v>
      </c>
    </row>
    <row r="3" spans="1:17" x14ac:dyDescent="0.4">
      <c r="A3" s="55" t="s">
        <v>8</v>
      </c>
      <c r="B3" s="148">
        <v>341</v>
      </c>
      <c r="C3" s="149"/>
      <c r="E3" s="63" t="s">
        <v>67</v>
      </c>
      <c r="F3" s="60" t="s">
        <v>23</v>
      </c>
      <c r="G3" s="47">
        <v>58</v>
      </c>
      <c r="H3" s="133">
        <f>IF(B$17=0,0,G3/B$17)</f>
        <v>0.55238095238095242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1087.5</v>
      </c>
      <c r="P3" s="119">
        <v>40</v>
      </c>
      <c r="Q3" s="103">
        <v>43500</v>
      </c>
    </row>
    <row r="4" spans="1:17" x14ac:dyDescent="0.4">
      <c r="A4" s="55" t="s">
        <v>6</v>
      </c>
      <c r="B4" s="150">
        <v>97.600000000000009</v>
      </c>
      <c r="C4" s="151"/>
      <c r="E4" s="63" t="s">
        <v>73</v>
      </c>
      <c r="F4" s="60" t="s">
        <v>28</v>
      </c>
      <c r="G4" s="47">
        <v>51</v>
      </c>
      <c r="H4" s="133">
        <f>IF(B$17=0,0,G4/B$17)</f>
        <v>0.48571428571428571</v>
      </c>
      <c r="I4" s="94">
        <v>9</v>
      </c>
      <c r="K4" s="38">
        <v>2</v>
      </c>
      <c r="L4" s="99">
        <v>30</v>
      </c>
      <c r="N4" s="115" t="s">
        <v>134</v>
      </c>
      <c r="O4" s="122">
        <f t="shared" si="0"/>
        <v>-1263.8888888888889</v>
      </c>
      <c r="P4" s="119">
        <v>36</v>
      </c>
      <c r="Q4" s="103">
        <v>-45500</v>
      </c>
    </row>
    <row r="5" spans="1:17" x14ac:dyDescent="0.4">
      <c r="A5" s="55" t="s">
        <v>7</v>
      </c>
      <c r="B5" s="152">
        <f>IF(B$2=0,0,B$4/B$2)</f>
        <v>2.323809523809524</v>
      </c>
      <c r="C5" s="153"/>
      <c r="E5" s="63" t="s">
        <v>181</v>
      </c>
      <c r="F5" s="60" t="s">
        <v>182</v>
      </c>
      <c r="G5" s="47">
        <v>42</v>
      </c>
      <c r="H5" s="133">
        <f>IF(B$17=0,0,G5/B$17)</f>
        <v>0.4</v>
      </c>
      <c r="I5" s="94">
        <v>6</v>
      </c>
      <c r="K5" s="38">
        <v>3</v>
      </c>
      <c r="L5" s="99">
        <v>-10</v>
      </c>
      <c r="N5" s="115" t="s">
        <v>135</v>
      </c>
      <c r="O5" s="122">
        <f t="shared" si="0"/>
        <v>1545.7142857142858</v>
      </c>
      <c r="P5" s="119">
        <v>35</v>
      </c>
      <c r="Q5" s="103">
        <v>54100</v>
      </c>
    </row>
    <row r="6" spans="1:17" x14ac:dyDescent="0.4">
      <c r="A6" s="55" t="s">
        <v>1</v>
      </c>
      <c r="B6" s="142">
        <f>IF(B$2=0,0,(B$7*1+B$8*2+B$9*3)/B$2)</f>
        <v>1.9285714285714286</v>
      </c>
      <c r="C6" s="143"/>
      <c r="E6" s="63" t="s">
        <v>68</v>
      </c>
      <c r="F6" s="60" t="s">
        <v>24</v>
      </c>
      <c r="G6" s="47">
        <v>36</v>
      </c>
      <c r="H6" s="133">
        <f>IF(B$17=0,0,G6/B$17)</f>
        <v>0.34285714285714286</v>
      </c>
      <c r="I6" s="94">
        <v>6</v>
      </c>
      <c r="K6" s="38">
        <v>4</v>
      </c>
      <c r="L6" s="99">
        <v>40</v>
      </c>
      <c r="N6" s="115" t="s">
        <v>136</v>
      </c>
      <c r="O6" s="122">
        <f t="shared" si="0"/>
        <v>-1325.8064516129032</v>
      </c>
      <c r="P6" s="119">
        <v>31</v>
      </c>
      <c r="Q6" s="103">
        <v>-41100</v>
      </c>
    </row>
    <row r="7" spans="1:17" x14ac:dyDescent="0.4">
      <c r="A7" s="55" t="s">
        <v>2</v>
      </c>
      <c r="B7" s="47">
        <v>17</v>
      </c>
      <c r="C7" s="39">
        <f>IF(B$2=0,0,B7/B$2)</f>
        <v>0.40476190476190477</v>
      </c>
      <c r="E7" s="63" t="s">
        <v>69</v>
      </c>
      <c r="F7" s="60" t="s">
        <v>12</v>
      </c>
      <c r="G7" s="47">
        <v>30</v>
      </c>
      <c r="H7" s="133">
        <f>IF(B$17=0,0,G7/B$17)</f>
        <v>0.2857142857142857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307.69230769230768</v>
      </c>
      <c r="P7" s="120">
        <v>26</v>
      </c>
      <c r="Q7" s="104">
        <v>8000</v>
      </c>
    </row>
    <row r="8" spans="1:17" x14ac:dyDescent="0.4">
      <c r="A8" s="55" t="s">
        <v>3</v>
      </c>
      <c r="B8" s="47">
        <v>11</v>
      </c>
      <c r="C8" s="39">
        <f>IF(B$2=0,0,B8/B$2)</f>
        <v>0.26190476190476192</v>
      </c>
      <c r="E8" s="63" t="s">
        <v>70</v>
      </c>
      <c r="F8" s="60" t="s">
        <v>25</v>
      </c>
      <c r="G8" s="47">
        <v>16</v>
      </c>
      <c r="H8" s="133">
        <f>IF(B$17=0,0,G8/B$17)</f>
        <v>0.15238095238095239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13</v>
      </c>
      <c r="H9" s="133">
        <f>IF(B$17=0,0,G9/B$17)</f>
        <v>0.12380952380952381</v>
      </c>
      <c r="I9" s="94">
        <v>7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0.16666666666666666</v>
      </c>
      <c r="E10" s="63" t="s">
        <v>66</v>
      </c>
      <c r="F10" s="60" t="s">
        <v>22</v>
      </c>
      <c r="G10" s="47">
        <v>10</v>
      </c>
      <c r="H10" s="133">
        <f>IF(B$17=0,0,G10/B$17)</f>
        <v>9.5238095238095233E-2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7.8899999999999988</v>
      </c>
      <c r="P10" s="118">
        <v>10</v>
      </c>
      <c r="Q10" s="106">
        <v>78.899999999999991</v>
      </c>
    </row>
    <row r="11" spans="1:17" x14ac:dyDescent="0.4">
      <c r="A11" s="56" t="s">
        <v>140</v>
      </c>
      <c r="B11" s="48">
        <v>5</v>
      </c>
      <c r="C11" s="40">
        <f>IF(B$2=0,0,B11/B$2)</f>
        <v>0.11904761904761904</v>
      </c>
      <c r="E11" s="63" t="s">
        <v>71</v>
      </c>
      <c r="F11" s="60" t="s">
        <v>26</v>
      </c>
      <c r="G11" s="47">
        <v>8</v>
      </c>
      <c r="H11" s="133">
        <f>IF(B$17=0,0,G11/B$17)</f>
        <v>7.6190476190476197E-2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4.0352941176470587</v>
      </c>
      <c r="P11" s="119">
        <v>17</v>
      </c>
      <c r="Q11" s="107">
        <v>68.599999999999994</v>
      </c>
    </row>
    <row r="12" spans="1:17" x14ac:dyDescent="0.4">
      <c r="A12" s="57" t="s">
        <v>160</v>
      </c>
      <c r="B12" s="49">
        <v>4</v>
      </c>
      <c r="C12" s="42">
        <f>IF(B$2=0,0,B12/B$2)</f>
        <v>9.5238095238095233E-2</v>
      </c>
      <c r="E12" s="63" t="s">
        <v>79</v>
      </c>
      <c r="F12" s="60" t="s">
        <v>34</v>
      </c>
      <c r="G12" s="47">
        <v>5</v>
      </c>
      <c r="H12" s="133">
        <f>IF(B$17=0,0,G12/B$17)</f>
        <v>4.7619047619047616E-2</v>
      </c>
      <c r="I12" s="94">
        <v>4</v>
      </c>
      <c r="K12" s="38">
        <v>10</v>
      </c>
      <c r="L12" s="99">
        <v>-183.7</v>
      </c>
      <c r="N12" s="116" t="s">
        <v>166</v>
      </c>
      <c r="O12" s="126">
        <f>IF(P12=0,0,Q12/P12)</f>
        <v>-3.3266666666666662</v>
      </c>
      <c r="P12" s="120">
        <v>15</v>
      </c>
      <c r="Q12" s="108">
        <v>-49.899999999999991</v>
      </c>
    </row>
    <row r="13" spans="1:17" x14ac:dyDescent="0.4">
      <c r="A13" s="58" t="s">
        <v>122</v>
      </c>
      <c r="B13" s="50">
        <v>85</v>
      </c>
      <c r="C13" s="44">
        <f>IF(B$3=0,0,B13/B$3)</f>
        <v>0.24926686217008798</v>
      </c>
      <c r="E13" s="63" t="s">
        <v>84</v>
      </c>
      <c r="F13" s="60" t="s">
        <v>39</v>
      </c>
      <c r="G13" s="47">
        <v>5</v>
      </c>
      <c r="H13" s="133">
        <f>IF(B$17=0,0,G13/B$17)</f>
        <v>4.7619047619047616E-2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70</v>
      </c>
      <c r="C14" s="39">
        <f>IF(B$3=0,0,B14/B$3)</f>
        <v>0.20527859237536658</v>
      </c>
      <c r="E14" s="63" t="s">
        <v>92</v>
      </c>
      <c r="F14" s="60" t="s">
        <v>47</v>
      </c>
      <c r="G14" s="47">
        <v>5</v>
      </c>
      <c r="H14" s="133">
        <f>IF(B$17=0,0,G14/B$17)</f>
        <v>4.7619047619047616E-2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59</v>
      </c>
      <c r="C15" s="37">
        <f>IF(B$13=0,0,B15/B$13)</f>
        <v>0.69411764705882351</v>
      </c>
      <c r="E15" s="63" t="s">
        <v>72</v>
      </c>
      <c r="F15" s="60" t="s">
        <v>27</v>
      </c>
      <c r="G15" s="47">
        <v>4</v>
      </c>
      <c r="H15" s="133">
        <f>IF(B$17=0,0,G15/B$17)</f>
        <v>3.8095238095238099E-2</v>
      </c>
      <c r="I15" s="94">
        <v>9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0.37142857142857144</v>
      </c>
      <c r="E16" s="63" t="s">
        <v>82</v>
      </c>
      <c r="F16" s="60" t="s">
        <v>37</v>
      </c>
      <c r="G16" s="47">
        <v>3</v>
      </c>
      <c r="H16" s="133">
        <f>IF(B$17=0,0,G16/B$17)</f>
        <v>2.8571428571428571E-2</v>
      </c>
      <c r="I16" s="94">
        <v>8</v>
      </c>
      <c r="K16" s="38">
        <v>14</v>
      </c>
      <c r="L16" s="99">
        <v>-178.49999999999997</v>
      </c>
      <c r="N16" s="115" t="s">
        <v>171</v>
      </c>
      <c r="O16" s="125">
        <f>IF(P16=0,0,Q16/P16)</f>
        <v>34.907692307692315</v>
      </c>
      <c r="P16" s="119">
        <v>13</v>
      </c>
      <c r="Q16" s="107">
        <v>453.80000000000007</v>
      </c>
    </row>
    <row r="17" spans="1:17" x14ac:dyDescent="0.4">
      <c r="A17" s="54" t="s">
        <v>10</v>
      </c>
      <c r="B17" s="46">
        <f>B19+B18</f>
        <v>105</v>
      </c>
      <c r="C17" s="37">
        <f>IF(B$3=0,0,B17/B$3)</f>
        <v>0.30791788856304986</v>
      </c>
      <c r="E17" s="63" t="s">
        <v>80</v>
      </c>
      <c r="F17" s="60" t="s">
        <v>35</v>
      </c>
      <c r="G17" s="47">
        <v>2</v>
      </c>
      <c r="H17" s="133">
        <f>IF(B$17=0,0,G17/B$17)</f>
        <v>1.9047619047619049E-2</v>
      </c>
      <c r="I17" s="94">
        <v>4</v>
      </c>
      <c r="K17" s="38">
        <v>15</v>
      </c>
      <c r="L17" s="99">
        <v>-146.19999999999999</v>
      </c>
      <c r="N17" s="115" t="s">
        <v>173</v>
      </c>
      <c r="O17" s="125">
        <f>IF(P17=0,0,Q17/P17)</f>
        <v>31.450000000000003</v>
      </c>
      <c r="P17" s="119">
        <v>4</v>
      </c>
      <c r="Q17" s="107">
        <v>125.80000000000001</v>
      </c>
    </row>
    <row r="18" spans="1:17" x14ac:dyDescent="0.4">
      <c r="A18" s="55" t="s">
        <v>12</v>
      </c>
      <c r="B18" s="47">
        <v>44</v>
      </c>
      <c r="C18" s="39">
        <f>IF(B$17=0,0,B18/B$17)</f>
        <v>0.41904761904761906</v>
      </c>
      <c r="E18" s="63" t="s">
        <v>86</v>
      </c>
      <c r="F18" s="60" t="s">
        <v>41</v>
      </c>
      <c r="G18" s="47">
        <v>2</v>
      </c>
      <c r="H18" s="133">
        <f>IF(B$17=0,0,G18/B$17)</f>
        <v>1.9047619047619049E-2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>IF(P18=0,0,Q18/P18)</f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61</v>
      </c>
      <c r="C19" s="39">
        <f>IF(B$17=0,0,B19/B$17)</f>
        <v>0.580952380952381</v>
      </c>
      <c r="E19" s="63" t="s">
        <v>87</v>
      </c>
      <c r="F19" s="60" t="s">
        <v>42</v>
      </c>
      <c r="G19" s="47">
        <v>2</v>
      </c>
      <c r="H19" s="133">
        <f>IF(B$17=0,0,G19/B$17)</f>
        <v>1.9047619047619049E-2</v>
      </c>
      <c r="I19" s="94">
        <v>10</v>
      </c>
      <c r="K19" s="38">
        <v>17</v>
      </c>
      <c r="L19" s="99">
        <v>-161.19999999999999</v>
      </c>
      <c r="N19" s="115" t="s">
        <v>128</v>
      </c>
      <c r="O19" s="125">
        <f>IF(P19=0,0,Q19/P19)</f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54</v>
      </c>
      <c r="C20" s="39">
        <f>IF(B$3=0,0,B20/B$3)</f>
        <v>0.15835777126099707</v>
      </c>
      <c r="E20" s="63" t="s">
        <v>75</v>
      </c>
      <c r="F20" s="60" t="s">
        <v>30</v>
      </c>
      <c r="G20" s="47">
        <v>1</v>
      </c>
      <c r="H20" s="133">
        <f>IF(B$17=0,0,G20/B$17)</f>
        <v>9.5238095238095247E-3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-3.3454545454545483</v>
      </c>
      <c r="P20" s="119">
        <v>11</v>
      </c>
      <c r="Q20" s="107">
        <v>-36.800000000000033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9.5238095238095247E-3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-7.730000000000004</v>
      </c>
      <c r="P21" s="119">
        <v>10</v>
      </c>
      <c r="Q21" s="107">
        <v>-77.30000000000004</v>
      </c>
    </row>
    <row r="22" spans="1:17" x14ac:dyDescent="0.4">
      <c r="A22" s="55" t="s">
        <v>194</v>
      </c>
      <c r="B22" s="47">
        <v>22</v>
      </c>
      <c r="C22" s="135">
        <v>2</v>
      </c>
      <c r="E22" s="63" t="s">
        <v>91</v>
      </c>
      <c r="F22" s="60" t="s">
        <v>46</v>
      </c>
      <c r="G22" s="47">
        <v>1</v>
      </c>
      <c r="H22" s="133">
        <f>IF(B$17=0,0,G22/B$17)</f>
        <v>9.5238095238095247E-3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-27.193750000000001</v>
      </c>
      <c r="P22" s="119">
        <v>16</v>
      </c>
      <c r="Q22" s="107">
        <v>-435.1</v>
      </c>
    </row>
    <row r="23" spans="1:17" x14ac:dyDescent="0.4">
      <c r="A23" s="55" t="s">
        <v>5</v>
      </c>
      <c r="B23" s="51">
        <f>IF(B$17=0,0,C23/B$17)</f>
        <v>8869.5238095238092</v>
      </c>
      <c r="C23" s="41">
        <v>931300</v>
      </c>
      <c r="E23" s="63" t="s">
        <v>93</v>
      </c>
      <c r="F23" s="60" t="s">
        <v>48</v>
      </c>
      <c r="G23" s="47">
        <v>1</v>
      </c>
      <c r="H23" s="133">
        <f>IF(B$17=0,0,G23/B$17)</f>
        <v>9.5238095238095247E-3</v>
      </c>
      <c r="I23" s="94">
        <v>2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-7670.3703703703704</v>
      </c>
      <c r="C24" s="45">
        <v>-414200</v>
      </c>
      <c r="E24" s="63" t="s">
        <v>102</v>
      </c>
      <c r="F24" s="60" t="s">
        <v>57</v>
      </c>
      <c r="G24" s="47">
        <v>1</v>
      </c>
      <c r="H24" s="133">
        <f>IF(B$17=0,0,G24/B$17)</f>
        <v>9.5238095238095247E-3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5.8651026392961877E-3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30D0-3903-4C85-AEAE-8097FF5AC185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6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11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6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10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DE1F8-16F1-4B14-B9FD-33592E6996EF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67</v>
      </c>
      <c r="F2" s="59" t="s">
        <v>23</v>
      </c>
      <c r="G2" s="46">
        <v>22</v>
      </c>
      <c r="H2" s="132">
        <f>IF(B$17=0,0,G2/B$17)</f>
        <v>0.7857142857142857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73</v>
      </c>
      <c r="F3" s="60" t="s">
        <v>28</v>
      </c>
      <c r="G3" s="47">
        <v>19</v>
      </c>
      <c r="H3" s="133">
        <f>IF(B$17=0,0,G3/B$17)</f>
        <v>0.6785714285714286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0.5357142857142857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69</v>
      </c>
      <c r="F5" s="60" t="s">
        <v>12</v>
      </c>
      <c r="G5" s="47">
        <v>9</v>
      </c>
      <c r="H5" s="133">
        <f>IF(B$17=0,0,G5/B$17)</f>
        <v>0.32142857142857145</v>
      </c>
      <c r="I5" s="94">
        <v>7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181</v>
      </c>
      <c r="F6" s="60" t="s">
        <v>182</v>
      </c>
      <c r="G6" s="47">
        <v>8</v>
      </c>
      <c r="H6" s="133">
        <f>IF(B$17=0,0,G6/B$17)</f>
        <v>0.2857142857142857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68</v>
      </c>
      <c r="F7" s="60" t="s">
        <v>24</v>
      </c>
      <c r="G7" s="47">
        <v>6</v>
      </c>
      <c r="H7" s="133">
        <f>IF(B$17=0,0,G7/B$17)</f>
        <v>0.21428571428571427</v>
      </c>
      <c r="I7" s="94">
        <v>12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90</v>
      </c>
      <c r="F8" s="60" t="s">
        <v>45</v>
      </c>
      <c r="G8" s="47">
        <v>5</v>
      </c>
      <c r="H8" s="133">
        <f>IF(B$17=0,0,G8/B$17)</f>
        <v>0.17857142857142858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70</v>
      </c>
      <c r="F9" s="60" t="s">
        <v>25</v>
      </c>
      <c r="G9" s="47">
        <v>4</v>
      </c>
      <c r="H9" s="133">
        <f>IF(B$17=0,0,G9/B$17)</f>
        <v>0.14285714285714285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71</v>
      </c>
      <c r="F10" s="60" t="s">
        <v>26</v>
      </c>
      <c r="G10" s="47">
        <v>4</v>
      </c>
      <c r="H10" s="133">
        <f>IF(B$17=0,0,G10/B$17)</f>
        <v>0.14285714285714285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0.10714285714285714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80</v>
      </c>
      <c r="F12" s="60" t="s">
        <v>35</v>
      </c>
      <c r="G12" s="47">
        <v>2</v>
      </c>
      <c r="H12" s="133">
        <f>IF(B$17=0,0,G12/B$17)</f>
        <v>7.1428571428571425E-2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66</v>
      </c>
      <c r="F13" s="60" t="s">
        <v>22</v>
      </c>
      <c r="G13" s="47">
        <v>1</v>
      </c>
      <c r="H13" s="133">
        <f>IF(B$17=0,0,G13/B$17)</f>
        <v>3.5714285714285712E-2</v>
      </c>
      <c r="I13" s="94">
        <v>10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72</v>
      </c>
      <c r="F14" s="60" t="s">
        <v>27</v>
      </c>
      <c r="G14" s="47">
        <v>1</v>
      </c>
      <c r="H14" s="133">
        <f>IF(B$17=0,0,G14/B$17)</f>
        <v>3.5714285714285712E-2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74</v>
      </c>
      <c r="F15" s="60" t="s">
        <v>29</v>
      </c>
      <c r="G15" s="47">
        <v>1</v>
      </c>
      <c r="H15" s="133">
        <f>IF(B$17=0,0,G15/B$17)</f>
        <v>3.5714285714285712E-2</v>
      </c>
      <c r="I15" s="94">
        <v>1</v>
      </c>
      <c r="N15" s="114" t="s">
        <v>129</v>
      </c>
      <c r="O15" s="124">
        <f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76</v>
      </c>
      <c r="F16" s="60" t="s">
        <v>31</v>
      </c>
      <c r="G16" s="47">
        <v>1</v>
      </c>
      <c r="H16" s="133">
        <f>IF(B$17=0,0,G16/B$17)</f>
        <v>3.5714285714285712E-2</v>
      </c>
      <c r="I16" s="94">
        <v>1</v>
      </c>
      <c r="N16" s="115" t="s">
        <v>127</v>
      </c>
      <c r="O16" s="125">
        <f>IF(P16=0,0,Q16/P16)</f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82</v>
      </c>
      <c r="F17" s="60" t="s">
        <v>37</v>
      </c>
      <c r="G17" s="47">
        <v>1</v>
      </c>
      <c r="H17" s="133">
        <f>IF(B$17=0,0,G17/B$17)</f>
        <v>3.5714285714285712E-2</v>
      </c>
      <c r="I17" s="94">
        <v>3</v>
      </c>
      <c r="N17" s="115" t="s">
        <v>177</v>
      </c>
      <c r="O17" s="125">
        <f>IF(P17=0,0,Q17/P17)</f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6</v>
      </c>
      <c r="N18" s="115" t="s">
        <v>172</v>
      </c>
      <c r="O18" s="125">
        <f>IF(P18=0,0,Q18/P18)</f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128</v>
      </c>
      <c r="O19" s="125">
        <f>IF(P19=0,0,Q19/P19)</f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142</v>
      </c>
      <c r="B25" s="140">
        <v>6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153AF-2078-408E-8167-5521A82CA606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73</v>
      </c>
      <c r="F2" s="59" t="s">
        <v>28</v>
      </c>
      <c r="G2" s="46">
        <v>13</v>
      </c>
      <c r="H2" s="132">
        <f>IF(B$17=0,0,G2/B$17)</f>
        <v>0.61904761904761907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65</v>
      </c>
      <c r="F3" s="60" t="s">
        <v>21</v>
      </c>
      <c r="G3" s="47">
        <v>12</v>
      </c>
      <c r="H3" s="133">
        <f>IF(B$17=0,0,G3/B$17)</f>
        <v>0.5714285714285714</v>
      </c>
      <c r="I3" s="94">
        <v>4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181</v>
      </c>
      <c r="F7" s="60" t="s">
        <v>182</v>
      </c>
      <c r="G7" s="47">
        <v>7</v>
      </c>
      <c r="H7" s="133">
        <f>IF(B$17=0,0,G7/B$17)</f>
        <v>0.33333333333333331</v>
      </c>
      <c r="I7" s="94">
        <v>11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70</v>
      </c>
      <c r="F8" s="60" t="s">
        <v>25</v>
      </c>
      <c r="G8" s="47">
        <v>5</v>
      </c>
      <c r="H8" s="133">
        <f>IF(B$17=0,0,G8/B$17)</f>
        <v>0.23809523809523808</v>
      </c>
      <c r="I8" s="94">
        <v>1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90</v>
      </c>
      <c r="F9" s="60" t="s">
        <v>45</v>
      </c>
      <c r="G9" s="47">
        <v>4</v>
      </c>
      <c r="H9" s="133">
        <f>IF(B$17=0,0,G9/B$17)</f>
        <v>0.19047619047619047</v>
      </c>
      <c r="I9" s="94">
        <v>3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79</v>
      </c>
      <c r="F10" s="60" t="s">
        <v>34</v>
      </c>
      <c r="G10" s="47">
        <v>2</v>
      </c>
      <c r="H10" s="133">
        <f>IF(B$17=0,0,G10/B$17)</f>
        <v>9.5238095238095233E-2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2</v>
      </c>
      <c r="H11" s="133">
        <f>IF(B$17=0,0,G11/B$17)</f>
        <v>9.5238095238095233E-2</v>
      </c>
      <c r="I11" s="94">
        <v>2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1</v>
      </c>
      <c r="H12" s="133">
        <f>IF(B$17=0,0,G12/B$17)</f>
        <v>4.7619047619047616E-2</v>
      </c>
      <c r="I12" s="94">
        <v>9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84</v>
      </c>
      <c r="F13" s="60" t="s">
        <v>39</v>
      </c>
      <c r="G13" s="47">
        <v>1</v>
      </c>
      <c r="H13" s="133">
        <f>IF(B$17=0,0,G13/B$17)</f>
        <v>4.7619047619047616E-2</v>
      </c>
      <c r="I13" s="94">
        <v>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11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7</v>
      </c>
      <c r="N16" s="115" t="s">
        <v>127</v>
      </c>
      <c r="O16" s="125">
        <f>IF(P16=0,0,Q16/P16)</f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6</v>
      </c>
      <c r="N17" s="115" t="s">
        <v>171</v>
      </c>
      <c r="O17" s="125">
        <f>IF(P17=0,0,Q17/P17)</f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8</v>
      </c>
      <c r="N18" s="115" t="s">
        <v>128</v>
      </c>
      <c r="O18" s="125">
        <f>IF(P18=0,0,Q18/P18)</f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172</v>
      </c>
      <c r="O19" s="125">
        <f>IF(P19=0,0,Q19/P19)</f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DC5B4-A072-4822-8C3B-CD2D873593F1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2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11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47D8F-7D91-466C-A755-13AD3EC2ACE8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12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6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11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27E8A-CFCE-47A5-837E-CB44B08AE0A4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F601F-93E7-4D79-8817-1058DC674F62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BFDCF-17EA-4310-AAFF-AB48F430B06B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63455-20AE-4DA8-97ED-BA76EAA82F72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5600-6635-47E3-9FB1-DC9B5CCDAC5E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8E52-0D08-463B-86E4-854D7195E562}">
  <sheetPr codeName="Sheet20"/>
  <dimension ref="A1:Q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9EC-1F87-4066-BA97-948D38F3BA68}">
  <sheetPr codeName="Sheet18"/>
  <dimension ref="A1:Q4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1C0CC-FC4B-4C4A-B719-77E3F350CD15}">
  <sheetPr codeName="Sheet16"/>
  <dimension ref="A1:Q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0CB4-47EE-42C6-B2A6-064C42428CB7}">
  <sheetPr codeName="Sheet14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5B521-45D7-484C-833B-E0BDF64530BA}">
  <sheetPr codeName="Sheet12"/>
  <dimension ref="A1:Q6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F36A7-5471-424E-AFC8-730416647676}">
  <sheetPr codeName="Sheet10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2B54-62C2-4822-A2E7-CA05CD4C6780}">
  <sheetPr codeName="Sheet8"/>
  <dimension ref="A1:Q1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56624-9B68-4DCF-ADED-DCF9221E715F}">
  <sheetPr codeName="Sheet6"/>
  <dimension ref="A1:Q18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2019-05-24T00:11:02Z</dcterms:modified>
</cp:coreProperties>
</file>