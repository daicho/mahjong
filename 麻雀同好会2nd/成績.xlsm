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62B7A6B7-7718-48C0-8220-D15C6D71F3F9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187" r:id="rId6"/>
    <sheet name="だいち" sheetId="5189" r:id="rId7"/>
    <sheet name="りくと" sheetId="5191" r:id="rId8"/>
    <sheet name="ただ" sheetId="5193" r:id="rId9"/>
    <sheet name="れんたろう" sheetId="5195" r:id="rId10"/>
    <sheet name="たかの" sheetId="5197" r:id="rId11"/>
    <sheet name="ぱぱ" sheetId="5199" r:id="rId12"/>
    <sheet name="まっつん" sheetId="5201" r:id="rId13"/>
    <sheet name="あさひ" sheetId="5203" r:id="rId14"/>
    <sheet name="いっしー" sheetId="5205" r:id="rId15"/>
    <sheet name="ほたに" sheetId="5207" r:id="rId16"/>
    <sheet name="かわたつ" sheetId="5209" r:id="rId17"/>
    <sheet name="やがさき" sheetId="5211" r:id="rId18"/>
    <sheet name="やがさき2" sheetId="5212" state="hidden" r:id="rId19"/>
    <sheet name="かわたつ2" sheetId="5210" state="hidden" r:id="rId20"/>
    <sheet name="ほたに2" sheetId="5208" state="hidden" r:id="rId21"/>
    <sheet name="いっしー2" sheetId="5206" state="hidden" r:id="rId22"/>
    <sheet name="あさひ2" sheetId="5204" state="hidden" r:id="rId23"/>
    <sheet name="まっつん2" sheetId="5202" state="hidden" r:id="rId24"/>
    <sheet name="ぱぱ2" sheetId="5200" state="hidden" r:id="rId25"/>
    <sheet name="たかの2" sheetId="5198" state="hidden" r:id="rId26"/>
    <sheet name="れんたろう2" sheetId="5196" state="hidden" r:id="rId27"/>
    <sheet name="ただ2" sheetId="5194" state="hidden" r:id="rId28"/>
    <sheet name="りくと2" sheetId="5192" state="hidden" r:id="rId29"/>
    <sheet name="だいち2" sheetId="5190" state="hidden" r:id="rId30"/>
    <sheet name="全体2" sheetId="5188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193" l="1"/>
  <c r="O16" i="5197"/>
  <c r="O15" i="5187"/>
  <c r="O16" i="5211"/>
  <c r="O15" i="5211"/>
  <c r="C27" i="5211"/>
  <c r="B24" i="5211"/>
  <c r="C20" i="5211"/>
  <c r="B17" i="5211"/>
  <c r="H47" i="5211" s="1"/>
  <c r="C16" i="5211"/>
  <c r="C15" i="5211"/>
  <c r="C14" i="5211"/>
  <c r="C13" i="5211"/>
  <c r="O12" i="5211"/>
  <c r="C12" i="5211"/>
  <c r="O11" i="5211"/>
  <c r="C11" i="5211"/>
  <c r="O10" i="5211"/>
  <c r="C10" i="5211"/>
  <c r="C9" i="5211"/>
  <c r="C8" i="5211"/>
  <c r="O7" i="5211"/>
  <c r="C7" i="5211"/>
  <c r="O6" i="5211"/>
  <c r="B6" i="5211"/>
  <c r="O5" i="5211"/>
  <c r="B5" i="5211"/>
  <c r="O4" i="5211"/>
  <c r="O3" i="5211"/>
  <c r="O2" i="5211"/>
  <c r="O15" i="5209"/>
  <c r="O16" i="5209"/>
  <c r="C27" i="5209"/>
  <c r="B24" i="5209"/>
  <c r="C20" i="5209"/>
  <c r="B17" i="5209"/>
  <c r="H47" i="5209" s="1"/>
  <c r="C16" i="5209"/>
  <c r="C15" i="5209"/>
  <c r="C14" i="5209"/>
  <c r="C13" i="5209"/>
  <c r="O12" i="5209"/>
  <c r="C12" i="5209"/>
  <c r="O11" i="5209"/>
  <c r="C11" i="5209"/>
  <c r="O10" i="5209"/>
  <c r="C10" i="5209"/>
  <c r="C9" i="5209"/>
  <c r="C8" i="5209"/>
  <c r="O7" i="5209"/>
  <c r="C7" i="5209"/>
  <c r="O6" i="5209"/>
  <c r="B6" i="5209"/>
  <c r="O5" i="5209"/>
  <c r="B5" i="5209"/>
  <c r="O4" i="5209"/>
  <c r="O3" i="5209"/>
  <c r="O2" i="5209"/>
  <c r="O23" i="5195"/>
  <c r="O19" i="5189"/>
  <c r="O24" i="5187"/>
  <c r="H27" i="5211" l="1"/>
  <c r="H6" i="5211"/>
  <c r="H15" i="5211"/>
  <c r="H10" i="5211"/>
  <c r="H33" i="5211"/>
  <c r="H32" i="5211"/>
  <c r="C17" i="5211"/>
  <c r="H13" i="5211"/>
  <c r="H21" i="5211"/>
  <c r="H40" i="5211"/>
  <c r="H41" i="5211"/>
  <c r="H4" i="5211"/>
  <c r="H5" i="5211"/>
  <c r="H48" i="5211"/>
  <c r="H9" i="5211"/>
  <c r="H26" i="5211"/>
  <c r="H49" i="5211"/>
  <c r="H22" i="5211"/>
  <c r="H34" i="5211"/>
  <c r="H50" i="5211"/>
  <c r="H16" i="5211"/>
  <c r="H23" i="5211"/>
  <c r="H35" i="5211"/>
  <c r="H43" i="5211"/>
  <c r="H51" i="5211"/>
  <c r="H19" i="5211"/>
  <c r="H24" i="5211"/>
  <c r="H7" i="5211"/>
  <c r="H36" i="5211"/>
  <c r="H44" i="5211"/>
  <c r="H8" i="5211"/>
  <c r="H3" i="5211"/>
  <c r="H14" i="5211"/>
  <c r="H17" i="5211"/>
  <c r="C18" i="5211"/>
  <c r="B23" i="5211"/>
  <c r="H29" i="5211"/>
  <c r="H37" i="5211"/>
  <c r="H45" i="5211"/>
  <c r="H28" i="5211"/>
  <c r="H42" i="5211"/>
  <c r="H11" i="5211"/>
  <c r="H2" i="5211"/>
  <c r="H12" i="5211"/>
  <c r="H20" i="5211"/>
  <c r="H25" i="5211"/>
  <c r="H30" i="5211"/>
  <c r="H38" i="5211"/>
  <c r="H46" i="5211"/>
  <c r="H18" i="5211"/>
  <c r="C19" i="5211"/>
  <c r="H31" i="5211"/>
  <c r="H39" i="5211"/>
  <c r="H18" i="5209"/>
  <c r="H2" i="5209"/>
  <c r="H26" i="5209"/>
  <c r="H32" i="5209"/>
  <c r="H14" i="5209"/>
  <c r="H33" i="5209"/>
  <c r="H40" i="5209"/>
  <c r="H48" i="5209"/>
  <c r="C17" i="5209"/>
  <c r="H11" i="5209"/>
  <c r="H6" i="5209"/>
  <c r="H41" i="5209"/>
  <c r="H5" i="5209"/>
  <c r="H12" i="5209"/>
  <c r="H8" i="5209"/>
  <c r="H25" i="5209"/>
  <c r="H49" i="5209"/>
  <c r="H27" i="5209"/>
  <c r="H42" i="5209"/>
  <c r="H15" i="5209"/>
  <c r="H22" i="5209"/>
  <c r="H35" i="5209"/>
  <c r="H43" i="5209"/>
  <c r="H51" i="5209"/>
  <c r="H19" i="5209"/>
  <c r="H23" i="5209"/>
  <c r="H28" i="5209"/>
  <c r="H36" i="5209"/>
  <c r="H44" i="5209"/>
  <c r="H7" i="5209"/>
  <c r="H4" i="5209"/>
  <c r="H13" i="5209"/>
  <c r="H16" i="5209"/>
  <c r="C18" i="5209"/>
  <c r="B23" i="5209"/>
  <c r="H29" i="5209"/>
  <c r="H37" i="5209"/>
  <c r="H45" i="5209"/>
  <c r="H21" i="5209"/>
  <c r="H34" i="5209"/>
  <c r="H50" i="5209"/>
  <c r="H9" i="5209"/>
  <c r="H3" i="5209"/>
  <c r="H10" i="5209"/>
  <c r="H20" i="5209"/>
  <c r="H24" i="5209"/>
  <c r="H30" i="5209"/>
  <c r="H38" i="5209"/>
  <c r="H46" i="5209"/>
  <c r="H17" i="5209"/>
  <c r="C19" i="5209"/>
  <c r="H31" i="5209"/>
  <c r="H39" i="5209"/>
  <c r="O18" i="5197" l="1"/>
  <c r="O16" i="5205"/>
  <c r="O20" i="5207" l="1"/>
  <c r="O19" i="5207"/>
  <c r="O15" i="5201"/>
  <c r="O15" i="5191"/>
  <c r="O20" i="5189" l="1"/>
  <c r="O18" i="5207"/>
  <c r="O21" i="5199"/>
  <c r="O16" i="5207"/>
  <c r="O15" i="5207" l="1"/>
  <c r="O17" i="5207"/>
  <c r="H29" i="5207"/>
  <c r="H10" i="5207"/>
  <c r="C27" i="5207"/>
  <c r="B24" i="5207"/>
  <c r="H25" i="5207"/>
  <c r="C20" i="5207"/>
  <c r="B17" i="5207"/>
  <c r="H51" i="5207" s="1"/>
  <c r="H9" i="5207"/>
  <c r="C16" i="5207"/>
  <c r="C15" i="5207"/>
  <c r="C14" i="5207"/>
  <c r="C13" i="5207"/>
  <c r="O12" i="5207"/>
  <c r="C12" i="5207"/>
  <c r="O11" i="5207"/>
  <c r="H15" i="5207"/>
  <c r="C11" i="5207"/>
  <c r="O10" i="5207"/>
  <c r="C10" i="5207"/>
  <c r="C9" i="5207"/>
  <c r="C8" i="5207"/>
  <c r="O7" i="5207"/>
  <c r="C7" i="5207"/>
  <c r="O6" i="5207"/>
  <c r="B6" i="5207"/>
  <c r="O5" i="5207"/>
  <c r="H4" i="5207"/>
  <c r="B5" i="5207"/>
  <c r="O4" i="5207"/>
  <c r="O3" i="5207"/>
  <c r="O2" i="5207"/>
  <c r="H2" i="5207"/>
  <c r="O22" i="5195"/>
  <c r="O19" i="5197"/>
  <c r="O20" i="5187"/>
  <c r="H40" i="5207" l="1"/>
  <c r="H38" i="5207"/>
  <c r="H22" i="5207"/>
  <c r="H13" i="5207"/>
  <c r="H41" i="5207"/>
  <c r="H30" i="5207"/>
  <c r="H16" i="5207"/>
  <c r="C17" i="5207"/>
  <c r="H46" i="5207"/>
  <c r="H14" i="5207"/>
  <c r="B23" i="5207"/>
  <c r="H6" i="5207"/>
  <c r="H48" i="5207"/>
  <c r="H44" i="5207"/>
  <c r="H11" i="5207"/>
  <c r="H26" i="5207"/>
  <c r="H32" i="5207"/>
  <c r="H5" i="5207"/>
  <c r="H20" i="5207"/>
  <c r="H33" i="5207"/>
  <c r="H3" i="5207"/>
  <c r="C18" i="5207"/>
  <c r="H12" i="5207"/>
  <c r="H36" i="5207"/>
  <c r="H49" i="5207"/>
  <c r="H18" i="5207"/>
  <c r="H21" i="5207"/>
  <c r="H27" i="5207"/>
  <c r="H37" i="5207"/>
  <c r="H8" i="5207"/>
  <c r="H45" i="5207"/>
  <c r="H19" i="5207"/>
  <c r="C19" i="5207"/>
  <c r="H31" i="5207"/>
  <c r="H39" i="5207"/>
  <c r="H47" i="5207"/>
  <c r="H23" i="5207"/>
  <c r="H28" i="5207"/>
  <c r="H34" i="5207"/>
  <c r="H42" i="5207"/>
  <c r="H50" i="5207"/>
  <c r="H7" i="5207"/>
  <c r="H17" i="5207"/>
  <c r="H24" i="5207"/>
  <c r="H35" i="5207"/>
  <c r="H43" i="5207"/>
  <c r="O17" i="5197" l="1"/>
  <c r="O16" i="5193"/>
  <c r="O19" i="5201"/>
  <c r="O21" i="5201"/>
  <c r="O16" i="5189" l="1"/>
  <c r="O19" i="5205"/>
  <c r="O18" i="5205" l="1"/>
  <c r="O15" i="5205"/>
  <c r="O15" i="5195"/>
  <c r="O22" i="5193"/>
  <c r="O17" i="5203" l="1"/>
  <c r="O22" i="5199"/>
  <c r="O15" i="5203"/>
  <c r="O21" i="5205"/>
  <c r="O16" i="5191"/>
  <c r="O16" i="5201"/>
  <c r="O16" i="5187"/>
  <c r="O17" i="5205"/>
  <c r="O20" i="5205"/>
  <c r="C27" i="5205"/>
  <c r="B24" i="5205"/>
  <c r="C20" i="5205"/>
  <c r="B17" i="5205"/>
  <c r="H46" i="5205" s="1"/>
  <c r="C16" i="5205"/>
  <c r="C15" i="5205"/>
  <c r="C14" i="5205"/>
  <c r="C13" i="5205"/>
  <c r="O12" i="5205"/>
  <c r="C12" i="5205"/>
  <c r="O11" i="5205"/>
  <c r="C11" i="5205"/>
  <c r="O10" i="5205"/>
  <c r="C10" i="5205"/>
  <c r="C9" i="5205"/>
  <c r="C8" i="5205"/>
  <c r="O7" i="5205"/>
  <c r="C7" i="5205"/>
  <c r="O6" i="5205"/>
  <c r="B6" i="5205"/>
  <c r="O5" i="5205"/>
  <c r="B5" i="5205"/>
  <c r="O4" i="5205"/>
  <c r="O3" i="5205"/>
  <c r="O2" i="5205"/>
  <c r="O16" i="5203"/>
  <c r="O18" i="5203"/>
  <c r="C27" i="5203"/>
  <c r="B24" i="5203"/>
  <c r="C20" i="5203"/>
  <c r="B17" i="5203"/>
  <c r="H7" i="5203" s="1"/>
  <c r="C16" i="5203"/>
  <c r="C15" i="5203"/>
  <c r="C14" i="5203"/>
  <c r="C13" i="5203"/>
  <c r="O12" i="5203"/>
  <c r="C12" i="5203"/>
  <c r="O11" i="5203"/>
  <c r="C11" i="5203"/>
  <c r="O10" i="5203"/>
  <c r="C10" i="5203"/>
  <c r="C9" i="5203"/>
  <c r="C8" i="5203"/>
  <c r="O7" i="5203"/>
  <c r="C7" i="5203"/>
  <c r="O6" i="5203"/>
  <c r="B6" i="5203"/>
  <c r="O5" i="5203"/>
  <c r="B5" i="5203"/>
  <c r="O4" i="5203"/>
  <c r="O3" i="5203"/>
  <c r="O2" i="5203"/>
  <c r="O22" i="5201"/>
  <c r="O23" i="5201"/>
  <c r="O15" i="5189"/>
  <c r="O18" i="5189"/>
  <c r="O26" i="5187"/>
  <c r="H16" i="5205" l="1"/>
  <c r="H20" i="5205"/>
  <c r="H18" i="5205"/>
  <c r="H26" i="5205"/>
  <c r="H27" i="5205"/>
  <c r="H21" i="5205"/>
  <c r="H13" i="5203"/>
  <c r="H5" i="5203"/>
  <c r="B23" i="5203"/>
  <c r="H29" i="5203"/>
  <c r="H15" i="5203"/>
  <c r="H10" i="5203"/>
  <c r="H2" i="5203"/>
  <c r="H18" i="5203"/>
  <c r="H47" i="5203"/>
  <c r="H19" i="5203"/>
  <c r="H21" i="5203"/>
  <c r="H8" i="5203"/>
  <c r="H30" i="5203"/>
  <c r="H12" i="5203"/>
  <c r="C19" i="5203"/>
  <c r="H31" i="5203"/>
  <c r="H17" i="5203"/>
  <c r="H22" i="5203"/>
  <c r="H37" i="5203"/>
  <c r="H14" i="5203"/>
  <c r="H38" i="5203"/>
  <c r="H45" i="5203"/>
  <c r="H26" i="5203"/>
  <c r="H39" i="5203"/>
  <c r="H3" i="5203"/>
  <c r="H4" i="5203"/>
  <c r="C17" i="5203"/>
  <c r="H9" i="5203"/>
  <c r="C18" i="5203"/>
  <c r="H46" i="5203"/>
  <c r="H2" i="5205"/>
  <c r="H32" i="5205"/>
  <c r="C19" i="5205"/>
  <c r="H33" i="5205"/>
  <c r="H15" i="5205"/>
  <c r="H39" i="5205"/>
  <c r="H3" i="5205"/>
  <c r="H40" i="5205"/>
  <c r="H5" i="5205"/>
  <c r="H41" i="5205"/>
  <c r="H47" i="5205"/>
  <c r="H48" i="5205"/>
  <c r="H17" i="5205"/>
  <c r="C17" i="5205"/>
  <c r="H31" i="5205"/>
  <c r="H49" i="5205"/>
  <c r="H23" i="5205"/>
  <c r="H34" i="5205"/>
  <c r="H50" i="5205"/>
  <c r="H10" i="5205"/>
  <c r="H51" i="5205"/>
  <c r="H24" i="5205"/>
  <c r="H7" i="5205"/>
  <c r="H44" i="5205"/>
  <c r="H6" i="5205"/>
  <c r="H9" i="5205"/>
  <c r="H13" i="5205"/>
  <c r="H19" i="5205"/>
  <c r="C18" i="5205"/>
  <c r="B23" i="5205"/>
  <c r="H29" i="5205"/>
  <c r="H37" i="5205"/>
  <c r="H45" i="5205"/>
  <c r="H28" i="5205"/>
  <c r="H42" i="5205"/>
  <c r="H14" i="5205"/>
  <c r="H8" i="5205"/>
  <c r="H35" i="5205"/>
  <c r="H43" i="5205"/>
  <c r="H12" i="5205"/>
  <c r="H36" i="5205"/>
  <c r="H4" i="5205"/>
  <c r="H11" i="5205"/>
  <c r="H22" i="5205"/>
  <c r="H25" i="5205"/>
  <c r="H30" i="5205"/>
  <c r="H38" i="5205"/>
  <c r="H11" i="5203"/>
  <c r="H32" i="5203"/>
  <c r="H40" i="5203"/>
  <c r="H48" i="5203"/>
  <c r="H27" i="5203"/>
  <c r="H33" i="5203"/>
  <c r="H41" i="5203"/>
  <c r="H49" i="5203"/>
  <c r="H23" i="5203"/>
  <c r="H28" i="5203"/>
  <c r="H34" i="5203"/>
  <c r="H42" i="5203"/>
  <c r="H50" i="5203"/>
  <c r="H16" i="5203"/>
  <c r="H24" i="5203"/>
  <c r="H35" i="5203"/>
  <c r="H43" i="5203"/>
  <c r="H51" i="5203"/>
  <c r="H20" i="5203"/>
  <c r="H25" i="5203"/>
  <c r="H6" i="5203"/>
  <c r="H36" i="5203"/>
  <c r="H44" i="5203"/>
  <c r="O17" i="5201" l="1"/>
  <c r="O20" i="5199"/>
  <c r="O16" i="5199"/>
  <c r="O21" i="5191"/>
  <c r="O20" i="5197" l="1"/>
  <c r="O18" i="5195"/>
  <c r="O17" i="5199"/>
  <c r="O18" i="5199"/>
  <c r="O15" i="5197" l="1"/>
  <c r="O17" i="5195"/>
  <c r="O21" i="5193"/>
  <c r="O18" i="5193"/>
  <c r="O20" i="5201"/>
  <c r="O18" i="5201"/>
  <c r="C27" i="5201"/>
  <c r="B24" i="5201"/>
  <c r="C20" i="5201"/>
  <c r="B17" i="5201"/>
  <c r="H47" i="5201" s="1"/>
  <c r="C16" i="5201"/>
  <c r="C15" i="5201"/>
  <c r="C14" i="5201"/>
  <c r="C13" i="5201"/>
  <c r="O12" i="5201"/>
  <c r="C12" i="5201"/>
  <c r="O11" i="5201"/>
  <c r="C11" i="5201"/>
  <c r="O10" i="5201"/>
  <c r="C10" i="5201"/>
  <c r="C9" i="5201"/>
  <c r="C8" i="5201"/>
  <c r="O7" i="5201"/>
  <c r="C7" i="5201"/>
  <c r="O6" i="5201"/>
  <c r="B6" i="5201"/>
  <c r="O5" i="5201"/>
  <c r="B5" i="5201"/>
  <c r="O4" i="5201"/>
  <c r="O3" i="5201"/>
  <c r="O2" i="5201"/>
  <c r="O16" i="5195"/>
  <c r="O18" i="5191"/>
  <c r="O18" i="5187"/>
  <c r="H18" i="5201" l="1"/>
  <c r="C17" i="5201"/>
  <c r="H10" i="5201"/>
  <c r="H28" i="5201"/>
  <c r="H3" i="5201"/>
  <c r="H14" i="5201"/>
  <c r="H40" i="5201"/>
  <c r="H41" i="5201"/>
  <c r="H16" i="5201"/>
  <c r="H48" i="5201"/>
  <c r="H32" i="5201"/>
  <c r="H33" i="5201"/>
  <c r="H13" i="5201"/>
  <c r="H7" i="5201"/>
  <c r="H27" i="5201"/>
  <c r="H49" i="5201"/>
  <c r="H4" i="5201"/>
  <c r="H25" i="5201"/>
  <c r="H34" i="5201"/>
  <c r="H50" i="5201"/>
  <c r="H17" i="5201"/>
  <c r="H15" i="5201"/>
  <c r="H35" i="5201"/>
  <c r="H43" i="5201"/>
  <c r="H51" i="5201"/>
  <c r="H23" i="5201"/>
  <c r="H26" i="5201"/>
  <c r="H9" i="5201"/>
  <c r="H36" i="5201"/>
  <c r="H44" i="5201"/>
  <c r="H5" i="5201"/>
  <c r="H6" i="5201"/>
  <c r="H20" i="5201"/>
  <c r="H21" i="5201"/>
  <c r="C18" i="5201"/>
  <c r="B23" i="5201"/>
  <c r="H30" i="5201"/>
  <c r="H37" i="5201"/>
  <c r="H45" i="5201"/>
  <c r="H29" i="5201"/>
  <c r="H42" i="5201"/>
  <c r="H8" i="5201"/>
  <c r="H2" i="5201"/>
  <c r="H12" i="5201"/>
  <c r="H24" i="5201"/>
  <c r="H19" i="5201"/>
  <c r="H11" i="5201"/>
  <c r="H38" i="5201"/>
  <c r="H46" i="5201"/>
  <c r="H22" i="5201"/>
  <c r="C19" i="5201"/>
  <c r="H31" i="5201"/>
  <c r="H39" i="5201"/>
  <c r="O19" i="5193" l="1"/>
  <c r="O19" i="5199"/>
  <c r="O15" i="5199"/>
  <c r="C27" i="5199"/>
  <c r="B24" i="5199"/>
  <c r="C20" i="5199"/>
  <c r="B17" i="5199"/>
  <c r="H51" i="5199" s="1"/>
  <c r="C16" i="5199"/>
  <c r="C15" i="5199"/>
  <c r="C14" i="5199"/>
  <c r="C13" i="5199"/>
  <c r="O12" i="5199"/>
  <c r="C12" i="5199"/>
  <c r="O11" i="5199"/>
  <c r="C11" i="5199"/>
  <c r="O10" i="5199"/>
  <c r="C10" i="5199"/>
  <c r="C9" i="5199"/>
  <c r="C8" i="5199"/>
  <c r="O7" i="5199"/>
  <c r="C7" i="5199"/>
  <c r="O6" i="5199"/>
  <c r="B6" i="5199"/>
  <c r="O5" i="5199"/>
  <c r="B5" i="5199"/>
  <c r="O4" i="5199"/>
  <c r="O3" i="5199"/>
  <c r="O2" i="5199"/>
  <c r="O21" i="5189"/>
  <c r="O19" i="5187"/>
  <c r="O22" i="5197"/>
  <c r="O20" i="5191"/>
  <c r="O19" i="5191"/>
  <c r="O19" i="5195"/>
  <c r="O21" i="5197"/>
  <c r="O23" i="5197"/>
  <c r="C27" i="5197"/>
  <c r="B24" i="5197"/>
  <c r="C20" i="5197"/>
  <c r="B17" i="5197"/>
  <c r="H50" i="5197" s="1"/>
  <c r="C16" i="5197"/>
  <c r="C15" i="5197"/>
  <c r="C14" i="5197"/>
  <c r="C13" i="5197"/>
  <c r="O12" i="5197"/>
  <c r="C12" i="5197"/>
  <c r="O11" i="5197"/>
  <c r="C11" i="5197"/>
  <c r="O10" i="5197"/>
  <c r="C10" i="5197"/>
  <c r="C9" i="5197"/>
  <c r="C8" i="5197"/>
  <c r="O7" i="5197"/>
  <c r="C7" i="5197"/>
  <c r="O6" i="5197"/>
  <c r="B6" i="5197"/>
  <c r="O5" i="5197"/>
  <c r="B5" i="5197"/>
  <c r="O4" i="5197"/>
  <c r="O3" i="5197"/>
  <c r="O2" i="5197"/>
  <c r="O21" i="5195"/>
  <c r="O20" i="5195"/>
  <c r="C27" i="5195"/>
  <c r="B24" i="5195"/>
  <c r="C20" i="5195"/>
  <c r="B17" i="5195"/>
  <c r="H5" i="5195" s="1"/>
  <c r="C16" i="5195"/>
  <c r="C15" i="5195"/>
  <c r="C14" i="5195"/>
  <c r="C13" i="5195"/>
  <c r="O12" i="5195"/>
  <c r="C12" i="5195"/>
  <c r="O11" i="5195"/>
  <c r="C11" i="5195"/>
  <c r="O10" i="5195"/>
  <c r="C10" i="5195"/>
  <c r="C9" i="5195"/>
  <c r="C8" i="5195"/>
  <c r="O7" i="5195"/>
  <c r="C7" i="5195"/>
  <c r="O6" i="5195"/>
  <c r="B6" i="5195"/>
  <c r="O5" i="5195"/>
  <c r="B5" i="5195"/>
  <c r="O4" i="5195"/>
  <c r="O3" i="5195"/>
  <c r="O2" i="5195"/>
  <c r="O22" i="5189"/>
  <c r="O24" i="5189"/>
  <c r="O23" i="5187"/>
  <c r="O22" i="5187"/>
  <c r="H13" i="5199" l="1"/>
  <c r="H5" i="5199"/>
  <c r="H38" i="5199"/>
  <c r="H23" i="5199"/>
  <c r="H6" i="5199"/>
  <c r="H12" i="5199"/>
  <c r="H3" i="5199"/>
  <c r="H11" i="5199"/>
  <c r="H2" i="5199"/>
  <c r="C19" i="5199"/>
  <c r="H47" i="5197"/>
  <c r="B23" i="5197"/>
  <c r="H32" i="5197"/>
  <c r="H7" i="5197"/>
  <c r="H35" i="5197"/>
  <c r="H21" i="5197"/>
  <c r="H12" i="5197"/>
  <c r="H5" i="5197"/>
  <c r="H16" i="5197"/>
  <c r="H46" i="5197"/>
  <c r="H23" i="5195"/>
  <c r="H15" i="5195"/>
  <c r="H20" i="5199"/>
  <c r="H25" i="5199"/>
  <c r="H39" i="5199"/>
  <c r="H15" i="5199"/>
  <c r="H9" i="5199"/>
  <c r="H41" i="5199"/>
  <c r="H17" i="5199"/>
  <c r="H31" i="5199"/>
  <c r="H44" i="5199"/>
  <c r="H10" i="5199"/>
  <c r="H21" i="5199"/>
  <c r="C17" i="5199"/>
  <c r="H27" i="5199"/>
  <c r="H18" i="5199"/>
  <c r="H45" i="5199"/>
  <c r="H16" i="5199"/>
  <c r="B23" i="5199"/>
  <c r="H33" i="5199"/>
  <c r="H47" i="5199"/>
  <c r="H7" i="5199"/>
  <c r="H14" i="5199"/>
  <c r="H22" i="5199"/>
  <c r="C18" i="5199"/>
  <c r="H28" i="5199"/>
  <c r="H36" i="5199"/>
  <c r="H49" i="5199"/>
  <c r="H4" i="5199"/>
  <c r="H8" i="5199"/>
  <c r="H24" i="5199"/>
  <c r="H37" i="5199"/>
  <c r="H19" i="5199"/>
  <c r="H46" i="5199"/>
  <c r="H32" i="5199"/>
  <c r="H40" i="5199"/>
  <c r="H48" i="5199"/>
  <c r="H29" i="5199"/>
  <c r="H34" i="5199"/>
  <c r="H42" i="5199"/>
  <c r="H50" i="5199"/>
  <c r="H26" i="5199"/>
  <c r="H30" i="5199"/>
  <c r="H35" i="5199"/>
  <c r="H43" i="5199"/>
  <c r="H37" i="5197"/>
  <c r="H28" i="5197"/>
  <c r="H17" i="5197"/>
  <c r="C18" i="5197"/>
  <c r="H14" i="5197"/>
  <c r="H38" i="5197"/>
  <c r="H36" i="5197"/>
  <c r="H9" i="5197"/>
  <c r="H43" i="5197"/>
  <c r="H2" i="5197"/>
  <c r="H25" i="5197"/>
  <c r="C19" i="5197"/>
  <c r="H44" i="5197"/>
  <c r="H10" i="5197"/>
  <c r="H48" i="5197"/>
  <c r="H6" i="5197"/>
  <c r="H23" i="5197"/>
  <c r="H20" i="5197"/>
  <c r="H11" i="5197"/>
  <c r="H24" i="5197"/>
  <c r="H15" i="5197"/>
  <c r="H31" i="5197"/>
  <c r="H45" i="5197"/>
  <c r="H2" i="5195"/>
  <c r="H30" i="5195"/>
  <c r="H3" i="5197"/>
  <c r="H30" i="5197"/>
  <c r="H51" i="5197"/>
  <c r="H13" i="5197"/>
  <c r="H39" i="5197"/>
  <c r="H8" i="5197"/>
  <c r="H22" i="5197"/>
  <c r="C17" i="5197"/>
  <c r="H27" i="5197"/>
  <c r="H18" i="5197"/>
  <c r="H40" i="5197"/>
  <c r="H4" i="5197"/>
  <c r="H19" i="5197"/>
  <c r="H33" i="5197"/>
  <c r="H41" i="5197"/>
  <c r="H49" i="5197"/>
  <c r="H26" i="5197"/>
  <c r="H29" i="5197"/>
  <c r="H34" i="5197"/>
  <c r="H42" i="5197"/>
  <c r="C18" i="5195"/>
  <c r="H9" i="5195"/>
  <c r="H6" i="5195"/>
  <c r="H32" i="5195"/>
  <c r="H39" i="5195"/>
  <c r="C17" i="5195"/>
  <c r="H18" i="5195"/>
  <c r="H3" i="5195"/>
  <c r="H4" i="5195"/>
  <c r="H27" i="5195"/>
  <c r="H38" i="5195"/>
  <c r="H25" i="5195"/>
  <c r="B23" i="5195"/>
  <c r="H46" i="5195"/>
  <c r="H26" i="5195"/>
  <c r="C19" i="5195"/>
  <c r="H19" i="5195"/>
  <c r="H40" i="5195"/>
  <c r="H48" i="5195"/>
  <c r="H47" i="5195"/>
  <c r="H10" i="5195"/>
  <c r="H7" i="5195"/>
  <c r="H13" i="5195"/>
  <c r="H24" i="5195"/>
  <c r="H16" i="5195"/>
  <c r="H12" i="5195"/>
  <c r="H33" i="5195"/>
  <c r="H41" i="5195"/>
  <c r="H49" i="5195"/>
  <c r="H22" i="5195"/>
  <c r="H34" i="5195"/>
  <c r="H42" i="5195"/>
  <c r="H50" i="5195"/>
  <c r="H31" i="5195"/>
  <c r="H43" i="5195"/>
  <c r="H8" i="5195"/>
  <c r="H17" i="5195"/>
  <c r="H14" i="5195"/>
  <c r="H36" i="5195"/>
  <c r="H44" i="5195"/>
  <c r="H20" i="5195"/>
  <c r="H28" i="5195"/>
  <c r="H35" i="5195"/>
  <c r="H51" i="5195"/>
  <c r="H21" i="5195"/>
  <c r="H29" i="5195"/>
  <c r="H11" i="5195"/>
  <c r="H37" i="5195"/>
  <c r="H45" i="5195"/>
  <c r="O17" i="5193" l="1"/>
  <c r="O20" i="5193"/>
  <c r="C27" i="5193"/>
  <c r="B24" i="5193"/>
  <c r="C20" i="5193"/>
  <c r="B17" i="5193"/>
  <c r="H49" i="5193" s="1"/>
  <c r="C16" i="5193"/>
  <c r="C15" i="5193"/>
  <c r="C14" i="5193"/>
  <c r="C13" i="5193"/>
  <c r="O12" i="5193"/>
  <c r="C12" i="5193"/>
  <c r="O11" i="5193"/>
  <c r="C11" i="5193"/>
  <c r="O10" i="5193"/>
  <c r="C10" i="5193"/>
  <c r="C9" i="5193"/>
  <c r="C8" i="5193"/>
  <c r="O7" i="5193"/>
  <c r="C7" i="5193"/>
  <c r="O6" i="5193"/>
  <c r="B6" i="5193"/>
  <c r="O5" i="5193"/>
  <c r="B5" i="5193"/>
  <c r="O4" i="5193"/>
  <c r="O3" i="5193"/>
  <c r="O2" i="5193"/>
  <c r="O22" i="5191"/>
  <c r="O17" i="5191"/>
  <c r="C27" i="5191"/>
  <c r="B24" i="5191"/>
  <c r="C20" i="5191"/>
  <c r="B17" i="5191"/>
  <c r="H18" i="5191" s="1"/>
  <c r="C16" i="5191"/>
  <c r="C15" i="5191"/>
  <c r="C14" i="5191"/>
  <c r="C13" i="5191"/>
  <c r="O12" i="5191"/>
  <c r="C12" i="5191"/>
  <c r="O11" i="5191"/>
  <c r="C11" i="5191"/>
  <c r="O10" i="5191"/>
  <c r="C10" i="5191"/>
  <c r="C9" i="5191"/>
  <c r="C8" i="5191"/>
  <c r="O7" i="5191"/>
  <c r="C7" i="5191"/>
  <c r="O6" i="5191"/>
  <c r="B6" i="5191"/>
  <c r="O5" i="5191"/>
  <c r="B5" i="5191"/>
  <c r="O4" i="5191"/>
  <c r="O3" i="5191"/>
  <c r="O2" i="5191"/>
  <c r="O25" i="5187"/>
  <c r="O17" i="5189"/>
  <c r="O23" i="5189"/>
  <c r="C27" i="5189"/>
  <c r="B24" i="5189"/>
  <c r="C20" i="5189"/>
  <c r="B17" i="5189"/>
  <c r="H5" i="5189" s="1"/>
  <c r="C16" i="5189"/>
  <c r="C15" i="5189"/>
  <c r="C14" i="5189"/>
  <c r="C13" i="5189"/>
  <c r="O12" i="5189"/>
  <c r="C12" i="5189"/>
  <c r="O11" i="5189"/>
  <c r="C11" i="5189"/>
  <c r="O10" i="5189"/>
  <c r="C10" i="5189"/>
  <c r="C9" i="5189"/>
  <c r="C8" i="5189"/>
  <c r="O7" i="5189"/>
  <c r="C7" i="5189"/>
  <c r="O6" i="5189"/>
  <c r="B6" i="5189"/>
  <c r="O5" i="5189"/>
  <c r="B5" i="5189"/>
  <c r="O4" i="5189"/>
  <c r="O3" i="5189"/>
  <c r="O2" i="5189"/>
  <c r="O17" i="5187"/>
  <c r="O21" i="5187"/>
  <c r="C27" i="5187"/>
  <c r="B24" i="5187"/>
  <c r="C20" i="5187"/>
  <c r="B17" i="5187"/>
  <c r="H49" i="5187" s="1"/>
  <c r="C16" i="5187"/>
  <c r="C15" i="5187"/>
  <c r="C14" i="5187"/>
  <c r="C13" i="5187"/>
  <c r="O12" i="5187"/>
  <c r="C12" i="5187"/>
  <c r="O11" i="5187"/>
  <c r="C11" i="5187"/>
  <c r="O10" i="5187"/>
  <c r="C10" i="5187"/>
  <c r="C9" i="5187"/>
  <c r="C8" i="5187"/>
  <c r="O7" i="5187"/>
  <c r="C7" i="5187"/>
  <c r="O6" i="5187"/>
  <c r="B6" i="5187"/>
  <c r="O5" i="5187"/>
  <c r="B5" i="5187"/>
  <c r="O4" i="5187"/>
  <c r="O3" i="5187"/>
  <c r="O2" i="5187"/>
  <c r="H16" i="5187" l="1"/>
  <c r="C17" i="5193"/>
  <c r="H2" i="5193"/>
  <c r="H34" i="5193"/>
  <c r="H43" i="5193"/>
  <c r="H29" i="5193"/>
  <c r="H44" i="5193"/>
  <c r="H4" i="5193"/>
  <c r="H24" i="5193"/>
  <c r="H26" i="5193"/>
  <c r="C18" i="5193"/>
  <c r="B23" i="5193"/>
  <c r="H31" i="5193"/>
  <c r="H37" i="5193"/>
  <c r="H45" i="5193"/>
  <c r="H42" i="5193"/>
  <c r="H8" i="5193"/>
  <c r="H25" i="5193"/>
  <c r="H35" i="5193"/>
  <c r="H11" i="5193"/>
  <c r="H6" i="5193"/>
  <c r="H3" i="5193"/>
  <c r="H9" i="5193"/>
  <c r="H27" i="5193"/>
  <c r="H30" i="5193"/>
  <c r="H22" i="5193"/>
  <c r="H38" i="5193"/>
  <c r="H46" i="5193"/>
  <c r="H28" i="5193"/>
  <c r="H50" i="5193"/>
  <c r="H51" i="5193"/>
  <c r="H18" i="5193"/>
  <c r="H36" i="5193"/>
  <c r="H17" i="5193"/>
  <c r="C19" i="5193"/>
  <c r="H32" i="5193"/>
  <c r="H39" i="5193"/>
  <c r="H47" i="5193"/>
  <c r="H7" i="5193"/>
  <c r="H21" i="5193"/>
  <c r="H14" i="5193"/>
  <c r="H13" i="5193"/>
  <c r="H5" i="5193"/>
  <c r="H10" i="5193"/>
  <c r="H16" i="5193"/>
  <c r="H19" i="5193"/>
  <c r="H12" i="5193"/>
  <c r="H23" i="5193"/>
  <c r="H40" i="5193"/>
  <c r="H48" i="5193"/>
  <c r="H15" i="5193"/>
  <c r="H20" i="5193"/>
  <c r="H33" i="5193"/>
  <c r="H41" i="5193"/>
  <c r="H35" i="5187"/>
  <c r="H23" i="5187"/>
  <c r="H4" i="5187"/>
  <c r="C17" i="5191"/>
  <c r="H4" i="5191"/>
  <c r="H42" i="5191"/>
  <c r="H21" i="5191"/>
  <c r="H32" i="5191"/>
  <c r="H13" i="5191"/>
  <c r="H29" i="5191"/>
  <c r="H30" i="5191"/>
  <c r="H45" i="5191"/>
  <c r="H12" i="5191"/>
  <c r="H35" i="5191"/>
  <c r="H7" i="5191"/>
  <c r="H41" i="5191"/>
  <c r="C18" i="5191"/>
  <c r="H49" i="5191"/>
  <c r="H9" i="5191"/>
  <c r="H37" i="5191"/>
  <c r="H17" i="5191"/>
  <c r="H2" i="5191"/>
  <c r="H33" i="5191"/>
  <c r="H20" i="5191"/>
  <c r="H15" i="5191"/>
  <c r="H11" i="5191"/>
  <c r="H6" i="5191"/>
  <c r="H10" i="5191"/>
  <c r="H16" i="5191"/>
  <c r="H50" i="5191"/>
  <c r="H3" i="5191"/>
  <c r="H19" i="5191"/>
  <c r="H24" i="5191"/>
  <c r="H27" i="5191"/>
  <c r="H5" i="5191"/>
  <c r="B23" i="5191"/>
  <c r="H34" i="5191"/>
  <c r="H38" i="5191"/>
  <c r="H46" i="5191"/>
  <c r="H39" i="5191"/>
  <c r="H47" i="5191"/>
  <c r="H23" i="5191"/>
  <c r="C19" i="5191"/>
  <c r="H26" i="5191"/>
  <c r="H40" i="5191"/>
  <c r="H48" i="5191"/>
  <c r="H31" i="5191"/>
  <c r="H25" i="5191"/>
  <c r="H28" i="5191"/>
  <c r="H43" i="5191"/>
  <c r="H51" i="5191"/>
  <c r="H8" i="5191"/>
  <c r="H22" i="5191"/>
  <c r="H14" i="5191"/>
  <c r="H36" i="5191"/>
  <c r="H44" i="5191"/>
  <c r="C17" i="5187"/>
  <c r="H2" i="5187"/>
  <c r="H34" i="5187"/>
  <c r="H7" i="5189"/>
  <c r="H33" i="5189"/>
  <c r="H3" i="5189"/>
  <c r="C18" i="5189"/>
  <c r="H39" i="5189"/>
  <c r="H30" i="5189"/>
  <c r="H46" i="5189"/>
  <c r="C17" i="5189"/>
  <c r="H29" i="5189"/>
  <c r="H19" i="5189"/>
  <c r="H40" i="5189"/>
  <c r="H20" i="5189"/>
  <c r="H24" i="5189"/>
  <c r="H6" i="5189"/>
  <c r="H22" i="5189"/>
  <c r="H48" i="5189"/>
  <c r="H10" i="5189"/>
  <c r="H38" i="5189"/>
  <c r="H2" i="5189"/>
  <c r="H13" i="5189"/>
  <c r="H41" i="5189"/>
  <c r="C19" i="5189"/>
  <c r="H11" i="5189"/>
  <c r="H15" i="5189"/>
  <c r="H47" i="5189"/>
  <c r="H4" i="5189"/>
  <c r="H25" i="5189"/>
  <c r="H12" i="5189"/>
  <c r="H28" i="5189"/>
  <c r="H17" i="5189"/>
  <c r="B23" i="5189"/>
  <c r="H26" i="5189"/>
  <c r="H49" i="5189"/>
  <c r="H23" i="5189"/>
  <c r="H35" i="5189"/>
  <c r="H42" i="5189"/>
  <c r="H50" i="5189"/>
  <c r="H31" i="5189"/>
  <c r="H51" i="5189"/>
  <c r="H43" i="5189"/>
  <c r="H8" i="5189"/>
  <c r="H21" i="5189"/>
  <c r="H14" i="5189"/>
  <c r="H36" i="5189"/>
  <c r="H44" i="5189"/>
  <c r="H16" i="5189"/>
  <c r="H34" i="5189"/>
  <c r="H27" i="5189"/>
  <c r="H18" i="5189"/>
  <c r="H32" i="5189"/>
  <c r="H9" i="5189"/>
  <c r="H37" i="5189"/>
  <c r="H45" i="5189"/>
  <c r="H50" i="5187"/>
  <c r="H42" i="5187"/>
  <c r="H28" i="5187"/>
  <c r="H51" i="5187"/>
  <c r="H8" i="5187"/>
  <c r="H14" i="5187"/>
  <c r="H19" i="5187"/>
  <c r="H29" i="5187"/>
  <c r="H37" i="5187"/>
  <c r="H45" i="5187"/>
  <c r="H6" i="5187"/>
  <c r="H32" i="5187"/>
  <c r="B23" i="5187"/>
  <c r="H38" i="5187"/>
  <c r="H3" i="5187"/>
  <c r="H11" i="5187"/>
  <c r="H33" i="5187"/>
  <c r="H30" i="5187"/>
  <c r="H17" i="5187"/>
  <c r="H39" i="5187"/>
  <c r="H47" i="5187"/>
  <c r="H43" i="5187"/>
  <c r="H21" i="5187"/>
  <c r="H44" i="5187"/>
  <c r="H10" i="5187"/>
  <c r="H5" i="5187"/>
  <c r="H20" i="5187"/>
  <c r="C18" i="5187"/>
  <c r="H31" i="5187"/>
  <c r="H25" i="5187"/>
  <c r="C19" i="5187"/>
  <c r="H24" i="5187"/>
  <c r="H40" i="5187"/>
  <c r="H48" i="5187"/>
  <c r="H27" i="5187"/>
  <c r="H36" i="5187"/>
  <c r="H18" i="5187"/>
  <c r="H46" i="5187"/>
  <c r="H9" i="5187"/>
  <c r="H7" i="5187"/>
  <c r="H12" i="5187"/>
  <c r="H22" i="5187"/>
  <c r="H15" i="5187"/>
  <c r="H13" i="5187"/>
  <c r="H26" i="5187"/>
  <c r="H41" i="5187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<sst xmlns="http://schemas.openxmlformats.org/spreadsheetml/2006/main" count="3182" uniqueCount="229">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</sst>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全体!$K$2:$K$464</c:f>
              <c:numCache>
                <c:formatCode>General</c:formatCode>
                <c:ptCount val="4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</c:numCache>
            </c:numRef>
          </c:xVal>
          <c:yVal>
            <c:numRef>
              <c:f>全体!$L$2:$L$464</c:f>
              <c:numCache>
                <c:formatCode>\+0.0;\-0.0;\±0</c:formatCode>
                <c:ptCount val="463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-50.599999999999973</c:v>
                </c:pt>
                <c:pt idx="440">
                  <c:v>-66.299999999999969</c:v>
                </c:pt>
                <c:pt idx="441">
                  <c:v>2.8421709430404007E-14</c:v>
                </c:pt>
                <c:pt idx="442">
                  <c:v>-57.39999999999997</c:v>
                </c:pt>
                <c:pt idx="443">
                  <c:v>-11.39999999999997</c:v>
                </c:pt>
                <c:pt idx="444">
                  <c:v>3.0198066269804258E-14</c:v>
                </c:pt>
                <c:pt idx="445">
                  <c:v>34.300000000000026</c:v>
                </c:pt>
                <c:pt idx="446">
                  <c:v>32.200000000000024</c:v>
                </c:pt>
                <c:pt idx="447">
                  <c:v>2.1316282072803006E-14</c:v>
                </c:pt>
                <c:pt idx="448">
                  <c:v>-56.199999999999982</c:v>
                </c:pt>
                <c:pt idx="449">
                  <c:v>-14.59999999999998</c:v>
                </c:pt>
                <c:pt idx="450">
                  <c:v>1.9539925233402755E-14</c:v>
                </c:pt>
                <c:pt idx="451">
                  <c:v>69.600000000000009</c:v>
                </c:pt>
                <c:pt idx="452">
                  <c:v>59.20000000000001</c:v>
                </c:pt>
                <c:pt idx="453">
                  <c:v>7.1054273576010019E-15</c:v>
                </c:pt>
                <c:pt idx="454">
                  <c:v>-18.699999999999992</c:v>
                </c:pt>
                <c:pt idx="455">
                  <c:v>56.500000000000014</c:v>
                </c:pt>
                <c:pt idx="456">
                  <c:v>1.4210854715202004E-14</c:v>
                </c:pt>
                <c:pt idx="457">
                  <c:v>37.400000000000013</c:v>
                </c:pt>
                <c:pt idx="458">
                  <c:v>6.8000000000000114</c:v>
                </c:pt>
                <c:pt idx="459">
                  <c:v>1.1546319456101628E-14</c:v>
                </c:pt>
                <c:pt idx="460">
                  <c:v>-6.0999999999999881</c:v>
                </c:pt>
                <c:pt idx="461">
                  <c:v>38.70000000000001</c:v>
                </c:pt>
                <c:pt idx="462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0-4EC4-B9E8-BE5E72728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-17.316017316017316</c:v>
                </c:pt>
                <c:pt idx="1">
                  <c:v>-8.7145969498910674</c:v>
                </c:pt>
                <c:pt idx="2">
                  <c:v>13.793103448275861</c:v>
                </c:pt>
                <c:pt idx="3">
                  <c:v>10.256410256410257</c:v>
                </c:pt>
                <c:pt idx="4">
                  <c:v>-11.204481792717086</c:v>
                </c:pt>
                <c:pt idx="5">
                  <c:v>18.348623853211009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86-4FE0-967F-1764DD5F9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だいち!$L$2:$L$106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BE-4BE1-A1C5-D6BDB314A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2539.4230769230771</c:v>
                </c:pt>
                <c:pt idx="1">
                  <c:v>1922.3300970873786</c:v>
                </c:pt>
                <c:pt idx="2">
                  <c:v>2312.2448979591836</c:v>
                </c:pt>
                <c:pt idx="3">
                  <c:v>2486.3636363636365</c:v>
                </c:pt>
                <c:pt idx="4">
                  <c:v>-6.3291139240506329</c:v>
                </c:pt>
                <c:pt idx="5">
                  <c:v>387.32394366197184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D8-4B9A-98B3-71A441179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りくと!$L$2:$L$107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-388.20000000000005</c:v>
                </c:pt>
                <c:pt idx="103">
                  <c:v>-313.00000000000006</c:v>
                </c:pt>
                <c:pt idx="104">
                  <c:v>-343.60000000000008</c:v>
                </c:pt>
                <c:pt idx="105">
                  <c:v>-298.80000000000007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9-4646-A8BE-D280E8592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495.23809523809524</c:v>
                </c:pt>
                <c:pt idx="1">
                  <c:v>-2429.8076923076924</c:v>
                </c:pt>
                <c:pt idx="2">
                  <c:v>-579.20792079207922</c:v>
                </c:pt>
                <c:pt idx="3">
                  <c:v>691.11111111111109</c:v>
                </c:pt>
                <c:pt idx="4">
                  <c:v>495.1219512195122</c:v>
                </c:pt>
                <c:pt idx="5">
                  <c:v>477.63157894736844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D2-4214-ACEC-F7D41F857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ただ!$L$2:$L$55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-800.5999999999998</c:v>
                </c:pt>
                <c:pt idx="47">
                  <c:v>-754.5999999999998</c:v>
                </c:pt>
                <c:pt idx="48">
                  <c:v>-756.69999999999982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31-41E8-9289-878F2CF9C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-2833.9622641509436</c:v>
                </c:pt>
                <c:pt idx="1">
                  <c:v>-1726.4150943396226</c:v>
                </c:pt>
                <c:pt idx="2">
                  <c:v>-553.0612244897959</c:v>
                </c:pt>
                <c:pt idx="3">
                  <c:v>-4519.5121951219517</c:v>
                </c:pt>
                <c:pt idx="4">
                  <c:v>-1375.6756756756756</c:v>
                </c:pt>
                <c:pt idx="5">
                  <c:v>-1673.5294117647059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6-4D1F-9333-1D98A6FD7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れんたろう!$L$2:$L$62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93.299999999999983</c:v>
                </c:pt>
                <c:pt idx="57">
                  <c:v>104.69999999999999</c:v>
                </c:pt>
                <c:pt idx="58">
                  <c:v>72.499999999999986</c:v>
                </c:pt>
                <c:pt idx="59">
                  <c:v>87.09999999999998</c:v>
                </c:pt>
                <c:pt idx="60">
                  <c:v>48.399999999999977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9B-45CC-B881-03626F8DB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-125</c:v>
                </c:pt>
                <c:pt idx="1">
                  <c:v>1158.3333333333333</c:v>
                </c:pt>
                <c:pt idx="2">
                  <c:v>105.26315789473684</c:v>
                </c:pt>
                <c:pt idx="3">
                  <c:v>1718.75</c:v>
                </c:pt>
                <c:pt idx="4">
                  <c:v>-1277.2727272727273</c:v>
                </c:pt>
                <c:pt idx="5">
                  <c:v>1514.6341463414635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7C-4E99-9A9B-54041177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たかの!$L$2:$L$55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20-4B6C-BB3A-F0E3B0AC8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505.66037735849056</c:v>
                </c:pt>
                <c:pt idx="1">
                  <c:v>226.41509433962264</c:v>
                </c:pt>
                <c:pt idx="2">
                  <c:v>-358.33333333333331</c:v>
                </c:pt>
                <c:pt idx="3">
                  <c:v>262.22222222222223</c:v>
                </c:pt>
                <c:pt idx="4">
                  <c:v>1381.8181818181818</c:v>
                </c:pt>
                <c:pt idx="5">
                  <c:v>-1105.1282051282051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09-4553-9EB7-1B72304A7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0-4FD3-8D18-E5F149A2C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-2487.1794871794873</c:v>
                </c:pt>
                <c:pt idx="1">
                  <c:v>1597.4358974358975</c:v>
                </c:pt>
                <c:pt idx="2">
                  <c:v>-716.21621621621625</c:v>
                </c:pt>
                <c:pt idx="3">
                  <c:v>-4045.7142857142858</c:v>
                </c:pt>
                <c:pt idx="4">
                  <c:v>145.16129032258064</c:v>
                </c:pt>
                <c:pt idx="5">
                  <c:v>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25-469B-90E8-8AA99BA00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-202.1</c:v>
                </c:pt>
                <c:pt idx="27">
                  <c:v>-167.8</c:v>
                </c:pt>
                <c:pt idx="28">
                  <c:v>-224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8-4CFE-8768-5466D3A8F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-2317.8571428571427</c:v>
                </c:pt>
                <c:pt idx="1">
                  <c:v>-703.7037037037037</c:v>
                </c:pt>
                <c:pt idx="2">
                  <c:v>-1792</c:v>
                </c:pt>
                <c:pt idx="3">
                  <c:v>320.83333333333331</c:v>
                </c:pt>
                <c:pt idx="4">
                  <c:v>-1350</c:v>
                </c:pt>
                <c:pt idx="5">
                  <c:v>257.89473684210526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50-4343-A35B-44BD73878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1E-4690-A072-C6E1B5F3A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4B-433F-9C8A-474A8674E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いっしー!$L$2:$L$12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92-422E-B153-22D94400F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-1860</c:v>
                </c:pt>
                <c:pt idx="1">
                  <c:v>-2160</c:v>
                </c:pt>
                <c:pt idx="2">
                  <c:v>-990</c:v>
                </c:pt>
                <c:pt idx="3">
                  <c:v>-5388.8888888888887</c:v>
                </c:pt>
                <c:pt idx="4">
                  <c:v>1077.7777777777778</c:v>
                </c:pt>
                <c:pt idx="5">
                  <c:v>-5400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C6-4024-8DA5-E8F18A4F0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ED-41DD-8B33-7B931E2AB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-5040</c:v>
                </c:pt>
                <c:pt idx="1">
                  <c:v>5560</c:v>
                </c:pt>
                <c:pt idx="2">
                  <c:v>-3320</c:v>
                </c:pt>
                <c:pt idx="3">
                  <c:v>-3500</c:v>
                </c:pt>
                <c:pt idx="4">
                  <c:v>4325</c:v>
                </c:pt>
                <c:pt idx="5">
                  <c:v>-475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B0-4B8B-BA65-2AF52CFB3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81-428C-B70C-D95C79AAD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7A-4EAB-849E-7343D2D2E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D3-4E3A-B7AF-4F8D39FE4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12-4A09-9719-DEA5230BF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やがさき2!$B$1:$B$2</c:f>
              <c:strCache>
                <c:ptCount val="2"/>
                <c:pt idx="0">
                  <c:v>やがさき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やがさき2!$C$1:$C$2</c:f>
              <c:strCache>
                <c:ptCount val="2"/>
                <c:pt idx="0">
                  <c:v>やがさき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やがさき2!$C$3:$C$4</c:f>
              <c:numCache>
                <c:formatCode>\+0.0;\-0.0;\±0</c:formatCode>
                <c:ptCount val="2"/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5379712895240264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やがさき2!$D$1:$D$2</c:f>
              <c:strCache>
                <c:ptCount val="2"/>
                <c:pt idx="0">
                  <c:v>やがさき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やがさき2!$D$3:$D$4</c:f>
              <c:numCache>
                <c:formatCode>0.00\ "位"</c:formatCode>
                <c:ptCount val="2"/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やがさき2!$E$1:$E$2</c:f>
              <c:strCache>
                <c:ptCount val="2"/>
                <c:pt idx="0">
                  <c:v>やがさき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やがさき2!$F$1:$F$2</c:f>
              <c:strCache>
                <c:ptCount val="2"/>
                <c:pt idx="0">
                  <c:v>やがさき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やがさき2!$F$3:$F$4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やがさき2!$G$1:$G$2</c:f>
              <c:strCache>
                <c:ptCount val="2"/>
                <c:pt idx="0">
                  <c:v>やがさき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やがさき2!$G$3:$G$4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0900900900900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やがさき2!$H$1:$H$2</c:f>
              <c:strCache>
                <c:ptCount val="2"/>
                <c:pt idx="0">
                  <c:v>やがさき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やがさき2!$H$3:$H$4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567567567567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やがさき2!$I$1:$I$2</c:f>
              <c:strCache>
                <c:ptCount val="2"/>
                <c:pt idx="0">
                  <c:v>やがさき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やがさき2!$I$3:$I$4</c:f>
              <c:numCache>
                <c:formatCode>0</c:formatCode>
                <c:ptCount val="2"/>
                <c:pt idx="1">
                  <c:v>8666.6666666666661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39.86313088109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やがさき2!$J$1:$J$2</c:f>
              <c:strCache>
                <c:ptCount val="2"/>
                <c:pt idx="0">
                  <c:v>やがさき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やがさき2!$J$3:$J$4</c:f>
              <c:numCache>
                <c:formatCode>0</c:formatCode>
                <c:ptCount val="2"/>
                <c:pt idx="1">
                  <c:v>-14000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69.58525345622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やがさき2!$K$1:$K$2</c:f>
              <c:strCache>
                <c:ptCount val="2"/>
                <c:pt idx="0">
                  <c:v>やがさき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060606060606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やがさき2!$L$1:$L$2</c:f>
              <c:strCache>
                <c:ptCount val="2"/>
                <c:pt idx="0">
                  <c:v>やがさき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060606060606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やがさき2!$M$1:$M$2</c:f>
              <c:strCache>
                <c:ptCount val="2"/>
                <c:pt idx="0">
                  <c:v>やがさき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やがさき2!$M$3:$M$4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3359073359073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やがさき2!$N$1:$N$2</c:f>
              <c:strCache>
                <c:ptCount val="2"/>
                <c:pt idx="0">
                  <c:v>やがさき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やがさき2!$N$3:$N$4</c:f>
              <c:numCache>
                <c:formatCode>0.0%</c:formatCode>
                <c:ptCount val="2"/>
                <c:pt idx="1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2097812097812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やがさき2!$O$1:$O$2</c:f>
              <c:strCache>
                <c:ptCount val="2"/>
                <c:pt idx="0">
                  <c:v>やがさき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やがさき2!$O$3:$O$4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3220338983050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やがさき2!$P$1:$P$2</c:f>
              <c:strCache>
                <c:ptCount val="2"/>
                <c:pt idx="0">
                  <c:v>やがさき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やがさき2!$P$3:$P$4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3495145631067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やがさき2!$Q$1:$Q$2</c:f>
              <c:strCache>
                <c:ptCount val="2"/>
                <c:pt idx="0">
                  <c:v>やがさき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やがさき2!$Q$3:$Q$4</c:f>
              <c:numCache>
                <c:formatCode>0.0%</c:formatCode>
                <c:ptCount val="2"/>
                <c:pt idx="1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6270316509837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41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43595.036134259259</v>
      </c>
      <c r="C32" s="30" t="s">
        <v>130</v>
      </c>
      <c r="D32" s="30" t="s">
        <v>131</v>
      </c>
    </row>
    <row r="33" spans="1:9" x14ac:dyDescent="0.4">
      <c r="A33" s="30" t="s">
        <v>218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9" x14ac:dyDescent="0.4">
      <c r="A34" s="30" t="s">
        <v>219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9" x14ac:dyDescent="0.4">
      <c r="A35" s="30" t="s">
        <v>220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9" x14ac:dyDescent="0.4">
      <c r="A36" s="30" t="s">
        <v>221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9" x14ac:dyDescent="0.4">
      <c r="A37" s="30" t="s">
        <v>222</v>
      </c>
      <c r="B37" s="31">
        <v>43599.98951388889</v>
      </c>
      <c r="C37" s="30" t="s">
        <v>130</v>
      </c>
      <c r="D37" s="30" t="s">
        <v>131</v>
      </c>
    </row>
    <row r="38" spans="1:9" x14ac:dyDescent="0.4">
      <c r="A38" s="30" t="s">
        <v>223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9" x14ac:dyDescent="0.4">
      <c r="A39" s="30" t="s">
        <v>226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9" x14ac:dyDescent="0.4">
      <c r="A40" s="30" t="s">
        <v>227</v>
      </c>
      <c r="B40" s="31">
        <v>43603.979317129626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</row>
    <row r="41" spans="1:9" x14ac:dyDescent="0.4">
      <c r="A41" s="30" t="s">
        <v>228</v>
      </c>
      <c r="B41" s="31">
        <v>43604.065266203703</v>
      </c>
      <c r="C41" s="30" t="s">
        <v>130</v>
      </c>
      <c r="D41" s="30" t="s">
        <v>131</v>
      </c>
      <c r="E41" s="30" t="s">
        <v>169</v>
      </c>
      <c r="F41" s="30" t="s">
        <v>174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  <row r="12" spans="1:1" x14ac:dyDescent="0.4">
      <c r="A12" t="s">
        <v>224</v>
      </c>
    </row>
    <row r="13" spans="1:1" x14ac:dyDescent="0.4">
      <c r="A13" t="s">
        <v>225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0.71956003540038294</v>
      </c>
      <c r="G2" s="159"/>
      <c r="H2" s="158">
        <v>0.5737257210915595</v>
      </c>
      <c r="I2" s="159"/>
      <c r="J2" s="158">
        <v>0.68926219957925827</v>
      </c>
      <c r="K2" s="159"/>
      <c r="L2" s="158">
        <v>0.45296111506704412</v>
      </c>
      <c r="M2" s="159"/>
      <c r="N2" s="158">
        <v>0.54722886361619527</v>
      </c>
      <c r="O2" s="159"/>
      <c r="P2" s="158">
        <v>0.6368883631492035</v>
      </c>
      <c r="Q2" s="159"/>
      <c r="R2" s="158">
        <v>-2.8850989073316579E-2</v>
      </c>
      <c r="S2" s="159"/>
      <c r="T2" s="158">
        <v>0.37070530249608119</v>
      </c>
      <c r="U2" s="159"/>
      <c r="V2" s="158">
        <v>0.74521171612010029</v>
      </c>
      <c r="W2" s="159"/>
      <c r="X2" s="158">
        <v>0.92773381727439053</v>
      </c>
      <c r="Y2" s="159"/>
      <c r="Z2" s="158">
        <v>-0.11322015601410265</v>
      </c>
      <c r="AA2" s="159"/>
      <c r="AB2" s="158">
        <v>4.6051057892918794E-2</v>
      </c>
      <c r="AC2" s="159"/>
      <c r="AD2" s="158">
        <v>2.4317459696122326E-2</v>
      </c>
      <c r="AE2" s="159"/>
      <c r="AF2" s="158">
        <v>-0.62551088061579641</v>
      </c>
      <c r="AG2" s="159"/>
      <c r="AH2" s="158">
        <v>0.83102551249394552</v>
      </c>
      <c r="AI2" s="159"/>
    </row>
    <row r="3" spans="1:35" x14ac:dyDescent="0.4">
      <c r="A3" s="74">
        <v>1</v>
      </c>
      <c r="B3" s="75" t="s">
        <v>127</v>
      </c>
      <c r="C3" s="76">
        <v>1653.100000000001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0.18269230769230768</v>
      </c>
      <c r="X3" s="77" t="s">
        <v>225</v>
      </c>
      <c r="Y3" s="80">
        <v>0.375</v>
      </c>
      <c r="Z3" s="77" t="s">
        <v>172</v>
      </c>
      <c r="AA3" s="80">
        <v>0.29912663755458513</v>
      </c>
      <c r="AB3" s="77" t="s">
        <v>225</v>
      </c>
      <c r="AC3" s="80">
        <v>1</v>
      </c>
      <c r="AD3" s="77" t="s">
        <v>127</v>
      </c>
      <c r="AE3" s="80">
        <v>0.515625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172</v>
      </c>
      <c r="C4" s="84">
        <v>65.199999999999989</v>
      </c>
      <c r="D4" s="85" t="s">
        <v>127</v>
      </c>
      <c r="E4" s="97">
        <v>15.895192307692318</v>
      </c>
      <c r="F4" s="85" t="s">
        <v>127</v>
      </c>
      <c r="G4" s="86">
        <v>1.6730769230769231</v>
      </c>
      <c r="H4" s="85" t="s">
        <v>127</v>
      </c>
      <c r="I4" s="87">
        <v>0.52884615384615385</v>
      </c>
      <c r="J4" s="85" t="s">
        <v>224</v>
      </c>
      <c r="K4" s="87">
        <v>0</v>
      </c>
      <c r="L4" s="85" t="s">
        <v>172</v>
      </c>
      <c r="M4" s="88">
        <v>0.36899563318777295</v>
      </c>
      <c r="N4" s="85" t="s">
        <v>185</v>
      </c>
      <c r="O4" s="88">
        <v>0.10526315789473684</v>
      </c>
      <c r="P4" s="85" t="s">
        <v>171</v>
      </c>
      <c r="Q4" s="89">
        <v>9544.927536231884</v>
      </c>
      <c r="R4" s="85" t="s">
        <v>202</v>
      </c>
      <c r="S4" s="89">
        <v>-5420</v>
      </c>
      <c r="T4" s="85" t="s">
        <v>202</v>
      </c>
      <c r="U4" s="87">
        <v>0</v>
      </c>
      <c r="V4" s="85" t="s">
        <v>171</v>
      </c>
      <c r="W4" s="87">
        <v>0.11666666666666667</v>
      </c>
      <c r="X4" s="85" t="s">
        <v>127</v>
      </c>
      <c r="Y4" s="88">
        <v>0.33215547703180209</v>
      </c>
      <c r="Z4" s="85" t="s">
        <v>202</v>
      </c>
      <c r="AA4" s="88">
        <v>0.26</v>
      </c>
      <c r="AB4" s="85" t="s">
        <v>177</v>
      </c>
      <c r="AC4" s="88">
        <v>0.67346938775510201</v>
      </c>
      <c r="AD4" s="85" t="s">
        <v>185</v>
      </c>
      <c r="AE4" s="88">
        <v>0.5</v>
      </c>
      <c r="AF4" s="85" t="s">
        <v>202</v>
      </c>
      <c r="AG4" s="88">
        <v>0.58333333333333337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224</v>
      </c>
      <c r="E5" s="97">
        <v>13.3</v>
      </c>
      <c r="F5" s="85" t="s">
        <v>145</v>
      </c>
      <c r="G5" s="86">
        <v>2</v>
      </c>
      <c r="H5" s="85" t="s">
        <v>145</v>
      </c>
      <c r="I5" s="87">
        <v>0.33333333333333331</v>
      </c>
      <c r="J5" s="85" t="s">
        <v>202</v>
      </c>
      <c r="K5" s="87">
        <v>0.2</v>
      </c>
      <c r="L5" s="85" t="s">
        <v>127</v>
      </c>
      <c r="M5" s="88">
        <v>0.36866902237926974</v>
      </c>
      <c r="N5" s="85" t="s">
        <v>172</v>
      </c>
      <c r="O5" s="88">
        <v>0.1331877729257642</v>
      </c>
      <c r="P5" s="85" t="s">
        <v>128</v>
      </c>
      <c r="Q5" s="89">
        <v>9241.1522633744862</v>
      </c>
      <c r="R5" s="85" t="s">
        <v>171</v>
      </c>
      <c r="S5" s="89">
        <v>-7647.5</v>
      </c>
      <c r="T5" s="85" t="s">
        <v>224</v>
      </c>
      <c r="U5" s="87">
        <v>0</v>
      </c>
      <c r="V5" s="85" t="s">
        <v>129</v>
      </c>
      <c r="W5" s="87">
        <v>0.11320754716981132</v>
      </c>
      <c r="X5" s="85" t="s">
        <v>128</v>
      </c>
      <c r="Y5" s="88">
        <v>0.29558323895809741</v>
      </c>
      <c r="Z5" s="85" t="s">
        <v>173</v>
      </c>
      <c r="AA5" s="88">
        <v>0.24853801169590642</v>
      </c>
      <c r="AB5" s="85" t="s">
        <v>127</v>
      </c>
      <c r="AC5" s="88">
        <v>0.6028368794326241</v>
      </c>
      <c r="AD5" s="85" t="s">
        <v>186</v>
      </c>
      <c r="AE5" s="88">
        <v>0.47058823529411764</v>
      </c>
      <c r="AF5" s="85" t="s">
        <v>186</v>
      </c>
      <c r="AG5" s="88">
        <v>0.55000000000000004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171</v>
      </c>
      <c r="C6" s="84">
        <v>48.399999999999977</v>
      </c>
      <c r="D6" s="85" t="s">
        <v>172</v>
      </c>
      <c r="E6" s="97">
        <v>1.2301886792452827</v>
      </c>
      <c r="F6" s="85" t="s">
        <v>202</v>
      </c>
      <c r="G6" s="86">
        <v>2</v>
      </c>
      <c r="H6" s="85" t="s">
        <v>177</v>
      </c>
      <c r="I6" s="87">
        <v>0.32142857142857145</v>
      </c>
      <c r="J6" s="85" t="s">
        <v>127</v>
      </c>
      <c r="K6" s="87">
        <v>0.20192307692307693</v>
      </c>
      <c r="L6" s="85" t="s">
        <v>173</v>
      </c>
      <c r="M6" s="88">
        <v>0.30116959064327486</v>
      </c>
      <c r="N6" s="85" t="s">
        <v>127</v>
      </c>
      <c r="O6" s="88">
        <v>0.14958775029446408</v>
      </c>
      <c r="P6" s="85" t="s">
        <v>127</v>
      </c>
      <c r="Q6" s="89">
        <v>9033.5463258785949</v>
      </c>
      <c r="R6" s="85" t="s">
        <v>128</v>
      </c>
      <c r="S6" s="89">
        <v>-7650</v>
      </c>
      <c r="T6" s="85" t="s">
        <v>225</v>
      </c>
      <c r="U6" s="87">
        <v>0</v>
      </c>
      <c r="V6" s="85" t="s">
        <v>172</v>
      </c>
      <c r="W6" s="87">
        <v>0.11320754716981132</v>
      </c>
      <c r="X6" s="85" t="s">
        <v>145</v>
      </c>
      <c r="Y6" s="88">
        <v>0.27335907335907333</v>
      </c>
      <c r="Z6" s="85" t="s">
        <v>127</v>
      </c>
      <c r="AA6" s="88">
        <v>0.22614840989399293</v>
      </c>
      <c r="AB6" s="85" t="s">
        <v>173</v>
      </c>
      <c r="AC6" s="88">
        <v>0.6</v>
      </c>
      <c r="AD6" s="85" t="s">
        <v>172</v>
      </c>
      <c r="AE6" s="88">
        <v>0.43065693430656932</v>
      </c>
      <c r="AF6" s="85" t="s">
        <v>173</v>
      </c>
      <c r="AG6" s="88">
        <v>0.5145631067961165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171</v>
      </c>
      <c r="E7" s="97">
        <v>0.80666666666666631</v>
      </c>
      <c r="F7" s="85" t="s">
        <v>224</v>
      </c>
      <c r="G7" s="86">
        <v>2</v>
      </c>
      <c r="H7" s="85" t="s">
        <v>186</v>
      </c>
      <c r="I7" s="87">
        <v>0.3</v>
      </c>
      <c r="J7" s="85" t="s">
        <v>172</v>
      </c>
      <c r="K7" s="87">
        <v>0.32075471698113206</v>
      </c>
      <c r="L7" s="85" t="s">
        <v>145</v>
      </c>
      <c r="M7" s="88">
        <v>0.30090090090090088</v>
      </c>
      <c r="N7" s="85" t="s">
        <v>171</v>
      </c>
      <c r="O7" s="88">
        <v>0.15686274509803921</v>
      </c>
      <c r="P7" s="85" t="s">
        <v>129</v>
      </c>
      <c r="Q7" s="89">
        <v>8926.8041237113393</v>
      </c>
      <c r="R7" s="85" t="s">
        <v>186</v>
      </c>
      <c r="S7" s="89">
        <v>-7686.95652173913</v>
      </c>
      <c r="T7" s="85" t="s">
        <v>171</v>
      </c>
      <c r="U7" s="87">
        <v>3.3333333333333333E-2</v>
      </c>
      <c r="V7" s="85" t="s">
        <v>145</v>
      </c>
      <c r="W7" s="87">
        <v>0.10606060606060606</v>
      </c>
      <c r="X7" s="85" t="s">
        <v>171</v>
      </c>
      <c r="Y7" s="88">
        <v>0.27254901960784311</v>
      </c>
      <c r="Z7" s="85" t="s">
        <v>177</v>
      </c>
      <c r="AA7" s="88">
        <v>0.21702127659574469</v>
      </c>
      <c r="AB7" s="85" t="s">
        <v>185</v>
      </c>
      <c r="AC7" s="88">
        <v>0.6</v>
      </c>
      <c r="AD7" s="85" t="s">
        <v>145</v>
      </c>
      <c r="AE7" s="88">
        <v>0.38349514563106796</v>
      </c>
      <c r="AF7" s="85" t="s">
        <v>224</v>
      </c>
      <c r="AG7" s="88">
        <v>0.5</v>
      </c>
      <c r="AH7" s="85" t="s">
        <v>129</v>
      </c>
      <c r="AI7" s="92">
        <v>96900</v>
      </c>
    </row>
    <row r="8" spans="1:35" x14ac:dyDescent="0.4">
      <c r="A8" s="82">
        <v>6</v>
      </c>
      <c r="B8" s="83" t="s">
        <v>145</v>
      </c>
      <c r="C8" s="84">
        <v>7.1054273576010019E-15</v>
      </c>
      <c r="D8" s="85" t="s">
        <v>145</v>
      </c>
      <c r="E8" s="97">
        <v>1.5379712895240264E-17</v>
      </c>
      <c r="F8" s="85" t="s">
        <v>172</v>
      </c>
      <c r="G8" s="86">
        <v>2.0377358490566038</v>
      </c>
      <c r="H8" s="85" t="s">
        <v>172</v>
      </c>
      <c r="I8" s="87">
        <v>0.28301886792452829</v>
      </c>
      <c r="J8" s="85" t="s">
        <v>173</v>
      </c>
      <c r="K8" s="87">
        <v>0.33333333333333331</v>
      </c>
      <c r="L8" s="85" t="s">
        <v>128</v>
      </c>
      <c r="M8" s="88">
        <v>0.27519818799546997</v>
      </c>
      <c r="N8" s="85" t="s">
        <v>145</v>
      </c>
      <c r="O8" s="88">
        <v>0.16756756756756758</v>
      </c>
      <c r="P8" s="85" t="s">
        <v>225</v>
      </c>
      <c r="Q8" s="89">
        <v>8666.6666666666661</v>
      </c>
      <c r="R8" s="85" t="s">
        <v>173</v>
      </c>
      <c r="S8" s="89">
        <v>-7690.7692307692305</v>
      </c>
      <c r="T8" s="85" t="s">
        <v>172</v>
      </c>
      <c r="U8" s="87">
        <v>5.6603773584905662E-2</v>
      </c>
      <c r="V8" s="85" t="s">
        <v>128</v>
      </c>
      <c r="W8" s="87">
        <v>8.5714285714285715E-2</v>
      </c>
      <c r="X8" s="85" t="s">
        <v>185</v>
      </c>
      <c r="Y8" s="88">
        <v>0.26315789473684209</v>
      </c>
      <c r="Z8" s="85" t="s">
        <v>145</v>
      </c>
      <c r="AA8" s="88">
        <v>0.21209781209781209</v>
      </c>
      <c r="AB8" s="85" t="s">
        <v>171</v>
      </c>
      <c r="AC8" s="88">
        <v>0.59712230215827333</v>
      </c>
      <c r="AD8" s="85" t="s">
        <v>177</v>
      </c>
      <c r="AE8" s="88">
        <v>0.37254901960784315</v>
      </c>
      <c r="AF8" s="85" t="s">
        <v>129</v>
      </c>
      <c r="AG8" s="88">
        <v>0.47422680412371132</v>
      </c>
      <c r="AH8" s="85" t="s">
        <v>171</v>
      </c>
      <c r="AI8" s="92">
        <v>91700</v>
      </c>
    </row>
    <row r="9" spans="1:35" x14ac:dyDescent="0.4">
      <c r="A9" s="82">
        <v>7</v>
      </c>
      <c r="B9" s="83" t="s">
        <v>202</v>
      </c>
      <c r="C9" s="84">
        <v>-16.100000000000005</v>
      </c>
      <c r="D9" s="85" t="s">
        <v>128</v>
      </c>
      <c r="E9" s="97">
        <v>-2.8457142857142865</v>
      </c>
      <c r="F9" s="85" t="s">
        <v>173</v>
      </c>
      <c r="G9" s="86">
        <v>2.0512820512820511</v>
      </c>
      <c r="H9" s="85" t="s">
        <v>173</v>
      </c>
      <c r="I9" s="87">
        <v>0.28205128205128205</v>
      </c>
      <c r="J9" s="85" t="s">
        <v>145</v>
      </c>
      <c r="K9" s="87">
        <v>0.33333333333333331</v>
      </c>
      <c r="L9" s="85" t="s">
        <v>177</v>
      </c>
      <c r="M9" s="88">
        <v>0.2723404255319149</v>
      </c>
      <c r="N9" s="85" t="s">
        <v>128</v>
      </c>
      <c r="O9" s="88">
        <v>0.17214043035107587</v>
      </c>
      <c r="P9" s="85" t="s">
        <v>145</v>
      </c>
      <c r="Q9" s="89">
        <v>8439.8631308810945</v>
      </c>
      <c r="R9" s="85" t="s">
        <v>177</v>
      </c>
      <c r="S9" s="89">
        <v>-7792.6829268292686</v>
      </c>
      <c r="T9" s="85" t="s">
        <v>127</v>
      </c>
      <c r="U9" s="87">
        <v>7.6923076923076927E-2</v>
      </c>
      <c r="V9" s="85" t="s">
        <v>173</v>
      </c>
      <c r="W9" s="87">
        <v>5.128205128205128E-2</v>
      </c>
      <c r="X9" s="85" t="s">
        <v>129</v>
      </c>
      <c r="Y9" s="88">
        <v>0.25173210161662818</v>
      </c>
      <c r="Z9" s="85" t="s">
        <v>185</v>
      </c>
      <c r="AA9" s="88">
        <v>0.21052631578947367</v>
      </c>
      <c r="AB9" s="85" t="s">
        <v>172</v>
      </c>
      <c r="AC9" s="88">
        <v>0.59405940594059403</v>
      </c>
      <c r="AD9" s="85" t="s">
        <v>171</v>
      </c>
      <c r="AE9" s="88">
        <v>0.35869565217391303</v>
      </c>
      <c r="AF9" s="85" t="s">
        <v>177</v>
      </c>
      <c r="AG9" s="88">
        <v>0.4375</v>
      </c>
      <c r="AH9" s="85" t="s">
        <v>173</v>
      </c>
      <c r="AI9" s="92">
        <v>85900</v>
      </c>
    </row>
    <row r="10" spans="1:35" x14ac:dyDescent="0.4">
      <c r="A10" s="82">
        <v>8</v>
      </c>
      <c r="B10" s="83" t="s">
        <v>225</v>
      </c>
      <c r="C10" s="84">
        <v>-37</v>
      </c>
      <c r="D10" s="85" t="s">
        <v>202</v>
      </c>
      <c r="E10" s="97">
        <v>-3.2200000000000011</v>
      </c>
      <c r="F10" s="85" t="s">
        <v>177</v>
      </c>
      <c r="G10" s="86">
        <v>2.0714285714285716</v>
      </c>
      <c r="H10" s="85" t="s">
        <v>128</v>
      </c>
      <c r="I10" s="87">
        <v>0.27619047619047621</v>
      </c>
      <c r="J10" s="85" t="s">
        <v>171</v>
      </c>
      <c r="K10" s="87">
        <v>0.35</v>
      </c>
      <c r="L10" s="85" t="s">
        <v>171</v>
      </c>
      <c r="M10" s="88">
        <v>0.27058823529411763</v>
      </c>
      <c r="N10" s="85" t="s">
        <v>177</v>
      </c>
      <c r="O10" s="88">
        <v>0.17446808510638298</v>
      </c>
      <c r="P10" s="85" t="s">
        <v>202</v>
      </c>
      <c r="Q10" s="89">
        <v>8425</v>
      </c>
      <c r="R10" s="85" t="s">
        <v>145</v>
      </c>
      <c r="S10" s="89">
        <v>-8069.5852534562209</v>
      </c>
      <c r="T10" s="85" t="s">
        <v>173</v>
      </c>
      <c r="U10" s="87">
        <v>0.10256410256410256</v>
      </c>
      <c r="V10" s="85" t="s">
        <v>177</v>
      </c>
      <c r="W10" s="87">
        <v>0</v>
      </c>
      <c r="X10" s="85" t="s">
        <v>202</v>
      </c>
      <c r="Y10" s="88">
        <v>0.24</v>
      </c>
      <c r="Z10" s="85" t="s">
        <v>186</v>
      </c>
      <c r="AA10" s="88">
        <v>0.2</v>
      </c>
      <c r="AB10" s="85" t="s">
        <v>128</v>
      </c>
      <c r="AC10" s="88">
        <v>0.5938697318007663</v>
      </c>
      <c r="AD10" s="85" t="s">
        <v>173</v>
      </c>
      <c r="AE10" s="88">
        <v>0.3411764705882353</v>
      </c>
      <c r="AF10" s="85" t="s">
        <v>145</v>
      </c>
      <c r="AG10" s="88">
        <v>0.43627031650983744</v>
      </c>
      <c r="AH10" s="85" t="s">
        <v>177</v>
      </c>
      <c r="AI10" s="92">
        <v>67500</v>
      </c>
    </row>
    <row r="11" spans="1:35" x14ac:dyDescent="0.4">
      <c r="A11" s="82">
        <v>9</v>
      </c>
      <c r="B11" s="83" t="s">
        <v>186</v>
      </c>
      <c r="C11" s="84">
        <v>-197.5</v>
      </c>
      <c r="D11" s="85" t="s">
        <v>173</v>
      </c>
      <c r="E11" s="97">
        <v>-5.7410256410256411</v>
      </c>
      <c r="F11" s="85" t="s">
        <v>128</v>
      </c>
      <c r="G11" s="86">
        <v>2.0761904761904764</v>
      </c>
      <c r="H11" s="85" t="s">
        <v>171</v>
      </c>
      <c r="I11" s="87">
        <v>0.26666666666666666</v>
      </c>
      <c r="J11" s="85" t="s">
        <v>128</v>
      </c>
      <c r="K11" s="87">
        <v>0.35238095238095241</v>
      </c>
      <c r="L11" s="85" t="s">
        <v>185</v>
      </c>
      <c r="M11" s="88">
        <v>0.26315789473684209</v>
      </c>
      <c r="N11" s="85" t="s">
        <v>173</v>
      </c>
      <c r="O11" s="88">
        <v>0.19005847953216373</v>
      </c>
      <c r="P11" s="85" t="s">
        <v>185</v>
      </c>
      <c r="Q11" s="89">
        <v>7860</v>
      </c>
      <c r="R11" s="85" t="s">
        <v>127</v>
      </c>
      <c r="S11" s="89">
        <v>-8145.6692913385823</v>
      </c>
      <c r="T11" s="85" t="s">
        <v>145</v>
      </c>
      <c r="U11" s="87">
        <v>0.10606060606060606</v>
      </c>
      <c r="V11" s="85" t="s">
        <v>186</v>
      </c>
      <c r="W11" s="87">
        <v>0</v>
      </c>
      <c r="X11" s="85" t="s">
        <v>173</v>
      </c>
      <c r="Y11" s="88">
        <v>0.23391812865497075</v>
      </c>
      <c r="Z11" s="85" t="s">
        <v>128</v>
      </c>
      <c r="AA11" s="88">
        <v>0.18459796149490373</v>
      </c>
      <c r="AB11" s="85" t="s">
        <v>145</v>
      </c>
      <c r="AC11" s="88">
        <v>0.59322033898305082</v>
      </c>
      <c r="AD11" s="85" t="s">
        <v>202</v>
      </c>
      <c r="AE11" s="88">
        <v>0.30769230769230771</v>
      </c>
      <c r="AF11" s="85" t="s">
        <v>128</v>
      </c>
      <c r="AG11" s="88">
        <v>0.42386831275720166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173</v>
      </c>
      <c r="C12" s="84">
        <v>-223.9</v>
      </c>
      <c r="D12" s="85" t="s">
        <v>177</v>
      </c>
      <c r="E12" s="97">
        <v>-8</v>
      </c>
      <c r="F12" s="85" t="s">
        <v>171</v>
      </c>
      <c r="G12" s="86">
        <v>2.0833333333333335</v>
      </c>
      <c r="H12" s="85" t="s">
        <v>129</v>
      </c>
      <c r="I12" s="87">
        <v>0.24528301886792453</v>
      </c>
      <c r="J12" s="85" t="s">
        <v>177</v>
      </c>
      <c r="K12" s="87">
        <v>0.39285714285714285</v>
      </c>
      <c r="L12" s="85" t="s">
        <v>202</v>
      </c>
      <c r="M12" s="88">
        <v>0.24</v>
      </c>
      <c r="N12" s="85" t="s">
        <v>129</v>
      </c>
      <c r="O12" s="88">
        <v>0.19861431870669746</v>
      </c>
      <c r="P12" s="85" t="s">
        <v>186</v>
      </c>
      <c r="Q12" s="89">
        <v>7365</v>
      </c>
      <c r="R12" s="85" t="s">
        <v>129</v>
      </c>
      <c r="S12" s="89">
        <v>-8963.9534883720935</v>
      </c>
      <c r="T12" s="85" t="s">
        <v>128</v>
      </c>
      <c r="U12" s="87">
        <v>0.13333333333333333</v>
      </c>
      <c r="V12" s="85" t="s">
        <v>185</v>
      </c>
      <c r="W12" s="87">
        <v>0</v>
      </c>
      <c r="X12" s="85" t="s">
        <v>224</v>
      </c>
      <c r="Y12" s="88">
        <v>0.23076923076923078</v>
      </c>
      <c r="Z12" s="85" t="s">
        <v>171</v>
      </c>
      <c r="AA12" s="88">
        <v>0.1803921568627451</v>
      </c>
      <c r="AB12" s="85" t="s">
        <v>202</v>
      </c>
      <c r="AC12" s="88">
        <v>0.58333333333333337</v>
      </c>
      <c r="AD12" s="85" t="s">
        <v>128</v>
      </c>
      <c r="AE12" s="88">
        <v>0.2822085889570552</v>
      </c>
      <c r="AF12" s="85" t="s">
        <v>172</v>
      </c>
      <c r="AG12" s="88">
        <v>0.42011834319526625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177</v>
      </c>
      <c r="C13" s="84">
        <v>-224</v>
      </c>
      <c r="D13" s="85" t="s">
        <v>129</v>
      </c>
      <c r="E13" s="97">
        <v>-15.918867924528298</v>
      </c>
      <c r="F13" s="85" t="s">
        <v>129</v>
      </c>
      <c r="G13" s="86">
        <v>2.2452830188679247</v>
      </c>
      <c r="H13" s="85" t="s">
        <v>202</v>
      </c>
      <c r="I13" s="87">
        <v>0.2</v>
      </c>
      <c r="J13" s="85" t="s">
        <v>129</v>
      </c>
      <c r="K13" s="87">
        <v>0.49056603773584906</v>
      </c>
      <c r="L13" s="85" t="s">
        <v>186</v>
      </c>
      <c r="M13" s="88">
        <v>0.23529411764705882</v>
      </c>
      <c r="N13" s="85" t="s">
        <v>202</v>
      </c>
      <c r="O13" s="88">
        <v>0.2</v>
      </c>
      <c r="P13" s="85" t="s">
        <v>177</v>
      </c>
      <c r="Q13" s="89">
        <v>7217.1875</v>
      </c>
      <c r="R13" s="85" t="s">
        <v>172</v>
      </c>
      <c r="S13" s="89">
        <v>-9157.377049180328</v>
      </c>
      <c r="T13" s="85" t="s">
        <v>129</v>
      </c>
      <c r="U13" s="87">
        <v>0.18867924528301888</v>
      </c>
      <c r="V13" s="85" t="s">
        <v>202</v>
      </c>
      <c r="W13" s="87">
        <v>0</v>
      </c>
      <c r="X13" s="85" t="s">
        <v>172</v>
      </c>
      <c r="Y13" s="88">
        <v>0.2205240174672489</v>
      </c>
      <c r="Z13" s="85" t="s">
        <v>129</v>
      </c>
      <c r="AA13" s="88">
        <v>0.15704387990762125</v>
      </c>
      <c r="AB13" s="85" t="s">
        <v>186</v>
      </c>
      <c r="AC13" s="88">
        <v>0.55555555555555558</v>
      </c>
      <c r="AD13" s="85" t="s">
        <v>129</v>
      </c>
      <c r="AE13" s="88">
        <v>0.25</v>
      </c>
      <c r="AF13" s="85" t="s">
        <v>127</v>
      </c>
      <c r="AG13" s="88">
        <v>0.41853035143769968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-298.80000000000007</v>
      </c>
      <c r="D14" s="85" t="s">
        <v>186</v>
      </c>
      <c r="E14" s="97">
        <v>-19.75</v>
      </c>
      <c r="F14" s="85" t="s">
        <v>186</v>
      </c>
      <c r="G14" s="86">
        <v>2.2999999999999998</v>
      </c>
      <c r="H14" s="85" t="s">
        <v>224</v>
      </c>
      <c r="I14" s="87">
        <v>0</v>
      </c>
      <c r="J14" s="85" t="s">
        <v>186</v>
      </c>
      <c r="K14" s="87">
        <v>0.6</v>
      </c>
      <c r="L14" s="85" t="s">
        <v>129</v>
      </c>
      <c r="M14" s="88">
        <v>0.22401847575057737</v>
      </c>
      <c r="N14" s="85" t="s">
        <v>186</v>
      </c>
      <c r="O14" s="88">
        <v>0.27058823529411763</v>
      </c>
      <c r="P14" s="85" t="s">
        <v>173</v>
      </c>
      <c r="Q14" s="89">
        <v>6838.8349514563106</v>
      </c>
      <c r="R14" s="85" t="s">
        <v>224</v>
      </c>
      <c r="S14" s="89">
        <v>-12000</v>
      </c>
      <c r="T14" s="85" t="s">
        <v>186</v>
      </c>
      <c r="U14" s="87">
        <v>0.2</v>
      </c>
      <c r="V14" s="85" t="s">
        <v>224</v>
      </c>
      <c r="W14" s="87">
        <v>0</v>
      </c>
      <c r="X14" s="85" t="s">
        <v>186</v>
      </c>
      <c r="Y14" s="88">
        <v>0.21176470588235294</v>
      </c>
      <c r="Z14" s="85" t="s">
        <v>225</v>
      </c>
      <c r="AA14" s="88">
        <v>0.125</v>
      </c>
      <c r="AB14" s="85" t="s">
        <v>129</v>
      </c>
      <c r="AC14" s="88">
        <v>0.52293577981651373</v>
      </c>
      <c r="AD14" s="85" t="s">
        <v>224</v>
      </c>
      <c r="AE14" s="88">
        <v>0</v>
      </c>
      <c r="AF14" s="85" t="s">
        <v>171</v>
      </c>
      <c r="AG14" s="88">
        <v>0.40579710144927539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-843.69999999999982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6523.0769230769229</v>
      </c>
      <c r="R15" s="85" t="s">
        <v>225</v>
      </c>
      <c r="S15" s="89">
        <v>-14000</v>
      </c>
      <c r="T15" s="85" t="s">
        <v>177</v>
      </c>
      <c r="U15" s="87">
        <v>0.21428571428571427</v>
      </c>
      <c r="V15" s="85" t="s">
        <v>225</v>
      </c>
      <c r="W15" s="87">
        <v>0</v>
      </c>
      <c r="X15" s="85" t="s">
        <v>177</v>
      </c>
      <c r="Y15" s="88">
        <v>0.20851063829787234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23C51-A098-44F2-ACD9-550235C7B768}">
  <sheetPr codeName="Sheet4"/>
  <dimension ref="A1:Q46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462</v>
      </c>
      <c r="C2" s="147"/>
      <c r="E2" s="62" t="s">
        <v>67</v>
      </c>
      <c r="F2" s="59" t="s">
        <v>23</v>
      </c>
      <c r="G2" s="46">
        <v>859</v>
      </c>
      <c r="H2" s="132">
        <f>IF(B$17=0,0,G2/B$17)</f>
        <v>0.73481608212147131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-17.316017316017316</v>
      </c>
      <c r="P2" s="118">
        <v>462</v>
      </c>
      <c r="Q2" s="102">
        <v>-8000</v>
      </c>
    </row>
    <row r="3" spans="1:17" x14ac:dyDescent="0.4">
      <c r="A3" s="55" t="s">
        <v>8</v>
      </c>
      <c r="B3" s="148">
        <v>3885</v>
      </c>
      <c r="C3" s="149"/>
      <c r="E3" s="63" t="s">
        <v>65</v>
      </c>
      <c r="F3" s="60" t="s">
        <v>21</v>
      </c>
      <c r="G3" s="47">
        <v>604</v>
      </c>
      <c r="H3" s="133">
        <f>IF(B$17=0,0,G3/B$17)</f>
        <v>0.51668092386655262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-8.7145969498910674</v>
      </c>
      <c r="P3" s="119">
        <v>459</v>
      </c>
      <c r="Q3" s="103">
        <v>-4000</v>
      </c>
    </row>
    <row r="4" spans="1:17" x14ac:dyDescent="0.4">
      <c r="A4" s="55" t="s">
        <v>6</v>
      </c>
      <c r="B4" s="150">
        <v>7.1054273576010019E-15</v>
      </c>
      <c r="C4" s="151"/>
      <c r="E4" s="63" t="s">
        <v>73</v>
      </c>
      <c r="F4" s="60" t="s">
        <v>28</v>
      </c>
      <c r="G4" s="47">
        <v>589</v>
      </c>
      <c r="H4" s="133">
        <f>IF(B$17=0,0,G4/B$17)</f>
        <v>0.5038494439692045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0"/>
        <v>13.793103448275861</v>
      </c>
      <c r="P4" s="119">
        <v>435</v>
      </c>
      <c r="Q4" s="103">
        <v>6000</v>
      </c>
    </row>
    <row r="5" spans="1:17" x14ac:dyDescent="0.4">
      <c r="A5" s="55" t="s">
        <v>7</v>
      </c>
      <c r="B5" s="152">
        <f>IF(B$2=0,0,B$4/B$2)</f>
        <v>1.5379712895240264E-17</v>
      </c>
      <c r="C5" s="153"/>
      <c r="E5" s="63" t="s">
        <v>181</v>
      </c>
      <c r="F5" s="60" t="s">
        <v>182</v>
      </c>
      <c r="G5" s="47">
        <v>477</v>
      </c>
      <c r="H5" s="133">
        <f>IF(B$17=0,0,G5/B$17)</f>
        <v>0.40804106073567153</v>
      </c>
      <c r="I5" s="94">
        <v>7</v>
      </c>
      <c r="K5" s="38">
        <v>3</v>
      </c>
      <c r="L5" s="99">
        <v>0</v>
      </c>
      <c r="N5" s="115" t="s">
        <v>135</v>
      </c>
      <c r="O5" s="122">
        <f t="shared" si="0"/>
        <v>10.256410256410257</v>
      </c>
      <c r="P5" s="119">
        <v>390</v>
      </c>
      <c r="Q5" s="103">
        <v>4000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68</v>
      </c>
      <c r="F6" s="60" t="s">
        <v>24</v>
      </c>
      <c r="G6" s="47">
        <v>361</v>
      </c>
      <c r="H6" s="133">
        <f>IF(B$17=0,0,G6/B$17)</f>
        <v>0.30881094952951238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-11.204481792717086</v>
      </c>
      <c r="P6" s="119">
        <v>357</v>
      </c>
      <c r="Q6" s="103">
        <v>-4000</v>
      </c>
    </row>
    <row r="7" spans="1:17" x14ac:dyDescent="0.4">
      <c r="A7" s="55" t="s">
        <v>2</v>
      </c>
      <c r="B7" s="47">
        <v>154</v>
      </c>
      <c r="C7" s="39">
        <f>IF(B$2=0,0,B7/B$2)</f>
        <v>0.33333333333333331</v>
      </c>
      <c r="E7" s="63" t="s">
        <v>69</v>
      </c>
      <c r="F7" s="60" t="s">
        <v>12</v>
      </c>
      <c r="G7" s="47">
        <v>360</v>
      </c>
      <c r="H7" s="133">
        <f>IF(B$17=0,0,G7/B$17)</f>
        <v>0.30795551753635586</v>
      </c>
      <c r="I7" s="94">
        <v>7</v>
      </c>
      <c r="K7" s="38">
        <v>5</v>
      </c>
      <c r="L7" s="99">
        <v>-37</v>
      </c>
      <c r="N7" s="116" t="s">
        <v>137</v>
      </c>
      <c r="O7" s="123">
        <f t="shared" si="0"/>
        <v>18.348623853211009</v>
      </c>
      <c r="P7" s="120">
        <v>327</v>
      </c>
      <c r="Q7" s="104">
        <v>6000</v>
      </c>
    </row>
    <row r="8" spans="1:17" x14ac:dyDescent="0.4">
      <c r="A8" s="55" t="s">
        <v>3</v>
      </c>
      <c r="B8" s="47">
        <v>154</v>
      </c>
      <c r="C8" s="39">
        <f>IF(B$2=0,0,B8/B$2)</f>
        <v>0.33333333333333331</v>
      </c>
      <c r="E8" s="63" t="s">
        <v>70</v>
      </c>
      <c r="F8" s="60" t="s">
        <v>25</v>
      </c>
      <c r="G8" s="47">
        <v>222</v>
      </c>
      <c r="H8" s="133">
        <f>IF(B$17=0,0,G8/B$17)</f>
        <v>0.18990590248075279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154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142</v>
      </c>
      <c r="H9" s="133">
        <f>IF(B$17=0,0,G9/B$17)</f>
        <v>0.12147134302822926</v>
      </c>
      <c r="I9" s="94">
        <v>4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49</v>
      </c>
      <c r="C10" s="40">
        <f>IF(B$2=0,0,B10/B$2)</f>
        <v>0.10606060606060606</v>
      </c>
      <c r="E10" s="63" t="s">
        <v>90</v>
      </c>
      <c r="F10" s="60" t="s">
        <v>45</v>
      </c>
      <c r="G10" s="47">
        <v>138</v>
      </c>
      <c r="H10" s="133">
        <f>IF(B$17=0,0,G10/B$17)</f>
        <v>0.11804961505560307</v>
      </c>
      <c r="I10" s="94">
        <v>7</v>
      </c>
      <c r="K10" s="38">
        <v>8</v>
      </c>
      <c r="L10" s="99">
        <v>19.699999999999996</v>
      </c>
      <c r="N10" s="114" t="s">
        <v>164</v>
      </c>
      <c r="O10" s="124">
        <f>IF(P10=0,0,Q10/P10)</f>
        <v>-3.0246753246753246</v>
      </c>
      <c r="P10" s="118">
        <v>154</v>
      </c>
      <c r="Q10" s="106">
        <v>-465.8</v>
      </c>
    </row>
    <row r="11" spans="1:17" x14ac:dyDescent="0.4">
      <c r="A11" s="56" t="s">
        <v>140</v>
      </c>
      <c r="B11" s="48">
        <v>49</v>
      </c>
      <c r="C11" s="40">
        <f>IF(B$2=0,0,B11/B$2)</f>
        <v>0.10606060606060606</v>
      </c>
      <c r="E11" s="63" t="s">
        <v>71</v>
      </c>
      <c r="F11" s="60" t="s">
        <v>26</v>
      </c>
      <c r="G11" s="47">
        <v>123</v>
      </c>
      <c r="H11" s="133">
        <f>IF(B$17=0,0,G11/B$17)</f>
        <v>0.10521813515825491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1.4935064935063995E-2</v>
      </c>
      <c r="P11" s="119">
        <v>154</v>
      </c>
      <c r="Q11" s="107">
        <v>2.299999999999855</v>
      </c>
    </row>
    <row r="12" spans="1:17" x14ac:dyDescent="0.4">
      <c r="A12" s="57" t="s">
        <v>160</v>
      </c>
      <c r="B12" s="49">
        <v>40</v>
      </c>
      <c r="C12" s="42">
        <f>IF(B$2=0,0,B12/B$2)</f>
        <v>8.6580086580086577E-2</v>
      </c>
      <c r="E12" s="63" t="s">
        <v>72</v>
      </c>
      <c r="F12" s="60" t="s">
        <v>27</v>
      </c>
      <c r="G12" s="47">
        <v>79</v>
      </c>
      <c r="H12" s="133">
        <f>IF(B$17=0,0,G12/B$17)</f>
        <v>6.7579127459366978E-2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3.0097402597402594</v>
      </c>
      <c r="P12" s="120">
        <v>154</v>
      </c>
      <c r="Q12" s="108">
        <v>463.49999999999994</v>
      </c>
    </row>
    <row r="13" spans="1:17" x14ac:dyDescent="0.4">
      <c r="A13" s="58" t="s">
        <v>122</v>
      </c>
      <c r="B13" s="50">
        <v>1062</v>
      </c>
      <c r="C13" s="44">
        <f>IF(B$3=0,0,B13/B$3)</f>
        <v>0.27335907335907333</v>
      </c>
      <c r="E13" s="63" t="s">
        <v>87</v>
      </c>
      <c r="F13" s="60" t="s">
        <v>42</v>
      </c>
      <c r="G13" s="47">
        <v>66</v>
      </c>
      <c r="H13" s="133">
        <f>IF(B$17=0,0,G13/B$17)</f>
        <v>5.6458511548331911E-2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824</v>
      </c>
      <c r="C14" s="39">
        <f>IF(B$3=0,0,B14/B$3)</f>
        <v>0.21209781209781209</v>
      </c>
      <c r="E14" s="63" t="s">
        <v>84</v>
      </c>
      <c r="F14" s="60" t="s">
        <v>39</v>
      </c>
      <c r="G14" s="47">
        <v>52</v>
      </c>
      <c r="H14" s="133">
        <f>IF(B$17=0,0,G14/B$17)</f>
        <v>4.448246364414029E-2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630</v>
      </c>
      <c r="C15" s="37">
        <f>IF(B$13=0,0,B15/B$13)</f>
        <v>0.59322033898305082</v>
      </c>
      <c r="E15" s="63" t="s">
        <v>82</v>
      </c>
      <c r="F15" s="60" t="s">
        <v>37</v>
      </c>
      <c r="G15" s="47">
        <v>35</v>
      </c>
      <c r="H15" s="133">
        <f>IF(B$17=0,0,G15/B$17)</f>
        <v>2.9940119760479042E-2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316</v>
      </c>
      <c r="C16" s="37">
        <f>IF(B$14=0,0,B16/B$14)</f>
        <v>0.38349514563106796</v>
      </c>
      <c r="E16" s="63" t="s">
        <v>79</v>
      </c>
      <c r="F16" s="60" t="s">
        <v>34</v>
      </c>
      <c r="G16" s="47">
        <v>25</v>
      </c>
      <c r="H16" s="133">
        <f>IF(B$17=0,0,G16/B$17)</f>
        <v>2.1385799828913601E-2</v>
      </c>
      <c r="I16" s="94">
        <v>4</v>
      </c>
      <c r="K16" s="38">
        <v>14</v>
      </c>
      <c r="L16" s="99">
        <v>18.79999999999999</v>
      </c>
      <c r="N16" s="115" t="s">
        <v>186</v>
      </c>
      <c r="O16" s="125">
        <f>IF(P16=0,0,Q16/P16)</f>
        <v>29.625</v>
      </c>
      <c r="P16" s="119">
        <v>20</v>
      </c>
      <c r="Q16" s="107">
        <v>592.5</v>
      </c>
    </row>
    <row r="17" spans="1:17" x14ac:dyDescent="0.4">
      <c r="A17" s="54" t="s">
        <v>10</v>
      </c>
      <c r="B17" s="46">
        <f>B19+B18</f>
        <v>1169</v>
      </c>
      <c r="C17" s="37">
        <f>IF(B$3=0,0,B17/B$3)</f>
        <v>0.30090090090090088</v>
      </c>
      <c r="E17" s="63" t="s">
        <v>92</v>
      </c>
      <c r="F17" s="60" t="s">
        <v>47</v>
      </c>
      <c r="G17" s="47">
        <v>20</v>
      </c>
      <c r="H17" s="133">
        <f>IF(B$17=0,0,G17/B$17)</f>
        <v>1.7108639863130881E-2</v>
      </c>
      <c r="I17" s="94">
        <v>3</v>
      </c>
      <c r="K17" s="38">
        <v>15</v>
      </c>
      <c r="L17" s="99">
        <v>-1.0658141036401503E-14</v>
      </c>
      <c r="N17" s="115" t="s">
        <v>129</v>
      </c>
      <c r="O17" s="125">
        <f>IF(P17=0,0,Q17/P17)</f>
        <v>23.878301886792464</v>
      </c>
      <c r="P17" s="119">
        <v>106</v>
      </c>
      <c r="Q17" s="107">
        <v>2531.1000000000013</v>
      </c>
    </row>
    <row r="18" spans="1:17" x14ac:dyDescent="0.4">
      <c r="A18" s="55" t="s">
        <v>12</v>
      </c>
      <c r="B18" s="47">
        <v>510</v>
      </c>
      <c r="C18" s="39">
        <f>IF(B$17=0,0,B18/B$17)</f>
        <v>0.43627031650983744</v>
      </c>
      <c r="E18" s="63" t="s">
        <v>80</v>
      </c>
      <c r="F18" s="60" t="s">
        <v>35</v>
      </c>
      <c r="G18" s="47">
        <v>17</v>
      </c>
      <c r="H18" s="133">
        <f>IF(B$17=0,0,G18/B$17)</f>
        <v>1.4542343883661249E-2</v>
      </c>
      <c r="I18" s="94">
        <v>4</v>
      </c>
      <c r="K18" s="38">
        <v>16</v>
      </c>
      <c r="L18" s="99">
        <v>90.899999999999991</v>
      </c>
      <c r="N18" s="115" t="s">
        <v>177</v>
      </c>
      <c r="O18" s="125">
        <f>IF(P18=0,0,Q18/P18)</f>
        <v>11.999999999999998</v>
      </c>
      <c r="P18" s="119">
        <v>56</v>
      </c>
      <c r="Q18" s="107">
        <v>671.99999999999989</v>
      </c>
    </row>
    <row r="19" spans="1:17" x14ac:dyDescent="0.4">
      <c r="A19" s="55" t="s">
        <v>11</v>
      </c>
      <c r="B19" s="47">
        <v>659</v>
      </c>
      <c r="C19" s="39">
        <f>IF(B$17=0,0,B19/B$17)</f>
        <v>0.5637296834901625</v>
      </c>
      <c r="E19" s="63" t="s">
        <v>180</v>
      </c>
      <c r="F19" s="60" t="s">
        <v>183</v>
      </c>
      <c r="G19" s="47">
        <v>17</v>
      </c>
      <c r="H19" s="133">
        <f>IF(B$17=0,0,G19/B$17)</f>
        <v>1.4542343883661249E-2</v>
      </c>
      <c r="I19" s="94">
        <v>3</v>
      </c>
      <c r="K19" s="38">
        <v>17</v>
      </c>
      <c r="L19" s="99">
        <v>8.2999999999999972</v>
      </c>
      <c r="N19" s="115" t="s">
        <v>173</v>
      </c>
      <c r="O19" s="125">
        <f>IF(P19=0,0,Q19/P19)</f>
        <v>8.6115384615384585</v>
      </c>
      <c r="P19" s="119">
        <v>78</v>
      </c>
      <c r="Q19" s="107">
        <v>671.69999999999982</v>
      </c>
    </row>
    <row r="20" spans="1:17" x14ac:dyDescent="0.4">
      <c r="A20" s="55" t="s">
        <v>13</v>
      </c>
      <c r="B20" s="47">
        <v>651</v>
      </c>
      <c r="C20" s="39">
        <f>IF(B$3=0,0,B20/B$3)</f>
        <v>0.16756756756756758</v>
      </c>
      <c r="E20" s="63" t="s">
        <v>74</v>
      </c>
      <c r="F20" s="60" t="s">
        <v>29</v>
      </c>
      <c r="G20" s="47">
        <v>7</v>
      </c>
      <c r="H20" s="133">
        <f>IF(B$17=0,0,G20/B$17)</f>
        <v>5.9880239520958087E-3</v>
      </c>
      <c r="I20" s="94">
        <v>5</v>
      </c>
      <c r="K20" s="38">
        <v>18</v>
      </c>
      <c r="L20" s="99">
        <v>-3.5527136788005009E-15</v>
      </c>
      <c r="N20" s="115" t="s">
        <v>202</v>
      </c>
      <c r="O20" s="125">
        <f>IF(P20=0,0,Q20/P20)</f>
        <v>4.8299999999999983</v>
      </c>
      <c r="P20" s="119">
        <v>10</v>
      </c>
      <c r="Q20" s="107">
        <v>48.299999999999983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7</v>
      </c>
      <c r="H21" s="133">
        <f>IF(B$17=0,0,G21/B$17)</f>
        <v>5.9880239520958087E-3</v>
      </c>
      <c r="I21" s="94">
        <v>5</v>
      </c>
      <c r="K21" s="38">
        <v>19</v>
      </c>
      <c r="L21" s="99">
        <v>30.999999999999996</v>
      </c>
      <c r="N21" s="115" t="s">
        <v>128</v>
      </c>
      <c r="O21" s="125">
        <f>IF(P21=0,0,Q21/P21)</f>
        <v>4.2685714285714278</v>
      </c>
      <c r="P21" s="119">
        <v>210</v>
      </c>
      <c r="Q21" s="107">
        <v>896.39999999999986</v>
      </c>
    </row>
    <row r="22" spans="1:17" x14ac:dyDescent="0.4">
      <c r="A22" s="55" t="s">
        <v>194</v>
      </c>
      <c r="B22" s="47">
        <v>31</v>
      </c>
      <c r="C22" s="135">
        <v>0</v>
      </c>
      <c r="E22" s="63" t="s">
        <v>75</v>
      </c>
      <c r="F22" s="60" t="s">
        <v>30</v>
      </c>
      <c r="G22" s="47">
        <v>4</v>
      </c>
      <c r="H22" s="133">
        <f>IF(B$17=0,0,G22/B$17)</f>
        <v>3.4217279726261761E-3</v>
      </c>
      <c r="I22" s="94">
        <v>4</v>
      </c>
      <c r="K22" s="38">
        <v>20</v>
      </c>
      <c r="L22" s="99">
        <v>0.79999999999999716</v>
      </c>
      <c r="N22" s="115" t="s">
        <v>171</v>
      </c>
      <c r="O22" s="125">
        <f>IF(P22=0,0,Q22/P22)</f>
        <v>-1.209999999999998</v>
      </c>
      <c r="P22" s="119">
        <v>120</v>
      </c>
      <c r="Q22" s="107">
        <v>-145.19999999999976</v>
      </c>
    </row>
    <row r="23" spans="1:17" x14ac:dyDescent="0.4">
      <c r="A23" s="55" t="s">
        <v>5</v>
      </c>
      <c r="B23" s="51">
        <f>IF(B$17=0,0,C23/B$17)</f>
        <v>8439.8631308810945</v>
      </c>
      <c r="C23" s="41">
        <v>9866200</v>
      </c>
      <c r="E23" s="63" t="s">
        <v>88</v>
      </c>
      <c r="F23" s="60" t="s">
        <v>43</v>
      </c>
      <c r="G23" s="47">
        <v>4</v>
      </c>
      <c r="H23" s="133">
        <f>IF(B$17=0,0,G23/B$17)</f>
        <v>3.4217279726261761E-3</v>
      </c>
      <c r="I23" s="94">
        <v>4</v>
      </c>
      <c r="K23" s="38">
        <v>21</v>
      </c>
      <c r="L23" s="99">
        <v>-2.886579864025407E-15</v>
      </c>
      <c r="N23" s="115" t="s">
        <v>172</v>
      </c>
      <c r="O23" s="125">
        <f>IF(P23=0,0,Q23/P23)</f>
        <v>-1.8452830188679263</v>
      </c>
      <c r="P23" s="119">
        <v>106</v>
      </c>
      <c r="Q23" s="107">
        <v>-195.60000000000019</v>
      </c>
    </row>
    <row r="24" spans="1:17" x14ac:dyDescent="0.4">
      <c r="A24" s="57" t="s">
        <v>14</v>
      </c>
      <c r="B24" s="52">
        <f>IF(B$20=0,0,C24/B$20)</f>
        <v>-8069.5852534562209</v>
      </c>
      <c r="C24" s="45">
        <v>-5253300</v>
      </c>
      <c r="E24" s="63" t="s">
        <v>93</v>
      </c>
      <c r="F24" s="60" t="s">
        <v>48</v>
      </c>
      <c r="G24" s="47">
        <v>4</v>
      </c>
      <c r="H24" s="133">
        <f>IF(B$17=0,0,G24/B$17)</f>
        <v>3.4217279726261761E-3</v>
      </c>
      <c r="I24" s="94">
        <v>3</v>
      </c>
      <c r="K24" s="38">
        <v>22</v>
      </c>
      <c r="L24" s="99">
        <v>23.699999999999996</v>
      </c>
      <c r="N24" s="115" t="s">
        <v>224</v>
      </c>
      <c r="O24" s="125">
        <f>IF(P24=0,0,Q24/P24)</f>
        <v>-19.950000000000003</v>
      </c>
      <c r="P24" s="119">
        <v>2</v>
      </c>
      <c r="Q24" s="107">
        <v>-39.900000000000006</v>
      </c>
    </row>
    <row r="25" spans="1:17" x14ac:dyDescent="0.4">
      <c r="A25" s="90" t="s">
        <v>142</v>
      </c>
      <c r="B25" s="140">
        <v>8</v>
      </c>
      <c r="C25" s="141"/>
      <c r="E25" s="63" t="s">
        <v>78</v>
      </c>
      <c r="F25" s="60" t="s">
        <v>33</v>
      </c>
      <c r="G25" s="47">
        <v>3</v>
      </c>
      <c r="H25" s="133">
        <f>IF(B$17=0,0,G25/B$17)</f>
        <v>2.5662959794696323E-3</v>
      </c>
      <c r="I25" s="94">
        <v>4</v>
      </c>
      <c r="K25" s="38">
        <v>23</v>
      </c>
      <c r="L25" s="99">
        <v>26.299999999999997</v>
      </c>
      <c r="N25" s="115" t="s">
        <v>127</v>
      </c>
      <c r="O25" s="125">
        <f>IF(P25=0,0,Q25/P25)</f>
        <v>-23.842788461538436</v>
      </c>
      <c r="P25" s="119">
        <v>208</v>
      </c>
      <c r="Q25" s="107">
        <v>-4959.2999999999947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3</v>
      </c>
      <c r="H26" s="133">
        <f>IF(B$17=0,0,G26/B$17)</f>
        <v>2.5662959794696323E-3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12</v>
      </c>
      <c r="C27" s="42">
        <f>IF(B$3=0,0,B27/B$3)</f>
        <v>3.0888030888030888E-3</v>
      </c>
      <c r="E27" s="63" t="s">
        <v>89</v>
      </c>
      <c r="F27" s="60" t="s">
        <v>44</v>
      </c>
      <c r="G27" s="47">
        <v>2</v>
      </c>
      <c r="H27" s="133">
        <f>IF(B$17=0,0,G27/B$17)</f>
        <v>1.710863986313088E-3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96</v>
      </c>
      <c r="F28" s="60" t="s">
        <v>51</v>
      </c>
      <c r="G28" s="47">
        <v>2</v>
      </c>
      <c r="H28" s="133">
        <f>IF(B$17=0,0,G28/B$17)</f>
        <v>1.710863986313088E-3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1</v>
      </c>
      <c r="H29" s="133">
        <f>IF(B$17=0,0,G29/B$17)</f>
        <v>8.5543199315654401E-4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86</v>
      </c>
      <c r="F30" s="60" t="s">
        <v>41</v>
      </c>
      <c r="G30" s="47">
        <v>1</v>
      </c>
      <c r="H30" s="133">
        <f>IF(B$17=0,0,G30/B$17)</f>
        <v>8.5543199315654401E-4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91</v>
      </c>
      <c r="F31" s="60" t="s">
        <v>46</v>
      </c>
      <c r="G31" s="47">
        <v>1</v>
      </c>
      <c r="H31" s="133">
        <f>IF(B$17=0,0,G31/B$17)</f>
        <v>8.5543199315654401E-4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-50.599999999999973</v>
      </c>
    </row>
    <row r="442" spans="11:12" x14ac:dyDescent="0.4">
      <c r="K442" s="38">
        <v>440</v>
      </c>
      <c r="L442" s="99">
        <v>-66.299999999999969</v>
      </c>
    </row>
    <row r="443" spans="11:12" x14ac:dyDescent="0.4">
      <c r="K443" s="38">
        <v>441</v>
      </c>
      <c r="L443" s="99">
        <v>2.8421709430404007E-14</v>
      </c>
    </row>
    <row r="444" spans="11:12" x14ac:dyDescent="0.4">
      <c r="K444" s="38">
        <v>442</v>
      </c>
      <c r="L444" s="99">
        <v>-57.39999999999997</v>
      </c>
    </row>
    <row r="445" spans="11:12" x14ac:dyDescent="0.4">
      <c r="K445" s="38">
        <v>443</v>
      </c>
      <c r="L445" s="99">
        <v>-11.39999999999997</v>
      </c>
    </row>
    <row r="446" spans="11:12" x14ac:dyDescent="0.4">
      <c r="K446" s="38">
        <v>444</v>
      </c>
      <c r="L446" s="99">
        <v>3.0198066269804258E-14</v>
      </c>
    </row>
    <row r="447" spans="11:12" x14ac:dyDescent="0.4">
      <c r="K447" s="38">
        <v>445</v>
      </c>
      <c r="L447" s="99">
        <v>34.300000000000026</v>
      </c>
    </row>
    <row r="448" spans="11:12" x14ac:dyDescent="0.4">
      <c r="K448" s="38">
        <v>446</v>
      </c>
      <c r="L448" s="99">
        <v>32.200000000000024</v>
      </c>
    </row>
    <row r="449" spans="11:12" x14ac:dyDescent="0.4">
      <c r="K449" s="38">
        <v>447</v>
      </c>
      <c r="L449" s="99">
        <v>2.1316282072803006E-14</v>
      </c>
    </row>
    <row r="450" spans="11:12" x14ac:dyDescent="0.4">
      <c r="K450" s="38">
        <v>448</v>
      </c>
      <c r="L450" s="99">
        <v>-56.199999999999982</v>
      </c>
    </row>
    <row r="451" spans="11:12" x14ac:dyDescent="0.4">
      <c r="K451" s="38">
        <v>449</v>
      </c>
      <c r="L451" s="99">
        <v>-14.59999999999998</v>
      </c>
    </row>
    <row r="452" spans="11:12" x14ac:dyDescent="0.4">
      <c r="K452" s="38">
        <v>450</v>
      </c>
      <c r="L452" s="99">
        <v>1.9539925233402755E-14</v>
      </c>
    </row>
    <row r="453" spans="11:12" x14ac:dyDescent="0.4">
      <c r="K453" s="38">
        <v>451</v>
      </c>
      <c r="L453" s="99">
        <v>69.600000000000009</v>
      </c>
    </row>
    <row r="454" spans="11:12" x14ac:dyDescent="0.4">
      <c r="K454" s="38">
        <v>452</v>
      </c>
      <c r="L454" s="99">
        <v>59.20000000000001</v>
      </c>
    </row>
    <row r="455" spans="11:12" x14ac:dyDescent="0.4">
      <c r="K455" s="38">
        <v>453</v>
      </c>
      <c r="L455" s="99">
        <v>7.1054273576010019E-15</v>
      </c>
    </row>
    <row r="456" spans="11:12" x14ac:dyDescent="0.4">
      <c r="K456" s="38">
        <v>454</v>
      </c>
      <c r="L456" s="99">
        <v>-18.699999999999992</v>
      </c>
    </row>
    <row r="457" spans="11:12" x14ac:dyDescent="0.4">
      <c r="K457" s="38">
        <v>455</v>
      </c>
      <c r="L457" s="99">
        <v>56.500000000000014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37.400000000000013</v>
      </c>
    </row>
    <row r="460" spans="11:12" x14ac:dyDescent="0.4">
      <c r="K460" s="38">
        <v>458</v>
      </c>
      <c r="L460" s="99">
        <v>6.8000000000000114</v>
      </c>
    </row>
    <row r="461" spans="11:12" x14ac:dyDescent="0.4">
      <c r="K461" s="38">
        <v>459</v>
      </c>
      <c r="L461" s="99">
        <v>1.1546319456101628E-14</v>
      </c>
    </row>
    <row r="462" spans="11:12" x14ac:dyDescent="0.4">
      <c r="K462" s="38">
        <v>460</v>
      </c>
      <c r="L462" s="99">
        <v>-6.0999999999999881</v>
      </c>
    </row>
    <row r="463" spans="11:12" x14ac:dyDescent="0.4">
      <c r="K463" s="38">
        <v>461</v>
      </c>
      <c r="L463" s="99">
        <v>38.70000000000001</v>
      </c>
    </row>
    <row r="464" spans="11:12" x14ac:dyDescent="0.4">
      <c r="K464" s="38">
        <v>462</v>
      </c>
      <c r="L464" s="99">
        <v>7.1054273576010019E-15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FB60-66E7-486B-B2F0-53838B2BD8F6}">
  <sheetPr codeName="Sheet7"/>
  <dimension ref="A1:Q10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104</v>
      </c>
      <c r="C2" s="147"/>
      <c r="E2" s="62" t="s">
        <v>67</v>
      </c>
      <c r="F2" s="59" t="s">
        <v>23</v>
      </c>
      <c r="G2" s="46">
        <v>227</v>
      </c>
      <c r="H2" s="132">
        <f>IF(B$17=0,0,G2/B$17)</f>
        <v>0.72523961661341851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2539.4230769230771</v>
      </c>
      <c r="P2" s="118">
        <v>104</v>
      </c>
      <c r="Q2" s="102">
        <v>264100</v>
      </c>
    </row>
    <row r="3" spans="1:17" x14ac:dyDescent="0.4">
      <c r="A3" s="55" t="s">
        <v>8</v>
      </c>
      <c r="B3" s="148">
        <v>849</v>
      </c>
      <c r="C3" s="149"/>
      <c r="E3" s="63" t="s">
        <v>73</v>
      </c>
      <c r="F3" s="60" t="s">
        <v>28</v>
      </c>
      <c r="G3" s="47">
        <v>168</v>
      </c>
      <c r="H3" s="133">
        <f>IF(B$17=0,0,G3/B$17)</f>
        <v>0.53674121405750796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1922.3300970873786</v>
      </c>
      <c r="P3" s="119">
        <v>103</v>
      </c>
      <c r="Q3" s="103">
        <v>198000</v>
      </c>
    </row>
    <row r="4" spans="1:17" x14ac:dyDescent="0.4">
      <c r="A4" s="55" t="s">
        <v>6</v>
      </c>
      <c r="B4" s="150">
        <v>1653.100000000001</v>
      </c>
      <c r="C4" s="151"/>
      <c r="E4" s="63" t="s">
        <v>65</v>
      </c>
      <c r="F4" s="60" t="s">
        <v>21</v>
      </c>
      <c r="G4" s="47">
        <v>158</v>
      </c>
      <c r="H4" s="133">
        <f>IF(B$17=0,0,G4/B$17)</f>
        <v>0.50479233226837061</v>
      </c>
      <c r="I4" s="94">
        <v>9</v>
      </c>
      <c r="K4" s="38">
        <v>2</v>
      </c>
      <c r="L4" s="99">
        <v>-2.8999999999999995</v>
      </c>
      <c r="N4" s="115" t="s">
        <v>134</v>
      </c>
      <c r="O4" s="122">
        <f t="shared" si="0"/>
        <v>2312.2448979591836</v>
      </c>
      <c r="P4" s="119">
        <v>98</v>
      </c>
      <c r="Q4" s="103">
        <v>226600</v>
      </c>
    </row>
    <row r="5" spans="1:17" x14ac:dyDescent="0.4">
      <c r="A5" s="55" t="s">
        <v>7</v>
      </c>
      <c r="B5" s="152">
        <f>IF(B$2=0,0,B$4/B$2)</f>
        <v>15.895192307692318</v>
      </c>
      <c r="C5" s="153"/>
      <c r="E5" s="63" t="s">
        <v>181</v>
      </c>
      <c r="F5" s="60" t="s">
        <v>182</v>
      </c>
      <c r="G5" s="47">
        <v>134</v>
      </c>
      <c r="H5" s="133">
        <f>IF(B$17=0,0,G5/B$17)</f>
        <v>0.4281150159744409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2486.3636363636365</v>
      </c>
      <c r="P5" s="119">
        <v>88</v>
      </c>
      <c r="Q5" s="103">
        <v>218800</v>
      </c>
    </row>
    <row r="6" spans="1:17" x14ac:dyDescent="0.4">
      <c r="A6" s="55" t="s">
        <v>1</v>
      </c>
      <c r="B6" s="142">
        <f>IF(B$2=0,0,(B$7*1+B$8*2+B$9*3)/B$2)</f>
        <v>1.6730769230769231</v>
      </c>
      <c r="C6" s="143"/>
      <c r="E6" s="63" t="s">
        <v>68</v>
      </c>
      <c r="F6" s="60" t="s">
        <v>24</v>
      </c>
      <c r="G6" s="47">
        <v>96</v>
      </c>
      <c r="H6" s="133">
        <f>IF(B$17=0,0,G6/B$17)</f>
        <v>0.30670926517571884</v>
      </c>
      <c r="I6" s="94">
        <v>9</v>
      </c>
      <c r="K6" s="38">
        <v>4</v>
      </c>
      <c r="L6" s="99">
        <v>110.5</v>
      </c>
      <c r="N6" s="115" t="s">
        <v>136</v>
      </c>
      <c r="O6" s="122">
        <f t="shared" si="0"/>
        <v>-6.3291139240506329</v>
      </c>
      <c r="P6" s="119">
        <v>79</v>
      </c>
      <c r="Q6" s="103">
        <v>-500</v>
      </c>
    </row>
    <row r="7" spans="1:17" x14ac:dyDescent="0.4">
      <c r="A7" s="55" t="s">
        <v>2</v>
      </c>
      <c r="B7" s="47">
        <v>55</v>
      </c>
      <c r="C7" s="39">
        <f>IF(B$2=0,0,B7/B$2)</f>
        <v>0.52884615384615385</v>
      </c>
      <c r="E7" s="63" t="s">
        <v>69</v>
      </c>
      <c r="F7" s="60" t="s">
        <v>12</v>
      </c>
      <c r="G7" s="47">
        <v>82</v>
      </c>
      <c r="H7" s="133">
        <f>IF(B$17=0,0,G7/B$17)</f>
        <v>0.26198083067092653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387.32394366197184</v>
      </c>
      <c r="P7" s="120">
        <v>71</v>
      </c>
      <c r="Q7" s="104">
        <v>27500</v>
      </c>
    </row>
    <row r="8" spans="1:17" x14ac:dyDescent="0.4">
      <c r="A8" s="55" t="s">
        <v>3</v>
      </c>
      <c r="B8" s="47">
        <v>28</v>
      </c>
      <c r="C8" s="39">
        <f>IF(B$2=0,0,B8/B$2)</f>
        <v>0.26923076923076922</v>
      </c>
      <c r="E8" s="63" t="s">
        <v>70</v>
      </c>
      <c r="F8" s="60" t="s">
        <v>25</v>
      </c>
      <c r="G8" s="47">
        <v>59</v>
      </c>
      <c r="H8" s="133">
        <f>IF(B$17=0,0,G8/B$17)</f>
        <v>0.18849840255591055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0.20192307692307693</v>
      </c>
      <c r="E9" s="63" t="s">
        <v>90</v>
      </c>
      <c r="F9" s="60" t="s">
        <v>45</v>
      </c>
      <c r="G9" s="47">
        <v>49</v>
      </c>
      <c r="H9" s="133">
        <f>IF(B$17=0,0,G9/B$17)</f>
        <v>0.15654952076677317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7.6923076923076927E-2</v>
      </c>
      <c r="E10" s="63" t="s">
        <v>66</v>
      </c>
      <c r="F10" s="60" t="s">
        <v>22</v>
      </c>
      <c r="G10" s="47">
        <v>48</v>
      </c>
      <c r="H10" s="133">
        <f>IF(B$17=0,0,G10/B$17)</f>
        <v>0.15335463258785942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17.978125000000002</v>
      </c>
      <c r="P10" s="118">
        <v>32</v>
      </c>
      <c r="Q10" s="106">
        <v>575.30000000000007</v>
      </c>
    </row>
    <row r="11" spans="1:17" x14ac:dyDescent="0.4">
      <c r="A11" s="56" t="s">
        <v>140</v>
      </c>
      <c r="B11" s="48">
        <v>19</v>
      </c>
      <c r="C11" s="40">
        <f>IF(B$2=0,0,B11/B$2)</f>
        <v>0.18269230769230768</v>
      </c>
      <c r="E11" s="63" t="s">
        <v>71</v>
      </c>
      <c r="F11" s="60" t="s">
        <v>26</v>
      </c>
      <c r="G11" s="47">
        <v>32</v>
      </c>
      <c r="H11" s="133">
        <f>IF(B$17=0,0,G11/B$17)</f>
        <v>0.10223642172523961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12.603225806451611</v>
      </c>
      <c r="P11" s="119">
        <v>31</v>
      </c>
      <c r="Q11" s="107">
        <v>390.69999999999993</v>
      </c>
    </row>
    <row r="12" spans="1:17" x14ac:dyDescent="0.4">
      <c r="A12" s="57" t="s">
        <v>160</v>
      </c>
      <c r="B12" s="49">
        <v>17</v>
      </c>
      <c r="C12" s="42">
        <f>IF(B$2=0,0,B12/B$2)</f>
        <v>0.16346153846153846</v>
      </c>
      <c r="E12" s="63" t="s">
        <v>72</v>
      </c>
      <c r="F12" s="60" t="s">
        <v>27</v>
      </c>
      <c r="G12" s="47">
        <v>21</v>
      </c>
      <c r="H12" s="133">
        <f>IF(B$17=0,0,G12/B$17)</f>
        <v>6.7092651757188496E-2</v>
      </c>
      <c r="I12" s="94">
        <v>6</v>
      </c>
      <c r="K12" s="38">
        <v>10</v>
      </c>
      <c r="L12" s="99">
        <v>246.20000000000005</v>
      </c>
      <c r="N12" s="116" t="s">
        <v>166</v>
      </c>
      <c r="O12" s="126">
        <f>IF(P12=0,0,Q12/P12)</f>
        <v>16.758536585365857</v>
      </c>
      <c r="P12" s="120">
        <v>41</v>
      </c>
      <c r="Q12" s="108">
        <v>687.10000000000014</v>
      </c>
    </row>
    <row r="13" spans="1:17" x14ac:dyDescent="0.4">
      <c r="A13" s="58" t="s">
        <v>122</v>
      </c>
      <c r="B13" s="50">
        <v>282</v>
      </c>
      <c r="C13" s="44">
        <f>IF(B$3=0,0,B13/B$3)</f>
        <v>0.33215547703180209</v>
      </c>
      <c r="E13" s="63" t="s">
        <v>87</v>
      </c>
      <c r="F13" s="60" t="s">
        <v>42</v>
      </c>
      <c r="G13" s="47">
        <v>21</v>
      </c>
      <c r="H13" s="133">
        <f>IF(B$17=0,0,G13/B$17)</f>
        <v>6.7092651757188496E-2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192</v>
      </c>
      <c r="C14" s="39">
        <f>IF(B$3=0,0,B14/B$3)</f>
        <v>0.22614840989399293</v>
      </c>
      <c r="E14" s="63" t="s">
        <v>84</v>
      </c>
      <c r="F14" s="60" t="s">
        <v>39</v>
      </c>
      <c r="G14" s="47">
        <v>16</v>
      </c>
      <c r="H14" s="133">
        <f>IF(B$17=0,0,G14/B$17)</f>
        <v>5.1118210862619806E-2</v>
      </c>
      <c r="I14" s="94">
        <v>2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170</v>
      </c>
      <c r="C15" s="37">
        <f>IF(B$13=0,0,B15/B$13)</f>
        <v>0.6028368794326241</v>
      </c>
      <c r="E15" s="63" t="s">
        <v>82</v>
      </c>
      <c r="F15" s="60" t="s">
        <v>37</v>
      </c>
      <c r="G15" s="47">
        <v>11</v>
      </c>
      <c r="H15" s="133">
        <f>IF(B$17=0,0,G15/B$17)</f>
        <v>3.5143769968051117E-2</v>
      </c>
      <c r="I15" s="94">
        <v>5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99</v>
      </c>
      <c r="C16" s="37">
        <f>IF(B$14=0,0,B16/B$14)</f>
        <v>0.515625</v>
      </c>
      <c r="E16" s="63" t="s">
        <v>180</v>
      </c>
      <c r="F16" s="60" t="s">
        <v>183</v>
      </c>
      <c r="G16" s="47">
        <v>10</v>
      </c>
      <c r="H16" s="133">
        <f>IF(B$17=0,0,G16/B$17)</f>
        <v>3.1948881789137379E-2</v>
      </c>
      <c r="I16" s="94">
        <v>1</v>
      </c>
      <c r="K16" s="38">
        <v>14</v>
      </c>
      <c r="L16" s="99">
        <v>473.50000000000006</v>
      </c>
      <c r="N16" s="115" t="s">
        <v>186</v>
      </c>
      <c r="O16" s="125">
        <f>IF(P16=0,0,Q16/P16)</f>
        <v>42.43333333333333</v>
      </c>
      <c r="P16" s="119">
        <v>6</v>
      </c>
      <c r="Q16" s="107">
        <v>254.59999999999997</v>
      </c>
    </row>
    <row r="17" spans="1:17" x14ac:dyDescent="0.4">
      <c r="A17" s="54" t="s">
        <v>10</v>
      </c>
      <c r="B17" s="46">
        <f>B19+B18</f>
        <v>313</v>
      </c>
      <c r="C17" s="37">
        <f>IF(B$3=0,0,B17/B$3)</f>
        <v>0.36866902237926974</v>
      </c>
      <c r="E17" s="63" t="s">
        <v>79</v>
      </c>
      <c r="F17" s="60" t="s">
        <v>34</v>
      </c>
      <c r="G17" s="47">
        <v>6</v>
      </c>
      <c r="H17" s="133">
        <f>IF(B$17=0,0,G17/B$17)</f>
        <v>1.9169329073482427E-2</v>
      </c>
      <c r="I17" s="94">
        <v>7</v>
      </c>
      <c r="K17" s="38">
        <v>15</v>
      </c>
      <c r="L17" s="99">
        <v>481.50000000000006</v>
      </c>
      <c r="N17" s="115" t="s">
        <v>129</v>
      </c>
      <c r="O17" s="125">
        <f>IF(P17=0,0,Q17/P17)</f>
        <v>41.232258064516138</v>
      </c>
      <c r="P17" s="119">
        <v>31</v>
      </c>
      <c r="Q17" s="107">
        <v>1278.2000000000003</v>
      </c>
    </row>
    <row r="18" spans="1:17" x14ac:dyDescent="0.4">
      <c r="A18" s="55" t="s">
        <v>12</v>
      </c>
      <c r="B18" s="47">
        <v>131</v>
      </c>
      <c r="C18" s="39">
        <f>IF(B$17=0,0,B18/B$17)</f>
        <v>0.41853035143769968</v>
      </c>
      <c r="E18" s="63" t="s">
        <v>80</v>
      </c>
      <c r="F18" s="60" t="s">
        <v>35</v>
      </c>
      <c r="G18" s="47">
        <v>4</v>
      </c>
      <c r="H18" s="133">
        <f>IF(B$17=0,0,G18/B$17)</f>
        <v>1.2779552715654952E-2</v>
      </c>
      <c r="I18" s="94">
        <v>5</v>
      </c>
      <c r="K18" s="38">
        <v>16</v>
      </c>
      <c r="L18" s="99">
        <v>425.50000000000006</v>
      </c>
      <c r="N18" s="115" t="s">
        <v>177</v>
      </c>
      <c r="O18" s="125">
        <f>IF(P18=0,0,Q18/P18)</f>
        <v>41.15</v>
      </c>
      <c r="P18" s="119">
        <v>10</v>
      </c>
      <c r="Q18" s="107">
        <v>411.5</v>
      </c>
    </row>
    <row r="19" spans="1:17" x14ac:dyDescent="0.4">
      <c r="A19" s="55" t="s">
        <v>11</v>
      </c>
      <c r="B19" s="47">
        <v>182</v>
      </c>
      <c r="C19" s="39">
        <f>IF(B$17=0,0,B19/B$17)</f>
        <v>0.58146964856230032</v>
      </c>
      <c r="E19" s="63" t="s">
        <v>92</v>
      </c>
      <c r="F19" s="60" t="s">
        <v>47</v>
      </c>
      <c r="G19" s="47">
        <v>4</v>
      </c>
      <c r="H19" s="133">
        <f>IF(B$17=0,0,G19/B$17)</f>
        <v>1.2779552715654952E-2</v>
      </c>
      <c r="I19" s="94">
        <v>5</v>
      </c>
      <c r="K19" s="38">
        <v>17</v>
      </c>
      <c r="L19" s="99">
        <v>427.40000000000003</v>
      </c>
      <c r="N19" s="115" t="s">
        <v>224</v>
      </c>
      <c r="O19" s="125">
        <f>IF(P19=0,0,Q19/P19)</f>
        <v>29.599999999999998</v>
      </c>
      <c r="P19" s="119">
        <v>1</v>
      </c>
      <c r="Q19" s="107">
        <v>29.599999999999998</v>
      </c>
    </row>
    <row r="20" spans="1:17" x14ac:dyDescent="0.4">
      <c r="A20" s="55" t="s">
        <v>13</v>
      </c>
      <c r="B20" s="47">
        <v>127</v>
      </c>
      <c r="C20" s="39">
        <f>IF(B$3=0,0,B20/B$3)</f>
        <v>0.14958775029446408</v>
      </c>
      <c r="E20" s="63" t="s">
        <v>74</v>
      </c>
      <c r="F20" s="60" t="s">
        <v>29</v>
      </c>
      <c r="G20" s="47">
        <v>2</v>
      </c>
      <c r="H20" s="133">
        <f>IF(B$17=0,0,G20/B$17)</f>
        <v>6.3897763578274758E-3</v>
      </c>
      <c r="I20" s="94">
        <v>4</v>
      </c>
      <c r="K20" s="38">
        <v>18</v>
      </c>
      <c r="L20" s="99">
        <v>429.3</v>
      </c>
      <c r="N20" s="115" t="s">
        <v>202</v>
      </c>
      <c r="O20" s="125">
        <f>IF(P20=0,0,Q20/P20)</f>
        <v>23.1</v>
      </c>
      <c r="P20" s="119">
        <v>1</v>
      </c>
      <c r="Q20" s="107">
        <v>23.1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3.1948881789137379E-3</v>
      </c>
      <c r="I21" s="94">
        <v>6</v>
      </c>
      <c r="K21" s="38">
        <v>19</v>
      </c>
      <c r="L21" s="99">
        <v>405.40000000000003</v>
      </c>
      <c r="N21" s="115" t="s">
        <v>173</v>
      </c>
      <c r="O21" s="125">
        <f>IF(P21=0,0,Q21/P21)</f>
        <v>22.754999999999999</v>
      </c>
      <c r="P21" s="119">
        <v>20</v>
      </c>
      <c r="Q21" s="107">
        <v>455.09999999999997</v>
      </c>
    </row>
    <row r="22" spans="1:17" x14ac:dyDescent="0.4">
      <c r="A22" s="55" t="s">
        <v>194</v>
      </c>
      <c r="B22" s="47">
        <v>39</v>
      </c>
      <c r="C22" s="135">
        <v>2</v>
      </c>
      <c r="E22" s="63" t="s">
        <v>78</v>
      </c>
      <c r="F22" s="60" t="s">
        <v>33</v>
      </c>
      <c r="G22" s="47">
        <v>1</v>
      </c>
      <c r="H22" s="133">
        <f>IF(B$17=0,0,G22/B$17)</f>
        <v>3.1948881789137379E-3</v>
      </c>
      <c r="I22" s="94">
        <v>3</v>
      </c>
      <c r="K22" s="38">
        <v>20</v>
      </c>
      <c r="L22" s="99">
        <v>469.6</v>
      </c>
      <c r="N22" s="115" t="s">
        <v>172</v>
      </c>
      <c r="O22" s="125">
        <f>IF(P22=0,0,Q22/P22)</f>
        <v>21.879310344827591</v>
      </c>
      <c r="P22" s="119">
        <v>29</v>
      </c>
      <c r="Q22" s="107">
        <v>634.50000000000011</v>
      </c>
    </row>
    <row r="23" spans="1:17" x14ac:dyDescent="0.4">
      <c r="A23" s="55" t="s">
        <v>5</v>
      </c>
      <c r="B23" s="51">
        <f>IF(B$17=0,0,C23/B$17)</f>
        <v>9033.5463258785949</v>
      </c>
      <c r="C23" s="41">
        <v>2827500</v>
      </c>
      <c r="E23" s="63" t="s">
        <v>88</v>
      </c>
      <c r="F23" s="60" t="s">
        <v>43</v>
      </c>
      <c r="G23" s="47">
        <v>1</v>
      </c>
      <c r="H23" s="133">
        <f>IF(B$17=0,0,G23/B$17)</f>
        <v>3.1948881789137379E-3</v>
      </c>
      <c r="I23" s="94">
        <v>5</v>
      </c>
      <c r="K23" s="38">
        <v>21</v>
      </c>
      <c r="L23" s="99">
        <v>468.3</v>
      </c>
      <c r="N23" s="115" t="s">
        <v>128</v>
      </c>
      <c r="O23" s="125">
        <f>IF(P23=0,0,Q23/P23)</f>
        <v>20.25616438356165</v>
      </c>
      <c r="P23" s="119">
        <v>73</v>
      </c>
      <c r="Q23" s="107">
        <v>1478.7000000000005</v>
      </c>
    </row>
    <row r="24" spans="1:17" x14ac:dyDescent="0.4">
      <c r="A24" s="57" t="s">
        <v>14</v>
      </c>
      <c r="B24" s="52">
        <f>IF(B$20=0,0,C24/B$20)</f>
        <v>-8145.6692913385823</v>
      </c>
      <c r="C24" s="45">
        <v>-1034500</v>
      </c>
      <c r="E24" s="63" t="s">
        <v>91</v>
      </c>
      <c r="F24" s="60" t="s">
        <v>46</v>
      </c>
      <c r="G24" s="47">
        <v>1</v>
      </c>
      <c r="H24" s="133">
        <f>IF(B$17=0,0,G24/B$17)</f>
        <v>3.1948881789137379E-3</v>
      </c>
      <c r="I24" s="94">
        <v>1</v>
      </c>
      <c r="K24" s="38">
        <v>22</v>
      </c>
      <c r="L24" s="99">
        <v>519.20000000000005</v>
      </c>
      <c r="N24" s="115" t="s">
        <v>171</v>
      </c>
      <c r="O24" s="125">
        <f>IF(P24=0,0,Q24/P24)</f>
        <v>9.0222222222222186</v>
      </c>
      <c r="P24" s="119">
        <v>36</v>
      </c>
      <c r="Q24" s="107">
        <v>324.79999999999984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3.1948881789137379E-3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3.1948881789137379E-3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3.1948881789137379E-3</v>
      </c>
      <c r="I27" s="94">
        <v>2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D009D-6D1A-453A-98CF-BC161055177C}">
  <sheetPr codeName="Sheet9"/>
  <dimension ref="A1:Q10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105</v>
      </c>
      <c r="C2" s="147"/>
      <c r="E2" s="62" t="s">
        <v>67</v>
      </c>
      <c r="F2" s="59" t="s">
        <v>23</v>
      </c>
      <c r="G2" s="46">
        <v>187</v>
      </c>
      <c r="H2" s="132">
        <f>IF(B$17=0,0,G2/B$17)</f>
        <v>0.76954732510288071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495.23809523809524</v>
      </c>
      <c r="P2" s="118">
        <v>105</v>
      </c>
      <c r="Q2" s="102">
        <v>52000</v>
      </c>
    </row>
    <row r="3" spans="1:17" x14ac:dyDescent="0.4">
      <c r="A3" s="55" t="s">
        <v>8</v>
      </c>
      <c r="B3" s="148">
        <v>883</v>
      </c>
      <c r="C3" s="149"/>
      <c r="E3" s="63" t="s">
        <v>65</v>
      </c>
      <c r="F3" s="60" t="s">
        <v>21</v>
      </c>
      <c r="G3" s="47">
        <v>147</v>
      </c>
      <c r="H3" s="133">
        <f>IF(B$17=0,0,G3/B$17)</f>
        <v>0.60493827160493829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-2429.8076923076924</v>
      </c>
      <c r="P3" s="119">
        <v>104</v>
      </c>
      <c r="Q3" s="103">
        <v>-252700</v>
      </c>
    </row>
    <row r="4" spans="1:17" x14ac:dyDescent="0.4">
      <c r="A4" s="55" t="s">
        <v>6</v>
      </c>
      <c r="B4" s="150">
        <v>-298.80000000000007</v>
      </c>
      <c r="C4" s="151"/>
      <c r="E4" s="63" t="s">
        <v>73</v>
      </c>
      <c r="F4" s="60" t="s">
        <v>28</v>
      </c>
      <c r="G4" s="47">
        <v>110</v>
      </c>
      <c r="H4" s="133">
        <f>IF(B$17=0,0,G4/B$17)</f>
        <v>0.45267489711934156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-579.20792079207922</v>
      </c>
      <c r="P4" s="119">
        <v>101</v>
      </c>
      <c r="Q4" s="103">
        <v>-58500</v>
      </c>
    </row>
    <row r="5" spans="1:17" x14ac:dyDescent="0.4">
      <c r="A5" s="55" t="s">
        <v>7</v>
      </c>
      <c r="B5" s="152">
        <f>IF(B$2=0,0,B$4/B$2)</f>
        <v>-2.8457142857142865</v>
      </c>
      <c r="C5" s="153"/>
      <c r="E5" s="63" t="s">
        <v>181</v>
      </c>
      <c r="F5" s="60" t="s">
        <v>182</v>
      </c>
      <c r="G5" s="47">
        <v>106</v>
      </c>
      <c r="H5" s="133">
        <f>IF(B$17=0,0,G5/B$17)</f>
        <v>0.43621399176954734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691.11111111111109</v>
      </c>
      <c r="P5" s="119">
        <v>90</v>
      </c>
      <c r="Q5" s="103">
        <v>62200</v>
      </c>
    </row>
    <row r="6" spans="1:17" x14ac:dyDescent="0.4">
      <c r="A6" s="55" t="s">
        <v>1</v>
      </c>
      <c r="B6" s="142">
        <f>IF(B$2=0,0,(B$7*1+B$8*2+B$9*3)/B$2)</f>
        <v>2.0761904761904764</v>
      </c>
      <c r="C6" s="143"/>
      <c r="E6" s="63" t="s">
        <v>68</v>
      </c>
      <c r="F6" s="60" t="s">
        <v>24</v>
      </c>
      <c r="G6" s="47">
        <v>88</v>
      </c>
      <c r="H6" s="133">
        <f>IF(B$17=0,0,G6/B$17)</f>
        <v>0.36213991769547327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495.1219512195122</v>
      </c>
      <c r="P6" s="119">
        <v>82</v>
      </c>
      <c r="Q6" s="103">
        <v>40600</v>
      </c>
    </row>
    <row r="7" spans="1:17" x14ac:dyDescent="0.4">
      <c r="A7" s="55" t="s">
        <v>2</v>
      </c>
      <c r="B7" s="47">
        <v>29</v>
      </c>
      <c r="C7" s="39">
        <f>IF(B$2=0,0,B7/B$2)</f>
        <v>0.27619047619047621</v>
      </c>
      <c r="E7" s="63" t="s">
        <v>69</v>
      </c>
      <c r="F7" s="60" t="s">
        <v>12</v>
      </c>
      <c r="G7" s="47">
        <v>81</v>
      </c>
      <c r="H7" s="133">
        <f>IF(B$17=0,0,G7/B$17)</f>
        <v>0.33333333333333331</v>
      </c>
      <c r="I7" s="94">
        <v>6</v>
      </c>
      <c r="K7" s="38">
        <v>5</v>
      </c>
      <c r="L7" s="99">
        <v>-16.600000000000005</v>
      </c>
      <c r="N7" s="116" t="s">
        <v>137</v>
      </c>
      <c r="O7" s="123">
        <f t="shared" si="0"/>
        <v>477.63157894736844</v>
      </c>
      <c r="P7" s="120">
        <v>76</v>
      </c>
      <c r="Q7" s="104">
        <v>36300</v>
      </c>
    </row>
    <row r="8" spans="1:17" x14ac:dyDescent="0.4">
      <c r="A8" s="55" t="s">
        <v>3</v>
      </c>
      <c r="B8" s="47">
        <v>39</v>
      </c>
      <c r="C8" s="39">
        <f>IF(B$2=0,0,B8/B$2)</f>
        <v>0.37142857142857144</v>
      </c>
      <c r="E8" s="63" t="s">
        <v>70</v>
      </c>
      <c r="F8" s="60" t="s">
        <v>25</v>
      </c>
      <c r="G8" s="47">
        <v>55</v>
      </c>
      <c r="H8" s="133">
        <f>IF(B$17=0,0,G8/B$17)</f>
        <v>0.22633744855967078</v>
      </c>
      <c r="I8" s="94">
        <v>4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37</v>
      </c>
      <c r="C9" s="40">
        <f t="shared" ref="C9" si="1">IF(B$2=0,0,B9/B$2)</f>
        <v>0.35238095238095241</v>
      </c>
      <c r="E9" s="63" t="s">
        <v>66</v>
      </c>
      <c r="F9" s="60" t="s">
        <v>22</v>
      </c>
      <c r="G9" s="47">
        <v>39</v>
      </c>
      <c r="H9" s="133">
        <f>IF(B$17=0,0,G9/B$17)</f>
        <v>0.16049382716049382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0.13333333333333333</v>
      </c>
      <c r="E10" s="63" t="s">
        <v>71</v>
      </c>
      <c r="F10" s="60" t="s">
        <v>26</v>
      </c>
      <c r="G10" s="47">
        <v>28</v>
      </c>
      <c r="H10" s="133">
        <f>IF(B$17=0,0,G10/B$17)</f>
        <v>0.11522633744855967</v>
      </c>
      <c r="I10" s="94">
        <v>4</v>
      </c>
      <c r="K10" s="38">
        <v>8</v>
      </c>
      <c r="L10" s="99">
        <v>-49.6</v>
      </c>
      <c r="N10" s="114" t="s">
        <v>164</v>
      </c>
      <c r="O10" s="124">
        <f>IF(P10=0,0,Q10/P10)</f>
        <v>-6.2981818181818197</v>
      </c>
      <c r="P10" s="118">
        <v>55</v>
      </c>
      <c r="Q10" s="106">
        <v>-346.40000000000009</v>
      </c>
    </row>
    <row r="11" spans="1:17" x14ac:dyDescent="0.4">
      <c r="A11" s="56" t="s">
        <v>140</v>
      </c>
      <c r="B11" s="48">
        <v>9</v>
      </c>
      <c r="C11" s="40">
        <f>IF(B$2=0,0,B11/B$2)</f>
        <v>8.5714285714285715E-2</v>
      </c>
      <c r="E11" s="63" t="s">
        <v>90</v>
      </c>
      <c r="F11" s="60" t="s">
        <v>45</v>
      </c>
      <c r="G11" s="47">
        <v>22</v>
      </c>
      <c r="H11" s="133">
        <f>IF(B$17=0,0,G11/B$17)</f>
        <v>9.0534979423868317E-2</v>
      </c>
      <c r="I11" s="94">
        <v>11</v>
      </c>
      <c r="K11" s="38">
        <v>9</v>
      </c>
      <c r="L11" s="99">
        <v>-79.5</v>
      </c>
      <c r="N11" s="115" t="s">
        <v>165</v>
      </c>
      <c r="O11" s="125">
        <f>IF(P11=0,0,Q11/P11)</f>
        <v>-2.775999999999998</v>
      </c>
      <c r="P11" s="119">
        <v>25</v>
      </c>
      <c r="Q11" s="107">
        <v>-69.399999999999949</v>
      </c>
    </row>
    <row r="12" spans="1:17" x14ac:dyDescent="0.4">
      <c r="A12" s="57" t="s">
        <v>160</v>
      </c>
      <c r="B12" s="49">
        <v>8</v>
      </c>
      <c r="C12" s="42">
        <f>IF(B$2=0,0,B12/B$2)</f>
        <v>7.6190476190476197E-2</v>
      </c>
      <c r="E12" s="63" t="s">
        <v>72</v>
      </c>
      <c r="F12" s="60" t="s">
        <v>27</v>
      </c>
      <c r="G12" s="47">
        <v>13</v>
      </c>
      <c r="H12" s="133">
        <f>IF(B$17=0,0,G12/B$17)</f>
        <v>5.3497942386831275E-2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4.68</v>
      </c>
      <c r="P12" s="120">
        <v>25</v>
      </c>
      <c r="Q12" s="108">
        <v>117</v>
      </c>
    </row>
    <row r="13" spans="1:17" x14ac:dyDescent="0.4">
      <c r="A13" s="58" t="s">
        <v>122</v>
      </c>
      <c r="B13" s="50">
        <v>261</v>
      </c>
      <c r="C13" s="44">
        <f>IF(B$3=0,0,B13/B$3)</f>
        <v>0.29558323895809741</v>
      </c>
      <c r="E13" s="63" t="s">
        <v>87</v>
      </c>
      <c r="F13" s="60" t="s">
        <v>42</v>
      </c>
      <c r="G13" s="47">
        <v>12</v>
      </c>
      <c r="H13" s="133">
        <f>IF(B$17=0,0,G13/B$17)</f>
        <v>4.9382716049382713E-2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163</v>
      </c>
      <c r="C14" s="39">
        <f>IF(B$3=0,0,B14/B$3)</f>
        <v>0.18459796149490373</v>
      </c>
      <c r="E14" s="63" t="s">
        <v>84</v>
      </c>
      <c r="F14" s="60" t="s">
        <v>39</v>
      </c>
      <c r="G14" s="47">
        <v>9</v>
      </c>
      <c r="H14" s="133">
        <f>IF(B$17=0,0,G14/B$17)</f>
        <v>3.7037037037037035E-2</v>
      </c>
      <c r="I14" s="94">
        <v>8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155</v>
      </c>
      <c r="C15" s="37">
        <f>IF(B$13=0,0,B15/B$13)</f>
        <v>0.5938697318007663</v>
      </c>
      <c r="E15" s="63" t="s">
        <v>82</v>
      </c>
      <c r="F15" s="60" t="s">
        <v>37</v>
      </c>
      <c r="G15" s="47">
        <v>8</v>
      </c>
      <c r="H15" s="133">
        <f>IF(B$17=0,0,G15/B$17)</f>
        <v>3.292181069958848E-2</v>
      </c>
      <c r="I15" s="94">
        <v>6</v>
      </c>
      <c r="K15" s="38">
        <v>13</v>
      </c>
      <c r="L15" s="99">
        <v>-81.900000000000006</v>
      </c>
      <c r="N15" s="114" t="s">
        <v>202</v>
      </c>
      <c r="O15" s="124">
        <f>IF(P15=0,0,Q15/P15)</f>
        <v>25</v>
      </c>
      <c r="P15" s="118">
        <v>1</v>
      </c>
      <c r="Q15" s="106">
        <v>25</v>
      </c>
    </row>
    <row r="16" spans="1:17" x14ac:dyDescent="0.4">
      <c r="A16" s="54" t="s">
        <v>125</v>
      </c>
      <c r="B16" s="46">
        <v>46</v>
      </c>
      <c r="C16" s="37">
        <f>IF(B$14=0,0,B16/B$14)</f>
        <v>0.2822085889570552</v>
      </c>
      <c r="E16" s="63" t="s">
        <v>92</v>
      </c>
      <c r="F16" s="60" t="s">
        <v>47</v>
      </c>
      <c r="G16" s="47">
        <v>6</v>
      </c>
      <c r="H16" s="133">
        <f>IF(B$17=0,0,G16/B$17)</f>
        <v>2.4691358024691357E-2</v>
      </c>
      <c r="I16" s="94">
        <v>2</v>
      </c>
      <c r="K16" s="38">
        <v>14</v>
      </c>
      <c r="L16" s="99">
        <v>-25.600000000000009</v>
      </c>
      <c r="N16" s="115" t="s">
        <v>186</v>
      </c>
      <c r="O16" s="125">
        <f>IF(P16=0,0,Q16/P16)</f>
        <v>22.250000000000004</v>
      </c>
      <c r="P16" s="119">
        <v>6</v>
      </c>
      <c r="Q16" s="107">
        <v>133.50000000000003</v>
      </c>
    </row>
    <row r="17" spans="1:17" x14ac:dyDescent="0.4">
      <c r="A17" s="54" t="s">
        <v>10</v>
      </c>
      <c r="B17" s="46">
        <f>B19+B18</f>
        <v>243</v>
      </c>
      <c r="C17" s="37">
        <f>IF(B$3=0,0,B17/B$3)</f>
        <v>0.27519818799546997</v>
      </c>
      <c r="E17" s="63" t="s">
        <v>80</v>
      </c>
      <c r="F17" s="60" t="s">
        <v>35</v>
      </c>
      <c r="G17" s="47">
        <v>5</v>
      </c>
      <c r="H17" s="133">
        <f>IF(B$17=0,0,G17/B$17)</f>
        <v>2.0576131687242798E-2</v>
      </c>
      <c r="I17" s="94">
        <v>2</v>
      </c>
      <c r="K17" s="38">
        <v>15</v>
      </c>
      <c r="L17" s="99">
        <v>47.999999999999986</v>
      </c>
      <c r="N17" s="115" t="s">
        <v>129</v>
      </c>
      <c r="O17" s="125">
        <f>IF(P17=0,0,Q17/P17)</f>
        <v>13.559374999999998</v>
      </c>
      <c r="P17" s="119">
        <v>32</v>
      </c>
      <c r="Q17" s="107">
        <v>433.89999999999992</v>
      </c>
    </row>
    <row r="18" spans="1:17" x14ac:dyDescent="0.4">
      <c r="A18" s="55" t="s">
        <v>12</v>
      </c>
      <c r="B18" s="47">
        <v>103</v>
      </c>
      <c r="C18" s="39">
        <f>IF(B$17=0,0,B18/B$17)</f>
        <v>0.42386831275720166</v>
      </c>
      <c r="E18" s="63" t="s">
        <v>180</v>
      </c>
      <c r="F18" s="60" t="s">
        <v>183</v>
      </c>
      <c r="G18" s="47">
        <v>4</v>
      </c>
      <c r="H18" s="133">
        <f>IF(B$17=0,0,G18/B$17)</f>
        <v>1.646090534979424E-2</v>
      </c>
      <c r="I18" s="94">
        <v>2</v>
      </c>
      <c r="K18" s="38">
        <v>16</v>
      </c>
      <c r="L18" s="99">
        <v>41.699999999999989</v>
      </c>
      <c r="N18" s="115" t="s">
        <v>177</v>
      </c>
      <c r="O18" s="125">
        <f>IF(P18=0,0,Q18/P18)</f>
        <v>2.4333333333333331</v>
      </c>
      <c r="P18" s="119">
        <v>18</v>
      </c>
      <c r="Q18" s="107">
        <v>43.8</v>
      </c>
    </row>
    <row r="19" spans="1:17" x14ac:dyDescent="0.4">
      <c r="A19" s="55" t="s">
        <v>11</v>
      </c>
      <c r="B19" s="47">
        <v>140</v>
      </c>
      <c r="C19" s="39">
        <f>IF(B$17=0,0,B19/B$17)</f>
        <v>0.5761316872427984</v>
      </c>
      <c r="E19" s="63" t="s">
        <v>79</v>
      </c>
      <c r="F19" s="60" t="s">
        <v>34</v>
      </c>
      <c r="G19" s="47">
        <v>3</v>
      </c>
      <c r="H19" s="133">
        <f>IF(B$17=0,0,G19/B$17)</f>
        <v>1.2345679012345678E-2</v>
      </c>
      <c r="I19" s="94">
        <v>9</v>
      </c>
      <c r="K19" s="38">
        <v>17</v>
      </c>
      <c r="L19" s="99">
        <v>94.6</v>
      </c>
      <c r="N19" s="115" t="s">
        <v>172</v>
      </c>
      <c r="O19" s="125">
        <f>IF(P19=0,0,Q19/P19)</f>
        <v>1.070000000000001</v>
      </c>
      <c r="P19" s="119">
        <v>30</v>
      </c>
      <c r="Q19" s="107">
        <v>32.10000000000003</v>
      </c>
    </row>
    <row r="20" spans="1:17" x14ac:dyDescent="0.4">
      <c r="A20" s="55" t="s">
        <v>13</v>
      </c>
      <c r="B20" s="47">
        <v>152</v>
      </c>
      <c r="C20" s="39">
        <f>IF(B$3=0,0,B20/B$3)</f>
        <v>0.17214043035107587</v>
      </c>
      <c r="E20" s="63" t="s">
        <v>74</v>
      </c>
      <c r="F20" s="60" t="s">
        <v>29</v>
      </c>
      <c r="G20" s="47">
        <v>2</v>
      </c>
      <c r="H20" s="133">
        <f>IF(B$17=0,0,G20/B$17)</f>
        <v>8.23045267489712E-3</v>
      </c>
      <c r="I20" s="94">
        <v>3</v>
      </c>
      <c r="K20" s="38">
        <v>18</v>
      </c>
      <c r="L20" s="99">
        <v>116.69999999999999</v>
      </c>
      <c r="N20" s="115" t="s">
        <v>171</v>
      </c>
      <c r="O20" s="125">
        <f>IF(P20=0,0,Q20/P20)</f>
        <v>-0.41666666666666002</v>
      </c>
      <c r="P20" s="119">
        <v>30</v>
      </c>
      <c r="Q20" s="107">
        <v>-12.499999999999801</v>
      </c>
    </row>
    <row r="21" spans="1:17" x14ac:dyDescent="0.4">
      <c r="A21" s="55" t="s">
        <v>193</v>
      </c>
      <c r="B21" s="47">
        <v>6</v>
      </c>
      <c r="C21" s="135">
        <v>1</v>
      </c>
      <c r="E21" s="63" t="s">
        <v>75</v>
      </c>
      <c r="F21" s="60" t="s">
        <v>30</v>
      </c>
      <c r="G21" s="47">
        <v>2</v>
      </c>
      <c r="H21" s="133">
        <f>IF(B$17=0,0,G21/B$17)</f>
        <v>8.23045267489712E-3</v>
      </c>
      <c r="I21" s="94">
        <v>3</v>
      </c>
      <c r="K21" s="38">
        <v>19</v>
      </c>
      <c r="L21" s="99">
        <v>138.79999999999998</v>
      </c>
      <c r="N21" s="115" t="s">
        <v>173</v>
      </c>
      <c r="O21" s="125">
        <f>IF(P21=0,0,Q21/P21)</f>
        <v>-3.6750000000000007</v>
      </c>
      <c r="P21" s="119">
        <v>20</v>
      </c>
      <c r="Q21" s="107">
        <v>-73.500000000000014</v>
      </c>
    </row>
    <row r="22" spans="1:17" x14ac:dyDescent="0.4">
      <c r="A22" s="55" t="s">
        <v>194</v>
      </c>
      <c r="B22" s="47">
        <v>24</v>
      </c>
      <c r="C22" s="135">
        <v>3</v>
      </c>
      <c r="E22" s="63" t="s">
        <v>76</v>
      </c>
      <c r="F22" s="60" t="s">
        <v>31</v>
      </c>
      <c r="G22" s="47">
        <v>2</v>
      </c>
      <c r="H22" s="133">
        <f>IF(B$17=0,0,G22/B$17)</f>
        <v>8.23045267489712E-3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-20.25616438356165</v>
      </c>
      <c r="P22" s="119">
        <v>73</v>
      </c>
      <c r="Q22" s="107">
        <v>-1478.7000000000005</v>
      </c>
    </row>
    <row r="23" spans="1:17" x14ac:dyDescent="0.4">
      <c r="A23" s="55" t="s">
        <v>5</v>
      </c>
      <c r="B23" s="51">
        <f>IF(B$17=0,0,C23/B$17)</f>
        <v>9241.1522633744862</v>
      </c>
      <c r="C23" s="41">
        <v>2245600</v>
      </c>
      <c r="E23" s="63" t="s">
        <v>78</v>
      </c>
      <c r="F23" s="60" t="s">
        <v>33</v>
      </c>
      <c r="G23" s="47">
        <v>1</v>
      </c>
      <c r="H23" s="133">
        <f>IF(B$17=0,0,G23/B$17)</f>
        <v>4.11522633744856E-3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-7650</v>
      </c>
      <c r="C24" s="45">
        <v>-1162800</v>
      </c>
      <c r="E24" s="63" t="s">
        <v>85</v>
      </c>
      <c r="F24" s="60" t="s">
        <v>40</v>
      </c>
      <c r="G24" s="47">
        <v>1</v>
      </c>
      <c r="H24" s="133">
        <f>IF(B$17=0,0,G24/B$17)</f>
        <v>4.11522633744856E-3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4.11522633744856E-3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4.11522633744856E-3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5.6625141562853904E-3</v>
      </c>
      <c r="E27" s="63" t="s">
        <v>94</v>
      </c>
      <c r="F27" s="60" t="s">
        <v>49</v>
      </c>
      <c r="G27" s="47">
        <v>1</v>
      </c>
      <c r="H27" s="133">
        <f>IF(B$17=0,0,G27/B$17)</f>
        <v>4.11522633744856E-3</v>
      </c>
      <c r="I27" s="94">
        <v>2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4.11522633744856E-3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-388.20000000000005</v>
      </c>
    </row>
    <row r="105" spans="11:12" x14ac:dyDescent="0.4">
      <c r="K105" s="38">
        <v>103</v>
      </c>
      <c r="L105" s="99">
        <v>-313.00000000000006</v>
      </c>
    </row>
    <row r="106" spans="11:12" x14ac:dyDescent="0.4">
      <c r="K106" s="38">
        <v>104</v>
      </c>
      <c r="L106" s="99">
        <v>-343.60000000000008</v>
      </c>
    </row>
    <row r="107" spans="11:12" x14ac:dyDescent="0.4">
      <c r="K107" s="38">
        <v>105</v>
      </c>
      <c r="L107" s="99">
        <v>-298.80000000000007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C5AAB-1764-4A80-AD58-B78B90CE1D41}">
  <sheetPr codeName="Sheet11"/>
  <dimension ref="A1:Q5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53</v>
      </c>
      <c r="C2" s="147"/>
      <c r="E2" s="62" t="s">
        <v>67</v>
      </c>
      <c r="F2" s="59" t="s">
        <v>23</v>
      </c>
      <c r="G2" s="46">
        <v>85</v>
      </c>
      <c r="H2" s="132">
        <f>IF(B$17=0,0,G2/B$17)</f>
        <v>0.87628865979381443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-2833.9622641509436</v>
      </c>
      <c r="P2" s="118">
        <v>53</v>
      </c>
      <c r="Q2" s="102">
        <v>-150200</v>
      </c>
    </row>
    <row r="3" spans="1:17" x14ac:dyDescent="0.4">
      <c r="A3" s="55" t="s">
        <v>8</v>
      </c>
      <c r="B3" s="148">
        <v>433</v>
      </c>
      <c r="C3" s="149"/>
      <c r="E3" s="63" t="s">
        <v>65</v>
      </c>
      <c r="F3" s="60" t="s">
        <v>21</v>
      </c>
      <c r="G3" s="47">
        <v>55</v>
      </c>
      <c r="H3" s="133">
        <f>IF(B$17=0,0,G3/B$17)</f>
        <v>0.5670103092783505</v>
      </c>
      <c r="I3" s="94">
        <v>6</v>
      </c>
      <c r="K3" s="38">
        <v>1</v>
      </c>
      <c r="L3" s="99">
        <v>-40.4</v>
      </c>
      <c r="N3" s="115" t="s">
        <v>133</v>
      </c>
      <c r="O3" s="122">
        <f t="shared" si="0"/>
        <v>-1726.4150943396226</v>
      </c>
      <c r="P3" s="119">
        <v>53</v>
      </c>
      <c r="Q3" s="103">
        <v>-91500</v>
      </c>
    </row>
    <row r="4" spans="1:17" x14ac:dyDescent="0.4">
      <c r="A4" s="55" t="s">
        <v>6</v>
      </c>
      <c r="B4" s="150">
        <v>-843.69999999999982</v>
      </c>
      <c r="C4" s="151"/>
      <c r="E4" s="63" t="s">
        <v>68</v>
      </c>
      <c r="F4" s="60" t="s">
        <v>24</v>
      </c>
      <c r="G4" s="47">
        <v>41</v>
      </c>
      <c r="H4" s="133">
        <f>IF(B$17=0,0,G4/B$17)</f>
        <v>0.42268041237113402</v>
      </c>
      <c r="I4" s="94">
        <v>4</v>
      </c>
      <c r="K4" s="38">
        <v>2</v>
      </c>
      <c r="L4" s="99">
        <v>-3.3999999999999986</v>
      </c>
      <c r="N4" s="115" t="s">
        <v>134</v>
      </c>
      <c r="O4" s="122">
        <f t="shared" si="0"/>
        <v>-553.0612244897959</v>
      </c>
      <c r="P4" s="119">
        <v>49</v>
      </c>
      <c r="Q4" s="103">
        <v>-27100</v>
      </c>
    </row>
    <row r="5" spans="1:17" x14ac:dyDescent="0.4">
      <c r="A5" s="55" t="s">
        <v>7</v>
      </c>
      <c r="B5" s="152">
        <f>IF(B$2=0,0,B$4/B$2)</f>
        <v>-15.918867924528298</v>
      </c>
      <c r="C5" s="153"/>
      <c r="E5" s="63" t="s">
        <v>69</v>
      </c>
      <c r="F5" s="60" t="s">
        <v>12</v>
      </c>
      <c r="G5" s="47">
        <v>40</v>
      </c>
      <c r="H5" s="133">
        <f>IF(B$17=0,0,G5/B$17)</f>
        <v>0.41237113402061853</v>
      </c>
      <c r="I5" s="94">
        <v>4</v>
      </c>
      <c r="K5" s="38">
        <v>3</v>
      </c>
      <c r="L5" s="99">
        <v>-23.099999999999998</v>
      </c>
      <c r="N5" s="115" t="s">
        <v>135</v>
      </c>
      <c r="O5" s="122">
        <f t="shared" si="0"/>
        <v>-4519.5121951219517</v>
      </c>
      <c r="P5" s="119">
        <v>41</v>
      </c>
      <c r="Q5" s="103">
        <v>-185300</v>
      </c>
    </row>
    <row r="6" spans="1:17" x14ac:dyDescent="0.4">
      <c r="A6" s="55" t="s">
        <v>1</v>
      </c>
      <c r="B6" s="142">
        <f>IF(B$2=0,0,(B$7*1+B$8*2+B$9*3)/B$2)</f>
        <v>2.2452830188679247</v>
      </c>
      <c r="C6" s="143"/>
      <c r="E6" s="63" t="s">
        <v>181</v>
      </c>
      <c r="F6" s="60" t="s">
        <v>182</v>
      </c>
      <c r="G6" s="47">
        <v>40</v>
      </c>
      <c r="H6" s="133">
        <f>IF(B$17=0,0,G6/B$17)</f>
        <v>0.41237113402061853</v>
      </c>
      <c r="I6" s="94">
        <v>6</v>
      </c>
      <c r="K6" s="38">
        <v>4</v>
      </c>
      <c r="L6" s="99">
        <v>-31.4</v>
      </c>
      <c r="N6" s="115" t="s">
        <v>136</v>
      </c>
      <c r="O6" s="122">
        <f t="shared" si="0"/>
        <v>-1375.6756756756756</v>
      </c>
      <c r="P6" s="119">
        <v>37</v>
      </c>
      <c r="Q6" s="103">
        <v>-50900</v>
      </c>
    </row>
    <row r="7" spans="1:17" x14ac:dyDescent="0.4">
      <c r="A7" s="55" t="s">
        <v>2</v>
      </c>
      <c r="B7" s="47">
        <v>13</v>
      </c>
      <c r="C7" s="39">
        <f>IF(B$2=0,0,B7/B$2)</f>
        <v>0.24528301886792453</v>
      </c>
      <c r="E7" s="63" t="s">
        <v>73</v>
      </c>
      <c r="F7" s="60" t="s">
        <v>28</v>
      </c>
      <c r="G7" s="47">
        <v>33</v>
      </c>
      <c r="H7" s="133">
        <f>IF(B$17=0,0,G7/B$17)</f>
        <v>0.34020618556701032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-1673.5294117647059</v>
      </c>
      <c r="P7" s="120">
        <v>34</v>
      </c>
      <c r="Q7" s="104">
        <v>-56900</v>
      </c>
    </row>
    <row r="8" spans="1:17" x14ac:dyDescent="0.4">
      <c r="A8" s="55" t="s">
        <v>3</v>
      </c>
      <c r="B8" s="47">
        <v>14</v>
      </c>
      <c r="C8" s="39">
        <f>IF(B$2=0,0,B8/B$2)</f>
        <v>0.26415094339622641</v>
      </c>
      <c r="E8" s="63" t="s">
        <v>70</v>
      </c>
      <c r="F8" s="60" t="s">
        <v>25</v>
      </c>
      <c r="G8" s="47">
        <v>23</v>
      </c>
      <c r="H8" s="133">
        <f>IF(B$17=0,0,G8/B$17)</f>
        <v>0.23711340206185566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26</v>
      </c>
      <c r="C9" s="40">
        <f t="shared" ref="C9" si="1">IF(B$2=0,0,B9/B$2)</f>
        <v>0.49056603773584906</v>
      </c>
      <c r="E9" s="63" t="s">
        <v>71</v>
      </c>
      <c r="F9" s="60" t="s">
        <v>26</v>
      </c>
      <c r="G9" s="47">
        <v>16</v>
      </c>
      <c r="H9" s="133">
        <f>IF(B$17=0,0,G9/B$17)</f>
        <v>0.16494845360824742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</v>
      </c>
      <c r="C10" s="40">
        <f>IF(B$2=0,0,B10/B$2)</f>
        <v>0.18867924528301888</v>
      </c>
      <c r="E10" s="63" t="s">
        <v>72</v>
      </c>
      <c r="F10" s="60" t="s">
        <v>27</v>
      </c>
      <c r="G10" s="47">
        <v>12</v>
      </c>
      <c r="H10" s="133">
        <f>IF(B$17=0,0,G10/B$17)</f>
        <v>0.12371134020618557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-21.164705882352937</v>
      </c>
      <c r="P10" s="118">
        <v>17</v>
      </c>
      <c r="Q10" s="106">
        <v>-359.79999999999995</v>
      </c>
    </row>
    <row r="11" spans="1:17" x14ac:dyDescent="0.4">
      <c r="A11" s="56" t="s">
        <v>140</v>
      </c>
      <c r="B11" s="48">
        <v>6</v>
      </c>
      <c r="C11" s="40">
        <f>IF(B$2=0,0,B11/B$2)</f>
        <v>0.11320754716981132</v>
      </c>
      <c r="E11" s="63" t="s">
        <v>90</v>
      </c>
      <c r="F11" s="60" t="s">
        <v>45</v>
      </c>
      <c r="G11" s="47">
        <v>10</v>
      </c>
      <c r="H11" s="133">
        <f>IF(B$17=0,0,G11/B$17)</f>
        <v>0.10309278350515463</v>
      </c>
      <c r="I11" s="94">
        <v>10</v>
      </c>
      <c r="K11" s="38">
        <v>9</v>
      </c>
      <c r="L11" s="99">
        <v>-127.6</v>
      </c>
      <c r="N11" s="115" t="s">
        <v>165</v>
      </c>
      <c r="O11" s="125">
        <f>IF(P11=0,0,Q11/P11)</f>
        <v>-9.3666666666666707</v>
      </c>
      <c r="P11" s="119">
        <v>21</v>
      </c>
      <c r="Q11" s="107">
        <v>-196.7000000000001</v>
      </c>
    </row>
    <row r="12" spans="1:17" x14ac:dyDescent="0.4">
      <c r="A12" s="57" t="s">
        <v>160</v>
      </c>
      <c r="B12" s="49">
        <v>5</v>
      </c>
      <c r="C12" s="42">
        <f>IF(B$2=0,0,B12/B$2)</f>
        <v>9.4339622641509441E-2</v>
      </c>
      <c r="E12" s="63" t="s">
        <v>87</v>
      </c>
      <c r="F12" s="60" t="s">
        <v>42</v>
      </c>
      <c r="G12" s="47">
        <v>7</v>
      </c>
      <c r="H12" s="133">
        <f>IF(B$17=0,0,G12/B$17)</f>
        <v>7.2164948453608241E-2</v>
      </c>
      <c r="I12" s="94">
        <v>4</v>
      </c>
      <c r="K12" s="38">
        <v>10</v>
      </c>
      <c r="L12" s="99">
        <v>-231.39999999999998</v>
      </c>
      <c r="N12" s="116" t="s">
        <v>166</v>
      </c>
      <c r="O12" s="126">
        <f>IF(P12=0,0,Q12/P12)</f>
        <v>-19.146666666666665</v>
      </c>
      <c r="P12" s="120">
        <v>15</v>
      </c>
      <c r="Q12" s="108">
        <v>-287.2</v>
      </c>
    </row>
    <row r="13" spans="1:17" x14ac:dyDescent="0.4">
      <c r="A13" s="58" t="s">
        <v>122</v>
      </c>
      <c r="B13" s="50">
        <v>109</v>
      </c>
      <c r="C13" s="44">
        <f>IF(B$3=0,0,B13/B$3)</f>
        <v>0.25173210161662818</v>
      </c>
      <c r="E13" s="63" t="s">
        <v>66</v>
      </c>
      <c r="F13" s="60" t="s">
        <v>22</v>
      </c>
      <c r="G13" s="47">
        <v>6</v>
      </c>
      <c r="H13" s="133">
        <f>IF(B$17=0,0,G13/B$17)</f>
        <v>6.1855670103092786E-2</v>
      </c>
      <c r="I13" s="94">
        <v>9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68</v>
      </c>
      <c r="C14" s="39">
        <f>IF(B$3=0,0,B14/B$3)</f>
        <v>0.15704387990762125</v>
      </c>
      <c r="E14" s="63" t="s">
        <v>84</v>
      </c>
      <c r="F14" s="60" t="s">
        <v>39</v>
      </c>
      <c r="G14" s="47">
        <v>4</v>
      </c>
      <c r="H14" s="133">
        <f>IF(B$17=0,0,G14/B$17)</f>
        <v>4.1237113402061855E-2</v>
      </c>
      <c r="I14" s="94">
        <v>7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57</v>
      </c>
      <c r="C15" s="37">
        <f>IF(B$13=0,0,B15/B$13)</f>
        <v>0.52293577981651373</v>
      </c>
      <c r="E15" s="63" t="s">
        <v>79</v>
      </c>
      <c r="F15" s="60" t="s">
        <v>34</v>
      </c>
      <c r="G15" s="47">
        <v>2</v>
      </c>
      <c r="H15" s="133">
        <f>IF(B$17=0,0,G15/B$17)</f>
        <v>2.0618556701030927E-2</v>
      </c>
      <c r="I15" s="94">
        <v>5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17</v>
      </c>
      <c r="C16" s="37">
        <f>IF(B$14=0,0,B16/B$14)</f>
        <v>0.25</v>
      </c>
      <c r="E16" s="63" t="s">
        <v>75</v>
      </c>
      <c r="F16" s="60" t="s">
        <v>30</v>
      </c>
      <c r="G16" s="47">
        <v>1</v>
      </c>
      <c r="H16" s="133">
        <f>IF(B$17=0,0,G16/B$17)</f>
        <v>1.0309278350515464E-2</v>
      </c>
      <c r="I16" s="94">
        <v>2</v>
      </c>
      <c r="K16" s="38">
        <v>14</v>
      </c>
      <c r="L16" s="99">
        <v>-394.6</v>
      </c>
      <c r="N16" s="115" t="s">
        <v>177</v>
      </c>
      <c r="O16" s="125">
        <f>IF(P16=0,0,Q16/P16)</f>
        <v>21.775000000000006</v>
      </c>
      <c r="P16" s="119">
        <v>8</v>
      </c>
      <c r="Q16" s="107">
        <v>174.20000000000005</v>
      </c>
    </row>
    <row r="17" spans="1:17" x14ac:dyDescent="0.4">
      <c r="A17" s="54" t="s">
        <v>10</v>
      </c>
      <c r="B17" s="46">
        <f>B19+B18</f>
        <v>97</v>
      </c>
      <c r="C17" s="37">
        <f>IF(B$3=0,0,B17/B$3)</f>
        <v>0.22401847575057737</v>
      </c>
      <c r="E17" s="63" t="s">
        <v>78</v>
      </c>
      <c r="F17" s="60" t="s">
        <v>33</v>
      </c>
      <c r="G17" s="47">
        <v>1</v>
      </c>
      <c r="H17" s="133">
        <f>IF(B$17=0,0,G17/B$17)</f>
        <v>1.0309278350515464E-2</v>
      </c>
      <c r="I17" s="94">
        <v>1</v>
      </c>
      <c r="K17" s="38">
        <v>15</v>
      </c>
      <c r="L17" s="99">
        <v>-424.5</v>
      </c>
      <c r="N17" s="115" t="s">
        <v>128</v>
      </c>
      <c r="O17" s="125">
        <f>IF(P17=0,0,Q17/P17)</f>
        <v>-13.559374999999996</v>
      </c>
      <c r="P17" s="119">
        <v>32</v>
      </c>
      <c r="Q17" s="107">
        <v>-433.89999999999986</v>
      </c>
    </row>
    <row r="18" spans="1:17" x14ac:dyDescent="0.4">
      <c r="A18" s="55" t="s">
        <v>12</v>
      </c>
      <c r="B18" s="47">
        <v>46</v>
      </c>
      <c r="C18" s="39">
        <f>IF(B$17=0,0,B18/B$17)</f>
        <v>0.47422680412371132</v>
      </c>
      <c r="E18" s="63" t="s">
        <v>80</v>
      </c>
      <c r="F18" s="60" t="s">
        <v>35</v>
      </c>
      <c r="G18" s="47">
        <v>1</v>
      </c>
      <c r="H18" s="133">
        <f>IF(B$17=0,0,G18/B$17)</f>
        <v>1.0309278350515464E-2</v>
      </c>
      <c r="I18" s="94">
        <v>7</v>
      </c>
      <c r="K18" s="38">
        <v>16</v>
      </c>
      <c r="L18" s="99">
        <v>-472</v>
      </c>
      <c r="N18" s="115" t="s">
        <v>171</v>
      </c>
      <c r="O18" s="125">
        <f>IF(P18=0,0,Q18/P18)</f>
        <v>-18.473333333333336</v>
      </c>
      <c r="P18" s="119">
        <v>15</v>
      </c>
      <c r="Q18" s="107">
        <v>-277.10000000000002</v>
      </c>
    </row>
    <row r="19" spans="1:17" x14ac:dyDescent="0.4">
      <c r="A19" s="55" t="s">
        <v>11</v>
      </c>
      <c r="B19" s="47">
        <v>51</v>
      </c>
      <c r="C19" s="39">
        <f>IF(B$17=0,0,B19/B$17)</f>
        <v>0.52577319587628868</v>
      </c>
      <c r="E19" s="63" t="s">
        <v>82</v>
      </c>
      <c r="F19" s="60" t="s">
        <v>37</v>
      </c>
      <c r="G19" s="47">
        <v>1</v>
      </c>
      <c r="H19" s="133">
        <f>IF(B$17=0,0,G19/B$17)</f>
        <v>1.0309278350515464E-2</v>
      </c>
      <c r="I19" s="94">
        <v>9</v>
      </c>
      <c r="K19" s="38">
        <v>17</v>
      </c>
      <c r="L19" s="99">
        <v>-538.29999999999995</v>
      </c>
      <c r="N19" s="115" t="s">
        <v>173</v>
      </c>
      <c r="O19" s="125">
        <f>IF(P19=0,0,Q19/P19)</f>
        <v>-30.299999999999994</v>
      </c>
      <c r="P19" s="119">
        <v>7</v>
      </c>
      <c r="Q19" s="107">
        <v>-212.09999999999997</v>
      </c>
    </row>
    <row r="20" spans="1:17" x14ac:dyDescent="0.4">
      <c r="A20" s="55" t="s">
        <v>13</v>
      </c>
      <c r="B20" s="47">
        <v>86</v>
      </c>
      <c r="C20" s="39">
        <f>IF(B$3=0,0,B20/B$3)</f>
        <v>0.19861431870669746</v>
      </c>
      <c r="E20" s="63" t="s">
        <v>88</v>
      </c>
      <c r="F20" s="60" t="s">
        <v>43</v>
      </c>
      <c r="G20" s="47">
        <v>1</v>
      </c>
      <c r="H20" s="133">
        <f>IF(B$17=0,0,G20/B$17)</f>
        <v>1.0309278350515464E-2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>IF(P20=0,0,Q20/P20)</f>
        <v>-41.232258064516145</v>
      </c>
      <c r="P20" s="119">
        <v>31</v>
      </c>
      <c r="Q20" s="107">
        <v>-1278.2000000000005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89</v>
      </c>
      <c r="F21" s="60" t="s">
        <v>44</v>
      </c>
      <c r="G21" s="47">
        <v>1</v>
      </c>
      <c r="H21" s="133">
        <f>IF(B$17=0,0,G21/B$17)</f>
        <v>1.0309278350515464E-2</v>
      </c>
      <c r="I21" s="94">
        <v>1</v>
      </c>
      <c r="K21" s="38">
        <v>19</v>
      </c>
      <c r="L21" s="99">
        <v>-569.49999999999989</v>
      </c>
      <c r="N21" s="115" t="s">
        <v>172</v>
      </c>
      <c r="O21" s="125">
        <f>IF(P21=0,0,Q21/P21)</f>
        <v>-46.581818181818171</v>
      </c>
      <c r="P21" s="119">
        <v>11</v>
      </c>
      <c r="Q21" s="107">
        <v>-512.39999999999986</v>
      </c>
    </row>
    <row r="22" spans="1:17" x14ac:dyDescent="0.4">
      <c r="A22" s="55" t="s">
        <v>194</v>
      </c>
      <c r="B22" s="47">
        <v>31</v>
      </c>
      <c r="C22" s="135">
        <v>1</v>
      </c>
      <c r="E22" s="63" t="s">
        <v>92</v>
      </c>
      <c r="F22" s="60" t="s">
        <v>47</v>
      </c>
      <c r="G22" s="47">
        <v>1</v>
      </c>
      <c r="H22" s="133">
        <f>IF(B$17=0,0,G22/B$17)</f>
        <v>1.0309278350515464E-2</v>
      </c>
      <c r="I22" s="94">
        <v>7</v>
      </c>
      <c r="K22" s="38">
        <v>20</v>
      </c>
      <c r="L22" s="99">
        <v>-632.99999999999989</v>
      </c>
      <c r="N22" s="115" t="s">
        <v>186</v>
      </c>
      <c r="O22" s="125">
        <f>IF(P22=0,0,Q22/P22)</f>
        <v>-72.3</v>
      </c>
      <c r="P22" s="119">
        <v>1</v>
      </c>
      <c r="Q22" s="107">
        <v>-72.3</v>
      </c>
    </row>
    <row r="23" spans="1:17" x14ac:dyDescent="0.4">
      <c r="A23" s="55" t="s">
        <v>5</v>
      </c>
      <c r="B23" s="51">
        <f>IF(B$17=0,0,C23/B$17)</f>
        <v>8926.8041237113393</v>
      </c>
      <c r="C23" s="41">
        <v>865900</v>
      </c>
      <c r="E23" s="63" t="s">
        <v>94</v>
      </c>
      <c r="F23" s="60" t="s">
        <v>49</v>
      </c>
      <c r="G23" s="47">
        <v>1</v>
      </c>
      <c r="H23" s="133">
        <f>IF(B$17=0,0,G23/B$17)</f>
        <v>1.0309278350515464E-2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-8963.9534883720935</v>
      </c>
      <c r="C24" s="45">
        <v>-770900</v>
      </c>
      <c r="E24" s="63" t="s">
        <v>74</v>
      </c>
      <c r="F24" s="60" t="s">
        <v>29</v>
      </c>
      <c r="G24" s="47">
        <v>0</v>
      </c>
      <c r="H24" s="133">
        <f>IF(B$17=0,0,G24/B$17)</f>
        <v>0</v>
      </c>
      <c r="I24" s="94">
        <v>6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2.3094688221709007E-3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-800.5999999999998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-754.5999999999998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-756.69999999999982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2C70B-7B6F-4817-A3D9-AA9796660D58}">
  <sheetPr codeName="Sheet13"/>
  <dimension ref="A1:Q6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60</v>
      </c>
      <c r="C2" s="147"/>
      <c r="E2" s="62" t="s">
        <v>67</v>
      </c>
      <c r="F2" s="59" t="s">
        <v>23</v>
      </c>
      <c r="G2" s="46">
        <v>109</v>
      </c>
      <c r="H2" s="132">
        <f>IF(B$17=0,0,G2/B$17)</f>
        <v>0.78985507246376807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-125</v>
      </c>
      <c r="P2" s="118">
        <v>60</v>
      </c>
      <c r="Q2" s="102">
        <v>-7500</v>
      </c>
    </row>
    <row r="3" spans="1:17" x14ac:dyDescent="0.4">
      <c r="A3" s="55" t="s">
        <v>8</v>
      </c>
      <c r="B3" s="148">
        <v>510</v>
      </c>
      <c r="C3" s="149"/>
      <c r="E3" s="63" t="s">
        <v>65</v>
      </c>
      <c r="F3" s="60" t="s">
        <v>21</v>
      </c>
      <c r="G3" s="47">
        <v>79</v>
      </c>
      <c r="H3" s="133">
        <f>IF(B$17=0,0,G3/B$17)</f>
        <v>0.57246376811594202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0"/>
        <v>1158.3333333333333</v>
      </c>
      <c r="P3" s="119">
        <v>60</v>
      </c>
      <c r="Q3" s="103">
        <v>69500</v>
      </c>
    </row>
    <row r="4" spans="1:17" x14ac:dyDescent="0.4">
      <c r="A4" s="55" t="s">
        <v>6</v>
      </c>
      <c r="B4" s="150">
        <v>48.399999999999977</v>
      </c>
      <c r="C4" s="151"/>
      <c r="E4" s="63" t="s">
        <v>73</v>
      </c>
      <c r="F4" s="60" t="s">
        <v>28</v>
      </c>
      <c r="G4" s="47">
        <v>66</v>
      </c>
      <c r="H4" s="133">
        <f>IF(B$17=0,0,G4/B$17)</f>
        <v>0.47826086956521741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105.26315789473684</v>
      </c>
      <c r="P4" s="119">
        <v>57</v>
      </c>
      <c r="Q4" s="103">
        <v>6000</v>
      </c>
    </row>
    <row r="5" spans="1:17" x14ac:dyDescent="0.4">
      <c r="A5" s="55" t="s">
        <v>7</v>
      </c>
      <c r="B5" s="152">
        <f>IF(B$2=0,0,B$4/B$2)</f>
        <v>0.80666666666666631</v>
      </c>
      <c r="C5" s="153"/>
      <c r="E5" s="63" t="s">
        <v>181</v>
      </c>
      <c r="F5" s="60" t="s">
        <v>182</v>
      </c>
      <c r="G5" s="47">
        <v>52</v>
      </c>
      <c r="H5" s="133">
        <f>IF(B$17=0,0,G5/B$17)</f>
        <v>0.37681159420289856</v>
      </c>
      <c r="I5" s="94">
        <v>9</v>
      </c>
      <c r="K5" s="38">
        <v>3</v>
      </c>
      <c r="L5" s="99">
        <v>-60.100000000000009</v>
      </c>
      <c r="N5" s="115" t="s">
        <v>135</v>
      </c>
      <c r="O5" s="122">
        <f t="shared" si="0"/>
        <v>1718.75</v>
      </c>
      <c r="P5" s="119">
        <v>48</v>
      </c>
      <c r="Q5" s="103">
        <v>82500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68</v>
      </c>
      <c r="F6" s="60" t="s">
        <v>24</v>
      </c>
      <c r="G6" s="47">
        <v>48</v>
      </c>
      <c r="H6" s="133">
        <f>IF(B$17=0,0,G6/B$17)</f>
        <v>0.34782608695652173</v>
      </c>
      <c r="I6" s="94">
        <v>7</v>
      </c>
      <c r="K6" s="38">
        <v>4</v>
      </c>
      <c r="L6" s="99">
        <v>-11.300000000000011</v>
      </c>
      <c r="N6" s="115" t="s">
        <v>136</v>
      </c>
      <c r="O6" s="122">
        <f t="shared" si="0"/>
        <v>-1277.2727272727273</v>
      </c>
      <c r="P6" s="119">
        <v>44</v>
      </c>
      <c r="Q6" s="103">
        <v>-56200</v>
      </c>
    </row>
    <row r="7" spans="1:17" x14ac:dyDescent="0.4">
      <c r="A7" s="55" t="s">
        <v>2</v>
      </c>
      <c r="B7" s="47">
        <v>16</v>
      </c>
      <c r="C7" s="39">
        <f>IF(B$2=0,0,B7/B$2)</f>
        <v>0.26666666666666666</v>
      </c>
      <c r="E7" s="63" t="s">
        <v>69</v>
      </c>
      <c r="F7" s="60" t="s">
        <v>12</v>
      </c>
      <c r="G7" s="47">
        <v>40</v>
      </c>
      <c r="H7" s="133">
        <f>IF(B$17=0,0,G7/B$17)</f>
        <v>0.28985507246376813</v>
      </c>
      <c r="I7" s="94">
        <v>9</v>
      </c>
      <c r="K7" s="38">
        <v>5</v>
      </c>
      <c r="L7" s="99">
        <v>-36.100000000000009</v>
      </c>
      <c r="N7" s="116" t="s">
        <v>137</v>
      </c>
      <c r="O7" s="123">
        <f t="shared" si="0"/>
        <v>1514.6341463414635</v>
      </c>
      <c r="P7" s="120">
        <v>41</v>
      </c>
      <c r="Q7" s="104">
        <v>62100</v>
      </c>
    </row>
    <row r="8" spans="1:17" x14ac:dyDescent="0.4">
      <c r="A8" s="55" t="s">
        <v>3</v>
      </c>
      <c r="B8" s="47">
        <v>23</v>
      </c>
      <c r="C8" s="39">
        <f>IF(B$2=0,0,B8/B$2)</f>
        <v>0.38333333333333336</v>
      </c>
      <c r="E8" s="63" t="s">
        <v>70</v>
      </c>
      <c r="F8" s="60" t="s">
        <v>25</v>
      </c>
      <c r="G8" s="47">
        <v>32</v>
      </c>
      <c r="H8" s="133">
        <f>IF(B$17=0,0,G8/B$17)</f>
        <v>0.2318840579710145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0.35</v>
      </c>
      <c r="E9" s="63" t="s">
        <v>71</v>
      </c>
      <c r="F9" s="60" t="s">
        <v>26</v>
      </c>
      <c r="G9" s="47">
        <v>19</v>
      </c>
      <c r="H9" s="133">
        <f>IF(B$17=0,0,G9/B$17)</f>
        <v>0.13768115942028986</v>
      </c>
      <c r="I9" s="94">
        <v>2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3.3333333333333333E-2</v>
      </c>
      <c r="E10" s="63" t="s">
        <v>66</v>
      </c>
      <c r="F10" s="60" t="s">
        <v>22</v>
      </c>
      <c r="G10" s="47">
        <v>18</v>
      </c>
      <c r="H10" s="133">
        <f>IF(B$17=0,0,G10/B$17)</f>
        <v>0.13043478260869565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6.8999999999999995</v>
      </c>
      <c r="P10" s="118">
        <v>14</v>
      </c>
      <c r="Q10" s="106">
        <v>96.6</v>
      </c>
    </row>
    <row r="11" spans="1:17" x14ac:dyDescent="0.4">
      <c r="A11" s="56" t="s">
        <v>140</v>
      </c>
      <c r="B11" s="48">
        <v>7</v>
      </c>
      <c r="C11" s="40">
        <f>IF(B$2=0,0,B11/B$2)</f>
        <v>0.11666666666666667</v>
      </c>
      <c r="E11" s="63" t="s">
        <v>90</v>
      </c>
      <c r="F11" s="60" t="s">
        <v>45</v>
      </c>
      <c r="G11" s="47">
        <v>18</v>
      </c>
      <c r="H11" s="133">
        <f>IF(B$17=0,0,G11/B$17)</f>
        <v>0.13043478260869565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-0.54583333333333206</v>
      </c>
      <c r="P11" s="119">
        <v>24</v>
      </c>
      <c r="Q11" s="107">
        <v>-13.099999999999969</v>
      </c>
    </row>
    <row r="12" spans="1:17" x14ac:dyDescent="0.4">
      <c r="A12" s="57" t="s">
        <v>160</v>
      </c>
      <c r="B12" s="49">
        <v>5</v>
      </c>
      <c r="C12" s="42">
        <f>IF(B$2=0,0,B12/B$2)</f>
        <v>8.3333333333333329E-2</v>
      </c>
      <c r="E12" s="63" t="s">
        <v>87</v>
      </c>
      <c r="F12" s="60" t="s">
        <v>42</v>
      </c>
      <c r="G12" s="47">
        <v>12</v>
      </c>
      <c r="H12" s="133">
        <f>IF(B$17=0,0,G12/B$17)</f>
        <v>8.6956521739130432E-2</v>
      </c>
      <c r="I12" s="94">
        <v>2</v>
      </c>
      <c r="K12" s="38">
        <v>10</v>
      </c>
      <c r="L12" s="99">
        <v>-56.500000000000007</v>
      </c>
      <c r="N12" s="116" t="s">
        <v>166</v>
      </c>
      <c r="O12" s="126">
        <f>IF(P12=0,0,Q12/P12)</f>
        <v>-1.5954545454545459</v>
      </c>
      <c r="P12" s="120">
        <v>22</v>
      </c>
      <c r="Q12" s="108">
        <v>-35.100000000000009</v>
      </c>
    </row>
    <row r="13" spans="1:17" x14ac:dyDescent="0.4">
      <c r="A13" s="58" t="s">
        <v>122</v>
      </c>
      <c r="B13" s="50">
        <v>139</v>
      </c>
      <c r="C13" s="44">
        <f>IF(B$3=0,0,B13/B$3)</f>
        <v>0.27254901960784311</v>
      </c>
      <c r="E13" s="63" t="s">
        <v>72</v>
      </c>
      <c r="F13" s="60" t="s">
        <v>27</v>
      </c>
      <c r="G13" s="47">
        <v>11</v>
      </c>
      <c r="H13" s="133">
        <f>IF(B$17=0,0,G13/B$17)</f>
        <v>7.9710144927536225E-2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92</v>
      </c>
      <c r="C14" s="39">
        <f>IF(B$3=0,0,B14/B$3)</f>
        <v>0.1803921568627451</v>
      </c>
      <c r="E14" s="63" t="s">
        <v>84</v>
      </c>
      <c r="F14" s="60" t="s">
        <v>39</v>
      </c>
      <c r="G14" s="47">
        <v>7</v>
      </c>
      <c r="H14" s="133">
        <f>IF(B$17=0,0,G14/B$17)</f>
        <v>5.0724637681159424E-2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83</v>
      </c>
      <c r="C15" s="37">
        <f>IF(B$13=0,0,B15/B$13)</f>
        <v>0.59712230215827333</v>
      </c>
      <c r="E15" s="63" t="s">
        <v>79</v>
      </c>
      <c r="F15" s="60" t="s">
        <v>34</v>
      </c>
      <c r="G15" s="47">
        <v>6</v>
      </c>
      <c r="H15" s="133">
        <f>IF(B$17=0,0,G15/B$17)</f>
        <v>4.3478260869565216E-2</v>
      </c>
      <c r="I15" s="94">
        <v>3</v>
      </c>
      <c r="K15" s="38">
        <v>13</v>
      </c>
      <c r="L15" s="99">
        <v>-58.7</v>
      </c>
      <c r="N15" s="114" t="s">
        <v>186</v>
      </c>
      <c r="O15" s="124">
        <f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33</v>
      </c>
      <c r="C16" s="37">
        <f>IF(B$14=0,0,B16/B$14)</f>
        <v>0.35869565217391303</v>
      </c>
      <c r="E16" s="63" t="s">
        <v>82</v>
      </c>
      <c r="F16" s="60" t="s">
        <v>37</v>
      </c>
      <c r="G16" s="47">
        <v>5</v>
      </c>
      <c r="H16" s="133">
        <f>IF(B$17=0,0,G16/B$17)</f>
        <v>3.6231884057971016E-2</v>
      </c>
      <c r="I16" s="94">
        <v>4</v>
      </c>
      <c r="K16" s="38">
        <v>14</v>
      </c>
      <c r="L16" s="99">
        <v>-29.400000000000002</v>
      </c>
      <c r="N16" s="115" t="s">
        <v>177</v>
      </c>
      <c r="O16" s="125">
        <f>IF(P16=0,0,Q16/P16)</f>
        <v>19.380000000000003</v>
      </c>
      <c r="P16" s="119">
        <v>5</v>
      </c>
      <c r="Q16" s="107">
        <v>96.9</v>
      </c>
    </row>
    <row r="17" spans="1:17" x14ac:dyDescent="0.4">
      <c r="A17" s="54" t="s">
        <v>10</v>
      </c>
      <c r="B17" s="46">
        <f>B19+B18</f>
        <v>138</v>
      </c>
      <c r="C17" s="37">
        <f>IF(B$3=0,0,B17/B$3)</f>
        <v>0.27058823529411763</v>
      </c>
      <c r="E17" s="63" t="s">
        <v>76</v>
      </c>
      <c r="F17" s="60" t="s">
        <v>31</v>
      </c>
      <c r="G17" s="47">
        <v>2</v>
      </c>
      <c r="H17" s="133">
        <f>IF(B$17=0,0,G17/B$17)</f>
        <v>1.4492753623188406E-2</v>
      </c>
      <c r="I17" s="94">
        <v>3</v>
      </c>
      <c r="K17" s="38">
        <v>15</v>
      </c>
      <c r="L17" s="99">
        <v>-26.3</v>
      </c>
      <c r="N17" s="115" t="s">
        <v>129</v>
      </c>
      <c r="O17" s="125">
        <f>IF(P17=0,0,Q17/P17)</f>
        <v>18.473333333333336</v>
      </c>
      <c r="P17" s="119">
        <v>15</v>
      </c>
      <c r="Q17" s="107">
        <v>277.10000000000002</v>
      </c>
    </row>
    <row r="18" spans="1:17" x14ac:dyDescent="0.4">
      <c r="A18" s="55" t="s">
        <v>12</v>
      </c>
      <c r="B18" s="47">
        <v>56</v>
      </c>
      <c r="C18" s="39">
        <f>IF(B$17=0,0,B18/B$17)</f>
        <v>0.40579710144927539</v>
      </c>
      <c r="E18" s="63" t="s">
        <v>92</v>
      </c>
      <c r="F18" s="60" t="s">
        <v>47</v>
      </c>
      <c r="G18" s="47">
        <v>2</v>
      </c>
      <c r="H18" s="133">
        <f>IF(B$17=0,0,G18/B$17)</f>
        <v>1.4492753623188406E-2</v>
      </c>
      <c r="I18" s="94">
        <v>4</v>
      </c>
      <c r="K18" s="38">
        <v>16</v>
      </c>
      <c r="L18" s="99">
        <v>-50.3</v>
      </c>
      <c r="N18" s="115" t="s">
        <v>173</v>
      </c>
      <c r="O18" s="125">
        <f>IF(P18=0,0,Q18/P18)</f>
        <v>13.774999999999999</v>
      </c>
      <c r="P18" s="119">
        <v>16</v>
      </c>
      <c r="Q18" s="107">
        <v>220.39999999999998</v>
      </c>
    </row>
    <row r="19" spans="1:17" x14ac:dyDescent="0.4">
      <c r="A19" s="55" t="s">
        <v>11</v>
      </c>
      <c r="B19" s="47">
        <v>82</v>
      </c>
      <c r="C19" s="39">
        <f>IF(B$17=0,0,B19/B$17)</f>
        <v>0.59420289855072461</v>
      </c>
      <c r="E19" s="63" t="s">
        <v>93</v>
      </c>
      <c r="F19" s="60" t="s">
        <v>48</v>
      </c>
      <c r="G19" s="47">
        <v>2</v>
      </c>
      <c r="H19" s="133">
        <f>IF(B$17=0,0,G19/B$17)</f>
        <v>1.4492753623188406E-2</v>
      </c>
      <c r="I19" s="94">
        <v>1</v>
      </c>
      <c r="K19" s="38">
        <v>17</v>
      </c>
      <c r="L19" s="99">
        <v>-74.3</v>
      </c>
      <c r="N19" s="115" t="s">
        <v>128</v>
      </c>
      <c r="O19" s="125">
        <f>IF(P19=0,0,Q19/P19)</f>
        <v>0.41666666666666002</v>
      </c>
      <c r="P19" s="119">
        <v>30</v>
      </c>
      <c r="Q19" s="107">
        <v>12.499999999999801</v>
      </c>
    </row>
    <row r="20" spans="1:17" x14ac:dyDescent="0.4">
      <c r="A20" s="55" t="s">
        <v>13</v>
      </c>
      <c r="B20" s="47">
        <v>80</v>
      </c>
      <c r="C20" s="39">
        <f>IF(B$3=0,0,B20/B$3)</f>
        <v>0.15686274509803921</v>
      </c>
      <c r="E20" s="63" t="s">
        <v>180</v>
      </c>
      <c r="F20" s="60" t="s">
        <v>183</v>
      </c>
      <c r="G20" s="47">
        <v>2</v>
      </c>
      <c r="H20" s="133">
        <f>IF(B$17=0,0,G20/B$17)</f>
        <v>1.4492753623188406E-2</v>
      </c>
      <c r="I20" s="94">
        <v>4</v>
      </c>
      <c r="K20" s="38">
        <v>18</v>
      </c>
      <c r="L20" s="99">
        <v>-76.099999999999994</v>
      </c>
      <c r="N20" s="115" t="s">
        <v>172</v>
      </c>
      <c r="O20" s="125">
        <f>IF(P20=0,0,Q20/P20)</f>
        <v>-1.0923076923076933</v>
      </c>
      <c r="P20" s="119">
        <v>13</v>
      </c>
      <c r="Q20" s="107">
        <v>-14.200000000000012</v>
      </c>
    </row>
    <row r="21" spans="1:17" x14ac:dyDescent="0.4">
      <c r="A21" s="55" t="s">
        <v>193</v>
      </c>
      <c r="B21" s="47">
        <v>5</v>
      </c>
      <c r="C21" s="135">
        <v>0</v>
      </c>
      <c r="E21" s="63" t="s">
        <v>80</v>
      </c>
      <c r="F21" s="60" t="s">
        <v>35</v>
      </c>
      <c r="G21" s="47">
        <v>1</v>
      </c>
      <c r="H21" s="133">
        <f>IF(B$17=0,0,G21/B$17)</f>
        <v>7.246376811594203E-3</v>
      </c>
      <c r="I21" s="94">
        <v>8</v>
      </c>
      <c r="K21" s="38">
        <v>19</v>
      </c>
      <c r="L21" s="99">
        <v>0.60000000000000853</v>
      </c>
      <c r="N21" s="115" t="s">
        <v>127</v>
      </c>
      <c r="O21" s="125">
        <f>IF(P21=0,0,Q21/P21)</f>
        <v>-9.0222222222222168</v>
      </c>
      <c r="P21" s="119">
        <v>36</v>
      </c>
      <c r="Q21" s="107">
        <v>-324.79999999999978</v>
      </c>
    </row>
    <row r="22" spans="1:17" x14ac:dyDescent="0.4">
      <c r="A22" s="55" t="s">
        <v>194</v>
      </c>
      <c r="B22" s="47">
        <v>20</v>
      </c>
      <c r="C22" s="135">
        <v>0</v>
      </c>
      <c r="E22" s="63" t="s">
        <v>88</v>
      </c>
      <c r="F22" s="60" t="s">
        <v>43</v>
      </c>
      <c r="G22" s="47">
        <v>1</v>
      </c>
      <c r="H22" s="133">
        <f>IF(B$17=0,0,G22/B$17)</f>
        <v>7.246376811594203E-3</v>
      </c>
      <c r="I22" s="94">
        <v>2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9544.927536231884</v>
      </c>
      <c r="C23" s="41">
        <v>1317200</v>
      </c>
      <c r="E23" s="63" t="s">
        <v>74</v>
      </c>
      <c r="F23" s="60" t="s">
        <v>29</v>
      </c>
      <c r="G23" s="47">
        <v>0</v>
      </c>
      <c r="H23" s="133">
        <f>IF(B$17=0,0,G23/B$17)</f>
        <v>0</v>
      </c>
      <c r="I23" s="94">
        <v>6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-7647.5</v>
      </c>
      <c r="C24" s="45">
        <v>-611800</v>
      </c>
      <c r="E24" s="63" t="s">
        <v>75</v>
      </c>
      <c r="F24" s="60" t="s">
        <v>30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77</v>
      </c>
      <c r="F25" s="60" t="s">
        <v>32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78</v>
      </c>
      <c r="F26" s="60" t="s">
        <v>33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1.9607843137254902E-3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-71.099999999999994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-116.49999999999999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93.299999999999983</v>
      </c>
    </row>
    <row r="59" spans="5:12" x14ac:dyDescent="0.4">
      <c r="K59" s="38">
        <v>57</v>
      </c>
      <c r="L59" s="99">
        <v>104.69999999999999</v>
      </c>
    </row>
    <row r="60" spans="5:12" x14ac:dyDescent="0.4">
      <c r="K60" s="38">
        <v>58</v>
      </c>
      <c r="L60" s="99">
        <v>72.499999999999986</v>
      </c>
    </row>
    <row r="61" spans="5:12" x14ac:dyDescent="0.4">
      <c r="K61" s="38">
        <v>59</v>
      </c>
      <c r="L61" s="99">
        <v>87.09999999999998</v>
      </c>
    </row>
    <row r="62" spans="5:12" x14ac:dyDescent="0.4">
      <c r="K62" s="38">
        <v>60</v>
      </c>
      <c r="L62" s="99">
        <v>48.399999999999977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99F75-A9A4-43A6-BD10-1A8799F8CC15}">
  <sheetPr codeName="Sheet15"/>
  <dimension ref="A1:Q5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53</v>
      </c>
      <c r="C2" s="147"/>
      <c r="E2" s="62" t="s">
        <v>67</v>
      </c>
      <c r="F2" s="59" t="s">
        <v>23</v>
      </c>
      <c r="G2" s="46">
        <v>116</v>
      </c>
      <c r="H2" s="132">
        <f>IF(B$17=0,0,G2/B$17)</f>
        <v>0.68639053254437865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505.66037735849056</v>
      </c>
      <c r="P2" s="118">
        <v>53</v>
      </c>
      <c r="Q2" s="102">
        <v>26800</v>
      </c>
    </row>
    <row r="3" spans="1:17" x14ac:dyDescent="0.4">
      <c r="A3" s="55" t="s">
        <v>8</v>
      </c>
      <c r="B3" s="148">
        <v>458</v>
      </c>
      <c r="C3" s="149"/>
      <c r="E3" s="63" t="s">
        <v>73</v>
      </c>
      <c r="F3" s="60" t="s">
        <v>28</v>
      </c>
      <c r="G3" s="47">
        <v>100</v>
      </c>
      <c r="H3" s="133">
        <f>IF(B$17=0,0,G3/B$17)</f>
        <v>0.59171597633136097</v>
      </c>
      <c r="I3" s="94">
        <v>3</v>
      </c>
      <c r="K3" s="38">
        <v>1</v>
      </c>
      <c r="L3" s="99">
        <v>11.1</v>
      </c>
      <c r="N3" s="115" t="s">
        <v>133</v>
      </c>
      <c r="O3" s="122">
        <f t="shared" si="0"/>
        <v>226.41509433962264</v>
      </c>
      <c r="P3" s="119">
        <v>53</v>
      </c>
      <c r="Q3" s="103">
        <v>12000</v>
      </c>
    </row>
    <row r="4" spans="1:17" x14ac:dyDescent="0.4">
      <c r="A4" s="55" t="s">
        <v>6</v>
      </c>
      <c r="B4" s="150">
        <v>65.199999999999989</v>
      </c>
      <c r="C4" s="151"/>
      <c r="E4" s="63" t="s">
        <v>181</v>
      </c>
      <c r="F4" s="60" t="s">
        <v>182</v>
      </c>
      <c r="G4" s="47">
        <v>70</v>
      </c>
      <c r="H4" s="133">
        <f>IF(B$17=0,0,G4/B$17)</f>
        <v>0.41420118343195267</v>
      </c>
      <c r="I4" s="94">
        <v>5</v>
      </c>
      <c r="K4" s="38">
        <v>2</v>
      </c>
      <c r="L4" s="99">
        <v>-7.7000000000000011</v>
      </c>
      <c r="N4" s="115" t="s">
        <v>134</v>
      </c>
      <c r="O4" s="122">
        <f t="shared" si="0"/>
        <v>-358.33333333333331</v>
      </c>
      <c r="P4" s="119">
        <v>48</v>
      </c>
      <c r="Q4" s="103">
        <v>-17200</v>
      </c>
    </row>
    <row r="5" spans="1:17" x14ac:dyDescent="0.4">
      <c r="A5" s="55" t="s">
        <v>7</v>
      </c>
      <c r="B5" s="152">
        <f>IF(B$2=0,0,B$4/B$2)</f>
        <v>1.2301886792452827</v>
      </c>
      <c r="C5" s="153"/>
      <c r="E5" s="63" t="s">
        <v>65</v>
      </c>
      <c r="F5" s="60" t="s">
        <v>21</v>
      </c>
      <c r="G5" s="47">
        <v>60</v>
      </c>
      <c r="H5" s="133">
        <f>IF(B$17=0,0,G5/B$17)</f>
        <v>0.35502958579881655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262.22222222222223</v>
      </c>
      <c r="P5" s="119">
        <v>45</v>
      </c>
      <c r="Q5" s="103">
        <v>11800</v>
      </c>
    </row>
    <row r="6" spans="1:17" x14ac:dyDescent="0.4">
      <c r="A6" s="55" t="s">
        <v>1</v>
      </c>
      <c r="B6" s="142">
        <f>IF(B$2=0,0,(B$7*1+B$8*2+B$9*3)/B$2)</f>
        <v>2.0377358490566038</v>
      </c>
      <c r="C6" s="143"/>
      <c r="E6" s="63" t="s">
        <v>69</v>
      </c>
      <c r="F6" s="60" t="s">
        <v>12</v>
      </c>
      <c r="G6" s="47">
        <v>45</v>
      </c>
      <c r="H6" s="133">
        <f>IF(B$17=0,0,G6/B$17)</f>
        <v>0.26627218934911245</v>
      </c>
      <c r="I6" s="94">
        <v>10</v>
      </c>
      <c r="K6" s="38">
        <v>4</v>
      </c>
      <c r="L6" s="99">
        <v>34.9</v>
      </c>
      <c r="N6" s="115" t="s">
        <v>136</v>
      </c>
      <c r="O6" s="122">
        <f t="shared" si="0"/>
        <v>1381.8181818181818</v>
      </c>
      <c r="P6" s="119">
        <v>44</v>
      </c>
      <c r="Q6" s="103">
        <v>60800</v>
      </c>
    </row>
    <row r="7" spans="1:17" x14ac:dyDescent="0.4">
      <c r="A7" s="55" t="s">
        <v>2</v>
      </c>
      <c r="B7" s="47">
        <v>15</v>
      </c>
      <c r="C7" s="39">
        <f>IF(B$2=0,0,B7/B$2)</f>
        <v>0.28301886792452829</v>
      </c>
      <c r="E7" s="63" t="s">
        <v>68</v>
      </c>
      <c r="F7" s="60" t="s">
        <v>24</v>
      </c>
      <c r="G7" s="47">
        <v>29</v>
      </c>
      <c r="H7" s="133">
        <f>IF(B$17=0,0,G7/B$17)</f>
        <v>0.17159763313609466</v>
      </c>
      <c r="I7" s="94">
        <v>12</v>
      </c>
      <c r="K7" s="38">
        <v>5</v>
      </c>
      <c r="L7" s="99">
        <v>29.4</v>
      </c>
      <c r="N7" s="116" t="s">
        <v>137</v>
      </c>
      <c r="O7" s="123">
        <f t="shared" si="0"/>
        <v>-1105.1282051282051</v>
      </c>
      <c r="P7" s="120">
        <v>39</v>
      </c>
      <c r="Q7" s="104">
        <v>-43100</v>
      </c>
    </row>
    <row r="8" spans="1:17" x14ac:dyDescent="0.4">
      <c r="A8" s="55" t="s">
        <v>3</v>
      </c>
      <c r="B8" s="47">
        <v>21</v>
      </c>
      <c r="C8" s="39">
        <f>IF(B$2=0,0,B8/B$2)</f>
        <v>0.39622641509433965</v>
      </c>
      <c r="E8" s="63" t="s">
        <v>70</v>
      </c>
      <c r="F8" s="60" t="s">
        <v>25</v>
      </c>
      <c r="G8" s="47">
        <v>24</v>
      </c>
      <c r="H8" s="133">
        <f>IF(B$17=0,0,G8/B$17)</f>
        <v>0.14201183431952663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0.32075471698113206</v>
      </c>
      <c r="E9" s="63" t="s">
        <v>66</v>
      </c>
      <c r="F9" s="60" t="s">
        <v>22</v>
      </c>
      <c r="G9" s="47">
        <v>17</v>
      </c>
      <c r="H9" s="133">
        <f>IF(B$17=0,0,G9/B$17)</f>
        <v>0.10059171597633136</v>
      </c>
      <c r="I9" s="94">
        <v>5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5.6603773584905662E-2</v>
      </c>
      <c r="E10" s="63" t="s">
        <v>72</v>
      </c>
      <c r="F10" s="60" t="s">
        <v>27</v>
      </c>
      <c r="G10" s="47">
        <v>12</v>
      </c>
      <c r="H10" s="133">
        <f>IF(B$17=0,0,G10/B$17)</f>
        <v>7.1005917159763315E-2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-9.6466666666666701</v>
      </c>
      <c r="P10" s="118">
        <v>15</v>
      </c>
      <c r="Q10" s="106">
        <v>-144.70000000000005</v>
      </c>
    </row>
    <row r="11" spans="1:17" x14ac:dyDescent="0.4">
      <c r="A11" s="56" t="s">
        <v>140</v>
      </c>
      <c r="B11" s="48">
        <v>6</v>
      </c>
      <c r="C11" s="40">
        <f>IF(B$2=0,0,B11/B$2)</f>
        <v>0.11320754716981132</v>
      </c>
      <c r="E11" s="63" t="s">
        <v>90</v>
      </c>
      <c r="F11" s="60" t="s">
        <v>45</v>
      </c>
      <c r="G11" s="47">
        <v>11</v>
      </c>
      <c r="H11" s="133">
        <f>IF(B$17=0,0,G11/B$17)</f>
        <v>6.5088757396449703E-2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6.7947368421052632</v>
      </c>
      <c r="P11" s="119">
        <v>19</v>
      </c>
      <c r="Q11" s="107">
        <v>129.1</v>
      </c>
    </row>
    <row r="12" spans="1:17" x14ac:dyDescent="0.4">
      <c r="A12" s="57" t="s">
        <v>160</v>
      </c>
      <c r="B12" s="49">
        <v>2</v>
      </c>
      <c r="C12" s="42">
        <f>IF(B$2=0,0,B12/B$2)</f>
        <v>3.7735849056603772E-2</v>
      </c>
      <c r="E12" s="63" t="s">
        <v>71</v>
      </c>
      <c r="F12" s="60" t="s">
        <v>26</v>
      </c>
      <c r="G12" s="47">
        <v>10</v>
      </c>
      <c r="H12" s="133">
        <f>IF(B$17=0,0,G12/B$17)</f>
        <v>5.9171597633136092E-2</v>
      </c>
      <c r="I12" s="94">
        <v>8</v>
      </c>
      <c r="K12" s="38">
        <v>10</v>
      </c>
      <c r="L12" s="99">
        <v>24.200000000000003</v>
      </c>
      <c r="N12" s="116" t="s">
        <v>166</v>
      </c>
      <c r="O12" s="126">
        <f>IF(P12=0,0,Q12/P12)</f>
        <v>4.2526315789473692</v>
      </c>
      <c r="P12" s="120">
        <v>19</v>
      </c>
      <c r="Q12" s="108">
        <v>80.800000000000011</v>
      </c>
    </row>
    <row r="13" spans="1:17" x14ac:dyDescent="0.4">
      <c r="A13" s="58" t="s">
        <v>122</v>
      </c>
      <c r="B13" s="50">
        <v>101</v>
      </c>
      <c r="C13" s="44">
        <f>IF(B$3=0,0,B13/B$3)</f>
        <v>0.2205240174672489</v>
      </c>
      <c r="E13" s="63" t="s">
        <v>84</v>
      </c>
      <c r="F13" s="60" t="s">
        <v>39</v>
      </c>
      <c r="G13" s="47">
        <v>8</v>
      </c>
      <c r="H13" s="133">
        <f>IF(B$17=0,0,G13/B$17)</f>
        <v>4.7337278106508875E-2</v>
      </c>
      <c r="I13" s="94">
        <v>4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137</v>
      </c>
      <c r="C14" s="39">
        <f>IF(B$3=0,0,B14/B$3)</f>
        <v>0.29912663755458513</v>
      </c>
      <c r="E14" s="63" t="s">
        <v>87</v>
      </c>
      <c r="F14" s="60" t="s">
        <v>42</v>
      </c>
      <c r="G14" s="47">
        <v>8</v>
      </c>
      <c r="H14" s="133">
        <f>IF(B$17=0,0,G14/B$17)</f>
        <v>4.7337278106508875E-2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60</v>
      </c>
      <c r="C15" s="37">
        <f>IF(B$13=0,0,B15/B$13)</f>
        <v>0.59405940594059403</v>
      </c>
      <c r="E15" s="63" t="s">
        <v>82</v>
      </c>
      <c r="F15" s="60" t="s">
        <v>37</v>
      </c>
      <c r="G15" s="47">
        <v>5</v>
      </c>
      <c r="H15" s="133">
        <f>IF(B$17=0,0,G15/B$17)</f>
        <v>2.9585798816568046E-2</v>
      </c>
      <c r="I15" s="94">
        <v>8</v>
      </c>
      <c r="K15" s="38">
        <v>13</v>
      </c>
      <c r="L15" s="99">
        <v>-3</v>
      </c>
      <c r="N15" s="114" t="s">
        <v>129</v>
      </c>
      <c r="O15" s="124">
        <f>IF(P15=0,0,Q15/P15)</f>
        <v>46.581818181818157</v>
      </c>
      <c r="P15" s="118">
        <v>11</v>
      </c>
      <c r="Q15" s="106">
        <v>512.39999999999975</v>
      </c>
    </row>
    <row r="16" spans="1:17" x14ac:dyDescent="0.4">
      <c r="A16" s="54" t="s">
        <v>125</v>
      </c>
      <c r="B16" s="46">
        <v>59</v>
      </c>
      <c r="C16" s="37">
        <f>IF(B$14=0,0,B16/B$14)</f>
        <v>0.43065693430656932</v>
      </c>
      <c r="E16" s="63" t="s">
        <v>79</v>
      </c>
      <c r="F16" s="60" t="s">
        <v>34</v>
      </c>
      <c r="G16" s="47">
        <v>2</v>
      </c>
      <c r="H16" s="133">
        <f>IF(B$17=0,0,G16/B$17)</f>
        <v>1.1834319526627219E-2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169</v>
      </c>
      <c r="C17" s="37">
        <f>IF(B$3=0,0,B17/B$3)</f>
        <v>0.36899563318777295</v>
      </c>
      <c r="E17" s="63" t="s">
        <v>80</v>
      </c>
      <c r="F17" s="60" t="s">
        <v>35</v>
      </c>
      <c r="G17" s="47">
        <v>2</v>
      </c>
      <c r="H17" s="133">
        <f>IF(B$17=0,0,G17/B$17)</f>
        <v>1.1834319526627219E-2</v>
      </c>
      <c r="I17" s="94">
        <v>6</v>
      </c>
      <c r="K17" s="38">
        <v>15</v>
      </c>
      <c r="L17" s="99">
        <v>-80.3</v>
      </c>
      <c r="N17" s="115" t="s">
        <v>177</v>
      </c>
      <c r="O17" s="125">
        <f>IF(P17=0,0,Q17/P17)</f>
        <v>18.733333333333334</v>
      </c>
      <c r="P17" s="119">
        <v>6</v>
      </c>
      <c r="Q17" s="107">
        <v>112.4</v>
      </c>
    </row>
    <row r="18" spans="1:17" x14ac:dyDescent="0.4">
      <c r="A18" s="55" t="s">
        <v>12</v>
      </c>
      <c r="B18" s="47">
        <v>71</v>
      </c>
      <c r="C18" s="39">
        <f>IF(B$17=0,0,B18/B$17)</f>
        <v>0.42011834319526625</v>
      </c>
      <c r="E18" s="63" t="s">
        <v>92</v>
      </c>
      <c r="F18" s="60" t="s">
        <v>47</v>
      </c>
      <c r="G18" s="47">
        <v>2</v>
      </c>
      <c r="H18" s="133">
        <f>IF(B$17=0,0,G18/B$17)</f>
        <v>1.1834319526627219E-2</v>
      </c>
      <c r="I18" s="94">
        <v>6</v>
      </c>
      <c r="K18" s="38">
        <v>16</v>
      </c>
      <c r="L18" s="99">
        <v>-87.6</v>
      </c>
      <c r="N18" s="115" t="s">
        <v>186</v>
      </c>
      <c r="O18" s="125">
        <f>IF(P18=0,0,Q18/P18)</f>
        <v>17.349999999999998</v>
      </c>
      <c r="P18" s="119">
        <v>2</v>
      </c>
      <c r="Q18" s="107">
        <v>34.699999999999996</v>
      </c>
    </row>
    <row r="19" spans="1:17" x14ac:dyDescent="0.4">
      <c r="A19" s="55" t="s">
        <v>11</v>
      </c>
      <c r="B19" s="47">
        <v>98</v>
      </c>
      <c r="C19" s="39">
        <f>IF(B$17=0,0,B19/B$17)</f>
        <v>0.57988165680473369</v>
      </c>
      <c r="E19" s="63" t="s">
        <v>88</v>
      </c>
      <c r="F19" s="60" t="s">
        <v>43</v>
      </c>
      <c r="G19" s="47">
        <v>1</v>
      </c>
      <c r="H19" s="133">
        <f>IF(B$17=0,0,G19/B$17)</f>
        <v>5.9171597633136093E-3</v>
      </c>
      <c r="I19" s="94">
        <v>3</v>
      </c>
      <c r="K19" s="38">
        <v>17</v>
      </c>
      <c r="L19" s="99">
        <v>-55.099999999999994</v>
      </c>
      <c r="N19" s="115" t="s">
        <v>202</v>
      </c>
      <c r="O19" s="125">
        <f>IF(P19=0,0,Q19/P19)</f>
        <v>16.449999999999996</v>
      </c>
      <c r="P19" s="119">
        <v>4</v>
      </c>
      <c r="Q19" s="107">
        <v>65.799999999999983</v>
      </c>
    </row>
    <row r="20" spans="1:17" x14ac:dyDescent="0.4">
      <c r="A20" s="55" t="s">
        <v>13</v>
      </c>
      <c r="B20" s="47">
        <v>61</v>
      </c>
      <c r="C20" s="39">
        <f>IF(B$3=0,0,B20/B$3)</f>
        <v>0.1331877729257642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-28.199999999999996</v>
      </c>
      <c r="N20" s="115" t="s">
        <v>173</v>
      </c>
      <c r="O20" s="125">
        <f>IF(P20=0,0,Q20/P20)</f>
        <v>9.2399999999999984</v>
      </c>
      <c r="P20" s="119">
        <v>10</v>
      </c>
      <c r="Q20" s="107">
        <v>92.399999999999977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5</v>
      </c>
      <c r="K21" s="38">
        <v>19</v>
      </c>
      <c r="L21" s="99">
        <v>29.200000000000003</v>
      </c>
      <c r="N21" s="115" t="s">
        <v>171</v>
      </c>
      <c r="O21" s="125">
        <f>IF(P21=0,0,Q21/P21)</f>
        <v>1.0923076923076911</v>
      </c>
      <c r="P21" s="119">
        <v>13</v>
      </c>
      <c r="Q21" s="107">
        <v>14.199999999999983</v>
      </c>
    </row>
    <row r="22" spans="1:17" x14ac:dyDescent="0.4">
      <c r="A22" s="55" t="s">
        <v>194</v>
      </c>
      <c r="B22" s="47">
        <v>23</v>
      </c>
      <c r="C22" s="135">
        <v>3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7</v>
      </c>
      <c r="K22" s="38">
        <v>20</v>
      </c>
      <c r="L22" s="99">
        <v>43</v>
      </c>
      <c r="N22" s="115" t="s">
        <v>128</v>
      </c>
      <c r="O22" s="125">
        <f>IF(P22=0,0,Q22/P22)</f>
        <v>-1.0700000000000003</v>
      </c>
      <c r="P22" s="119">
        <v>30</v>
      </c>
      <c r="Q22" s="107">
        <v>-32.100000000000009</v>
      </c>
    </row>
    <row r="23" spans="1:17" x14ac:dyDescent="0.4">
      <c r="A23" s="55" t="s">
        <v>5</v>
      </c>
      <c r="B23" s="51">
        <f>IF(B$17=0,0,C23/B$17)</f>
        <v>6523.0769230769229</v>
      </c>
      <c r="C23" s="41">
        <v>1102400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89.9</v>
      </c>
      <c r="N23" s="115" t="s">
        <v>127</v>
      </c>
      <c r="O23" s="125">
        <f>IF(P23=0,0,Q23/P23)</f>
        <v>-21.879310344827591</v>
      </c>
      <c r="P23" s="119">
        <v>29</v>
      </c>
      <c r="Q23" s="107">
        <v>-634.50000000000011</v>
      </c>
    </row>
    <row r="24" spans="1:17" x14ac:dyDescent="0.4">
      <c r="A24" s="57" t="s">
        <v>14</v>
      </c>
      <c r="B24" s="52">
        <f>IF(B$20=0,0,C24/B$20)</f>
        <v>-9157.377049180328</v>
      </c>
      <c r="C24" s="45">
        <v>-558600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2.1834061135371178E-3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0711-F9E4-4AF2-A433-CFFA129B58E0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39</v>
      </c>
      <c r="C2" s="147"/>
      <c r="E2" s="62" t="s">
        <v>67</v>
      </c>
      <c r="F2" s="59" t="s">
        <v>23</v>
      </c>
      <c r="G2" s="46">
        <v>73</v>
      </c>
      <c r="H2" s="132">
        <f>IF(B$17=0,0,G2/B$17)</f>
        <v>0.70873786407766992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-2487.1794871794873</v>
      </c>
      <c r="P2" s="118">
        <v>39</v>
      </c>
      <c r="Q2" s="102">
        <v>-97000</v>
      </c>
    </row>
    <row r="3" spans="1:17" x14ac:dyDescent="0.4">
      <c r="A3" s="55" t="s">
        <v>8</v>
      </c>
      <c r="B3" s="148">
        <v>342</v>
      </c>
      <c r="C3" s="149"/>
      <c r="E3" s="63" t="s">
        <v>73</v>
      </c>
      <c r="F3" s="60" t="s">
        <v>28</v>
      </c>
      <c r="G3" s="47">
        <v>53</v>
      </c>
      <c r="H3" s="133">
        <f>IF(B$17=0,0,G3/B$17)</f>
        <v>0.5145631067961165</v>
      </c>
      <c r="I3" s="94">
        <v>6</v>
      </c>
      <c r="K3" s="38">
        <v>1</v>
      </c>
      <c r="L3" s="99">
        <v>-82.6</v>
      </c>
      <c r="N3" s="115" t="s">
        <v>133</v>
      </c>
      <c r="O3" s="122">
        <f t="shared" si="0"/>
        <v>1597.4358974358975</v>
      </c>
      <c r="P3" s="119">
        <v>39</v>
      </c>
      <c r="Q3" s="103">
        <v>62300</v>
      </c>
    </row>
    <row r="4" spans="1:17" x14ac:dyDescent="0.4">
      <c r="A4" s="55" t="s">
        <v>6</v>
      </c>
      <c r="B4" s="150">
        <v>-223.9</v>
      </c>
      <c r="C4" s="151"/>
      <c r="E4" s="63" t="s">
        <v>65</v>
      </c>
      <c r="F4" s="60" t="s">
        <v>21</v>
      </c>
      <c r="G4" s="47">
        <v>47</v>
      </c>
      <c r="H4" s="133">
        <f>IF(B$17=0,0,G4/B$17)</f>
        <v>0.4563106796116505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-716.21621621621625</v>
      </c>
      <c r="P4" s="119">
        <v>37</v>
      </c>
      <c r="Q4" s="103">
        <v>-26500</v>
      </c>
    </row>
    <row r="5" spans="1:17" x14ac:dyDescent="0.4">
      <c r="A5" s="55" t="s">
        <v>7</v>
      </c>
      <c r="B5" s="152">
        <f>IF(B$2=0,0,B$4/B$2)</f>
        <v>-5.7410256410256411</v>
      </c>
      <c r="C5" s="153"/>
      <c r="E5" s="63" t="s">
        <v>69</v>
      </c>
      <c r="F5" s="60" t="s">
        <v>12</v>
      </c>
      <c r="G5" s="47">
        <v>40</v>
      </c>
      <c r="H5" s="133">
        <f>IF(B$17=0,0,G5/B$17)</f>
        <v>0.38834951456310679</v>
      </c>
      <c r="I5" s="94">
        <v>5</v>
      </c>
      <c r="K5" s="38">
        <v>3</v>
      </c>
      <c r="L5" s="99">
        <v>-149</v>
      </c>
      <c r="N5" s="115" t="s">
        <v>135</v>
      </c>
      <c r="O5" s="122">
        <f t="shared" si="0"/>
        <v>-4045.7142857142858</v>
      </c>
      <c r="P5" s="119">
        <v>35</v>
      </c>
      <c r="Q5" s="103">
        <v>-141600</v>
      </c>
    </row>
    <row r="6" spans="1:17" x14ac:dyDescent="0.4">
      <c r="A6" s="55" t="s">
        <v>1</v>
      </c>
      <c r="B6" s="142">
        <f>IF(B$2=0,0,(B$7*1+B$8*2+B$9*3)/B$2)</f>
        <v>2.0512820512820511</v>
      </c>
      <c r="C6" s="143"/>
      <c r="E6" s="63" t="s">
        <v>181</v>
      </c>
      <c r="F6" s="60" t="s">
        <v>182</v>
      </c>
      <c r="G6" s="47">
        <v>38</v>
      </c>
      <c r="H6" s="133">
        <f>IF(B$17=0,0,G6/B$17)</f>
        <v>0.36893203883495146</v>
      </c>
      <c r="I6" s="94">
        <v>10</v>
      </c>
      <c r="K6" s="38">
        <v>4</v>
      </c>
      <c r="L6" s="99">
        <v>-150.6</v>
      </c>
      <c r="N6" s="115" t="s">
        <v>136</v>
      </c>
      <c r="O6" s="122">
        <f t="shared" si="0"/>
        <v>145.16129032258064</v>
      </c>
      <c r="P6" s="119">
        <v>31</v>
      </c>
      <c r="Q6" s="103">
        <v>4500</v>
      </c>
    </row>
    <row r="7" spans="1:17" x14ac:dyDescent="0.4">
      <c r="A7" s="55" t="s">
        <v>2</v>
      </c>
      <c r="B7" s="47">
        <v>11</v>
      </c>
      <c r="C7" s="39">
        <f>IF(B$2=0,0,B7/B$2)</f>
        <v>0.28205128205128205</v>
      </c>
      <c r="E7" s="63" t="s">
        <v>68</v>
      </c>
      <c r="F7" s="60" t="s">
        <v>24</v>
      </c>
      <c r="G7" s="47">
        <v>26</v>
      </c>
      <c r="H7" s="133">
        <f>IF(B$17=0,0,G7/B$17)</f>
        <v>0.25242718446601942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680</v>
      </c>
      <c r="P7" s="120">
        <v>30</v>
      </c>
      <c r="Q7" s="104">
        <v>20400</v>
      </c>
    </row>
    <row r="8" spans="1:17" x14ac:dyDescent="0.4">
      <c r="A8" s="55" t="s">
        <v>3</v>
      </c>
      <c r="B8" s="47">
        <v>15</v>
      </c>
      <c r="C8" s="39">
        <f>IF(B$2=0,0,B8/B$2)</f>
        <v>0.38461538461538464</v>
      </c>
      <c r="E8" s="63" t="s">
        <v>71</v>
      </c>
      <c r="F8" s="60" t="s">
        <v>26</v>
      </c>
      <c r="G8" s="47">
        <v>13</v>
      </c>
      <c r="H8" s="133">
        <f>IF(B$17=0,0,G8/B$17)</f>
        <v>0.12621359223300971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12</v>
      </c>
      <c r="H9" s="133">
        <f>IF(B$17=0,0,G9/B$17)</f>
        <v>0.11650485436893204</v>
      </c>
      <c r="I9" s="94">
        <v>8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0.10256410256410256</v>
      </c>
      <c r="E10" s="63" t="s">
        <v>70</v>
      </c>
      <c r="F10" s="60" t="s">
        <v>25</v>
      </c>
      <c r="G10" s="47">
        <v>11</v>
      </c>
      <c r="H10" s="133">
        <f>IF(B$17=0,0,G10/B$17)</f>
        <v>0.10679611650485436</v>
      </c>
      <c r="I10" s="94">
        <v>10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5.128205128205128E-2</v>
      </c>
      <c r="E11" s="63" t="s">
        <v>66</v>
      </c>
      <c r="F11" s="60" t="s">
        <v>22</v>
      </c>
      <c r="G11" s="47">
        <v>8</v>
      </c>
      <c r="H11" s="133">
        <f>IF(B$17=0,0,G11/B$17)</f>
        <v>7.7669902912621352E-2</v>
      </c>
      <c r="I11" s="94">
        <v>8</v>
      </c>
      <c r="K11" s="38">
        <v>9</v>
      </c>
      <c r="L11" s="99">
        <v>-260.59999999999997</v>
      </c>
      <c r="N11" s="115" t="s">
        <v>165</v>
      </c>
      <c r="O11" s="125">
        <f>IF(P11=0,0,Q11/P11)</f>
        <v>-5.2111111111111104</v>
      </c>
      <c r="P11" s="119">
        <v>18</v>
      </c>
      <c r="Q11" s="107">
        <v>-93.799999999999983</v>
      </c>
    </row>
    <row r="12" spans="1:17" x14ac:dyDescent="0.4">
      <c r="A12" s="57" t="s">
        <v>160</v>
      </c>
      <c r="B12" s="49">
        <v>1</v>
      </c>
      <c r="C12" s="42">
        <f>IF(B$2=0,0,B12/B$2)</f>
        <v>2.564102564102564E-2</v>
      </c>
      <c r="E12" s="63" t="s">
        <v>72</v>
      </c>
      <c r="F12" s="60" t="s">
        <v>27</v>
      </c>
      <c r="G12" s="47">
        <v>6</v>
      </c>
      <c r="H12" s="133">
        <f>IF(B$17=0,0,G12/B$17)</f>
        <v>5.8252427184466021E-2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-5.4636363636363621</v>
      </c>
      <c r="P12" s="120">
        <v>11</v>
      </c>
      <c r="Q12" s="108">
        <v>-60.099999999999987</v>
      </c>
    </row>
    <row r="13" spans="1:17" x14ac:dyDescent="0.4">
      <c r="A13" s="58" t="s">
        <v>122</v>
      </c>
      <c r="B13" s="50">
        <v>80</v>
      </c>
      <c r="C13" s="44">
        <f>IF(B$3=0,0,B13/B$3)</f>
        <v>0.23391812865497075</v>
      </c>
      <c r="E13" s="63" t="s">
        <v>87</v>
      </c>
      <c r="F13" s="60" t="s">
        <v>42</v>
      </c>
      <c r="G13" s="47">
        <v>4</v>
      </c>
      <c r="H13" s="133">
        <f>IF(B$17=0,0,G13/B$17)</f>
        <v>3.8834951456310676E-2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85</v>
      </c>
      <c r="C14" s="39">
        <f>IF(B$3=0,0,B14/B$3)</f>
        <v>0.24853801169590642</v>
      </c>
      <c r="E14" s="63" t="s">
        <v>74</v>
      </c>
      <c r="F14" s="60" t="s">
        <v>29</v>
      </c>
      <c r="G14" s="47">
        <v>2</v>
      </c>
      <c r="H14" s="133">
        <f>IF(B$17=0,0,G14/B$17)</f>
        <v>1.9417475728155338E-2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</v>
      </c>
      <c r="E15" s="63" t="s">
        <v>79</v>
      </c>
      <c r="F15" s="60" t="s">
        <v>34</v>
      </c>
      <c r="G15" s="47">
        <v>2</v>
      </c>
      <c r="H15" s="133">
        <f>IF(B$17=0,0,G15/B$17)</f>
        <v>1.9417475728155338E-2</v>
      </c>
      <c r="I15" s="94">
        <v>6</v>
      </c>
      <c r="K15" s="38">
        <v>13</v>
      </c>
      <c r="L15" s="99">
        <v>-302.59999999999997</v>
      </c>
      <c r="N15" s="114" t="s">
        <v>129</v>
      </c>
      <c r="O15" s="124">
        <f>IF(P15=0,0,Q15/P15)</f>
        <v>30.3</v>
      </c>
      <c r="P15" s="118">
        <v>7</v>
      </c>
      <c r="Q15" s="106">
        <v>212.1</v>
      </c>
    </row>
    <row r="16" spans="1:17" x14ac:dyDescent="0.4">
      <c r="A16" s="54" t="s">
        <v>125</v>
      </c>
      <c r="B16" s="46">
        <v>29</v>
      </c>
      <c r="C16" s="37">
        <f>IF(B$14=0,0,B16/B$14)</f>
        <v>0.3411764705882353</v>
      </c>
      <c r="E16" s="63" t="s">
        <v>80</v>
      </c>
      <c r="F16" s="60" t="s">
        <v>35</v>
      </c>
      <c r="G16" s="47">
        <v>2</v>
      </c>
      <c r="H16" s="133">
        <f>IF(B$17=0,0,G16/B$17)</f>
        <v>1.9417475728155338E-2</v>
      </c>
      <c r="I16" s="94">
        <v>3</v>
      </c>
      <c r="K16" s="38">
        <v>14</v>
      </c>
      <c r="L16" s="99">
        <v>-269.99999999999994</v>
      </c>
      <c r="N16" s="115" t="s">
        <v>128</v>
      </c>
      <c r="O16" s="125">
        <f>IF(P16=0,0,Q16/P16)</f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103</v>
      </c>
      <c r="C17" s="37">
        <f>IF(B$3=0,0,B17/B$3)</f>
        <v>0.30116959064327486</v>
      </c>
      <c r="E17" s="63" t="s">
        <v>84</v>
      </c>
      <c r="F17" s="60" t="s">
        <v>39</v>
      </c>
      <c r="G17" s="47">
        <v>2</v>
      </c>
      <c r="H17" s="133">
        <f>IF(B$17=0,0,G17/B$17)</f>
        <v>1.9417475728155338E-2</v>
      </c>
      <c r="I17" s="94">
        <v>9</v>
      </c>
      <c r="K17" s="38">
        <v>15</v>
      </c>
      <c r="L17" s="99">
        <v>-264.59999999999997</v>
      </c>
      <c r="N17" s="115" t="s">
        <v>172</v>
      </c>
      <c r="O17" s="125">
        <f>IF(P17=0,0,Q17/P17)</f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53</v>
      </c>
      <c r="C18" s="39">
        <f>IF(B$17=0,0,B18/B$17)</f>
        <v>0.5145631067961165</v>
      </c>
      <c r="E18" s="63" t="s">
        <v>92</v>
      </c>
      <c r="F18" s="60" t="s">
        <v>47</v>
      </c>
      <c r="G18" s="47">
        <v>1</v>
      </c>
      <c r="H18" s="133">
        <f>IF(B$17=0,0,G18/B$17)</f>
        <v>9.7087378640776691E-3</v>
      </c>
      <c r="I18" s="94">
        <v>8</v>
      </c>
      <c r="K18" s="38">
        <v>16</v>
      </c>
      <c r="L18" s="99">
        <v>-292.79999999999995</v>
      </c>
      <c r="N18" s="115" t="s">
        <v>171</v>
      </c>
      <c r="O18" s="125">
        <f>IF(P18=0,0,Q18/P18)</f>
        <v>-13.774999999999999</v>
      </c>
      <c r="P18" s="119">
        <v>16</v>
      </c>
      <c r="Q18" s="107">
        <v>-220.39999999999998</v>
      </c>
    </row>
    <row r="19" spans="1:17" x14ac:dyDescent="0.4">
      <c r="A19" s="55" t="s">
        <v>11</v>
      </c>
      <c r="B19" s="47">
        <v>50</v>
      </c>
      <c r="C19" s="39">
        <f>IF(B$17=0,0,B19/B$17)</f>
        <v>0.4854368932038835</v>
      </c>
      <c r="E19" s="63" t="s">
        <v>180</v>
      </c>
      <c r="F19" s="60" t="s">
        <v>183</v>
      </c>
      <c r="G19" s="47">
        <v>1</v>
      </c>
      <c r="H19" s="133">
        <f>IF(B$17=0,0,G19/B$17)</f>
        <v>9.7087378640776691E-3</v>
      </c>
      <c r="I19" s="94">
        <v>5</v>
      </c>
      <c r="K19" s="38">
        <v>17</v>
      </c>
      <c r="L19" s="99">
        <v>-248.89999999999995</v>
      </c>
      <c r="N19" s="115" t="s">
        <v>127</v>
      </c>
      <c r="O19" s="125">
        <f>IF(P19=0,0,Q19/P19)</f>
        <v>-22.754999999999995</v>
      </c>
      <c r="P19" s="119">
        <v>20</v>
      </c>
      <c r="Q19" s="107">
        <v>-455.09999999999991</v>
      </c>
    </row>
    <row r="20" spans="1:17" x14ac:dyDescent="0.4">
      <c r="A20" s="55" t="s">
        <v>13</v>
      </c>
      <c r="B20" s="47">
        <v>65</v>
      </c>
      <c r="C20" s="39">
        <f>IF(B$3=0,0,B20/B$3)</f>
        <v>0.19005847953216373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5</v>
      </c>
      <c r="K20" s="38">
        <v>18</v>
      </c>
      <c r="L20" s="99">
        <v>-218.99999999999994</v>
      </c>
      <c r="N20" s="115" t="s">
        <v>177</v>
      </c>
      <c r="O20" s="125">
        <f>IF(P20=0,0,Q20/P20)</f>
        <v>-33.6</v>
      </c>
      <c r="P20" s="119">
        <v>3</v>
      </c>
      <c r="Q20" s="107">
        <v>-100.80000000000001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6838.8349514563106</v>
      </c>
      <c r="C23" s="41">
        <v>704400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-7690.7692307692305</v>
      </c>
      <c r="C24" s="45">
        <v>-499900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10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5.8479532163742687E-3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3AF2F-8C90-485B-BD2B-28D912A0493C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28</v>
      </c>
      <c r="C2" s="147"/>
      <c r="E2" s="62" t="s">
        <v>65</v>
      </c>
      <c r="F2" s="59" t="s">
        <v>21</v>
      </c>
      <c r="G2" s="46">
        <v>34</v>
      </c>
      <c r="H2" s="132">
        <f>IF(B$17=0,0,G2/B$17)</f>
        <v>0.53125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-2317.8571428571427</v>
      </c>
      <c r="P2" s="118">
        <v>28</v>
      </c>
      <c r="Q2" s="102">
        <v>-64900</v>
      </c>
    </row>
    <row r="3" spans="1:17" x14ac:dyDescent="0.4">
      <c r="A3" s="55" t="s">
        <v>8</v>
      </c>
      <c r="B3" s="148">
        <v>235</v>
      </c>
      <c r="C3" s="149"/>
      <c r="E3" s="63" t="s">
        <v>67</v>
      </c>
      <c r="F3" s="60" t="s">
        <v>23</v>
      </c>
      <c r="G3" s="47">
        <v>33</v>
      </c>
      <c r="H3" s="133">
        <f>IF(B$17=0,0,G3/B$17)</f>
        <v>0.515625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0"/>
        <v>-703.7037037037037</v>
      </c>
      <c r="P3" s="119">
        <v>27</v>
      </c>
      <c r="Q3" s="103">
        <v>-19000</v>
      </c>
    </row>
    <row r="4" spans="1:17" x14ac:dyDescent="0.4">
      <c r="A4" s="55" t="s">
        <v>6</v>
      </c>
      <c r="B4" s="150">
        <v>-224</v>
      </c>
      <c r="C4" s="151"/>
      <c r="E4" s="63" t="s">
        <v>73</v>
      </c>
      <c r="F4" s="60" t="s">
        <v>28</v>
      </c>
      <c r="G4" s="47">
        <v>32</v>
      </c>
      <c r="H4" s="133">
        <f>IF(B$17=0,0,G4/B$17)</f>
        <v>0.5</v>
      </c>
      <c r="I4" s="94">
        <v>8</v>
      </c>
      <c r="K4" s="38">
        <v>2</v>
      </c>
      <c r="L4" s="99">
        <v>30</v>
      </c>
      <c r="N4" s="115" t="s">
        <v>134</v>
      </c>
      <c r="O4" s="122">
        <f t="shared" si="0"/>
        <v>-1792</v>
      </c>
      <c r="P4" s="119">
        <v>25</v>
      </c>
      <c r="Q4" s="103">
        <v>-44800</v>
      </c>
    </row>
    <row r="5" spans="1:17" x14ac:dyDescent="0.4">
      <c r="A5" s="55" t="s">
        <v>7</v>
      </c>
      <c r="B5" s="152">
        <f>IF(B$2=0,0,B$4/B$2)</f>
        <v>-8</v>
      </c>
      <c r="C5" s="153"/>
      <c r="E5" s="63" t="s">
        <v>181</v>
      </c>
      <c r="F5" s="60" t="s">
        <v>182</v>
      </c>
      <c r="G5" s="47">
        <v>23</v>
      </c>
      <c r="H5" s="133">
        <f>IF(B$17=0,0,G5/B$17)</f>
        <v>0.359375</v>
      </c>
      <c r="I5" s="94">
        <v>11</v>
      </c>
      <c r="K5" s="38">
        <v>3</v>
      </c>
      <c r="L5" s="99">
        <v>-10</v>
      </c>
      <c r="N5" s="115" t="s">
        <v>135</v>
      </c>
      <c r="O5" s="122">
        <f t="shared" si="0"/>
        <v>320.83333333333331</v>
      </c>
      <c r="P5" s="119">
        <v>24</v>
      </c>
      <c r="Q5" s="103">
        <v>7700</v>
      </c>
    </row>
    <row r="6" spans="1:17" x14ac:dyDescent="0.4">
      <c r="A6" s="55" t="s">
        <v>1</v>
      </c>
      <c r="B6" s="142">
        <f>IF(B$2=0,0,(B$7*1+B$8*2+B$9*3)/B$2)</f>
        <v>2.0714285714285716</v>
      </c>
      <c r="C6" s="143"/>
      <c r="E6" s="63" t="s">
        <v>68</v>
      </c>
      <c r="F6" s="60" t="s">
        <v>24</v>
      </c>
      <c r="G6" s="47">
        <v>18</v>
      </c>
      <c r="H6" s="133">
        <f>IF(B$17=0,0,G6/B$17)</f>
        <v>0.28125</v>
      </c>
      <c r="I6" s="94">
        <v>10</v>
      </c>
      <c r="K6" s="38">
        <v>4</v>
      </c>
      <c r="L6" s="99">
        <v>40</v>
      </c>
      <c r="N6" s="115" t="s">
        <v>136</v>
      </c>
      <c r="O6" s="122">
        <f t="shared" si="0"/>
        <v>-1350</v>
      </c>
      <c r="P6" s="119">
        <v>22</v>
      </c>
      <c r="Q6" s="103">
        <v>-29700</v>
      </c>
    </row>
    <row r="7" spans="1:17" x14ac:dyDescent="0.4">
      <c r="A7" s="55" t="s">
        <v>2</v>
      </c>
      <c r="B7" s="47">
        <v>9</v>
      </c>
      <c r="C7" s="39">
        <f>IF(B$2=0,0,B7/B$2)</f>
        <v>0.32142857142857145</v>
      </c>
      <c r="E7" s="63" t="s">
        <v>69</v>
      </c>
      <c r="F7" s="60" t="s">
        <v>12</v>
      </c>
      <c r="G7" s="47">
        <v>17</v>
      </c>
      <c r="H7" s="133">
        <f>IF(B$17=0,0,G7/B$17)</f>
        <v>0.265625</v>
      </c>
      <c r="I7" s="94">
        <v>11</v>
      </c>
      <c r="K7" s="38">
        <v>5</v>
      </c>
      <c r="L7" s="99">
        <v>35.4</v>
      </c>
      <c r="N7" s="116" t="s">
        <v>137</v>
      </c>
      <c r="O7" s="123">
        <f t="shared" si="0"/>
        <v>257.89473684210526</v>
      </c>
      <c r="P7" s="120">
        <v>19</v>
      </c>
      <c r="Q7" s="104">
        <v>4900</v>
      </c>
    </row>
    <row r="8" spans="1:17" x14ac:dyDescent="0.4">
      <c r="A8" s="55" t="s">
        <v>3</v>
      </c>
      <c r="B8" s="47">
        <v>8</v>
      </c>
      <c r="C8" s="39">
        <f>IF(B$2=0,0,B8/B$2)</f>
        <v>0.2857142857142857</v>
      </c>
      <c r="E8" s="63" t="s">
        <v>70</v>
      </c>
      <c r="F8" s="60" t="s">
        <v>25</v>
      </c>
      <c r="G8" s="47">
        <v>10</v>
      </c>
      <c r="H8" s="133">
        <f>IF(B$17=0,0,G8/B$17)</f>
        <v>0.15625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ref="C9" si="1">IF(B$2=0,0,B9/B$2)</f>
        <v>0.39285714285714285</v>
      </c>
      <c r="E9" s="63" t="s">
        <v>90</v>
      </c>
      <c r="F9" s="60" t="s">
        <v>45</v>
      </c>
      <c r="G9" s="47">
        <v>7</v>
      </c>
      <c r="H9" s="133">
        <f>IF(B$17=0,0,G9/B$17)</f>
        <v>0.109375</v>
      </c>
      <c r="I9" s="94">
        <v>9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0.21428571428571427</v>
      </c>
      <c r="E10" s="63" t="s">
        <v>66</v>
      </c>
      <c r="F10" s="60" t="s">
        <v>22</v>
      </c>
      <c r="G10" s="47">
        <v>5</v>
      </c>
      <c r="H10" s="133">
        <f>IF(B$17=0,0,G10/B$17)</f>
        <v>7.8125E-2</v>
      </c>
      <c r="I10" s="94">
        <v>7</v>
      </c>
      <c r="K10" s="38">
        <v>8</v>
      </c>
      <c r="L10" s="99">
        <v>-87.1</v>
      </c>
      <c r="N10" s="114" t="s">
        <v>164</v>
      </c>
      <c r="O10" s="124">
        <f>IF(P10=0,0,Q10/P10)</f>
        <v>-5.7500000000000027</v>
      </c>
      <c r="P10" s="118">
        <v>6</v>
      </c>
      <c r="Q10" s="106">
        <v>-34.500000000000014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92</v>
      </c>
      <c r="F11" s="60" t="s">
        <v>47</v>
      </c>
      <c r="G11" s="47">
        <v>4</v>
      </c>
      <c r="H11" s="133">
        <f>IF(B$17=0,0,G11/B$17)</f>
        <v>6.25E-2</v>
      </c>
      <c r="I11" s="94">
        <v>1</v>
      </c>
      <c r="K11" s="38">
        <v>9</v>
      </c>
      <c r="L11" s="99">
        <v>-128.6</v>
      </c>
      <c r="N11" s="115" t="s">
        <v>165</v>
      </c>
      <c r="O11" s="125">
        <f>IF(P11=0,0,Q11/P11)</f>
        <v>-9.61</v>
      </c>
      <c r="P11" s="119">
        <v>10</v>
      </c>
      <c r="Q11" s="107">
        <v>-96.1</v>
      </c>
    </row>
    <row r="12" spans="1:17" x14ac:dyDescent="0.4">
      <c r="A12" s="57" t="s">
        <v>160</v>
      </c>
      <c r="B12" s="49">
        <v>2</v>
      </c>
      <c r="C12" s="42">
        <f>IF(B$2=0,0,B12/B$2)</f>
        <v>7.1428571428571425E-2</v>
      </c>
      <c r="E12" s="63" t="s">
        <v>71</v>
      </c>
      <c r="F12" s="60" t="s">
        <v>26</v>
      </c>
      <c r="G12" s="47">
        <v>3</v>
      </c>
      <c r="H12" s="133">
        <f>IF(B$17=0,0,G12/B$17)</f>
        <v>4.6875E-2</v>
      </c>
      <c r="I12" s="94">
        <v>9</v>
      </c>
      <c r="K12" s="38">
        <v>10</v>
      </c>
      <c r="L12" s="99">
        <v>-183.7</v>
      </c>
      <c r="N12" s="116" t="s">
        <v>166</v>
      </c>
      <c r="O12" s="126">
        <f>IF(P12=0,0,Q12/P12)</f>
        <v>-7.7833333333333323</v>
      </c>
      <c r="P12" s="120">
        <v>12</v>
      </c>
      <c r="Q12" s="108">
        <v>-93.399999999999991</v>
      </c>
    </row>
    <row r="13" spans="1:17" x14ac:dyDescent="0.4">
      <c r="A13" s="58" t="s">
        <v>122</v>
      </c>
      <c r="B13" s="50">
        <v>49</v>
      </c>
      <c r="C13" s="44">
        <f>IF(B$3=0,0,B13/B$3)</f>
        <v>0.20851063829787234</v>
      </c>
      <c r="E13" s="63" t="s">
        <v>72</v>
      </c>
      <c r="F13" s="60" t="s">
        <v>27</v>
      </c>
      <c r="G13" s="47">
        <v>3</v>
      </c>
      <c r="H13" s="133">
        <f>IF(B$17=0,0,G13/B$17)</f>
        <v>4.6875E-2</v>
      </c>
      <c r="I13" s="94">
        <v>9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51</v>
      </c>
      <c r="C14" s="39">
        <f>IF(B$3=0,0,B14/B$3)</f>
        <v>0.21702127659574469</v>
      </c>
      <c r="E14" s="63" t="s">
        <v>82</v>
      </c>
      <c r="F14" s="60" t="s">
        <v>37</v>
      </c>
      <c r="G14" s="47">
        <v>3</v>
      </c>
      <c r="H14" s="133">
        <f>IF(B$17=0,0,G14/B$17)</f>
        <v>4.6875E-2</v>
      </c>
      <c r="I14" s="94">
        <v>3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33</v>
      </c>
      <c r="C15" s="37">
        <f>IF(B$13=0,0,B15/B$13)</f>
        <v>0.67346938775510201</v>
      </c>
      <c r="E15" s="63" t="s">
        <v>84</v>
      </c>
      <c r="F15" s="60" t="s">
        <v>39</v>
      </c>
      <c r="G15" s="47">
        <v>3</v>
      </c>
      <c r="H15" s="133">
        <f>IF(B$17=0,0,G15/B$17)</f>
        <v>4.6875E-2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>IF(P15=0,0,Q15/P15)</f>
        <v>81.5</v>
      </c>
      <c r="P15" s="118">
        <v>1</v>
      </c>
      <c r="Q15" s="106">
        <v>81.5</v>
      </c>
    </row>
    <row r="16" spans="1:17" x14ac:dyDescent="0.4">
      <c r="A16" s="54" t="s">
        <v>125</v>
      </c>
      <c r="B16" s="46">
        <v>19</v>
      </c>
      <c r="C16" s="37">
        <f>IF(B$14=0,0,B16/B$14)</f>
        <v>0.37254901960784315</v>
      </c>
      <c r="E16" s="63" t="s">
        <v>75</v>
      </c>
      <c r="F16" s="60" t="s">
        <v>30</v>
      </c>
      <c r="G16" s="47">
        <v>1</v>
      </c>
      <c r="H16" s="133">
        <f>IF(B$17=0,0,G16/B$17)</f>
        <v>1.5625E-2</v>
      </c>
      <c r="I16" s="94">
        <v>1</v>
      </c>
      <c r="K16" s="38">
        <v>14</v>
      </c>
      <c r="L16" s="99">
        <v>-178.49999999999997</v>
      </c>
      <c r="N16" s="115" t="s">
        <v>186</v>
      </c>
      <c r="O16" s="125">
        <f>IF(P16=0,0,Q16/P16)</f>
        <v>60.800000000000004</v>
      </c>
      <c r="P16" s="119">
        <v>2</v>
      </c>
      <c r="Q16" s="107">
        <v>121.60000000000001</v>
      </c>
    </row>
    <row r="17" spans="1:17" x14ac:dyDescent="0.4">
      <c r="A17" s="54" t="s">
        <v>10</v>
      </c>
      <c r="B17" s="46">
        <f>B19+B18</f>
        <v>64</v>
      </c>
      <c r="C17" s="37">
        <f>IF(B$3=0,0,B17/B$3)</f>
        <v>0.2723404255319149</v>
      </c>
      <c r="E17" s="63" t="s">
        <v>76</v>
      </c>
      <c r="F17" s="60" t="s">
        <v>31</v>
      </c>
      <c r="G17" s="47">
        <v>1</v>
      </c>
      <c r="H17" s="133">
        <f>IF(B$17=0,0,G17/B$17)</f>
        <v>1.5625E-2</v>
      </c>
      <c r="I17" s="94">
        <v>2</v>
      </c>
      <c r="K17" s="38">
        <v>15</v>
      </c>
      <c r="L17" s="99">
        <v>-146.19999999999999</v>
      </c>
      <c r="N17" s="115" t="s">
        <v>173</v>
      </c>
      <c r="O17" s="125">
        <f>IF(P17=0,0,Q17/P17)</f>
        <v>33.6</v>
      </c>
      <c r="P17" s="119">
        <v>3</v>
      </c>
      <c r="Q17" s="107">
        <v>100.80000000000001</v>
      </c>
    </row>
    <row r="18" spans="1:17" x14ac:dyDescent="0.4">
      <c r="A18" s="55" t="s">
        <v>12</v>
      </c>
      <c r="B18" s="47">
        <v>28</v>
      </c>
      <c r="C18" s="39">
        <f>IF(B$17=0,0,B18/B$17)</f>
        <v>0.4375</v>
      </c>
      <c r="E18" s="63" t="s">
        <v>79</v>
      </c>
      <c r="F18" s="60" t="s">
        <v>34</v>
      </c>
      <c r="G18" s="47">
        <v>1</v>
      </c>
      <c r="H18" s="133">
        <f>IF(B$17=0,0,G18/B$17)</f>
        <v>1.5625E-2</v>
      </c>
      <c r="I18" s="94">
        <v>8</v>
      </c>
      <c r="K18" s="38">
        <v>16</v>
      </c>
      <c r="L18" s="99">
        <v>-153.29999999999998</v>
      </c>
      <c r="N18" s="115" t="s">
        <v>128</v>
      </c>
      <c r="O18" s="125">
        <f>IF(P18=0,0,Q18/P18)</f>
        <v>-2.4333333333333322</v>
      </c>
      <c r="P18" s="119">
        <v>18</v>
      </c>
      <c r="Q18" s="107">
        <v>-43.799999999999983</v>
      </c>
    </row>
    <row r="19" spans="1:17" x14ac:dyDescent="0.4">
      <c r="A19" s="55" t="s">
        <v>11</v>
      </c>
      <c r="B19" s="47">
        <v>36</v>
      </c>
      <c r="C19" s="39">
        <f>IF(B$17=0,0,B19/B$17)</f>
        <v>0.5625</v>
      </c>
      <c r="E19" s="63" t="s">
        <v>86</v>
      </c>
      <c r="F19" s="60" t="s">
        <v>41</v>
      </c>
      <c r="G19" s="47">
        <v>1</v>
      </c>
      <c r="H19" s="133">
        <f>IF(B$17=0,0,G19/B$17)</f>
        <v>1.5625E-2</v>
      </c>
      <c r="I19" s="94">
        <v>1</v>
      </c>
      <c r="K19" s="38">
        <v>17</v>
      </c>
      <c r="L19" s="99">
        <v>-161.19999999999999</v>
      </c>
      <c r="N19" s="115" t="s">
        <v>172</v>
      </c>
      <c r="O19" s="125">
        <f>IF(P19=0,0,Q19/P19)</f>
        <v>-18.733333333333338</v>
      </c>
      <c r="P19" s="119">
        <v>6</v>
      </c>
      <c r="Q19" s="107">
        <v>-112.40000000000002</v>
      </c>
    </row>
    <row r="20" spans="1:17" x14ac:dyDescent="0.4">
      <c r="A20" s="55" t="s">
        <v>13</v>
      </c>
      <c r="B20" s="47">
        <v>41</v>
      </c>
      <c r="C20" s="39">
        <f>IF(B$3=0,0,B20/B$3)</f>
        <v>0.17446808510638298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-159</v>
      </c>
      <c r="N20" s="115" t="s">
        <v>171</v>
      </c>
      <c r="O20" s="125">
        <f>IF(P20=0,0,Q20/P20)</f>
        <v>-19.38</v>
      </c>
      <c r="P20" s="119">
        <v>5</v>
      </c>
      <c r="Q20" s="107">
        <v>-96.899999999999991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-235.6</v>
      </c>
      <c r="N21" s="115" t="s">
        <v>129</v>
      </c>
      <c r="O21" s="125">
        <f>IF(P21=0,0,Q21/P21)</f>
        <v>-21.775000000000002</v>
      </c>
      <c r="P21" s="119">
        <v>8</v>
      </c>
      <c r="Q21" s="107">
        <v>-174.20000000000002</v>
      </c>
    </row>
    <row r="22" spans="1:17" x14ac:dyDescent="0.4">
      <c r="A22" s="55" t="s">
        <v>194</v>
      </c>
      <c r="B22" s="47">
        <v>21</v>
      </c>
      <c r="C22" s="135">
        <v>0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127</v>
      </c>
      <c r="O22" s="125">
        <f>IF(P22=0,0,Q22/P22)</f>
        <v>-41.150000000000006</v>
      </c>
      <c r="P22" s="119">
        <v>10</v>
      </c>
      <c r="Q22" s="107">
        <v>-411.50000000000006</v>
      </c>
    </row>
    <row r="23" spans="1:17" x14ac:dyDescent="0.4">
      <c r="A23" s="55" t="s">
        <v>5</v>
      </c>
      <c r="B23" s="51">
        <f>IF(B$17=0,0,C23/B$17)</f>
        <v>7217.1875</v>
      </c>
      <c r="C23" s="41">
        <v>461900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9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-7792.6829268292686</v>
      </c>
      <c r="C24" s="45">
        <v>-319500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67500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2</v>
      </c>
      <c r="C27" s="42">
        <f>IF(B$3=0,0,B27/B$3)</f>
        <v>8.5106382978723406E-3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  <c r="K27" s="38">
        <v>25</v>
      </c>
      <c r="L27" s="99">
        <v>-151.5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6</v>
      </c>
      <c r="K28" s="38">
        <v>26</v>
      </c>
      <c r="L28" s="99">
        <v>-202.1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-167.8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-224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C6EEB-8B21-40E7-B8EA-811F805E8CBF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10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2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5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8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9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F55D7-4FF9-4E46-A6D6-62FA74016378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</v>
      </c>
      <c r="C2" s="147"/>
      <c r="E2" s="62" t="s">
        <v>67</v>
      </c>
      <c r="F2" s="59" t="s">
        <v>23</v>
      </c>
      <c r="G2" s="46">
        <v>16</v>
      </c>
      <c r="H2" s="132">
        <f>IF(B$17=0,0,G2/B$17)</f>
        <v>0.8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-1860</v>
      </c>
      <c r="P2" s="118">
        <v>10</v>
      </c>
      <c r="Q2" s="102">
        <v>-18600</v>
      </c>
    </row>
    <row r="3" spans="1:17" x14ac:dyDescent="0.4">
      <c r="A3" s="55" t="s">
        <v>8</v>
      </c>
      <c r="B3" s="148">
        <v>85</v>
      </c>
      <c r="C3" s="149"/>
      <c r="E3" s="63" t="s">
        <v>73</v>
      </c>
      <c r="F3" s="60" t="s">
        <v>28</v>
      </c>
      <c r="G3" s="47">
        <v>16</v>
      </c>
      <c r="H3" s="133">
        <f>IF(B$17=0,0,G3/B$17)</f>
        <v>0.8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-2160</v>
      </c>
      <c r="P3" s="119">
        <v>10</v>
      </c>
      <c r="Q3" s="103">
        <v>-21600</v>
      </c>
    </row>
    <row r="4" spans="1:17" x14ac:dyDescent="0.4">
      <c r="A4" s="55" t="s">
        <v>6</v>
      </c>
      <c r="B4" s="150">
        <v>-197.5</v>
      </c>
      <c r="C4" s="151"/>
      <c r="E4" s="63" t="s">
        <v>65</v>
      </c>
      <c r="F4" s="60" t="s">
        <v>21</v>
      </c>
      <c r="G4" s="47">
        <v>10</v>
      </c>
      <c r="H4" s="133">
        <f>IF(B$17=0,0,G4/B$17)</f>
        <v>0.5</v>
      </c>
      <c r="I4" s="94">
        <v>10</v>
      </c>
      <c r="K4" s="38">
        <v>2</v>
      </c>
      <c r="L4" s="99">
        <v>-76.2</v>
      </c>
      <c r="N4" s="115" t="s">
        <v>134</v>
      </c>
      <c r="O4" s="122">
        <f t="shared" si="0"/>
        <v>-990</v>
      </c>
      <c r="P4" s="119">
        <v>10</v>
      </c>
      <c r="Q4" s="103">
        <v>-9900</v>
      </c>
    </row>
    <row r="5" spans="1:17" x14ac:dyDescent="0.4">
      <c r="A5" s="55" t="s">
        <v>7</v>
      </c>
      <c r="B5" s="152">
        <f>IF(B$2=0,0,B$4/B$2)</f>
        <v>-19.75</v>
      </c>
      <c r="C5" s="153"/>
      <c r="E5" s="63" t="s">
        <v>69</v>
      </c>
      <c r="F5" s="60" t="s">
        <v>12</v>
      </c>
      <c r="G5" s="47">
        <v>6</v>
      </c>
      <c r="H5" s="133">
        <f>IF(B$17=0,0,G5/B$17)</f>
        <v>0.3</v>
      </c>
      <c r="I5" s="94">
        <v>8</v>
      </c>
      <c r="K5" s="38">
        <v>3</v>
      </c>
      <c r="L5" s="99">
        <v>-78.400000000000006</v>
      </c>
      <c r="N5" s="115" t="s">
        <v>135</v>
      </c>
      <c r="O5" s="122">
        <f t="shared" si="0"/>
        <v>-5388.8888888888887</v>
      </c>
      <c r="P5" s="119">
        <v>9</v>
      </c>
      <c r="Q5" s="103">
        <v>-48500</v>
      </c>
    </row>
    <row r="6" spans="1:17" x14ac:dyDescent="0.4">
      <c r="A6" s="55" t="s">
        <v>1</v>
      </c>
      <c r="B6" s="142">
        <f>IF(B$2=0,0,(B$7*1+B$8*2+B$9*3)/B$2)</f>
        <v>2.2999999999999998</v>
      </c>
      <c r="C6" s="143"/>
      <c r="E6" s="63" t="s">
        <v>181</v>
      </c>
      <c r="F6" s="60" t="s">
        <v>182</v>
      </c>
      <c r="G6" s="47">
        <v>5</v>
      </c>
      <c r="H6" s="133">
        <f>IF(B$17=0,0,G6/B$17)</f>
        <v>0.25</v>
      </c>
      <c r="I6" s="94">
        <v>13</v>
      </c>
      <c r="K6" s="38">
        <v>4</v>
      </c>
      <c r="L6" s="99">
        <v>-49.800000000000004</v>
      </c>
      <c r="N6" s="115" t="s">
        <v>136</v>
      </c>
      <c r="O6" s="122">
        <f t="shared" si="0"/>
        <v>1077.7777777777778</v>
      </c>
      <c r="P6" s="119">
        <v>9</v>
      </c>
      <c r="Q6" s="103">
        <v>9700</v>
      </c>
    </row>
    <row r="7" spans="1:17" x14ac:dyDescent="0.4">
      <c r="A7" s="55" t="s">
        <v>2</v>
      </c>
      <c r="B7" s="47">
        <v>3</v>
      </c>
      <c r="C7" s="39">
        <f>IF(B$2=0,0,B7/B$2)</f>
        <v>0.3</v>
      </c>
      <c r="E7" s="63" t="s">
        <v>90</v>
      </c>
      <c r="F7" s="60" t="s">
        <v>45</v>
      </c>
      <c r="G7" s="47">
        <v>4</v>
      </c>
      <c r="H7" s="133">
        <f>IF(B$17=0,0,G7/B$17)</f>
        <v>0.2</v>
      </c>
      <c r="I7" s="94">
        <v>3</v>
      </c>
      <c r="K7" s="38">
        <v>5</v>
      </c>
      <c r="L7" s="99">
        <v>-121</v>
      </c>
      <c r="N7" s="116" t="s">
        <v>137</v>
      </c>
      <c r="O7" s="123">
        <f t="shared" si="0"/>
        <v>-5400</v>
      </c>
      <c r="P7" s="120">
        <v>9</v>
      </c>
      <c r="Q7" s="104">
        <v>-48600</v>
      </c>
    </row>
    <row r="8" spans="1:17" x14ac:dyDescent="0.4">
      <c r="A8" s="55" t="s">
        <v>3</v>
      </c>
      <c r="B8" s="47">
        <v>1</v>
      </c>
      <c r="C8" s="39">
        <f>IF(B$2=0,0,B8/B$2)</f>
        <v>0.1</v>
      </c>
      <c r="E8" s="63" t="s">
        <v>84</v>
      </c>
      <c r="F8" s="60" t="s">
        <v>39</v>
      </c>
      <c r="G8" s="47">
        <v>3</v>
      </c>
      <c r="H8" s="133">
        <f>IF(B$17=0,0,G8/B$17)</f>
        <v>0.15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0.6</v>
      </c>
      <c r="E9" s="63" t="s">
        <v>68</v>
      </c>
      <c r="F9" s="60" t="s">
        <v>24</v>
      </c>
      <c r="G9" s="47">
        <v>2</v>
      </c>
      <c r="H9" s="133">
        <f>IF(B$17=0,0,G9/B$17)</f>
        <v>0.1</v>
      </c>
      <c r="I9" s="94">
        <v>13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0.2</v>
      </c>
      <c r="E10" s="63" t="s">
        <v>70</v>
      </c>
      <c r="F10" s="60" t="s">
        <v>25</v>
      </c>
      <c r="G10" s="47">
        <v>2</v>
      </c>
      <c r="H10" s="133">
        <f>IF(B$17=0,0,G10/B$17)</f>
        <v>0.1</v>
      </c>
      <c r="I10" s="94">
        <v>11</v>
      </c>
      <c r="K10" s="38">
        <v>8</v>
      </c>
      <c r="L10" s="99">
        <v>-170.5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2</v>
      </c>
      <c r="H11" s="133">
        <f>IF(B$17=0,0,G11/B$17)</f>
        <v>0.1</v>
      </c>
      <c r="I11" s="94">
        <v>7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80</v>
      </c>
      <c r="F12" s="60" t="s">
        <v>35</v>
      </c>
      <c r="G12" s="47">
        <v>2</v>
      </c>
      <c r="H12" s="133">
        <f>IF(B$17=0,0,G12/B$17)</f>
        <v>0.1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18</v>
      </c>
      <c r="C13" s="44">
        <f>IF(B$3=0,0,B13/B$3)</f>
        <v>0.21176470588235294</v>
      </c>
      <c r="E13" s="63" t="s">
        <v>74</v>
      </c>
      <c r="F13" s="60" t="s">
        <v>29</v>
      </c>
      <c r="G13" s="47">
        <v>1</v>
      </c>
      <c r="H13" s="133">
        <f>IF(B$17=0,0,G13/B$17)</f>
        <v>0.05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0.2</v>
      </c>
      <c r="E14" s="63" t="s">
        <v>76</v>
      </c>
      <c r="F14" s="60" t="s">
        <v>31</v>
      </c>
      <c r="G14" s="47">
        <v>1</v>
      </c>
      <c r="H14" s="133">
        <f>IF(B$17=0,0,G14/B$17)</f>
        <v>0.05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</v>
      </c>
      <c r="C15" s="37">
        <f>IF(B$13=0,0,B15/B$13)</f>
        <v>0.55555555555555558</v>
      </c>
      <c r="E15" s="63" t="s">
        <v>82</v>
      </c>
      <c r="F15" s="60" t="s">
        <v>37</v>
      </c>
      <c r="G15" s="47">
        <v>1</v>
      </c>
      <c r="H15" s="133">
        <f>IF(B$17=0,0,G15/B$17)</f>
        <v>0.05</v>
      </c>
      <c r="I15" s="94">
        <v>2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8</v>
      </c>
      <c r="C16" s="37">
        <f>IF(B$14=0,0,B16/B$14)</f>
        <v>0.47058823529411764</v>
      </c>
      <c r="E16" s="63" t="s">
        <v>66</v>
      </c>
      <c r="F16" s="60" t="s">
        <v>22</v>
      </c>
      <c r="G16" s="47">
        <v>0</v>
      </c>
      <c r="H16" s="133">
        <f>IF(B$17=0,0,G16/B$17)</f>
        <v>0</v>
      </c>
      <c r="I16" s="94">
        <v>10</v>
      </c>
      <c r="N16" s="115" t="s">
        <v>172</v>
      </c>
      <c r="O16" s="125">
        <f>IF(P16=0,0,Q16/P16)</f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0.23529411764705882</v>
      </c>
      <c r="E17" s="63" t="s">
        <v>72</v>
      </c>
      <c r="F17" s="60" t="s">
        <v>27</v>
      </c>
      <c r="G17" s="47">
        <v>0</v>
      </c>
      <c r="H17" s="133">
        <f>IF(B$17=0,0,G17/B$17)</f>
        <v>0</v>
      </c>
      <c r="I17" s="94">
        <v>10</v>
      </c>
      <c r="N17" s="115" t="s">
        <v>128</v>
      </c>
      <c r="O17" s="125">
        <f>IF(P17=0,0,Q17/P17)</f>
        <v>-22.25</v>
      </c>
      <c r="P17" s="119">
        <v>6</v>
      </c>
      <c r="Q17" s="107">
        <v>-133.5</v>
      </c>
    </row>
    <row r="18" spans="1:17" x14ac:dyDescent="0.4">
      <c r="A18" s="55" t="s">
        <v>12</v>
      </c>
      <c r="B18" s="47">
        <v>11</v>
      </c>
      <c r="C18" s="39">
        <f>IF(B$17=0,0,B18/B$17)</f>
        <v>0.55000000000000004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5</v>
      </c>
      <c r="N18" s="115" t="s">
        <v>171</v>
      </c>
      <c r="O18" s="125">
        <f>IF(P18=0,0,Q18/P18)</f>
        <v>-25.400000000000002</v>
      </c>
      <c r="P18" s="119">
        <v>2</v>
      </c>
      <c r="Q18" s="107">
        <v>-50.800000000000004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127</v>
      </c>
      <c r="O19" s="125">
        <f>IF(P19=0,0,Q19/P19)</f>
        <v>-42.43333333333333</v>
      </c>
      <c r="P19" s="119">
        <v>6</v>
      </c>
      <c r="Q19" s="107">
        <v>-254.6</v>
      </c>
    </row>
    <row r="20" spans="1:17" x14ac:dyDescent="0.4">
      <c r="A20" s="55" t="s">
        <v>13</v>
      </c>
      <c r="B20" s="47">
        <v>23</v>
      </c>
      <c r="C20" s="39">
        <f>IF(B$3=0,0,B20/B$3)</f>
        <v>0.27058823529411763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177</v>
      </c>
      <c r="O20" s="125">
        <f>IF(P20=0,0,Q20/P20)</f>
        <v>-60.800000000000004</v>
      </c>
      <c r="P20" s="119">
        <v>2</v>
      </c>
      <c r="Q20" s="107">
        <v>-121.60000000000001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11</v>
      </c>
      <c r="N21" s="115" t="s">
        <v>185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10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7365</v>
      </c>
      <c r="C23" s="41">
        <v>147300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-7686.95652173913</v>
      </c>
      <c r="C24" s="45">
        <v>-176800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1C6E7-3C48-4D43-B558-DE3E6A7C1F3A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</v>
      </c>
      <c r="C2" s="147"/>
      <c r="E2" s="62" t="s">
        <v>65</v>
      </c>
      <c r="F2" s="59" t="s">
        <v>21</v>
      </c>
      <c r="G2" s="46">
        <v>7</v>
      </c>
      <c r="H2" s="132">
        <f>IF(B$17=0,0,G2/B$17)</f>
        <v>0.58333333333333337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-5040</v>
      </c>
      <c r="P2" s="118">
        <v>5</v>
      </c>
      <c r="Q2" s="102">
        <v>-25200</v>
      </c>
    </row>
    <row r="3" spans="1:17" x14ac:dyDescent="0.4">
      <c r="A3" s="55" t="s">
        <v>8</v>
      </c>
      <c r="B3" s="148">
        <v>50</v>
      </c>
      <c r="C3" s="149"/>
      <c r="E3" s="63" t="s">
        <v>67</v>
      </c>
      <c r="F3" s="60" t="s">
        <v>23</v>
      </c>
      <c r="G3" s="47">
        <v>7</v>
      </c>
      <c r="H3" s="133">
        <f>IF(B$17=0,0,G3/B$17)</f>
        <v>0.58333333333333337</v>
      </c>
      <c r="I3" s="94">
        <v>11</v>
      </c>
      <c r="K3" s="38">
        <v>1</v>
      </c>
      <c r="L3" s="99">
        <v>-12.5</v>
      </c>
      <c r="N3" s="115" t="s">
        <v>133</v>
      </c>
      <c r="O3" s="122">
        <f t="shared" si="0"/>
        <v>5560</v>
      </c>
      <c r="P3" s="119">
        <v>5</v>
      </c>
      <c r="Q3" s="103">
        <v>27800</v>
      </c>
    </row>
    <row r="4" spans="1:17" x14ac:dyDescent="0.4">
      <c r="A4" s="55" t="s">
        <v>6</v>
      </c>
      <c r="B4" s="150">
        <v>-16.100000000000005</v>
      </c>
      <c r="C4" s="151"/>
      <c r="E4" s="63" t="s">
        <v>68</v>
      </c>
      <c r="F4" s="60" t="s">
        <v>24</v>
      </c>
      <c r="G4" s="47">
        <v>7</v>
      </c>
      <c r="H4" s="133">
        <f>IF(B$17=0,0,G4/B$17)</f>
        <v>0.58333333333333337</v>
      </c>
      <c r="I4" s="94">
        <v>2</v>
      </c>
      <c r="K4" s="38">
        <v>2</v>
      </c>
      <c r="L4" s="99">
        <v>-28.1</v>
      </c>
      <c r="N4" s="115" t="s">
        <v>134</v>
      </c>
      <c r="O4" s="122">
        <f t="shared" si="0"/>
        <v>-3320</v>
      </c>
      <c r="P4" s="119">
        <v>5</v>
      </c>
      <c r="Q4" s="103">
        <v>-16600</v>
      </c>
    </row>
    <row r="5" spans="1:17" x14ac:dyDescent="0.4">
      <c r="A5" s="55" t="s">
        <v>7</v>
      </c>
      <c r="B5" s="152">
        <f>IF(B$2=0,0,B$4/B$2)</f>
        <v>-3.2200000000000011</v>
      </c>
      <c r="C5" s="153"/>
      <c r="E5" s="63" t="s">
        <v>73</v>
      </c>
      <c r="F5" s="60" t="s">
        <v>28</v>
      </c>
      <c r="G5" s="47">
        <v>7</v>
      </c>
      <c r="H5" s="133">
        <f>IF(B$17=0,0,G5/B$17)</f>
        <v>0.58333333333333337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-3500</v>
      </c>
      <c r="P5" s="119">
        <v>5</v>
      </c>
      <c r="Q5" s="103">
        <v>-17500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0.41666666666666669</v>
      </c>
      <c r="I6" s="94">
        <v>3</v>
      </c>
      <c r="K6" s="38">
        <v>4</v>
      </c>
      <c r="L6" s="99">
        <v>19.399999999999995</v>
      </c>
      <c r="N6" s="115" t="s">
        <v>136</v>
      </c>
      <c r="O6" s="122">
        <f t="shared" si="0"/>
        <v>4325</v>
      </c>
      <c r="P6" s="119">
        <v>4</v>
      </c>
      <c r="Q6" s="103">
        <v>17300</v>
      </c>
    </row>
    <row r="7" spans="1:17" x14ac:dyDescent="0.4">
      <c r="A7" s="55" t="s">
        <v>2</v>
      </c>
      <c r="B7" s="47">
        <v>1</v>
      </c>
      <c r="C7" s="39">
        <f>IF(B$2=0,0,B7/B$2)</f>
        <v>0.2</v>
      </c>
      <c r="E7" s="63" t="s">
        <v>70</v>
      </c>
      <c r="F7" s="60" t="s">
        <v>25</v>
      </c>
      <c r="G7" s="47">
        <v>5</v>
      </c>
      <c r="H7" s="133">
        <f>IF(B$17=0,0,G7/B$17)</f>
        <v>0.41666666666666669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-475</v>
      </c>
      <c r="P7" s="120">
        <v>4</v>
      </c>
      <c r="Q7" s="104">
        <v>-1900</v>
      </c>
    </row>
    <row r="8" spans="1:17" x14ac:dyDescent="0.4">
      <c r="A8" s="55" t="s">
        <v>3</v>
      </c>
      <c r="B8" s="47">
        <v>3</v>
      </c>
      <c r="C8" s="39">
        <f>IF(B$2=0,0,B8/B$2)</f>
        <v>0.6</v>
      </c>
      <c r="E8" s="63" t="s">
        <v>181</v>
      </c>
      <c r="F8" s="60" t="s">
        <v>182</v>
      </c>
      <c r="G8" s="47">
        <v>5</v>
      </c>
      <c r="H8" s="133">
        <f>IF(B$17=0,0,G8/B$17)</f>
        <v>0.41666666666666669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0.2</v>
      </c>
      <c r="E9" s="63" t="s">
        <v>79</v>
      </c>
      <c r="F9" s="60" t="s">
        <v>34</v>
      </c>
      <c r="G9" s="47">
        <v>2</v>
      </c>
      <c r="H9" s="133">
        <f>IF(B$17=0,0,G9/B$17)</f>
        <v>0.16666666666666666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90</v>
      </c>
      <c r="F10" s="60" t="s">
        <v>45</v>
      </c>
      <c r="G10" s="47">
        <v>2</v>
      </c>
      <c r="H10" s="133">
        <f>IF(B$17=0,0,G10/B$17)</f>
        <v>0.16666666666666666</v>
      </c>
      <c r="I10" s="94">
        <v>4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1</v>
      </c>
      <c r="H11" s="133">
        <f>IF(B$17=0,0,G11/B$17)</f>
        <v>8.3333333333333329E-2</v>
      </c>
      <c r="I11" s="94">
        <v>6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8.3333333333333329E-2</v>
      </c>
      <c r="I12" s="94">
        <v>3</v>
      </c>
      <c r="N12" s="116" t="s">
        <v>166</v>
      </c>
      <c r="O12" s="126">
        <f>IF(P12=0,0,Q12/P12)</f>
        <v>-2.7333333333333343</v>
      </c>
      <c r="P12" s="120">
        <v>3</v>
      </c>
      <c r="Q12" s="108">
        <v>-8.2000000000000028</v>
      </c>
    </row>
    <row r="13" spans="1:17" x14ac:dyDescent="0.4">
      <c r="A13" s="58" t="s">
        <v>122</v>
      </c>
      <c r="B13" s="50">
        <v>12</v>
      </c>
      <c r="C13" s="44">
        <f>IF(B$3=0,0,B13/B$3)</f>
        <v>0.24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0.26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</v>
      </c>
      <c r="C15" s="37">
        <f>IF(B$13=0,0,B15/B$13)</f>
        <v>0.58333333333333337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6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4</v>
      </c>
      <c r="C16" s="37">
        <f>IF(B$14=0,0,B16/B$14)</f>
        <v>0.30769230769230771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5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0.24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7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7</v>
      </c>
      <c r="C18" s="39">
        <f>IF(B$17=0,0,B18/B$17)</f>
        <v>0.58333333333333337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5</v>
      </c>
      <c r="C19" s="39">
        <f>IF(B$17=0,0,B19/B$17)</f>
        <v>0.41666666666666669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5</v>
      </c>
      <c r="N19" s="115" t="s">
        <v>128</v>
      </c>
      <c r="O19" s="125">
        <f>IF(P19=0,0,Q19/P19)</f>
        <v>-25</v>
      </c>
      <c r="P19" s="119">
        <v>1</v>
      </c>
      <c r="Q19" s="107">
        <v>-25</v>
      </c>
    </row>
    <row r="20" spans="1:17" x14ac:dyDescent="0.4">
      <c r="A20" s="55" t="s">
        <v>13</v>
      </c>
      <c r="B20" s="47">
        <v>10</v>
      </c>
      <c r="C20" s="39">
        <f>IF(B$3=0,0,B20/B$3)</f>
        <v>0.2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9</v>
      </c>
      <c r="N20" s="115" t="s">
        <v>177</v>
      </c>
      <c r="O20" s="125">
        <f>IF(P20=0,0,Q20/P20)</f>
        <v>-81.5</v>
      </c>
      <c r="P20" s="119">
        <v>1</v>
      </c>
      <c r="Q20" s="107">
        <v>-81.5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3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8425</v>
      </c>
      <c r="C23" s="41">
        <v>101100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-5420</v>
      </c>
      <c r="C24" s="45">
        <v>-54200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1B8A0-CBF6-4A4E-9513-4CAD1BC811B6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67</v>
      </c>
      <c r="F2" s="59" t="s">
        <v>23</v>
      </c>
      <c r="G2" s="46">
        <v>3</v>
      </c>
      <c r="H2" s="132">
        <f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65</v>
      </c>
      <c r="F3" s="60" t="s">
        <v>21</v>
      </c>
      <c r="G3" s="47">
        <v>1</v>
      </c>
      <c r="H3" s="133">
        <f>IF(B$17=0,0,G3/B$17)</f>
        <v>0.5</v>
      </c>
      <c r="I3" s="94">
        <v>10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68</v>
      </c>
      <c r="F4" s="60" t="s">
        <v>24</v>
      </c>
      <c r="G4" s="47">
        <v>1</v>
      </c>
      <c r="H4" s="133">
        <f>IF(B$17=0,0,G4/B$17)</f>
        <v>0.5</v>
      </c>
      <c r="I4" s="94">
        <v>3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69</v>
      </c>
      <c r="F5" s="60" t="s">
        <v>12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82</v>
      </c>
      <c r="F6" s="60" t="s">
        <v>37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181</v>
      </c>
      <c r="F7" s="60" t="s">
        <v>182</v>
      </c>
      <c r="G7" s="47">
        <v>1</v>
      </c>
      <c r="H7" s="133">
        <f>IF(B$17=0,0,G7/B$17)</f>
        <v>0.5</v>
      </c>
      <c r="I7" s="94">
        <v>1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10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10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73</v>
      </c>
      <c r="F12" s="60" t="s">
        <v>28</v>
      </c>
      <c r="G12" s="47">
        <v>0</v>
      </c>
      <c r="H12" s="133">
        <f>IF(B$17=0,0,G12/B$17)</f>
        <v>0</v>
      </c>
      <c r="I12" s="94">
        <v>13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7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5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9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10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142</v>
      </c>
      <c r="B25" s="140">
        <v>5</v>
      </c>
      <c r="C25" s="141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10</v>
      </c>
    </row>
    <row r="26" spans="1:9" x14ac:dyDescent="0.4">
      <c r="A26" s="58" t="s">
        <v>152</v>
      </c>
      <c r="B26" s="138">
        <v>48300</v>
      </c>
      <c r="C26" s="139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6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874EB-7F6A-47AB-912D-96F9492B01E5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68</v>
      </c>
      <c r="F3" s="60" t="s">
        <v>24</v>
      </c>
      <c r="G3" s="47">
        <v>3</v>
      </c>
      <c r="H3" s="133">
        <f>IF(B$17=0,0,G3/B$17)</f>
        <v>1</v>
      </c>
      <c r="I3" s="94">
        <v>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69</v>
      </c>
      <c r="F4" s="60" t="s">
        <v>12</v>
      </c>
      <c r="G4" s="47">
        <v>2</v>
      </c>
      <c r="H4" s="133">
        <f>IF(B$17=0,0,G4/B$17)</f>
        <v>0.66666666666666663</v>
      </c>
      <c r="I4" s="94">
        <v>1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73</v>
      </c>
      <c r="F5" s="60" t="s">
        <v>28</v>
      </c>
      <c r="G5" s="47">
        <v>1</v>
      </c>
      <c r="H5" s="133">
        <f>IF(B$17=0,0,G5/B$17)</f>
        <v>0.33333333333333331</v>
      </c>
      <c r="I5" s="94">
        <v>12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79</v>
      </c>
      <c r="F6" s="60" t="s">
        <v>34</v>
      </c>
      <c r="G6" s="47">
        <v>1</v>
      </c>
      <c r="H6" s="133">
        <f>IF(B$17=0,0,G6/B$17)</f>
        <v>0.33333333333333331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90</v>
      </c>
      <c r="F7" s="60" t="s">
        <v>45</v>
      </c>
      <c r="G7" s="47">
        <v>1</v>
      </c>
      <c r="H7" s="133">
        <f>IF(B$17=0,0,G7/B$17)</f>
        <v>0.33333333333333331</v>
      </c>
      <c r="I7" s="94">
        <v>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181</v>
      </c>
      <c r="F8" s="60" t="s">
        <v>182</v>
      </c>
      <c r="G8" s="47">
        <v>1</v>
      </c>
      <c r="H8" s="133">
        <f>IF(B$17=0,0,G8/B$17)</f>
        <v>0.33333333333333331</v>
      </c>
      <c r="I8" s="94">
        <v>12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66</v>
      </c>
      <c r="F9" s="60" t="s">
        <v>22</v>
      </c>
      <c r="G9" s="47">
        <v>0</v>
      </c>
      <c r="H9" s="133">
        <f>IF(B$17=0,0,G9/B$17)</f>
        <v>0</v>
      </c>
      <c r="I9" s="94">
        <v>10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23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70</v>
      </c>
      <c r="F11" s="60" t="s">
        <v>25</v>
      </c>
      <c r="G11" s="47">
        <v>0</v>
      </c>
      <c r="H11" s="133">
        <f>IF(B$17=0,0,G11/B$17)</f>
        <v>0</v>
      </c>
      <c r="I11" s="94">
        <v>12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71</v>
      </c>
      <c r="F12" s="60" t="s">
        <v>26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72</v>
      </c>
      <c r="F13" s="60" t="s">
        <v>27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9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10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84</v>
      </c>
      <c r="F23" s="60" t="s">
        <v>39</v>
      </c>
      <c r="G23" s="47">
        <v>0</v>
      </c>
      <c r="H23" s="133">
        <f>IF(B$17=0,0,G23/B$17)</f>
        <v>0</v>
      </c>
      <c r="I23" s="94">
        <v>10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142</v>
      </c>
      <c r="B25" s="140">
        <v>3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9" x14ac:dyDescent="0.4">
      <c r="A26" s="58" t="s">
        <v>152</v>
      </c>
      <c r="B26" s="138">
        <v>18000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99DAF-E2BC-4FEC-81A5-DCCC19012AEC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8ED9C-659F-4BB5-9AD9-D6A53A3E5B38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E405A-DAA9-4108-B518-63A9E780838B}">
  <sheetPr codeName="Sheet26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F22F5-61F2-44B1-8A2F-10EFBB58B3B3}">
  <sheetPr codeName="Sheet24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5A1DB-6A18-47E8-96BA-9616D2DABFBB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E3480-D988-4E1C-99AD-954F7430778C}">
  <sheetPr codeName="Sheet20"/>
  <dimension ref="A1:Q3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-202.1</v>
      </c>
      <c r="C29" s="66">
        <v>-7.773076923076923</v>
      </c>
      <c r="D29" s="71">
        <v>2.0769230769230771</v>
      </c>
      <c r="E29" s="67">
        <v>0.30769230769230771</v>
      </c>
      <c r="F29" s="67">
        <v>0.38461538461538464</v>
      </c>
      <c r="G29" s="67">
        <v>0.26818181818181819</v>
      </c>
      <c r="H29" s="67">
        <v>0.17272727272727273</v>
      </c>
      <c r="I29" s="68">
        <v>7227.1186440677966</v>
      </c>
      <c r="J29" s="68">
        <v>-7302.6315789473683</v>
      </c>
      <c r="K29" s="67">
        <v>0.19230769230769232</v>
      </c>
      <c r="L29" s="67">
        <v>0</v>
      </c>
      <c r="M29" s="67">
        <v>0.20454545454545456</v>
      </c>
      <c r="N29" s="67">
        <v>0.22727272727272727</v>
      </c>
      <c r="O29" s="67">
        <v>0.66666666666666663</v>
      </c>
      <c r="P29" s="67">
        <v>0.38</v>
      </c>
      <c r="Q29" s="67">
        <v>0.42372881355932202</v>
      </c>
    </row>
    <row r="30" spans="1:17" x14ac:dyDescent="0.4">
      <c r="A30" s="69">
        <v>27</v>
      </c>
      <c r="B30" s="66">
        <v>-167.8</v>
      </c>
      <c r="C30" s="66">
        <v>-6.2148148148148152</v>
      </c>
      <c r="D30" s="71">
        <v>2.0370370370370372</v>
      </c>
      <c r="E30" s="67">
        <v>0.33333333333333331</v>
      </c>
      <c r="F30" s="67">
        <v>0.37037037037037035</v>
      </c>
      <c r="G30" s="67">
        <v>0.27192982456140352</v>
      </c>
      <c r="H30" s="67">
        <v>0.16666666666666666</v>
      </c>
      <c r="I30" s="68">
        <v>7237.0967741935483</v>
      </c>
      <c r="J30" s="68">
        <v>-7302.6315789473683</v>
      </c>
      <c r="K30" s="67">
        <v>0.18518518518518517</v>
      </c>
      <c r="L30" s="67">
        <v>0</v>
      </c>
      <c r="M30" s="67">
        <v>0.20614035087719298</v>
      </c>
      <c r="N30" s="67">
        <v>0.21929824561403508</v>
      </c>
      <c r="O30" s="67">
        <v>0.68085106382978722</v>
      </c>
      <c r="P30" s="67">
        <v>0.38</v>
      </c>
      <c r="Q30" s="67">
        <v>0.43548387096774194</v>
      </c>
    </row>
    <row r="31" spans="1:17" x14ac:dyDescent="0.4">
      <c r="A31" s="69">
        <v>28</v>
      </c>
      <c r="B31" s="66">
        <v>-224</v>
      </c>
      <c r="C31" s="66">
        <v>-8</v>
      </c>
      <c r="D31" s="71">
        <v>2.0714285714285716</v>
      </c>
      <c r="E31" s="67">
        <v>0.32142857142857145</v>
      </c>
      <c r="F31" s="67">
        <v>0.39285714285714285</v>
      </c>
      <c r="G31" s="67">
        <v>0.2723404255319149</v>
      </c>
      <c r="H31" s="67">
        <v>0.17446808510638298</v>
      </c>
      <c r="I31" s="68">
        <v>7217.1875</v>
      </c>
      <c r="J31" s="68">
        <v>-7792.6829268292686</v>
      </c>
      <c r="K31" s="67">
        <v>0.21428571428571427</v>
      </c>
      <c r="L31" s="67">
        <v>0</v>
      </c>
      <c r="M31" s="67">
        <v>0.20851063829787234</v>
      </c>
      <c r="N31" s="67">
        <v>0.21702127659574469</v>
      </c>
      <c r="O31" s="67">
        <v>0.67346938775510201</v>
      </c>
      <c r="P31" s="67">
        <v>0.37254901960784315</v>
      </c>
      <c r="Q31" s="67">
        <v>0.4375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A61BB-1D2F-4812-B1FE-876CE465CB56}">
  <sheetPr codeName="Sheet18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B0502-BDF5-4553-A482-A540038A6774}">
  <sheetPr codeName="Sheet16"/>
  <dimension ref="A1:Q5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BB3EF-660C-4867-A715-CAF7F527A479}">
  <sheetPr codeName="Sheet14"/>
  <dimension ref="A1:Q6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93.299999999999983</v>
      </c>
      <c r="C59" s="66">
        <v>1.6660714285714282</v>
      </c>
      <c r="D59" s="71">
        <v>2.0535714285714284</v>
      </c>
      <c r="E59" s="67">
        <v>0.2857142857142857</v>
      </c>
      <c r="F59" s="67">
        <v>0.3392857142857143</v>
      </c>
      <c r="G59" s="67">
        <v>0.26819126819126821</v>
      </c>
      <c r="H59" s="67">
        <v>0.15384615384615385</v>
      </c>
      <c r="I59" s="68">
        <v>9606.2015503875973</v>
      </c>
      <c r="J59" s="68">
        <v>-7431.0810810810808</v>
      </c>
      <c r="K59" s="67">
        <v>3.5714285714285712E-2</v>
      </c>
      <c r="L59" s="67">
        <v>0.125</v>
      </c>
      <c r="M59" s="67">
        <v>0.27027027027027029</v>
      </c>
      <c r="N59" s="67">
        <v>0.1787941787941788</v>
      </c>
      <c r="O59" s="67">
        <v>0.58461538461538465</v>
      </c>
      <c r="P59" s="67">
        <v>0.36046511627906974</v>
      </c>
      <c r="Q59" s="67">
        <v>0.41860465116279072</v>
      </c>
    </row>
    <row r="60" spans="1:17" x14ac:dyDescent="0.4">
      <c r="A60" s="69">
        <v>57</v>
      </c>
      <c r="B60" s="66">
        <v>104.69999999999999</v>
      </c>
      <c r="C60" s="66">
        <v>1.8368421052631576</v>
      </c>
      <c r="D60" s="71">
        <v>2.0526315789473686</v>
      </c>
      <c r="E60" s="67">
        <v>0.2807017543859649</v>
      </c>
      <c r="F60" s="67">
        <v>0.33333333333333331</v>
      </c>
      <c r="G60" s="67">
        <v>0.26954732510288065</v>
      </c>
      <c r="H60" s="67">
        <v>0.15432098765432098</v>
      </c>
      <c r="I60" s="68">
        <v>9612.2137404580153</v>
      </c>
      <c r="J60" s="68">
        <v>-7486.666666666667</v>
      </c>
      <c r="K60" s="67">
        <v>3.5087719298245612E-2</v>
      </c>
      <c r="L60" s="67">
        <v>0.12280701754385964</v>
      </c>
      <c r="M60" s="67">
        <v>0.27160493827160492</v>
      </c>
      <c r="N60" s="67">
        <v>0.17695473251028807</v>
      </c>
      <c r="O60" s="67">
        <v>0.59090909090909094</v>
      </c>
      <c r="P60" s="67">
        <v>0.36046511627906974</v>
      </c>
      <c r="Q60" s="67">
        <v>0.42748091603053434</v>
      </c>
    </row>
    <row r="61" spans="1:17" x14ac:dyDescent="0.4">
      <c r="A61" s="69">
        <v>58</v>
      </c>
      <c r="B61" s="66">
        <v>72.499999999999986</v>
      </c>
      <c r="C61" s="66">
        <v>1.2499999999999998</v>
      </c>
      <c r="D61" s="71">
        <v>2.0689655172413794</v>
      </c>
      <c r="E61" s="67">
        <v>0.27586206896551724</v>
      </c>
      <c r="F61" s="67">
        <v>0.34482758620689657</v>
      </c>
      <c r="G61" s="67">
        <v>0.26720647773279355</v>
      </c>
      <c r="H61" s="67">
        <v>0.15182186234817813</v>
      </c>
      <c r="I61" s="68">
        <v>9559.0909090909099</v>
      </c>
      <c r="J61" s="68">
        <v>-7486.666666666667</v>
      </c>
      <c r="K61" s="67">
        <v>3.4482758620689655E-2</v>
      </c>
      <c r="L61" s="67">
        <v>0.1206896551724138</v>
      </c>
      <c r="M61" s="67">
        <v>0.26923076923076922</v>
      </c>
      <c r="N61" s="67">
        <v>0.17611336032388664</v>
      </c>
      <c r="O61" s="67">
        <v>0.5864661654135338</v>
      </c>
      <c r="P61" s="67">
        <v>0.36781609195402298</v>
      </c>
      <c r="Q61" s="67">
        <v>0.42424242424242425</v>
      </c>
    </row>
    <row r="62" spans="1:17" x14ac:dyDescent="0.4">
      <c r="A62" s="69">
        <v>59</v>
      </c>
      <c r="B62" s="66">
        <v>87.09999999999998</v>
      </c>
      <c r="C62" s="66">
        <v>1.4762711864406777</v>
      </c>
      <c r="D62" s="71">
        <v>2.0677966101694913</v>
      </c>
      <c r="E62" s="67">
        <v>0.2711864406779661</v>
      </c>
      <c r="F62" s="67">
        <v>0.33898305084745761</v>
      </c>
      <c r="G62" s="67">
        <v>0.26746506986027946</v>
      </c>
      <c r="H62" s="67">
        <v>0.15169660678642716</v>
      </c>
      <c r="I62" s="68">
        <v>9640.2985074626868</v>
      </c>
      <c r="J62" s="68">
        <v>-7546.0526315789475</v>
      </c>
      <c r="K62" s="67">
        <v>3.3898305084745763E-2</v>
      </c>
      <c r="L62" s="67">
        <v>0.11864406779661017</v>
      </c>
      <c r="M62" s="67">
        <v>0.26746506986027946</v>
      </c>
      <c r="N62" s="67">
        <v>0.17764471057884232</v>
      </c>
      <c r="O62" s="67">
        <v>0.58955223880597019</v>
      </c>
      <c r="P62" s="67">
        <v>0.3707865168539326</v>
      </c>
      <c r="Q62" s="67">
        <v>0.41791044776119401</v>
      </c>
    </row>
    <row r="63" spans="1:17" x14ac:dyDescent="0.4">
      <c r="A63" s="69">
        <v>60</v>
      </c>
      <c r="B63" s="66">
        <v>48.399999999999977</v>
      </c>
      <c r="C63" s="66">
        <v>0.80666666666666631</v>
      </c>
      <c r="D63" s="71">
        <v>2.0833333333333335</v>
      </c>
      <c r="E63" s="67">
        <v>0.26666666666666666</v>
      </c>
      <c r="F63" s="67">
        <v>0.35</v>
      </c>
      <c r="G63" s="67">
        <v>0.27058823529411763</v>
      </c>
      <c r="H63" s="67">
        <v>0.15686274509803921</v>
      </c>
      <c r="I63" s="68">
        <v>9544.927536231884</v>
      </c>
      <c r="J63" s="68">
        <v>-7647.5</v>
      </c>
      <c r="K63" s="67">
        <v>3.3333333333333333E-2</v>
      </c>
      <c r="L63" s="67">
        <v>0.11666666666666667</v>
      </c>
      <c r="M63" s="67">
        <v>0.27254901960784311</v>
      </c>
      <c r="N63" s="67">
        <v>0.1803921568627451</v>
      </c>
      <c r="O63" s="67">
        <v>0.59712230215827333</v>
      </c>
      <c r="P63" s="67">
        <v>0.35869565217391303</v>
      </c>
      <c r="Q63" s="67">
        <v>0.40579710144927539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9C0BB-59C1-4F80-8F7E-9BB662E92804}">
  <sheetPr codeName="Sheet12"/>
  <dimension ref="A1:Q5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-800.5999999999998</v>
      </c>
      <c r="C49" s="66">
        <v>-17.404347826086951</v>
      </c>
      <c r="D49" s="71">
        <v>2.2826086956521738</v>
      </c>
      <c r="E49" s="67">
        <v>0.2391304347826087</v>
      </c>
      <c r="F49" s="67">
        <v>0.52173913043478259</v>
      </c>
      <c r="G49" s="67">
        <v>0.22340425531914893</v>
      </c>
      <c r="H49" s="67">
        <v>0.19680851063829788</v>
      </c>
      <c r="I49" s="68">
        <v>8869.0476190476184</v>
      </c>
      <c r="J49" s="68">
        <v>-9212.1621621621616</v>
      </c>
      <c r="K49" s="67">
        <v>0.17391304347826086</v>
      </c>
      <c r="L49" s="67">
        <v>8.6956521739130432E-2</v>
      </c>
      <c r="M49" s="67">
        <v>0.26063829787234044</v>
      </c>
      <c r="N49" s="67">
        <v>0.15691489361702127</v>
      </c>
      <c r="O49" s="67">
        <v>0.53061224489795922</v>
      </c>
      <c r="P49" s="67">
        <v>0.20338983050847459</v>
      </c>
      <c r="Q49" s="67">
        <v>0.5</v>
      </c>
    </row>
    <row r="50" spans="1:17" x14ac:dyDescent="0.4">
      <c r="A50" s="69">
        <v>47</v>
      </c>
      <c r="B50" s="66">
        <v>-754.5999999999998</v>
      </c>
      <c r="C50" s="66">
        <v>-16.055319148936167</v>
      </c>
      <c r="D50" s="71">
        <v>2.2553191489361701</v>
      </c>
      <c r="E50" s="67">
        <v>0.25531914893617019</v>
      </c>
      <c r="F50" s="67">
        <v>0.51063829787234039</v>
      </c>
      <c r="G50" s="67">
        <v>0.22572178477690288</v>
      </c>
      <c r="H50" s="67">
        <v>0.1942257217847769</v>
      </c>
      <c r="I50" s="68">
        <v>9081.3953488372099</v>
      </c>
      <c r="J50" s="68">
        <v>-9212.1621621621616</v>
      </c>
      <c r="K50" s="67">
        <v>0.1702127659574468</v>
      </c>
      <c r="L50" s="67">
        <v>0.10638297872340426</v>
      </c>
      <c r="M50" s="67">
        <v>0.25984251968503935</v>
      </c>
      <c r="N50" s="67">
        <v>0.15748031496062992</v>
      </c>
      <c r="O50" s="67">
        <v>0.53535353535353536</v>
      </c>
      <c r="P50" s="67">
        <v>0.21666666666666667</v>
      </c>
      <c r="Q50" s="67">
        <v>0.48837209302325579</v>
      </c>
    </row>
    <row r="51" spans="1:17" x14ac:dyDescent="0.4">
      <c r="A51" s="69">
        <v>48</v>
      </c>
      <c r="B51" s="66">
        <v>-756.69999999999982</v>
      </c>
      <c r="C51" s="66">
        <v>-15.764583333333329</v>
      </c>
      <c r="D51" s="71">
        <v>2.25</v>
      </c>
      <c r="E51" s="67">
        <v>0.25</v>
      </c>
      <c r="F51" s="67">
        <v>0.5</v>
      </c>
      <c r="G51" s="67">
        <v>0.2236503856041131</v>
      </c>
      <c r="H51" s="67">
        <v>0.19537275064267351</v>
      </c>
      <c r="I51" s="68">
        <v>9114.9425287356316</v>
      </c>
      <c r="J51" s="68">
        <v>-9038.1578947368416</v>
      </c>
      <c r="K51" s="67">
        <v>0.16666666666666666</v>
      </c>
      <c r="L51" s="67">
        <v>0.10416666666666667</v>
      </c>
      <c r="M51" s="67">
        <v>0.2647814910025707</v>
      </c>
      <c r="N51" s="67">
        <v>0.15424164524421594</v>
      </c>
      <c r="O51" s="67">
        <v>0.52427184466019416</v>
      </c>
      <c r="P51" s="67">
        <v>0.21666666666666667</v>
      </c>
      <c r="Q51" s="67">
        <v>0.4942528735632184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45086-593E-40CA-B697-4AF92BE8D6EC}">
  <sheetPr codeName="Sheet10"/>
  <dimension ref="A1:Q10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-388.20000000000005</v>
      </c>
      <c r="C105" s="66">
        <v>-3.8058823529411767</v>
      </c>
      <c r="D105" s="71">
        <v>2.0882352941176472</v>
      </c>
      <c r="E105" s="67">
        <v>0.26470588235294118</v>
      </c>
      <c r="F105" s="67">
        <v>0.35294117647058826</v>
      </c>
      <c r="G105" s="67">
        <v>0.27336448598130841</v>
      </c>
      <c r="H105" s="67">
        <v>0.17406542056074767</v>
      </c>
      <c r="I105" s="68">
        <v>9156.8376068376074</v>
      </c>
      <c r="J105" s="68">
        <v>-7672.4832214765102</v>
      </c>
      <c r="K105" s="67">
        <v>0.13725490196078433</v>
      </c>
      <c r="L105" s="67">
        <v>7.8431372549019607E-2</v>
      </c>
      <c r="M105" s="67">
        <v>0.29322429906542058</v>
      </c>
      <c r="N105" s="67">
        <v>0.1822429906542056</v>
      </c>
      <c r="O105" s="67">
        <v>0.59362549800796816</v>
      </c>
      <c r="P105" s="67">
        <v>0.27564102564102566</v>
      </c>
      <c r="Q105" s="67">
        <v>0.42735042735042733</v>
      </c>
    </row>
    <row r="106" spans="1:17" x14ac:dyDescent="0.4">
      <c r="A106" s="69">
        <v>103</v>
      </c>
      <c r="B106" s="66">
        <v>-313.00000000000006</v>
      </c>
      <c r="C106" s="66">
        <v>-3.0388349514563111</v>
      </c>
      <c r="D106" s="71">
        <v>2.0776699029126213</v>
      </c>
      <c r="E106" s="67">
        <v>0.27184466019417475</v>
      </c>
      <c r="F106" s="67">
        <v>0.34951456310679613</v>
      </c>
      <c r="G106" s="67">
        <v>0.27630057803468205</v>
      </c>
      <c r="H106" s="67">
        <v>0.1722543352601156</v>
      </c>
      <c r="I106" s="68">
        <v>9196.2343096234308</v>
      </c>
      <c r="J106" s="68">
        <v>-7672.4832214765102</v>
      </c>
      <c r="K106" s="67">
        <v>0.13592233009708737</v>
      </c>
      <c r="L106" s="67">
        <v>8.7378640776699032E-2</v>
      </c>
      <c r="M106" s="67">
        <v>0.29826589595375724</v>
      </c>
      <c r="N106" s="67">
        <v>0.18034682080924855</v>
      </c>
      <c r="O106" s="67">
        <v>0.5968992248062015</v>
      </c>
      <c r="P106" s="67">
        <v>0.27564102564102566</v>
      </c>
      <c r="Q106" s="67">
        <v>0.42677824267782427</v>
      </c>
    </row>
    <row r="107" spans="1:17" x14ac:dyDescent="0.4">
      <c r="A107" s="69">
        <v>104</v>
      </c>
      <c r="B107" s="66">
        <v>-343.60000000000008</v>
      </c>
      <c r="C107" s="66">
        <v>-3.3038461538461545</v>
      </c>
      <c r="D107" s="71">
        <v>2.0865384615384617</v>
      </c>
      <c r="E107" s="67">
        <v>0.26923076923076922</v>
      </c>
      <c r="F107" s="67">
        <v>0.35576923076923078</v>
      </c>
      <c r="G107" s="67">
        <v>0.27459954233409611</v>
      </c>
      <c r="H107" s="67">
        <v>0.17162471395881007</v>
      </c>
      <c r="I107" s="68">
        <v>9207.9166666666661</v>
      </c>
      <c r="J107" s="68">
        <v>-7672.666666666667</v>
      </c>
      <c r="K107" s="67">
        <v>0.13461538461538461</v>
      </c>
      <c r="L107" s="67">
        <v>8.6538461538461536E-2</v>
      </c>
      <c r="M107" s="67">
        <v>0.29633867276887871</v>
      </c>
      <c r="N107" s="67">
        <v>0.18306636155606407</v>
      </c>
      <c r="O107" s="67">
        <v>0.59459459459459463</v>
      </c>
      <c r="P107" s="67">
        <v>0.27500000000000002</v>
      </c>
      <c r="Q107" s="67">
        <v>0.42499999999999999</v>
      </c>
    </row>
    <row r="108" spans="1:17" x14ac:dyDescent="0.4">
      <c r="A108" s="69">
        <v>105</v>
      </c>
      <c r="B108" s="66">
        <v>-298.80000000000007</v>
      </c>
      <c r="C108" s="66">
        <v>-2.8457142857142865</v>
      </c>
      <c r="D108" s="71">
        <v>2.0761904761904764</v>
      </c>
      <c r="E108" s="67">
        <v>0.27619047619047621</v>
      </c>
      <c r="F108" s="67">
        <v>0.35238095238095241</v>
      </c>
      <c r="G108" s="67">
        <v>0.27519818799546997</v>
      </c>
      <c r="H108" s="67">
        <v>0.17214043035107587</v>
      </c>
      <c r="I108" s="68">
        <v>9241.1522633744862</v>
      </c>
      <c r="J108" s="68">
        <v>-7650</v>
      </c>
      <c r="K108" s="67">
        <v>0.13333333333333333</v>
      </c>
      <c r="L108" s="67">
        <v>8.5714285714285715E-2</v>
      </c>
      <c r="M108" s="67">
        <v>0.29558323895809741</v>
      </c>
      <c r="N108" s="67">
        <v>0.18459796149490373</v>
      </c>
      <c r="O108" s="67">
        <v>0.5938697318007663</v>
      </c>
      <c r="P108" s="67">
        <v>0.2822085889570552</v>
      </c>
      <c r="Q108" s="67">
        <v>0.42386831275720166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74C7B-A2AF-4B9C-ACEF-62A1B0BF9CCE}">
  <sheetPr codeName="Sheet8"/>
  <dimension ref="A1:Q10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550BA-412C-4BDC-86F7-DF04D06B7C7D}">
  <sheetPr codeName="Sheet6"/>
  <dimension ref="A1:Q15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2.8421709430404007E-14</v>
      </c>
      <c r="C150" s="66">
        <v>6.4448320703863964E-17</v>
      </c>
      <c r="D150" s="71">
        <v>2</v>
      </c>
      <c r="E150" s="67">
        <v>0.33333333333333331</v>
      </c>
      <c r="F150" s="67">
        <v>0.33333333333333331</v>
      </c>
      <c r="G150" s="67">
        <v>0.3018309100700054</v>
      </c>
      <c r="H150" s="67">
        <v>0.16693591814754982</v>
      </c>
      <c r="I150" s="68">
        <v>8396.8777876895638</v>
      </c>
      <c r="J150" s="68">
        <v>-8022.7419354838712</v>
      </c>
      <c r="K150" s="67">
        <v>0.10204081632653061</v>
      </c>
      <c r="L150" s="67">
        <v>0.10204081632653061</v>
      </c>
      <c r="M150" s="67">
        <v>0.2719439956919763</v>
      </c>
      <c r="N150" s="67">
        <v>0.21351642434033388</v>
      </c>
      <c r="O150" s="67">
        <v>0.59504950495049502</v>
      </c>
      <c r="P150" s="67">
        <v>0.38209331651954603</v>
      </c>
      <c r="Q150" s="67">
        <v>0.43978590544157004</v>
      </c>
    </row>
    <row r="151" spans="1:17" x14ac:dyDescent="0.4">
      <c r="A151" s="69">
        <v>148</v>
      </c>
      <c r="B151" s="66">
        <v>3.0198066269804258E-14</v>
      </c>
      <c r="C151" s="66">
        <v>6.8013662769829405E-17</v>
      </c>
      <c r="D151" s="71">
        <v>2</v>
      </c>
      <c r="E151" s="67">
        <v>0.33333333333333331</v>
      </c>
      <c r="F151" s="67">
        <v>0.33333333333333331</v>
      </c>
      <c r="G151" s="67">
        <v>0.3019576293912577</v>
      </c>
      <c r="H151" s="67">
        <v>0.16706891928130865</v>
      </c>
      <c r="I151" s="68">
        <v>8419.6269982238009</v>
      </c>
      <c r="J151" s="68">
        <v>-8060.5136436597113</v>
      </c>
      <c r="K151" s="67">
        <v>0.1036036036036036</v>
      </c>
      <c r="L151" s="67">
        <v>0.1036036036036036</v>
      </c>
      <c r="M151" s="67">
        <v>0.27192276749798872</v>
      </c>
      <c r="N151" s="67">
        <v>0.21346205417001876</v>
      </c>
      <c r="O151" s="67">
        <v>0.596646942800789</v>
      </c>
      <c r="P151" s="67">
        <v>0.38190954773869346</v>
      </c>
      <c r="Q151" s="67">
        <v>0.43960923623445824</v>
      </c>
    </row>
    <row r="152" spans="1:17" x14ac:dyDescent="0.4">
      <c r="A152" s="69">
        <v>149</v>
      </c>
      <c r="B152" s="66">
        <v>2.1316282072803006E-14</v>
      </c>
      <c r="C152" s="66">
        <v>4.7687431930208065E-17</v>
      </c>
      <c r="D152" s="71">
        <v>2</v>
      </c>
      <c r="E152" s="67">
        <v>0.33333333333333331</v>
      </c>
      <c r="F152" s="67">
        <v>0.33333333333333331</v>
      </c>
      <c r="G152" s="67">
        <v>0.30135891286970423</v>
      </c>
      <c r="H152" s="67">
        <v>0.16653343991473488</v>
      </c>
      <c r="I152" s="68">
        <v>8415.030946065428</v>
      </c>
      <c r="J152" s="68">
        <v>-8043.04</v>
      </c>
      <c r="K152" s="67">
        <v>0.1029082774049217</v>
      </c>
      <c r="L152" s="67">
        <v>0.1029082774049217</v>
      </c>
      <c r="M152" s="67">
        <v>0.27204902744471088</v>
      </c>
      <c r="N152" s="67">
        <v>0.21236344257926992</v>
      </c>
      <c r="O152" s="67">
        <v>0.59549461312438789</v>
      </c>
      <c r="P152" s="67">
        <v>0.38268506900878296</v>
      </c>
      <c r="Q152" s="67">
        <v>0.44031830238726788</v>
      </c>
    </row>
    <row r="153" spans="1:17" x14ac:dyDescent="0.4">
      <c r="A153" s="69">
        <v>150</v>
      </c>
      <c r="B153" s="66">
        <v>1.9539925233402755E-14</v>
      </c>
      <c r="C153" s="66">
        <v>4.3422056074228347E-17</v>
      </c>
      <c r="D153" s="71">
        <v>2</v>
      </c>
      <c r="E153" s="67">
        <v>0.33333333333333331</v>
      </c>
      <c r="F153" s="67">
        <v>0.33333333333333331</v>
      </c>
      <c r="G153" s="67">
        <v>0.30127186009538953</v>
      </c>
      <c r="H153" s="67">
        <v>0.16666666666666666</v>
      </c>
      <c r="I153" s="68">
        <v>8426.0334212840808</v>
      </c>
      <c r="J153" s="68">
        <v>-8077.7424483306841</v>
      </c>
      <c r="K153" s="67">
        <v>0.10444444444444445</v>
      </c>
      <c r="L153" s="67">
        <v>0.10444444444444445</v>
      </c>
      <c r="M153" s="67">
        <v>0.27133015368309488</v>
      </c>
      <c r="N153" s="67">
        <v>0.21224165341812401</v>
      </c>
      <c r="O153" s="67">
        <v>0.595703125</v>
      </c>
      <c r="P153" s="67">
        <v>0.38327091136079899</v>
      </c>
      <c r="Q153" s="67">
        <v>0.43975373790677219</v>
      </c>
    </row>
    <row r="154" spans="1:17" x14ac:dyDescent="0.4">
      <c r="A154" s="69">
        <v>151</v>
      </c>
      <c r="B154" s="66">
        <v>7.1054273576010019E-15</v>
      </c>
      <c r="C154" s="66">
        <v>1.5685270105079474E-17</v>
      </c>
      <c r="D154" s="71">
        <v>2</v>
      </c>
      <c r="E154" s="67">
        <v>0.33333333333333331</v>
      </c>
      <c r="F154" s="67">
        <v>0.33333333333333331</v>
      </c>
      <c r="G154" s="67">
        <v>0.30073606729758151</v>
      </c>
      <c r="H154" s="67">
        <v>0.16666666666666666</v>
      </c>
      <c r="I154" s="68">
        <v>8427.9720279720277</v>
      </c>
      <c r="J154" s="68">
        <v>-8063.2492113564667</v>
      </c>
      <c r="K154" s="67">
        <v>0.10596026490066225</v>
      </c>
      <c r="L154" s="67">
        <v>0.10596026490066225</v>
      </c>
      <c r="M154" s="67">
        <v>0.27155625657202942</v>
      </c>
      <c r="N154" s="67">
        <v>0.21161934805467927</v>
      </c>
      <c r="O154" s="67">
        <v>0.59438528557599224</v>
      </c>
      <c r="P154" s="67">
        <v>0.38509316770186336</v>
      </c>
      <c r="Q154" s="67">
        <v>0.4388111888111888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0.30070477682067348</v>
      </c>
      <c r="H155" s="67">
        <v>0.16653615244061604</v>
      </c>
      <c r="I155" s="68">
        <v>8434.0277777777774</v>
      </c>
      <c r="J155" s="68">
        <v>-8066.6144200626959</v>
      </c>
      <c r="K155" s="67">
        <v>0.10745614035087719</v>
      </c>
      <c r="L155" s="67">
        <v>0.10745614035087719</v>
      </c>
      <c r="M155" s="67">
        <v>0.27329678935003915</v>
      </c>
      <c r="N155" s="67">
        <v>0.21091098929783347</v>
      </c>
      <c r="O155" s="67">
        <v>0.59312320916905448</v>
      </c>
      <c r="P155" s="67">
        <v>0.38366336633663367</v>
      </c>
      <c r="Q155" s="67">
        <v>0.4392361111111111</v>
      </c>
    </row>
    <row r="156" spans="1:17" x14ac:dyDescent="0.4">
      <c r="A156" s="69">
        <v>153</v>
      </c>
      <c r="B156" s="66">
        <v>1.1546319456101628E-14</v>
      </c>
      <c r="C156" s="66">
        <v>2.5155380078652783E-17</v>
      </c>
      <c r="D156" s="71">
        <v>2</v>
      </c>
      <c r="E156" s="67">
        <v>0.33333333333333331</v>
      </c>
      <c r="F156" s="67">
        <v>0.33333333333333331</v>
      </c>
      <c r="G156" s="67">
        <v>0.30067392431311563</v>
      </c>
      <c r="H156" s="67">
        <v>0.16666666666666666</v>
      </c>
      <c r="I156" s="68">
        <v>8443.7931034482754</v>
      </c>
      <c r="J156" s="68">
        <v>-8070.9175738724725</v>
      </c>
      <c r="K156" s="67">
        <v>0.10675381263616558</v>
      </c>
      <c r="L156" s="67">
        <v>0.10675381263616558</v>
      </c>
      <c r="M156" s="67">
        <v>0.27319854847071023</v>
      </c>
      <c r="N156" s="67">
        <v>0.21150855365474339</v>
      </c>
      <c r="O156" s="67">
        <v>0.59203036053130931</v>
      </c>
      <c r="P156" s="67">
        <v>0.38480392156862747</v>
      </c>
      <c r="Q156" s="67">
        <v>0.43879310344827588</v>
      </c>
    </row>
    <row r="157" spans="1:17" x14ac:dyDescent="0.4">
      <c r="A157" s="69">
        <v>154</v>
      </c>
      <c r="B157" s="66">
        <v>7.1054273576010019E-15</v>
      </c>
      <c r="C157" s="66">
        <v>1.5379712895240264E-17</v>
      </c>
      <c r="D157" s="71">
        <v>2</v>
      </c>
      <c r="E157" s="67">
        <v>0.33333333333333331</v>
      </c>
      <c r="F157" s="67">
        <v>0.33333333333333331</v>
      </c>
      <c r="G157" s="67">
        <v>0.30090090090090088</v>
      </c>
      <c r="H157" s="67">
        <v>0.16756756756756758</v>
      </c>
      <c r="I157" s="68">
        <v>8439.8631308810945</v>
      </c>
      <c r="J157" s="68">
        <v>-8069.5852534562209</v>
      </c>
      <c r="K157" s="67">
        <v>0.10606060606060606</v>
      </c>
      <c r="L157" s="67">
        <v>0.10606060606060606</v>
      </c>
      <c r="M157" s="67">
        <v>0.27335907335907333</v>
      </c>
      <c r="N157" s="67">
        <v>0.21209781209781209</v>
      </c>
      <c r="O157" s="67">
        <v>0.59322033898305082</v>
      </c>
      <c r="P157" s="67">
        <v>0.38349514563106796</v>
      </c>
      <c r="Q157" s="67">
        <v>0.43627031650983744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2019-05-18T16:36:12Z</dcterms:modified>
</cp:coreProperties>
</file>