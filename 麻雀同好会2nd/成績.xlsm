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D9751292-5607-4997-924C-B1568CDE1956}" xr6:coauthVersionLast="36" xr6:coauthVersionMax="36" xr10:uidLastSave="{00000000-0000-0000-0000-000000000000}"/>
  <bookViews>
    <workbookView xWindow="0" yWindow="0" windowWidth="28800" windowHeight="13050" tabRatio="663" firstSheet="4" activeTab="9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213" r:id="rId6"/>
    <sheet name="だいち" sheetId="5215" r:id="rId7"/>
    <sheet name="りくと" sheetId="5217" r:id="rId8"/>
    <sheet name="ただ" sheetId="5219" r:id="rId9"/>
    <sheet name="れんたろう" sheetId="5221" r:id="rId10"/>
    <sheet name="たかの" sheetId="5223" r:id="rId11"/>
    <sheet name="ぱぱ" sheetId="5225" r:id="rId12"/>
    <sheet name="まっつん" sheetId="5227" r:id="rId13"/>
    <sheet name="あさひ" sheetId="5229" r:id="rId14"/>
    <sheet name="いっしー" sheetId="5231" r:id="rId15"/>
    <sheet name="ほたに" sheetId="5233" r:id="rId16"/>
    <sheet name="かわたつ" sheetId="5235" r:id="rId17"/>
    <sheet name="やがさき" sheetId="5237" r:id="rId18"/>
    <sheet name="やがさき2" sheetId="5238" state="hidden" r:id="rId19"/>
    <sheet name="かわたつ2" sheetId="5236" state="hidden" r:id="rId20"/>
    <sheet name="ほたに2" sheetId="5234" state="hidden" r:id="rId21"/>
    <sheet name="いっしー2" sheetId="5232" state="hidden" r:id="rId22"/>
    <sheet name="あさひ2" sheetId="5230" state="hidden" r:id="rId23"/>
    <sheet name="まっつん2" sheetId="5228" state="hidden" r:id="rId24"/>
    <sheet name="ぱぱ2" sheetId="5226" state="hidden" r:id="rId25"/>
    <sheet name="たかの2" sheetId="5224" state="hidden" r:id="rId26"/>
    <sheet name="れんたろう2" sheetId="5222" state="hidden" r:id="rId27"/>
    <sheet name="ただ2" sheetId="5220" state="hidden" r:id="rId28"/>
    <sheet name="りくと2" sheetId="5218" state="hidden" r:id="rId29"/>
    <sheet name="だいち2" sheetId="5216" state="hidden" r:id="rId30"/>
    <sheet name="全体2" sheetId="521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219" l="1"/>
  <c r="O16" i="5223"/>
  <c r="O15" i="5213"/>
  <c r="O16" i="5237"/>
  <c r="O15" i="5237"/>
  <c r="C27" i="5237"/>
  <c r="B24" i="5237"/>
  <c r="C20" i="5237"/>
  <c r="B17" i="5237"/>
  <c r="H51" i="5237" s="1"/>
  <c r="C16" i="5237"/>
  <c r="C15" i="5237"/>
  <c r="C14" i="5237"/>
  <c r="C13" i="5237"/>
  <c r="O12" i="5237"/>
  <c r="C12" i="5237"/>
  <c r="O11" i="5237"/>
  <c r="C11" i="5237"/>
  <c r="O10" i="5237"/>
  <c r="C10" i="5237"/>
  <c r="C9" i="5237"/>
  <c r="C8" i="5237"/>
  <c r="O7" i="5237"/>
  <c r="C7" i="5237"/>
  <c r="O6" i="5237"/>
  <c r="B6" i="5237"/>
  <c r="O5" i="5237"/>
  <c r="B5" i="5237"/>
  <c r="O4" i="5237"/>
  <c r="O3" i="5237"/>
  <c r="O2" i="5237"/>
  <c r="O15" i="5235"/>
  <c r="O16" i="5235"/>
  <c r="H34" i="5235"/>
  <c r="H27" i="5235"/>
  <c r="C27" i="5235"/>
  <c r="B24" i="5235"/>
  <c r="B23" i="5235"/>
  <c r="C20" i="5235"/>
  <c r="C18" i="5235"/>
  <c r="B17" i="5235"/>
  <c r="H49" i="5235" s="1"/>
  <c r="H16" i="5235"/>
  <c r="C16" i="5235"/>
  <c r="C15" i="5235"/>
  <c r="H14" i="5235"/>
  <c r="C14" i="5235"/>
  <c r="C13" i="5235"/>
  <c r="O12" i="5235"/>
  <c r="C12" i="5235"/>
  <c r="O11" i="5235"/>
  <c r="H11" i="5235"/>
  <c r="C11" i="5235"/>
  <c r="O10" i="5235"/>
  <c r="C10" i="5235"/>
  <c r="C9" i="5235"/>
  <c r="C8" i="5235"/>
  <c r="O7" i="5235"/>
  <c r="C7" i="5235"/>
  <c r="O6" i="5235"/>
  <c r="B6" i="5235"/>
  <c r="O5" i="5235"/>
  <c r="H5" i="5235"/>
  <c r="B5" i="5235"/>
  <c r="O4" i="5235"/>
  <c r="H4" i="5235"/>
  <c r="O3" i="5235"/>
  <c r="O2" i="5235"/>
  <c r="H2" i="5235"/>
  <c r="O23" i="5221"/>
  <c r="O17" i="5215"/>
  <c r="O25" i="5213"/>
  <c r="H14" i="5237" l="1"/>
  <c r="H8" i="5237"/>
  <c r="H28" i="5237"/>
  <c r="B23" i="5237"/>
  <c r="H44" i="5237"/>
  <c r="H5" i="5237"/>
  <c r="C17" i="5237"/>
  <c r="H32" i="5237"/>
  <c r="H48" i="5237"/>
  <c r="H4" i="5237"/>
  <c r="H11" i="5237"/>
  <c r="C18" i="5237"/>
  <c r="H25" i="5237"/>
  <c r="H36" i="5237"/>
  <c r="H2" i="5237"/>
  <c r="H10" i="5237"/>
  <c r="H16" i="5237"/>
  <c r="H40" i="5237"/>
  <c r="H18" i="5237"/>
  <c r="H20" i="5237"/>
  <c r="H23" i="5237"/>
  <c r="H26" i="5237"/>
  <c r="H29" i="5237"/>
  <c r="H33" i="5237"/>
  <c r="H37" i="5237"/>
  <c r="H41" i="5237"/>
  <c r="H45" i="5237"/>
  <c r="H49" i="5237"/>
  <c r="H7" i="5237"/>
  <c r="H13" i="5237"/>
  <c r="H15" i="5237"/>
  <c r="C19" i="5237"/>
  <c r="H21" i="5237"/>
  <c r="H30" i="5237"/>
  <c r="H34" i="5237"/>
  <c r="H38" i="5237"/>
  <c r="H42" i="5237"/>
  <c r="H46" i="5237"/>
  <c r="H50" i="5237"/>
  <c r="H3" i="5237"/>
  <c r="H6" i="5237"/>
  <c r="H9" i="5237"/>
  <c r="H12" i="5237"/>
  <c r="H17" i="5237"/>
  <c r="H19" i="5237"/>
  <c r="H22" i="5237"/>
  <c r="H24" i="5237"/>
  <c r="H27" i="5237"/>
  <c r="H31" i="5237"/>
  <c r="H35" i="5237"/>
  <c r="H39" i="5237"/>
  <c r="H43" i="5237"/>
  <c r="H47" i="5237"/>
  <c r="H42" i="5235"/>
  <c r="H8" i="5235"/>
  <c r="H10" i="5235"/>
  <c r="H28" i="5235"/>
  <c r="H36" i="5235"/>
  <c r="H43" i="5235"/>
  <c r="H13" i="5235"/>
  <c r="H15" i="5235"/>
  <c r="H31" i="5235"/>
  <c r="H47" i="5235"/>
  <c r="H19" i="5235"/>
  <c r="H7" i="5235"/>
  <c r="C17" i="5235"/>
  <c r="H24" i="5235"/>
  <c r="H38" i="5235"/>
  <c r="H3" i="5235"/>
  <c r="H6" i="5235"/>
  <c r="H9" i="5235"/>
  <c r="H12" i="5235"/>
  <c r="H17" i="5235"/>
  <c r="H21" i="5235"/>
  <c r="H32" i="5235"/>
  <c r="H39" i="5235"/>
  <c r="H48" i="5235"/>
  <c r="H44" i="5235"/>
  <c r="H50" i="5235"/>
  <c r="C19" i="5235"/>
  <c r="H22" i="5235"/>
  <c r="H25" i="5235"/>
  <c r="H30" i="5235"/>
  <c r="H35" i="5235"/>
  <c r="H40" i="5235"/>
  <c r="H46" i="5235"/>
  <c r="H51" i="5235"/>
  <c r="H18" i="5235"/>
  <c r="H20" i="5235"/>
  <c r="H23" i="5235"/>
  <c r="H26" i="5235"/>
  <c r="H29" i="5235"/>
  <c r="H33" i="5235"/>
  <c r="H37" i="5235"/>
  <c r="H41" i="5235"/>
  <c r="H45" i="5235"/>
  <c r="O18" i="5223" l="1"/>
  <c r="O18" i="5231"/>
  <c r="O20" i="5233" l="1"/>
  <c r="O18" i="5233"/>
  <c r="O15" i="5227"/>
  <c r="O20" i="5217"/>
  <c r="O24" i="5215" l="1"/>
  <c r="O16" i="5233"/>
  <c r="O21" i="5225"/>
  <c r="O15" i="5233"/>
  <c r="O17" i="5233" l="1"/>
  <c r="O19" i="5233"/>
  <c r="C27" i="5233"/>
  <c r="B24" i="5233"/>
  <c r="C20" i="5233"/>
  <c r="B17" i="5233"/>
  <c r="H49" i="5233" s="1"/>
  <c r="C16" i="5233"/>
  <c r="C15" i="5233"/>
  <c r="C14" i="5233"/>
  <c r="C13" i="5233"/>
  <c r="O12" i="5233"/>
  <c r="C12" i="5233"/>
  <c r="O11" i="5233"/>
  <c r="C11" i="5233"/>
  <c r="O10" i="5233"/>
  <c r="C10" i="5233"/>
  <c r="C9" i="5233"/>
  <c r="C8" i="5233"/>
  <c r="O7" i="5233"/>
  <c r="C7" i="5233"/>
  <c r="O6" i="5233"/>
  <c r="B6" i="5233"/>
  <c r="O5" i="5233"/>
  <c r="B5" i="5233"/>
  <c r="O4" i="5233"/>
  <c r="O3" i="5233"/>
  <c r="O2" i="5233"/>
  <c r="O22" i="5221"/>
  <c r="O19" i="5223"/>
  <c r="O18" i="5213"/>
  <c r="H16" i="5233" l="1"/>
  <c r="H6" i="5233"/>
  <c r="H12" i="5233"/>
  <c r="H14" i="5233"/>
  <c r="H42" i="5233"/>
  <c r="H3" i="5233"/>
  <c r="H5" i="5233"/>
  <c r="H17" i="5233"/>
  <c r="H43" i="5233"/>
  <c r="H2" i="5233"/>
  <c r="H4" i="5233"/>
  <c r="H9" i="5233"/>
  <c r="H11" i="5233"/>
  <c r="C18" i="5233"/>
  <c r="H27" i="5233"/>
  <c r="B23" i="5233"/>
  <c r="H31" i="5233"/>
  <c r="H24" i="5233"/>
  <c r="H32" i="5233"/>
  <c r="H8" i="5233"/>
  <c r="H10" i="5233"/>
  <c r="H7" i="5233"/>
  <c r="H13" i="5233"/>
  <c r="H15" i="5233"/>
  <c r="C17" i="5233"/>
  <c r="H21" i="5233"/>
  <c r="H36" i="5233"/>
  <c r="H47" i="5233"/>
  <c r="H19" i="5233"/>
  <c r="H28" i="5233"/>
  <c r="H38" i="5233"/>
  <c r="H48" i="5233"/>
  <c r="H34" i="5233"/>
  <c r="H39" i="5233"/>
  <c r="H44" i="5233"/>
  <c r="H50" i="5233"/>
  <c r="C19" i="5233"/>
  <c r="H22" i="5233"/>
  <c r="H25" i="5233"/>
  <c r="H30" i="5233"/>
  <c r="H35" i="5233"/>
  <c r="H40" i="5233"/>
  <c r="H46" i="5233"/>
  <c r="H51" i="5233"/>
  <c r="H18" i="5233"/>
  <c r="H20" i="5233"/>
  <c r="H23" i="5233"/>
  <c r="H26" i="5233"/>
  <c r="H29" i="5233"/>
  <c r="H33" i="5233"/>
  <c r="H37" i="5233"/>
  <c r="H41" i="5233"/>
  <c r="H45" i="5233"/>
  <c r="O17" i="5223" l="1"/>
  <c r="O16" i="5219"/>
  <c r="O20" i="5227"/>
  <c r="O22" i="5227"/>
  <c r="O22" i="5215" l="1"/>
  <c r="O17" i="5231"/>
  <c r="O20" i="5231" l="1"/>
  <c r="O15" i="5231"/>
  <c r="O15" i="5221"/>
  <c r="O22" i="5219"/>
  <c r="O17" i="5229" l="1"/>
  <c r="O22" i="5225"/>
  <c r="O15" i="5229"/>
  <c r="O21" i="5231"/>
  <c r="O15" i="5217"/>
  <c r="O19" i="5227"/>
  <c r="O21" i="5213"/>
  <c r="O19" i="5231"/>
  <c r="O16" i="5231"/>
  <c r="C27" i="5231"/>
  <c r="B24" i="5231"/>
  <c r="C20" i="5231"/>
  <c r="B17" i="5231"/>
  <c r="H49" i="5231" s="1"/>
  <c r="C16" i="5231"/>
  <c r="C15" i="5231"/>
  <c r="C14" i="5231"/>
  <c r="C13" i="5231"/>
  <c r="O12" i="5231"/>
  <c r="C12" i="5231"/>
  <c r="O11" i="5231"/>
  <c r="C11" i="5231"/>
  <c r="O10" i="5231"/>
  <c r="C10" i="5231"/>
  <c r="C9" i="5231"/>
  <c r="C8" i="5231"/>
  <c r="O7" i="5231"/>
  <c r="C7" i="5231"/>
  <c r="O6" i="5231"/>
  <c r="B6" i="5231"/>
  <c r="O5" i="5231"/>
  <c r="B5" i="5231"/>
  <c r="O4" i="5231"/>
  <c r="O3" i="5231"/>
  <c r="O2" i="5231"/>
  <c r="O16" i="5229"/>
  <c r="O18" i="5229"/>
  <c r="C27" i="5229"/>
  <c r="B24" i="5229"/>
  <c r="C20" i="5229"/>
  <c r="B17" i="5229"/>
  <c r="H49" i="5229" s="1"/>
  <c r="C16" i="5229"/>
  <c r="C15" i="5229"/>
  <c r="C14" i="5229"/>
  <c r="C13" i="5229"/>
  <c r="O12" i="5229"/>
  <c r="C12" i="5229"/>
  <c r="O11" i="5229"/>
  <c r="C11" i="5229"/>
  <c r="O10" i="5229"/>
  <c r="C10" i="5229"/>
  <c r="C9" i="5229"/>
  <c r="C8" i="5229"/>
  <c r="O7" i="5229"/>
  <c r="C7" i="5229"/>
  <c r="O6" i="5229"/>
  <c r="B6" i="5229"/>
  <c r="O5" i="5229"/>
  <c r="B5" i="5229"/>
  <c r="O4" i="5229"/>
  <c r="O3" i="5229"/>
  <c r="O2" i="5229"/>
  <c r="O21" i="5227"/>
  <c r="O23" i="5227"/>
  <c r="O15" i="5215"/>
  <c r="O20" i="5215"/>
  <c r="O26" i="5213"/>
  <c r="H4" i="5231" l="1"/>
  <c r="H2" i="5231"/>
  <c r="H10" i="5231"/>
  <c r="H8" i="5231"/>
  <c r="H34" i="5229"/>
  <c r="H16" i="5229"/>
  <c r="H43" i="5229"/>
  <c r="H6" i="5229"/>
  <c r="C18" i="5229"/>
  <c r="H44" i="5229"/>
  <c r="H12" i="5229"/>
  <c r="H14" i="5229"/>
  <c r="H24" i="5229"/>
  <c r="H3" i="5229"/>
  <c r="H5" i="5229"/>
  <c r="H32" i="5229"/>
  <c r="H48" i="5229"/>
  <c r="H21" i="5229"/>
  <c r="H27" i="5229"/>
  <c r="H38" i="5229"/>
  <c r="H2" i="5229"/>
  <c r="H4" i="5229"/>
  <c r="H9" i="5229"/>
  <c r="H11" i="5229"/>
  <c r="H17" i="5229"/>
  <c r="H28" i="5229"/>
  <c r="H39" i="5229"/>
  <c r="H50" i="5229"/>
  <c r="H8" i="5229"/>
  <c r="H10" i="5229"/>
  <c r="C19" i="5229"/>
  <c r="H22" i="5229"/>
  <c r="H25" i="5229"/>
  <c r="H30" i="5229"/>
  <c r="H35" i="5229"/>
  <c r="H40" i="5229"/>
  <c r="H46" i="5229"/>
  <c r="H51" i="5229"/>
  <c r="H7" i="5229"/>
  <c r="H13" i="5229"/>
  <c r="H15" i="5229"/>
  <c r="C17" i="5229"/>
  <c r="H19" i="5229"/>
  <c r="B23" i="5229"/>
  <c r="H31" i="5229"/>
  <c r="H36" i="5229"/>
  <c r="H42" i="5229"/>
  <c r="H47" i="5229"/>
  <c r="H19" i="5231"/>
  <c r="H28" i="5231"/>
  <c r="H36" i="5231"/>
  <c r="H43" i="5231"/>
  <c r="H13" i="5231"/>
  <c r="H15" i="5231"/>
  <c r="C17" i="5231"/>
  <c r="H24" i="5231"/>
  <c r="H31" i="5231"/>
  <c r="H38" i="5231"/>
  <c r="H44" i="5231"/>
  <c r="H7" i="5231"/>
  <c r="H9" i="5231"/>
  <c r="H17" i="5231"/>
  <c r="H32" i="5231"/>
  <c r="H39" i="5231"/>
  <c r="H47" i="5231"/>
  <c r="H3" i="5231"/>
  <c r="H6" i="5231"/>
  <c r="H12" i="5231"/>
  <c r="H21" i="5231"/>
  <c r="H5" i="5231"/>
  <c r="H11" i="5231"/>
  <c r="H14" i="5231"/>
  <c r="H16" i="5231"/>
  <c r="C18" i="5231"/>
  <c r="B23" i="5231"/>
  <c r="H27" i="5231"/>
  <c r="H34" i="5231"/>
  <c r="H42" i="5231"/>
  <c r="H48" i="5231"/>
  <c r="H50" i="5231"/>
  <c r="C19" i="5231"/>
  <c r="H22" i="5231"/>
  <c r="H25" i="5231"/>
  <c r="H30" i="5231"/>
  <c r="H35" i="5231"/>
  <c r="H40" i="5231"/>
  <c r="H46" i="5231"/>
  <c r="H51" i="5231"/>
  <c r="H18" i="5231"/>
  <c r="H20" i="5231"/>
  <c r="H23" i="5231"/>
  <c r="H26" i="5231"/>
  <c r="H29" i="5231"/>
  <c r="H33" i="5231"/>
  <c r="H37" i="5231"/>
  <c r="H41" i="5231"/>
  <c r="H45" i="5231"/>
  <c r="H18" i="5229"/>
  <c r="H20" i="5229"/>
  <c r="H23" i="5229"/>
  <c r="H26" i="5229"/>
  <c r="H29" i="5229"/>
  <c r="H33" i="5229"/>
  <c r="H37" i="5229"/>
  <c r="H41" i="5229"/>
  <c r="H45" i="5229"/>
  <c r="O16" i="5227" l="1"/>
  <c r="O20" i="5225"/>
  <c r="O16" i="5225"/>
  <c r="O19" i="5217"/>
  <c r="O20" i="5223" l="1"/>
  <c r="O17" i="5221"/>
  <c r="O17" i="5225"/>
  <c r="O18" i="5225"/>
  <c r="O15" i="5223" l="1"/>
  <c r="O16" i="5221"/>
  <c r="O21" i="5219"/>
  <c r="O18" i="5219"/>
  <c r="O18" i="5227"/>
  <c r="O17" i="5227"/>
  <c r="C27" i="5227"/>
  <c r="B24" i="5227"/>
  <c r="C20" i="5227"/>
  <c r="B17" i="5227"/>
  <c r="H49" i="5227" s="1"/>
  <c r="C16" i="5227"/>
  <c r="C15" i="5227"/>
  <c r="C14" i="5227"/>
  <c r="C13" i="5227"/>
  <c r="O12" i="5227"/>
  <c r="C12" i="5227"/>
  <c r="O11" i="5227"/>
  <c r="C11" i="5227"/>
  <c r="O10" i="5227"/>
  <c r="C10" i="5227"/>
  <c r="C9" i="5227"/>
  <c r="C8" i="5227"/>
  <c r="O7" i="5227"/>
  <c r="C7" i="5227"/>
  <c r="O6" i="5227"/>
  <c r="B6" i="5227"/>
  <c r="O5" i="5227"/>
  <c r="B5" i="5227"/>
  <c r="O4" i="5227"/>
  <c r="O3" i="5227"/>
  <c r="O2" i="5227"/>
  <c r="O20" i="5221"/>
  <c r="O21" i="5217"/>
  <c r="O20" i="5213"/>
  <c r="H2" i="5227" l="1"/>
  <c r="H14" i="5227"/>
  <c r="H8" i="5227"/>
  <c r="C18" i="5227"/>
  <c r="H31" i="5227"/>
  <c r="H5" i="5227"/>
  <c r="H11" i="5227"/>
  <c r="H4" i="5227"/>
  <c r="H16" i="5227"/>
  <c r="H42" i="5227"/>
  <c r="H10" i="5227"/>
  <c r="H24" i="5227"/>
  <c r="H34" i="5227"/>
  <c r="H46" i="5227"/>
  <c r="H7" i="5227"/>
  <c r="H15" i="5227"/>
  <c r="H38" i="5227"/>
  <c r="H47" i="5227"/>
  <c r="H19" i="5227"/>
  <c r="H13" i="5227"/>
  <c r="C17" i="5227"/>
  <c r="H3" i="5227"/>
  <c r="H6" i="5227"/>
  <c r="H9" i="5227"/>
  <c r="H12" i="5227"/>
  <c r="H17" i="5227"/>
  <c r="H21" i="5227"/>
  <c r="H30" i="5227"/>
  <c r="H39" i="5227"/>
  <c r="H50" i="5227"/>
  <c r="C19" i="5227"/>
  <c r="H22" i="5227"/>
  <c r="H27" i="5227"/>
  <c r="H35" i="5227"/>
  <c r="H43" i="5227"/>
  <c r="H51" i="5227"/>
  <c r="B23" i="5227"/>
  <c r="H25" i="5227"/>
  <c r="H28" i="5227"/>
  <c r="H32" i="5227"/>
  <c r="H36" i="5227"/>
  <c r="H40" i="5227"/>
  <c r="H44" i="5227"/>
  <c r="H48" i="5227"/>
  <c r="H18" i="5227"/>
  <c r="H20" i="5227"/>
  <c r="H23" i="5227"/>
  <c r="H26" i="5227"/>
  <c r="H29" i="5227"/>
  <c r="H33" i="5227"/>
  <c r="H37" i="5227"/>
  <c r="H41" i="5227"/>
  <c r="H45" i="5227"/>
  <c r="O19" i="5219" l="1"/>
  <c r="O19" i="5225"/>
  <c r="O15" i="5225"/>
  <c r="C27" i="5225"/>
  <c r="B24" i="5225"/>
  <c r="C20" i="5225"/>
  <c r="B17" i="5225"/>
  <c r="H51" i="5225" s="1"/>
  <c r="C16" i="5225"/>
  <c r="C15" i="5225"/>
  <c r="C14" i="5225"/>
  <c r="C13" i="5225"/>
  <c r="O12" i="5225"/>
  <c r="C12" i="5225"/>
  <c r="O11" i="5225"/>
  <c r="C11" i="5225"/>
  <c r="O10" i="5225"/>
  <c r="C10" i="5225"/>
  <c r="C9" i="5225"/>
  <c r="C8" i="5225"/>
  <c r="O7" i="5225"/>
  <c r="C7" i="5225"/>
  <c r="O6" i="5225"/>
  <c r="B6" i="5225"/>
  <c r="O5" i="5225"/>
  <c r="B5" i="5225"/>
  <c r="O4" i="5225"/>
  <c r="O3" i="5225"/>
  <c r="O2" i="5225"/>
  <c r="O18" i="5215"/>
  <c r="O17" i="5213"/>
  <c r="O21" i="5223"/>
  <c r="O17" i="5217"/>
  <c r="O18" i="5217"/>
  <c r="O21" i="5221"/>
  <c r="O22" i="5223"/>
  <c r="O23" i="5223"/>
  <c r="C27" i="5223"/>
  <c r="B24" i="5223"/>
  <c r="C20" i="5223"/>
  <c r="B17" i="5223"/>
  <c r="H51" i="5223" s="1"/>
  <c r="C16" i="5223"/>
  <c r="C15" i="5223"/>
  <c r="C14" i="5223"/>
  <c r="C13" i="5223"/>
  <c r="O12" i="5223"/>
  <c r="C12" i="5223"/>
  <c r="O11" i="5223"/>
  <c r="C11" i="5223"/>
  <c r="O10" i="5223"/>
  <c r="C10" i="5223"/>
  <c r="C9" i="5223"/>
  <c r="C8" i="5223"/>
  <c r="O7" i="5223"/>
  <c r="C7" i="5223"/>
  <c r="O6" i="5223"/>
  <c r="B6" i="5223"/>
  <c r="O5" i="5223"/>
  <c r="B5" i="5223"/>
  <c r="O4" i="5223"/>
  <c r="O3" i="5223"/>
  <c r="O2" i="5223"/>
  <c r="O19" i="5221"/>
  <c r="O18" i="5221"/>
  <c r="C27" i="5221"/>
  <c r="B24" i="5221"/>
  <c r="C20" i="5221"/>
  <c r="B17" i="5221"/>
  <c r="H49" i="5221" s="1"/>
  <c r="C16" i="5221"/>
  <c r="C15" i="5221"/>
  <c r="C14" i="5221"/>
  <c r="C13" i="5221"/>
  <c r="O12" i="5221"/>
  <c r="C12" i="5221"/>
  <c r="O11" i="5221"/>
  <c r="C11" i="5221"/>
  <c r="O10" i="5221"/>
  <c r="C10" i="5221"/>
  <c r="C9" i="5221"/>
  <c r="C8" i="5221"/>
  <c r="O7" i="5221"/>
  <c r="C7" i="5221"/>
  <c r="O6" i="5221"/>
  <c r="B6" i="5221"/>
  <c r="O5" i="5221"/>
  <c r="B5" i="5221"/>
  <c r="O4" i="5221"/>
  <c r="O3" i="5221"/>
  <c r="O2" i="5221"/>
  <c r="O19" i="5215"/>
  <c r="O23" i="5215"/>
  <c r="O22" i="5213"/>
  <c r="O23" i="5213"/>
  <c r="C18" i="5225" l="1"/>
  <c r="H3" i="5225"/>
  <c r="H12" i="5225"/>
  <c r="H6" i="5225"/>
  <c r="H5" i="5225"/>
  <c r="H8" i="5225"/>
  <c r="H10" i="5225"/>
  <c r="H2" i="5225"/>
  <c r="H4" i="5225"/>
  <c r="H9" i="5225"/>
  <c r="B23" i="5225"/>
  <c r="H8" i="5221"/>
  <c r="H2" i="5221"/>
  <c r="H4" i="5221"/>
  <c r="H10" i="5221"/>
  <c r="H6" i="5223"/>
  <c r="H3" i="5223"/>
  <c r="H28" i="5225"/>
  <c r="H36" i="5225"/>
  <c r="H44" i="5225"/>
  <c r="H11" i="5225"/>
  <c r="H14" i="5225"/>
  <c r="H16" i="5225"/>
  <c r="C19" i="5225"/>
  <c r="H30" i="5225"/>
  <c r="H38" i="5225"/>
  <c r="H46" i="5225"/>
  <c r="H25" i="5225"/>
  <c r="H32" i="5225"/>
  <c r="H40" i="5225"/>
  <c r="H48" i="5225"/>
  <c r="H7" i="5225"/>
  <c r="H13" i="5225"/>
  <c r="H15" i="5225"/>
  <c r="C17" i="5225"/>
  <c r="H21" i="5225"/>
  <c r="H34" i="5225"/>
  <c r="H42" i="5225"/>
  <c r="H50" i="5225"/>
  <c r="H18" i="5225"/>
  <c r="H20" i="5225"/>
  <c r="H23" i="5225"/>
  <c r="H26" i="5225"/>
  <c r="H29" i="5225"/>
  <c r="H33" i="5225"/>
  <c r="H37" i="5225"/>
  <c r="H41" i="5225"/>
  <c r="H45" i="5225"/>
  <c r="H49" i="5225"/>
  <c r="H17" i="5225"/>
  <c r="H19" i="5225"/>
  <c r="H22" i="5225"/>
  <c r="H24" i="5225"/>
  <c r="H27" i="5225"/>
  <c r="H31" i="5225"/>
  <c r="H35" i="5225"/>
  <c r="H39" i="5225"/>
  <c r="H43" i="5225"/>
  <c r="H47" i="5225"/>
  <c r="C18" i="5223"/>
  <c r="H5" i="5223"/>
  <c r="H8" i="5223"/>
  <c r="H10" i="5223"/>
  <c r="H2" i="5223"/>
  <c r="H4" i="5223"/>
  <c r="H12" i="5223"/>
  <c r="H28" i="5223"/>
  <c r="H9" i="5223"/>
  <c r="B23" i="5223"/>
  <c r="H19" i="5221"/>
  <c r="H28" i="5221"/>
  <c r="H36" i="5221"/>
  <c r="H43" i="5221"/>
  <c r="H7" i="5221"/>
  <c r="H13" i="5221"/>
  <c r="H15" i="5221"/>
  <c r="H24" i="5221"/>
  <c r="H31" i="5221"/>
  <c r="H47" i="5221"/>
  <c r="C17" i="5221"/>
  <c r="H38" i="5221"/>
  <c r="H3" i="5221"/>
  <c r="H6" i="5221"/>
  <c r="H9" i="5221"/>
  <c r="H12" i="5221"/>
  <c r="H17" i="5221"/>
  <c r="H21" i="5221"/>
  <c r="H32" i="5221"/>
  <c r="H39" i="5221"/>
  <c r="H48" i="5221"/>
  <c r="H5" i="5221"/>
  <c r="H11" i="5221"/>
  <c r="H14" i="5221"/>
  <c r="H16" i="5221"/>
  <c r="C18" i="5221"/>
  <c r="B23" i="5221"/>
  <c r="H27" i="5221"/>
  <c r="H34" i="5221"/>
  <c r="H42" i="5221"/>
  <c r="H36" i="5223"/>
  <c r="H44" i="5223"/>
  <c r="H11" i="5223"/>
  <c r="H14" i="5223"/>
  <c r="H16" i="5223"/>
  <c r="C19" i="5223"/>
  <c r="H30" i="5223"/>
  <c r="H38" i="5223"/>
  <c r="H46" i="5223"/>
  <c r="H25" i="5223"/>
  <c r="H32" i="5223"/>
  <c r="H40" i="5223"/>
  <c r="H48" i="5223"/>
  <c r="H7" i="5223"/>
  <c r="H13" i="5223"/>
  <c r="H15" i="5223"/>
  <c r="C17" i="5223"/>
  <c r="H21" i="5223"/>
  <c r="H34" i="5223"/>
  <c r="H42" i="5223"/>
  <c r="H50" i="5223"/>
  <c r="H18" i="5223"/>
  <c r="H20" i="5223"/>
  <c r="H23" i="5223"/>
  <c r="H26" i="5223"/>
  <c r="H29" i="5223"/>
  <c r="H33" i="5223"/>
  <c r="H37" i="5223"/>
  <c r="H41" i="5223"/>
  <c r="H45" i="5223"/>
  <c r="H49" i="5223"/>
  <c r="H17" i="5223"/>
  <c r="H19" i="5223"/>
  <c r="H22" i="5223"/>
  <c r="H24" i="5223"/>
  <c r="H27" i="5223"/>
  <c r="H31" i="5223"/>
  <c r="H35" i="5223"/>
  <c r="H39" i="5223"/>
  <c r="H43" i="5223"/>
  <c r="H47" i="5223"/>
  <c r="H44" i="5221"/>
  <c r="H50" i="5221"/>
  <c r="C19" i="5221"/>
  <c r="H22" i="5221"/>
  <c r="H25" i="5221"/>
  <c r="H30" i="5221"/>
  <c r="H35" i="5221"/>
  <c r="H40" i="5221"/>
  <c r="H46" i="5221"/>
  <c r="H51" i="5221"/>
  <c r="H18" i="5221"/>
  <c r="H20" i="5221"/>
  <c r="H23" i="5221"/>
  <c r="H26" i="5221"/>
  <c r="H29" i="5221"/>
  <c r="H33" i="5221"/>
  <c r="H37" i="5221"/>
  <c r="H41" i="5221"/>
  <c r="H45" i="5221"/>
  <c r="O17" i="5219" l="1"/>
  <c r="O20" i="5219"/>
  <c r="C27" i="5219"/>
  <c r="B24" i="5219"/>
  <c r="C20" i="5219"/>
  <c r="B17" i="5219"/>
  <c r="H49" i="5219" s="1"/>
  <c r="C16" i="5219"/>
  <c r="C15" i="5219"/>
  <c r="C14" i="5219"/>
  <c r="C13" i="5219"/>
  <c r="O12" i="5219"/>
  <c r="C12" i="5219"/>
  <c r="O11" i="5219"/>
  <c r="C11" i="5219"/>
  <c r="O10" i="5219"/>
  <c r="C10" i="5219"/>
  <c r="C9" i="5219"/>
  <c r="C8" i="5219"/>
  <c r="O7" i="5219"/>
  <c r="C7" i="5219"/>
  <c r="O6" i="5219"/>
  <c r="B6" i="5219"/>
  <c r="O5" i="5219"/>
  <c r="B5" i="5219"/>
  <c r="O4" i="5219"/>
  <c r="O3" i="5219"/>
  <c r="O2" i="5219"/>
  <c r="O22" i="5217"/>
  <c r="O16" i="5217"/>
  <c r="C27" i="5217"/>
  <c r="B24" i="5217"/>
  <c r="C20" i="5217"/>
  <c r="B17" i="5217"/>
  <c r="H49" i="5217" s="1"/>
  <c r="C16" i="5217"/>
  <c r="C15" i="5217"/>
  <c r="C14" i="5217"/>
  <c r="C13" i="5217"/>
  <c r="O12" i="5217"/>
  <c r="C12" i="5217"/>
  <c r="O11" i="5217"/>
  <c r="C11" i="5217"/>
  <c r="O10" i="5217"/>
  <c r="C10" i="5217"/>
  <c r="C9" i="5217"/>
  <c r="C8" i="5217"/>
  <c r="O7" i="5217"/>
  <c r="C7" i="5217"/>
  <c r="O6" i="5217"/>
  <c r="B6" i="5217"/>
  <c r="O5" i="5217"/>
  <c r="B5" i="5217"/>
  <c r="O4" i="5217"/>
  <c r="O3" i="5217"/>
  <c r="O2" i="5217"/>
  <c r="O24" i="5213"/>
  <c r="O16" i="5215"/>
  <c r="O21" i="5215"/>
  <c r="C27" i="5215"/>
  <c r="B24" i="5215"/>
  <c r="C20" i="5215"/>
  <c r="B17" i="5215"/>
  <c r="H49" i="5215" s="1"/>
  <c r="C16" i="5215"/>
  <c r="C15" i="5215"/>
  <c r="C14" i="5215"/>
  <c r="C13" i="5215"/>
  <c r="O12" i="5215"/>
  <c r="C12" i="5215"/>
  <c r="O11" i="5215"/>
  <c r="C11" i="5215"/>
  <c r="O10" i="5215"/>
  <c r="C10" i="5215"/>
  <c r="C9" i="5215"/>
  <c r="C8" i="5215"/>
  <c r="O7" i="5215"/>
  <c r="C7" i="5215"/>
  <c r="O6" i="5215"/>
  <c r="B6" i="5215"/>
  <c r="O5" i="5215"/>
  <c r="B5" i="5215"/>
  <c r="O4" i="5215"/>
  <c r="O3" i="5215"/>
  <c r="O2" i="5215"/>
  <c r="O16" i="5213"/>
  <c r="O19" i="5213"/>
  <c r="C27" i="5213"/>
  <c r="B24" i="5213"/>
  <c r="C20" i="5213"/>
  <c r="B17" i="5213"/>
  <c r="H50" i="5213" s="1"/>
  <c r="C16" i="5213"/>
  <c r="C15" i="5213"/>
  <c r="C14" i="5213"/>
  <c r="C13" i="5213"/>
  <c r="O12" i="5213"/>
  <c r="C12" i="5213"/>
  <c r="O11" i="5213"/>
  <c r="C11" i="5213"/>
  <c r="O10" i="5213"/>
  <c r="C10" i="5213"/>
  <c r="C9" i="5213"/>
  <c r="C8" i="5213"/>
  <c r="O7" i="5213"/>
  <c r="C7" i="5213"/>
  <c r="O6" i="5213"/>
  <c r="B6" i="5213"/>
  <c r="O5" i="5213"/>
  <c r="B5" i="5213"/>
  <c r="O4" i="5213"/>
  <c r="O3" i="5213"/>
  <c r="O2" i="5213"/>
  <c r="H9" i="5215" l="1"/>
  <c r="H4" i="5215"/>
  <c r="H2" i="5215"/>
  <c r="H16" i="5215"/>
  <c r="H4" i="5219"/>
  <c r="H10" i="5219"/>
  <c r="H2" i="5219"/>
  <c r="H8" i="5219"/>
  <c r="H19" i="5219"/>
  <c r="H28" i="5219"/>
  <c r="H36" i="5219"/>
  <c r="H47" i="5219"/>
  <c r="H7" i="5219"/>
  <c r="H13" i="5219"/>
  <c r="H15" i="5219"/>
  <c r="H31" i="5219"/>
  <c r="H38" i="5219"/>
  <c r="H48" i="5219"/>
  <c r="C17" i="5219"/>
  <c r="H3" i="5219"/>
  <c r="H9" i="5219"/>
  <c r="H12" i="5219"/>
  <c r="H17" i="5219"/>
  <c r="H21" i="5219"/>
  <c r="H32" i="5219"/>
  <c r="H42" i="5219"/>
  <c r="H24" i="5219"/>
  <c r="H6" i="5219"/>
  <c r="H5" i="5219"/>
  <c r="H11" i="5219"/>
  <c r="H14" i="5219"/>
  <c r="H16" i="5219"/>
  <c r="C18" i="5219"/>
  <c r="B23" i="5219"/>
  <c r="H27" i="5219"/>
  <c r="H34" i="5219"/>
  <c r="H43" i="5219"/>
  <c r="H42" i="5215"/>
  <c r="H12" i="5215"/>
  <c r="H14" i="5215"/>
  <c r="H21" i="5215"/>
  <c r="H27" i="5215"/>
  <c r="H43" i="5215"/>
  <c r="H3" i="5215"/>
  <c r="H6" i="5215"/>
  <c r="H11" i="5215"/>
  <c r="H17" i="5215"/>
  <c r="B23" i="5215"/>
  <c r="H32" i="5215"/>
  <c r="H5" i="5215"/>
  <c r="H8" i="5215"/>
  <c r="H10" i="5215"/>
  <c r="C18" i="5215"/>
  <c r="H34" i="5215"/>
  <c r="H39" i="5219"/>
  <c r="H44" i="5219"/>
  <c r="H50" i="5219"/>
  <c r="C19" i="5219"/>
  <c r="H22" i="5219"/>
  <c r="H25" i="5219"/>
  <c r="H30" i="5219"/>
  <c r="H35" i="5219"/>
  <c r="H40" i="5219"/>
  <c r="H46" i="5219"/>
  <c r="H51" i="5219"/>
  <c r="H18" i="5219"/>
  <c r="H20" i="5219"/>
  <c r="H23" i="5219"/>
  <c r="H26" i="5219"/>
  <c r="H29" i="5219"/>
  <c r="H33" i="5219"/>
  <c r="H37" i="5219"/>
  <c r="H41" i="5219"/>
  <c r="H45" i="5219"/>
  <c r="H4" i="5217"/>
  <c r="H8" i="5217"/>
  <c r="H5" i="5217"/>
  <c r="H2" i="5217"/>
  <c r="H11" i="5217"/>
  <c r="H14" i="5217"/>
  <c r="H16" i="5217"/>
  <c r="C18" i="5217"/>
  <c r="B23" i="5217"/>
  <c r="H27" i="5217"/>
  <c r="H34" i="5217"/>
  <c r="H42" i="5217"/>
  <c r="H43" i="5217"/>
  <c r="C17" i="5217"/>
  <c r="H24" i="5217"/>
  <c r="H31" i="5217"/>
  <c r="H38" i="5217"/>
  <c r="H47" i="5217"/>
  <c r="H10" i="5217"/>
  <c r="H19" i="5217"/>
  <c r="H28" i="5217"/>
  <c r="H36" i="5217"/>
  <c r="H7" i="5217"/>
  <c r="H13" i="5217"/>
  <c r="H15" i="5217"/>
  <c r="H3" i="5217"/>
  <c r="H6" i="5217"/>
  <c r="H9" i="5217"/>
  <c r="H12" i="5217"/>
  <c r="H17" i="5217"/>
  <c r="H21" i="5217"/>
  <c r="H32" i="5217"/>
  <c r="H39" i="5217"/>
  <c r="H48" i="5217"/>
  <c r="H44" i="5217"/>
  <c r="H50" i="5217"/>
  <c r="C19" i="5217"/>
  <c r="H22" i="5217"/>
  <c r="H25" i="5217"/>
  <c r="H30" i="5217"/>
  <c r="H35" i="5217"/>
  <c r="H40" i="5217"/>
  <c r="H46" i="5217"/>
  <c r="H51" i="5217"/>
  <c r="H18" i="5217"/>
  <c r="H20" i="5217"/>
  <c r="H23" i="5217"/>
  <c r="H26" i="5217"/>
  <c r="H29" i="5217"/>
  <c r="H33" i="5217"/>
  <c r="H37" i="5217"/>
  <c r="H41" i="5217"/>
  <c r="H45" i="5217"/>
  <c r="H19" i="5215"/>
  <c r="H28" i="5215"/>
  <c r="H36" i="5215"/>
  <c r="H47" i="5215"/>
  <c r="H7" i="5215"/>
  <c r="H13" i="5215"/>
  <c r="H15" i="5215"/>
  <c r="C17" i="5215"/>
  <c r="H24" i="5215"/>
  <c r="H31" i="5215"/>
  <c r="H38" i="5215"/>
  <c r="H48" i="5215"/>
  <c r="H39" i="5215"/>
  <c r="H44" i="5215"/>
  <c r="H50" i="5215"/>
  <c r="C19" i="5215"/>
  <c r="H22" i="5215"/>
  <c r="H25" i="5215"/>
  <c r="H30" i="5215"/>
  <c r="H35" i="5215"/>
  <c r="H40" i="5215"/>
  <c r="H46" i="5215"/>
  <c r="H51" i="5215"/>
  <c r="H18" i="5215"/>
  <c r="H20" i="5215"/>
  <c r="H23" i="5215"/>
  <c r="H26" i="5215"/>
  <c r="H29" i="5215"/>
  <c r="H33" i="5215"/>
  <c r="H37" i="5215"/>
  <c r="H41" i="5215"/>
  <c r="H45" i="5215"/>
  <c r="C17" i="5213"/>
  <c r="H3" i="5213"/>
  <c r="H4" i="5213"/>
  <c r="H10" i="5213"/>
  <c r="H2" i="5213"/>
  <c r="H8" i="5213"/>
  <c r="H6" i="5213"/>
  <c r="H9" i="5213"/>
  <c r="H12" i="5213"/>
  <c r="H17" i="5213"/>
  <c r="H19" i="5213"/>
  <c r="H22" i="5213"/>
  <c r="H24" i="5213"/>
  <c r="H27" i="5213"/>
  <c r="H31" i="5213"/>
  <c r="H35" i="5213"/>
  <c r="H39" i="5213"/>
  <c r="H43" i="5213"/>
  <c r="H47" i="5213"/>
  <c r="H51" i="5213"/>
  <c r="H5" i="5213"/>
  <c r="H11" i="5213"/>
  <c r="H14" i="5213"/>
  <c r="H16" i="5213"/>
  <c r="C18" i="5213"/>
  <c r="B23" i="5213"/>
  <c r="H25" i="5213"/>
  <c r="H28" i="5213"/>
  <c r="H32" i="5213"/>
  <c r="H36" i="5213"/>
  <c r="H40" i="5213"/>
  <c r="H44" i="5213"/>
  <c r="H48" i="5213"/>
  <c r="H18" i="5213"/>
  <c r="H20" i="5213"/>
  <c r="H23" i="5213"/>
  <c r="H26" i="5213"/>
  <c r="H29" i="5213"/>
  <c r="H33" i="5213"/>
  <c r="H37" i="5213"/>
  <c r="H41" i="5213"/>
  <c r="H45" i="5213"/>
  <c r="H49" i="5213"/>
  <c r="H7" i="5213"/>
  <c r="H13" i="5213"/>
  <c r="H15" i="5213"/>
  <c r="C19" i="5213"/>
  <c r="H21" i="5213"/>
  <c r="H30" i="5213"/>
  <c r="H34" i="5213"/>
  <c r="H38" i="5213"/>
  <c r="H42" i="5213"/>
  <c r="H46" i="5213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<sst xmlns="http://schemas.openxmlformats.org/spreadsheetml/2006/main" count="3202" uniqueCount="233">
  <si>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</si>
  <si>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</si>
  <si>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</si>
  <si>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</si>
  <si>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</si>
  <si>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</si>
  <si>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</si>
  <si>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</si>
  <si>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</si>
  <si>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</si>
  <si>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</si>
  <si>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</si>
  <si>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</si>
  <si>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</si>
  <si>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</si>
  <si>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</si>
  <si>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</si>
  <si>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</si>
  <si>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</si>
  <si>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</si>
  <si>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</si>
  <si>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</si>
  <si>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</si>
  <si>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</si>
  <si>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</si>
  <si>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</si>
  <si>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</si>
  <si>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</si>
  <si>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</si>
  <si>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</si>
  <si>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</si>
  <si>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</si>
  <si>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</si>
  <si>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</si>
  <si>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</si>
  <si>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</si>
  <si>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</si>
  <si>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</si>
  <si>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</si>
  <si>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</si>
  <si>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</si>
  <si>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</si>
  <si>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</si>
  <si>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</si>
  <si>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</si>
  <si>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</si>
  <si>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</si>
  <si>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</si>
  <si>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</si>
  <si>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</si>
  <si>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</si>
  <si>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</si>
  <si>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</si>
  <si>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</si>
  <si>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</si>
  <si>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</si>
  <si>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</si>
  <si>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</si>
  <si>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</si>
  <si>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</si>
  <si>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</si>
  <si>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</si>
  <si>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</si>
  <si>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</si>
  <si>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</si>
  <si>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</si>
  <si>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</si>
  <si>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</si>
  <si>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</si>
  <si>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</si>
  <si>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</si>
  <si>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</si>
  <si>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</si>
  <si>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</si>
  <si>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</si>
  <si>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</si>
  <si>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</si>
  <si>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</si>
  <si>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</si>
  <si>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</si>
  <si>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</si>
  <si>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</si>
  <si>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</si>
  <si>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</si>
  <si>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</si>
  <si>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</si>
  <si>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</si>
  <si>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</si>
  <si>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</si>
  <si>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</si>
  <si>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</si>
  <si>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</si>
  <si>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</si>
  <si>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</si>
  <si>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</si>
  <si>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</si>
  <si>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</si>
  <si>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</si>
  <si>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</si>
  <si>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</si>
  <si>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</si>
  <si>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</si>
  <si>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</si>
  <si>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</si>
  <si>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</si>
  <si>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</si>
  <si>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</si>
  <si>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</si>
  <si>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</si>
  <si>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</si>
  <si>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</si>
  <si>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</si>
  <si>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</si>
  <si>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</si>
  <si>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</si>
  <si>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</si>
  <si>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</si>
  <si>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</si>
  <si>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</si>
  <si>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</si>
  <si>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</si>
  <si>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</si>
  <si>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</si>
  <si>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</si>
  <si>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</si>
  <si>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</si>
  <si>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</si>
  <si>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</si>
  <si>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</si>
  <si>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</si>
  <si>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</si>
  <si>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</si>
  <si>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</si>
  <si>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</si>
  <si>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</si>
  <si>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</si>
  <si>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</si>
  <si>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</si>
  <si>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</si>
  <si>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</si>
  <si>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</si>
  <si>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</si>
  <si>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</si>
  <si>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</si>
  <si>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</si>
  <si>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</si>
  <si>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</si>
  <si>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</si>
  <si>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</si>
  <si>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</si>
  <si>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</si>
  <si>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</si>
  <si>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</si>
  <si>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</si>
  <si>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</si>
  <si>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</si>
  <si>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</si>
  <si>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</si>
  <si>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</si>
  <si>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</si>
  <si>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</si>
  <si>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</si>
  <si>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</si>
  <si>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</si>
  <si>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</si>
  <si>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</si>
  <si>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</si>
  <si>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</si>
  <si>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</si>
  <si>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</si>
  <si>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</si>
  <si>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</si>
  <si>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</si>
  <si>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</si>
  <si>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</si>
  <si>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</si>
  <si>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</si>
  <si>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</si>
  <si>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</si>
  <si>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</si>
  <si>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</si>
  <si>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</si>
  <si>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</si>
  <si>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</si>
  <si>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</si>
  <si>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</si>
  <si>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</si>
  <si>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</si>
  <si>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</si>
  <si>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</si>
  <si>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</si>
  <si>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</si>
  <si>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</si>
  <si>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</si>
  <si>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</si>
  <si>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</si>
  <si>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</si>
  <si>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</si>
  <si>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</si>
  <si>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</si>
  <si>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</si>
  <si>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</si>
  <si>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</si>
  <si>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</si>
  <si>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</si>
  <si>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</si>
  <si>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</si>
  <si>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</si>
  <si>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</si>
  <si>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</si>
  <si>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</si>
  <si>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</si>
  <si>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</si>
  <si>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</si>
  <si>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</si>
  <si>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</si>
  <si>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</si>
  <si>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</si>
  <si>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</si>
  <si>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</si>
  <si>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</si>
  <si>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</si>
  <si>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</si>
  <si>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</si>
  <si>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</si>
  <si>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</si>
  <si>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</si>
  <si>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</si>
  <si>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</si>
  <si>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</si>
  <si>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2019-05-20.xlsm</t>
  </si>
  <si>
    <t>Sheet9</t>
  </si>
  <si>
    <t>2019-05-20@2.xlsm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</si>
</sst>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全体!$K$2:$K$515</c:f>
              <c:numCache>
                <c:formatCode>General</c:formatCode>
                <c:ptCount val="5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</c:numCache>
            </c:numRef>
          </c:xVal>
          <c:yVal>
            <c:numRef>
              <c:f>全体!$L$2:$L$515</c:f>
              <c:numCache>
                <c:formatCode>\+0.0;\-0.0;\±0</c:formatCode>
                <c:ptCount val="51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36.300000000000004</c:v>
                </c:pt>
                <c:pt idx="497">
                  <c:v>-1.4999999999999929</c:v>
                </c:pt>
                <c:pt idx="498">
                  <c:v>7.1054273576010019E-15</c:v>
                </c:pt>
                <c:pt idx="499">
                  <c:v>-30.499999999999993</c:v>
                </c:pt>
                <c:pt idx="500">
                  <c:v>9.6000000000000085</c:v>
                </c:pt>
                <c:pt idx="501">
                  <c:v>8.8817841970012523E-15</c:v>
                </c:pt>
                <c:pt idx="502">
                  <c:v>44.600000000000009</c:v>
                </c:pt>
                <c:pt idx="503">
                  <c:v>51.800000000000011</c:v>
                </c:pt>
                <c:pt idx="504">
                  <c:v>1.4210854715202004E-14</c:v>
                </c:pt>
                <c:pt idx="505">
                  <c:v>-56.099999999999987</c:v>
                </c:pt>
                <c:pt idx="506">
                  <c:v>15.400000000000013</c:v>
                </c:pt>
                <c:pt idx="507">
                  <c:v>1.2434497875801753E-14</c:v>
                </c:pt>
                <c:pt idx="508">
                  <c:v>-16.099999999999987</c:v>
                </c:pt>
                <c:pt idx="509">
                  <c:v>-61.599999999999987</c:v>
                </c:pt>
                <c:pt idx="510">
                  <c:v>1.4210854715202004E-14</c:v>
                </c:pt>
                <c:pt idx="511">
                  <c:v>-58.999999999999986</c:v>
                </c:pt>
                <c:pt idx="512">
                  <c:v>9.0000000000000142</c:v>
                </c:pt>
                <c:pt idx="513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9-483C-9092-54232B084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-15.594541910331383</c:v>
                </c:pt>
                <c:pt idx="1">
                  <c:v>-7.9840319361277441</c:v>
                </c:pt>
                <c:pt idx="2">
                  <c:v>12.578616352201259</c:v>
                </c:pt>
                <c:pt idx="3">
                  <c:v>4.6296296296296298</c:v>
                </c:pt>
                <c:pt idx="4">
                  <c:v>-5.1282051282051286</c:v>
                </c:pt>
                <c:pt idx="5">
                  <c:v>16.949152542372882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F-43A9-8838-744615CE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だいち!$L$2:$L$118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1407.3000000000009</c:v>
                </c:pt>
                <c:pt idx="114">
                  <c:v>1355.5000000000009</c:v>
                </c:pt>
                <c:pt idx="115">
                  <c:v>1299.400000000001</c:v>
                </c:pt>
                <c:pt idx="116">
                  <c:v>1240.400000000001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1-46E4-8294-A30AB162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1693.1034482758621</c:v>
                </c:pt>
                <c:pt idx="1">
                  <c:v>1346.9026548672566</c:v>
                </c:pt>
                <c:pt idx="2">
                  <c:v>1469.4444444444443</c:v>
                </c:pt>
                <c:pt idx="3">
                  <c:v>1917.3469387755101</c:v>
                </c:pt>
                <c:pt idx="4">
                  <c:v>-124.41860465116279</c:v>
                </c:pt>
                <c:pt idx="5">
                  <c:v>143.42105263157896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BB-422C-AFA2-E20C67ECB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りくと!$L$2:$L$115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A-4B78-BEA6-02E63A858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285.84070796460179</c:v>
                </c:pt>
                <c:pt idx="1">
                  <c:v>-2498.1651376146788</c:v>
                </c:pt>
                <c:pt idx="2">
                  <c:v>6.6037735849056602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C2-4779-82F3-AEC6B4497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ただ!$L$2:$L$61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-888.99999999999977</c:v>
                </c:pt>
                <c:pt idx="59">
                  <c:v>-881.79999999999973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2-43B2-AC12-B94A364F8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-2276.2711864406779</c:v>
                </c:pt>
                <c:pt idx="1">
                  <c:v>-1159.6491228070176</c:v>
                </c:pt>
                <c:pt idx="2">
                  <c:v>-1300</c:v>
                </c:pt>
                <c:pt idx="3">
                  <c:v>-5200</c:v>
                </c:pt>
                <c:pt idx="4">
                  <c:v>304.8780487804878</c:v>
                </c:pt>
                <c:pt idx="5">
                  <c:v>-2076.3157894736842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C5-4EBF-A0F4-18E5C9CBD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れんたろう!$L$2:$L$71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171.7</c:v>
                </c:pt>
                <c:pt idx="67">
                  <c:v>243.2</c:v>
                </c:pt>
                <c:pt idx="68">
                  <c:v>197.7</c:v>
                </c:pt>
                <c:pt idx="69">
                  <c:v>265.7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3-4D7D-A1B6-72F0AEBB9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-895.6521739130435</c:v>
                </c:pt>
                <c:pt idx="1">
                  <c:v>1207.3529411764705</c:v>
                </c:pt>
                <c:pt idx="2">
                  <c:v>2575.3846153846152</c:v>
                </c:pt>
                <c:pt idx="3">
                  <c:v>2278.181818181818</c:v>
                </c:pt>
                <c:pt idx="4">
                  <c:v>-1188</c:v>
                </c:pt>
                <c:pt idx="5">
                  <c:v>891.11111111111109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5-4F77-9E20-1BF635921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たかの!$L$2:$L$57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45.999999999999986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2-4FA9-A68E-83F2ED54F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574.5454545454545</c:v>
                </c:pt>
                <c:pt idx="1">
                  <c:v>509.09090909090907</c:v>
                </c:pt>
                <c:pt idx="2">
                  <c:v>-1376</c:v>
                </c:pt>
                <c:pt idx="3">
                  <c:v>110.63829787234043</c:v>
                </c:pt>
                <c:pt idx="4">
                  <c:v>1021.7391304347826</c:v>
                </c:pt>
                <c:pt idx="5">
                  <c:v>-270.73170731707319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7-4EF8-BBCE-0F5F006B4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41-4EC5-98B5-6F24B13F7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9-42B1-851B-1EA082940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-145.19999999999999</c:v>
                </c:pt>
                <c:pt idx="35">
                  <c:v>-160.6</c:v>
                </c:pt>
                <c:pt idx="36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FF-4D71-AD59-0808CFC72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566.66666666666663</c:v>
                </c:pt>
                <c:pt idx="1">
                  <c:v>-500</c:v>
                </c:pt>
                <c:pt idx="2">
                  <c:v>-2584.375</c:v>
                </c:pt>
                <c:pt idx="3">
                  <c:v>2258.0645161290322</c:v>
                </c:pt>
                <c:pt idx="4">
                  <c:v>-1560.7142857142858</c:v>
                </c:pt>
                <c:pt idx="5">
                  <c:v>-339.13043478260869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BF-493F-A3BC-31853B38C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E-4CC2-80F8-F802C9E09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F-4601-BFB2-6F704238D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-80.3</c:v>
                </c:pt>
                <c:pt idx="14">
                  <c:v>-35.699999999999996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7-427B-BBEE-FBE1BEF81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457.14285714285717</c:v>
                </c:pt>
                <c:pt idx="1">
                  <c:v>-300</c:v>
                </c:pt>
                <c:pt idx="2">
                  <c:v>-235.71428571428572</c:v>
                </c:pt>
                <c:pt idx="3">
                  <c:v>-2653.8461538461538</c:v>
                </c:pt>
                <c:pt idx="4">
                  <c:v>-84.615384615384613</c:v>
                </c:pt>
                <c:pt idx="5">
                  <c:v>-1461.5384615384614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E4-49F1-9B37-E7BA9B39A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D-41C2-9422-FB5C6795A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9-4349-81CD-F6741C7B3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1-4C49-9D18-A257A6716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A-4EB8-AF2A-801312A22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C-4C5F-8CD0-EBC8FCB7B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5-47B4-AA26-8CF9AAD984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  <c:pt idx="6">
                  <c:v>-2.7166666666666672</c:v>
                </c:pt>
                <c:pt idx="7">
                  <c:v>-3.6142857142857148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770147117973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  <c:pt idx="6">
                  <c:v>0.26229508196721313</c:v>
                </c:pt>
                <c:pt idx="7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168975069252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  <c:pt idx="6">
                  <c:v>0.18032786885245902</c:v>
                </c:pt>
                <c:pt idx="7">
                  <c:v>0.17391304347826086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97414589104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  <c:pt idx="6">
                  <c:v>8043.75</c:v>
                </c:pt>
                <c:pt idx="7">
                  <c:v>7438.0952380952385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41.74382716049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  <c:pt idx="6">
                  <c:v>-6563.636363636364</c:v>
                </c:pt>
                <c:pt idx="7">
                  <c:v>-6683.333333333333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73.85257301808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  <c:pt idx="6">
                  <c:v>0.24590163934426229</c:v>
                </c:pt>
                <c:pt idx="7">
                  <c:v>0.24637681159420291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5392428439519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  <c:pt idx="6">
                  <c:v>0.24590163934426229</c:v>
                </c:pt>
                <c:pt idx="7">
                  <c:v>0.27536231884057971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833795013850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  <c:pt idx="6">
                  <c:v>0.66666666666666663</c:v>
                </c:pt>
                <c:pt idx="7">
                  <c:v>0.70588235294117652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403185247275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0.42105263157894735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639163916391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  <c:pt idx="6">
                  <c:v>0.5625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043209876543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4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231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43605.945185185185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230</v>
      </c>
      <c r="B43" s="31">
        <v>43605.853206018517</v>
      </c>
      <c r="C43" s="30" t="s">
        <v>130</v>
      </c>
      <c r="D43" s="30" t="s">
        <v>131</v>
      </c>
      <c r="E43" s="30" t="s">
        <v>169</v>
      </c>
      <c r="F43" s="30" t="s">
        <v>174</v>
      </c>
    </row>
    <row r="44" spans="1:11" x14ac:dyDescent="0.4">
      <c r="A44" s="30" t="s">
        <v>232</v>
      </c>
      <c r="B44" s="31">
        <v>43606.031030092592</v>
      </c>
      <c r="C44" s="30" t="s">
        <v>130</v>
      </c>
      <c r="D44" s="30" t="s">
        <v>131</v>
      </c>
      <c r="E44" s="30" t="s">
        <v>169</v>
      </c>
      <c r="F44" s="30" t="s">
        <v>174</v>
      </c>
      <c r="G44" s="30" t="s">
        <v>175</v>
      </c>
      <c r="H44" s="30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513</v>
      </c>
    </row>
    <row r="2" spans="1:2" x14ac:dyDescent="0.4">
      <c r="A2" t="s">
        <v>127</v>
      </c>
      <c r="B2">
        <v>116</v>
      </c>
    </row>
    <row r="3" spans="1:2" x14ac:dyDescent="0.4">
      <c r="A3" t="s">
        <v>128</v>
      </c>
      <c r="B3">
        <v>113</v>
      </c>
    </row>
    <row r="4" spans="1:2" x14ac:dyDescent="0.4">
      <c r="A4" t="s">
        <v>129</v>
      </c>
      <c r="B4">
        <v>59</v>
      </c>
    </row>
    <row r="5" spans="1:2" x14ac:dyDescent="0.4">
      <c r="A5" t="s">
        <v>171</v>
      </c>
      <c r="B5">
        <v>69</v>
      </c>
    </row>
    <row r="6" spans="1:2" x14ac:dyDescent="0.4">
      <c r="A6" t="s">
        <v>172</v>
      </c>
      <c r="B6">
        <v>55</v>
      </c>
    </row>
    <row r="7" spans="1:2" x14ac:dyDescent="0.4">
      <c r="A7" t="s">
        <v>173</v>
      </c>
      <c r="B7">
        <v>39</v>
      </c>
    </row>
    <row r="8" spans="1:2" x14ac:dyDescent="0.4">
      <c r="A8" t="s">
        <v>177</v>
      </c>
      <c r="B8">
        <v>36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0.2363648574694856</v>
      </c>
      <c r="G2" s="155"/>
      <c r="H2" s="154">
        <v>4.4384435897495189E-2</v>
      </c>
      <c r="I2" s="155"/>
      <c r="J2" s="154">
        <v>0.37914307030890931</v>
      </c>
      <c r="K2" s="155"/>
      <c r="L2" s="154">
        <v>2.781032059396242E-2</v>
      </c>
      <c r="M2" s="155"/>
      <c r="N2" s="154">
        <v>0.37506398663507357</v>
      </c>
      <c r="O2" s="155"/>
      <c r="P2" s="154">
        <v>0.56811450523335094</v>
      </c>
      <c r="Q2" s="155"/>
      <c r="R2" s="154">
        <v>-0.11398906462281348</v>
      </c>
      <c r="S2" s="155"/>
      <c r="T2" s="154">
        <v>-5.4925546128036316E-2</v>
      </c>
      <c r="U2" s="155"/>
      <c r="V2" s="154">
        <v>0.68489765871148578</v>
      </c>
      <c r="W2" s="155"/>
      <c r="X2" s="154">
        <v>0.86505145697383135</v>
      </c>
      <c r="Y2" s="155"/>
      <c r="Z2" s="154">
        <v>-0.28844872784020498</v>
      </c>
      <c r="AA2" s="155"/>
      <c r="AB2" s="154">
        <v>-0.54257201592710058</v>
      </c>
      <c r="AC2" s="155"/>
      <c r="AD2" s="154">
        <v>3.9047658310467144E-2</v>
      </c>
      <c r="AE2" s="155"/>
      <c r="AF2" s="154">
        <v>-0.30024208195446384</v>
      </c>
      <c r="AG2" s="155"/>
      <c r="AH2" s="154">
        <v>0.65475853616306712</v>
      </c>
      <c r="AI2" s="155"/>
    </row>
    <row r="3" spans="1:35" x14ac:dyDescent="0.4">
      <c r="A3" s="74">
        <v>1</v>
      </c>
      <c r="B3" s="75" t="s">
        <v>127</v>
      </c>
      <c r="C3" s="76">
        <v>1240.400000000001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0.17241379310344829</v>
      </c>
      <c r="X3" s="77" t="s">
        <v>225</v>
      </c>
      <c r="Y3" s="80">
        <v>0.375</v>
      </c>
      <c r="Z3" s="77" t="s">
        <v>172</v>
      </c>
      <c r="AA3" s="80">
        <v>0.29183673469387755</v>
      </c>
      <c r="AB3" s="77" t="s">
        <v>225</v>
      </c>
      <c r="AC3" s="80">
        <v>1</v>
      </c>
      <c r="AD3" s="77" t="s">
        <v>127</v>
      </c>
      <c r="AE3" s="80">
        <v>0.50490196078431371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265.7</v>
      </c>
      <c r="D4" s="85" t="s">
        <v>224</v>
      </c>
      <c r="E4" s="97">
        <v>13.3</v>
      </c>
      <c r="F4" s="85" t="s">
        <v>127</v>
      </c>
      <c r="G4" s="86">
        <v>1.7672413793103448</v>
      </c>
      <c r="H4" s="85" t="s">
        <v>186</v>
      </c>
      <c r="I4" s="87">
        <v>0.5</v>
      </c>
      <c r="J4" s="85" t="s">
        <v>224</v>
      </c>
      <c r="K4" s="87">
        <v>0</v>
      </c>
      <c r="L4" s="85" t="s">
        <v>172</v>
      </c>
      <c r="M4" s="88">
        <v>0.37346938775510202</v>
      </c>
      <c r="N4" s="85" t="s">
        <v>185</v>
      </c>
      <c r="O4" s="88">
        <v>0.10526315789473684</v>
      </c>
      <c r="P4" s="85" t="s">
        <v>171</v>
      </c>
      <c r="Q4" s="89">
        <v>9933.1360946745554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0.14492753623188406</v>
      </c>
      <c r="X4" s="85" t="s">
        <v>127</v>
      </c>
      <c r="Y4" s="88">
        <v>0.32590233545647557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10.69310344827587</v>
      </c>
      <c r="F5" s="85" t="s">
        <v>186</v>
      </c>
      <c r="G5" s="86">
        <v>1.9285714285714286</v>
      </c>
      <c r="H5" s="85" t="s">
        <v>127</v>
      </c>
      <c r="I5" s="87">
        <v>0.48275862068965519</v>
      </c>
      <c r="J5" s="85" t="s">
        <v>202</v>
      </c>
      <c r="K5" s="87">
        <v>0.14285714285714285</v>
      </c>
      <c r="L5" s="85" t="s">
        <v>127</v>
      </c>
      <c r="M5" s="88">
        <v>0.34182590233545646</v>
      </c>
      <c r="N5" s="85" t="s">
        <v>172</v>
      </c>
      <c r="O5" s="88">
        <v>0.1326530612244898</v>
      </c>
      <c r="P5" s="85" t="s">
        <v>128</v>
      </c>
      <c r="Q5" s="89">
        <v>9246.8503937007881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129</v>
      </c>
      <c r="W5" s="87">
        <v>0.11864406779661017</v>
      </c>
      <c r="X5" s="85" t="s">
        <v>128</v>
      </c>
      <c r="Y5" s="88">
        <v>0.29594017094017094</v>
      </c>
      <c r="Z5" s="85" t="s">
        <v>173</v>
      </c>
      <c r="AA5" s="88">
        <v>0.24853801169590642</v>
      </c>
      <c r="AB5" s="85" t="s">
        <v>177</v>
      </c>
      <c r="AC5" s="88">
        <v>0.69841269841269837</v>
      </c>
      <c r="AD5" s="85" t="s">
        <v>172</v>
      </c>
      <c r="AE5" s="88">
        <v>0.44055944055944057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45.999999999999986</v>
      </c>
      <c r="D6" s="85" t="s">
        <v>171</v>
      </c>
      <c r="E6" s="97">
        <v>3.8507246376811595</v>
      </c>
      <c r="F6" s="85" t="s">
        <v>177</v>
      </c>
      <c r="G6" s="86">
        <v>2</v>
      </c>
      <c r="H6" s="85" t="s">
        <v>177</v>
      </c>
      <c r="I6" s="87">
        <v>0.3611111111111111</v>
      </c>
      <c r="J6" s="85" t="s">
        <v>127</v>
      </c>
      <c r="K6" s="87">
        <v>0.25</v>
      </c>
      <c r="L6" s="85" t="s">
        <v>202</v>
      </c>
      <c r="M6" s="88">
        <v>0.30434782608695654</v>
      </c>
      <c r="N6" s="85" t="s">
        <v>127</v>
      </c>
      <c r="O6" s="88">
        <v>0.15180467091295116</v>
      </c>
      <c r="P6" s="85" t="s">
        <v>129</v>
      </c>
      <c r="Q6" s="89">
        <v>9145.0450450450444</v>
      </c>
      <c r="R6" s="85" t="s">
        <v>171</v>
      </c>
      <c r="S6" s="89">
        <v>-7603.0612244897957</v>
      </c>
      <c r="T6" s="85" t="s">
        <v>225</v>
      </c>
      <c r="U6" s="87">
        <v>0</v>
      </c>
      <c r="V6" s="85" t="s">
        <v>145</v>
      </c>
      <c r="W6" s="87">
        <v>0.1111111111111111</v>
      </c>
      <c r="X6" s="85" t="s">
        <v>171</v>
      </c>
      <c r="Y6" s="88">
        <v>0.28691275167785235</v>
      </c>
      <c r="Z6" s="85" t="s">
        <v>177</v>
      </c>
      <c r="AA6" s="88">
        <v>0.2292358803986711</v>
      </c>
      <c r="AB6" s="85" t="s">
        <v>186</v>
      </c>
      <c r="AC6" s="88">
        <v>0.66666666666666663</v>
      </c>
      <c r="AD6" s="85" t="s">
        <v>186</v>
      </c>
      <c r="AE6" s="88">
        <v>0.43478260869565216</v>
      </c>
      <c r="AF6" s="85" t="s">
        <v>224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172</v>
      </c>
      <c r="E7" s="97">
        <v>0.83636363636363609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0.30909090909090908</v>
      </c>
      <c r="L7" s="85" t="s">
        <v>173</v>
      </c>
      <c r="M7" s="88">
        <v>0.30116959064327486</v>
      </c>
      <c r="N7" s="85" t="s">
        <v>171</v>
      </c>
      <c r="O7" s="88">
        <v>0.16442953020134229</v>
      </c>
      <c r="P7" s="85" t="s">
        <v>127</v>
      </c>
      <c r="Q7" s="89">
        <v>9073.6024844720505</v>
      </c>
      <c r="R7" s="85" t="s">
        <v>173</v>
      </c>
      <c r="S7" s="89">
        <v>-7690.7692307692305</v>
      </c>
      <c r="T7" s="85" t="s">
        <v>171</v>
      </c>
      <c r="U7" s="87">
        <v>4.3478260869565216E-2</v>
      </c>
      <c r="V7" s="85" t="s">
        <v>172</v>
      </c>
      <c r="W7" s="87">
        <v>0.10909090909090909</v>
      </c>
      <c r="X7" s="85" t="s">
        <v>145</v>
      </c>
      <c r="Y7" s="88">
        <v>0.27539242843951983</v>
      </c>
      <c r="Z7" s="85" t="s">
        <v>127</v>
      </c>
      <c r="AA7" s="88">
        <v>0.21656050955414013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129</v>
      </c>
      <c r="AG7" s="88">
        <v>0.49549549549549549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1.4210854715202004E-14</v>
      </c>
      <c r="D8" s="85" t="s">
        <v>145</v>
      </c>
      <c r="E8" s="97">
        <v>2.7701471179731E-17</v>
      </c>
      <c r="F8" s="85" t="s">
        <v>202</v>
      </c>
      <c r="G8" s="86">
        <v>2</v>
      </c>
      <c r="H8" s="85" t="s">
        <v>171</v>
      </c>
      <c r="I8" s="87">
        <v>0.3188405797101449</v>
      </c>
      <c r="J8" s="85" t="s">
        <v>171</v>
      </c>
      <c r="K8" s="87">
        <v>0.33333333333333331</v>
      </c>
      <c r="L8" s="85" t="s">
        <v>145</v>
      </c>
      <c r="M8" s="88">
        <v>0.29916897506925205</v>
      </c>
      <c r="N8" s="85" t="s">
        <v>145</v>
      </c>
      <c r="O8" s="88">
        <v>0.1659741458910434</v>
      </c>
      <c r="P8" s="85" t="s">
        <v>225</v>
      </c>
      <c r="Q8" s="89">
        <v>8666.6666666666661</v>
      </c>
      <c r="R8" s="85" t="s">
        <v>186</v>
      </c>
      <c r="S8" s="89">
        <v>-7712</v>
      </c>
      <c r="T8" s="85" t="s">
        <v>172</v>
      </c>
      <c r="U8" s="87">
        <v>5.4545454545454543E-2</v>
      </c>
      <c r="V8" s="85" t="s">
        <v>128</v>
      </c>
      <c r="W8" s="87">
        <v>8.8495575221238937E-2</v>
      </c>
      <c r="X8" s="85" t="s">
        <v>185</v>
      </c>
      <c r="Y8" s="88">
        <v>0.26315789473684209</v>
      </c>
      <c r="Z8" s="85" t="s">
        <v>185</v>
      </c>
      <c r="AA8" s="88">
        <v>0.21052631578947367</v>
      </c>
      <c r="AB8" s="85" t="s">
        <v>185</v>
      </c>
      <c r="AC8" s="88">
        <v>0.6</v>
      </c>
      <c r="AD8" s="85" t="s">
        <v>171</v>
      </c>
      <c r="AE8" s="88">
        <v>0.40707964601769914</v>
      </c>
      <c r="AF8" s="85" t="s">
        <v>186</v>
      </c>
      <c r="AG8" s="88">
        <v>0.47222222222222221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202</v>
      </c>
      <c r="C9" s="84">
        <v>-25.300000000000004</v>
      </c>
      <c r="D9" s="85" t="s">
        <v>186</v>
      </c>
      <c r="E9" s="97">
        <v>-2.5499999999999998</v>
      </c>
      <c r="F9" s="85" t="s">
        <v>224</v>
      </c>
      <c r="G9" s="86">
        <v>2</v>
      </c>
      <c r="H9" s="85" t="s">
        <v>173</v>
      </c>
      <c r="I9" s="87">
        <v>0.28205128205128205</v>
      </c>
      <c r="J9" s="85" t="s">
        <v>173</v>
      </c>
      <c r="K9" s="87">
        <v>0.33333333333333331</v>
      </c>
      <c r="L9" s="85" t="s">
        <v>186</v>
      </c>
      <c r="M9" s="88">
        <v>0.29268292682926828</v>
      </c>
      <c r="N9" s="85" t="s">
        <v>128</v>
      </c>
      <c r="O9" s="88">
        <v>0.17094017094017094</v>
      </c>
      <c r="P9" s="85" t="s">
        <v>145</v>
      </c>
      <c r="Q9" s="89">
        <v>8541.7438271604933</v>
      </c>
      <c r="R9" s="85" t="s">
        <v>177</v>
      </c>
      <c r="S9" s="89">
        <v>-7794.2307692307695</v>
      </c>
      <c r="T9" s="85" t="s">
        <v>173</v>
      </c>
      <c r="U9" s="87">
        <v>0.10256410256410256</v>
      </c>
      <c r="V9" s="85" t="s">
        <v>177</v>
      </c>
      <c r="W9" s="87">
        <v>5.5555555555555552E-2</v>
      </c>
      <c r="X9" s="85" t="s">
        <v>129</v>
      </c>
      <c r="Y9" s="88">
        <v>0.25963488843813387</v>
      </c>
      <c r="Z9" s="85" t="s">
        <v>145</v>
      </c>
      <c r="AA9" s="88">
        <v>0.20983379501385041</v>
      </c>
      <c r="AB9" s="85" t="s">
        <v>172</v>
      </c>
      <c r="AC9" s="88">
        <v>0.58715596330275233</v>
      </c>
      <c r="AD9" s="85" t="s">
        <v>145</v>
      </c>
      <c r="AE9" s="88">
        <v>0.39163916391639164</v>
      </c>
      <c r="AF9" s="85" t="s">
        <v>171</v>
      </c>
      <c r="AG9" s="88">
        <v>0.4437869822485207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186</v>
      </c>
      <c r="C10" s="84">
        <v>-35.699999999999996</v>
      </c>
      <c r="D10" s="85" t="s">
        <v>177</v>
      </c>
      <c r="E10" s="97">
        <v>-2.75</v>
      </c>
      <c r="F10" s="85" t="s">
        <v>171</v>
      </c>
      <c r="G10" s="86">
        <v>2.0144927536231885</v>
      </c>
      <c r="H10" s="85" t="s">
        <v>172</v>
      </c>
      <c r="I10" s="87">
        <v>0.27272727272727271</v>
      </c>
      <c r="J10" s="85" t="s">
        <v>145</v>
      </c>
      <c r="K10" s="87">
        <v>0.33333333333333331</v>
      </c>
      <c r="L10" s="85" t="s">
        <v>177</v>
      </c>
      <c r="M10" s="88">
        <v>0.28903654485049834</v>
      </c>
      <c r="N10" s="85" t="s">
        <v>177</v>
      </c>
      <c r="O10" s="88">
        <v>0.17275747508305647</v>
      </c>
      <c r="P10" s="85" t="s">
        <v>186</v>
      </c>
      <c r="Q10" s="89">
        <v>7886.1111111111113</v>
      </c>
      <c r="R10" s="85" t="s">
        <v>145</v>
      </c>
      <c r="S10" s="89">
        <v>-8173.8525730180809</v>
      </c>
      <c r="T10" s="85" t="s">
        <v>145</v>
      </c>
      <c r="U10" s="87">
        <v>0.1111111111111111</v>
      </c>
      <c r="V10" s="85" t="s">
        <v>173</v>
      </c>
      <c r="W10" s="87">
        <v>5.128205128205128E-2</v>
      </c>
      <c r="X10" s="85" t="s">
        <v>202</v>
      </c>
      <c r="Y10" s="88">
        <v>0.24637681159420291</v>
      </c>
      <c r="Z10" s="85" t="s">
        <v>171</v>
      </c>
      <c r="AA10" s="88">
        <v>0.18959731543624161</v>
      </c>
      <c r="AB10" s="85" t="s">
        <v>128</v>
      </c>
      <c r="AC10" s="88">
        <v>0.58483754512635377</v>
      </c>
      <c r="AD10" s="85" t="s">
        <v>177</v>
      </c>
      <c r="AE10" s="88">
        <v>0.37681159420289856</v>
      </c>
      <c r="AF10" s="85" t="s">
        <v>145</v>
      </c>
      <c r="AG10" s="88">
        <v>0.43904320987654322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128</v>
      </c>
      <c r="E11" s="97">
        <v>-2.8646017699115052</v>
      </c>
      <c r="F11" s="85" t="s">
        <v>172</v>
      </c>
      <c r="G11" s="86">
        <v>2.0363636363636362</v>
      </c>
      <c r="H11" s="85" t="s">
        <v>128</v>
      </c>
      <c r="I11" s="87">
        <v>0.26548672566371684</v>
      </c>
      <c r="J11" s="85" t="s">
        <v>128</v>
      </c>
      <c r="K11" s="87">
        <v>0.34513274336283184</v>
      </c>
      <c r="L11" s="85" t="s">
        <v>171</v>
      </c>
      <c r="M11" s="88">
        <v>0.28355704697986578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-8450.3496503496499</v>
      </c>
      <c r="T11" s="85" t="s">
        <v>127</v>
      </c>
      <c r="U11" s="87">
        <v>0.1206896551724138</v>
      </c>
      <c r="V11" s="85" t="s">
        <v>186</v>
      </c>
      <c r="W11" s="87">
        <v>0</v>
      </c>
      <c r="X11" s="85" t="s">
        <v>186</v>
      </c>
      <c r="Y11" s="88">
        <v>0.24390243902439024</v>
      </c>
      <c r="Z11" s="85" t="s">
        <v>186</v>
      </c>
      <c r="AA11" s="88">
        <v>0.18699186991869918</v>
      </c>
      <c r="AB11" s="85" t="s">
        <v>145</v>
      </c>
      <c r="AC11" s="88">
        <v>0.58340318524727575</v>
      </c>
      <c r="AD11" s="85" t="s">
        <v>173</v>
      </c>
      <c r="AE11" s="88">
        <v>0.3411764705882353</v>
      </c>
      <c r="AF11" s="85" t="s">
        <v>128</v>
      </c>
      <c r="AG11" s="88">
        <v>0.42125984251968501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-99</v>
      </c>
      <c r="D12" s="85" t="s">
        <v>202</v>
      </c>
      <c r="E12" s="97">
        <v>-3.6142857142857148</v>
      </c>
      <c r="F12" s="85" t="s">
        <v>173</v>
      </c>
      <c r="G12" s="86">
        <v>2.0512820512820511</v>
      </c>
      <c r="H12" s="85" t="s">
        <v>129</v>
      </c>
      <c r="I12" s="87">
        <v>0.23728813559322035</v>
      </c>
      <c r="J12" s="85" t="s">
        <v>177</v>
      </c>
      <c r="K12" s="87">
        <v>0.3611111111111111</v>
      </c>
      <c r="L12" s="85" t="s">
        <v>128</v>
      </c>
      <c r="M12" s="88">
        <v>0.27136752136752135</v>
      </c>
      <c r="N12" s="85" t="s">
        <v>129</v>
      </c>
      <c r="O12" s="88">
        <v>0.18864097363083165</v>
      </c>
      <c r="P12" s="85" t="s">
        <v>177</v>
      </c>
      <c r="Q12" s="89">
        <v>7847.1264367816093</v>
      </c>
      <c r="R12" s="85" t="s">
        <v>129</v>
      </c>
      <c r="S12" s="89">
        <v>-9121.5053763440865</v>
      </c>
      <c r="T12" s="85" t="s">
        <v>128</v>
      </c>
      <c r="U12" s="87">
        <v>0.12389380530973451</v>
      </c>
      <c r="V12" s="85" t="s">
        <v>185</v>
      </c>
      <c r="W12" s="87">
        <v>0</v>
      </c>
      <c r="X12" s="85" t="s">
        <v>173</v>
      </c>
      <c r="Y12" s="88">
        <v>0.23391812865497075</v>
      </c>
      <c r="Z12" s="85" t="s">
        <v>128</v>
      </c>
      <c r="AA12" s="88">
        <v>0.18162393162393162</v>
      </c>
      <c r="AB12" s="85" t="s">
        <v>171</v>
      </c>
      <c r="AC12" s="88">
        <v>0.57894736842105265</v>
      </c>
      <c r="AD12" s="85" t="s">
        <v>128</v>
      </c>
      <c r="AE12" s="88">
        <v>0.29411764705882354</v>
      </c>
      <c r="AF12" s="85" t="s">
        <v>172</v>
      </c>
      <c r="AG12" s="88">
        <v>0.42076502732240439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-223.9</v>
      </c>
      <c r="D13" s="85" t="s">
        <v>173</v>
      </c>
      <c r="E13" s="97">
        <v>-5.7410256410256411</v>
      </c>
      <c r="F13" s="85" t="s">
        <v>128</v>
      </c>
      <c r="G13" s="86">
        <v>2.0796460176991149</v>
      </c>
      <c r="H13" s="85" t="s">
        <v>202</v>
      </c>
      <c r="I13" s="87">
        <v>0.14285714285714285</v>
      </c>
      <c r="J13" s="85" t="s">
        <v>186</v>
      </c>
      <c r="K13" s="87">
        <v>0.42857142857142855</v>
      </c>
      <c r="L13" s="85" t="s">
        <v>185</v>
      </c>
      <c r="M13" s="88">
        <v>0.26315789473684209</v>
      </c>
      <c r="N13" s="85" t="s">
        <v>173</v>
      </c>
      <c r="O13" s="88">
        <v>0.19005847953216373</v>
      </c>
      <c r="P13" s="85" t="s">
        <v>202</v>
      </c>
      <c r="Q13" s="89">
        <v>7438.0952380952385</v>
      </c>
      <c r="R13" s="85" t="s">
        <v>172</v>
      </c>
      <c r="S13" s="89">
        <v>-9578.461538461539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0.15618661257606492</v>
      </c>
      <c r="AB13" s="85" t="s">
        <v>127</v>
      </c>
      <c r="AC13" s="88">
        <v>0.57003257328990231</v>
      </c>
      <c r="AD13" s="85" t="s">
        <v>129</v>
      </c>
      <c r="AE13" s="88">
        <v>0.24675324675324675</v>
      </c>
      <c r="AF13" s="85" t="s">
        <v>127</v>
      </c>
      <c r="AG13" s="88">
        <v>0.41925465838509318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-323.7000000000001</v>
      </c>
      <c r="D14" s="85" t="s">
        <v>129</v>
      </c>
      <c r="E14" s="97">
        <v>-14.945762711864402</v>
      </c>
      <c r="F14" s="85" t="s">
        <v>129</v>
      </c>
      <c r="G14" s="86">
        <v>2.2542372881355934</v>
      </c>
      <c r="H14" s="85" t="s">
        <v>224</v>
      </c>
      <c r="I14" s="87">
        <v>0</v>
      </c>
      <c r="J14" s="85" t="s">
        <v>129</v>
      </c>
      <c r="K14" s="87">
        <v>0.49152542372881358</v>
      </c>
      <c r="L14" s="85" t="s">
        <v>129</v>
      </c>
      <c r="M14" s="88">
        <v>0.22515212981744423</v>
      </c>
      <c r="N14" s="85" t="s">
        <v>186</v>
      </c>
      <c r="O14" s="88">
        <v>0.2032520325203252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177</v>
      </c>
      <c r="U14" s="87">
        <v>0.16666666666666666</v>
      </c>
      <c r="V14" s="85" t="s">
        <v>224</v>
      </c>
      <c r="W14" s="87">
        <v>0</v>
      </c>
      <c r="X14" s="85" t="s">
        <v>172</v>
      </c>
      <c r="Y14" s="88">
        <v>0.22244897959183674</v>
      </c>
      <c r="Z14" s="85" t="s">
        <v>225</v>
      </c>
      <c r="AA14" s="88">
        <v>0.125</v>
      </c>
      <c r="AB14" s="85" t="s">
        <v>129</v>
      </c>
      <c r="AC14" s="88">
        <v>0.5078125</v>
      </c>
      <c r="AD14" s="85" t="s">
        <v>224</v>
      </c>
      <c r="AE14" s="88">
        <v>0</v>
      </c>
      <c r="AF14" s="85" t="s">
        <v>177</v>
      </c>
      <c r="AG14" s="88">
        <v>0.39080459770114945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-881.79999999999973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6479.7814207650272</v>
      </c>
      <c r="R15" s="85" t="s">
        <v>225</v>
      </c>
      <c r="S15" s="89">
        <v>-14000</v>
      </c>
      <c r="T15" s="85" t="s">
        <v>129</v>
      </c>
      <c r="U15" s="87">
        <v>0.1864406779661017</v>
      </c>
      <c r="V15" s="85" t="s">
        <v>225</v>
      </c>
      <c r="W15" s="87">
        <v>0</v>
      </c>
      <c r="X15" s="85" t="s">
        <v>177</v>
      </c>
      <c r="Y15" s="88">
        <v>0.20930232558139536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33343-C293-42D5-97A8-92E546E929F0}">
  <sheetPr codeName="Sheet4"/>
  <dimension ref="A1:Q5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513</v>
      </c>
      <c r="C2" s="147"/>
      <c r="E2" s="62" t="s">
        <v>65</v>
      </c>
      <c r="F2" s="59" t="s">
        <v>21</v>
      </c>
      <c r="G2" s="46">
        <v>669</v>
      </c>
      <c r="H2" s="132">
        <f>IF(B$17=0,0,G2/B$17)</f>
        <v>0.51620370370370372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-15.594541910331383</v>
      </c>
      <c r="P2" s="118">
        <v>513</v>
      </c>
      <c r="Q2" s="102">
        <v>-8000</v>
      </c>
    </row>
    <row r="3" spans="1:17" x14ac:dyDescent="0.4">
      <c r="A3" s="55" t="s">
        <v>8</v>
      </c>
      <c r="B3" s="148">
        <v>4332</v>
      </c>
      <c r="C3" s="149"/>
      <c r="E3" s="63" t="s">
        <v>66</v>
      </c>
      <c r="F3" s="60" t="s">
        <v>22</v>
      </c>
      <c r="G3" s="47">
        <v>159</v>
      </c>
      <c r="H3" s="133">
        <f>IF(B$17=0,0,G3/B$17)</f>
        <v>0.12268518518518519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-7.9840319361277441</v>
      </c>
      <c r="P3" s="119">
        <v>501</v>
      </c>
      <c r="Q3" s="103">
        <v>-4000</v>
      </c>
    </row>
    <row r="4" spans="1:17" x14ac:dyDescent="0.4">
      <c r="A4" s="55" t="s">
        <v>6</v>
      </c>
      <c r="B4" s="150">
        <v>1.4210854715202004E-14</v>
      </c>
      <c r="C4" s="151"/>
      <c r="E4" s="63" t="s">
        <v>67</v>
      </c>
      <c r="F4" s="60" t="s">
        <v>23</v>
      </c>
      <c r="G4" s="47">
        <v>951</v>
      </c>
      <c r="H4" s="133">
        <f>IF(B$17=0,0,G4/B$17)</f>
        <v>0.73379629629629628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12.578616352201259</v>
      </c>
      <c r="P4" s="119">
        <v>477</v>
      </c>
      <c r="Q4" s="103">
        <v>6000</v>
      </c>
    </row>
    <row r="5" spans="1:17" x14ac:dyDescent="0.4">
      <c r="A5" s="55" t="s">
        <v>7</v>
      </c>
      <c r="B5" s="152">
        <f>IF(B$2=0,0,B$4/B$2)</f>
        <v>2.7701471179731E-17</v>
      </c>
      <c r="C5" s="153"/>
      <c r="E5" s="63" t="s">
        <v>68</v>
      </c>
      <c r="F5" s="60" t="s">
        <v>24</v>
      </c>
      <c r="G5" s="47">
        <v>394</v>
      </c>
      <c r="H5" s="133">
        <f>IF(B$17=0,0,G5/B$17)</f>
        <v>0.30401234567901236</v>
      </c>
      <c r="I5" s="94">
        <v>8</v>
      </c>
      <c r="K5" s="38">
        <v>3</v>
      </c>
      <c r="L5" s="99">
        <v>0</v>
      </c>
      <c r="N5" s="115" t="s">
        <v>135</v>
      </c>
      <c r="O5" s="122">
        <f t="shared" si="0"/>
        <v>4.6296296296296298</v>
      </c>
      <c r="P5" s="119">
        <v>432</v>
      </c>
      <c r="Q5" s="103">
        <v>2000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408</v>
      </c>
      <c r="H6" s="133">
        <f>IF(B$17=0,0,G6/B$17)</f>
        <v>0.31481481481481483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-5.1282051282051286</v>
      </c>
      <c r="P6" s="119">
        <v>390</v>
      </c>
      <c r="Q6" s="103">
        <v>-2000</v>
      </c>
    </row>
    <row r="7" spans="1:17" x14ac:dyDescent="0.4">
      <c r="A7" s="55" t="s">
        <v>2</v>
      </c>
      <c r="B7" s="47">
        <v>171</v>
      </c>
      <c r="C7" s="39">
        <f>IF(B$2=0,0,B7/B$2)</f>
        <v>0.33333333333333331</v>
      </c>
      <c r="E7" s="63" t="s">
        <v>70</v>
      </c>
      <c r="F7" s="60" t="s">
        <v>25</v>
      </c>
      <c r="G7" s="47">
        <v>235</v>
      </c>
      <c r="H7" s="133">
        <f>IF(B$17=0,0,G7/B$17)</f>
        <v>0.18132716049382716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16.949152542372882</v>
      </c>
      <c r="P7" s="120">
        <v>354</v>
      </c>
      <c r="Q7" s="104">
        <v>6000</v>
      </c>
    </row>
    <row r="8" spans="1:17" x14ac:dyDescent="0.4">
      <c r="A8" s="55" t="s">
        <v>3</v>
      </c>
      <c r="B8" s="47">
        <v>171</v>
      </c>
      <c r="C8" s="39">
        <f>IF(B$2=0,0,B8/B$2)</f>
        <v>0.33333333333333331</v>
      </c>
      <c r="E8" s="63" t="s">
        <v>71</v>
      </c>
      <c r="F8" s="60" t="s">
        <v>26</v>
      </c>
      <c r="G8" s="47">
        <v>136</v>
      </c>
      <c r="H8" s="133">
        <f>IF(B$17=0,0,G8/B$17)</f>
        <v>0.10493827160493827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171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86</v>
      </c>
      <c r="H9" s="133">
        <f>IF(B$17=0,0,G9/B$17)</f>
        <v>6.6358024691358028E-2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57</v>
      </c>
      <c r="C10" s="40">
        <f>IF(B$2=0,0,B10/B$2)</f>
        <v>0.1111111111111111</v>
      </c>
      <c r="E10" s="63" t="s">
        <v>73</v>
      </c>
      <c r="F10" s="60" t="s">
        <v>28</v>
      </c>
      <c r="G10" s="47">
        <v>669</v>
      </c>
      <c r="H10" s="133">
        <f>IF(B$17=0,0,G10/B$17)</f>
        <v>0.51620370370370372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-0.65029239766081881</v>
      </c>
      <c r="P10" s="118">
        <v>171</v>
      </c>
      <c r="Q10" s="106">
        <v>-111.20000000000002</v>
      </c>
    </row>
    <row r="11" spans="1:17" x14ac:dyDescent="0.4">
      <c r="A11" s="56" t="s">
        <v>140</v>
      </c>
      <c r="B11" s="48">
        <v>57</v>
      </c>
      <c r="C11" s="40">
        <f>IF(B$2=0,0,B11/B$2)</f>
        <v>0.1111111111111111</v>
      </c>
      <c r="E11" s="63" t="s">
        <v>74</v>
      </c>
      <c r="F11" s="60" t="s">
        <v>29</v>
      </c>
      <c r="G11" s="47">
        <v>9</v>
      </c>
      <c r="H11" s="133">
        <f>IF(B$17=0,0,G11/B$17)</f>
        <v>6.9444444444444441E-3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-2.4567251461988313</v>
      </c>
      <c r="P11" s="119">
        <v>171</v>
      </c>
      <c r="Q11" s="107">
        <v>-420.10000000000014</v>
      </c>
    </row>
    <row r="12" spans="1:17" x14ac:dyDescent="0.4">
      <c r="A12" s="57" t="s">
        <v>160</v>
      </c>
      <c r="B12" s="49">
        <v>43</v>
      </c>
      <c r="C12" s="42">
        <f>IF(B$2=0,0,B12/B$2)</f>
        <v>8.3820662768031184E-2</v>
      </c>
      <c r="E12" s="63" t="s">
        <v>75</v>
      </c>
      <c r="F12" s="60" t="s">
        <v>30</v>
      </c>
      <c r="G12" s="47">
        <v>4</v>
      </c>
      <c r="H12" s="133">
        <f>IF(B$17=0,0,G12/B$17)</f>
        <v>3.0864197530864196E-3</v>
      </c>
      <c r="I12" s="94">
        <v>4</v>
      </c>
      <c r="K12" s="38">
        <v>10</v>
      </c>
      <c r="L12" s="99">
        <v>40.099999999999994</v>
      </c>
      <c r="N12" s="116" t="s">
        <v>166</v>
      </c>
      <c r="O12" s="126">
        <f>IF(P12=0,0,Q12/P12)</f>
        <v>3.1070175438596488</v>
      </c>
      <c r="P12" s="120">
        <v>171</v>
      </c>
      <c r="Q12" s="108">
        <v>531.29999999999995</v>
      </c>
    </row>
    <row r="13" spans="1:17" x14ac:dyDescent="0.4">
      <c r="A13" s="58" t="s">
        <v>122</v>
      </c>
      <c r="B13" s="50">
        <v>1193</v>
      </c>
      <c r="C13" s="44">
        <f>IF(B$3=0,0,B13/B$3)</f>
        <v>0.27539242843951983</v>
      </c>
      <c r="E13" s="63" t="s">
        <v>76</v>
      </c>
      <c r="F13" s="60" t="s">
        <v>31</v>
      </c>
      <c r="G13" s="47">
        <v>11</v>
      </c>
      <c r="H13" s="133">
        <f>IF(B$17=0,0,G13/B$17)</f>
        <v>8.4876543209876538E-3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909</v>
      </c>
      <c r="C14" s="39">
        <f>IF(B$3=0,0,B14/B$3)</f>
        <v>0.20983379501385041</v>
      </c>
      <c r="E14" s="63" t="s">
        <v>77</v>
      </c>
      <c r="F14" s="60" t="s">
        <v>32</v>
      </c>
      <c r="G14" s="47">
        <v>1</v>
      </c>
      <c r="H14" s="133">
        <f>IF(B$17=0,0,G14/B$17)</f>
        <v>7.716049382716049E-4</v>
      </c>
      <c r="I14" s="94">
        <v>2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696</v>
      </c>
      <c r="C15" s="37">
        <f>IF(B$13=0,0,B15/B$13)</f>
        <v>0.58340318524727575</v>
      </c>
      <c r="E15" s="63" t="s">
        <v>78</v>
      </c>
      <c r="F15" s="60" t="s">
        <v>33</v>
      </c>
      <c r="G15" s="47">
        <v>3</v>
      </c>
      <c r="H15" s="133">
        <f>IF(B$17=0,0,G15/B$17)</f>
        <v>2.3148148148148147E-3</v>
      </c>
      <c r="I15" s="94">
        <v>4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356</v>
      </c>
      <c r="C16" s="37">
        <f>IF(B$14=0,0,B16/B$14)</f>
        <v>0.39163916391639164</v>
      </c>
      <c r="E16" s="63" t="s">
        <v>79</v>
      </c>
      <c r="F16" s="60" t="s">
        <v>34</v>
      </c>
      <c r="G16" s="47">
        <v>29</v>
      </c>
      <c r="H16" s="133">
        <f>IF(B$17=0,0,G16/B$17)</f>
        <v>2.2376543209876542E-2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22.418644067796624</v>
      </c>
      <c r="P16" s="119">
        <v>118</v>
      </c>
      <c r="Q16" s="107">
        <v>2645.4000000000015</v>
      </c>
    </row>
    <row r="17" spans="1:17" x14ac:dyDescent="0.4">
      <c r="A17" s="54" t="s">
        <v>10</v>
      </c>
      <c r="B17" s="46">
        <f>B19+B18</f>
        <v>1296</v>
      </c>
      <c r="C17" s="37">
        <f>IF(B$3=0,0,B17/B$3)</f>
        <v>0.29916897506925205</v>
      </c>
      <c r="E17" s="63" t="s">
        <v>80</v>
      </c>
      <c r="F17" s="60" t="s">
        <v>35</v>
      </c>
      <c r="G17" s="47">
        <v>21</v>
      </c>
      <c r="H17" s="133">
        <f>IF(B$17=0,0,G17/B$17)</f>
        <v>1.6203703703703703E-2</v>
      </c>
      <c r="I17" s="94">
        <v>6</v>
      </c>
      <c r="K17" s="38">
        <v>15</v>
      </c>
      <c r="L17" s="99">
        <v>-1.0658141036401503E-14</v>
      </c>
      <c r="N17" s="115" t="s">
        <v>173</v>
      </c>
      <c r="O17" s="125">
        <f>IF(P17=0,0,Q17/P17)</f>
        <v>8.6115384615384585</v>
      </c>
      <c r="P17" s="119">
        <v>78</v>
      </c>
      <c r="Q17" s="107">
        <v>671.69999999999982</v>
      </c>
    </row>
    <row r="18" spans="1:17" x14ac:dyDescent="0.4">
      <c r="A18" s="55" t="s">
        <v>12</v>
      </c>
      <c r="B18" s="47">
        <v>569</v>
      </c>
      <c r="C18" s="39">
        <f>IF(B$17=0,0,B18/B$17)</f>
        <v>0.43904320987654322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90.899999999999991</v>
      </c>
      <c r="N18" s="115" t="s">
        <v>202</v>
      </c>
      <c r="O18" s="125">
        <f>IF(P18=0,0,Q18/P18)</f>
        <v>5.4214285714285699</v>
      </c>
      <c r="P18" s="119">
        <v>14</v>
      </c>
      <c r="Q18" s="107">
        <v>75.899999999999977</v>
      </c>
    </row>
    <row r="19" spans="1:17" x14ac:dyDescent="0.4">
      <c r="A19" s="55" t="s">
        <v>11</v>
      </c>
      <c r="B19" s="47">
        <v>727</v>
      </c>
      <c r="C19" s="39">
        <f>IF(B$17=0,0,B19/B$17)</f>
        <v>0.56095679012345678</v>
      </c>
      <c r="E19" s="63" t="s">
        <v>82</v>
      </c>
      <c r="F19" s="60" t="s">
        <v>37</v>
      </c>
      <c r="G19" s="47">
        <v>37</v>
      </c>
      <c r="H19" s="133">
        <f>IF(B$17=0,0,G19/B$17)</f>
        <v>2.8549382716049381E-2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4.2969026548672575</v>
      </c>
      <c r="P19" s="119">
        <v>226</v>
      </c>
      <c r="Q19" s="107">
        <v>971.10000000000014</v>
      </c>
    </row>
    <row r="20" spans="1:17" x14ac:dyDescent="0.4">
      <c r="A20" s="55" t="s">
        <v>13</v>
      </c>
      <c r="B20" s="47">
        <v>719</v>
      </c>
      <c r="C20" s="39">
        <f>IF(B$3=0,0,B20/B$3)</f>
        <v>0.1659741458910434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-3.5527136788005009E-15</v>
      </c>
      <c r="N20" s="115" t="s">
        <v>177</v>
      </c>
      <c r="O20" s="125">
        <f>IF(P20=0,0,Q20/P20)</f>
        <v>4.1249999999999964</v>
      </c>
      <c r="P20" s="119">
        <v>72</v>
      </c>
      <c r="Q20" s="107">
        <v>296.99999999999977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84</v>
      </c>
      <c r="F21" s="60" t="s">
        <v>39</v>
      </c>
      <c r="G21" s="47">
        <v>60</v>
      </c>
      <c r="H21" s="133">
        <f>IF(B$17=0,0,G21/B$17)</f>
        <v>4.6296296296296294E-2</v>
      </c>
      <c r="I21" s="94">
        <v>6</v>
      </c>
      <c r="K21" s="38">
        <v>19</v>
      </c>
      <c r="L21" s="99">
        <v>30.999999999999996</v>
      </c>
      <c r="N21" s="115" t="s">
        <v>186</v>
      </c>
      <c r="O21" s="125">
        <f>IF(P21=0,0,Q21/P21)</f>
        <v>3.8249999999999997</v>
      </c>
      <c r="P21" s="119">
        <v>28</v>
      </c>
      <c r="Q21" s="107">
        <v>107.1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85</v>
      </c>
      <c r="F22" s="60" t="s">
        <v>40</v>
      </c>
      <c r="G22" s="47">
        <v>4</v>
      </c>
      <c r="H22" s="133">
        <f>IF(B$17=0,0,G22/B$17)</f>
        <v>3.0864197530864196E-3</v>
      </c>
      <c r="I22" s="94">
        <v>3</v>
      </c>
      <c r="K22" s="38">
        <v>20</v>
      </c>
      <c r="L22" s="99">
        <v>0.79999999999999716</v>
      </c>
      <c r="N22" s="115" t="s">
        <v>172</v>
      </c>
      <c r="O22" s="125">
        <f>IF(P22=0,0,Q22/P22)</f>
        <v>-1.2545454545454566</v>
      </c>
      <c r="P22" s="119">
        <v>110</v>
      </c>
      <c r="Q22" s="107">
        <v>-138.00000000000023</v>
      </c>
    </row>
    <row r="23" spans="1:17" x14ac:dyDescent="0.4">
      <c r="A23" s="55" t="s">
        <v>5</v>
      </c>
      <c r="B23" s="51">
        <f>IF(B$17=0,0,C23/B$17)</f>
        <v>8541.7438271604933</v>
      </c>
      <c r="C23" s="41">
        <v>11070100</v>
      </c>
      <c r="E23" s="63" t="s">
        <v>86</v>
      </c>
      <c r="F23" s="60" t="s">
        <v>41</v>
      </c>
      <c r="G23" s="47">
        <v>4</v>
      </c>
      <c r="H23" s="133">
        <f>IF(B$17=0,0,G23/B$17)</f>
        <v>3.0864197530864196E-3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>IF(P23=0,0,Q23/P23)</f>
        <v>-5.7760869565217376</v>
      </c>
      <c r="P23" s="119">
        <v>138</v>
      </c>
      <c r="Q23" s="107">
        <v>-797.0999999999998</v>
      </c>
    </row>
    <row r="24" spans="1:17" x14ac:dyDescent="0.4">
      <c r="A24" s="57" t="s">
        <v>14</v>
      </c>
      <c r="B24" s="52">
        <f>IF(B$20=0,0,C24/B$20)</f>
        <v>-8173.8525730180809</v>
      </c>
      <c r="C24" s="45">
        <v>-5877000</v>
      </c>
      <c r="E24" s="63" t="s">
        <v>87</v>
      </c>
      <c r="F24" s="60" t="s">
        <v>42</v>
      </c>
      <c r="G24" s="47">
        <v>77</v>
      </c>
      <c r="H24" s="133">
        <f>IF(B$17=0,0,G24/B$17)</f>
        <v>5.941358024691358E-2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-16.039655172413774</v>
      </c>
      <c r="P24" s="119">
        <v>232</v>
      </c>
      <c r="Q24" s="107">
        <v>-3721.1999999999957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3.0864197530864196E-3</v>
      </c>
      <c r="I25" s="94">
        <v>5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2</v>
      </c>
      <c r="H26" s="133">
        <f>IF(B$17=0,0,G26/B$17)</f>
        <v>1.5432098765432098E-3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3.2317636195752539E-3</v>
      </c>
      <c r="E27" s="63" t="s">
        <v>90</v>
      </c>
      <c r="F27" s="60" t="s">
        <v>45</v>
      </c>
      <c r="G27" s="47">
        <v>162</v>
      </c>
      <c r="H27" s="133">
        <f>IF(B$17=0,0,G27/B$17)</f>
        <v>0.125</v>
      </c>
      <c r="I27" s="94">
        <v>8</v>
      </c>
      <c r="K27" s="38">
        <v>25</v>
      </c>
      <c r="L27" s="99">
        <v>-31.300000000000004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7.716049382716049E-4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92</v>
      </c>
      <c r="F29" s="60" t="s">
        <v>47</v>
      </c>
      <c r="G29" s="47">
        <v>21</v>
      </c>
      <c r="H29" s="133">
        <f>IF(B$17=0,0,G29/B$17)</f>
        <v>1.6203703703703703E-2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93</v>
      </c>
      <c r="F30" s="60" t="s">
        <v>48</v>
      </c>
      <c r="G30" s="47">
        <v>4</v>
      </c>
      <c r="H30" s="133">
        <f>IF(B$17=0,0,G30/B$17)</f>
        <v>3.0864197530864196E-3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94</v>
      </c>
      <c r="F31" s="60" t="s">
        <v>49</v>
      </c>
      <c r="G31" s="47">
        <v>4</v>
      </c>
      <c r="H31" s="133">
        <f>IF(B$17=0,0,G31/B$17)</f>
        <v>3.0864197530864196E-3</v>
      </c>
      <c r="I31" s="94">
        <v>5</v>
      </c>
      <c r="K31" s="38">
        <v>29</v>
      </c>
      <c r="L31" s="99">
        <v>-9.5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96</v>
      </c>
      <c r="F33" s="60" t="s">
        <v>51</v>
      </c>
      <c r="G33" s="47">
        <v>2</v>
      </c>
      <c r="H33" s="133">
        <f>IF(B$17=0,0,G33/B$17)</f>
        <v>1.5432098765432098E-3</v>
      </c>
      <c r="I33" s="94">
        <v>3</v>
      </c>
      <c r="K33" s="38">
        <v>31</v>
      </c>
      <c r="L33" s="99">
        <v>29.1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7.716049382716049E-4</v>
      </c>
      <c r="I39" s="94">
        <v>2</v>
      </c>
      <c r="K39" s="38">
        <v>37</v>
      </c>
      <c r="L39" s="99">
        <v>-31.699999999999992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180</v>
      </c>
      <c r="F50" s="60" t="s">
        <v>183</v>
      </c>
      <c r="G50" s="47">
        <v>17</v>
      </c>
      <c r="H50" s="133">
        <f>IF(B$17=0,0,G50/B$17)</f>
        <v>1.3117283950617283E-2</v>
      </c>
      <c r="I50" s="94">
        <v>3</v>
      </c>
      <c r="K50" s="38">
        <v>48</v>
      </c>
      <c r="L50" s="99">
        <v>-7.1054273576010019E-15</v>
      </c>
    </row>
    <row r="51" spans="5:12" x14ac:dyDescent="0.4">
      <c r="E51" s="64" t="s">
        <v>181</v>
      </c>
      <c r="F51" s="61" t="s">
        <v>182</v>
      </c>
      <c r="G51" s="49">
        <v>517</v>
      </c>
      <c r="H51" s="134">
        <f>IF(B$17=0,0,G51/B$17)</f>
        <v>0.39891975308641975</v>
      </c>
      <c r="I51" s="95">
        <v>6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36.300000000000004</v>
      </c>
    </row>
    <row r="499" spans="11:12" x14ac:dyDescent="0.4">
      <c r="K499" s="38">
        <v>497</v>
      </c>
      <c r="L499" s="99">
        <v>-1.4999999999999929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-30.499999999999993</v>
      </c>
    </row>
    <row r="502" spans="11:12" x14ac:dyDescent="0.4">
      <c r="K502" s="38">
        <v>500</v>
      </c>
      <c r="L502" s="99">
        <v>9.6000000000000085</v>
      </c>
    </row>
    <row r="503" spans="11:12" x14ac:dyDescent="0.4">
      <c r="K503" s="38">
        <v>501</v>
      </c>
      <c r="L503" s="99">
        <v>8.8817841970012523E-15</v>
      </c>
    </row>
    <row r="504" spans="11:12" x14ac:dyDescent="0.4">
      <c r="K504" s="38">
        <v>502</v>
      </c>
      <c r="L504" s="99">
        <v>44.600000000000009</v>
      </c>
    </row>
    <row r="505" spans="11:12" x14ac:dyDescent="0.4">
      <c r="K505" s="38">
        <v>503</v>
      </c>
      <c r="L505" s="99">
        <v>51.800000000000011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-56.099999999999987</v>
      </c>
    </row>
    <row r="508" spans="11:12" x14ac:dyDescent="0.4">
      <c r="K508" s="38">
        <v>506</v>
      </c>
      <c r="L508" s="99">
        <v>15.400000000000013</v>
      </c>
    </row>
    <row r="509" spans="11:12" x14ac:dyDescent="0.4">
      <c r="K509" s="38">
        <v>507</v>
      </c>
      <c r="L509" s="99">
        <v>1.2434497875801753E-14</v>
      </c>
    </row>
    <row r="510" spans="11:12" x14ac:dyDescent="0.4">
      <c r="K510" s="38">
        <v>508</v>
      </c>
      <c r="L510" s="99">
        <v>-16.099999999999987</v>
      </c>
    </row>
    <row r="511" spans="11:12" x14ac:dyDescent="0.4">
      <c r="K511" s="38">
        <v>509</v>
      </c>
      <c r="L511" s="99">
        <v>-61.599999999999987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-58.999999999999986</v>
      </c>
    </row>
    <row r="514" spans="11:12" x14ac:dyDescent="0.4">
      <c r="K514" s="38">
        <v>512</v>
      </c>
      <c r="L514" s="99">
        <v>9.0000000000000142</v>
      </c>
    </row>
    <row r="515" spans="11:12" x14ac:dyDescent="0.4">
      <c r="K515" s="38">
        <v>513</v>
      </c>
      <c r="L515" s="99">
        <v>1.4210854715202004E-14</v>
      </c>
    </row>
  </sheetData>
  <sortState ref="E2:I51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D39-E5B2-48AA-BEC3-E50250711C08}">
  <sheetPr codeName="Sheet7"/>
  <dimension ref="A1:Q11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116</v>
      </c>
      <c r="C2" s="147"/>
      <c r="E2" s="62" t="s">
        <v>65</v>
      </c>
      <c r="F2" s="59" t="s">
        <v>21</v>
      </c>
      <c r="G2" s="46">
        <v>163</v>
      </c>
      <c r="H2" s="132">
        <f>IF(B$17=0,0,G2/B$17)</f>
        <v>0.50621118012422361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1693.1034482758621</v>
      </c>
      <c r="P2" s="118">
        <v>116</v>
      </c>
      <c r="Q2" s="102">
        <v>196400</v>
      </c>
    </row>
    <row r="3" spans="1:17" x14ac:dyDescent="0.4">
      <c r="A3" s="55" t="s">
        <v>8</v>
      </c>
      <c r="B3" s="148">
        <v>942</v>
      </c>
      <c r="C3" s="149"/>
      <c r="E3" s="63" t="s">
        <v>66</v>
      </c>
      <c r="F3" s="60" t="s">
        <v>22</v>
      </c>
      <c r="G3" s="47">
        <v>50</v>
      </c>
      <c r="H3" s="133">
        <f>IF(B$17=0,0,G3/B$17)</f>
        <v>0.15527950310559005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1346.9026548672566</v>
      </c>
      <c r="P3" s="119">
        <v>113</v>
      </c>
      <c r="Q3" s="103">
        <v>152200</v>
      </c>
    </row>
    <row r="4" spans="1:17" x14ac:dyDescent="0.4">
      <c r="A4" s="55" t="s">
        <v>6</v>
      </c>
      <c r="B4" s="150">
        <v>1240.400000000001</v>
      </c>
      <c r="C4" s="151"/>
      <c r="E4" s="63" t="s">
        <v>67</v>
      </c>
      <c r="F4" s="60" t="s">
        <v>23</v>
      </c>
      <c r="G4" s="47">
        <v>230</v>
      </c>
      <c r="H4" s="133">
        <f>IF(B$17=0,0,G4/B$17)</f>
        <v>0.7142857142857143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1469.4444444444443</v>
      </c>
      <c r="P4" s="119">
        <v>108</v>
      </c>
      <c r="Q4" s="103">
        <v>158700</v>
      </c>
    </row>
    <row r="5" spans="1:17" x14ac:dyDescent="0.4">
      <c r="A5" s="55" t="s">
        <v>7</v>
      </c>
      <c r="B5" s="152">
        <f>IF(B$2=0,0,B$4/B$2)</f>
        <v>10.69310344827587</v>
      </c>
      <c r="C5" s="153"/>
      <c r="E5" s="63" t="s">
        <v>68</v>
      </c>
      <c r="F5" s="60" t="s">
        <v>24</v>
      </c>
      <c r="G5" s="47">
        <v>97</v>
      </c>
      <c r="H5" s="133">
        <f>IF(B$17=0,0,G5/B$17)</f>
        <v>0.30124223602484473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0"/>
        <v>1917.3469387755101</v>
      </c>
      <c r="P5" s="119">
        <v>98</v>
      </c>
      <c r="Q5" s="103">
        <v>187900</v>
      </c>
    </row>
    <row r="6" spans="1:17" x14ac:dyDescent="0.4">
      <c r="A6" s="55" t="s">
        <v>1</v>
      </c>
      <c r="B6" s="142">
        <f>IF(B$2=0,0,(B$7*1+B$8*2+B$9*3)/B$2)</f>
        <v>1.7672413793103448</v>
      </c>
      <c r="C6" s="143"/>
      <c r="E6" s="63" t="s">
        <v>69</v>
      </c>
      <c r="F6" s="60" t="s">
        <v>12</v>
      </c>
      <c r="G6" s="47">
        <v>86</v>
      </c>
      <c r="H6" s="133">
        <f>IF(B$17=0,0,G6/B$17)</f>
        <v>0.26708074534161491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-124.41860465116279</v>
      </c>
      <c r="P6" s="119">
        <v>86</v>
      </c>
      <c r="Q6" s="103">
        <v>-10700</v>
      </c>
    </row>
    <row r="7" spans="1:17" x14ac:dyDescent="0.4">
      <c r="A7" s="55" t="s">
        <v>2</v>
      </c>
      <c r="B7" s="47">
        <v>56</v>
      </c>
      <c r="C7" s="39">
        <f>IF(B$2=0,0,B7/B$2)</f>
        <v>0.48275862068965519</v>
      </c>
      <c r="E7" s="63" t="s">
        <v>70</v>
      </c>
      <c r="F7" s="60" t="s">
        <v>25</v>
      </c>
      <c r="G7" s="47">
        <v>59</v>
      </c>
      <c r="H7" s="133">
        <f>IF(B$17=0,0,G7/B$17)</f>
        <v>0.18322981366459629</v>
      </c>
      <c r="I7" s="94">
        <v>6</v>
      </c>
      <c r="K7" s="38">
        <v>5</v>
      </c>
      <c r="L7" s="99">
        <v>201.4</v>
      </c>
      <c r="N7" s="116" t="s">
        <v>137</v>
      </c>
      <c r="O7" s="123">
        <f t="shared" si="0"/>
        <v>143.42105263157896</v>
      </c>
      <c r="P7" s="120">
        <v>76</v>
      </c>
      <c r="Q7" s="104">
        <v>10900</v>
      </c>
    </row>
    <row r="8" spans="1:17" x14ac:dyDescent="0.4">
      <c r="A8" s="55" t="s">
        <v>3</v>
      </c>
      <c r="B8" s="47">
        <v>31</v>
      </c>
      <c r="C8" s="39">
        <f>IF(B$2=0,0,B8/B$2)</f>
        <v>0.26724137931034481</v>
      </c>
      <c r="E8" s="63" t="s">
        <v>71</v>
      </c>
      <c r="F8" s="60" t="s">
        <v>26</v>
      </c>
      <c r="G8" s="47">
        <v>34</v>
      </c>
      <c r="H8" s="133">
        <f>IF(B$17=0,0,G8/B$17)</f>
        <v>0.10559006211180125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0.25</v>
      </c>
      <c r="E9" s="63" t="s">
        <v>72</v>
      </c>
      <c r="F9" s="60" t="s">
        <v>27</v>
      </c>
      <c r="G9" s="47">
        <v>23</v>
      </c>
      <c r="H9" s="133">
        <f>IF(B$17=0,0,G9/B$17)</f>
        <v>7.1428571428571425E-2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0.1206896551724138</v>
      </c>
      <c r="E10" s="63" t="s">
        <v>73</v>
      </c>
      <c r="F10" s="60" t="s">
        <v>28</v>
      </c>
      <c r="G10" s="47">
        <v>177</v>
      </c>
      <c r="H10" s="133">
        <f>IF(B$17=0,0,G10/B$17)</f>
        <v>0.5496894409937888</v>
      </c>
      <c r="I10" s="94">
        <v>6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0.17241379310344829</v>
      </c>
      <c r="E11" s="63" t="s">
        <v>74</v>
      </c>
      <c r="F11" s="60" t="s">
        <v>29</v>
      </c>
      <c r="G11" s="47">
        <v>2</v>
      </c>
      <c r="H11" s="133">
        <f>IF(B$17=0,0,G11/B$17)</f>
        <v>6.2111801242236021E-3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5.6857142857142859</v>
      </c>
      <c r="P11" s="119">
        <v>35</v>
      </c>
      <c r="Q11" s="107">
        <v>199</v>
      </c>
    </row>
    <row r="12" spans="1:17" x14ac:dyDescent="0.4">
      <c r="A12" s="57" t="s">
        <v>160</v>
      </c>
      <c r="B12" s="49">
        <v>17</v>
      </c>
      <c r="C12" s="42">
        <f>IF(B$2=0,0,B12/B$2)</f>
        <v>0.14655172413793102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10.091489361702132</v>
      </c>
      <c r="P12" s="120">
        <v>47</v>
      </c>
      <c r="Q12" s="108">
        <v>474.30000000000018</v>
      </c>
    </row>
    <row r="13" spans="1:17" x14ac:dyDescent="0.4">
      <c r="A13" s="58" t="s">
        <v>122</v>
      </c>
      <c r="B13" s="50">
        <v>307</v>
      </c>
      <c r="C13" s="44">
        <f>IF(B$3=0,0,B13/B$3)</f>
        <v>0.32590233545647557</v>
      </c>
      <c r="E13" s="63" t="s">
        <v>76</v>
      </c>
      <c r="F13" s="60" t="s">
        <v>31</v>
      </c>
      <c r="G13" s="47">
        <v>1</v>
      </c>
      <c r="H13" s="133">
        <f>IF(B$17=0,0,G13/B$17)</f>
        <v>3.105590062111801E-3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204</v>
      </c>
      <c r="C14" s="39">
        <f>IF(B$3=0,0,B14/B$3)</f>
        <v>0.21656050955414013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175</v>
      </c>
      <c r="C15" s="37">
        <f>IF(B$13=0,0,B15/B$13)</f>
        <v>0.57003257328990231</v>
      </c>
      <c r="E15" s="63" t="s">
        <v>78</v>
      </c>
      <c r="F15" s="60" t="s">
        <v>33</v>
      </c>
      <c r="G15" s="47">
        <v>1</v>
      </c>
      <c r="H15" s="133">
        <f>IF(B$17=0,0,G15/B$17)</f>
        <v>3.105590062111801E-3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103</v>
      </c>
      <c r="C16" s="37">
        <f>IF(B$14=0,0,B16/B$14)</f>
        <v>0.50490196078431371</v>
      </c>
      <c r="E16" s="63" t="s">
        <v>79</v>
      </c>
      <c r="F16" s="60" t="s">
        <v>34</v>
      </c>
      <c r="G16" s="47">
        <v>6</v>
      </c>
      <c r="H16" s="133">
        <f>IF(B$17=0,0,G16/B$17)</f>
        <v>1.8633540372670808E-2</v>
      </c>
      <c r="I16" s="94">
        <v>8</v>
      </c>
      <c r="K16" s="38">
        <v>14</v>
      </c>
      <c r="L16" s="99">
        <v>473.50000000000006</v>
      </c>
      <c r="N16" s="115" t="s">
        <v>129</v>
      </c>
      <c r="O16" s="125">
        <f>IF(P16=0,0,Q16/P16)</f>
        <v>32.760000000000005</v>
      </c>
      <c r="P16" s="119">
        <v>35</v>
      </c>
      <c r="Q16" s="107">
        <v>1146.6000000000001</v>
      </c>
    </row>
    <row r="17" spans="1:17" x14ac:dyDescent="0.4">
      <c r="A17" s="54" t="s">
        <v>10</v>
      </c>
      <c r="B17" s="46">
        <f>B19+B18</f>
        <v>322</v>
      </c>
      <c r="C17" s="37">
        <f>IF(B$3=0,0,B17/B$3)</f>
        <v>0.34182590233545646</v>
      </c>
      <c r="E17" s="63" t="s">
        <v>80</v>
      </c>
      <c r="F17" s="60" t="s">
        <v>35</v>
      </c>
      <c r="G17" s="47">
        <v>4</v>
      </c>
      <c r="H17" s="133">
        <f>IF(B$17=0,0,G17/B$17)</f>
        <v>1.2422360248447204E-2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135</v>
      </c>
      <c r="C18" s="39">
        <f>IF(B$17=0,0,B18/B$17)</f>
        <v>0.41925465838509318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173</v>
      </c>
      <c r="O18" s="125">
        <f>IF(P18=0,0,Q18/P18)</f>
        <v>22.754999999999999</v>
      </c>
      <c r="P18" s="119">
        <v>20</v>
      </c>
      <c r="Q18" s="107">
        <v>455.09999999999997</v>
      </c>
    </row>
    <row r="19" spans="1:17" x14ac:dyDescent="0.4">
      <c r="A19" s="55" t="s">
        <v>11</v>
      </c>
      <c r="B19" s="47">
        <v>187</v>
      </c>
      <c r="C19" s="39">
        <f>IF(B$17=0,0,B19/B$17)</f>
        <v>0.58074534161490687</v>
      </c>
      <c r="E19" s="63" t="s">
        <v>82</v>
      </c>
      <c r="F19" s="60" t="s">
        <v>37</v>
      </c>
      <c r="G19" s="47">
        <v>11</v>
      </c>
      <c r="H19" s="133">
        <f>IF(B$17=0,0,G19/B$17)</f>
        <v>3.4161490683229816E-2</v>
      </c>
      <c r="I19" s="94">
        <v>4</v>
      </c>
      <c r="K19" s="38">
        <v>17</v>
      </c>
      <c r="L19" s="99">
        <v>427.40000000000003</v>
      </c>
      <c r="N19" s="115" t="s">
        <v>172</v>
      </c>
      <c r="O19" s="125">
        <f>IF(P19=0,0,Q19/P19)</f>
        <v>21.879310344827591</v>
      </c>
      <c r="P19" s="119">
        <v>29</v>
      </c>
      <c r="Q19" s="107">
        <v>634.50000000000011</v>
      </c>
    </row>
    <row r="20" spans="1:17" x14ac:dyDescent="0.4">
      <c r="A20" s="55" t="s">
        <v>13</v>
      </c>
      <c r="B20" s="47">
        <v>143</v>
      </c>
      <c r="C20" s="39">
        <f>IF(B$3=0,0,B20/B$3)</f>
        <v>0.15180467091295116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177</v>
      </c>
      <c r="O20" s="125">
        <f>IF(P20=0,0,Q20/P20)</f>
        <v>19.826666666666664</v>
      </c>
      <c r="P20" s="119">
        <v>15</v>
      </c>
      <c r="Q20" s="107">
        <v>297.39999999999998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84</v>
      </c>
      <c r="F21" s="60" t="s">
        <v>39</v>
      </c>
      <c r="G21" s="47">
        <v>18</v>
      </c>
      <c r="H21" s="133">
        <f>IF(B$17=0,0,G21/B$17)</f>
        <v>5.5900621118012424E-2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469.6</v>
      </c>
      <c r="N22" s="115" t="s">
        <v>186</v>
      </c>
      <c r="O22" s="125">
        <f>IF(P22=0,0,Q22/P22)</f>
        <v>-0.78000000000000469</v>
      </c>
      <c r="P22" s="119">
        <v>10</v>
      </c>
      <c r="Q22" s="107">
        <v>-7.8000000000000469</v>
      </c>
    </row>
    <row r="23" spans="1:17" x14ac:dyDescent="0.4">
      <c r="A23" s="55" t="s">
        <v>5</v>
      </c>
      <c r="B23" s="51">
        <f>IF(B$17=0,0,C23/B$17)</f>
        <v>9073.6024844720505</v>
      </c>
      <c r="C23" s="41">
        <v>2921700</v>
      </c>
      <c r="E23" s="63" t="s">
        <v>86</v>
      </c>
      <c r="F23" s="60" t="s">
        <v>41</v>
      </c>
      <c r="G23" s="47">
        <v>2</v>
      </c>
      <c r="H23" s="133">
        <f>IF(B$17=0,0,G23/B$17)</f>
        <v>6.2111801242236021E-3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-4.2048780487804907</v>
      </c>
      <c r="P23" s="119">
        <v>41</v>
      </c>
      <c r="Q23" s="107">
        <v>-172.40000000000012</v>
      </c>
    </row>
    <row r="24" spans="1:17" x14ac:dyDescent="0.4">
      <c r="A24" s="57" t="s">
        <v>14</v>
      </c>
      <c r="B24" s="52">
        <f>IF(B$20=0,0,C24/B$20)</f>
        <v>-8450.3496503496499</v>
      </c>
      <c r="C24" s="45">
        <v>-1208400</v>
      </c>
      <c r="E24" s="63" t="s">
        <v>87</v>
      </c>
      <c r="F24" s="60" t="s">
        <v>42</v>
      </c>
      <c r="G24" s="47">
        <v>23</v>
      </c>
      <c r="H24" s="133">
        <f>IF(B$17=0,0,G24/B$17)</f>
        <v>7.1428571428571425E-2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3.105590062111801E-3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2</v>
      </c>
      <c r="C27" s="42">
        <f>IF(B$3=0,0,B27/B$3)</f>
        <v>2.1231422505307855E-3</v>
      </c>
      <c r="E27" s="63" t="s">
        <v>90</v>
      </c>
      <c r="F27" s="60" t="s">
        <v>45</v>
      </c>
      <c r="G27" s="47">
        <v>50</v>
      </c>
      <c r="H27" s="133">
        <f>IF(B$17=0,0,G27/B$17)</f>
        <v>0.15527950310559005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3.105590062111801E-3</v>
      </c>
      <c r="I28" s="94">
        <v>1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1.2422360248447204E-2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3.105590062111801E-3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3.105590062111801E-3</v>
      </c>
      <c r="I31" s="94">
        <v>4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3.105590062111801E-3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183</v>
      </c>
      <c r="G50" s="47">
        <v>10</v>
      </c>
      <c r="H50" s="133">
        <f>IF(B$17=0,0,G50/B$17)</f>
        <v>3.1055900621118012E-2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181</v>
      </c>
      <c r="F51" s="61" t="s">
        <v>182</v>
      </c>
      <c r="G51" s="49">
        <v>135</v>
      </c>
      <c r="H51" s="134">
        <f>IF(B$17=0,0,G51/B$17)</f>
        <v>0.41925465838509318</v>
      </c>
      <c r="I51" s="95">
        <v>3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1407.3000000000009</v>
      </c>
    </row>
    <row r="116" spans="11:12" x14ac:dyDescent="0.4">
      <c r="K116" s="38">
        <v>114</v>
      </c>
      <c r="L116" s="99">
        <v>1355.5000000000009</v>
      </c>
    </row>
    <row r="117" spans="11:12" x14ac:dyDescent="0.4">
      <c r="K117" s="38">
        <v>115</v>
      </c>
      <c r="L117" s="99">
        <v>1299.400000000001</v>
      </c>
    </row>
    <row r="118" spans="11:12" x14ac:dyDescent="0.4">
      <c r="K118" s="38">
        <v>116</v>
      </c>
      <c r="L118" s="99">
        <v>1240.400000000001</v>
      </c>
    </row>
  </sheetData>
  <sortState ref="E2:I11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7B4F-A8F7-4049-B79C-168855E4BC75}">
  <sheetPr codeName="Sheet9"/>
  <dimension ref="A1:Q11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113</v>
      </c>
      <c r="C2" s="147"/>
      <c r="E2" s="62" t="s">
        <v>65</v>
      </c>
      <c r="F2" s="59" t="s">
        <v>21</v>
      </c>
      <c r="G2" s="46">
        <v>154</v>
      </c>
      <c r="H2" s="132">
        <f>IF(B$17=0,0,G2/B$17)</f>
        <v>0.60629921259842523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285.84070796460179</v>
      </c>
      <c r="P2" s="118">
        <v>113</v>
      </c>
      <c r="Q2" s="102">
        <v>32300</v>
      </c>
    </row>
    <row r="3" spans="1:17" x14ac:dyDescent="0.4">
      <c r="A3" s="55" t="s">
        <v>8</v>
      </c>
      <c r="B3" s="148">
        <v>936</v>
      </c>
      <c r="C3" s="149"/>
      <c r="E3" s="63" t="s">
        <v>66</v>
      </c>
      <c r="F3" s="60" t="s">
        <v>22</v>
      </c>
      <c r="G3" s="47">
        <v>40</v>
      </c>
      <c r="H3" s="133">
        <f>IF(B$17=0,0,G3/B$17)</f>
        <v>0.15748031496062992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-2498.1651376146788</v>
      </c>
      <c r="P3" s="119">
        <v>109</v>
      </c>
      <c r="Q3" s="103">
        <v>-272300</v>
      </c>
    </row>
    <row r="4" spans="1:17" x14ac:dyDescent="0.4">
      <c r="A4" s="55" t="s">
        <v>6</v>
      </c>
      <c r="B4" s="150">
        <v>-323.7000000000001</v>
      </c>
      <c r="C4" s="151"/>
      <c r="E4" s="63" t="s">
        <v>67</v>
      </c>
      <c r="F4" s="60" t="s">
        <v>23</v>
      </c>
      <c r="G4" s="47">
        <v>192</v>
      </c>
      <c r="H4" s="133">
        <f>IF(B$17=0,0,G4/B$17)</f>
        <v>0.75590551181102361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6.6037735849056602</v>
      </c>
      <c r="P4" s="119">
        <v>106</v>
      </c>
      <c r="Q4" s="103">
        <v>700</v>
      </c>
    </row>
    <row r="5" spans="1:17" x14ac:dyDescent="0.4">
      <c r="A5" s="55" t="s">
        <v>7</v>
      </c>
      <c r="B5" s="152">
        <f>IF(B$2=0,0,B$4/B$2)</f>
        <v>-2.8646017699115052</v>
      </c>
      <c r="C5" s="153"/>
      <c r="E5" s="63" t="s">
        <v>68</v>
      </c>
      <c r="F5" s="60" t="s">
        <v>24</v>
      </c>
      <c r="G5" s="47">
        <v>93</v>
      </c>
      <c r="H5" s="133">
        <f>IF(B$17=0,0,G5/B$17)</f>
        <v>0.36614173228346458</v>
      </c>
      <c r="I5" s="94">
        <v>6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2.0796460176991149</v>
      </c>
      <c r="C6" s="143"/>
      <c r="E6" s="63" t="s">
        <v>69</v>
      </c>
      <c r="F6" s="60" t="s">
        <v>12</v>
      </c>
      <c r="G6" s="47">
        <v>85</v>
      </c>
      <c r="H6" s="133">
        <f>IF(B$17=0,0,G6/B$17)</f>
        <v>0.3346456692913386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30</v>
      </c>
      <c r="C7" s="39">
        <f>IF(B$2=0,0,B7/B$2)</f>
        <v>0.26548672566371684</v>
      </c>
      <c r="E7" s="63" t="s">
        <v>70</v>
      </c>
      <c r="F7" s="60" t="s">
        <v>25</v>
      </c>
      <c r="G7" s="47">
        <v>56</v>
      </c>
      <c r="H7" s="133">
        <f>IF(B$17=0,0,G7/B$17)</f>
        <v>0.22047244094488189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0.38938053097345132</v>
      </c>
      <c r="E8" s="63" t="s">
        <v>71</v>
      </c>
      <c r="F8" s="60" t="s">
        <v>26</v>
      </c>
      <c r="G8" s="47">
        <v>31</v>
      </c>
      <c r="H8" s="133">
        <f>IF(B$17=0,0,G8/B$17)</f>
        <v>0.12204724409448819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0.34513274336283184</v>
      </c>
      <c r="E9" s="63" t="s">
        <v>72</v>
      </c>
      <c r="F9" s="60" t="s">
        <v>27</v>
      </c>
      <c r="G9" s="47">
        <v>14</v>
      </c>
      <c r="H9" s="133">
        <f>IF(B$17=0,0,G9/B$17)</f>
        <v>5.5118110236220472E-2</v>
      </c>
      <c r="I9" s="94">
        <v>9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0.12389380530973451</v>
      </c>
      <c r="E10" s="63" t="s">
        <v>73</v>
      </c>
      <c r="F10" s="60" t="s">
        <v>28</v>
      </c>
      <c r="G10" s="47">
        <v>118</v>
      </c>
      <c r="H10" s="133">
        <f>IF(B$17=0,0,G10/B$17)</f>
        <v>0.46456692913385828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-7.0491525423728829</v>
      </c>
      <c r="P10" s="118">
        <v>59</v>
      </c>
      <c r="Q10" s="106">
        <v>-415.90000000000009</v>
      </c>
    </row>
    <row r="11" spans="1:17" x14ac:dyDescent="0.4">
      <c r="A11" s="56" t="s">
        <v>140</v>
      </c>
      <c r="B11" s="48">
        <v>10</v>
      </c>
      <c r="C11" s="40">
        <f>IF(B$2=0,0,B11/B$2)</f>
        <v>8.8495575221238937E-2</v>
      </c>
      <c r="E11" s="63" t="s">
        <v>74</v>
      </c>
      <c r="F11" s="60" t="s">
        <v>29</v>
      </c>
      <c r="G11" s="47">
        <v>2</v>
      </c>
      <c r="H11" s="133">
        <f>IF(B$17=0,0,G11/B$17)</f>
        <v>7.874015748031496E-3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7.0796460176991149E-2</v>
      </c>
      <c r="E12" s="63" t="s">
        <v>75</v>
      </c>
      <c r="F12" s="60" t="s">
        <v>30</v>
      </c>
      <c r="G12" s="47">
        <v>2</v>
      </c>
      <c r="H12" s="133">
        <f>IF(B$17=0,0,G12/B$17)</f>
        <v>7.874015748031496E-3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277</v>
      </c>
      <c r="C13" s="44">
        <f>IF(B$3=0,0,B13/B$3)</f>
        <v>0.29594017094017094</v>
      </c>
      <c r="E13" s="63" t="s">
        <v>76</v>
      </c>
      <c r="F13" s="60" t="s">
        <v>31</v>
      </c>
      <c r="G13" s="47">
        <v>2</v>
      </c>
      <c r="H13" s="133">
        <f>IF(B$17=0,0,G13/B$17)</f>
        <v>7.874015748031496E-3</v>
      </c>
      <c r="I13" s="94">
        <v>6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170</v>
      </c>
      <c r="C14" s="39">
        <f>IF(B$3=0,0,B14/B$3)</f>
        <v>0.18162393162393162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162</v>
      </c>
      <c r="C15" s="37">
        <f>IF(B$13=0,0,B15/B$13)</f>
        <v>0.58483754512635377</v>
      </c>
      <c r="E15" s="63" t="s">
        <v>78</v>
      </c>
      <c r="F15" s="60" t="s">
        <v>33</v>
      </c>
      <c r="G15" s="47">
        <v>1</v>
      </c>
      <c r="H15" s="133">
        <f>IF(B$17=0,0,G15/B$17)</f>
        <v>3.937007874015748E-3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50</v>
      </c>
      <c r="C16" s="37">
        <f>IF(B$14=0,0,B16/B$14)</f>
        <v>0.29411764705882354</v>
      </c>
      <c r="E16" s="63" t="s">
        <v>79</v>
      </c>
      <c r="F16" s="60" t="s">
        <v>34</v>
      </c>
      <c r="G16" s="47">
        <v>3</v>
      </c>
      <c r="H16" s="133">
        <f>IF(B$17=0,0,G16/B$17)</f>
        <v>1.1811023622047244E-2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>IF(P16=0,0,Q16/P16)</f>
        <v>12.41176470588235</v>
      </c>
      <c r="P16" s="119">
        <v>34</v>
      </c>
      <c r="Q16" s="107">
        <v>421.99999999999989</v>
      </c>
    </row>
    <row r="17" spans="1:17" x14ac:dyDescent="0.4">
      <c r="A17" s="54" t="s">
        <v>10</v>
      </c>
      <c r="B17" s="46">
        <f>B19+B18</f>
        <v>254</v>
      </c>
      <c r="C17" s="37">
        <f>IF(B$3=0,0,B17/B$3)</f>
        <v>0.27136752136752135</v>
      </c>
      <c r="E17" s="63" t="s">
        <v>80</v>
      </c>
      <c r="F17" s="60" t="s">
        <v>35</v>
      </c>
      <c r="G17" s="47">
        <v>5</v>
      </c>
      <c r="H17" s="133">
        <f>IF(B$17=0,0,G17/B$17)</f>
        <v>1.968503937007874E-2</v>
      </c>
      <c r="I17" s="94">
        <v>3</v>
      </c>
      <c r="K17" s="38">
        <v>15</v>
      </c>
      <c r="L17" s="99">
        <v>47.999999999999986</v>
      </c>
      <c r="N17" s="115" t="s">
        <v>171</v>
      </c>
      <c r="O17" s="125">
        <f>IF(P17=0,0,Q17/P17)</f>
        <v>1.6352941176470646</v>
      </c>
      <c r="P17" s="119">
        <v>34</v>
      </c>
      <c r="Q17" s="107">
        <v>55.600000000000193</v>
      </c>
    </row>
    <row r="18" spans="1:17" x14ac:dyDescent="0.4">
      <c r="A18" s="55" t="s">
        <v>12</v>
      </c>
      <c r="B18" s="47">
        <v>107</v>
      </c>
      <c r="C18" s="39">
        <f>IF(B$17=0,0,B18/B$17)</f>
        <v>0.42125984251968501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>IF(P18=0,0,Q18/P18)</f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147</v>
      </c>
      <c r="C19" s="39">
        <f>IF(B$17=0,0,B19/B$17)</f>
        <v>0.57874015748031493</v>
      </c>
      <c r="E19" s="63" t="s">
        <v>82</v>
      </c>
      <c r="F19" s="60" t="s">
        <v>37</v>
      </c>
      <c r="G19" s="47">
        <v>8</v>
      </c>
      <c r="H19" s="133">
        <f>IF(B$17=0,0,G19/B$17)</f>
        <v>3.1496062992125984E-2</v>
      </c>
      <c r="I19" s="94">
        <v>5</v>
      </c>
      <c r="K19" s="38">
        <v>17</v>
      </c>
      <c r="L19" s="99">
        <v>94.6</v>
      </c>
      <c r="N19" s="115" t="s">
        <v>173</v>
      </c>
      <c r="O19" s="125">
        <f>IF(P19=0,0,Q19/P19)</f>
        <v>-3.6750000000000007</v>
      </c>
      <c r="P19" s="119">
        <v>20</v>
      </c>
      <c r="Q19" s="107">
        <v>-73.500000000000014</v>
      </c>
    </row>
    <row r="20" spans="1:17" x14ac:dyDescent="0.4">
      <c r="A20" s="55" t="s">
        <v>13</v>
      </c>
      <c r="B20" s="47">
        <v>160</v>
      </c>
      <c r="C20" s="39">
        <f>IF(B$3=0,0,B20/B$3)</f>
        <v>0.17094017094017094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3.937007874015748E-2</v>
      </c>
      <c r="I21" s="94">
        <v>8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1</v>
      </c>
      <c r="H22" s="133">
        <f>IF(B$17=0,0,G22/B$17)</f>
        <v>3.937007874015748E-3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>IF(P22=0,0,Q22/P22)</f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9246.8503937007881</v>
      </c>
      <c r="C23" s="41">
        <v>2348700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87</v>
      </c>
      <c r="F24" s="60" t="s">
        <v>42</v>
      </c>
      <c r="G24" s="47">
        <v>14</v>
      </c>
      <c r="H24" s="133">
        <f>IF(B$17=0,0,G24/B$17)</f>
        <v>5.5118110236220472E-2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3.937007874015748E-3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5.341880341880342E-3</v>
      </c>
      <c r="E27" s="63" t="s">
        <v>90</v>
      </c>
      <c r="F27" s="60" t="s">
        <v>45</v>
      </c>
      <c r="G27" s="47">
        <v>25</v>
      </c>
      <c r="H27" s="133">
        <f>IF(B$17=0,0,G27/B$17)</f>
        <v>9.8425196850393706E-2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2.3622047244094488E-2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3.937007874015748E-3</v>
      </c>
      <c r="I30" s="94">
        <v>2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3.937007874015748E-3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3.937007874015748E-3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1.5748031496062992E-2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111</v>
      </c>
      <c r="H51" s="134">
        <f>IF(B$17=0,0,G51/B$17)</f>
        <v>0.43700787401574803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</sheetData>
  <sortState ref="E2:I11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CF17C-0C78-4943-9C33-E4604D2D939F}">
  <sheetPr codeName="Sheet11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</v>
      </c>
      <c r="C2" s="147"/>
      <c r="E2" s="62" t="s">
        <v>65</v>
      </c>
      <c r="F2" s="59" t="s">
        <v>21</v>
      </c>
      <c r="G2" s="46">
        <v>63</v>
      </c>
      <c r="H2" s="132">
        <f>IF(B$17=0,0,G2/B$17)</f>
        <v>0.56756756756756754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-2276.2711864406779</v>
      </c>
      <c r="P2" s="118">
        <v>59</v>
      </c>
      <c r="Q2" s="102">
        <v>-134300</v>
      </c>
    </row>
    <row r="3" spans="1:17" x14ac:dyDescent="0.4">
      <c r="A3" s="55" t="s">
        <v>8</v>
      </c>
      <c r="B3" s="148">
        <v>493</v>
      </c>
      <c r="C3" s="149"/>
      <c r="E3" s="63" t="s">
        <v>66</v>
      </c>
      <c r="F3" s="60" t="s">
        <v>22</v>
      </c>
      <c r="G3" s="47">
        <v>7</v>
      </c>
      <c r="H3" s="133">
        <f>IF(B$17=0,0,G3/B$17)</f>
        <v>6.3063063063063057E-2</v>
      </c>
      <c r="I3" s="94">
        <v>8</v>
      </c>
      <c r="K3" s="38">
        <v>1</v>
      </c>
      <c r="L3" s="99">
        <v>-40.4</v>
      </c>
      <c r="N3" s="115" t="s">
        <v>133</v>
      </c>
      <c r="O3" s="122">
        <f t="shared" si="0"/>
        <v>-1159.6491228070176</v>
      </c>
      <c r="P3" s="119">
        <v>57</v>
      </c>
      <c r="Q3" s="103">
        <v>-66100</v>
      </c>
    </row>
    <row r="4" spans="1:17" x14ac:dyDescent="0.4">
      <c r="A4" s="55" t="s">
        <v>6</v>
      </c>
      <c r="B4" s="150">
        <v>-881.79999999999973</v>
      </c>
      <c r="C4" s="151"/>
      <c r="E4" s="63" t="s">
        <v>67</v>
      </c>
      <c r="F4" s="60" t="s">
        <v>23</v>
      </c>
      <c r="G4" s="47">
        <v>109</v>
      </c>
      <c r="H4" s="133">
        <f>IF(B$17=0,0,G4/B$17)</f>
        <v>0.98198198198198194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-1300</v>
      </c>
      <c r="P4" s="119">
        <v>53</v>
      </c>
      <c r="Q4" s="103">
        <v>-68900</v>
      </c>
    </row>
    <row r="5" spans="1:17" x14ac:dyDescent="0.4">
      <c r="A5" s="55" t="s">
        <v>7</v>
      </c>
      <c r="B5" s="152">
        <f>IF(B$2=0,0,B$4/B$2)</f>
        <v>-14.945762711864402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0.36936936936936937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-5200</v>
      </c>
      <c r="P5" s="119">
        <v>46</v>
      </c>
      <c r="Q5" s="103">
        <v>-239200</v>
      </c>
    </row>
    <row r="6" spans="1:17" x14ac:dyDescent="0.4">
      <c r="A6" s="55" t="s">
        <v>1</v>
      </c>
      <c r="B6" s="142">
        <f>IF(B$2=0,0,(B$7*1+B$8*2+B$9*3)/B$2)</f>
        <v>2.2542372881355934</v>
      </c>
      <c r="C6" s="143"/>
      <c r="E6" s="63" t="s">
        <v>69</v>
      </c>
      <c r="F6" s="60" t="s">
        <v>12</v>
      </c>
      <c r="G6" s="47">
        <v>49</v>
      </c>
      <c r="H6" s="133">
        <f>IF(B$17=0,0,G6/B$17)</f>
        <v>0.44144144144144143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304.8780487804878</v>
      </c>
      <c r="P6" s="119">
        <v>41</v>
      </c>
      <c r="Q6" s="103">
        <v>12500</v>
      </c>
    </row>
    <row r="7" spans="1:17" x14ac:dyDescent="0.4">
      <c r="A7" s="55" t="s">
        <v>2</v>
      </c>
      <c r="B7" s="47">
        <v>14</v>
      </c>
      <c r="C7" s="39">
        <f>IF(B$2=0,0,B7/B$2)</f>
        <v>0.23728813559322035</v>
      </c>
      <c r="E7" s="63" t="s">
        <v>70</v>
      </c>
      <c r="F7" s="60" t="s">
        <v>25</v>
      </c>
      <c r="G7" s="47">
        <v>26</v>
      </c>
      <c r="H7" s="133">
        <f>IF(B$17=0,0,G7/B$17)</f>
        <v>0.23423423423423423</v>
      </c>
      <c r="I7" s="94">
        <v>2</v>
      </c>
      <c r="K7" s="38">
        <v>5</v>
      </c>
      <c r="L7" s="99">
        <v>-32.199999999999996</v>
      </c>
      <c r="N7" s="116" t="s">
        <v>137</v>
      </c>
      <c r="O7" s="123">
        <f t="shared" si="0"/>
        <v>-2076.3157894736842</v>
      </c>
      <c r="P7" s="120">
        <v>38</v>
      </c>
      <c r="Q7" s="104">
        <v>-78900</v>
      </c>
    </row>
    <row r="8" spans="1:17" x14ac:dyDescent="0.4">
      <c r="A8" s="55" t="s">
        <v>3</v>
      </c>
      <c r="B8" s="47">
        <v>16</v>
      </c>
      <c r="C8" s="39">
        <f>IF(B$2=0,0,B8/B$2)</f>
        <v>0.2711864406779661</v>
      </c>
      <c r="E8" s="63" t="s">
        <v>71</v>
      </c>
      <c r="F8" s="60" t="s">
        <v>26</v>
      </c>
      <c r="G8" s="47">
        <v>16</v>
      </c>
      <c r="H8" s="133">
        <f>IF(B$17=0,0,G8/B$17)</f>
        <v>0.14414414414414414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0.49152542372881358</v>
      </c>
      <c r="E9" s="63" t="s">
        <v>72</v>
      </c>
      <c r="F9" s="60" t="s">
        <v>27</v>
      </c>
      <c r="G9" s="47">
        <v>12</v>
      </c>
      <c r="H9" s="133">
        <f>IF(B$17=0,0,G9/B$17)</f>
        <v>0.10810810810810811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0.1864406779661017</v>
      </c>
      <c r="E10" s="63" t="s">
        <v>73</v>
      </c>
      <c r="F10" s="60" t="s">
        <v>28</v>
      </c>
      <c r="G10" s="47">
        <v>37</v>
      </c>
      <c r="H10" s="133">
        <f>IF(B$17=0,0,G10/B$17)</f>
        <v>0.33333333333333331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0.11864406779661017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-9.7320000000000046</v>
      </c>
      <c r="P11" s="119">
        <v>25</v>
      </c>
      <c r="Q11" s="107">
        <v>-243.30000000000013</v>
      </c>
    </row>
    <row r="12" spans="1:17" x14ac:dyDescent="0.4">
      <c r="A12" s="57" t="s">
        <v>160</v>
      </c>
      <c r="B12" s="49">
        <v>5</v>
      </c>
      <c r="C12" s="42">
        <f>IF(B$2=0,0,B12/B$2)</f>
        <v>8.4745762711864403E-2</v>
      </c>
      <c r="E12" s="63" t="s">
        <v>75</v>
      </c>
      <c r="F12" s="60" t="s">
        <v>30</v>
      </c>
      <c r="G12" s="47">
        <v>1</v>
      </c>
      <c r="H12" s="133">
        <f>IF(B$17=0,0,G12/B$17)</f>
        <v>9.0090090090090089E-3</v>
      </c>
      <c r="I12" s="94">
        <v>2</v>
      </c>
      <c r="K12" s="38">
        <v>10</v>
      </c>
      <c r="L12" s="99">
        <v>-231.39999999999998</v>
      </c>
      <c r="N12" s="116" t="s">
        <v>166</v>
      </c>
      <c r="O12" s="126">
        <f>IF(P12=0,0,Q12/P12)</f>
        <v>-21.65</v>
      </c>
      <c r="P12" s="120">
        <v>16</v>
      </c>
      <c r="Q12" s="108">
        <v>-346.4</v>
      </c>
    </row>
    <row r="13" spans="1:17" x14ac:dyDescent="0.4">
      <c r="A13" s="58" t="s">
        <v>122</v>
      </c>
      <c r="B13" s="50">
        <v>128</v>
      </c>
      <c r="C13" s="44">
        <f>IF(B$3=0,0,B13/B$3)</f>
        <v>0.25963488843813387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77</v>
      </c>
      <c r="C14" s="39">
        <f>IF(B$3=0,0,B14/B$3)</f>
        <v>0.15618661257606492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65</v>
      </c>
      <c r="C15" s="37">
        <f>IF(B$13=0,0,B15/B$13)</f>
        <v>0.5078125</v>
      </c>
      <c r="E15" s="63" t="s">
        <v>78</v>
      </c>
      <c r="F15" s="60" t="s">
        <v>33</v>
      </c>
      <c r="G15" s="47">
        <v>1</v>
      </c>
      <c r="H15" s="133">
        <f>IF(B$17=0,0,G15/B$17)</f>
        <v>9.0090090090090089E-3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19</v>
      </c>
      <c r="C16" s="37">
        <f>IF(B$14=0,0,B16/B$14)</f>
        <v>0.24675324675324675</v>
      </c>
      <c r="E16" s="63" t="s">
        <v>79</v>
      </c>
      <c r="F16" s="60" t="s">
        <v>34</v>
      </c>
      <c r="G16" s="47">
        <v>4</v>
      </c>
      <c r="H16" s="133">
        <f>IF(B$17=0,0,G16/B$17)</f>
        <v>3.6036036036036036E-2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>IF(P16=0,0,Q16/P16)</f>
        <v>21.775000000000002</v>
      </c>
      <c r="P16" s="119">
        <v>8</v>
      </c>
      <c r="Q16" s="107">
        <v>174.20000000000002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0.22515212981744423</v>
      </c>
      <c r="E17" s="63" t="s">
        <v>80</v>
      </c>
      <c r="F17" s="60" t="s">
        <v>35</v>
      </c>
      <c r="G17" s="47">
        <v>1</v>
      </c>
      <c r="H17" s="133">
        <f>IF(B$17=0,0,G17/B$17)</f>
        <v>9.0090090090090089E-3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-12.411764705882348</v>
      </c>
      <c r="P17" s="119">
        <v>34</v>
      </c>
      <c r="Q17" s="107">
        <v>-421.99999999999983</v>
      </c>
    </row>
    <row r="18" spans="1:17" x14ac:dyDescent="0.4">
      <c r="A18" s="55" t="s">
        <v>12</v>
      </c>
      <c r="B18" s="47">
        <v>55</v>
      </c>
      <c r="C18" s="39">
        <f>IF(B$17=0,0,B18/B$17)</f>
        <v>0.49549549549549549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-24.60588235294118</v>
      </c>
      <c r="P18" s="119">
        <v>17</v>
      </c>
      <c r="Q18" s="107">
        <v>-418.30000000000007</v>
      </c>
    </row>
    <row r="19" spans="1:17" x14ac:dyDescent="0.4">
      <c r="A19" s="55" t="s">
        <v>11</v>
      </c>
      <c r="B19" s="47">
        <v>56</v>
      </c>
      <c r="C19" s="39">
        <f>IF(B$17=0,0,B19/B$17)</f>
        <v>0.50450450450450446</v>
      </c>
      <c r="E19" s="63" t="s">
        <v>82</v>
      </c>
      <c r="F19" s="60" t="s">
        <v>37</v>
      </c>
      <c r="G19" s="47">
        <v>1</v>
      </c>
      <c r="H19" s="133">
        <f>IF(B$17=0,0,G19/B$17)</f>
        <v>9.0090090090090089E-3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93</v>
      </c>
      <c r="C20" s="39">
        <f>IF(B$3=0,0,B20/B$3)</f>
        <v>0.18864097363083165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-32.760000000000012</v>
      </c>
      <c r="P20" s="119">
        <v>35</v>
      </c>
      <c r="Q20" s="107">
        <v>-1146.6000000000004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3.6036036036036036E-2</v>
      </c>
      <c r="I21" s="94">
        <v>9</v>
      </c>
      <c r="K21" s="38">
        <v>19</v>
      </c>
      <c r="L21" s="99">
        <v>-569.49999999999989</v>
      </c>
      <c r="N21" s="115" t="s">
        <v>172</v>
      </c>
      <c r="O21" s="125">
        <f>IF(P21=0,0,Q21/P21)</f>
        <v>-42.630769230769218</v>
      </c>
      <c r="P21" s="119">
        <v>13</v>
      </c>
      <c r="Q21" s="107">
        <v>-554.19999999999982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-632.99999999999989</v>
      </c>
      <c r="N22" s="115" t="s">
        <v>186</v>
      </c>
      <c r="O22" s="125">
        <f>IF(P22=0,0,Q22/P22)</f>
        <v>-49.033333333333331</v>
      </c>
      <c r="P22" s="119">
        <v>3</v>
      </c>
      <c r="Q22" s="107">
        <v>-147.1</v>
      </c>
    </row>
    <row r="23" spans="1:17" x14ac:dyDescent="0.4">
      <c r="A23" s="55" t="s">
        <v>5</v>
      </c>
      <c r="B23" s="51">
        <f>IF(B$17=0,0,C23/B$17)</f>
        <v>9145.0450450450444</v>
      </c>
      <c r="C23" s="41">
        <v>1015100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-9121.5053763440865</v>
      </c>
      <c r="C24" s="45">
        <v>-848300</v>
      </c>
      <c r="E24" s="63" t="s">
        <v>87</v>
      </c>
      <c r="F24" s="60" t="s">
        <v>42</v>
      </c>
      <c r="G24" s="47">
        <v>10</v>
      </c>
      <c r="H24" s="133">
        <f>IF(B$17=0,0,G24/B$17)</f>
        <v>9.0090090090090086E-2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9.0090090090090089E-3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9.0090090090090089E-3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2.0283975659229209E-3</v>
      </c>
      <c r="E27" s="63" t="s">
        <v>90</v>
      </c>
      <c r="F27" s="60" t="s">
        <v>45</v>
      </c>
      <c r="G27" s="47">
        <v>10</v>
      </c>
      <c r="H27" s="133">
        <f>IF(B$17=0,0,G27/B$17)</f>
        <v>9.0090090090090086E-2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9.0090090090090089E-3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9.0090090090090089E-3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43</v>
      </c>
      <c r="H51" s="134">
        <f>IF(B$17=0,0,G51/B$17)</f>
        <v>0.38738738738738737</v>
      </c>
      <c r="I51" s="95">
        <v>7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-888.99999999999977</v>
      </c>
    </row>
    <row r="61" spans="5:12" x14ac:dyDescent="0.4">
      <c r="K61" s="38">
        <v>59</v>
      </c>
      <c r="L61" s="99">
        <v>-881.79999999999973</v>
      </c>
    </row>
  </sheetData>
  <sortState ref="E2:I6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2C65B-7958-4FA7-B2D6-22842B02EB71}">
  <sheetPr codeName="Sheet13"/>
  <dimension ref="A1:Q71"/>
  <sheetViews>
    <sheetView showGridLines="0" tabSelected="1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65</v>
      </c>
      <c r="F2" s="59" t="s">
        <v>21</v>
      </c>
      <c r="G2" s="46">
        <v>94</v>
      </c>
      <c r="H2" s="132">
        <f>IF(B$17=0,0,G2/B$17)</f>
        <v>0.55621301775147924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-895.6521739130435</v>
      </c>
      <c r="P2" s="118">
        <v>69</v>
      </c>
      <c r="Q2" s="102">
        <v>-61800</v>
      </c>
    </row>
    <row r="3" spans="1:17" x14ac:dyDescent="0.4">
      <c r="A3" s="55" t="s">
        <v>8</v>
      </c>
      <c r="B3" s="148">
        <v>596</v>
      </c>
      <c r="C3" s="149"/>
      <c r="E3" s="63" t="s">
        <v>66</v>
      </c>
      <c r="F3" s="60" t="s">
        <v>22</v>
      </c>
      <c r="G3" s="47">
        <v>23</v>
      </c>
      <c r="H3" s="133">
        <f>IF(B$17=0,0,G3/B$17)</f>
        <v>0.13609467455621302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1207.3529411764705</v>
      </c>
      <c r="P3" s="119">
        <v>68</v>
      </c>
      <c r="Q3" s="103">
        <v>82100</v>
      </c>
    </row>
    <row r="4" spans="1:17" x14ac:dyDescent="0.4">
      <c r="A4" s="55" t="s">
        <v>6</v>
      </c>
      <c r="B4" s="150">
        <v>265.7</v>
      </c>
      <c r="C4" s="151"/>
      <c r="E4" s="63" t="s">
        <v>67</v>
      </c>
      <c r="F4" s="60" t="s">
        <v>23</v>
      </c>
      <c r="G4" s="47">
        <v>138</v>
      </c>
      <c r="H4" s="133">
        <f>IF(B$17=0,0,G4/B$17)</f>
        <v>0.81656804733727806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2575.3846153846152</v>
      </c>
      <c r="P4" s="119">
        <v>65</v>
      </c>
      <c r="Q4" s="103">
        <v>167400</v>
      </c>
    </row>
    <row r="5" spans="1:17" x14ac:dyDescent="0.4">
      <c r="A5" s="55" t="s">
        <v>7</v>
      </c>
      <c r="B5" s="152">
        <f>IF(B$2=0,0,B$4/B$2)</f>
        <v>3.8507246376811595</v>
      </c>
      <c r="C5" s="153"/>
      <c r="E5" s="63" t="s">
        <v>68</v>
      </c>
      <c r="F5" s="60" t="s">
        <v>24</v>
      </c>
      <c r="G5" s="47">
        <v>56</v>
      </c>
      <c r="H5" s="133">
        <f>IF(B$17=0,0,G5/B$17)</f>
        <v>0.33136094674556216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2278.181818181818</v>
      </c>
      <c r="P5" s="119">
        <v>55</v>
      </c>
      <c r="Q5" s="103">
        <v>125300</v>
      </c>
    </row>
    <row r="6" spans="1:17" x14ac:dyDescent="0.4">
      <c r="A6" s="55" t="s">
        <v>1</v>
      </c>
      <c r="B6" s="142">
        <f>IF(B$2=0,0,(B$7*1+B$8*2+B$9*3)/B$2)</f>
        <v>2.0144927536231885</v>
      </c>
      <c r="C6" s="143"/>
      <c r="E6" s="63" t="s">
        <v>69</v>
      </c>
      <c r="F6" s="60" t="s">
        <v>12</v>
      </c>
      <c r="G6" s="47">
        <v>53</v>
      </c>
      <c r="H6" s="133">
        <f>IF(B$17=0,0,G6/B$17)</f>
        <v>0.31360946745562129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-1188</v>
      </c>
      <c r="P6" s="119">
        <v>50</v>
      </c>
      <c r="Q6" s="103">
        <v>-59400</v>
      </c>
    </row>
    <row r="7" spans="1:17" x14ac:dyDescent="0.4">
      <c r="A7" s="55" t="s">
        <v>2</v>
      </c>
      <c r="B7" s="47">
        <v>22</v>
      </c>
      <c r="C7" s="39">
        <f>IF(B$2=0,0,B7/B$2)</f>
        <v>0.3188405797101449</v>
      </c>
      <c r="E7" s="63" t="s">
        <v>70</v>
      </c>
      <c r="F7" s="60" t="s">
        <v>25</v>
      </c>
      <c r="G7" s="47">
        <v>35</v>
      </c>
      <c r="H7" s="133">
        <f>IF(B$17=0,0,G7/B$17)</f>
        <v>0.20710059171597633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891.11111111111109</v>
      </c>
      <c r="P7" s="120">
        <v>45</v>
      </c>
      <c r="Q7" s="104">
        <v>40100</v>
      </c>
    </row>
    <row r="8" spans="1:17" x14ac:dyDescent="0.4">
      <c r="A8" s="55" t="s">
        <v>3</v>
      </c>
      <c r="B8" s="47">
        <v>24</v>
      </c>
      <c r="C8" s="39">
        <f>IF(B$2=0,0,B8/B$2)</f>
        <v>0.34782608695652173</v>
      </c>
      <c r="E8" s="63" t="s">
        <v>71</v>
      </c>
      <c r="F8" s="60" t="s">
        <v>26</v>
      </c>
      <c r="G8" s="47">
        <v>20</v>
      </c>
      <c r="H8" s="133">
        <f>IF(B$17=0,0,G8/B$17)</f>
        <v>0.11834319526627218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11</v>
      </c>
      <c r="H9" s="133">
        <f>IF(B$17=0,0,G9/B$17)</f>
        <v>6.5088757396449703E-2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73</v>
      </c>
      <c r="F10" s="60" t="s">
        <v>28</v>
      </c>
      <c r="G10" s="47">
        <v>87</v>
      </c>
      <c r="H10" s="133">
        <f>IF(B$17=0,0,G10/B$17)</f>
        <v>0.51479289940828399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14.975</v>
      </c>
      <c r="P10" s="118">
        <v>16</v>
      </c>
      <c r="Q10" s="106">
        <v>239.6</v>
      </c>
    </row>
    <row r="11" spans="1:17" x14ac:dyDescent="0.4">
      <c r="A11" s="56" t="s">
        <v>140</v>
      </c>
      <c r="B11" s="48">
        <v>10</v>
      </c>
      <c r="C11" s="40">
        <f>IF(B$2=0,0,B11/B$2)</f>
        <v>0.14492753623188406</v>
      </c>
      <c r="E11" s="63" t="s">
        <v>74</v>
      </c>
      <c r="F11" s="60" t="s">
        <v>29</v>
      </c>
      <c r="G11" s="47">
        <v>2</v>
      </c>
      <c r="H11" s="133">
        <f>IF(B$17=0,0,G11/B$17)</f>
        <v>1.1834319526627219E-2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6.1807692307692301</v>
      </c>
      <c r="P12" s="120">
        <v>26</v>
      </c>
      <c r="Q12" s="108">
        <v>160.69999999999999</v>
      </c>
    </row>
    <row r="13" spans="1:17" x14ac:dyDescent="0.4">
      <c r="A13" s="58" t="s">
        <v>122</v>
      </c>
      <c r="B13" s="50">
        <v>171</v>
      </c>
      <c r="C13" s="44">
        <f>IF(B$3=0,0,B13/B$3)</f>
        <v>0.28691275167785235</v>
      </c>
      <c r="E13" s="63" t="s">
        <v>76</v>
      </c>
      <c r="F13" s="60" t="s">
        <v>31</v>
      </c>
      <c r="G13" s="47">
        <v>4</v>
      </c>
      <c r="H13" s="133">
        <f>IF(B$17=0,0,G13/B$17)</f>
        <v>2.3668639053254437E-2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113</v>
      </c>
      <c r="C14" s="39">
        <f>IF(B$3=0,0,B14/B$3)</f>
        <v>0.18959731543624161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99</v>
      </c>
      <c r="C15" s="37">
        <f>IF(B$13=0,0,B15/B$13)</f>
        <v>0.57894736842105265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46</v>
      </c>
      <c r="C16" s="37">
        <f>IF(B$14=0,0,B16/B$14)</f>
        <v>0.40707964601769914</v>
      </c>
      <c r="E16" s="63" t="s">
        <v>79</v>
      </c>
      <c r="F16" s="60" t="s">
        <v>34</v>
      </c>
      <c r="G16" s="47">
        <v>7</v>
      </c>
      <c r="H16" s="133">
        <f>IF(B$17=0,0,G16/B$17)</f>
        <v>4.142011834319527E-2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>IF(P16=0,0,Q16/P16)</f>
        <v>24.605882352941176</v>
      </c>
      <c r="P16" s="119">
        <v>17</v>
      </c>
      <c r="Q16" s="107">
        <v>418.3</v>
      </c>
    </row>
    <row r="17" spans="1:17" x14ac:dyDescent="0.4">
      <c r="A17" s="54" t="s">
        <v>10</v>
      </c>
      <c r="B17" s="46">
        <f>B19+B18</f>
        <v>169</v>
      </c>
      <c r="C17" s="37">
        <f>IF(B$3=0,0,B17/B$3)</f>
        <v>0.28355704697986578</v>
      </c>
      <c r="E17" s="63" t="s">
        <v>80</v>
      </c>
      <c r="F17" s="60" t="s">
        <v>35</v>
      </c>
      <c r="G17" s="47">
        <v>3</v>
      </c>
      <c r="H17" s="133">
        <f>IF(B$17=0,0,G17/B$17)</f>
        <v>1.7751479289940829E-2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75</v>
      </c>
      <c r="C18" s="39">
        <f>IF(B$17=0,0,B18/B$17)</f>
        <v>0.4437869822485207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5.6799999999999988</v>
      </c>
      <c r="P18" s="119">
        <v>15</v>
      </c>
      <c r="Q18" s="107">
        <v>85.199999999999989</v>
      </c>
    </row>
    <row r="19" spans="1:17" x14ac:dyDescent="0.4">
      <c r="A19" s="55" t="s">
        <v>11</v>
      </c>
      <c r="B19" s="47">
        <v>94</v>
      </c>
      <c r="C19" s="39">
        <f>IF(B$17=0,0,B19/B$17)</f>
        <v>0.55621301775147924</v>
      </c>
      <c r="E19" s="63" t="s">
        <v>82</v>
      </c>
      <c r="F19" s="60" t="s">
        <v>37</v>
      </c>
      <c r="G19" s="47">
        <v>7</v>
      </c>
      <c r="H19" s="133">
        <f>IF(B$17=0,0,G19/B$17)</f>
        <v>4.142011834319527E-2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>IF(P19=0,0,Q19/P19)</f>
        <v>4.2048780487804924</v>
      </c>
      <c r="P19" s="119">
        <v>41</v>
      </c>
      <c r="Q19" s="107">
        <v>172.4000000000002</v>
      </c>
    </row>
    <row r="20" spans="1:17" x14ac:dyDescent="0.4">
      <c r="A20" s="55" t="s">
        <v>13</v>
      </c>
      <c r="B20" s="47">
        <v>98</v>
      </c>
      <c r="C20" s="39">
        <f>IF(B$3=0,0,B20/B$3)</f>
        <v>0.16442953020134229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177</v>
      </c>
      <c r="O20" s="125">
        <f>IF(P20=0,0,Q20/P20)</f>
        <v>0.23333333333333506</v>
      </c>
      <c r="P20" s="119">
        <v>9</v>
      </c>
      <c r="Q20" s="107">
        <v>2.1000000000000156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84</v>
      </c>
      <c r="F21" s="60" t="s">
        <v>39</v>
      </c>
      <c r="G21" s="47">
        <v>7</v>
      </c>
      <c r="H21" s="133">
        <f>IF(B$17=0,0,G21/B$17)</f>
        <v>4.142011834319527E-2</v>
      </c>
      <c r="I21" s="94">
        <v>7</v>
      </c>
      <c r="K21" s="38">
        <v>19</v>
      </c>
      <c r="L21" s="99">
        <v>0.60000000000000853</v>
      </c>
      <c r="N21" s="115" t="s">
        <v>128</v>
      </c>
      <c r="O21" s="125">
        <f>IF(P21=0,0,Q21/P21)</f>
        <v>-1.6352941176470643</v>
      </c>
      <c r="P21" s="119">
        <v>34</v>
      </c>
      <c r="Q21" s="107">
        <v>-55.600000000000186</v>
      </c>
    </row>
    <row r="22" spans="1:17" x14ac:dyDescent="0.4">
      <c r="A22" s="55" t="s">
        <v>194</v>
      </c>
      <c r="B22" s="47">
        <v>20</v>
      </c>
      <c r="C22" s="135">
        <v>5</v>
      </c>
      <c r="E22" s="63" t="s">
        <v>85</v>
      </c>
      <c r="F22" s="60" t="s">
        <v>40</v>
      </c>
      <c r="G22" s="47">
        <v>3</v>
      </c>
      <c r="H22" s="133">
        <f>IF(B$17=0,0,G22/B$17)</f>
        <v>1.7751479289940829E-2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-8.9999999999999947</v>
      </c>
      <c r="P22" s="119">
        <v>3</v>
      </c>
      <c r="Q22" s="107">
        <v>-26.999999999999986</v>
      </c>
    </row>
    <row r="23" spans="1:17" x14ac:dyDescent="0.4">
      <c r="A23" s="55" t="s">
        <v>5</v>
      </c>
      <c r="B23" s="51">
        <f>IF(B$17=0,0,C23/B$17)</f>
        <v>9933.1360946745554</v>
      </c>
      <c r="C23" s="41">
        <v>1678700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-7603.0612244897957</v>
      </c>
      <c r="C24" s="45">
        <v>-745100</v>
      </c>
      <c r="E24" s="63" t="s">
        <v>87</v>
      </c>
      <c r="F24" s="60" t="s">
        <v>42</v>
      </c>
      <c r="G24" s="47">
        <v>13</v>
      </c>
      <c r="H24" s="133">
        <f>IF(B$17=0,0,G24/B$17)</f>
        <v>7.6923076923076927E-2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5.9171597633136093E-3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1.6778523489932886E-3</v>
      </c>
      <c r="E27" s="63" t="s">
        <v>90</v>
      </c>
      <c r="F27" s="60" t="s">
        <v>45</v>
      </c>
      <c r="G27" s="47">
        <v>27</v>
      </c>
      <c r="H27" s="133">
        <f>IF(B$17=0,0,G27/B$17)</f>
        <v>0.15976331360946747</v>
      </c>
      <c r="I27" s="94">
        <v>5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1.7751479289940829E-2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1.1834319526627219E-2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5.9171597633136093E-3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1.1834319526627219E-2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65</v>
      </c>
      <c r="H51" s="134">
        <f>IF(B$17=0,0,G51/B$17)</f>
        <v>0.38461538461538464</v>
      </c>
      <c r="I51" s="95">
        <v>8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171.7</v>
      </c>
    </row>
    <row r="69" spans="11:12" x14ac:dyDescent="0.4">
      <c r="K69" s="38">
        <v>67</v>
      </c>
      <c r="L69" s="99">
        <v>243.2</v>
      </c>
    </row>
    <row r="70" spans="11:12" x14ac:dyDescent="0.4">
      <c r="K70" s="38">
        <v>68</v>
      </c>
      <c r="L70" s="99">
        <v>197.7</v>
      </c>
    </row>
    <row r="71" spans="11:12" x14ac:dyDescent="0.4">
      <c r="K71" s="38">
        <v>69</v>
      </c>
      <c r="L71" s="99">
        <v>265.7</v>
      </c>
    </row>
  </sheetData>
  <sortState ref="E2:I7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06C9F-8004-49F2-B057-27CF0DC00E37}">
  <sheetPr codeName="Sheet15"/>
  <dimension ref="A1:Q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55</v>
      </c>
      <c r="C2" s="147"/>
      <c r="E2" s="62" t="s">
        <v>65</v>
      </c>
      <c r="F2" s="59" t="s">
        <v>21</v>
      </c>
      <c r="G2" s="46">
        <v>64</v>
      </c>
      <c r="H2" s="132">
        <f>IF(B$17=0,0,G2/B$17)</f>
        <v>0.34972677595628415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574.5454545454545</v>
      </c>
      <c r="P2" s="118">
        <v>55</v>
      </c>
      <c r="Q2" s="102">
        <v>31600</v>
      </c>
    </row>
    <row r="3" spans="1:17" x14ac:dyDescent="0.4">
      <c r="A3" s="55" t="s">
        <v>8</v>
      </c>
      <c r="B3" s="148">
        <v>490</v>
      </c>
      <c r="C3" s="149"/>
      <c r="E3" s="63" t="s">
        <v>66</v>
      </c>
      <c r="F3" s="60" t="s">
        <v>22</v>
      </c>
      <c r="G3" s="47">
        <v>21</v>
      </c>
      <c r="H3" s="133">
        <f>IF(B$17=0,0,G3/B$17)</f>
        <v>0.11475409836065574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509.09090909090907</v>
      </c>
      <c r="P3" s="119">
        <v>55</v>
      </c>
      <c r="Q3" s="103">
        <v>28000</v>
      </c>
    </row>
    <row r="4" spans="1:17" x14ac:dyDescent="0.4">
      <c r="A4" s="55" t="s">
        <v>6</v>
      </c>
      <c r="B4" s="150">
        <v>45.999999999999986</v>
      </c>
      <c r="C4" s="151"/>
      <c r="E4" s="63" t="s">
        <v>67</v>
      </c>
      <c r="F4" s="60" t="s">
        <v>23</v>
      </c>
      <c r="G4" s="47">
        <v>120</v>
      </c>
      <c r="H4" s="133">
        <f>IF(B$17=0,0,G4/B$17)</f>
        <v>0.65573770491803274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-1376</v>
      </c>
      <c r="P4" s="119">
        <v>50</v>
      </c>
      <c r="Q4" s="103">
        <v>-68800</v>
      </c>
    </row>
    <row r="5" spans="1:17" x14ac:dyDescent="0.4">
      <c r="A5" s="55" t="s">
        <v>7</v>
      </c>
      <c r="B5" s="152">
        <f>IF(B$2=0,0,B$4/B$2)</f>
        <v>0.83636363636363609</v>
      </c>
      <c r="C5" s="153"/>
      <c r="E5" s="63" t="s">
        <v>68</v>
      </c>
      <c r="F5" s="60" t="s">
        <v>24</v>
      </c>
      <c r="G5" s="47">
        <v>33</v>
      </c>
      <c r="H5" s="133">
        <f>IF(B$17=0,0,G5/B$17)</f>
        <v>0.18032786885245902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110.63829787234043</v>
      </c>
      <c r="P5" s="119">
        <v>47</v>
      </c>
      <c r="Q5" s="103">
        <v>5200</v>
      </c>
    </row>
    <row r="6" spans="1:17" x14ac:dyDescent="0.4">
      <c r="A6" s="55" t="s">
        <v>1</v>
      </c>
      <c r="B6" s="142">
        <f>IF(B$2=0,0,(B$7*1+B$8*2+B$9*3)/B$2)</f>
        <v>2.0363636363636362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0.27868852459016391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1021.7391304347826</v>
      </c>
      <c r="P6" s="119">
        <v>46</v>
      </c>
      <c r="Q6" s="103">
        <v>47000</v>
      </c>
    </row>
    <row r="7" spans="1:17" x14ac:dyDescent="0.4">
      <c r="A7" s="55" t="s">
        <v>2</v>
      </c>
      <c r="B7" s="47">
        <v>15</v>
      </c>
      <c r="C7" s="39">
        <f>IF(B$2=0,0,B7/B$2)</f>
        <v>0.27272727272727271</v>
      </c>
      <c r="E7" s="63" t="s">
        <v>70</v>
      </c>
      <c r="F7" s="60" t="s">
        <v>25</v>
      </c>
      <c r="G7" s="47">
        <v>26</v>
      </c>
      <c r="H7" s="133">
        <f>IF(B$17=0,0,G7/B$17)</f>
        <v>0.14207650273224043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-270.73170731707319</v>
      </c>
      <c r="P7" s="120">
        <v>41</v>
      </c>
      <c r="Q7" s="104">
        <v>-11100</v>
      </c>
    </row>
    <row r="8" spans="1:17" x14ac:dyDescent="0.4">
      <c r="A8" s="55" t="s">
        <v>3</v>
      </c>
      <c r="B8" s="47">
        <v>23</v>
      </c>
      <c r="C8" s="39">
        <f>IF(B$2=0,0,B8/B$2)</f>
        <v>0.41818181818181815</v>
      </c>
      <c r="E8" s="63" t="s">
        <v>71</v>
      </c>
      <c r="F8" s="60" t="s">
        <v>26</v>
      </c>
      <c r="G8" s="47">
        <v>10</v>
      </c>
      <c r="H8" s="133">
        <f>IF(B$17=0,0,G8/B$17)</f>
        <v>5.4644808743169397E-2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0.30909090909090908</v>
      </c>
      <c r="E9" s="63" t="s">
        <v>72</v>
      </c>
      <c r="F9" s="60" t="s">
        <v>27</v>
      </c>
      <c r="G9" s="47">
        <v>14</v>
      </c>
      <c r="H9" s="133">
        <f>IF(B$17=0,0,G9/B$17)</f>
        <v>7.650273224043716E-2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5.4545454545454543E-2</v>
      </c>
      <c r="E10" s="63" t="s">
        <v>73</v>
      </c>
      <c r="F10" s="60" t="s">
        <v>28</v>
      </c>
      <c r="G10" s="47">
        <v>104</v>
      </c>
      <c r="H10" s="133">
        <f>IF(B$17=0,0,G10/B$17)</f>
        <v>0.56830601092896171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-9.6411764705882366</v>
      </c>
      <c r="P10" s="118">
        <v>17</v>
      </c>
      <c r="Q10" s="106">
        <v>-163.90000000000003</v>
      </c>
    </row>
    <row r="11" spans="1:17" x14ac:dyDescent="0.4">
      <c r="A11" s="56" t="s">
        <v>140</v>
      </c>
      <c r="B11" s="48">
        <v>6</v>
      </c>
      <c r="C11" s="40">
        <f>IF(B$2=0,0,B11/B$2)</f>
        <v>0.10909090909090909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3.6363636363636362E-2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109</v>
      </c>
      <c r="C13" s="44">
        <f>IF(B$3=0,0,B13/B$3)</f>
        <v>0.22244897959183674</v>
      </c>
      <c r="E13" s="63" t="s">
        <v>76</v>
      </c>
      <c r="F13" s="60" t="s">
        <v>31</v>
      </c>
      <c r="G13" s="47">
        <v>2</v>
      </c>
      <c r="H13" s="133">
        <f>IF(B$17=0,0,G13/B$17)</f>
        <v>1.092896174863388E-2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143</v>
      </c>
      <c r="C14" s="39">
        <f>IF(B$3=0,0,B14/B$3)</f>
        <v>0.29183673469387755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64</v>
      </c>
      <c r="C15" s="37">
        <f>IF(B$13=0,0,B15/B$13)</f>
        <v>0.58715596330275233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42.630769230769211</v>
      </c>
      <c r="P15" s="118">
        <v>13</v>
      </c>
      <c r="Q15" s="106">
        <v>554.1999999999997</v>
      </c>
    </row>
    <row r="16" spans="1:17" x14ac:dyDescent="0.4">
      <c r="A16" s="54" t="s">
        <v>125</v>
      </c>
      <c r="B16" s="46">
        <v>63</v>
      </c>
      <c r="C16" s="37">
        <f>IF(B$14=0,0,B16/B$14)</f>
        <v>0.44055944055944057</v>
      </c>
      <c r="E16" s="63" t="s">
        <v>79</v>
      </c>
      <c r="F16" s="60" t="s">
        <v>34</v>
      </c>
      <c r="G16" s="47">
        <v>2</v>
      </c>
      <c r="H16" s="133">
        <f>IF(B$17=0,0,G16/B$17)</f>
        <v>1.092896174863388E-2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183</v>
      </c>
      <c r="C17" s="37">
        <f>IF(B$3=0,0,B17/B$3)</f>
        <v>0.37346938775510202</v>
      </c>
      <c r="E17" s="63" t="s">
        <v>80</v>
      </c>
      <c r="F17" s="60" t="s">
        <v>35</v>
      </c>
      <c r="G17" s="47">
        <v>2</v>
      </c>
      <c r="H17" s="133">
        <f>IF(B$17=0,0,G17/B$17)</f>
        <v>1.092896174863388E-2</v>
      </c>
      <c r="I17" s="94">
        <v>8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77</v>
      </c>
      <c r="C18" s="39">
        <f>IF(B$17=0,0,B18/B$17)</f>
        <v>0.42076502732240439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106</v>
      </c>
      <c r="C19" s="39">
        <f>IF(B$17=0,0,B19/B$17)</f>
        <v>0.57923497267759561</v>
      </c>
      <c r="E19" s="63" t="s">
        <v>82</v>
      </c>
      <c r="F19" s="60" t="s">
        <v>37</v>
      </c>
      <c r="G19" s="47">
        <v>5</v>
      </c>
      <c r="H19" s="133">
        <f>IF(B$17=0,0,G19/B$17)</f>
        <v>2.7322404371584699E-2</v>
      </c>
      <c r="I19" s="94">
        <v>8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65</v>
      </c>
      <c r="C20" s="39">
        <f>IF(B$3=0,0,B20/B$3)</f>
        <v>0.1326530612244898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2</v>
      </c>
      <c r="E21" s="63" t="s">
        <v>84</v>
      </c>
      <c r="F21" s="60" t="s">
        <v>39</v>
      </c>
      <c r="G21" s="47">
        <v>10</v>
      </c>
      <c r="H21" s="133">
        <f>IF(B$17=0,0,G21/B$17)</f>
        <v>5.4644808743169397E-2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-5.6800000000000015</v>
      </c>
      <c r="P22" s="119">
        <v>15</v>
      </c>
      <c r="Q22" s="107">
        <v>-85.200000000000017</v>
      </c>
    </row>
    <row r="23" spans="1:17" x14ac:dyDescent="0.4">
      <c r="A23" s="55" t="s">
        <v>5</v>
      </c>
      <c r="B23" s="51">
        <f>IF(B$17=0,0,C23/B$17)</f>
        <v>6479.7814207650272</v>
      </c>
      <c r="C23" s="41">
        <v>1185800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-9578.461538461539</v>
      </c>
      <c r="C24" s="45">
        <v>-622600</v>
      </c>
      <c r="E24" s="63" t="s">
        <v>87</v>
      </c>
      <c r="F24" s="60" t="s">
        <v>42</v>
      </c>
      <c r="G24" s="47">
        <v>8</v>
      </c>
      <c r="H24" s="133">
        <f>IF(B$17=0,0,G24/B$17)</f>
        <v>4.3715846994535519E-2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5.4644808743169399E-3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2.0408163265306124E-3</v>
      </c>
      <c r="E27" s="63" t="s">
        <v>90</v>
      </c>
      <c r="F27" s="60" t="s">
        <v>45</v>
      </c>
      <c r="G27" s="47">
        <v>13</v>
      </c>
      <c r="H27" s="133">
        <f>IF(B$17=0,0,G27/B$17)</f>
        <v>7.1038251366120214E-2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1.092896174863388E-2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76</v>
      </c>
      <c r="H51" s="134">
        <f>IF(B$17=0,0,G51/B$17)</f>
        <v>0.41530054644808745</v>
      </c>
      <c r="I51" s="95">
        <v>4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45.999999999999986</v>
      </c>
    </row>
  </sheetData>
  <sortState ref="E2:I5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E067E-2E29-49F9-911A-FC3CC48430B7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5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8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6</v>
      </c>
      <c r="K16" s="38">
        <v>14</v>
      </c>
      <c r="L16" s="99">
        <v>-269.99999999999994</v>
      </c>
      <c r="N16" s="115" t="s">
        <v>128</v>
      </c>
      <c r="O16" s="125">
        <f t="shared" si="2"/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9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3C3F-D421-4B78-AAA9-FDB417D798F5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</v>
      </c>
      <c r="C2" s="147"/>
      <c r="E2" s="62" t="s">
        <v>65</v>
      </c>
      <c r="F2" s="59" t="s">
        <v>21</v>
      </c>
      <c r="G2" s="46">
        <v>45</v>
      </c>
      <c r="H2" s="132">
        <f>IF(B$17=0,0,G2/B$17)</f>
        <v>0.51724137931034486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566.66666666666663</v>
      </c>
      <c r="P2" s="118">
        <v>36</v>
      </c>
      <c r="Q2" s="102">
        <v>20400</v>
      </c>
    </row>
    <row r="3" spans="1:17" x14ac:dyDescent="0.4">
      <c r="A3" s="55" t="s">
        <v>8</v>
      </c>
      <c r="B3" s="148">
        <v>301</v>
      </c>
      <c r="C3" s="149"/>
      <c r="E3" s="63" t="s">
        <v>66</v>
      </c>
      <c r="F3" s="60" t="s">
        <v>22</v>
      </c>
      <c r="G3" s="47">
        <v>7</v>
      </c>
      <c r="H3" s="133">
        <f>IF(B$17=0,0,G3/B$17)</f>
        <v>8.0459770114942528E-2</v>
      </c>
      <c r="I3" s="94">
        <v>6</v>
      </c>
      <c r="K3" s="38">
        <v>1</v>
      </c>
      <c r="L3" s="99">
        <v>-1.9</v>
      </c>
      <c r="N3" s="115" t="s">
        <v>133</v>
      </c>
      <c r="O3" s="122">
        <f t="shared" si="0"/>
        <v>-500</v>
      </c>
      <c r="P3" s="119">
        <v>34</v>
      </c>
      <c r="Q3" s="103">
        <v>-17000</v>
      </c>
    </row>
    <row r="4" spans="1:17" x14ac:dyDescent="0.4">
      <c r="A4" s="55" t="s">
        <v>6</v>
      </c>
      <c r="B4" s="150">
        <v>-99</v>
      </c>
      <c r="C4" s="151"/>
      <c r="E4" s="63" t="s">
        <v>67</v>
      </c>
      <c r="F4" s="60" t="s">
        <v>23</v>
      </c>
      <c r="G4" s="47">
        <v>44</v>
      </c>
      <c r="H4" s="133">
        <f>IF(B$17=0,0,G4/B$17)</f>
        <v>0.50574712643678166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-2584.375</v>
      </c>
      <c r="P4" s="119">
        <v>32</v>
      </c>
      <c r="Q4" s="103">
        <v>-82700</v>
      </c>
    </row>
    <row r="5" spans="1:17" x14ac:dyDescent="0.4">
      <c r="A5" s="55" t="s">
        <v>7</v>
      </c>
      <c r="B5" s="152">
        <f>IF(B$2=0,0,B$4/B$2)</f>
        <v>-2.75</v>
      </c>
      <c r="C5" s="153"/>
      <c r="E5" s="63" t="s">
        <v>68</v>
      </c>
      <c r="F5" s="60" t="s">
        <v>24</v>
      </c>
      <c r="G5" s="47">
        <v>24</v>
      </c>
      <c r="H5" s="133">
        <f>IF(B$17=0,0,G5/B$17)</f>
        <v>0.27586206896551724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2258.0645161290322</v>
      </c>
      <c r="P5" s="119">
        <v>31</v>
      </c>
      <c r="Q5" s="103">
        <v>70000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20</v>
      </c>
      <c r="H6" s="133">
        <f>IF(B$17=0,0,G6/B$17)</f>
        <v>0.22988505747126436</v>
      </c>
      <c r="I6" s="94">
        <v>12</v>
      </c>
      <c r="K6" s="38">
        <v>4</v>
      </c>
      <c r="L6" s="99">
        <v>40</v>
      </c>
      <c r="N6" s="115" t="s">
        <v>136</v>
      </c>
      <c r="O6" s="122">
        <f t="shared" si="0"/>
        <v>-1560.7142857142858</v>
      </c>
      <c r="P6" s="119">
        <v>28</v>
      </c>
      <c r="Q6" s="103">
        <v>-43700</v>
      </c>
    </row>
    <row r="7" spans="1:17" x14ac:dyDescent="0.4">
      <c r="A7" s="55" t="s">
        <v>2</v>
      </c>
      <c r="B7" s="47">
        <v>13</v>
      </c>
      <c r="C7" s="39">
        <f>IF(B$2=0,0,B7/B$2)</f>
        <v>0.3611111111111111</v>
      </c>
      <c r="E7" s="63" t="s">
        <v>70</v>
      </c>
      <c r="F7" s="60" t="s">
        <v>25</v>
      </c>
      <c r="G7" s="47">
        <v>10</v>
      </c>
      <c r="H7" s="133">
        <f>IF(B$17=0,0,G7/B$17)</f>
        <v>0.11494252873563218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-339.13043478260869</v>
      </c>
      <c r="P7" s="120">
        <v>23</v>
      </c>
      <c r="Q7" s="104">
        <v>-7800</v>
      </c>
    </row>
    <row r="8" spans="1:17" x14ac:dyDescent="0.4">
      <c r="A8" s="55" t="s">
        <v>3</v>
      </c>
      <c r="B8" s="47">
        <v>10</v>
      </c>
      <c r="C8" s="39">
        <f>IF(B$2=0,0,B8/B$2)</f>
        <v>0.27777777777777779</v>
      </c>
      <c r="E8" s="63" t="s">
        <v>71</v>
      </c>
      <c r="F8" s="60" t="s">
        <v>26</v>
      </c>
      <c r="G8" s="47">
        <v>6</v>
      </c>
      <c r="H8" s="133">
        <f>IF(B$17=0,0,G8/B$17)</f>
        <v>6.8965517241379309E-2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0.3611111111111111</v>
      </c>
      <c r="E9" s="63" t="s">
        <v>72</v>
      </c>
      <c r="F9" s="60" t="s">
        <v>27</v>
      </c>
      <c r="G9" s="47">
        <v>3</v>
      </c>
      <c r="H9" s="133">
        <f>IF(B$17=0,0,G9/B$17)</f>
        <v>3.4482758620689655E-2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0.16666666666666666</v>
      </c>
      <c r="E10" s="63" t="s">
        <v>73</v>
      </c>
      <c r="F10" s="60" t="s">
        <v>28</v>
      </c>
      <c r="G10" s="47">
        <v>54</v>
      </c>
      <c r="H10" s="133">
        <f>IF(B$17=0,0,G10/B$17)</f>
        <v>0.62068965517241381</v>
      </c>
      <c r="I10" s="94">
        <v>1</v>
      </c>
      <c r="K10" s="38">
        <v>8</v>
      </c>
      <c r="L10" s="99">
        <v>-87.1</v>
      </c>
      <c r="N10" s="114" t="s">
        <v>164</v>
      </c>
      <c r="O10" s="124">
        <f>IF(P10=0,0,Q10/P10)</f>
        <v>7.6428571428571406</v>
      </c>
      <c r="P10" s="118">
        <v>7</v>
      </c>
      <c r="Q10" s="106">
        <v>53.499999999999986</v>
      </c>
    </row>
    <row r="11" spans="1:17" x14ac:dyDescent="0.4">
      <c r="A11" s="56" t="s">
        <v>140</v>
      </c>
      <c r="B11" s="48">
        <v>2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-11.073333333333332</v>
      </c>
      <c r="P11" s="119">
        <v>15</v>
      </c>
      <c r="Q11" s="107">
        <v>-166.1</v>
      </c>
    </row>
    <row r="12" spans="1:17" x14ac:dyDescent="0.4">
      <c r="A12" s="57" t="s">
        <v>160</v>
      </c>
      <c r="B12" s="49">
        <v>3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1</v>
      </c>
      <c r="H12" s="133">
        <f>IF(B$17=0,0,G12/B$17)</f>
        <v>1.1494252873563218E-2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0.97142857142857209</v>
      </c>
      <c r="P12" s="120">
        <v>14</v>
      </c>
      <c r="Q12" s="108">
        <v>13.600000000000009</v>
      </c>
    </row>
    <row r="13" spans="1:17" x14ac:dyDescent="0.4">
      <c r="A13" s="58" t="s">
        <v>122</v>
      </c>
      <c r="B13" s="50">
        <v>63</v>
      </c>
      <c r="C13" s="44">
        <f>IF(B$3=0,0,B13/B$3)</f>
        <v>0.20930232558139536</v>
      </c>
      <c r="E13" s="63" t="s">
        <v>76</v>
      </c>
      <c r="F13" s="60" t="s">
        <v>31</v>
      </c>
      <c r="G13" s="47">
        <v>1</v>
      </c>
      <c r="H13" s="133">
        <f>IF(B$17=0,0,G13/B$17)</f>
        <v>1.1494252873563218E-2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0.2292358803986711</v>
      </c>
      <c r="E14" s="63" t="s">
        <v>77</v>
      </c>
      <c r="F14" s="60" t="s">
        <v>32</v>
      </c>
      <c r="G14" s="47">
        <v>1</v>
      </c>
      <c r="H14" s="133">
        <f>IF(B$17=0,0,G14/B$17)</f>
        <v>1.1494252873563218E-2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44</v>
      </c>
      <c r="C15" s="37">
        <f>IF(B$13=0,0,B15/B$13)</f>
        <v>0.69841269841269837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0.37681159420289856</v>
      </c>
      <c r="E16" s="63" t="s">
        <v>79</v>
      </c>
      <c r="F16" s="60" t="s">
        <v>34</v>
      </c>
      <c r="G16" s="47">
        <v>2</v>
      </c>
      <c r="H16" s="133">
        <f>IF(B$17=0,0,G16/B$17)</f>
        <v>2.2988505747126436E-2</v>
      </c>
      <c r="I16" s="94">
        <v>5</v>
      </c>
      <c r="K16" s="38">
        <v>14</v>
      </c>
      <c r="L16" s="99">
        <v>-178.49999999999997</v>
      </c>
      <c r="N16" s="115" t="s">
        <v>173</v>
      </c>
      <c r="O16" s="125">
        <f>IF(P16=0,0,Q16/P16)</f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87</v>
      </c>
      <c r="C17" s="37">
        <f>IF(B$3=0,0,B17/B$3)</f>
        <v>0.28903654485049834</v>
      </c>
      <c r="E17" s="63" t="s">
        <v>80</v>
      </c>
      <c r="F17" s="60" t="s">
        <v>35</v>
      </c>
      <c r="G17" s="47">
        <v>2</v>
      </c>
      <c r="H17" s="133">
        <f>IF(B$17=0,0,G17/B$17)</f>
        <v>2.2988505747126436E-2</v>
      </c>
      <c r="I17" s="94">
        <v>2</v>
      </c>
      <c r="K17" s="38">
        <v>15</v>
      </c>
      <c r="L17" s="99">
        <v>-146.19999999999999</v>
      </c>
      <c r="N17" s="115" t="s">
        <v>128</v>
      </c>
      <c r="O17" s="125">
        <f>IF(P17=0,0,Q17/P17)</f>
        <v>10.631818181818183</v>
      </c>
      <c r="P17" s="119">
        <v>22</v>
      </c>
      <c r="Q17" s="107">
        <v>233.9</v>
      </c>
    </row>
    <row r="18" spans="1:17" x14ac:dyDescent="0.4">
      <c r="A18" s="55" t="s">
        <v>12</v>
      </c>
      <c r="B18" s="47">
        <v>34</v>
      </c>
      <c r="C18" s="39">
        <f>IF(B$17=0,0,B18/B$17)</f>
        <v>0.39080459770114945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171</v>
      </c>
      <c r="O18" s="125">
        <f>IF(P18=0,0,Q18/P18)</f>
        <v>-0.23333333333332876</v>
      </c>
      <c r="P18" s="119">
        <v>9</v>
      </c>
      <c r="Q18" s="107">
        <v>-2.0999999999999588</v>
      </c>
    </row>
    <row r="19" spans="1:17" x14ac:dyDescent="0.4">
      <c r="A19" s="55" t="s">
        <v>11</v>
      </c>
      <c r="B19" s="47">
        <v>53</v>
      </c>
      <c r="C19" s="39">
        <f>IF(B$17=0,0,B19/B$17)</f>
        <v>0.60919540229885061</v>
      </c>
      <c r="E19" s="63" t="s">
        <v>82</v>
      </c>
      <c r="F19" s="60" t="s">
        <v>37</v>
      </c>
      <c r="G19" s="47">
        <v>3</v>
      </c>
      <c r="H19" s="133">
        <f>IF(B$17=0,0,G19/B$17)</f>
        <v>3.4482758620689655E-2</v>
      </c>
      <c r="I19" s="94">
        <v>3</v>
      </c>
      <c r="K19" s="38">
        <v>17</v>
      </c>
      <c r="L19" s="99">
        <v>-161.19999999999999</v>
      </c>
      <c r="N19" s="115" t="s">
        <v>186</v>
      </c>
      <c r="O19" s="125">
        <f>IF(P19=0,0,Q19/P19)</f>
        <v>-6.649999999999995</v>
      </c>
      <c r="P19" s="119">
        <v>4</v>
      </c>
      <c r="Q19" s="107">
        <v>-26.59999999999998</v>
      </c>
    </row>
    <row r="20" spans="1:17" x14ac:dyDescent="0.4">
      <c r="A20" s="55" t="s">
        <v>13</v>
      </c>
      <c r="B20" s="47">
        <v>52</v>
      </c>
      <c r="C20" s="39">
        <f>IF(B$3=0,0,B20/B$3)</f>
        <v>0.17275747508305647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84</v>
      </c>
      <c r="F21" s="60" t="s">
        <v>39</v>
      </c>
      <c r="G21" s="47">
        <v>5</v>
      </c>
      <c r="H21" s="133">
        <f>IF(B$17=0,0,G21/B$17)</f>
        <v>5.7471264367816091E-2</v>
      </c>
      <c r="I21" s="94">
        <v>2</v>
      </c>
      <c r="K21" s="38">
        <v>19</v>
      </c>
      <c r="L21" s="99">
        <v>-235.6</v>
      </c>
      <c r="N21" s="115" t="s">
        <v>127</v>
      </c>
      <c r="O21" s="125">
        <f>IF(P21=0,0,Q21/P21)</f>
        <v>-19.826666666666664</v>
      </c>
      <c r="P21" s="119">
        <v>15</v>
      </c>
      <c r="Q21" s="107">
        <v>-297.39999999999998</v>
      </c>
    </row>
    <row r="22" spans="1:17" x14ac:dyDescent="0.4">
      <c r="A22" s="55" t="s">
        <v>194</v>
      </c>
      <c r="B22" s="47">
        <v>21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129</v>
      </c>
      <c r="O22" s="125">
        <f>IF(P22=0,0,Q22/P22)</f>
        <v>-21.775000000000006</v>
      </c>
      <c r="P22" s="119">
        <v>8</v>
      </c>
      <c r="Q22" s="107">
        <v>-174.20000000000005</v>
      </c>
    </row>
    <row r="23" spans="1:17" x14ac:dyDescent="0.4">
      <c r="A23" s="55" t="s">
        <v>5</v>
      </c>
      <c r="B23" s="51">
        <f>IF(B$17=0,0,C23/B$17)</f>
        <v>7847.1264367816093</v>
      </c>
      <c r="C23" s="41">
        <v>682700</v>
      </c>
      <c r="E23" s="63" t="s">
        <v>86</v>
      </c>
      <c r="F23" s="60" t="s">
        <v>41</v>
      </c>
      <c r="G23" s="47">
        <v>2</v>
      </c>
      <c r="H23" s="133">
        <f>IF(B$17=0,0,G23/B$17)</f>
        <v>2.2988505747126436E-2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-7794.2307692307695</v>
      </c>
      <c r="C24" s="45">
        <v>-405300</v>
      </c>
      <c r="E24" s="63" t="s">
        <v>87</v>
      </c>
      <c r="F24" s="60" t="s">
        <v>42</v>
      </c>
      <c r="G24" s="47">
        <v>2</v>
      </c>
      <c r="H24" s="133">
        <f>IF(B$17=0,0,G24/B$17)</f>
        <v>2.2988505747126436E-2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6.6445182724252493E-3</v>
      </c>
      <c r="E27" s="63" t="s">
        <v>90</v>
      </c>
      <c r="F27" s="60" t="s">
        <v>45</v>
      </c>
      <c r="G27" s="47">
        <v>12</v>
      </c>
      <c r="H27" s="133">
        <f>IF(B$17=0,0,G27/B$17)</f>
        <v>0.13793103448275862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4.5977011494252873E-2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-145.19999999999999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-160.6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-99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1.1494252873563218E-2</v>
      </c>
      <c r="I39" s="94">
        <v>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27</v>
      </c>
      <c r="H51" s="134">
        <f>IF(B$17=0,0,G51/B$17)</f>
        <v>0.31034482758620691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7D83-8733-4B60-8B12-1469AE49D46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5ED9D-152C-41D4-BDC4-976542B77D1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20</v>
      </c>
      <c r="H2" s="132">
        <f>IF(B$17=0,0,G2/B$17)</f>
        <v>0.55555555555555558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457.14285714285717</v>
      </c>
      <c r="P2" s="118">
        <v>14</v>
      </c>
      <c r="Q2" s="102">
        <v>6400</v>
      </c>
    </row>
    <row r="3" spans="1:17" x14ac:dyDescent="0.4">
      <c r="A3" s="55" t="s">
        <v>8</v>
      </c>
      <c r="B3" s="148">
        <v>123</v>
      </c>
      <c r="C3" s="149"/>
      <c r="E3" s="63" t="s">
        <v>66</v>
      </c>
      <c r="F3" s="60" t="s">
        <v>22</v>
      </c>
      <c r="G3" s="47">
        <v>2</v>
      </c>
      <c r="H3" s="133">
        <f>IF(B$17=0,0,G3/B$17)</f>
        <v>5.5555555555555552E-2</v>
      </c>
      <c r="I3" s="94">
        <v>9</v>
      </c>
      <c r="K3" s="38">
        <v>1</v>
      </c>
      <c r="L3" s="99">
        <v>-43.7</v>
      </c>
      <c r="N3" s="115" t="s">
        <v>133</v>
      </c>
      <c r="O3" s="122">
        <f t="shared" si="0"/>
        <v>-300</v>
      </c>
      <c r="P3" s="119">
        <v>14</v>
      </c>
      <c r="Q3" s="103">
        <v>-4200</v>
      </c>
    </row>
    <row r="4" spans="1:17" x14ac:dyDescent="0.4">
      <c r="A4" s="55" t="s">
        <v>6</v>
      </c>
      <c r="B4" s="150">
        <v>-35.699999999999996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0.77777777777777779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-235.71428571428572</v>
      </c>
      <c r="P4" s="119">
        <v>14</v>
      </c>
      <c r="Q4" s="103">
        <v>-3300</v>
      </c>
    </row>
    <row r="5" spans="1:17" x14ac:dyDescent="0.4">
      <c r="A5" s="55" t="s">
        <v>7</v>
      </c>
      <c r="B5" s="152">
        <f>IF(B$2=0,0,B$4/B$2)</f>
        <v>-2.5499999999999998</v>
      </c>
      <c r="C5" s="153"/>
      <c r="E5" s="63" t="s">
        <v>68</v>
      </c>
      <c r="F5" s="60" t="s">
        <v>24</v>
      </c>
      <c r="G5" s="47">
        <v>10</v>
      </c>
      <c r="H5" s="133">
        <f>IF(B$17=0,0,G5/B$17)</f>
        <v>0.27777777777777779</v>
      </c>
      <c r="I5" s="94">
        <v>10</v>
      </c>
      <c r="K5" s="38">
        <v>3</v>
      </c>
      <c r="L5" s="99">
        <v>-78.400000000000006</v>
      </c>
      <c r="N5" s="115" t="s">
        <v>135</v>
      </c>
      <c r="O5" s="122">
        <f t="shared" si="0"/>
        <v>-2653.8461538461538</v>
      </c>
      <c r="P5" s="119">
        <v>13</v>
      </c>
      <c r="Q5" s="103">
        <v>-34500</v>
      </c>
    </row>
    <row r="6" spans="1:17" x14ac:dyDescent="0.4">
      <c r="A6" s="55" t="s">
        <v>1</v>
      </c>
      <c r="B6" s="142">
        <f>IF(B$2=0,0,(B$7*1+B$8*2+B$9*3)/B$2)</f>
        <v>1.9285714285714286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0.33333333333333331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-84.615384615384613</v>
      </c>
      <c r="P6" s="119">
        <v>13</v>
      </c>
      <c r="Q6" s="103">
        <v>-1100</v>
      </c>
    </row>
    <row r="7" spans="1:17" x14ac:dyDescent="0.4">
      <c r="A7" s="55" t="s">
        <v>2</v>
      </c>
      <c r="B7" s="47">
        <v>7</v>
      </c>
      <c r="C7" s="39">
        <f>IF(B$2=0,0,B7/B$2)</f>
        <v>0.5</v>
      </c>
      <c r="E7" s="63" t="s">
        <v>70</v>
      </c>
      <c r="F7" s="60" t="s">
        <v>25</v>
      </c>
      <c r="G7" s="47">
        <v>6</v>
      </c>
      <c r="H7" s="133">
        <f>IF(B$17=0,0,G7/B$17)</f>
        <v>0.16666666666666666</v>
      </c>
      <c r="I7" s="94">
        <v>8</v>
      </c>
      <c r="K7" s="38">
        <v>5</v>
      </c>
      <c r="L7" s="99">
        <v>-121</v>
      </c>
      <c r="N7" s="116" t="s">
        <v>137</v>
      </c>
      <c r="O7" s="123">
        <f t="shared" si="0"/>
        <v>-1461.5384615384614</v>
      </c>
      <c r="P7" s="120">
        <v>13</v>
      </c>
      <c r="Q7" s="104">
        <v>-19000</v>
      </c>
    </row>
    <row r="8" spans="1:17" x14ac:dyDescent="0.4">
      <c r="A8" s="55" t="s">
        <v>3</v>
      </c>
      <c r="B8" s="47">
        <v>1</v>
      </c>
      <c r="C8" s="39">
        <f>IF(B$2=0,0,B8/B$2)</f>
        <v>7.1428571428571425E-2</v>
      </c>
      <c r="E8" s="63" t="s">
        <v>71</v>
      </c>
      <c r="F8" s="60" t="s">
        <v>26</v>
      </c>
      <c r="G8" s="47">
        <v>6</v>
      </c>
      <c r="H8" s="133">
        <f>IF(B$17=0,0,G8/B$17)</f>
        <v>0.16666666666666666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0.42857142857142855</v>
      </c>
      <c r="E9" s="63" t="s">
        <v>72</v>
      </c>
      <c r="F9" s="60" t="s">
        <v>27</v>
      </c>
      <c r="G9" s="47">
        <v>2</v>
      </c>
      <c r="H9" s="133">
        <f>IF(B$17=0,0,G9/B$17)</f>
        <v>5.5555555555555552E-2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22</v>
      </c>
      <c r="H10" s="133">
        <f>IF(B$17=0,0,G10/B$17)</f>
        <v>0.61111111111111116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4.5857142857142872</v>
      </c>
      <c r="P10" s="118">
        <v>7</v>
      </c>
      <c r="Q10" s="106">
        <v>32.100000000000009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2.7777777777777776E-2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2</v>
      </c>
      <c r="C12" s="42">
        <f>IF(B$2=0,0,B12/B$2)</f>
        <v>0.14285714285714285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30</v>
      </c>
      <c r="C13" s="44">
        <f>IF(B$3=0,0,B13/B$3)</f>
        <v>0.24390243902439024</v>
      </c>
      <c r="E13" s="63" t="s">
        <v>76</v>
      </c>
      <c r="F13" s="60" t="s">
        <v>31</v>
      </c>
      <c r="G13" s="47">
        <v>1</v>
      </c>
      <c r="H13" s="133">
        <f>IF(B$17=0,0,G13/B$17)</f>
        <v>2.7777777777777776E-2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</v>
      </c>
      <c r="C14" s="39">
        <f>IF(B$3=0,0,B14/B$3)</f>
        <v>0.18699186991869918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-80.3</v>
      </c>
      <c r="N15" s="114" t="s">
        <v>129</v>
      </c>
      <c r="O15" s="124">
        <f>IF(P15=0,0,Q15/P15)</f>
        <v>49.033333333333339</v>
      </c>
      <c r="P15" s="118">
        <v>3</v>
      </c>
      <c r="Q15" s="106">
        <v>147.10000000000002</v>
      </c>
    </row>
    <row r="16" spans="1:17" x14ac:dyDescent="0.4">
      <c r="A16" s="54" t="s">
        <v>125</v>
      </c>
      <c r="B16" s="46">
        <v>10</v>
      </c>
      <c r="C16" s="37">
        <f>IF(B$14=0,0,B16/B$14)</f>
        <v>0.43478260869565216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-35.699999999999996</v>
      </c>
      <c r="N16" s="115" t="s">
        <v>177</v>
      </c>
      <c r="O16" s="125">
        <f>IF(P16=0,0,Q16/P16)</f>
        <v>6.649999999999995</v>
      </c>
      <c r="P16" s="119">
        <v>4</v>
      </c>
      <c r="Q16" s="107">
        <v>26.59999999999998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0.29268292682926828</v>
      </c>
      <c r="E17" s="63" t="s">
        <v>80</v>
      </c>
      <c r="F17" s="60" t="s">
        <v>35</v>
      </c>
      <c r="G17" s="47">
        <v>2</v>
      </c>
      <c r="H17" s="133">
        <f>IF(B$17=0,0,G17/B$17)</f>
        <v>5.5555555555555552E-2</v>
      </c>
      <c r="I17" s="94">
        <v>1</v>
      </c>
      <c r="N17" s="115" t="s">
        <v>127</v>
      </c>
      <c r="O17" s="125">
        <f>IF(P17=0,0,Q17/P17)</f>
        <v>0.77999999999999758</v>
      </c>
      <c r="P17" s="119">
        <v>10</v>
      </c>
      <c r="Q17" s="107">
        <v>7.7999999999999758</v>
      </c>
    </row>
    <row r="18" spans="1:17" x14ac:dyDescent="0.4">
      <c r="A18" s="55" t="s">
        <v>12</v>
      </c>
      <c r="B18" s="47">
        <v>17</v>
      </c>
      <c r="C18" s="39">
        <f>IF(B$17=0,0,B18/B$17)</f>
        <v>0.47222222222222221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19</v>
      </c>
      <c r="C19" s="39">
        <f>IF(B$17=0,0,B19/B$17)</f>
        <v>0.52777777777777779</v>
      </c>
      <c r="E19" s="63" t="s">
        <v>82</v>
      </c>
      <c r="F19" s="60" t="s">
        <v>37</v>
      </c>
      <c r="G19" s="47">
        <v>1</v>
      </c>
      <c r="H19" s="133">
        <f>IF(B$17=0,0,G19/B$17)</f>
        <v>2.7777777777777776E-2</v>
      </c>
      <c r="I19" s="94">
        <v>7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25</v>
      </c>
      <c r="C20" s="39">
        <f>IF(B$3=0,0,B20/B$3)</f>
        <v>0.2032520325203252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8.3333333333333329E-2</v>
      </c>
      <c r="I21" s="94">
        <v>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18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7886.1111111111113</v>
      </c>
      <c r="C23" s="41">
        <v>283900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-7712</v>
      </c>
      <c r="C24" s="45">
        <v>-192800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6</v>
      </c>
      <c r="H27" s="133">
        <f>IF(B$17=0,0,G27/B$17)</f>
        <v>0.16666666666666666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11</v>
      </c>
      <c r="H51" s="134">
        <f>IF(B$17=0,0,G51/B$17)</f>
        <v>0.30555555555555558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23B6A-978D-4199-8C65-602D53CD7E0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10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>IF(P16=0,0,Q16/P16)</f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>IF(P17=0,0,Q17/P17)</f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>IF(P19=0,0,Q19/P19)</f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5A6E8-CF00-4031-AA45-8D83CEAB333D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E117-8D04-421B-916E-7F86F996114F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8032-FFB7-4EDC-8F81-97D5A8860C11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19A79-5C71-48C2-BE48-FD8676A20E1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78790-DB51-44B6-BE6F-14CFC57DF9B2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8F32-B52E-42D4-9D6C-E499406161E2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-80.3</v>
      </c>
      <c r="C16" s="66">
        <v>-6.1769230769230763</v>
      </c>
      <c r="D16" s="71">
        <v>2</v>
      </c>
      <c r="E16" s="67">
        <v>0.46153846153846156</v>
      </c>
      <c r="F16" s="67">
        <v>0.46153846153846156</v>
      </c>
      <c r="G16" s="67">
        <v>0.2831858407079646</v>
      </c>
      <c r="H16" s="67">
        <v>0.22123893805309736</v>
      </c>
      <c r="I16" s="68">
        <v>7653.125</v>
      </c>
      <c r="J16" s="68">
        <v>-7712</v>
      </c>
      <c r="K16" s="67">
        <v>0.15384615384615385</v>
      </c>
      <c r="L16" s="67">
        <v>0</v>
      </c>
      <c r="M16" s="67">
        <v>0.23008849557522124</v>
      </c>
      <c r="N16" s="67">
        <v>0.20353982300884957</v>
      </c>
      <c r="O16" s="67">
        <v>0.65384615384615385</v>
      </c>
      <c r="P16" s="67">
        <v>0.43478260869565216</v>
      </c>
      <c r="Q16" s="67">
        <v>0.4375</v>
      </c>
    </row>
    <row r="17" spans="1:17" x14ac:dyDescent="0.4">
      <c r="A17" s="69">
        <v>14</v>
      </c>
      <c r="B17" s="66">
        <v>-35.699999999999996</v>
      </c>
      <c r="C17" s="66">
        <v>-2.5499999999999998</v>
      </c>
      <c r="D17" s="71">
        <v>1.9285714285714286</v>
      </c>
      <c r="E17" s="67">
        <v>0.5</v>
      </c>
      <c r="F17" s="67">
        <v>0.42857142857142855</v>
      </c>
      <c r="G17" s="67">
        <v>0.29268292682926828</v>
      </c>
      <c r="H17" s="67">
        <v>0.2032520325203252</v>
      </c>
      <c r="I17" s="68">
        <v>7886.1111111111113</v>
      </c>
      <c r="J17" s="68">
        <v>-7712</v>
      </c>
      <c r="K17" s="67">
        <v>0.14285714285714285</v>
      </c>
      <c r="L17" s="67">
        <v>0</v>
      </c>
      <c r="M17" s="67">
        <v>0.24390243902439024</v>
      </c>
      <c r="N17" s="67">
        <v>0.18699186991869918</v>
      </c>
      <c r="O17" s="67">
        <v>0.66666666666666663</v>
      </c>
      <c r="P17" s="67">
        <v>0.43478260869565216</v>
      </c>
      <c r="Q17" s="67">
        <v>0.47222222222222221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0BB39-DF0E-44C0-94CE-BAF714BD5BD9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23AB-AE2B-4227-ADB7-E9C9DCC60111}">
  <sheetPr codeName="Sheet20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-145.19999999999999</v>
      </c>
      <c r="C37" s="66">
        <v>-4.2705882352941176</v>
      </c>
      <c r="D37" s="71">
        <v>2.0294117647058822</v>
      </c>
      <c r="E37" s="67">
        <v>0.35294117647058826</v>
      </c>
      <c r="F37" s="67">
        <v>0.38235294117647056</v>
      </c>
      <c r="G37" s="67">
        <v>0.28621908127208479</v>
      </c>
      <c r="H37" s="67">
        <v>0.17667844522968199</v>
      </c>
      <c r="I37" s="68">
        <v>7704.9382716049386</v>
      </c>
      <c r="J37" s="68">
        <v>-7802</v>
      </c>
      <c r="K37" s="67">
        <v>0.17647058823529413</v>
      </c>
      <c r="L37" s="67">
        <v>5.8823529411764705E-2</v>
      </c>
      <c r="M37" s="67">
        <v>0.21201413427561838</v>
      </c>
      <c r="N37" s="67">
        <v>0.22261484098939929</v>
      </c>
      <c r="O37" s="67">
        <v>0.7</v>
      </c>
      <c r="P37" s="67">
        <v>0.3968253968253968</v>
      </c>
      <c r="Q37" s="67">
        <v>0.40740740740740738</v>
      </c>
    </row>
    <row r="38" spans="1:17" x14ac:dyDescent="0.4">
      <c r="A38" s="69">
        <v>35</v>
      </c>
      <c r="B38" s="66">
        <v>-160.6</v>
      </c>
      <c r="C38" s="66">
        <v>-4.5885714285714281</v>
      </c>
      <c r="D38" s="71">
        <v>2.0285714285714285</v>
      </c>
      <c r="E38" s="67">
        <v>0.34285714285714286</v>
      </c>
      <c r="F38" s="67">
        <v>0.37142857142857144</v>
      </c>
      <c r="G38" s="67">
        <v>0.28424657534246578</v>
      </c>
      <c r="H38" s="67">
        <v>0.17465753424657535</v>
      </c>
      <c r="I38" s="68">
        <v>7687.9518072289156</v>
      </c>
      <c r="J38" s="68">
        <v>-7884.3137254901958</v>
      </c>
      <c r="K38" s="67">
        <v>0.17142857142857143</v>
      </c>
      <c r="L38" s="67">
        <v>5.7142857142857141E-2</v>
      </c>
      <c r="M38" s="67">
        <v>0.2089041095890411</v>
      </c>
      <c r="N38" s="67">
        <v>0.22602739726027396</v>
      </c>
      <c r="O38" s="67">
        <v>0.70491803278688525</v>
      </c>
      <c r="P38" s="67">
        <v>0.37878787878787878</v>
      </c>
      <c r="Q38" s="67">
        <v>0.39759036144578314</v>
      </c>
    </row>
    <row r="39" spans="1:17" x14ac:dyDescent="0.4">
      <c r="A39" s="69">
        <v>36</v>
      </c>
      <c r="B39" s="66">
        <v>-99</v>
      </c>
      <c r="C39" s="66">
        <v>-2.75</v>
      </c>
      <c r="D39" s="71">
        <v>2</v>
      </c>
      <c r="E39" s="67">
        <v>0.3611111111111111</v>
      </c>
      <c r="F39" s="67">
        <v>0.3611111111111111</v>
      </c>
      <c r="G39" s="67">
        <v>0.28903654485049834</v>
      </c>
      <c r="H39" s="67">
        <v>0.17275747508305647</v>
      </c>
      <c r="I39" s="68">
        <v>7847.1264367816093</v>
      </c>
      <c r="J39" s="68">
        <v>-7794.2307692307695</v>
      </c>
      <c r="K39" s="67">
        <v>0.16666666666666666</v>
      </c>
      <c r="L39" s="67">
        <v>5.5555555555555552E-2</v>
      </c>
      <c r="M39" s="67">
        <v>0.20930232558139536</v>
      </c>
      <c r="N39" s="67">
        <v>0.2292358803986711</v>
      </c>
      <c r="O39" s="67">
        <v>0.69841269841269837</v>
      </c>
      <c r="P39" s="67">
        <v>0.37681159420289856</v>
      </c>
      <c r="Q39" s="67">
        <v>0.39080459770114945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C0688-533D-4676-9264-DBE959DAFCA8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37686-28E1-4A73-B033-1836E0D3A152}">
  <sheetPr codeName="Sheet16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45.999999999999986</v>
      </c>
      <c r="C58" s="66">
        <v>0.83636363636363609</v>
      </c>
      <c r="D58" s="71">
        <v>2.0363636363636362</v>
      </c>
      <c r="E58" s="67">
        <v>0.27272727272727271</v>
      </c>
      <c r="F58" s="67">
        <v>0.30909090909090908</v>
      </c>
      <c r="G58" s="67">
        <v>0.37346938775510202</v>
      </c>
      <c r="H58" s="67">
        <v>0.1326530612244898</v>
      </c>
      <c r="I58" s="68">
        <v>6479.7814207650272</v>
      </c>
      <c r="J58" s="68">
        <v>-9578.461538461539</v>
      </c>
      <c r="K58" s="67">
        <v>5.4545454545454543E-2</v>
      </c>
      <c r="L58" s="67">
        <v>0.10909090909090909</v>
      </c>
      <c r="M58" s="67">
        <v>0.22244897959183674</v>
      </c>
      <c r="N58" s="67">
        <v>0.29183673469387755</v>
      </c>
      <c r="O58" s="67">
        <v>0.58715596330275233</v>
      </c>
      <c r="P58" s="67">
        <v>0.44055944055944057</v>
      </c>
      <c r="Q58" s="67">
        <v>0.42076502732240439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9EC83-20DC-42F2-98A9-DF0F089CF27A}">
  <sheetPr codeName="Sheet14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171.7</v>
      </c>
      <c r="C69" s="66">
        <v>2.6015151515151516</v>
      </c>
      <c r="D69" s="71">
        <v>2.0303030303030303</v>
      </c>
      <c r="E69" s="67">
        <v>0.30303030303030304</v>
      </c>
      <c r="F69" s="67">
        <v>0.33333333333333331</v>
      </c>
      <c r="G69" s="67">
        <v>0.27719298245614032</v>
      </c>
      <c r="H69" s="67">
        <v>0.16140350877192983</v>
      </c>
      <c r="I69" s="68">
        <v>9781.6455696202538</v>
      </c>
      <c r="J69" s="68">
        <v>-7529.347826086957</v>
      </c>
      <c r="K69" s="67">
        <v>4.5454545454545456E-2</v>
      </c>
      <c r="L69" s="67">
        <v>0.12121212121212122</v>
      </c>
      <c r="M69" s="67">
        <v>0.2807017543859649</v>
      </c>
      <c r="N69" s="67">
        <v>0.18947368421052632</v>
      </c>
      <c r="O69" s="67">
        <v>0.57499999999999996</v>
      </c>
      <c r="P69" s="67">
        <v>0.39814814814814814</v>
      </c>
      <c r="Q69" s="67">
        <v>0.43037974683544306</v>
      </c>
    </row>
    <row r="70" spans="1:17" x14ac:dyDescent="0.4">
      <c r="A70" s="69">
        <v>67</v>
      </c>
      <c r="B70" s="66">
        <v>243.2</v>
      </c>
      <c r="C70" s="66">
        <v>3.6298507462686564</v>
      </c>
      <c r="D70" s="71">
        <v>2.0149253731343282</v>
      </c>
      <c r="E70" s="67">
        <v>0.31343283582089554</v>
      </c>
      <c r="F70" s="67">
        <v>0.32835820895522388</v>
      </c>
      <c r="G70" s="67">
        <v>0.27979274611398963</v>
      </c>
      <c r="H70" s="67">
        <v>0.16062176165803108</v>
      </c>
      <c r="I70" s="68">
        <v>9848.7654320987658</v>
      </c>
      <c r="J70" s="68">
        <v>-7469.8924731182797</v>
      </c>
      <c r="K70" s="67">
        <v>4.4776119402985072E-2</v>
      </c>
      <c r="L70" s="67">
        <v>0.13432835820895522</v>
      </c>
      <c r="M70" s="67">
        <v>0.28670120898100171</v>
      </c>
      <c r="N70" s="67">
        <v>0.18998272884283246</v>
      </c>
      <c r="O70" s="67">
        <v>0.57228915662650603</v>
      </c>
      <c r="P70" s="67">
        <v>0.4</v>
      </c>
      <c r="Q70" s="67">
        <v>0.43827160493827161</v>
      </c>
    </row>
    <row r="71" spans="1:17" x14ac:dyDescent="0.4">
      <c r="A71" s="69">
        <v>68</v>
      </c>
      <c r="B71" s="66">
        <v>197.7</v>
      </c>
      <c r="C71" s="66">
        <v>2.9073529411764705</v>
      </c>
      <c r="D71" s="71">
        <v>2.0294117647058822</v>
      </c>
      <c r="E71" s="67">
        <v>0.30882352941176472</v>
      </c>
      <c r="F71" s="67">
        <v>0.33823529411764708</v>
      </c>
      <c r="G71" s="67">
        <v>0.28231292517006801</v>
      </c>
      <c r="H71" s="67">
        <v>0.16326530612244897</v>
      </c>
      <c r="I71" s="68">
        <v>9703.0120481927715</v>
      </c>
      <c r="J71" s="68">
        <v>-7620.833333333333</v>
      </c>
      <c r="K71" s="67">
        <v>4.4117647058823532E-2</v>
      </c>
      <c r="L71" s="67">
        <v>0.13235294117647059</v>
      </c>
      <c r="M71" s="67">
        <v>0.28741496598639454</v>
      </c>
      <c r="N71" s="67">
        <v>0.19047619047619047</v>
      </c>
      <c r="O71" s="67">
        <v>0.57396449704142016</v>
      </c>
      <c r="P71" s="67">
        <v>0.4017857142857143</v>
      </c>
      <c r="Q71" s="67">
        <v>0.43975903614457829</v>
      </c>
    </row>
    <row r="72" spans="1:17" x14ac:dyDescent="0.4">
      <c r="A72" s="69">
        <v>69</v>
      </c>
      <c r="B72" s="66">
        <v>265.7</v>
      </c>
      <c r="C72" s="66">
        <v>3.8507246376811595</v>
      </c>
      <c r="D72" s="71">
        <v>2.0144927536231885</v>
      </c>
      <c r="E72" s="67">
        <v>0.3188405797101449</v>
      </c>
      <c r="F72" s="67">
        <v>0.33333333333333331</v>
      </c>
      <c r="G72" s="67">
        <v>0.28355704697986578</v>
      </c>
      <c r="H72" s="67">
        <v>0.16442953020134229</v>
      </c>
      <c r="I72" s="68">
        <v>9933.1360946745554</v>
      </c>
      <c r="J72" s="68">
        <v>-7603.0612244897957</v>
      </c>
      <c r="K72" s="67">
        <v>4.3478260869565216E-2</v>
      </c>
      <c r="L72" s="67">
        <v>0.14492753623188406</v>
      </c>
      <c r="M72" s="67">
        <v>0.28691275167785235</v>
      </c>
      <c r="N72" s="67">
        <v>0.18959731543624161</v>
      </c>
      <c r="O72" s="67">
        <v>0.57894736842105265</v>
      </c>
      <c r="P72" s="67">
        <v>0.40707964601769914</v>
      </c>
      <c r="Q72" s="67">
        <v>0.4437869822485207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E57E2-5701-4DCF-B138-775635CBC091}">
  <sheetPr codeName="Sheet12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-888.99999999999977</v>
      </c>
      <c r="C61" s="66">
        <v>-15.327586206896548</v>
      </c>
      <c r="D61" s="71">
        <v>2.2586206896551726</v>
      </c>
      <c r="E61" s="67">
        <v>0.2413793103448276</v>
      </c>
      <c r="F61" s="67">
        <v>0.5</v>
      </c>
      <c r="G61" s="67">
        <v>0.2236024844720497</v>
      </c>
      <c r="H61" s="67">
        <v>0.19047619047619047</v>
      </c>
      <c r="I61" s="68">
        <v>9088.8888888888887</v>
      </c>
      <c r="J61" s="68">
        <v>-9025</v>
      </c>
      <c r="K61" s="67">
        <v>0.18965517241379309</v>
      </c>
      <c r="L61" s="67">
        <v>0.1206896551724138</v>
      </c>
      <c r="M61" s="67">
        <v>0.25879917184265011</v>
      </c>
      <c r="N61" s="67">
        <v>0.15527950310559005</v>
      </c>
      <c r="O61" s="67">
        <v>0.504</v>
      </c>
      <c r="P61" s="67">
        <v>0.24</v>
      </c>
      <c r="Q61" s="67">
        <v>0.49074074074074076</v>
      </c>
    </row>
    <row r="62" spans="1:17" x14ac:dyDescent="0.4">
      <c r="A62" s="69">
        <v>59</v>
      </c>
      <c r="B62" s="66">
        <v>-881.79999999999973</v>
      </c>
      <c r="C62" s="66">
        <v>-14.945762711864402</v>
      </c>
      <c r="D62" s="71">
        <v>2.2542372881355934</v>
      </c>
      <c r="E62" s="67">
        <v>0.23728813559322035</v>
      </c>
      <c r="F62" s="67">
        <v>0.49152542372881358</v>
      </c>
      <c r="G62" s="67">
        <v>0.22515212981744423</v>
      </c>
      <c r="H62" s="67">
        <v>0.18864097363083165</v>
      </c>
      <c r="I62" s="68">
        <v>9145.0450450450444</v>
      </c>
      <c r="J62" s="68">
        <v>-9121.5053763440865</v>
      </c>
      <c r="K62" s="67">
        <v>0.1864406779661017</v>
      </c>
      <c r="L62" s="67">
        <v>0.11864406779661017</v>
      </c>
      <c r="M62" s="67">
        <v>0.25963488843813387</v>
      </c>
      <c r="N62" s="67">
        <v>0.15618661257606492</v>
      </c>
      <c r="O62" s="67">
        <v>0.5078125</v>
      </c>
      <c r="P62" s="67">
        <v>0.24675324675324675</v>
      </c>
      <c r="Q62" s="67">
        <v>0.49549549549549549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4F641-B618-48AC-B716-7AA06A93FC96}">
  <sheetPr codeName="Sheet10"/>
  <dimension ref="A1:Q1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9742-A945-409F-B9C1-41A7F53E125D}">
  <sheetPr codeName="Sheet8"/>
  <dimension ref="A1:Q1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1407.3000000000009</v>
      </c>
      <c r="C116" s="66">
        <v>12.453982300884963</v>
      </c>
      <c r="D116" s="71">
        <v>1.7345132743362832</v>
      </c>
      <c r="E116" s="67">
        <v>0.49557522123893805</v>
      </c>
      <c r="F116" s="67">
        <v>0.23008849557522124</v>
      </c>
      <c r="G116" s="67">
        <v>0.35081967213114756</v>
      </c>
      <c r="H116" s="67">
        <v>0.1540983606557377</v>
      </c>
      <c r="I116" s="68">
        <v>9081.931464174455</v>
      </c>
      <c r="J116" s="68">
        <v>-8430.4964539007087</v>
      </c>
      <c r="K116" s="67">
        <v>0.10619469026548672</v>
      </c>
      <c r="L116" s="67">
        <v>0.17699115044247787</v>
      </c>
      <c r="M116" s="67">
        <v>0.32677595628415301</v>
      </c>
      <c r="N116" s="67">
        <v>0.22076502732240438</v>
      </c>
      <c r="O116" s="67">
        <v>0.58193979933110362</v>
      </c>
      <c r="P116" s="67">
        <v>0.50990099009900991</v>
      </c>
      <c r="Q116" s="67">
        <v>0.4174454828660436</v>
      </c>
    </row>
    <row r="117" spans="1:17" x14ac:dyDescent="0.4">
      <c r="A117" s="69">
        <v>114</v>
      </c>
      <c r="B117" s="66">
        <v>1355.5000000000009</v>
      </c>
      <c r="C117" s="66">
        <v>11.89035087719299</v>
      </c>
      <c r="D117" s="71">
        <v>1.7456140350877194</v>
      </c>
      <c r="E117" s="67">
        <v>0.49122807017543857</v>
      </c>
      <c r="F117" s="67">
        <v>0.23684210526315788</v>
      </c>
      <c r="G117" s="67">
        <v>0.34702702702702704</v>
      </c>
      <c r="H117" s="67">
        <v>0.1535135135135135</v>
      </c>
      <c r="I117" s="68">
        <v>9081.931464174455</v>
      </c>
      <c r="J117" s="68">
        <v>-8425.352112676057</v>
      </c>
      <c r="K117" s="67">
        <v>0.10526315789473684</v>
      </c>
      <c r="L117" s="67">
        <v>0.17543859649122806</v>
      </c>
      <c r="M117" s="67">
        <v>0.32540540540540541</v>
      </c>
      <c r="N117" s="67">
        <v>0.21837837837837837</v>
      </c>
      <c r="O117" s="67">
        <v>0.57807308970099669</v>
      </c>
      <c r="P117" s="67">
        <v>0.50990099009900991</v>
      </c>
      <c r="Q117" s="67">
        <v>0.4174454828660436</v>
      </c>
    </row>
    <row r="118" spans="1:17" x14ac:dyDescent="0.4">
      <c r="A118" s="69">
        <v>115</v>
      </c>
      <c r="B118" s="66">
        <v>1299.400000000001</v>
      </c>
      <c r="C118" s="66">
        <v>11.299130434782617</v>
      </c>
      <c r="D118" s="71">
        <v>1.7565217391304349</v>
      </c>
      <c r="E118" s="67">
        <v>0.48695652173913045</v>
      </c>
      <c r="F118" s="67">
        <v>0.24347826086956523</v>
      </c>
      <c r="G118" s="67">
        <v>0.34475374732334046</v>
      </c>
      <c r="H118" s="67">
        <v>0.15310492505353318</v>
      </c>
      <c r="I118" s="68">
        <v>9073.6024844720505</v>
      </c>
      <c r="J118" s="68">
        <v>-8450.3496503496499</v>
      </c>
      <c r="K118" s="67">
        <v>0.11304347826086956</v>
      </c>
      <c r="L118" s="67">
        <v>0.17391304347826086</v>
      </c>
      <c r="M118" s="67">
        <v>0.32548179871520344</v>
      </c>
      <c r="N118" s="67">
        <v>0.21841541755888652</v>
      </c>
      <c r="O118" s="67">
        <v>0.57565789473684215</v>
      </c>
      <c r="P118" s="67">
        <v>0.50490196078431371</v>
      </c>
      <c r="Q118" s="67">
        <v>0.41925465838509318</v>
      </c>
    </row>
    <row r="119" spans="1:17" x14ac:dyDescent="0.4">
      <c r="A119" s="69">
        <v>116</v>
      </c>
      <c r="B119" s="66">
        <v>1240.400000000001</v>
      </c>
      <c r="C119" s="66">
        <v>10.69310344827587</v>
      </c>
      <c r="D119" s="71">
        <v>1.7672413793103448</v>
      </c>
      <c r="E119" s="67">
        <v>0.48275862068965519</v>
      </c>
      <c r="F119" s="67">
        <v>0.25</v>
      </c>
      <c r="G119" s="67">
        <v>0.34182590233545646</v>
      </c>
      <c r="H119" s="67">
        <v>0.15180467091295116</v>
      </c>
      <c r="I119" s="68">
        <v>9073.6024844720505</v>
      </c>
      <c r="J119" s="68">
        <v>-8450.3496503496499</v>
      </c>
      <c r="K119" s="67">
        <v>0.1206896551724138</v>
      </c>
      <c r="L119" s="67">
        <v>0.17241379310344829</v>
      </c>
      <c r="M119" s="67">
        <v>0.32590233545647557</v>
      </c>
      <c r="N119" s="67">
        <v>0.21656050955414013</v>
      </c>
      <c r="O119" s="67">
        <v>0.57003257328990231</v>
      </c>
      <c r="P119" s="67">
        <v>0.50490196078431371</v>
      </c>
      <c r="Q119" s="67">
        <v>0.41925465838509318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9675A-7A0C-419B-9645-B16EFE599C33}">
  <sheetPr codeName="Sheet6"/>
  <dimension ref="A1:Q17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0.16762452107279693</v>
      </c>
      <c r="I169" s="68">
        <v>8502.3162939297126</v>
      </c>
      <c r="J169" s="68">
        <v>-8161.1428571428569</v>
      </c>
      <c r="K169" s="67">
        <v>0.11044176706827309</v>
      </c>
      <c r="L169" s="67">
        <v>0.11044176706827309</v>
      </c>
      <c r="M169" s="67">
        <v>0.27418582375478928</v>
      </c>
      <c r="N169" s="67">
        <v>0.21024904214559387</v>
      </c>
      <c r="O169" s="67">
        <v>0.58864628820960696</v>
      </c>
      <c r="P169" s="67">
        <v>0.39066059225512528</v>
      </c>
      <c r="Q169" s="67">
        <v>0.43450479233226835</v>
      </c>
    </row>
    <row r="170" spans="1:17" x14ac:dyDescent="0.4">
      <c r="A170" s="69">
        <v>167</v>
      </c>
      <c r="B170" s="66">
        <v>8.8817841970012523E-15</v>
      </c>
      <c r="C170" s="66">
        <v>1.7728112169663178E-17</v>
      </c>
      <c r="D170" s="71">
        <v>2</v>
      </c>
      <c r="E170" s="67">
        <v>0.33333333333333331</v>
      </c>
      <c r="F170" s="67">
        <v>0.33333333333333331</v>
      </c>
      <c r="G170" s="67">
        <v>0.29971590909090912</v>
      </c>
      <c r="H170" s="67">
        <v>0.16714015151515152</v>
      </c>
      <c r="I170" s="68">
        <v>8508.6097946287518</v>
      </c>
      <c r="J170" s="68">
        <v>-8158.3569405099151</v>
      </c>
      <c r="K170" s="67">
        <v>0.10978043912175649</v>
      </c>
      <c r="L170" s="67">
        <v>0.10978043912175649</v>
      </c>
      <c r="M170" s="67">
        <v>0.27438446969696972</v>
      </c>
      <c r="N170" s="67">
        <v>0.21022727272727273</v>
      </c>
      <c r="O170" s="67">
        <v>0.58584987057808458</v>
      </c>
      <c r="P170" s="67">
        <v>0.39189189189189189</v>
      </c>
      <c r="Q170" s="67">
        <v>0.43601895734597157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0.29924776680771037</v>
      </c>
      <c r="H171" s="67">
        <v>0.16643159379407615</v>
      </c>
      <c r="I171" s="68">
        <v>8518.7745483110757</v>
      </c>
      <c r="J171" s="68">
        <v>-8171.6101694915251</v>
      </c>
      <c r="K171" s="67">
        <v>0.10912698412698413</v>
      </c>
      <c r="L171" s="67">
        <v>0.10912698412698413</v>
      </c>
      <c r="M171" s="67">
        <v>0.27456511518570759</v>
      </c>
      <c r="N171" s="67">
        <v>0.20921485660554773</v>
      </c>
      <c r="O171" s="67">
        <v>0.58561643835616439</v>
      </c>
      <c r="P171" s="67">
        <v>0.39213483146067418</v>
      </c>
      <c r="Q171" s="67">
        <v>0.43754909662215241</v>
      </c>
    </row>
    <row r="172" spans="1:17" x14ac:dyDescent="0.4">
      <c r="A172" s="69">
        <v>169</v>
      </c>
      <c r="B172" s="66">
        <v>1.2434497875801753E-14</v>
      </c>
      <c r="C172" s="66">
        <v>2.4525636835900893E-17</v>
      </c>
      <c r="D172" s="71">
        <v>2</v>
      </c>
      <c r="E172" s="67">
        <v>0.33333333333333331</v>
      </c>
      <c r="F172" s="67">
        <v>0.33333333333333331</v>
      </c>
      <c r="G172" s="67">
        <v>0.29899556178462977</v>
      </c>
      <c r="H172" s="67">
        <v>0.16608269096005607</v>
      </c>
      <c r="I172" s="68">
        <v>8527.1875</v>
      </c>
      <c r="J172" s="68">
        <v>-8173.6990154711675</v>
      </c>
      <c r="K172" s="67">
        <v>0.11045364891518737</v>
      </c>
      <c r="L172" s="67">
        <v>0.11045364891518737</v>
      </c>
      <c r="M172" s="67">
        <v>0.27516935295491707</v>
      </c>
      <c r="N172" s="67">
        <v>0.20953048353188508</v>
      </c>
      <c r="O172" s="67">
        <v>0.58488964346349748</v>
      </c>
      <c r="P172" s="67">
        <v>0.39018952062430323</v>
      </c>
      <c r="Q172" s="67">
        <v>0.43828125000000001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0.29897864438254412</v>
      </c>
      <c r="H173" s="67">
        <v>0.16620241411327763</v>
      </c>
      <c r="I173" s="68">
        <v>8520.652173913044</v>
      </c>
      <c r="J173" s="68">
        <v>-8178.0726256983244</v>
      </c>
      <c r="K173" s="67">
        <v>0.10980392156862745</v>
      </c>
      <c r="L173" s="67">
        <v>0.10980392156862745</v>
      </c>
      <c r="M173" s="67">
        <v>0.27530176415970287</v>
      </c>
      <c r="N173" s="67">
        <v>0.20984215413184773</v>
      </c>
      <c r="O173" s="67">
        <v>0.58347386172006743</v>
      </c>
      <c r="P173" s="67">
        <v>0.38938053097345132</v>
      </c>
      <c r="Q173" s="67">
        <v>0.43788819875776397</v>
      </c>
    </row>
    <row r="174" spans="1:17" x14ac:dyDescent="0.4">
      <c r="A174" s="69">
        <v>171</v>
      </c>
      <c r="B174" s="66">
        <v>1.4210854715202004E-14</v>
      </c>
      <c r="C174" s="66">
        <v>2.7701471179731E-17</v>
      </c>
      <c r="D174" s="71">
        <v>2</v>
      </c>
      <c r="E174" s="67">
        <v>0.33333333333333331</v>
      </c>
      <c r="F174" s="67">
        <v>0.33333333333333331</v>
      </c>
      <c r="G174" s="67">
        <v>0.29916897506925205</v>
      </c>
      <c r="H174" s="67">
        <v>0.1659741458910434</v>
      </c>
      <c r="I174" s="68">
        <v>8541.7438271604933</v>
      </c>
      <c r="J174" s="68">
        <v>-8173.8525730180809</v>
      </c>
      <c r="K174" s="67">
        <v>0.1111111111111111</v>
      </c>
      <c r="L174" s="67">
        <v>0.1111111111111111</v>
      </c>
      <c r="M174" s="67">
        <v>0.27539242843951983</v>
      </c>
      <c r="N174" s="67">
        <v>0.20983379501385041</v>
      </c>
      <c r="O174" s="67">
        <v>0.58340318524727575</v>
      </c>
      <c r="P174" s="67">
        <v>0.39163916391639164</v>
      </c>
      <c r="Q174" s="67">
        <v>0.43904320987654322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2019-05-20T15:50:41Z</dcterms:modified>
</cp:coreProperties>
</file>