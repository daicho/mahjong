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6243B0A7-9B91-49F0-8EBC-DCA4BBBE78CC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6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6" i="5471"/>
  <c r="O20" i="5473" l="1"/>
  <c r="O18" i="5473"/>
  <c r="O16" i="5467"/>
  <c r="O20" i="5457"/>
  <c r="O24" i="5455" l="1"/>
  <c r="O17" i="5473"/>
  <c r="O21" i="5465"/>
  <c r="O15" i="5473"/>
  <c r="O16" i="5473" l="1"/>
  <c r="O19" i="5473"/>
  <c r="C27" i="5473"/>
  <c r="B24" i="5473"/>
  <c r="C20" i="5473"/>
  <c r="B17" i="5473"/>
  <c r="H51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0" i="5463"/>
  <c r="O22" i="5453"/>
  <c r="H2" i="5473" l="1"/>
  <c r="H11" i="5473"/>
  <c r="H4" i="5473"/>
  <c r="H10" i="5473"/>
  <c r="H16" i="5473"/>
  <c r="H8" i="5473"/>
  <c r="H14" i="5473"/>
  <c r="H5" i="5473"/>
  <c r="C19" i="5473"/>
  <c r="H30" i="5473"/>
  <c r="H38" i="5473"/>
  <c r="H46" i="5473"/>
  <c r="H25" i="5473"/>
  <c r="H48" i="5473"/>
  <c r="H32" i="5473"/>
  <c r="H7" i="5473"/>
  <c r="H15" i="5473"/>
  <c r="H42" i="5473"/>
  <c r="H50" i="5473"/>
  <c r="H40" i="5473"/>
  <c r="H13" i="5473"/>
  <c r="C17" i="5473"/>
  <c r="H21" i="5473"/>
  <c r="H34" i="5473"/>
  <c r="H3" i="5473"/>
  <c r="H6" i="5473"/>
  <c r="H9" i="5473"/>
  <c r="H12" i="5473"/>
  <c r="C18" i="5473"/>
  <c r="B23" i="5473"/>
  <c r="H28" i="5473"/>
  <c r="H36" i="5473"/>
  <c r="H44" i="5473"/>
  <c r="H52" i="5473"/>
  <c r="H18" i="5473"/>
  <c r="H20" i="5473"/>
  <c r="H23" i="5473"/>
  <c r="H26" i="5473"/>
  <c r="H29" i="5473"/>
  <c r="H33" i="5473"/>
  <c r="H37" i="5473"/>
  <c r="H41" i="5473"/>
  <c r="H45" i="5473"/>
  <c r="H49" i="5473"/>
  <c r="H17" i="5473"/>
  <c r="H19" i="5473"/>
  <c r="H22" i="5473"/>
  <c r="H24" i="5473"/>
  <c r="H27" i="5473"/>
  <c r="H31" i="5473"/>
  <c r="H35" i="5473"/>
  <c r="H39" i="5473"/>
  <c r="H43" i="5473"/>
  <c r="H47" i="5473"/>
  <c r="O21" i="5463" l="1"/>
  <c r="O17" i="5459"/>
  <c r="O21" i="5467"/>
  <c r="O18" i="5467"/>
  <c r="O21" i="5455" l="1"/>
  <c r="O17" i="5471"/>
  <c r="O20" i="5471" l="1"/>
  <c r="O15" i="5471"/>
  <c r="O15" i="5461"/>
  <c r="O22" i="5459"/>
  <c r="O17" i="5469" l="1"/>
  <c r="O22" i="5465"/>
  <c r="O15" i="5469"/>
  <c r="O21" i="5471"/>
  <c r="O15" i="5457"/>
  <c r="O17" i="5467"/>
  <c r="O17" i="5453"/>
  <c r="O19" i="5471"/>
  <c r="O18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18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2" i="5471"/>
  <c r="H13" i="5471"/>
  <c r="C17" i="5471"/>
  <c r="H21" i="5471"/>
  <c r="H4" i="5471"/>
  <c r="H8" i="5471"/>
  <c r="H10" i="5471"/>
  <c r="H3" i="5471"/>
  <c r="C18" i="5471"/>
  <c r="H7" i="5471"/>
  <c r="H15" i="5471"/>
  <c r="H6" i="5471"/>
  <c r="H9" i="5471"/>
  <c r="H12" i="5471"/>
  <c r="H5" i="5471"/>
  <c r="H11" i="5471"/>
  <c r="H14" i="5471"/>
  <c r="H16" i="5471"/>
  <c r="C19" i="5471"/>
  <c r="H18" i="5471"/>
  <c r="H20" i="5471"/>
  <c r="H23" i="5471"/>
  <c r="H26" i="5471"/>
  <c r="H29" i="5471"/>
  <c r="H33" i="5471"/>
  <c r="H37" i="5471"/>
  <c r="H41" i="5471"/>
  <c r="H45" i="5471"/>
  <c r="H49" i="5471"/>
  <c r="H30" i="5471"/>
  <c r="H34" i="5471"/>
  <c r="H38" i="5471"/>
  <c r="H42" i="5471"/>
  <c r="H46" i="5471"/>
  <c r="H50" i="5471"/>
  <c r="H17" i="5471"/>
  <c r="H19" i="5471"/>
  <c r="H22" i="5471"/>
  <c r="H24" i="5471"/>
  <c r="H27" i="5471"/>
  <c r="H31" i="5471"/>
  <c r="H35" i="5471"/>
  <c r="H39" i="5471"/>
  <c r="H43" i="5471"/>
  <c r="H47" i="5471"/>
  <c r="H51" i="5471"/>
  <c r="B23" i="5471"/>
  <c r="H25" i="5471"/>
  <c r="H28" i="5471"/>
  <c r="H32" i="5471"/>
  <c r="H36" i="5471"/>
  <c r="H40" i="5471"/>
  <c r="H44" i="5471"/>
  <c r="H48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20" i="5467" l="1"/>
  <c r="O18" i="5465"/>
  <c r="O16" i="5465"/>
  <c r="O17" i="5457"/>
  <c r="O18" i="5463" l="1"/>
  <c r="O17" i="5461"/>
  <c r="O17" i="5465"/>
  <c r="O19" i="5465"/>
  <c r="O15" i="5463" l="1"/>
  <c r="O16" i="5461"/>
  <c r="O21" i="5459"/>
  <c r="O18" i="5459"/>
  <c r="O15" i="5467"/>
  <c r="O19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3" i="5453"/>
  <c r="H8" i="5467" l="1"/>
  <c r="H2" i="5467"/>
  <c r="C17" i="5467"/>
  <c r="H4" i="5467"/>
  <c r="H10" i="5467"/>
  <c r="H18" i="5467"/>
  <c r="H20" i="5467"/>
  <c r="H23" i="5467"/>
  <c r="H26" i="5467"/>
  <c r="H29" i="5467"/>
  <c r="H33" i="5467"/>
  <c r="H37" i="5467"/>
  <c r="H41" i="5467"/>
  <c r="H45" i="5467"/>
  <c r="H49" i="5467"/>
  <c r="H7" i="5467"/>
  <c r="H13" i="5467"/>
  <c r="H15" i="5467"/>
  <c r="C19" i="5467"/>
  <c r="H21" i="5467"/>
  <c r="H30" i="5467"/>
  <c r="H34" i="5467"/>
  <c r="H38" i="5467"/>
  <c r="H42" i="5467"/>
  <c r="H46" i="5467"/>
  <c r="H50" i="5467"/>
  <c r="H3" i="5467"/>
  <c r="H6" i="5467"/>
  <c r="H9" i="5467"/>
  <c r="H12" i="5467"/>
  <c r="H17" i="5467"/>
  <c r="H19" i="5467"/>
  <c r="H22" i="5467"/>
  <c r="H24" i="5467"/>
  <c r="H27" i="5467"/>
  <c r="H31" i="5467"/>
  <c r="H35" i="5467"/>
  <c r="H39" i="5467"/>
  <c r="H43" i="5467"/>
  <c r="H47" i="5467"/>
  <c r="H51" i="5467"/>
  <c r="H5" i="5467"/>
  <c r="H11" i="5467"/>
  <c r="H14" i="5467"/>
  <c r="H16" i="5467"/>
  <c r="C18" i="5467"/>
  <c r="B23" i="5467"/>
  <c r="H25" i="5467"/>
  <c r="H28" i="5467"/>
  <c r="H32" i="5467"/>
  <c r="H36" i="5467"/>
  <c r="H40" i="5467"/>
  <c r="H44" i="5467"/>
  <c r="H48" i="5467"/>
  <c r="O19" i="5459" l="1"/>
  <c r="O20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20" i="5455"/>
  <c r="O18" i="5453"/>
  <c r="O19" i="5463"/>
  <c r="O19" i="5457"/>
  <c r="O18" i="5457"/>
  <c r="O19" i="5461"/>
  <c r="O22" i="5463"/>
  <c r="O23" i="5463"/>
  <c r="C27" i="5463"/>
  <c r="B24" i="5463"/>
  <c r="C20" i="5463"/>
  <c r="B17" i="5463"/>
  <c r="H50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50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19" i="5455"/>
  <c r="O23" i="5455"/>
  <c r="O20" i="5453"/>
  <c r="O21" i="5453"/>
  <c r="C17" i="5465" l="1"/>
  <c r="H4" i="5465"/>
  <c r="H10" i="5465"/>
  <c r="H2" i="5465"/>
  <c r="H8" i="5465"/>
  <c r="H4" i="5463"/>
  <c r="H2" i="5463"/>
  <c r="H4" i="5461"/>
  <c r="H2" i="5461"/>
  <c r="H26" i="5465"/>
  <c r="H41" i="5465"/>
  <c r="H13" i="5465"/>
  <c r="H15" i="5465"/>
  <c r="C19" i="5465"/>
  <c r="H21" i="5465"/>
  <c r="H30" i="5465"/>
  <c r="H34" i="5465"/>
  <c r="H38" i="5465"/>
  <c r="H42" i="5465"/>
  <c r="H46" i="5465"/>
  <c r="H50" i="5465"/>
  <c r="H20" i="5465"/>
  <c r="H33" i="5465"/>
  <c r="H49" i="5465"/>
  <c r="H3" i="5465"/>
  <c r="H6" i="5465"/>
  <c r="H9" i="5465"/>
  <c r="H12" i="5465"/>
  <c r="H17" i="5465"/>
  <c r="H19" i="5465"/>
  <c r="H22" i="5465"/>
  <c r="H24" i="5465"/>
  <c r="H27" i="5465"/>
  <c r="H31" i="5465"/>
  <c r="H35" i="5465"/>
  <c r="H39" i="5465"/>
  <c r="H43" i="5465"/>
  <c r="H47" i="5465"/>
  <c r="H51" i="5465"/>
  <c r="H18" i="5465"/>
  <c r="H23" i="5465"/>
  <c r="H29" i="5465"/>
  <c r="H37" i="5465"/>
  <c r="H45" i="5465"/>
  <c r="H7" i="5465"/>
  <c r="H5" i="5465"/>
  <c r="H11" i="5465"/>
  <c r="H14" i="5465"/>
  <c r="H16" i="5465"/>
  <c r="C18" i="5465"/>
  <c r="B23" i="5465"/>
  <c r="H25" i="5465"/>
  <c r="H28" i="5465"/>
  <c r="H32" i="5465"/>
  <c r="H36" i="5465"/>
  <c r="H40" i="5465"/>
  <c r="H44" i="5465"/>
  <c r="H48" i="5465"/>
  <c r="H22" i="5463"/>
  <c r="C17" i="5463"/>
  <c r="H39" i="5463"/>
  <c r="H31" i="5463"/>
  <c r="H25" i="5463"/>
  <c r="H9" i="5463"/>
  <c r="H12" i="5463"/>
  <c r="H14" i="5463"/>
  <c r="H3" i="5463"/>
  <c r="H6" i="5463"/>
  <c r="H11" i="5463"/>
  <c r="H17" i="5463"/>
  <c r="H47" i="5463"/>
  <c r="H5" i="5463"/>
  <c r="H8" i="5463"/>
  <c r="H10" i="5463"/>
  <c r="H10" i="5461"/>
  <c r="H16" i="5463"/>
  <c r="C18" i="5463"/>
  <c r="B23" i="5463"/>
  <c r="H32" i="5463"/>
  <c r="H40" i="5463"/>
  <c r="H48" i="5463"/>
  <c r="H19" i="5463"/>
  <c r="H27" i="5463"/>
  <c r="H35" i="5463"/>
  <c r="H43" i="5463"/>
  <c r="H51" i="5463"/>
  <c r="H24" i="5463"/>
  <c r="H28" i="5463"/>
  <c r="H36" i="5463"/>
  <c r="H44" i="5463"/>
  <c r="H52" i="5463"/>
  <c r="H18" i="5463"/>
  <c r="H20" i="5463"/>
  <c r="H23" i="5463"/>
  <c r="H26" i="5463"/>
  <c r="H29" i="5463"/>
  <c r="H33" i="5463"/>
  <c r="H37" i="5463"/>
  <c r="H41" i="5463"/>
  <c r="H45" i="5463"/>
  <c r="H49" i="5463"/>
  <c r="H7" i="5463"/>
  <c r="H13" i="5463"/>
  <c r="H15" i="5463"/>
  <c r="C19" i="5463"/>
  <c r="H21" i="5463"/>
  <c r="H30" i="5463"/>
  <c r="H34" i="5463"/>
  <c r="H38" i="5463"/>
  <c r="H42" i="5463"/>
  <c r="H46" i="5463"/>
  <c r="H8" i="5461"/>
  <c r="H22" i="5461"/>
  <c r="H25" i="5461"/>
  <c r="H31" i="5461"/>
  <c r="H39" i="5461"/>
  <c r="H47" i="5461"/>
  <c r="H15" i="5461"/>
  <c r="H48" i="5461"/>
  <c r="C17" i="5461"/>
  <c r="H19" i="5461"/>
  <c r="H32" i="5461"/>
  <c r="H3" i="5461"/>
  <c r="H9" i="5461"/>
  <c r="H35" i="5461"/>
  <c r="H43" i="5461"/>
  <c r="H51" i="5461"/>
  <c r="C19" i="5461"/>
  <c r="H7" i="5461"/>
  <c r="H13" i="5461"/>
  <c r="B23" i="5461"/>
  <c r="H40" i="5461"/>
  <c r="H6" i="5461"/>
  <c r="H12" i="5461"/>
  <c r="H17" i="5461"/>
  <c r="H27" i="5461"/>
  <c r="H5" i="5461"/>
  <c r="H11" i="5461"/>
  <c r="H14" i="5461"/>
  <c r="H16" i="5461"/>
  <c r="C18" i="5461"/>
  <c r="H21" i="5461"/>
  <c r="H24" i="5461"/>
  <c r="H28" i="5461"/>
  <c r="H36" i="5461"/>
  <c r="H44" i="5461"/>
  <c r="H52" i="5461"/>
  <c r="H18" i="5461"/>
  <c r="H20" i="5461"/>
  <c r="H23" i="5461"/>
  <c r="H26" i="5461"/>
  <c r="H29" i="5461"/>
  <c r="H33" i="5461"/>
  <c r="H37" i="5461"/>
  <c r="H41" i="5461"/>
  <c r="H45" i="5461"/>
  <c r="H49" i="5461"/>
  <c r="H30" i="5461"/>
  <c r="H34" i="5461"/>
  <c r="H38" i="5461"/>
  <c r="H42" i="5461"/>
  <c r="H46" i="5461"/>
  <c r="O16" i="5459" l="1"/>
  <c r="O20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2" i="5455"/>
  <c r="C27" i="5455"/>
  <c r="B24" i="5455"/>
  <c r="C20" i="5455"/>
  <c r="B17" i="5455"/>
  <c r="H51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50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6" i="5457" l="1"/>
  <c r="H4" i="5457"/>
  <c r="H21" i="5457"/>
  <c r="H2" i="5457"/>
  <c r="H27" i="5459"/>
  <c r="H10" i="5459"/>
  <c r="H43" i="5459"/>
  <c r="H3" i="5459"/>
  <c r="H6" i="5459"/>
  <c r="H22" i="5459"/>
  <c r="H8" i="5459"/>
  <c r="C17" i="5459"/>
  <c r="H28" i="5455"/>
  <c r="H9" i="5455"/>
  <c r="H36" i="5455"/>
  <c r="H2" i="5455"/>
  <c r="H4" i="5455"/>
  <c r="H6" i="5455"/>
  <c r="H12" i="5455"/>
  <c r="B23" i="5455"/>
  <c r="H3" i="5455"/>
  <c r="H39" i="5459"/>
  <c r="H12" i="5459"/>
  <c r="H17" i="5459"/>
  <c r="H31" i="5459"/>
  <c r="H47" i="5459"/>
  <c r="H2" i="5459"/>
  <c r="H4" i="5459"/>
  <c r="H9" i="5459"/>
  <c r="H19" i="5459"/>
  <c r="H24" i="5459"/>
  <c r="H35" i="5459"/>
  <c r="H51" i="5459"/>
  <c r="H18" i="5459"/>
  <c r="H20" i="5459"/>
  <c r="H23" i="5459"/>
  <c r="H26" i="5459"/>
  <c r="H29" i="5459"/>
  <c r="H33" i="5459"/>
  <c r="H37" i="5459"/>
  <c r="H41" i="5459"/>
  <c r="H45" i="5459"/>
  <c r="H49" i="5459"/>
  <c r="H7" i="5459"/>
  <c r="H13" i="5459"/>
  <c r="H15" i="5459"/>
  <c r="C19" i="5459"/>
  <c r="H21" i="5459"/>
  <c r="H30" i="5459"/>
  <c r="H34" i="5459"/>
  <c r="H38" i="5459"/>
  <c r="H42" i="5459"/>
  <c r="H46" i="5459"/>
  <c r="H50" i="5459"/>
  <c r="H5" i="5459"/>
  <c r="H11" i="5459"/>
  <c r="H14" i="5459"/>
  <c r="H16" i="5459"/>
  <c r="C18" i="5459"/>
  <c r="B23" i="5459"/>
  <c r="H25" i="5459"/>
  <c r="H28" i="5459"/>
  <c r="H32" i="5459"/>
  <c r="H36" i="5459"/>
  <c r="H40" i="5459"/>
  <c r="H44" i="5459"/>
  <c r="H48" i="5459"/>
  <c r="H8" i="5457"/>
  <c r="C18" i="5457"/>
  <c r="H14" i="5457"/>
  <c r="H5" i="5457"/>
  <c r="H11" i="5457"/>
  <c r="H39" i="5457"/>
  <c r="H22" i="5457"/>
  <c r="H27" i="5457"/>
  <c r="H15" i="5457"/>
  <c r="H47" i="5457"/>
  <c r="H10" i="5457"/>
  <c r="C19" i="5457"/>
  <c r="H43" i="5457"/>
  <c r="H7" i="5457"/>
  <c r="H13" i="5457"/>
  <c r="C17" i="5457"/>
  <c r="H19" i="5457"/>
  <c r="H31" i="5457"/>
  <c r="H3" i="5457"/>
  <c r="H6" i="5457"/>
  <c r="H9" i="5457"/>
  <c r="H12" i="5457"/>
  <c r="H17" i="5457"/>
  <c r="H24" i="5457"/>
  <c r="H35" i="5457"/>
  <c r="H51" i="5457"/>
  <c r="H18" i="5457"/>
  <c r="H20" i="5457"/>
  <c r="H23" i="5457"/>
  <c r="H26" i="5457"/>
  <c r="H29" i="5457"/>
  <c r="H33" i="5457"/>
  <c r="H37" i="5457"/>
  <c r="H41" i="5457"/>
  <c r="H45" i="5457"/>
  <c r="H49" i="5457"/>
  <c r="H30" i="5457"/>
  <c r="H34" i="5457"/>
  <c r="H38" i="5457"/>
  <c r="H42" i="5457"/>
  <c r="H46" i="5457"/>
  <c r="H50" i="5457"/>
  <c r="B23" i="5457"/>
  <c r="H25" i="5457"/>
  <c r="H28" i="5457"/>
  <c r="H32" i="5457"/>
  <c r="H36" i="5457"/>
  <c r="H40" i="5457"/>
  <c r="H44" i="5457"/>
  <c r="H48" i="5457"/>
  <c r="H4" i="5453"/>
  <c r="H2" i="5453"/>
  <c r="H10" i="5453"/>
  <c r="H32" i="5453"/>
  <c r="H8" i="5453"/>
  <c r="H39" i="5453"/>
  <c r="H9" i="5453"/>
  <c r="H16" i="5453"/>
  <c r="H25" i="5453"/>
  <c r="H5" i="5453"/>
  <c r="H12" i="5453"/>
  <c r="C18" i="5453"/>
  <c r="H44" i="5455"/>
  <c r="H5" i="5455"/>
  <c r="H8" i="5455"/>
  <c r="H10" i="5455"/>
  <c r="C18" i="5455"/>
  <c r="H52" i="5455"/>
  <c r="H11" i="5455"/>
  <c r="H14" i="5455"/>
  <c r="H16" i="5455"/>
  <c r="C19" i="5455"/>
  <c r="H30" i="5455"/>
  <c r="H38" i="5455"/>
  <c r="H46" i="5455"/>
  <c r="H25" i="5455"/>
  <c r="H32" i="5455"/>
  <c r="H40" i="5455"/>
  <c r="H48" i="5455"/>
  <c r="H7" i="5455"/>
  <c r="H13" i="5455"/>
  <c r="H15" i="5455"/>
  <c r="C17" i="5455"/>
  <c r="H21" i="5455"/>
  <c r="H34" i="5455"/>
  <c r="H42" i="5455"/>
  <c r="H50" i="5455"/>
  <c r="H18" i="5455"/>
  <c r="H20" i="5455"/>
  <c r="H23" i="5455"/>
  <c r="H26" i="5455"/>
  <c r="H29" i="5455"/>
  <c r="H33" i="5455"/>
  <c r="H37" i="5455"/>
  <c r="H41" i="5455"/>
  <c r="H45" i="5455"/>
  <c r="H49" i="5455"/>
  <c r="H17" i="5455"/>
  <c r="H19" i="5455"/>
  <c r="H22" i="5455"/>
  <c r="H24" i="5455"/>
  <c r="H27" i="5455"/>
  <c r="H31" i="5455"/>
  <c r="H35" i="5455"/>
  <c r="H39" i="5455"/>
  <c r="H43" i="5455"/>
  <c r="H47" i="5455"/>
  <c r="H14" i="5453"/>
  <c r="H22" i="5453"/>
  <c r="H40" i="5453"/>
  <c r="H3" i="5453"/>
  <c r="H6" i="5453"/>
  <c r="H11" i="5453"/>
  <c r="H17" i="5453"/>
  <c r="B23" i="5453"/>
  <c r="H31" i="5453"/>
  <c r="H47" i="5453"/>
  <c r="H48" i="5453"/>
  <c r="H19" i="5453"/>
  <c r="H27" i="5453"/>
  <c r="H35" i="5453"/>
  <c r="H43" i="5453"/>
  <c r="H51" i="5453"/>
  <c r="C17" i="5453"/>
  <c r="H24" i="5453"/>
  <c r="H28" i="5453"/>
  <c r="H36" i="5453"/>
  <c r="H44" i="5453"/>
  <c r="H52" i="5453"/>
  <c r="H18" i="5453"/>
  <c r="H20" i="5453"/>
  <c r="H23" i="5453"/>
  <c r="H26" i="5453"/>
  <c r="H29" i="5453"/>
  <c r="H33" i="5453"/>
  <c r="H37" i="5453"/>
  <c r="H41" i="5453"/>
  <c r="H45" i="5453"/>
  <c r="H49" i="5453"/>
  <c r="H7" i="5453"/>
  <c r="H13" i="5453"/>
  <c r="H15" i="5453"/>
  <c r="C19" i="5453"/>
  <c r="H21" i="5453"/>
  <c r="H30" i="5453"/>
  <c r="H34" i="5453"/>
  <c r="H38" i="5453"/>
  <c r="H42" i="5453"/>
  <c r="H46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<sst xmlns="http://schemas.openxmlformats.org/spreadsheetml/2006/main" count="3294" uniqueCount="254">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</sst>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全体!$K$2:$K$644</c:f>
              <c:numCache>
                <c:formatCode>General</c:formatCode>
                <c:ptCount val="6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</c:numCache>
            </c:numRef>
          </c:xVal>
          <c:yVal>
            <c:numRef>
              <c:f>全体!$L$2:$L$644</c:f>
              <c:numCache>
                <c:formatCode>\+0.0;\-0.0;\±0</c:formatCode>
                <c:ptCount val="64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-14.018691588785046</c:v>
                </c:pt>
                <c:pt idx="1">
                  <c:v>-7.9744816586921852</c:v>
                </c:pt>
                <c:pt idx="2">
                  <c:v>8.4602368866328259</c:v>
                </c:pt>
                <c:pt idx="3">
                  <c:v>11.173184357541899</c:v>
                </c:pt>
                <c:pt idx="4">
                  <c:v>-14.492753623188406</c:v>
                </c:pt>
                <c:pt idx="5">
                  <c:v>23.148148148148149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だいち!$K$2:$K$146</c:f>
              <c:numCache>
                <c:formatCode>General</c:formatCode>
                <c:ptCount val="1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</c:numCache>
            </c:numRef>
          </c:xVal>
          <c:yVal>
            <c:numRef>
              <c:f>だいち!$L$2:$L$146</c:f>
              <c:numCache>
                <c:formatCode>\+0.0;\-0.0;\±0</c:formatCode>
                <c:ptCount val="14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2256.25</c:v>
                </c:pt>
                <c:pt idx="1">
                  <c:v>1167.1428571428571</c:v>
                </c:pt>
                <c:pt idx="2">
                  <c:v>796.99248120300751</c:v>
                </c:pt>
                <c:pt idx="3">
                  <c:v>2646.7213114754099</c:v>
                </c:pt>
                <c:pt idx="4">
                  <c:v>360.18518518518516</c:v>
                </c:pt>
                <c:pt idx="5">
                  <c:v>861.70212765957444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299.17355371900828</c:v>
                </c:pt>
                <c:pt idx="1">
                  <c:v>-2208.5470085470088</c:v>
                </c:pt>
                <c:pt idx="2">
                  <c:v>293.85964912280701</c:v>
                </c:pt>
                <c:pt idx="3">
                  <c:v>16.831683168316832</c:v>
                </c:pt>
                <c:pt idx="4">
                  <c:v>203.33333333333334</c:v>
                </c:pt>
                <c:pt idx="5">
                  <c:v>280.95238095238096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ただ!$L$2:$L$89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-3270.1149425287358</c:v>
                </c:pt>
                <c:pt idx="1">
                  <c:v>-1430.5882352941176</c:v>
                </c:pt>
                <c:pt idx="2">
                  <c:v>346.25</c:v>
                </c:pt>
                <c:pt idx="3">
                  <c:v>-4722.8571428571431</c:v>
                </c:pt>
                <c:pt idx="4">
                  <c:v>-1230.1587301587301</c:v>
                </c:pt>
                <c:pt idx="5">
                  <c:v>-1235.0877192982457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れんたろう!$L$2:$L$90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-618.18181818181813</c:v>
                </c:pt>
                <c:pt idx="1">
                  <c:v>496.51162790697674</c:v>
                </c:pt>
                <c:pt idx="2">
                  <c:v>1178.4810126582279</c:v>
                </c:pt>
                <c:pt idx="3">
                  <c:v>998.52941176470586</c:v>
                </c:pt>
                <c:pt idx="4">
                  <c:v>-588.33333333333337</c:v>
                </c:pt>
                <c:pt idx="5">
                  <c:v>-303.63636363636363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たかの!$L$2:$L$74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745.83333333333337</c:v>
                </c:pt>
                <c:pt idx="1">
                  <c:v>-1040.2777777777778</c:v>
                </c:pt>
                <c:pt idx="2">
                  <c:v>-1564.6153846153845</c:v>
                </c:pt>
                <c:pt idx="3">
                  <c:v>985.48387096774195</c:v>
                </c:pt>
                <c:pt idx="4">
                  <c:v>769.49152542372883</c:v>
                </c:pt>
                <c:pt idx="5">
                  <c:v>-472.54901960784315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1001.7543859649123</c:v>
                </c:pt>
                <c:pt idx="1">
                  <c:v>2064.8148148148148</c:v>
                </c:pt>
                <c:pt idx="2">
                  <c:v>-1104.0816326530612</c:v>
                </c:pt>
                <c:pt idx="3">
                  <c:v>1895.7446808510638</c:v>
                </c:pt>
                <c:pt idx="4">
                  <c:v>-1130.952380952381</c:v>
                </c:pt>
                <c:pt idx="5">
                  <c:v>576.47058823529414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ほたに!$L$2:$L$11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まっつん2!$B$3:$B$60</c:f>
              <c:numCache>
                <c:formatCode>\+0.0;\-0.0;\±0</c:formatCode>
                <c:ptCount val="5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48689957516035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まっつん2!$C$3:$C$60</c:f>
              <c:numCache>
                <c:formatCode>\+0.0;\-0.0;\±0</c:formatCode>
                <c:ptCount val="58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873675350717056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まっつん2!$D$3:$D$60</c:f>
              <c:numCache>
                <c:formatCode>0.00\ "位"</c:formatCode>
                <c:ptCount val="58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まっつん2!$E$3:$E$60</c:f>
              <c:numCache>
                <c:formatCode>0.0%</c:formatCode>
                <c:ptCount val="5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まっつん2!$F$3:$F$60</c:f>
              <c:numCache>
                <c:formatCode>0.0%</c:formatCode>
                <c:ptCount val="58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まっつん2!$G$3:$G$60</c:f>
              <c:numCache>
                <c:formatCode>0.0%</c:formatCode>
                <c:ptCount val="58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701046337817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まっつん2!$H$3:$H$60</c:f>
              <c:numCache>
                <c:formatCode>0.0%</c:formatCode>
                <c:ptCount val="58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787742899850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まっつん2!$I$3:$I$60</c:f>
              <c:numCache>
                <c:formatCode>0</c:formatCode>
                <c:ptCount val="58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45.94763092269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まっつん2!$J$3:$J$60</c:f>
              <c:numCache>
                <c:formatCode>0</c:formatCode>
                <c:ptCount val="58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95.10022271714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まっつん2!$K$3:$K$60</c:f>
              <c:numCache>
                <c:formatCode>0.0%</c:formatCode>
                <c:ptCount val="5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822429906542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まっつん2!$L$3:$L$60</c:f>
              <c:numCache>
                <c:formatCode>0.0%</c:formatCode>
                <c:ptCount val="5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822429906542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まっつん2!$M$3:$M$60</c:f>
              <c:numCache>
                <c:formatCode>0.0%</c:formatCode>
                <c:ptCount val="58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334828101644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まっつん2!$N$3:$N$60</c:f>
              <c:numCache>
                <c:formatCode>0.0%</c:formatCode>
                <c:ptCount val="58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641255605381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まっつん2!$O$3:$O$60</c:f>
              <c:numCache>
                <c:formatCode>0.0%</c:formatCode>
                <c:ptCount val="58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0602006688963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まっつん2!$P$3:$P$60</c:f>
              <c:numCache>
                <c:formatCode>0.0%</c:formatCode>
                <c:ptCount val="58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939393939393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まっつん2!$A$3:$A$60</c:f>
              <c:numCache>
                <c:formatCode>0\ "回"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まっつん2!$Q$3:$Q$60</c:f>
              <c:numCache>
                <c:formatCode>0.0%</c:formatCode>
                <c:ptCount val="58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915211970074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43627.686435185184</v>
      </c>
      <c r="C63" s="30" t="s">
        <v>130</v>
      </c>
      <c r="D63" s="30" t="s">
        <v>131</v>
      </c>
      <c r="E63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642</v>
      </c>
    </row>
    <row r="2" spans="1:2" x14ac:dyDescent="0.4">
      <c r="A2" t="s">
        <v>127</v>
      </c>
      <c r="B2">
        <v>144</v>
      </c>
    </row>
    <row r="3" spans="1:2" x14ac:dyDescent="0.4">
      <c r="A3" t="s">
        <v>128</v>
      </c>
      <c r="B3">
        <v>121</v>
      </c>
    </row>
    <row r="4" spans="1:2" x14ac:dyDescent="0.4">
      <c r="A4" t="s">
        <v>129</v>
      </c>
      <c r="B4">
        <v>87</v>
      </c>
    </row>
    <row r="5" spans="1:2" x14ac:dyDescent="0.4">
      <c r="A5" t="s">
        <v>171</v>
      </c>
      <c r="B5">
        <v>88</v>
      </c>
    </row>
    <row r="6" spans="1:2" x14ac:dyDescent="0.4">
      <c r="A6" t="s">
        <v>172</v>
      </c>
      <c r="B6">
        <v>72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57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14</v>
      </c>
    </row>
    <row r="11" spans="1:2" x14ac:dyDescent="0.4">
      <c r="A11" t="s">
        <v>200</v>
      </c>
      <c r="B11">
        <v>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0.96662749558697258</v>
      </c>
      <c r="G2" s="159"/>
      <c r="H2" s="158">
        <v>0.75715682513699045</v>
      </c>
      <c r="I2" s="159"/>
      <c r="J2" s="158">
        <v>0.93836070526387383</v>
      </c>
      <c r="K2" s="159"/>
      <c r="L2" s="158">
        <v>0.78302871085517245</v>
      </c>
      <c r="M2" s="159"/>
      <c r="N2" s="158">
        <v>0.68883480568659528</v>
      </c>
      <c r="O2" s="159"/>
      <c r="P2" s="158">
        <v>0.28582948442056472</v>
      </c>
      <c r="Q2" s="159"/>
      <c r="R2" s="158">
        <v>0.29912491485745113</v>
      </c>
      <c r="S2" s="159"/>
      <c r="T2" s="158">
        <v>0.45781393477133286</v>
      </c>
      <c r="U2" s="159"/>
      <c r="V2" s="158">
        <v>0.73728457443793172</v>
      </c>
      <c r="W2" s="159"/>
      <c r="X2" s="158">
        <v>0.42799699317103246</v>
      </c>
      <c r="Y2" s="159"/>
      <c r="Z2" s="158">
        <v>0.1918950644687758</v>
      </c>
      <c r="AA2" s="159"/>
      <c r="AB2" s="158">
        <v>0.15513761132946316</v>
      </c>
      <c r="AC2" s="159"/>
      <c r="AD2" s="158">
        <v>0.7137846487342161</v>
      </c>
      <c r="AE2" s="159"/>
      <c r="AF2" s="158">
        <v>-0.58404607214054771</v>
      </c>
      <c r="AG2" s="159"/>
      <c r="AH2" s="158">
        <v>0.67362477214545102</v>
      </c>
      <c r="AI2" s="159"/>
    </row>
    <row r="3" spans="1:35" x14ac:dyDescent="0.4">
      <c r="A3" s="74">
        <v>1</v>
      </c>
      <c r="B3" s="75" t="s">
        <v>127</v>
      </c>
      <c r="C3" s="76">
        <v>1806.1000000000008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0.34860050890585242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0.1736111111111111</v>
      </c>
      <c r="X3" s="77" t="s">
        <v>127</v>
      </c>
      <c r="Y3" s="80">
        <v>0.31297709923664124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0.51908396946564883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255.50000000000003</v>
      </c>
      <c r="D4" s="85" t="s">
        <v>222</v>
      </c>
      <c r="E4" s="97">
        <v>13.3</v>
      </c>
      <c r="F4" s="85" t="s">
        <v>127</v>
      </c>
      <c r="G4" s="86">
        <v>1.7361111111111112</v>
      </c>
      <c r="H4" s="85" t="s">
        <v>127</v>
      </c>
      <c r="I4" s="87">
        <v>0.49305555555555558</v>
      </c>
      <c r="J4" s="85" t="s">
        <v>222</v>
      </c>
      <c r="K4" s="87">
        <v>0</v>
      </c>
      <c r="L4" s="85" t="s">
        <v>172</v>
      </c>
      <c r="M4" s="88">
        <v>0.34460547504025762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200</v>
      </c>
      <c r="U4" s="87">
        <v>0</v>
      </c>
      <c r="V4" s="85" t="s">
        <v>177</v>
      </c>
      <c r="W4" s="87">
        <v>0.14035087719298245</v>
      </c>
      <c r="X4" s="85" t="s">
        <v>128</v>
      </c>
      <c r="Y4" s="88">
        <v>0.30149253731343284</v>
      </c>
      <c r="Z4" s="85" t="s">
        <v>172</v>
      </c>
      <c r="AA4" s="88">
        <v>0.28824476650563607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12.542361111111116</v>
      </c>
      <c r="F5" s="85" t="s">
        <v>200</v>
      </c>
      <c r="G5" s="86">
        <v>1.8888888888888888</v>
      </c>
      <c r="H5" s="85" t="s">
        <v>177</v>
      </c>
      <c r="I5" s="87">
        <v>0.40350877192982454</v>
      </c>
      <c r="J5" s="85" t="s">
        <v>200</v>
      </c>
      <c r="K5" s="87">
        <v>0.1111111111111111</v>
      </c>
      <c r="L5" s="85" t="s">
        <v>200</v>
      </c>
      <c r="M5" s="88">
        <v>0.3411764705882353</v>
      </c>
      <c r="N5" s="85" t="s">
        <v>172</v>
      </c>
      <c r="O5" s="88">
        <v>0.13687600644122383</v>
      </c>
      <c r="P5" s="85" t="s">
        <v>171</v>
      </c>
      <c r="Q5" s="89">
        <v>10010.731707317073</v>
      </c>
      <c r="R5" s="85" t="s">
        <v>128</v>
      </c>
      <c r="S5" s="89">
        <v>-7776.6081871345032</v>
      </c>
      <c r="T5" s="85" t="s">
        <v>222</v>
      </c>
      <c r="U5" s="87">
        <v>0</v>
      </c>
      <c r="V5" s="85" t="s">
        <v>171</v>
      </c>
      <c r="W5" s="87">
        <v>0.13636363636363635</v>
      </c>
      <c r="X5" s="85" t="s">
        <v>171</v>
      </c>
      <c r="Y5" s="88">
        <v>0.29120879120879123</v>
      </c>
      <c r="Z5" s="85" t="s">
        <v>173</v>
      </c>
      <c r="AA5" s="88">
        <v>0.25654450261780104</v>
      </c>
      <c r="AB5" s="85" t="s">
        <v>177</v>
      </c>
      <c r="AC5" s="88">
        <v>0.6875</v>
      </c>
      <c r="AD5" s="85" t="s">
        <v>200</v>
      </c>
      <c r="AE5" s="88">
        <v>0.48</v>
      </c>
      <c r="AF5" s="85" t="s">
        <v>184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46.300000000000026</v>
      </c>
      <c r="D6" s="85" t="s">
        <v>177</v>
      </c>
      <c r="E6" s="97">
        <v>4.4824561403508776</v>
      </c>
      <c r="F6" s="85" t="s">
        <v>177</v>
      </c>
      <c r="G6" s="86">
        <v>1.8947368421052631</v>
      </c>
      <c r="H6" s="85" t="s">
        <v>184</v>
      </c>
      <c r="I6" s="87">
        <v>0.35714285714285715</v>
      </c>
      <c r="J6" s="85" t="s">
        <v>127</v>
      </c>
      <c r="K6" s="87">
        <v>0.22916666666666666</v>
      </c>
      <c r="L6" s="85" t="s">
        <v>177</v>
      </c>
      <c r="M6" s="88">
        <v>0.31372549019607843</v>
      </c>
      <c r="N6" s="85" t="s">
        <v>177</v>
      </c>
      <c r="O6" s="88">
        <v>0.15032679738562091</v>
      </c>
      <c r="P6" s="85" t="s">
        <v>128</v>
      </c>
      <c r="Q6" s="89">
        <v>9253.1365313653132</v>
      </c>
      <c r="R6" s="85" t="s">
        <v>173</v>
      </c>
      <c r="S6" s="89">
        <v>-7866.1971830985913</v>
      </c>
      <c r="T6" s="85" t="s">
        <v>223</v>
      </c>
      <c r="U6" s="87">
        <v>0</v>
      </c>
      <c r="V6" s="85" t="s">
        <v>145</v>
      </c>
      <c r="W6" s="87">
        <v>0.11682242990654206</v>
      </c>
      <c r="X6" s="85" t="s">
        <v>129</v>
      </c>
      <c r="Y6" s="88">
        <v>0.27961432506887052</v>
      </c>
      <c r="Z6" s="85" t="s">
        <v>223</v>
      </c>
      <c r="AA6" s="88">
        <v>0.23529411764705882</v>
      </c>
      <c r="AB6" s="85" t="s">
        <v>184</v>
      </c>
      <c r="AC6" s="88">
        <v>0.6785714285714286</v>
      </c>
      <c r="AD6" s="85" t="s">
        <v>184</v>
      </c>
      <c r="AE6" s="88">
        <v>0.44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2.0111111111111106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0.2982456140350877</v>
      </c>
      <c r="L7" s="85" t="s">
        <v>145</v>
      </c>
      <c r="M7" s="88">
        <v>0.29970104633781763</v>
      </c>
      <c r="N7" s="85" t="s">
        <v>127</v>
      </c>
      <c r="O7" s="88">
        <v>0.15860899067005937</v>
      </c>
      <c r="P7" s="85" t="s">
        <v>127</v>
      </c>
      <c r="Q7" s="89">
        <v>9114.3552311435524</v>
      </c>
      <c r="R7" s="85" t="s">
        <v>177</v>
      </c>
      <c r="S7" s="89">
        <v>-7991.304347826087</v>
      </c>
      <c r="T7" s="85" t="s">
        <v>172</v>
      </c>
      <c r="U7" s="87">
        <v>4.1666666666666664E-2</v>
      </c>
      <c r="V7" s="85" t="s">
        <v>129</v>
      </c>
      <c r="W7" s="87">
        <v>0.10344827586206896</v>
      </c>
      <c r="X7" s="85" t="s">
        <v>145</v>
      </c>
      <c r="Y7" s="88">
        <v>0.27933482810164423</v>
      </c>
      <c r="Z7" s="85" t="s">
        <v>127</v>
      </c>
      <c r="AA7" s="88">
        <v>0.22222222222222221</v>
      </c>
      <c r="AB7" s="85" t="s">
        <v>183</v>
      </c>
      <c r="AC7" s="88">
        <v>0.6</v>
      </c>
      <c r="AD7" s="85" t="s">
        <v>172</v>
      </c>
      <c r="AE7" s="88">
        <v>0.42458100558659218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0.52613636363636396</v>
      </c>
      <c r="F8" s="85" t="s">
        <v>222</v>
      </c>
      <c r="G8" s="86">
        <v>2</v>
      </c>
      <c r="H8" s="85" t="s">
        <v>171</v>
      </c>
      <c r="I8" s="87">
        <v>0.30681818181818182</v>
      </c>
      <c r="J8" s="85" t="s">
        <v>172</v>
      </c>
      <c r="K8" s="87">
        <v>0.31944444444444442</v>
      </c>
      <c r="L8" s="85" t="s">
        <v>173</v>
      </c>
      <c r="M8" s="88">
        <v>0.29842931937172773</v>
      </c>
      <c r="N8" s="85" t="s">
        <v>200</v>
      </c>
      <c r="O8" s="88">
        <v>0.16470588235294117</v>
      </c>
      <c r="P8" s="85" t="s">
        <v>129</v>
      </c>
      <c r="Q8" s="89">
        <v>8877.6470588235297</v>
      </c>
      <c r="R8" s="85" t="s">
        <v>184</v>
      </c>
      <c r="S8" s="89">
        <v>-8107.6923076923076</v>
      </c>
      <c r="T8" s="85" t="s">
        <v>171</v>
      </c>
      <c r="U8" s="87">
        <v>0.10227272727272728</v>
      </c>
      <c r="V8" s="85" t="s">
        <v>172</v>
      </c>
      <c r="W8" s="87">
        <v>9.7222222222222224E-2</v>
      </c>
      <c r="X8" s="85" t="s">
        <v>177</v>
      </c>
      <c r="Y8" s="88">
        <v>0.27886710239651419</v>
      </c>
      <c r="Z8" s="85" t="s">
        <v>184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0.41605839416058393</v>
      </c>
      <c r="AF8" s="85" t="s">
        <v>129</v>
      </c>
      <c r="AG8" s="88">
        <v>0.44705882352941179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-2.4868995751603507E-14</v>
      </c>
      <c r="D9" s="85" t="s">
        <v>145</v>
      </c>
      <c r="E9" s="97">
        <v>-3.8736753507170569E-17</v>
      </c>
      <c r="F9" s="85" t="s">
        <v>171</v>
      </c>
      <c r="G9" s="86">
        <v>2.0454545454545454</v>
      </c>
      <c r="H9" s="85" t="s">
        <v>173</v>
      </c>
      <c r="I9" s="87">
        <v>0.29545454545454547</v>
      </c>
      <c r="J9" s="85" t="s">
        <v>145</v>
      </c>
      <c r="K9" s="87">
        <v>0.33333333333333331</v>
      </c>
      <c r="L9" s="85" t="s">
        <v>223</v>
      </c>
      <c r="M9" s="88">
        <v>0.29411764705882354</v>
      </c>
      <c r="N9" s="85" t="s">
        <v>145</v>
      </c>
      <c r="O9" s="88">
        <v>0.16778774289985052</v>
      </c>
      <c r="P9" s="85" t="s">
        <v>177</v>
      </c>
      <c r="Q9" s="89">
        <v>8768.75</v>
      </c>
      <c r="R9" s="85" t="s">
        <v>127</v>
      </c>
      <c r="S9" s="89">
        <v>-8235.8288770053477</v>
      </c>
      <c r="T9" s="85" t="s">
        <v>127</v>
      </c>
      <c r="U9" s="87">
        <v>0.10416666666666667</v>
      </c>
      <c r="V9" s="85" t="s">
        <v>128</v>
      </c>
      <c r="W9" s="87">
        <v>9.0909090909090912E-2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145</v>
      </c>
      <c r="AC9" s="88">
        <v>0.58060200668896322</v>
      </c>
      <c r="AD9" s="85" t="s">
        <v>145</v>
      </c>
      <c r="AE9" s="88">
        <v>0.39393939393939392</v>
      </c>
      <c r="AF9" s="85" t="s">
        <v>145</v>
      </c>
      <c r="AG9" s="88">
        <v>0.43391521197007482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-0.95000000000000029</v>
      </c>
      <c r="F10" s="85" t="s">
        <v>172</v>
      </c>
      <c r="G10" s="86">
        <v>2.0555555555555554</v>
      </c>
      <c r="H10" s="85" t="s">
        <v>172</v>
      </c>
      <c r="I10" s="87">
        <v>0.2638888888888889</v>
      </c>
      <c r="J10" s="85" t="s">
        <v>171</v>
      </c>
      <c r="K10" s="87">
        <v>0.35227272727272729</v>
      </c>
      <c r="L10" s="85" t="s">
        <v>184</v>
      </c>
      <c r="M10" s="88">
        <v>0.28813559322033899</v>
      </c>
      <c r="N10" s="85" t="s">
        <v>128</v>
      </c>
      <c r="O10" s="88">
        <v>0.17014925373134329</v>
      </c>
      <c r="P10" s="85" t="s">
        <v>145</v>
      </c>
      <c r="Q10" s="89">
        <v>8645.9476309226939</v>
      </c>
      <c r="R10" s="85" t="s">
        <v>145</v>
      </c>
      <c r="S10" s="89">
        <v>-8295.1002227171484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184</v>
      </c>
      <c r="Y10" s="88">
        <v>0.23728813559322035</v>
      </c>
      <c r="Z10" s="85" t="s">
        <v>145</v>
      </c>
      <c r="AA10" s="88">
        <v>0.20964125560538116</v>
      </c>
      <c r="AB10" s="85" t="s">
        <v>128</v>
      </c>
      <c r="AC10" s="88">
        <v>0.57755775577557755</v>
      </c>
      <c r="AD10" s="85" t="s">
        <v>177</v>
      </c>
      <c r="AE10" s="88">
        <v>0.38372093023255816</v>
      </c>
      <c r="AF10" s="85" t="s">
        <v>177</v>
      </c>
      <c r="AG10" s="88">
        <v>0.43055555555555558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172</v>
      </c>
      <c r="C11" s="84">
        <v>-68.40000000000002</v>
      </c>
      <c r="D11" s="85" t="s">
        <v>128</v>
      </c>
      <c r="E11" s="97">
        <v>-3.4884297520661165</v>
      </c>
      <c r="F11" s="85" t="s">
        <v>173</v>
      </c>
      <c r="G11" s="86">
        <v>2.0681818181818183</v>
      </c>
      <c r="H11" s="85" t="s">
        <v>128</v>
      </c>
      <c r="I11" s="87">
        <v>0.256198347107438</v>
      </c>
      <c r="J11" s="85" t="s">
        <v>128</v>
      </c>
      <c r="K11" s="87">
        <v>0.35537190082644626</v>
      </c>
      <c r="L11" s="85" t="s">
        <v>171</v>
      </c>
      <c r="M11" s="88">
        <v>0.28159340659340659</v>
      </c>
      <c r="N11" s="85" t="s">
        <v>171</v>
      </c>
      <c r="O11" s="88">
        <v>0.17445054945054944</v>
      </c>
      <c r="P11" s="85" t="s">
        <v>183</v>
      </c>
      <c r="Q11" s="89">
        <v>7860</v>
      </c>
      <c r="R11" s="85" t="s">
        <v>171</v>
      </c>
      <c r="S11" s="89">
        <v>-8534.645669291338</v>
      </c>
      <c r="T11" s="85" t="s">
        <v>145</v>
      </c>
      <c r="U11" s="87">
        <v>0.11682242990654206</v>
      </c>
      <c r="V11" s="85" t="s">
        <v>184</v>
      </c>
      <c r="W11" s="87">
        <v>0</v>
      </c>
      <c r="X11" s="85" t="s">
        <v>200</v>
      </c>
      <c r="Y11" s="88">
        <v>0.23529411764705882</v>
      </c>
      <c r="Z11" s="85" t="s">
        <v>171</v>
      </c>
      <c r="AA11" s="88">
        <v>0.18818681318681318</v>
      </c>
      <c r="AB11" s="85" t="s">
        <v>127</v>
      </c>
      <c r="AC11" s="88">
        <v>0.57723577235772361</v>
      </c>
      <c r="AD11" s="85" t="s">
        <v>173</v>
      </c>
      <c r="AE11" s="88">
        <v>0.33673469387755101</v>
      </c>
      <c r="AF11" s="85" t="s">
        <v>172</v>
      </c>
      <c r="AG11" s="88">
        <v>0.42523364485981308</v>
      </c>
      <c r="AH11" s="85" t="s">
        <v>184</v>
      </c>
      <c r="AI11" s="92">
        <v>62700</v>
      </c>
    </row>
    <row r="12" spans="1:35" x14ac:dyDescent="0.4">
      <c r="A12" s="82">
        <v>10</v>
      </c>
      <c r="B12" s="83" t="s">
        <v>184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2.0991735537190084</v>
      </c>
      <c r="H12" s="85" t="s">
        <v>129</v>
      </c>
      <c r="I12" s="87">
        <v>0.2413793103448276</v>
      </c>
      <c r="J12" s="85" t="s">
        <v>173</v>
      </c>
      <c r="K12" s="87">
        <v>0.36363636363636365</v>
      </c>
      <c r="L12" s="85" t="s">
        <v>128</v>
      </c>
      <c r="M12" s="88">
        <v>0.26965174129353237</v>
      </c>
      <c r="N12" s="85" t="s">
        <v>173</v>
      </c>
      <c r="O12" s="88">
        <v>0.18586387434554974</v>
      </c>
      <c r="P12" s="85" t="s">
        <v>184</v>
      </c>
      <c r="Q12" s="89">
        <v>7494.1176470588234</v>
      </c>
      <c r="R12" s="85" t="s">
        <v>172</v>
      </c>
      <c r="S12" s="89">
        <v>-8638.823529411764</v>
      </c>
      <c r="T12" s="85" t="s">
        <v>128</v>
      </c>
      <c r="U12" s="87">
        <v>0.12396694214876033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0.18736383442265794</v>
      </c>
      <c r="AB12" s="85" t="s">
        <v>171</v>
      </c>
      <c r="AC12" s="88">
        <v>0.56603773584905659</v>
      </c>
      <c r="AD12" s="85" t="s">
        <v>128</v>
      </c>
      <c r="AE12" s="88">
        <v>0.287292817679558</v>
      </c>
      <c r="AF12" s="85" t="s">
        <v>128</v>
      </c>
      <c r="AG12" s="88">
        <v>0.42435424354243545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184</v>
      </c>
      <c r="E13" s="97">
        <v>-9.9071428571428566</v>
      </c>
      <c r="F13" s="85" t="s">
        <v>184</v>
      </c>
      <c r="G13" s="86">
        <v>2.1428571428571428</v>
      </c>
      <c r="H13" s="85" t="s">
        <v>200</v>
      </c>
      <c r="I13" s="87">
        <v>0.22222222222222221</v>
      </c>
      <c r="J13" s="85" t="s">
        <v>129</v>
      </c>
      <c r="K13" s="87">
        <v>0.48275862068965519</v>
      </c>
      <c r="L13" s="85" t="s">
        <v>183</v>
      </c>
      <c r="M13" s="88">
        <v>0.26315789473684209</v>
      </c>
      <c r="N13" s="85" t="s">
        <v>129</v>
      </c>
      <c r="O13" s="88">
        <v>0.19421487603305784</v>
      </c>
      <c r="P13" s="85" t="s">
        <v>173</v>
      </c>
      <c r="Q13" s="89">
        <v>6998.2456140350878</v>
      </c>
      <c r="R13" s="85" t="s">
        <v>129</v>
      </c>
      <c r="S13" s="89">
        <v>-9070.2127659574471</v>
      </c>
      <c r="T13" s="85" t="s">
        <v>184</v>
      </c>
      <c r="U13" s="87">
        <v>0.14285714285714285</v>
      </c>
      <c r="V13" s="85" t="s">
        <v>200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0.18009950248756218</v>
      </c>
      <c r="AB13" s="85" t="s">
        <v>172</v>
      </c>
      <c r="AC13" s="88">
        <v>0.55639097744360899</v>
      </c>
      <c r="AD13" s="85" t="s">
        <v>223</v>
      </c>
      <c r="AE13" s="88">
        <v>0.25</v>
      </c>
      <c r="AF13" s="85" t="s">
        <v>127</v>
      </c>
      <c r="AG13" s="88">
        <v>0.41362530413625304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-422.10000000000008</v>
      </c>
      <c r="D14" s="85" t="s">
        <v>223</v>
      </c>
      <c r="E14" s="97">
        <v>-12.35</v>
      </c>
      <c r="F14" s="85" t="s">
        <v>129</v>
      </c>
      <c r="G14" s="86">
        <v>2.2413793103448274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0.23415977961432508</v>
      </c>
      <c r="N14" s="85" t="s">
        <v>184</v>
      </c>
      <c r="O14" s="88">
        <v>0.22033898305084745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177</v>
      </c>
      <c r="U14" s="87">
        <v>0.15789473684210525</v>
      </c>
      <c r="V14" s="85" t="s">
        <v>222</v>
      </c>
      <c r="W14" s="87">
        <v>0</v>
      </c>
      <c r="X14" s="85" t="s">
        <v>172</v>
      </c>
      <c r="Y14" s="88">
        <v>0.214170692431562</v>
      </c>
      <c r="Z14" s="85" t="s">
        <v>129</v>
      </c>
      <c r="AA14" s="88">
        <v>0.16528925619834711</v>
      </c>
      <c r="AB14" s="85" t="s">
        <v>129</v>
      </c>
      <c r="AC14" s="88">
        <v>0.52216748768472909</v>
      </c>
      <c r="AD14" s="85" t="s">
        <v>129</v>
      </c>
      <c r="AE14" s="88">
        <v>0.24166666666666667</v>
      </c>
      <c r="AF14" s="85" t="s">
        <v>171</v>
      </c>
      <c r="AG14" s="88">
        <v>0.40975609756097559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-1283.8000000000002</v>
      </c>
      <c r="D15" s="85" t="s">
        <v>129</v>
      </c>
      <c r="E15" s="97">
        <v>-14.756321839080462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6643.4579439252338</v>
      </c>
      <c r="R15" s="85" t="s">
        <v>223</v>
      </c>
      <c r="S15" s="89">
        <v>-12425</v>
      </c>
      <c r="T15" s="85" t="s">
        <v>129</v>
      </c>
      <c r="U15" s="87">
        <v>0.19540229885057472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4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642</v>
      </c>
      <c r="C2" s="151"/>
      <c r="E2" s="62" t="s">
        <v>65</v>
      </c>
      <c r="F2" s="59" t="s">
        <v>21</v>
      </c>
      <c r="G2" s="46">
        <v>829</v>
      </c>
      <c r="H2" s="132">
        <f>IF(B$17=0,0,G2/B$17)</f>
        <v>0.51683291770573569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-14.018691588785046</v>
      </c>
      <c r="P2" s="118">
        <v>642</v>
      </c>
      <c r="Q2" s="102">
        <v>-9000</v>
      </c>
    </row>
    <row r="3" spans="1:17" x14ac:dyDescent="0.4">
      <c r="A3" s="55" t="s">
        <v>8</v>
      </c>
      <c r="B3" s="152">
        <v>5352</v>
      </c>
      <c r="C3" s="153"/>
      <c r="E3" s="63" t="s">
        <v>66</v>
      </c>
      <c r="F3" s="60" t="s">
        <v>22</v>
      </c>
      <c r="G3" s="47">
        <v>196</v>
      </c>
      <c r="H3" s="133">
        <f>IF(B$17=0,0,G3/B$17)</f>
        <v>0.12219451371571072</v>
      </c>
      <c r="I3" s="94">
        <v>4</v>
      </c>
      <c r="K3" s="38">
        <v>1</v>
      </c>
      <c r="L3" s="99">
        <v>-5.0999999999999996</v>
      </c>
      <c r="N3" s="115" t="s">
        <v>133</v>
      </c>
      <c r="O3" s="122">
        <f t="shared" si="0"/>
        <v>-7.9744816586921852</v>
      </c>
      <c r="P3" s="119">
        <v>627</v>
      </c>
      <c r="Q3" s="103">
        <v>-5000</v>
      </c>
    </row>
    <row r="4" spans="1:17" x14ac:dyDescent="0.4">
      <c r="A4" s="55" t="s">
        <v>6</v>
      </c>
      <c r="B4" s="154">
        <v>-2.4868995751603507E-14</v>
      </c>
      <c r="C4" s="155"/>
      <c r="E4" s="63" t="s">
        <v>67</v>
      </c>
      <c r="F4" s="60" t="s">
        <v>23</v>
      </c>
      <c r="G4" s="47">
        <v>1177</v>
      </c>
      <c r="H4" s="133">
        <f>IF(B$17=0,0,G4/B$17)</f>
        <v>0.73379052369077302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8.4602368866328259</v>
      </c>
      <c r="P4" s="119">
        <v>591</v>
      </c>
      <c r="Q4" s="103">
        <v>5000</v>
      </c>
    </row>
    <row r="5" spans="1:17" x14ac:dyDescent="0.4">
      <c r="A5" s="55" t="s">
        <v>7</v>
      </c>
      <c r="B5" s="156">
        <f>IF(B$2=0,0,B$4/B$2)</f>
        <v>-3.8736753507170569E-17</v>
      </c>
      <c r="C5" s="157"/>
      <c r="E5" s="63" t="s">
        <v>68</v>
      </c>
      <c r="F5" s="60" t="s">
        <v>24</v>
      </c>
      <c r="G5" s="47">
        <v>489</v>
      </c>
      <c r="H5" s="133">
        <f>IF(B$17=0,0,G5/B$17)</f>
        <v>0.3048628428927681</v>
      </c>
      <c r="I5" s="94">
        <v>9</v>
      </c>
      <c r="K5" s="38">
        <v>3</v>
      </c>
      <c r="L5" s="99">
        <v>0</v>
      </c>
      <c r="N5" s="115" t="s">
        <v>135</v>
      </c>
      <c r="O5" s="122">
        <f t="shared" si="0"/>
        <v>11.173184357541899</v>
      </c>
      <c r="P5" s="119">
        <v>537</v>
      </c>
      <c r="Q5" s="103">
        <v>6000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502</v>
      </c>
      <c r="H6" s="133">
        <f>IF(B$17=0,0,G6/B$17)</f>
        <v>0.31296758104738154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-14.492753623188406</v>
      </c>
      <c r="P6" s="119">
        <v>483</v>
      </c>
      <c r="Q6" s="103">
        <v>-7000</v>
      </c>
    </row>
    <row r="7" spans="1:17" x14ac:dyDescent="0.4">
      <c r="A7" s="55" t="s">
        <v>2</v>
      </c>
      <c r="B7" s="47">
        <v>214</v>
      </c>
      <c r="C7" s="39">
        <f>IF(B$2=0,0,B7/B$2)</f>
        <v>0.33333333333333331</v>
      </c>
      <c r="E7" s="63" t="s">
        <v>70</v>
      </c>
      <c r="F7" s="60" t="s">
        <v>25</v>
      </c>
      <c r="G7" s="47">
        <v>281</v>
      </c>
      <c r="H7" s="133">
        <f>IF(B$17=0,0,G7/B$17)</f>
        <v>0.17518703241895262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23.148148148148149</v>
      </c>
      <c r="P7" s="120">
        <v>432</v>
      </c>
      <c r="Q7" s="104">
        <v>10000</v>
      </c>
    </row>
    <row r="8" spans="1:17" x14ac:dyDescent="0.4">
      <c r="A8" s="55" t="s">
        <v>3</v>
      </c>
      <c r="B8" s="47">
        <v>214</v>
      </c>
      <c r="C8" s="39">
        <f>IF(B$2=0,0,B8/B$2)</f>
        <v>0.33333333333333331</v>
      </c>
      <c r="E8" s="63" t="s">
        <v>71</v>
      </c>
      <c r="F8" s="60" t="s">
        <v>26</v>
      </c>
      <c r="G8" s="47">
        <v>159</v>
      </c>
      <c r="H8" s="133">
        <f>IF(B$17=0,0,G8/B$17)</f>
        <v>9.9127182044887782E-2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214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112</v>
      </c>
      <c r="H9" s="133">
        <f>IF(B$17=0,0,G9/B$17)</f>
        <v>6.9825436408977551E-2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75</v>
      </c>
      <c r="C10" s="40">
        <f>IF(B$2=0,0,B10/B$2)</f>
        <v>0.11682242990654206</v>
      </c>
      <c r="E10" s="63" t="s">
        <v>73</v>
      </c>
      <c r="F10" s="60" t="s">
        <v>28</v>
      </c>
      <c r="G10" s="47">
        <v>810</v>
      </c>
      <c r="H10" s="133">
        <f>IF(B$17=0,0,G10/B$17)</f>
        <v>0.50498753117206985</v>
      </c>
      <c r="I10" s="94">
        <v>9</v>
      </c>
      <c r="K10" s="38">
        <v>8</v>
      </c>
      <c r="L10" s="99">
        <v>19.699999999999996</v>
      </c>
      <c r="N10" s="114" t="s">
        <v>164</v>
      </c>
      <c r="O10" s="124">
        <f>IF(P10=0,0,Q10/P10)</f>
        <v>-1.2411214953271024</v>
      </c>
      <c r="P10" s="118">
        <v>214</v>
      </c>
      <c r="Q10" s="106">
        <v>-265.59999999999991</v>
      </c>
    </row>
    <row r="11" spans="1:17" x14ac:dyDescent="0.4">
      <c r="A11" s="56" t="s">
        <v>140</v>
      </c>
      <c r="B11" s="48">
        <v>75</v>
      </c>
      <c r="C11" s="40">
        <f>IF(B$2=0,0,B11/B$2)</f>
        <v>0.11682242990654206</v>
      </c>
      <c r="E11" s="63" t="s">
        <v>74</v>
      </c>
      <c r="F11" s="60" t="s">
        <v>29</v>
      </c>
      <c r="G11" s="47">
        <v>11</v>
      </c>
      <c r="H11" s="133">
        <f>IF(B$17=0,0,G11/B$17)</f>
        <v>6.8578553615960096E-3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-0.50000000000000011</v>
      </c>
      <c r="P11" s="119">
        <v>214</v>
      </c>
      <c r="Q11" s="107">
        <v>-107.00000000000003</v>
      </c>
    </row>
    <row r="12" spans="1:17" x14ac:dyDescent="0.4">
      <c r="A12" s="57" t="s">
        <v>160</v>
      </c>
      <c r="B12" s="49">
        <v>55</v>
      </c>
      <c r="C12" s="42">
        <f>IF(B$2=0,0,B12/B$2)</f>
        <v>8.566978193146417E-2</v>
      </c>
      <c r="E12" s="63" t="s">
        <v>75</v>
      </c>
      <c r="F12" s="60" t="s">
        <v>30</v>
      </c>
      <c r="G12" s="47">
        <v>6</v>
      </c>
      <c r="H12" s="133">
        <f>IF(B$17=0,0,G12/B$17)</f>
        <v>3.740648379052369E-3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1.7411214953271026</v>
      </c>
      <c r="P12" s="120">
        <v>214</v>
      </c>
      <c r="Q12" s="108">
        <v>372.59999999999997</v>
      </c>
    </row>
    <row r="13" spans="1:17" x14ac:dyDescent="0.4">
      <c r="A13" s="58" t="s">
        <v>122</v>
      </c>
      <c r="B13" s="50">
        <v>1495</v>
      </c>
      <c r="C13" s="44">
        <f>IF(B$3=0,0,B13/B$3)</f>
        <v>0.27933482810164423</v>
      </c>
      <c r="E13" s="63" t="s">
        <v>76</v>
      </c>
      <c r="F13" s="60" t="s">
        <v>31</v>
      </c>
      <c r="G13" s="47">
        <v>9</v>
      </c>
      <c r="H13" s="133">
        <f>IF(B$17=0,0,G13/B$17)</f>
        <v>5.6109725685785537E-3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1122</v>
      </c>
      <c r="C14" s="39">
        <f>IF(B$3=0,0,B14/B$3)</f>
        <v>0.20964125560538116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868</v>
      </c>
      <c r="C15" s="37">
        <f>IF(B$13=0,0,B15/B$13)</f>
        <v>0.58060200668896322</v>
      </c>
      <c r="E15" s="63" t="s">
        <v>78</v>
      </c>
      <c r="F15" s="60" t="s">
        <v>33</v>
      </c>
      <c r="G15" s="47">
        <v>4</v>
      </c>
      <c r="H15" s="133">
        <f>IF(B$17=0,0,G15/B$17)</f>
        <v>2.4937655860349127E-3</v>
      </c>
      <c r="I15" s="94">
        <v>4</v>
      </c>
      <c r="K15" s="38">
        <v>13</v>
      </c>
      <c r="L15" s="99">
        <v>-42.100000000000009</v>
      </c>
      <c r="N15" s="114" t="s">
        <v>129</v>
      </c>
      <c r="O15" s="124">
        <f>IF(P15=0,0,Q15/P15)</f>
        <v>22.134482758620717</v>
      </c>
      <c r="P15" s="118">
        <v>174</v>
      </c>
      <c r="Q15" s="106">
        <v>3851.4000000000046</v>
      </c>
    </row>
    <row r="16" spans="1:17" x14ac:dyDescent="0.4">
      <c r="A16" s="54" t="s">
        <v>125</v>
      </c>
      <c r="B16" s="46">
        <v>442</v>
      </c>
      <c r="C16" s="37">
        <f>IF(B$14=0,0,B16/B$14)</f>
        <v>0.39393939393939392</v>
      </c>
      <c r="E16" s="63" t="s">
        <v>79</v>
      </c>
      <c r="F16" s="60" t="s">
        <v>34</v>
      </c>
      <c r="G16" s="47">
        <v>41</v>
      </c>
      <c r="H16" s="133">
        <f>IF(B$17=0,0,G16/B$17)</f>
        <v>2.5561097256857856E-2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1604</v>
      </c>
      <c r="C17" s="37">
        <f>IF(B$3=0,0,B17/B$3)</f>
        <v>0.29970104633781763</v>
      </c>
      <c r="E17" s="63" t="s">
        <v>80</v>
      </c>
      <c r="F17" s="60" t="s">
        <v>35</v>
      </c>
      <c r="G17" s="47">
        <v>25</v>
      </c>
      <c r="H17" s="133">
        <f>IF(B$17=0,0,G17/B$17)</f>
        <v>1.5586034912718205E-2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696</v>
      </c>
      <c r="C18" s="39">
        <f>IF(B$17=0,0,B18/B$17)</f>
        <v>0.43391521197007482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908</v>
      </c>
      <c r="C19" s="39">
        <f>IF(B$17=0,0,B19/B$17)</f>
        <v>0.56608478802992523</v>
      </c>
      <c r="E19" s="63" t="s">
        <v>82</v>
      </c>
      <c r="F19" s="60" t="s">
        <v>37</v>
      </c>
      <c r="G19" s="47">
        <v>45</v>
      </c>
      <c r="H19" s="133">
        <f>IF(B$17=0,0,G19/B$17)</f>
        <v>2.8054862842892769E-2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5.2326446280991732</v>
      </c>
      <c r="P19" s="119">
        <v>242</v>
      </c>
      <c r="Q19" s="107">
        <v>1266.3</v>
      </c>
    </row>
    <row r="20" spans="1:17" x14ac:dyDescent="0.4">
      <c r="A20" s="55" t="s">
        <v>13</v>
      </c>
      <c r="B20" s="47">
        <v>898</v>
      </c>
      <c r="C20" s="39">
        <f>IF(B$3=0,0,B20/B$3)</f>
        <v>0.16778774289985052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1.4249999999999992</v>
      </c>
      <c r="P20" s="119">
        <v>144</v>
      </c>
      <c r="Q20" s="107">
        <v>205.19999999999987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80</v>
      </c>
      <c r="H21" s="133">
        <f>IF(B$17=0,0,G21/B$17)</f>
        <v>4.9875311720698257E-2</v>
      </c>
      <c r="I21" s="94">
        <v>6</v>
      </c>
      <c r="K21" s="38">
        <v>19</v>
      </c>
      <c r="L21" s="99">
        <v>30.999999999999996</v>
      </c>
      <c r="N21" s="115" t="s">
        <v>171</v>
      </c>
      <c r="O21" s="125">
        <f>IF(P21=0,0,Q21/P21)</f>
        <v>-0.78920454545454277</v>
      </c>
      <c r="P21" s="119">
        <v>176</v>
      </c>
      <c r="Q21" s="107">
        <v>-138.89999999999952</v>
      </c>
    </row>
    <row r="22" spans="1:17" x14ac:dyDescent="0.4">
      <c r="A22" s="55" t="s">
        <v>192</v>
      </c>
      <c r="B22" s="47">
        <v>31</v>
      </c>
      <c r="C22" s="135">
        <v>13</v>
      </c>
      <c r="E22" s="63" t="s">
        <v>85</v>
      </c>
      <c r="F22" s="60" t="s">
        <v>40</v>
      </c>
      <c r="G22" s="47">
        <v>4</v>
      </c>
      <c r="H22" s="133">
        <f>IF(B$17=0,0,G22/B$17)</f>
        <v>2.4937655860349127E-3</v>
      </c>
      <c r="I22" s="94">
        <v>3</v>
      </c>
      <c r="K22" s="38">
        <v>20</v>
      </c>
      <c r="L22" s="99">
        <v>0.79999999999999716</v>
      </c>
      <c r="N22" s="115" t="s">
        <v>200</v>
      </c>
      <c r="O22" s="125">
        <f>IF(P22=0,0,Q22/P22)</f>
        <v>-3.0166666666666679</v>
      </c>
      <c r="P22" s="119">
        <v>18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8645.9476309226939</v>
      </c>
      <c r="C23" s="41">
        <v>13868100</v>
      </c>
      <c r="E23" s="63" t="s">
        <v>86</v>
      </c>
      <c r="F23" s="60" t="s">
        <v>41</v>
      </c>
      <c r="G23" s="47">
        <v>7</v>
      </c>
      <c r="H23" s="133">
        <f>IF(B$17=0,0,G23/B$17)</f>
        <v>4.3640897755610969E-3</v>
      </c>
      <c r="I23" s="94">
        <v>3</v>
      </c>
      <c r="K23" s="38">
        <v>21</v>
      </c>
      <c r="L23" s="99">
        <v>-2.886579864025407E-15</v>
      </c>
      <c r="N23" s="115" t="s">
        <v>177</v>
      </c>
      <c r="O23" s="125">
        <f>IF(P23=0,0,Q23/P23)</f>
        <v>-6.7236842105263177</v>
      </c>
      <c r="P23" s="119">
        <v>114</v>
      </c>
      <c r="Q23" s="107">
        <v>-766.50000000000023</v>
      </c>
    </row>
    <row r="24" spans="1:17" x14ac:dyDescent="0.4">
      <c r="A24" s="57" t="s">
        <v>14</v>
      </c>
      <c r="B24" s="52">
        <f>IF(B$20=0,0,C24/B$20)</f>
        <v>-8295.1002227171484</v>
      </c>
      <c r="C24" s="45">
        <v>-7449000</v>
      </c>
      <c r="E24" s="63" t="s">
        <v>87</v>
      </c>
      <c r="F24" s="60" t="s">
        <v>42</v>
      </c>
      <c r="G24" s="47">
        <v>88</v>
      </c>
      <c r="H24" s="133">
        <f>IF(B$17=0,0,G24/B$17)</f>
        <v>5.4862842892768077E-2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-18.813541666666644</v>
      </c>
      <c r="P24" s="119">
        <v>288</v>
      </c>
      <c r="Q24" s="107">
        <v>-5418.2999999999938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3.740648379052369E-3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89</v>
      </c>
      <c r="F26" s="60" t="s">
        <v>44</v>
      </c>
      <c r="G26" s="47">
        <v>2</v>
      </c>
      <c r="H26" s="133">
        <f>IF(B$17=0,0,G26/B$17)</f>
        <v>1.2468827930174563E-3</v>
      </c>
      <c r="I26" s="94">
        <v>3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2.6158445440956652E-3</v>
      </c>
      <c r="E27" s="63" t="s">
        <v>90</v>
      </c>
      <c r="F27" s="60" t="s">
        <v>45</v>
      </c>
      <c r="G27" s="47">
        <v>200</v>
      </c>
      <c r="H27" s="133">
        <f>IF(B$17=0,0,G27/B$17)</f>
        <v>0.12468827930174564</v>
      </c>
      <c r="I27" s="94">
        <v>7</v>
      </c>
      <c r="K27" s="38">
        <v>25</v>
      </c>
      <c r="L27" s="99">
        <v>-31.300000000000004</v>
      </c>
    </row>
    <row r="28" spans="1:17" x14ac:dyDescent="0.4">
      <c r="E28" s="63" t="s">
        <v>91</v>
      </c>
      <c r="F28" s="60" t="s">
        <v>46</v>
      </c>
      <c r="G28" s="47">
        <v>4</v>
      </c>
      <c r="H28" s="133">
        <f>IF(B$17=0,0,G28/B$17)</f>
        <v>2.4937655860349127E-3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92</v>
      </c>
      <c r="F29" s="60" t="s">
        <v>47</v>
      </c>
      <c r="G29" s="47">
        <v>30</v>
      </c>
      <c r="H29" s="133">
        <f>IF(B$17=0,0,G29/B$17)</f>
        <v>1.8703241895261846E-2</v>
      </c>
      <c r="I29" s="94">
        <v>5</v>
      </c>
      <c r="K29" s="38">
        <v>27</v>
      </c>
      <c r="L29" s="99">
        <v>-1.3322676295501878E-15</v>
      </c>
    </row>
    <row r="30" spans="1:17" x14ac:dyDescent="0.4">
      <c r="E30" s="63" t="s">
        <v>93</v>
      </c>
      <c r="F30" s="60" t="s">
        <v>48</v>
      </c>
      <c r="G30" s="47">
        <v>7</v>
      </c>
      <c r="H30" s="133">
        <f>IF(B$17=0,0,G30/B$17)</f>
        <v>4.3640897755610969E-3</v>
      </c>
      <c r="I30" s="94">
        <v>5</v>
      </c>
      <c r="K30" s="38">
        <v>28</v>
      </c>
      <c r="L30" s="99">
        <v>-58.3</v>
      </c>
    </row>
    <row r="31" spans="1:17" x14ac:dyDescent="0.4">
      <c r="E31" s="63" t="s">
        <v>94</v>
      </c>
      <c r="F31" s="60" t="s">
        <v>49</v>
      </c>
      <c r="G31" s="47">
        <v>5</v>
      </c>
      <c r="H31" s="133">
        <f>IF(B$17=0,0,G31/B$17)</f>
        <v>3.117206982543641E-3</v>
      </c>
      <c r="I31" s="94">
        <v>4</v>
      </c>
      <c r="K31" s="38">
        <v>29</v>
      </c>
      <c r="L31" s="99">
        <v>-9.5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96</v>
      </c>
      <c r="F33" s="60" t="s">
        <v>51</v>
      </c>
      <c r="G33" s="47">
        <v>2</v>
      </c>
      <c r="H33" s="133">
        <f>IF(B$17=0,0,G33/B$17)</f>
        <v>1.2468827930174563E-3</v>
      </c>
      <c r="I33" s="94">
        <v>3</v>
      </c>
      <c r="K33" s="38">
        <v>31</v>
      </c>
      <c r="L33" s="99">
        <v>29.1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6.2344139650872816E-4</v>
      </c>
      <c r="I39" s="94">
        <v>2</v>
      </c>
      <c r="K39" s="38">
        <v>37</v>
      </c>
      <c r="L39" s="99">
        <v>-31.699999999999992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180</v>
      </c>
      <c r="F50" s="60" t="s">
        <v>181</v>
      </c>
      <c r="G50" s="47">
        <v>24</v>
      </c>
      <c r="H50" s="133">
        <f>IF(B$17=0,0,G50/B$17)</f>
        <v>1.4962593516209476E-2</v>
      </c>
      <c r="I50" s="94">
        <v>5</v>
      </c>
      <c r="K50" s="38">
        <v>48</v>
      </c>
      <c r="L50" s="99">
        <v>-7.1054273576010019E-15</v>
      </c>
    </row>
    <row r="51" spans="5:12" x14ac:dyDescent="0.4">
      <c r="E51" s="138" t="s">
        <v>245</v>
      </c>
      <c r="F51" s="139" t="s">
        <v>246</v>
      </c>
      <c r="G51" s="48">
        <v>662</v>
      </c>
      <c r="H51" s="140">
        <f>IF(B$17=0,0,G51/B$17)</f>
        <v>0.41271820448877805</v>
      </c>
      <c r="I51" s="141">
        <v>6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</sheetData>
  <sortState ref="E2:I64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4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144</v>
      </c>
      <c r="C2" s="151"/>
      <c r="E2" s="62" t="s">
        <v>65</v>
      </c>
      <c r="F2" s="59" t="s">
        <v>21</v>
      </c>
      <c r="G2" s="46">
        <v>196</v>
      </c>
      <c r="H2" s="132">
        <f>IF(B$17=0,0,G2/B$17)</f>
        <v>0.47688564476885642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2256.25</v>
      </c>
      <c r="P2" s="118">
        <v>144</v>
      </c>
      <c r="Q2" s="102">
        <v>324900</v>
      </c>
    </row>
    <row r="3" spans="1:17" x14ac:dyDescent="0.4">
      <c r="A3" s="55" t="s">
        <v>8</v>
      </c>
      <c r="B3" s="152">
        <v>1179</v>
      </c>
      <c r="C3" s="153"/>
      <c r="E3" s="63" t="s">
        <v>66</v>
      </c>
      <c r="F3" s="60" t="s">
        <v>22</v>
      </c>
      <c r="G3" s="47">
        <v>53</v>
      </c>
      <c r="H3" s="133">
        <f>IF(B$17=0,0,G3/B$17)</f>
        <v>0.12895377128953772</v>
      </c>
      <c r="I3" s="94">
        <v>3</v>
      </c>
      <c r="K3" s="38">
        <v>1</v>
      </c>
      <c r="L3" s="99">
        <v>-5.0999999999999996</v>
      </c>
      <c r="N3" s="115" t="s">
        <v>133</v>
      </c>
      <c r="O3" s="122">
        <f t="shared" si="0"/>
        <v>1167.1428571428571</v>
      </c>
      <c r="P3" s="119">
        <v>140</v>
      </c>
      <c r="Q3" s="103">
        <v>163400</v>
      </c>
    </row>
    <row r="4" spans="1:17" x14ac:dyDescent="0.4">
      <c r="A4" s="55" t="s">
        <v>6</v>
      </c>
      <c r="B4" s="154">
        <v>1806.1000000000008</v>
      </c>
      <c r="C4" s="155"/>
      <c r="E4" s="63" t="s">
        <v>67</v>
      </c>
      <c r="F4" s="60" t="s">
        <v>23</v>
      </c>
      <c r="G4" s="47">
        <v>297</v>
      </c>
      <c r="H4" s="133">
        <f>IF(B$17=0,0,G4/B$17)</f>
        <v>0.72262773722627738</v>
      </c>
      <c r="I4" s="94">
        <v>8</v>
      </c>
      <c r="K4" s="38">
        <v>2</v>
      </c>
      <c r="L4" s="99">
        <v>-2.8999999999999995</v>
      </c>
      <c r="N4" s="115" t="s">
        <v>134</v>
      </c>
      <c r="O4" s="122">
        <f t="shared" si="0"/>
        <v>796.99248120300751</v>
      </c>
      <c r="P4" s="119">
        <v>133</v>
      </c>
      <c r="Q4" s="103">
        <v>106000</v>
      </c>
    </row>
    <row r="5" spans="1:17" x14ac:dyDescent="0.4">
      <c r="A5" s="55" t="s">
        <v>7</v>
      </c>
      <c r="B5" s="156">
        <f>IF(B$2=0,0,B$4/B$2)</f>
        <v>12.542361111111116</v>
      </c>
      <c r="C5" s="157"/>
      <c r="E5" s="63" t="s">
        <v>68</v>
      </c>
      <c r="F5" s="60" t="s">
        <v>24</v>
      </c>
      <c r="G5" s="47">
        <v>115</v>
      </c>
      <c r="H5" s="133">
        <f>IF(B$17=0,0,G5/B$17)</f>
        <v>0.27980535279805352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0"/>
        <v>2646.7213114754099</v>
      </c>
      <c r="P5" s="119">
        <v>122</v>
      </c>
      <c r="Q5" s="103">
        <v>322900</v>
      </c>
    </row>
    <row r="6" spans="1:17" x14ac:dyDescent="0.4">
      <c r="A6" s="55" t="s">
        <v>1</v>
      </c>
      <c r="B6" s="146">
        <f>IF(B$2=0,0,(B$7*1+B$8*2+B$9*3)/B$2)</f>
        <v>1.7361111111111112</v>
      </c>
      <c r="C6" s="147"/>
      <c r="E6" s="63" t="s">
        <v>69</v>
      </c>
      <c r="F6" s="60" t="s">
        <v>12</v>
      </c>
      <c r="G6" s="47">
        <v>109</v>
      </c>
      <c r="H6" s="133">
        <f>IF(B$17=0,0,G6/B$17)</f>
        <v>0.26520681265206814</v>
      </c>
      <c r="I6" s="94">
        <v>12</v>
      </c>
      <c r="K6" s="38">
        <v>4</v>
      </c>
      <c r="L6" s="99">
        <v>110.5</v>
      </c>
      <c r="N6" s="115" t="s">
        <v>136</v>
      </c>
      <c r="O6" s="122">
        <f t="shared" si="0"/>
        <v>360.18518518518516</v>
      </c>
      <c r="P6" s="119">
        <v>108</v>
      </c>
      <c r="Q6" s="103">
        <v>38900</v>
      </c>
    </row>
    <row r="7" spans="1:17" x14ac:dyDescent="0.4">
      <c r="A7" s="55" t="s">
        <v>2</v>
      </c>
      <c r="B7" s="47">
        <v>71</v>
      </c>
      <c r="C7" s="39">
        <f>IF(B$2=0,0,B7/B$2)</f>
        <v>0.49305555555555558</v>
      </c>
      <c r="E7" s="63" t="s">
        <v>70</v>
      </c>
      <c r="F7" s="60" t="s">
        <v>25</v>
      </c>
      <c r="G7" s="47">
        <v>66</v>
      </c>
      <c r="H7" s="133">
        <f>IF(B$17=0,0,G7/B$17)</f>
        <v>0.16058394160583941</v>
      </c>
      <c r="I7" s="94">
        <v>9</v>
      </c>
      <c r="K7" s="38">
        <v>5</v>
      </c>
      <c r="L7" s="99">
        <v>201.4</v>
      </c>
      <c r="N7" s="116" t="s">
        <v>137</v>
      </c>
      <c r="O7" s="123">
        <f t="shared" si="0"/>
        <v>861.70212765957444</v>
      </c>
      <c r="P7" s="120">
        <v>94</v>
      </c>
      <c r="Q7" s="104">
        <v>81000</v>
      </c>
    </row>
    <row r="8" spans="1:17" x14ac:dyDescent="0.4">
      <c r="A8" s="55" t="s">
        <v>3</v>
      </c>
      <c r="B8" s="47">
        <v>40</v>
      </c>
      <c r="C8" s="39">
        <f>IF(B$2=0,0,B8/B$2)</f>
        <v>0.27777777777777779</v>
      </c>
      <c r="E8" s="63" t="s">
        <v>71</v>
      </c>
      <c r="F8" s="60" t="s">
        <v>26</v>
      </c>
      <c r="G8" s="47">
        <v>37</v>
      </c>
      <c r="H8" s="133">
        <f>IF(B$17=0,0,G8/B$17)</f>
        <v>9.002433090024331E-2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0.22916666666666666</v>
      </c>
      <c r="E9" s="63" t="s">
        <v>72</v>
      </c>
      <c r="F9" s="60" t="s">
        <v>27</v>
      </c>
      <c r="G9" s="47">
        <v>29</v>
      </c>
      <c r="H9" s="133">
        <f>IF(B$17=0,0,G9/B$17)</f>
        <v>7.0559610705596104E-2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0.10416666666666667</v>
      </c>
      <c r="E10" s="63" t="s">
        <v>73</v>
      </c>
      <c r="F10" s="60" t="s">
        <v>28</v>
      </c>
      <c r="G10" s="47">
        <v>236</v>
      </c>
      <c r="H10" s="133">
        <f>IF(B$17=0,0,G10/B$17)</f>
        <v>0.57420924574209242</v>
      </c>
      <c r="I10" s="94">
        <v>5</v>
      </c>
      <c r="K10" s="38">
        <v>8</v>
      </c>
      <c r="L10" s="99">
        <v>285.20000000000005</v>
      </c>
      <c r="N10" s="114" t="s">
        <v>164</v>
      </c>
      <c r="O10" s="124">
        <f>IF(P10=0,0,Q10/P10)</f>
        <v>14.802173913043477</v>
      </c>
      <c r="P10" s="118">
        <v>46</v>
      </c>
      <c r="Q10" s="106">
        <v>680.9</v>
      </c>
    </row>
    <row r="11" spans="1:17" x14ac:dyDescent="0.4">
      <c r="A11" s="56" t="s">
        <v>140</v>
      </c>
      <c r="B11" s="48">
        <v>25</v>
      </c>
      <c r="C11" s="40">
        <f>IF(B$2=0,0,B11/B$2)</f>
        <v>0.1736111111111111</v>
      </c>
      <c r="E11" s="63" t="s">
        <v>74</v>
      </c>
      <c r="F11" s="60" t="s">
        <v>29</v>
      </c>
      <c r="G11" s="47">
        <v>3</v>
      </c>
      <c r="H11" s="133">
        <f>IF(B$17=0,0,G11/B$17)</f>
        <v>7.2992700729927005E-3</v>
      </c>
      <c r="I11" s="94">
        <v>4</v>
      </c>
      <c r="K11" s="38">
        <v>9</v>
      </c>
      <c r="L11" s="99">
        <v>277.90000000000003</v>
      </c>
      <c r="N11" s="115" t="s">
        <v>165</v>
      </c>
      <c r="O11" s="125">
        <f>IF(P11=0,0,Q11/P11)</f>
        <v>10.183720930232557</v>
      </c>
      <c r="P11" s="119">
        <v>43</v>
      </c>
      <c r="Q11" s="107">
        <v>437.9</v>
      </c>
    </row>
    <row r="12" spans="1:17" x14ac:dyDescent="0.4">
      <c r="A12" s="57" t="s">
        <v>160</v>
      </c>
      <c r="B12" s="49">
        <v>21</v>
      </c>
      <c r="C12" s="42">
        <f>IF(B$2=0,0,B12/B$2)</f>
        <v>0.14583333333333334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12.496363636363638</v>
      </c>
      <c r="P12" s="120">
        <v>55</v>
      </c>
      <c r="Q12" s="108">
        <v>687.30000000000007</v>
      </c>
    </row>
    <row r="13" spans="1:17" x14ac:dyDescent="0.4">
      <c r="A13" s="58" t="s">
        <v>122</v>
      </c>
      <c r="B13" s="50">
        <v>369</v>
      </c>
      <c r="C13" s="44">
        <f>IF(B$3=0,0,B13/B$3)</f>
        <v>0.31297709923664124</v>
      </c>
      <c r="E13" s="63" t="s">
        <v>76</v>
      </c>
      <c r="F13" s="60" t="s">
        <v>31</v>
      </c>
      <c r="G13" s="47">
        <v>1</v>
      </c>
      <c r="H13" s="133">
        <f>IF(B$17=0,0,G13/B$17)</f>
        <v>2.4330900243309003E-3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262</v>
      </c>
      <c r="C14" s="39">
        <f>IF(B$3=0,0,B14/B$3)</f>
        <v>0.22222222222222221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213</v>
      </c>
      <c r="C15" s="37">
        <f>IF(B$13=0,0,B15/B$13)</f>
        <v>0.57723577235772361</v>
      </c>
      <c r="E15" s="63" t="s">
        <v>78</v>
      </c>
      <c r="F15" s="60" t="s">
        <v>33</v>
      </c>
      <c r="G15" s="47">
        <v>2</v>
      </c>
      <c r="H15" s="133">
        <f>IF(B$17=0,0,G15/B$17)</f>
        <v>4.8661800486618006E-3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136</v>
      </c>
      <c r="C16" s="37">
        <f>IF(B$14=0,0,B16/B$14)</f>
        <v>0.51908396946564883</v>
      </c>
      <c r="E16" s="63" t="s">
        <v>79</v>
      </c>
      <c r="F16" s="60" t="s">
        <v>34</v>
      </c>
      <c r="G16" s="47">
        <v>9</v>
      </c>
      <c r="H16" s="133">
        <f>IF(B$17=0,0,G16/B$17)</f>
        <v>2.1897810218978103E-2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411</v>
      </c>
      <c r="C17" s="37">
        <f>IF(B$3=0,0,B17/B$3)</f>
        <v>0.34860050890585242</v>
      </c>
      <c r="E17" s="63" t="s">
        <v>80</v>
      </c>
      <c r="F17" s="60" t="s">
        <v>35</v>
      </c>
      <c r="G17" s="47">
        <v>5</v>
      </c>
      <c r="H17" s="133">
        <f>IF(B$17=0,0,G17/B$17)</f>
        <v>1.2165450121654502E-2</v>
      </c>
      <c r="I17" s="94">
        <v>9</v>
      </c>
      <c r="K17" s="38">
        <v>15</v>
      </c>
      <c r="L17" s="99">
        <v>481.50000000000006</v>
      </c>
      <c r="N17" s="115" t="s">
        <v>129</v>
      </c>
      <c r="O17" s="125">
        <f>IF(P17=0,0,Q17/P17)</f>
        <v>29.407407407407412</v>
      </c>
      <c r="P17" s="119">
        <v>54</v>
      </c>
      <c r="Q17" s="107">
        <v>1588.0000000000002</v>
      </c>
    </row>
    <row r="18" spans="1:17" x14ac:dyDescent="0.4">
      <c r="A18" s="55" t="s">
        <v>12</v>
      </c>
      <c r="B18" s="47">
        <v>170</v>
      </c>
      <c r="C18" s="39">
        <f>IF(B$17=0,0,B18/B$17)</f>
        <v>0.41362530413625304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177</v>
      </c>
      <c r="O18" s="125">
        <f>IF(P18=0,0,Q18/P18)</f>
        <v>27.887500000000006</v>
      </c>
      <c r="P18" s="119">
        <v>24</v>
      </c>
      <c r="Q18" s="107">
        <v>669.30000000000018</v>
      </c>
    </row>
    <row r="19" spans="1:17" x14ac:dyDescent="0.4">
      <c r="A19" s="55" t="s">
        <v>11</v>
      </c>
      <c r="B19" s="47">
        <v>241</v>
      </c>
      <c r="C19" s="39">
        <f>IF(B$17=0,0,B19/B$17)</f>
        <v>0.58637469586374691</v>
      </c>
      <c r="E19" s="63" t="s">
        <v>82</v>
      </c>
      <c r="F19" s="60" t="s">
        <v>37</v>
      </c>
      <c r="G19" s="47">
        <v>11</v>
      </c>
      <c r="H19" s="133">
        <f>IF(B$17=0,0,G19/B$17)</f>
        <v>2.6763990267639901E-2</v>
      </c>
      <c r="I19" s="94">
        <v>7</v>
      </c>
      <c r="K19" s="38">
        <v>17</v>
      </c>
      <c r="L19" s="99">
        <v>427.40000000000003</v>
      </c>
      <c r="N19" s="115" t="s">
        <v>172</v>
      </c>
      <c r="O19" s="125">
        <f>IF(P19=0,0,Q19/P19)</f>
        <v>22.892105263157895</v>
      </c>
      <c r="P19" s="119">
        <v>38</v>
      </c>
      <c r="Q19" s="107">
        <v>869.9</v>
      </c>
    </row>
    <row r="20" spans="1:17" x14ac:dyDescent="0.4">
      <c r="A20" s="55" t="s">
        <v>13</v>
      </c>
      <c r="B20" s="47">
        <v>187</v>
      </c>
      <c r="C20" s="39">
        <f>IF(B$3=0,0,B20/B$3)</f>
        <v>0.15860899067005937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24</v>
      </c>
      <c r="H21" s="133">
        <f>IF(B$17=0,0,G21/B$17)</f>
        <v>5.8394160583941604E-2</v>
      </c>
      <c r="I21" s="94">
        <v>4</v>
      </c>
      <c r="K21" s="38">
        <v>19</v>
      </c>
      <c r="L21" s="99">
        <v>405.40000000000003</v>
      </c>
      <c r="N21" s="115" t="s">
        <v>184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192</v>
      </c>
      <c r="B22" s="47">
        <v>39</v>
      </c>
      <c r="C22" s="135">
        <v>4</v>
      </c>
      <c r="E22" s="63" t="s">
        <v>85</v>
      </c>
      <c r="F22" s="60" t="s">
        <v>40</v>
      </c>
      <c r="G22" s="47">
        <v>1</v>
      </c>
      <c r="H22" s="133">
        <f>IF(B$17=0,0,G22/B$17)</f>
        <v>2.4330900243309003E-3</v>
      </c>
      <c r="I22" s="94">
        <v>4</v>
      </c>
      <c r="K22" s="38">
        <v>20</v>
      </c>
      <c r="L22" s="99">
        <v>469.6</v>
      </c>
      <c r="N22" s="115" t="s">
        <v>128</v>
      </c>
      <c r="O22" s="125">
        <f>IF(P22=0,0,Q22/P22)</f>
        <v>19.230952380952381</v>
      </c>
      <c r="P22" s="119">
        <v>84</v>
      </c>
      <c r="Q22" s="107">
        <v>1615.4</v>
      </c>
    </row>
    <row r="23" spans="1:17" x14ac:dyDescent="0.4">
      <c r="A23" s="55" t="s">
        <v>5</v>
      </c>
      <c r="B23" s="51">
        <f>IF(B$17=0,0,C23/B$17)</f>
        <v>9114.3552311435524</v>
      </c>
      <c r="C23" s="41">
        <v>3746000</v>
      </c>
      <c r="E23" s="63" t="s">
        <v>86</v>
      </c>
      <c r="F23" s="60" t="s">
        <v>41</v>
      </c>
      <c r="G23" s="47">
        <v>4</v>
      </c>
      <c r="H23" s="133">
        <f>IF(B$17=0,0,G23/B$17)</f>
        <v>9.7323600973236012E-3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-8235.8288770053477</v>
      </c>
      <c r="C24" s="45">
        <v>-1540100</v>
      </c>
      <c r="E24" s="63" t="s">
        <v>87</v>
      </c>
      <c r="F24" s="60" t="s">
        <v>42</v>
      </c>
      <c r="G24" s="47">
        <v>29</v>
      </c>
      <c r="H24" s="133">
        <f>IF(B$17=0,0,G24/B$17)</f>
        <v>7.0559610705596104E-2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2.4330900243309003E-3</v>
      </c>
      <c r="I25" s="94">
        <v>6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8.4817642069550466E-4</v>
      </c>
      <c r="E27" s="63" t="s">
        <v>90</v>
      </c>
      <c r="F27" s="60" t="s">
        <v>45</v>
      </c>
      <c r="G27" s="47">
        <v>64</v>
      </c>
      <c r="H27" s="133">
        <f>IF(B$17=0,0,G27/B$17)</f>
        <v>0.15571776155717762</v>
      </c>
      <c r="I27" s="94">
        <v>4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4.8661800486618006E-3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8</v>
      </c>
      <c r="H29" s="133">
        <f>IF(B$17=0,0,G29/B$17)</f>
        <v>1.9464720194647202E-2</v>
      </c>
      <c r="I29" s="94">
        <v>4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4.8661800486618006E-3</v>
      </c>
      <c r="I30" s="94">
        <v>4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2.4330900243309003E-3</v>
      </c>
      <c r="I31" s="94">
        <v>5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2.4330900243309003E-3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181</v>
      </c>
      <c r="G50" s="47">
        <v>13</v>
      </c>
      <c r="H50" s="133">
        <f>IF(B$17=0,0,G50/B$17)</f>
        <v>3.1630170316301706E-2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245</v>
      </c>
      <c r="F51" s="139" t="s">
        <v>246</v>
      </c>
      <c r="G51" s="48">
        <v>171</v>
      </c>
      <c r="H51" s="140">
        <f>IF(B$17=0,0,G51/B$17)</f>
        <v>0.41605839416058393</v>
      </c>
      <c r="I51" s="141">
        <v>4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</sheetData>
  <sortState ref="E2:I14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121</v>
      </c>
      <c r="C2" s="151"/>
      <c r="E2" s="62" t="s">
        <v>65</v>
      </c>
      <c r="F2" s="59" t="s">
        <v>21</v>
      </c>
      <c r="G2" s="46">
        <v>166</v>
      </c>
      <c r="H2" s="132">
        <f>IF(B$17=0,0,G2/B$17)</f>
        <v>0.61254612546125464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299.17355371900828</v>
      </c>
      <c r="P2" s="118">
        <v>121</v>
      </c>
      <c r="Q2" s="102">
        <v>36200</v>
      </c>
    </row>
    <row r="3" spans="1:17" x14ac:dyDescent="0.4">
      <c r="A3" s="55" t="s">
        <v>8</v>
      </c>
      <c r="B3" s="152">
        <v>1005</v>
      </c>
      <c r="C3" s="153"/>
      <c r="E3" s="63" t="s">
        <v>66</v>
      </c>
      <c r="F3" s="60" t="s">
        <v>22</v>
      </c>
      <c r="G3" s="47">
        <v>43</v>
      </c>
      <c r="H3" s="133">
        <f>IF(B$17=0,0,G3/B$17)</f>
        <v>0.15867158671586715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-2208.5470085470088</v>
      </c>
      <c r="P3" s="119">
        <v>117</v>
      </c>
      <c r="Q3" s="103">
        <v>-258400</v>
      </c>
    </row>
    <row r="4" spans="1:17" x14ac:dyDescent="0.4">
      <c r="A4" s="55" t="s">
        <v>6</v>
      </c>
      <c r="B4" s="154">
        <v>-422.10000000000008</v>
      </c>
      <c r="C4" s="155"/>
      <c r="E4" s="63" t="s">
        <v>67</v>
      </c>
      <c r="F4" s="60" t="s">
        <v>23</v>
      </c>
      <c r="G4" s="47">
        <v>209</v>
      </c>
      <c r="H4" s="133">
        <f>IF(B$17=0,0,G4/B$17)</f>
        <v>0.77121771217712176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293.85964912280701</v>
      </c>
      <c r="P4" s="119">
        <v>114</v>
      </c>
      <c r="Q4" s="103">
        <v>33500</v>
      </c>
    </row>
    <row r="5" spans="1:17" x14ac:dyDescent="0.4">
      <c r="A5" s="55" t="s">
        <v>7</v>
      </c>
      <c r="B5" s="156">
        <f>IF(B$2=0,0,B$4/B$2)</f>
        <v>-3.4884297520661165</v>
      </c>
      <c r="C5" s="157"/>
      <c r="E5" s="63" t="s">
        <v>68</v>
      </c>
      <c r="F5" s="60" t="s">
        <v>24</v>
      </c>
      <c r="G5" s="47">
        <v>102</v>
      </c>
      <c r="H5" s="133">
        <f>IF(B$17=0,0,G5/B$17)</f>
        <v>0.37638376383763839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16.831683168316832</v>
      </c>
      <c r="P5" s="119">
        <v>101</v>
      </c>
      <c r="Q5" s="103">
        <v>1700</v>
      </c>
    </row>
    <row r="6" spans="1:17" x14ac:dyDescent="0.4">
      <c r="A6" s="55" t="s">
        <v>1</v>
      </c>
      <c r="B6" s="146">
        <f>IF(B$2=0,0,(B$7*1+B$8*2+B$9*3)/B$2)</f>
        <v>2.0991735537190084</v>
      </c>
      <c r="C6" s="147"/>
      <c r="E6" s="63" t="s">
        <v>69</v>
      </c>
      <c r="F6" s="60" t="s">
        <v>12</v>
      </c>
      <c r="G6" s="47">
        <v>93</v>
      </c>
      <c r="H6" s="133">
        <f>IF(B$17=0,0,G6/B$17)</f>
        <v>0.34317343173431736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203.33333333333334</v>
      </c>
      <c r="P6" s="119">
        <v>90</v>
      </c>
      <c r="Q6" s="103">
        <v>18300</v>
      </c>
    </row>
    <row r="7" spans="1:17" x14ac:dyDescent="0.4">
      <c r="A7" s="55" t="s">
        <v>2</v>
      </c>
      <c r="B7" s="47">
        <v>31</v>
      </c>
      <c r="C7" s="39">
        <f>IF(B$2=0,0,B7/B$2)</f>
        <v>0.256198347107438</v>
      </c>
      <c r="E7" s="63" t="s">
        <v>70</v>
      </c>
      <c r="F7" s="60" t="s">
        <v>25</v>
      </c>
      <c r="G7" s="47">
        <v>60</v>
      </c>
      <c r="H7" s="133">
        <f>IF(B$17=0,0,G7/B$17)</f>
        <v>0.22140221402214022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280.95238095238096</v>
      </c>
      <c r="P7" s="120">
        <v>84</v>
      </c>
      <c r="Q7" s="104">
        <v>23600</v>
      </c>
    </row>
    <row r="8" spans="1:17" x14ac:dyDescent="0.4">
      <c r="A8" s="55" t="s">
        <v>3</v>
      </c>
      <c r="B8" s="47">
        <v>47</v>
      </c>
      <c r="C8" s="39">
        <f>IF(B$2=0,0,B8/B$2)</f>
        <v>0.38842975206611569</v>
      </c>
      <c r="E8" s="63" t="s">
        <v>71</v>
      </c>
      <c r="F8" s="60" t="s">
        <v>26</v>
      </c>
      <c r="G8" s="47">
        <v>33</v>
      </c>
      <c r="H8" s="133">
        <f>IF(B$17=0,0,G8/B$17)</f>
        <v>0.12177121771217712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43</v>
      </c>
      <c r="C9" s="40">
        <f t="shared" ref="C9" si="1">IF(B$2=0,0,B9/B$2)</f>
        <v>0.35537190082644626</v>
      </c>
      <c r="E9" s="63" t="s">
        <v>72</v>
      </c>
      <c r="F9" s="60" t="s">
        <v>27</v>
      </c>
      <c r="G9" s="47">
        <v>17</v>
      </c>
      <c r="H9" s="133">
        <f>IF(B$17=0,0,G9/B$17)</f>
        <v>6.273062730627306E-2</v>
      </c>
      <c r="I9" s="94">
        <v>6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0.12396694214876033</v>
      </c>
      <c r="E10" s="63" t="s">
        <v>73</v>
      </c>
      <c r="F10" s="60" t="s">
        <v>28</v>
      </c>
      <c r="G10" s="47">
        <v>123</v>
      </c>
      <c r="H10" s="133">
        <f>IF(B$17=0,0,G10/B$17)</f>
        <v>0.45387453874538747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2</v>
      </c>
      <c r="H11" s="133">
        <f>IF(B$17=0,0,G11/B$17)</f>
        <v>7.3800738007380072E-3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-4.5758620689655158</v>
      </c>
      <c r="P11" s="119">
        <v>29</v>
      </c>
      <c r="Q11" s="107">
        <v>-132.69999999999996</v>
      </c>
    </row>
    <row r="12" spans="1:17" x14ac:dyDescent="0.4">
      <c r="A12" s="57" t="s">
        <v>160</v>
      </c>
      <c r="B12" s="49">
        <v>8</v>
      </c>
      <c r="C12" s="42">
        <f>IF(B$2=0,0,B12/B$2)</f>
        <v>6.6115702479338845E-2</v>
      </c>
      <c r="E12" s="63" t="s">
        <v>75</v>
      </c>
      <c r="F12" s="60" t="s">
        <v>30</v>
      </c>
      <c r="G12" s="47">
        <v>2</v>
      </c>
      <c r="H12" s="133">
        <f>IF(B$17=0,0,G12/B$17)</f>
        <v>7.3800738007380072E-3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303</v>
      </c>
      <c r="C13" s="44">
        <f>IF(B$3=0,0,B13/B$3)</f>
        <v>0.30149253731343284</v>
      </c>
      <c r="E13" s="63" t="s">
        <v>76</v>
      </c>
      <c r="F13" s="60" t="s">
        <v>31</v>
      </c>
      <c r="G13" s="47">
        <v>2</v>
      </c>
      <c r="H13" s="133">
        <f>IF(B$17=0,0,G13/B$17)</f>
        <v>7.3800738007380072E-3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181</v>
      </c>
      <c r="C14" s="39">
        <f>IF(B$3=0,0,B14/B$3)</f>
        <v>0.18009950248756218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175</v>
      </c>
      <c r="C15" s="37">
        <f>IF(B$13=0,0,B15/B$13)</f>
        <v>0.57755775577557755</v>
      </c>
      <c r="E15" s="63" t="s">
        <v>78</v>
      </c>
      <c r="F15" s="60" t="s">
        <v>33</v>
      </c>
      <c r="G15" s="47">
        <v>1</v>
      </c>
      <c r="H15" s="133">
        <f>IF(B$17=0,0,G15/B$17)</f>
        <v>3.6900369003690036E-3</v>
      </c>
      <c r="I15" s="94">
        <v>3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0.287292817679558</v>
      </c>
      <c r="E16" s="63" t="s">
        <v>79</v>
      </c>
      <c r="F16" s="60" t="s">
        <v>34</v>
      </c>
      <c r="G16" s="47">
        <v>5</v>
      </c>
      <c r="H16" s="133">
        <f>IF(B$17=0,0,G16/B$17)</f>
        <v>1.8450184501845018E-2</v>
      </c>
      <c r="I16" s="94">
        <v>8</v>
      </c>
      <c r="K16" s="38">
        <v>14</v>
      </c>
      <c r="L16" s="99">
        <v>-25.600000000000009</v>
      </c>
      <c r="N16" s="115" t="s">
        <v>129</v>
      </c>
      <c r="O16" s="125">
        <f t="shared" si="2"/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271</v>
      </c>
      <c r="C17" s="37">
        <f>IF(B$3=0,0,B17/B$3)</f>
        <v>0.26965174129353237</v>
      </c>
      <c r="E17" s="63" t="s">
        <v>80</v>
      </c>
      <c r="F17" s="60" t="s">
        <v>35</v>
      </c>
      <c r="G17" s="47">
        <v>6</v>
      </c>
      <c r="H17" s="133">
        <f>IF(B$17=0,0,G17/B$17)</f>
        <v>2.2140221402214021E-2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115</v>
      </c>
      <c r="C18" s="39">
        <f>IF(B$17=0,0,B18/B$17)</f>
        <v>0.42435424354243545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156</v>
      </c>
      <c r="C19" s="39">
        <f>IF(B$17=0,0,B19/B$17)</f>
        <v>0.57564575645756455</v>
      </c>
      <c r="E19" s="63" t="s">
        <v>82</v>
      </c>
      <c r="F19" s="60" t="s">
        <v>37</v>
      </c>
      <c r="G19" s="47">
        <v>8</v>
      </c>
      <c r="H19" s="133">
        <f>IF(B$17=0,0,G19/B$17)</f>
        <v>2.9520295202952029E-2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171</v>
      </c>
      <c r="C20" s="39">
        <f>IF(B$3=0,0,B20/B$3)</f>
        <v>0.17014925373134329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3.6900369003690037E-2</v>
      </c>
      <c r="I21" s="94">
        <v>8</v>
      </c>
      <c r="K21" s="38">
        <v>19</v>
      </c>
      <c r="L21" s="99">
        <v>138.79999999999998</v>
      </c>
      <c r="N21" s="115" t="s">
        <v>177</v>
      </c>
      <c r="O21" s="125">
        <f t="shared" si="2"/>
        <v>-12.139130434782608</v>
      </c>
      <c r="P21" s="119">
        <v>23</v>
      </c>
      <c r="Q21" s="107">
        <v>-279.2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1</v>
      </c>
      <c r="H22" s="133">
        <f>IF(B$17=0,0,G22/B$17)</f>
        <v>3.6900369003690036E-3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-19.230952380952381</v>
      </c>
      <c r="P22" s="119">
        <v>84</v>
      </c>
      <c r="Q22" s="107">
        <v>-1615.4</v>
      </c>
    </row>
    <row r="23" spans="1:17" x14ac:dyDescent="0.4">
      <c r="A23" s="55" t="s">
        <v>5</v>
      </c>
      <c r="B23" s="51">
        <f>IF(B$17=0,0,C23/B$17)</f>
        <v>9253.1365313653132</v>
      </c>
      <c r="C23" s="41">
        <v>2507600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-7776.6081871345032</v>
      </c>
      <c r="C24" s="45">
        <v>-1329800</v>
      </c>
      <c r="E24" s="63" t="s">
        <v>87</v>
      </c>
      <c r="F24" s="60" t="s">
        <v>42</v>
      </c>
      <c r="G24" s="47">
        <v>14</v>
      </c>
      <c r="H24" s="133">
        <f>IF(B$17=0,0,G24/B$17)</f>
        <v>5.1660516605166053E-2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3.6900369003690036E-3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4.9751243781094526E-3</v>
      </c>
      <c r="E27" s="63" t="s">
        <v>90</v>
      </c>
      <c r="F27" s="60" t="s">
        <v>45</v>
      </c>
      <c r="G27" s="47">
        <v>26</v>
      </c>
      <c r="H27" s="133">
        <f>IF(B$17=0,0,G27/B$17)</f>
        <v>9.5940959409594101E-2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2.2140221402214021E-2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3.6900369003690036E-3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3.6900369003690036E-3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3.6900369003690036E-3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1.8450184501845018E-2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8" t="s">
        <v>245</v>
      </c>
      <c r="F51" s="139" t="s">
        <v>246</v>
      </c>
      <c r="G51" s="48">
        <v>120</v>
      </c>
      <c r="H51" s="140">
        <f>IF(B$17=0,0,G51/B$17)</f>
        <v>0.44280442804428044</v>
      </c>
      <c r="I51" s="141">
        <v>3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</sheetData>
  <sortState ref="E2:I12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8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87</v>
      </c>
      <c r="C2" s="151"/>
      <c r="E2" s="62" t="s">
        <v>65</v>
      </c>
      <c r="F2" s="59" t="s">
        <v>21</v>
      </c>
      <c r="G2" s="46">
        <v>103</v>
      </c>
      <c r="H2" s="132">
        <f>IF(B$17=0,0,G2/B$17)</f>
        <v>0.60588235294117643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-3270.1149425287358</v>
      </c>
      <c r="P2" s="118">
        <v>87</v>
      </c>
      <c r="Q2" s="102">
        <v>-284500</v>
      </c>
    </row>
    <row r="3" spans="1:17" x14ac:dyDescent="0.4">
      <c r="A3" s="55" t="s">
        <v>8</v>
      </c>
      <c r="B3" s="152">
        <v>726</v>
      </c>
      <c r="C3" s="153"/>
      <c r="E3" s="63" t="s">
        <v>66</v>
      </c>
      <c r="F3" s="60" t="s">
        <v>22</v>
      </c>
      <c r="G3" s="47">
        <v>18</v>
      </c>
      <c r="H3" s="133">
        <f>IF(B$17=0,0,G3/B$17)</f>
        <v>0.10588235294117647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-1430.5882352941176</v>
      </c>
      <c r="P3" s="119">
        <v>85</v>
      </c>
      <c r="Q3" s="103">
        <v>-121600</v>
      </c>
    </row>
    <row r="4" spans="1:17" x14ac:dyDescent="0.4">
      <c r="A4" s="55" t="s">
        <v>6</v>
      </c>
      <c r="B4" s="154">
        <v>-1283.8000000000002</v>
      </c>
      <c r="C4" s="155"/>
      <c r="E4" s="63" t="s">
        <v>67</v>
      </c>
      <c r="F4" s="60" t="s">
        <v>23</v>
      </c>
      <c r="G4" s="47">
        <v>139</v>
      </c>
      <c r="H4" s="133">
        <f>IF(B$17=0,0,G4/B$17)</f>
        <v>0.81764705882352939</v>
      </c>
      <c r="I4" s="94">
        <v>4</v>
      </c>
      <c r="K4" s="38">
        <v>2</v>
      </c>
      <c r="L4" s="99">
        <v>-3.3999999999999986</v>
      </c>
      <c r="N4" s="115" t="s">
        <v>134</v>
      </c>
      <c r="O4" s="122">
        <f t="shared" si="0"/>
        <v>346.25</v>
      </c>
      <c r="P4" s="119">
        <v>80</v>
      </c>
      <c r="Q4" s="103">
        <v>27700</v>
      </c>
    </row>
    <row r="5" spans="1:17" x14ac:dyDescent="0.4">
      <c r="A5" s="55" t="s">
        <v>7</v>
      </c>
      <c r="B5" s="156">
        <f>IF(B$2=0,0,B$4/B$2)</f>
        <v>-14.756321839080462</v>
      </c>
      <c r="C5" s="157"/>
      <c r="E5" s="63" t="s">
        <v>68</v>
      </c>
      <c r="F5" s="60" t="s">
        <v>24</v>
      </c>
      <c r="G5" s="47">
        <v>62</v>
      </c>
      <c r="H5" s="133">
        <f>IF(B$17=0,0,G5/B$17)</f>
        <v>0.36470588235294116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-4722.8571428571431</v>
      </c>
      <c r="P5" s="119">
        <v>70</v>
      </c>
      <c r="Q5" s="103">
        <v>-330600</v>
      </c>
    </row>
    <row r="6" spans="1:17" x14ac:dyDescent="0.4">
      <c r="A6" s="55" t="s">
        <v>1</v>
      </c>
      <c r="B6" s="146">
        <f>IF(B$2=0,0,(B$7*1+B$8*2+B$9*3)/B$2)</f>
        <v>2.2413793103448274</v>
      </c>
      <c r="C6" s="147"/>
      <c r="E6" s="63" t="s">
        <v>69</v>
      </c>
      <c r="F6" s="60" t="s">
        <v>12</v>
      </c>
      <c r="G6" s="47">
        <v>66</v>
      </c>
      <c r="H6" s="133">
        <f>IF(B$17=0,0,G6/B$17)</f>
        <v>0.38823529411764707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-1230.1587301587301</v>
      </c>
      <c r="P6" s="119">
        <v>63</v>
      </c>
      <c r="Q6" s="103">
        <v>-77500</v>
      </c>
    </row>
    <row r="7" spans="1:17" x14ac:dyDescent="0.4">
      <c r="A7" s="55" t="s">
        <v>2</v>
      </c>
      <c r="B7" s="47">
        <v>21</v>
      </c>
      <c r="C7" s="39">
        <f>IF(B$2=0,0,B7/B$2)</f>
        <v>0.2413793103448276</v>
      </c>
      <c r="E7" s="63" t="s">
        <v>70</v>
      </c>
      <c r="F7" s="60" t="s">
        <v>25</v>
      </c>
      <c r="G7" s="47">
        <v>34</v>
      </c>
      <c r="H7" s="133">
        <f>IF(B$17=0,0,G7/B$17)</f>
        <v>0.2</v>
      </c>
      <c r="I7" s="94">
        <v>2</v>
      </c>
      <c r="K7" s="38">
        <v>5</v>
      </c>
      <c r="L7" s="99">
        <v>-32.199999999999996</v>
      </c>
      <c r="N7" s="116" t="s">
        <v>137</v>
      </c>
      <c r="O7" s="123">
        <f t="shared" si="0"/>
        <v>-1235.0877192982457</v>
      </c>
      <c r="P7" s="120">
        <v>57</v>
      </c>
      <c r="Q7" s="104">
        <v>-70400</v>
      </c>
    </row>
    <row r="8" spans="1:17" x14ac:dyDescent="0.4">
      <c r="A8" s="55" t="s">
        <v>3</v>
      </c>
      <c r="B8" s="47">
        <v>24</v>
      </c>
      <c r="C8" s="39">
        <f>IF(B$2=0,0,B8/B$2)</f>
        <v>0.27586206896551724</v>
      </c>
      <c r="E8" s="63" t="s">
        <v>71</v>
      </c>
      <c r="F8" s="60" t="s">
        <v>26</v>
      </c>
      <c r="G8" s="47">
        <v>26</v>
      </c>
      <c r="H8" s="133">
        <f>IF(B$17=0,0,G8/B$17)</f>
        <v>0.15294117647058825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42</v>
      </c>
      <c r="C9" s="40">
        <f t="shared" ref="C9" si="1">IF(B$2=0,0,B9/B$2)</f>
        <v>0.48275862068965519</v>
      </c>
      <c r="E9" s="63" t="s">
        <v>72</v>
      </c>
      <c r="F9" s="60" t="s">
        <v>27</v>
      </c>
      <c r="G9" s="47">
        <v>20</v>
      </c>
      <c r="H9" s="133">
        <f>IF(B$17=0,0,G9/B$17)</f>
        <v>0.11764705882352941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0.19540229885057472</v>
      </c>
      <c r="E10" s="63" t="s">
        <v>73</v>
      </c>
      <c r="F10" s="60" t="s">
        <v>28</v>
      </c>
      <c r="G10" s="47">
        <v>57</v>
      </c>
      <c r="H10" s="133">
        <f>IF(B$17=0,0,G10/B$17)</f>
        <v>0.3352941176470588</v>
      </c>
      <c r="I10" s="94">
        <v>12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9</v>
      </c>
      <c r="C11" s="40">
        <f>IF(B$2=0,0,B11/B$2)</f>
        <v>0.10344827586206896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-13.773529411764709</v>
      </c>
      <c r="P11" s="119">
        <v>34</v>
      </c>
      <c r="Q11" s="107">
        <v>-468.30000000000013</v>
      </c>
    </row>
    <row r="12" spans="1:17" x14ac:dyDescent="0.4">
      <c r="A12" s="57" t="s">
        <v>160</v>
      </c>
      <c r="B12" s="49">
        <v>7</v>
      </c>
      <c r="C12" s="42">
        <f>IF(B$2=0,0,B12/B$2)</f>
        <v>8.0459770114942528E-2</v>
      </c>
      <c r="E12" s="63" t="s">
        <v>75</v>
      </c>
      <c r="F12" s="60" t="s">
        <v>30</v>
      </c>
      <c r="G12" s="47">
        <v>2</v>
      </c>
      <c r="H12" s="133">
        <f>IF(B$17=0,0,G12/B$17)</f>
        <v>1.1764705882352941E-2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-12.938461538461535</v>
      </c>
      <c r="P12" s="120">
        <v>26</v>
      </c>
      <c r="Q12" s="108">
        <v>-336.39999999999992</v>
      </c>
    </row>
    <row r="13" spans="1:17" x14ac:dyDescent="0.4">
      <c r="A13" s="58" t="s">
        <v>122</v>
      </c>
      <c r="B13" s="50">
        <v>203</v>
      </c>
      <c r="C13" s="44">
        <f>IF(B$3=0,0,B13/B$3)</f>
        <v>0.27961432506887052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120</v>
      </c>
      <c r="C14" s="39">
        <f>IF(B$3=0,0,B14/B$3)</f>
        <v>0.16528925619834711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106</v>
      </c>
      <c r="C15" s="37">
        <f>IF(B$13=0,0,B15/B$13)</f>
        <v>0.52216748768472909</v>
      </c>
      <c r="E15" s="63" t="s">
        <v>78</v>
      </c>
      <c r="F15" s="60" t="s">
        <v>33</v>
      </c>
      <c r="G15" s="47">
        <v>1</v>
      </c>
      <c r="H15" s="133">
        <f>IF(B$17=0,0,G15/B$17)</f>
        <v>5.8823529411764705E-3</v>
      </c>
      <c r="I15" s="94">
        <v>1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29</v>
      </c>
      <c r="C16" s="37">
        <f>IF(B$14=0,0,B16/B$14)</f>
        <v>0.24166666666666667</v>
      </c>
      <c r="E16" s="63" t="s">
        <v>79</v>
      </c>
      <c r="F16" s="60" t="s">
        <v>34</v>
      </c>
      <c r="G16" s="47">
        <v>5</v>
      </c>
      <c r="H16" s="133">
        <f>IF(B$17=0,0,G16/B$17)</f>
        <v>2.9411764705882353E-2</v>
      </c>
      <c r="I16" s="94">
        <v>5</v>
      </c>
      <c r="K16" s="38">
        <v>14</v>
      </c>
      <c r="L16" s="99">
        <v>-394.6</v>
      </c>
      <c r="N16" s="115" t="s">
        <v>128</v>
      </c>
      <c r="O16" s="125">
        <f>IF(P16=0,0,Q16/P16)</f>
        <v>-13.074999999999998</v>
      </c>
      <c r="P16" s="119">
        <v>40</v>
      </c>
      <c r="Q16" s="107">
        <v>-522.99999999999989</v>
      </c>
    </row>
    <row r="17" spans="1:17" x14ac:dyDescent="0.4">
      <c r="A17" s="54" t="s">
        <v>10</v>
      </c>
      <c r="B17" s="46">
        <f>B19+B18</f>
        <v>170</v>
      </c>
      <c r="C17" s="37">
        <f>IF(B$3=0,0,B17/B$3)</f>
        <v>0.23415977961432508</v>
      </c>
      <c r="E17" s="63" t="s">
        <v>80</v>
      </c>
      <c r="F17" s="60" t="s">
        <v>35</v>
      </c>
      <c r="G17" s="47">
        <v>1</v>
      </c>
      <c r="H17" s="133">
        <f>IF(B$17=0,0,G17/B$17)</f>
        <v>5.8823529411764705E-3</v>
      </c>
      <c r="I17" s="94">
        <v>10</v>
      </c>
      <c r="K17" s="38">
        <v>15</v>
      </c>
      <c r="L17" s="99">
        <v>-424.5</v>
      </c>
      <c r="N17" s="115" t="s">
        <v>177</v>
      </c>
      <c r="O17" s="125">
        <f>IF(P17=0,0,Q17/P17)</f>
        <v>-15.677777777777781</v>
      </c>
      <c r="P17" s="119">
        <v>18</v>
      </c>
      <c r="Q17" s="107">
        <v>-282.20000000000005</v>
      </c>
    </row>
    <row r="18" spans="1:17" x14ac:dyDescent="0.4">
      <c r="A18" s="55" t="s">
        <v>12</v>
      </c>
      <c r="B18" s="47">
        <v>76</v>
      </c>
      <c r="C18" s="39">
        <f>IF(B$17=0,0,B18/B$17)</f>
        <v>0.44705882352941179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-20.678571428571423</v>
      </c>
      <c r="P18" s="119">
        <v>28</v>
      </c>
      <c r="Q18" s="107">
        <v>-578.99999999999989</v>
      </c>
    </row>
    <row r="19" spans="1:17" x14ac:dyDescent="0.4">
      <c r="A19" s="55" t="s">
        <v>11</v>
      </c>
      <c r="B19" s="47">
        <v>94</v>
      </c>
      <c r="C19" s="39">
        <f>IF(B$17=0,0,B19/B$17)</f>
        <v>0.55294117647058827</v>
      </c>
      <c r="E19" s="63" t="s">
        <v>82</v>
      </c>
      <c r="F19" s="60" t="s">
        <v>37</v>
      </c>
      <c r="G19" s="47">
        <v>4</v>
      </c>
      <c r="H19" s="133">
        <f>IF(B$17=0,0,G19/B$17)</f>
        <v>2.3529411764705882E-2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141</v>
      </c>
      <c r="C20" s="39">
        <f>IF(B$3=0,0,B20/B$3)</f>
        <v>0.19421487603305784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-29.407407407407415</v>
      </c>
      <c r="P20" s="119">
        <v>54</v>
      </c>
      <c r="Q20" s="107">
        <v>-1588.0000000000005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4.1176470588235294E-2</v>
      </c>
      <c r="I21" s="94">
        <v>8</v>
      </c>
      <c r="K21" s="38">
        <v>19</v>
      </c>
      <c r="L21" s="99">
        <v>-569.49999999999989</v>
      </c>
      <c r="N21" s="115" t="s">
        <v>172</v>
      </c>
      <c r="O21" s="125">
        <f>IF(P21=0,0,Q21/P21)</f>
        <v>-32.104761904761901</v>
      </c>
      <c r="P21" s="119">
        <v>21</v>
      </c>
      <c r="Q21" s="107">
        <v>-674.19999999999993</v>
      </c>
    </row>
    <row r="22" spans="1:17" x14ac:dyDescent="0.4">
      <c r="A22" s="55" t="s">
        <v>192</v>
      </c>
      <c r="B22" s="47">
        <v>31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184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8877.6470588235297</v>
      </c>
      <c r="C23" s="41">
        <v>1509200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-9070.2127659574471</v>
      </c>
      <c r="C24" s="45">
        <v>-1278900</v>
      </c>
      <c r="E24" s="63" t="s">
        <v>87</v>
      </c>
      <c r="F24" s="60" t="s">
        <v>42</v>
      </c>
      <c r="G24" s="47">
        <v>10</v>
      </c>
      <c r="H24" s="133">
        <f>IF(B$17=0,0,G24/B$17)</f>
        <v>5.8823529411764705E-2</v>
      </c>
      <c r="I24" s="94">
        <v>5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2</v>
      </c>
      <c r="H25" s="133">
        <f>IF(B$17=0,0,G25/B$17)</f>
        <v>1.1764705882352941E-2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5.8823529411764705E-3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1.3774104683195593E-3</v>
      </c>
      <c r="E27" s="63" t="s">
        <v>90</v>
      </c>
      <c r="F27" s="60" t="s">
        <v>45</v>
      </c>
      <c r="G27" s="47">
        <v>14</v>
      </c>
      <c r="H27" s="133">
        <f>IF(B$17=0,0,G27/B$17)</f>
        <v>8.2352941176470587E-2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5.8823529411764705E-3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5.8823529411764705E-3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1.1764705882352941E-2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138" t="s">
        <v>245</v>
      </c>
      <c r="F51" s="139" t="s">
        <v>246</v>
      </c>
      <c r="G51" s="48">
        <v>67</v>
      </c>
      <c r="H51" s="140">
        <f>IF(B$17=0,0,G51/B$17)</f>
        <v>0.39411764705882352</v>
      </c>
      <c r="I51" s="141">
        <v>9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</sheetData>
  <sortState ref="E2:I8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88</v>
      </c>
      <c r="C2" s="151"/>
      <c r="E2" s="62" t="s">
        <v>65</v>
      </c>
      <c r="F2" s="59" t="s">
        <v>21</v>
      </c>
      <c r="G2" s="46">
        <v>112</v>
      </c>
      <c r="H2" s="132">
        <f>IF(B$17=0,0,G2/B$17)</f>
        <v>0.54634146341463419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-618.18181818181813</v>
      </c>
      <c r="P2" s="118">
        <v>88</v>
      </c>
      <c r="Q2" s="102">
        <v>-54400</v>
      </c>
    </row>
    <row r="3" spans="1:17" x14ac:dyDescent="0.4">
      <c r="A3" s="55" t="s">
        <v>8</v>
      </c>
      <c r="B3" s="152">
        <v>728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0.13658536585365855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496.51162790697674</v>
      </c>
      <c r="P3" s="119">
        <v>86</v>
      </c>
      <c r="Q3" s="103">
        <v>42700</v>
      </c>
    </row>
    <row r="4" spans="1:17" x14ac:dyDescent="0.4">
      <c r="A4" s="55" t="s">
        <v>6</v>
      </c>
      <c r="B4" s="154">
        <v>46.300000000000026</v>
      </c>
      <c r="C4" s="155"/>
      <c r="E4" s="63" t="s">
        <v>67</v>
      </c>
      <c r="F4" s="60" t="s">
        <v>23</v>
      </c>
      <c r="G4" s="47">
        <v>173</v>
      </c>
      <c r="H4" s="133">
        <f>IF(B$17=0,0,G4/B$17)</f>
        <v>0.84390243902439022</v>
      </c>
      <c r="I4" s="94">
        <v>2</v>
      </c>
      <c r="K4" s="38">
        <v>2</v>
      </c>
      <c r="L4" s="99">
        <v>-93.300000000000011</v>
      </c>
      <c r="N4" s="115" t="s">
        <v>134</v>
      </c>
      <c r="O4" s="122">
        <f t="shared" si="0"/>
        <v>1178.4810126582279</v>
      </c>
      <c r="P4" s="119">
        <v>79</v>
      </c>
      <c r="Q4" s="103">
        <v>93100</v>
      </c>
    </row>
    <row r="5" spans="1:17" x14ac:dyDescent="0.4">
      <c r="A5" s="55" t="s">
        <v>7</v>
      </c>
      <c r="B5" s="156">
        <f>IF(B$2=0,0,B$4/B$2)</f>
        <v>0.52613636363636396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0.34146341463414637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998.52941176470586</v>
      </c>
      <c r="P5" s="119">
        <v>68</v>
      </c>
      <c r="Q5" s="103">
        <v>67900</v>
      </c>
    </row>
    <row r="6" spans="1:17" x14ac:dyDescent="0.4">
      <c r="A6" s="55" t="s">
        <v>1</v>
      </c>
      <c r="B6" s="146">
        <f>IF(B$2=0,0,(B$7*1+B$8*2+B$9*3)/B$2)</f>
        <v>2.0454545454545454</v>
      </c>
      <c r="C6" s="147"/>
      <c r="E6" s="63" t="s">
        <v>69</v>
      </c>
      <c r="F6" s="60" t="s">
        <v>12</v>
      </c>
      <c r="G6" s="47">
        <v>61</v>
      </c>
      <c r="H6" s="133">
        <f>IF(B$17=0,0,G6/B$17)</f>
        <v>0.29756097560975608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-588.33333333333337</v>
      </c>
      <c r="P6" s="119">
        <v>60</v>
      </c>
      <c r="Q6" s="103">
        <v>-35300</v>
      </c>
    </row>
    <row r="7" spans="1:17" x14ac:dyDescent="0.4">
      <c r="A7" s="55" t="s">
        <v>2</v>
      </c>
      <c r="B7" s="47">
        <v>27</v>
      </c>
      <c r="C7" s="39">
        <f>IF(B$2=0,0,B7/B$2)</f>
        <v>0.30681818181818182</v>
      </c>
      <c r="E7" s="63" t="s">
        <v>70</v>
      </c>
      <c r="F7" s="60" t="s">
        <v>25</v>
      </c>
      <c r="G7" s="47">
        <v>40</v>
      </c>
      <c r="H7" s="133">
        <f>IF(B$17=0,0,G7/B$17)</f>
        <v>0.1951219512195122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-303.63636363636363</v>
      </c>
      <c r="P7" s="120">
        <v>55</v>
      </c>
      <c r="Q7" s="104">
        <v>-16700</v>
      </c>
    </row>
    <row r="8" spans="1:17" x14ac:dyDescent="0.4">
      <c r="A8" s="55" t="s">
        <v>3</v>
      </c>
      <c r="B8" s="47">
        <v>30</v>
      </c>
      <c r="C8" s="39">
        <f>IF(B$2=0,0,B8/B$2)</f>
        <v>0.34090909090909088</v>
      </c>
      <c r="E8" s="63" t="s">
        <v>71</v>
      </c>
      <c r="F8" s="60" t="s">
        <v>26</v>
      </c>
      <c r="G8" s="47">
        <v>21</v>
      </c>
      <c r="H8" s="133">
        <f>IF(B$17=0,0,G8/B$17)</f>
        <v>0.1024390243902439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0.35227272727272729</v>
      </c>
      <c r="E9" s="63" t="s">
        <v>72</v>
      </c>
      <c r="F9" s="60" t="s">
        <v>27</v>
      </c>
      <c r="G9" s="47">
        <v>12</v>
      </c>
      <c r="H9" s="133">
        <f>IF(B$17=0,0,G9/B$17)</f>
        <v>5.8536585365853662E-2</v>
      </c>
      <c r="I9" s="94">
        <v>8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0.10227272727272728</v>
      </c>
      <c r="E10" s="63" t="s">
        <v>73</v>
      </c>
      <c r="F10" s="60" t="s">
        <v>28</v>
      </c>
      <c r="G10" s="47">
        <v>107</v>
      </c>
      <c r="H10" s="133">
        <f>IF(B$17=0,0,G10/B$17)</f>
        <v>0.52195121951219514</v>
      </c>
      <c r="I10" s="94">
        <v>7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0.13636363636363635</v>
      </c>
      <c r="E11" s="63" t="s">
        <v>74</v>
      </c>
      <c r="F11" s="60" t="s">
        <v>29</v>
      </c>
      <c r="G11" s="47">
        <v>2</v>
      </c>
      <c r="H11" s="133">
        <f>IF(B$17=0,0,G11/B$17)</f>
        <v>9.7560975609756097E-3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6.8181818181818177E-2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-0.65483870967741953</v>
      </c>
      <c r="P12" s="120">
        <v>31</v>
      </c>
      <c r="Q12" s="108">
        <v>-20.300000000000004</v>
      </c>
    </row>
    <row r="13" spans="1:17" x14ac:dyDescent="0.4">
      <c r="A13" s="58" t="s">
        <v>122</v>
      </c>
      <c r="B13" s="50">
        <v>212</v>
      </c>
      <c r="C13" s="44">
        <f>IF(B$3=0,0,B13/B$3)</f>
        <v>0.29120879120879123</v>
      </c>
      <c r="E13" s="63" t="s">
        <v>76</v>
      </c>
      <c r="F13" s="60" t="s">
        <v>31</v>
      </c>
      <c r="G13" s="47">
        <v>3</v>
      </c>
      <c r="H13" s="133">
        <f>IF(B$17=0,0,G13/B$17)</f>
        <v>1.4634146341463415E-2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0.18818681318681318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120</v>
      </c>
      <c r="C15" s="37">
        <f>IF(B$13=0,0,B15/B$13)</f>
        <v>0.56603773584905659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57</v>
      </c>
      <c r="C16" s="37">
        <f>IF(B$14=0,0,B16/B$14)</f>
        <v>0.41605839416058393</v>
      </c>
      <c r="E16" s="63" t="s">
        <v>79</v>
      </c>
      <c r="F16" s="60" t="s">
        <v>34</v>
      </c>
      <c r="G16" s="47">
        <v>9</v>
      </c>
      <c r="H16" s="133">
        <f>IF(B$17=0,0,G16/B$17)</f>
        <v>4.3902439024390241E-2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>IF(P16=0,0,Q16/P16)</f>
        <v>20.67857142857142</v>
      </c>
      <c r="P16" s="119">
        <v>28</v>
      </c>
      <c r="Q16" s="107">
        <v>578.99999999999977</v>
      </c>
    </row>
    <row r="17" spans="1:17" x14ac:dyDescent="0.4">
      <c r="A17" s="54" t="s">
        <v>10</v>
      </c>
      <c r="B17" s="46">
        <f>B19+B18</f>
        <v>205</v>
      </c>
      <c r="C17" s="37">
        <f>IF(B$3=0,0,B17/B$3)</f>
        <v>0.28159340659340659</v>
      </c>
      <c r="E17" s="63" t="s">
        <v>80</v>
      </c>
      <c r="F17" s="60" t="s">
        <v>35</v>
      </c>
      <c r="G17" s="47">
        <v>3</v>
      </c>
      <c r="H17" s="133">
        <f>IF(B$17=0,0,G17/B$17)</f>
        <v>1.4634146341463415E-2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>IF(P17=0,0,Q17/P17)</f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84</v>
      </c>
      <c r="C18" s="39">
        <f>IF(B$17=0,0,B18/B$17)</f>
        <v>0.40975609756097559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121</v>
      </c>
      <c r="C19" s="39">
        <f>IF(B$17=0,0,B19/B$17)</f>
        <v>0.59024390243902436</v>
      </c>
      <c r="E19" s="63" t="s">
        <v>82</v>
      </c>
      <c r="F19" s="60" t="s">
        <v>37</v>
      </c>
      <c r="G19" s="47">
        <v>8</v>
      </c>
      <c r="H19" s="133">
        <f>IF(B$17=0,0,G19/B$17)</f>
        <v>3.9024390243902439E-2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127</v>
      </c>
      <c r="C20" s="39">
        <f>IF(B$3=0,0,B20/B$3)</f>
        <v>0.17445054945054944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>IF(P20=0,0,Q20/P20)</f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5.3658536585365853E-2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>IF(P21=0,0,Q21/P21)</f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9.7560975609756097E-3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-39.917647058823533</v>
      </c>
      <c r="P22" s="119">
        <v>17</v>
      </c>
      <c r="Q22" s="107">
        <v>-678.6</v>
      </c>
    </row>
    <row r="23" spans="1:17" x14ac:dyDescent="0.4">
      <c r="A23" s="55" t="s">
        <v>5</v>
      </c>
      <c r="B23" s="51">
        <f>IF(B$17=0,0,C23/B$17)</f>
        <v>10010.731707317073</v>
      </c>
      <c r="C23" s="41">
        <v>2052200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-8534.645669291338</v>
      </c>
      <c r="C24" s="45">
        <v>-1083900</v>
      </c>
      <c r="E24" s="63" t="s">
        <v>87</v>
      </c>
      <c r="F24" s="60" t="s">
        <v>42</v>
      </c>
      <c r="G24" s="47">
        <v>15</v>
      </c>
      <c r="H24" s="133">
        <f>IF(B$17=0,0,G24/B$17)</f>
        <v>7.3170731707317069E-2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4.8780487804878049E-3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1.3736263736263737E-3</v>
      </c>
      <c r="E27" s="63" t="s">
        <v>90</v>
      </c>
      <c r="F27" s="60" t="s">
        <v>45</v>
      </c>
      <c r="G27" s="47">
        <v>35</v>
      </c>
      <c r="H27" s="133">
        <f>IF(B$17=0,0,G27/B$17)</f>
        <v>0.17073170731707318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2.9268292682926831E-2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9.7560975609756097E-3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4.8780487804878049E-3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1.9512195121951219E-2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8" t="s">
        <v>245</v>
      </c>
      <c r="F51" s="139" t="s">
        <v>246</v>
      </c>
      <c r="G51" s="48">
        <v>79</v>
      </c>
      <c r="H51" s="140">
        <f>IF(B$17=0,0,G51/B$17)</f>
        <v>0.38536585365853659</v>
      </c>
      <c r="I51" s="141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</sheetData>
  <sortState ref="E2:I9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72</v>
      </c>
      <c r="C2" s="151"/>
      <c r="E2" s="62" t="s">
        <v>65</v>
      </c>
      <c r="F2" s="59" t="s">
        <v>21</v>
      </c>
      <c r="G2" s="46">
        <v>74</v>
      </c>
      <c r="H2" s="132">
        <f>IF(B$17=0,0,G2/B$17)</f>
        <v>0.34579439252336447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745.83333333333337</v>
      </c>
      <c r="P2" s="118">
        <v>72</v>
      </c>
      <c r="Q2" s="102">
        <v>53700</v>
      </c>
    </row>
    <row r="3" spans="1:17" x14ac:dyDescent="0.4">
      <c r="A3" s="55" t="s">
        <v>8</v>
      </c>
      <c r="B3" s="152">
        <v>621</v>
      </c>
      <c r="C3" s="153"/>
      <c r="E3" s="63" t="s">
        <v>66</v>
      </c>
      <c r="F3" s="60" t="s">
        <v>22</v>
      </c>
      <c r="G3" s="47">
        <v>25</v>
      </c>
      <c r="H3" s="133">
        <f>IF(B$17=0,0,G3/B$17)</f>
        <v>0.11682242990654206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-1040.2777777777778</v>
      </c>
      <c r="P3" s="119">
        <v>72</v>
      </c>
      <c r="Q3" s="103">
        <v>-74900</v>
      </c>
    </row>
    <row r="4" spans="1:17" x14ac:dyDescent="0.4">
      <c r="A4" s="55" t="s">
        <v>6</v>
      </c>
      <c r="B4" s="154">
        <v>-68.40000000000002</v>
      </c>
      <c r="C4" s="155"/>
      <c r="E4" s="63" t="s">
        <v>67</v>
      </c>
      <c r="F4" s="60" t="s">
        <v>23</v>
      </c>
      <c r="G4" s="47">
        <v>140</v>
      </c>
      <c r="H4" s="133">
        <f>IF(B$17=0,0,G4/B$17)</f>
        <v>0.65420560747663548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-1564.6153846153845</v>
      </c>
      <c r="P4" s="119">
        <v>65</v>
      </c>
      <c r="Q4" s="103">
        <v>-101700</v>
      </c>
    </row>
    <row r="5" spans="1:17" x14ac:dyDescent="0.4">
      <c r="A5" s="55" t="s">
        <v>7</v>
      </c>
      <c r="B5" s="156">
        <f>IF(B$2=0,0,B$4/B$2)</f>
        <v>-0.95000000000000029</v>
      </c>
      <c r="C5" s="157"/>
      <c r="E5" s="63" t="s">
        <v>68</v>
      </c>
      <c r="F5" s="60" t="s">
        <v>24</v>
      </c>
      <c r="G5" s="47">
        <v>36</v>
      </c>
      <c r="H5" s="133">
        <f>IF(B$17=0,0,G5/B$17)</f>
        <v>0.16822429906542055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985.48387096774195</v>
      </c>
      <c r="P5" s="119">
        <v>62</v>
      </c>
      <c r="Q5" s="103">
        <v>61100</v>
      </c>
    </row>
    <row r="6" spans="1:17" x14ac:dyDescent="0.4">
      <c r="A6" s="55" t="s">
        <v>1</v>
      </c>
      <c r="B6" s="146">
        <f>IF(B$2=0,0,(B$7*1+B$8*2+B$9*3)/B$2)</f>
        <v>2.0555555555555554</v>
      </c>
      <c r="C6" s="147"/>
      <c r="E6" s="63" t="s">
        <v>69</v>
      </c>
      <c r="F6" s="60" t="s">
        <v>12</v>
      </c>
      <c r="G6" s="47">
        <v>57</v>
      </c>
      <c r="H6" s="133">
        <f>IF(B$17=0,0,G6/B$17)</f>
        <v>0.26635514018691586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769.49152542372883</v>
      </c>
      <c r="P6" s="119">
        <v>59</v>
      </c>
      <c r="Q6" s="103">
        <v>45400</v>
      </c>
    </row>
    <row r="7" spans="1:17" x14ac:dyDescent="0.4">
      <c r="A7" s="55" t="s">
        <v>2</v>
      </c>
      <c r="B7" s="47">
        <v>19</v>
      </c>
      <c r="C7" s="39">
        <f>IF(B$2=0,0,B7/B$2)</f>
        <v>0.2638888888888889</v>
      </c>
      <c r="E7" s="63" t="s">
        <v>70</v>
      </c>
      <c r="F7" s="60" t="s">
        <v>25</v>
      </c>
      <c r="G7" s="47">
        <v>31</v>
      </c>
      <c r="H7" s="133">
        <f>IF(B$17=0,0,G7/B$17)</f>
        <v>0.14485981308411214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-472.54901960784315</v>
      </c>
      <c r="P7" s="120">
        <v>51</v>
      </c>
      <c r="Q7" s="104">
        <v>-24100</v>
      </c>
    </row>
    <row r="8" spans="1:17" x14ac:dyDescent="0.4">
      <c r="A8" s="55" t="s">
        <v>3</v>
      </c>
      <c r="B8" s="47">
        <v>30</v>
      </c>
      <c r="C8" s="39">
        <f>IF(B$2=0,0,B8/B$2)</f>
        <v>0.41666666666666669</v>
      </c>
      <c r="E8" s="63" t="s">
        <v>71</v>
      </c>
      <c r="F8" s="60" t="s">
        <v>26</v>
      </c>
      <c r="G8" s="47">
        <v>14</v>
      </c>
      <c r="H8" s="133">
        <f>IF(B$17=0,0,G8/B$17)</f>
        <v>6.5420560747663545E-2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0.31944444444444442</v>
      </c>
      <c r="E9" s="63" t="s">
        <v>72</v>
      </c>
      <c r="F9" s="60" t="s">
        <v>27</v>
      </c>
      <c r="G9" s="47">
        <v>17</v>
      </c>
      <c r="H9" s="133">
        <f>IF(B$17=0,0,G9/B$17)</f>
        <v>7.9439252336448593E-2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4.1666666666666664E-2</v>
      </c>
      <c r="E10" s="63" t="s">
        <v>73</v>
      </c>
      <c r="F10" s="60" t="s">
        <v>28</v>
      </c>
      <c r="G10" s="47">
        <v>120</v>
      </c>
      <c r="H10" s="133">
        <f>IF(B$17=0,0,G10/B$17)</f>
        <v>0.56074766355140182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-7.3800000000000026</v>
      </c>
      <c r="P10" s="118">
        <v>20</v>
      </c>
      <c r="Q10" s="106">
        <v>-147.60000000000005</v>
      </c>
    </row>
    <row r="11" spans="1:17" x14ac:dyDescent="0.4">
      <c r="A11" s="56" t="s">
        <v>140</v>
      </c>
      <c r="B11" s="48">
        <v>7</v>
      </c>
      <c r="C11" s="40">
        <f>IF(B$2=0,0,B11/B$2)</f>
        <v>9.7222222222222224E-2</v>
      </c>
      <c r="E11" s="63" t="s">
        <v>74</v>
      </c>
      <c r="F11" s="60" t="s">
        <v>29</v>
      </c>
      <c r="G11" s="47">
        <v>1</v>
      </c>
      <c r="H11" s="133">
        <f>IF(B$17=0,0,G11/B$17)</f>
        <v>4.6728971962616819E-3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2.4500000000000002</v>
      </c>
      <c r="P11" s="119">
        <v>24</v>
      </c>
      <c r="Q11" s="107">
        <v>58.800000000000004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75</v>
      </c>
      <c r="F12" s="60" t="s">
        <v>30</v>
      </c>
      <c r="G12" s="47">
        <v>1</v>
      </c>
      <c r="H12" s="133">
        <f>IF(B$17=0,0,G12/B$17)</f>
        <v>4.6728971962616819E-3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0.72857142857142854</v>
      </c>
      <c r="P12" s="120">
        <v>28</v>
      </c>
      <c r="Q12" s="108">
        <v>20.399999999999999</v>
      </c>
    </row>
    <row r="13" spans="1:17" x14ac:dyDescent="0.4">
      <c r="A13" s="58" t="s">
        <v>122</v>
      </c>
      <c r="B13" s="50">
        <v>133</v>
      </c>
      <c r="C13" s="44">
        <f>IF(B$3=0,0,B13/B$3)</f>
        <v>0.214170692431562</v>
      </c>
      <c r="E13" s="63" t="s">
        <v>76</v>
      </c>
      <c r="F13" s="60" t="s">
        <v>31</v>
      </c>
      <c r="G13" s="47">
        <v>1</v>
      </c>
      <c r="H13" s="133">
        <f>IF(B$17=0,0,G13/B$17)</f>
        <v>4.6728971962616819E-3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179</v>
      </c>
      <c r="C14" s="39">
        <f>IF(B$3=0,0,B14/B$3)</f>
        <v>0.28824476650563607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74</v>
      </c>
      <c r="C15" s="37">
        <f>IF(B$13=0,0,B15/B$13)</f>
        <v>0.55639097744360899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76</v>
      </c>
      <c r="C16" s="37">
        <f>IF(B$14=0,0,B16/B$14)</f>
        <v>0.42458100558659218</v>
      </c>
      <c r="E16" s="63" t="s">
        <v>79</v>
      </c>
      <c r="F16" s="60" t="s">
        <v>34</v>
      </c>
      <c r="G16" s="47">
        <v>3</v>
      </c>
      <c r="H16" s="133">
        <f>IF(B$17=0,0,G16/B$17)</f>
        <v>1.4018691588785047E-2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214</v>
      </c>
      <c r="C17" s="37">
        <f>IF(B$3=0,0,B17/B$3)</f>
        <v>0.34460547504025762</v>
      </c>
      <c r="E17" s="63" t="s">
        <v>80</v>
      </c>
      <c r="F17" s="60" t="s">
        <v>35</v>
      </c>
      <c r="G17" s="47">
        <v>3</v>
      </c>
      <c r="H17" s="133">
        <f>IF(B$17=0,0,G17/B$17)</f>
        <v>1.4018691588785047E-2</v>
      </c>
      <c r="I17" s="94">
        <v>8</v>
      </c>
      <c r="K17" s="38">
        <v>15</v>
      </c>
      <c r="L17" s="99">
        <v>-80.3</v>
      </c>
      <c r="N17" s="115" t="s">
        <v>184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91</v>
      </c>
      <c r="C18" s="39">
        <f>IF(B$17=0,0,B18/B$17)</f>
        <v>0.42523364485981308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173</v>
      </c>
      <c r="O18" s="125">
        <f t="shared" si="2"/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123</v>
      </c>
      <c r="C19" s="39">
        <f>IF(B$17=0,0,B19/B$17)</f>
        <v>0.57476635514018692</v>
      </c>
      <c r="E19" s="63" t="s">
        <v>82</v>
      </c>
      <c r="F19" s="60" t="s">
        <v>37</v>
      </c>
      <c r="G19" s="47">
        <v>8</v>
      </c>
      <c r="H19" s="133">
        <f>IF(B$17=0,0,G19/B$17)</f>
        <v>3.7383177570093455E-2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2"/>
        <v>-0.21290322580645182</v>
      </c>
      <c r="P19" s="119">
        <v>31</v>
      </c>
      <c r="Q19" s="107">
        <v>-6.6000000000000068</v>
      </c>
    </row>
    <row r="20" spans="1:17" x14ac:dyDescent="0.4">
      <c r="A20" s="55" t="s">
        <v>13</v>
      </c>
      <c r="B20" s="47">
        <v>85</v>
      </c>
      <c r="C20" s="39">
        <f>IF(B$3=0,0,B20/B$3)</f>
        <v>0.13687600644122383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200</v>
      </c>
      <c r="O20" s="125">
        <f t="shared" si="2"/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84</v>
      </c>
      <c r="F21" s="60" t="s">
        <v>39</v>
      </c>
      <c r="G21" s="47">
        <v>13</v>
      </c>
      <c r="H21" s="133">
        <f>IF(B$17=0,0,G21/B$17)</f>
        <v>6.0747663551401869E-2</v>
      </c>
      <c r="I21" s="94">
        <v>3</v>
      </c>
      <c r="K21" s="38">
        <v>19</v>
      </c>
      <c r="L21" s="99">
        <v>29.200000000000003</v>
      </c>
      <c r="N21" s="115" t="s">
        <v>177</v>
      </c>
      <c r="O21" s="125">
        <f t="shared" si="2"/>
        <v>-2.9214285714285722</v>
      </c>
      <c r="P21" s="119">
        <v>14</v>
      </c>
      <c r="Q21" s="107">
        <v>-40.900000000000013</v>
      </c>
    </row>
    <row r="22" spans="1:17" x14ac:dyDescent="0.4">
      <c r="A22" s="55" t="s">
        <v>192</v>
      </c>
      <c r="B22" s="47">
        <v>23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6643.4579439252338</v>
      </c>
      <c r="C23" s="41">
        <v>1421700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-22.892105263157895</v>
      </c>
      <c r="P23" s="119">
        <v>38</v>
      </c>
      <c r="Q23" s="107">
        <v>-869.9</v>
      </c>
    </row>
    <row r="24" spans="1:17" x14ac:dyDescent="0.4">
      <c r="A24" s="57" t="s">
        <v>14</v>
      </c>
      <c r="B24" s="52">
        <f>IF(B$20=0,0,C24/B$20)</f>
        <v>-8638.823529411764</v>
      </c>
      <c r="C24" s="45">
        <v>-734300</v>
      </c>
      <c r="E24" s="63" t="s">
        <v>87</v>
      </c>
      <c r="F24" s="60" t="s">
        <v>42</v>
      </c>
      <c r="G24" s="47">
        <v>8</v>
      </c>
      <c r="H24" s="133">
        <f>IF(B$17=0,0,G24/B$17)</f>
        <v>3.7383177570093455E-2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4.6728971962616819E-3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1.6103059581320451E-3</v>
      </c>
      <c r="E27" s="63" t="s">
        <v>90</v>
      </c>
      <c r="F27" s="60" t="s">
        <v>45</v>
      </c>
      <c r="G27" s="47">
        <v>17</v>
      </c>
      <c r="H27" s="133">
        <f>IF(B$17=0,0,G27/B$17)</f>
        <v>7.9439252336448593E-2</v>
      </c>
      <c r="I27" s="94">
        <v>11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4.6728971962616819E-3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9.3457943925233638E-3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138" t="s">
        <v>245</v>
      </c>
      <c r="F51" s="139" t="s">
        <v>246</v>
      </c>
      <c r="G51" s="48">
        <v>95</v>
      </c>
      <c r="H51" s="140">
        <f>IF(B$17=0,0,G51/B$17)</f>
        <v>0.44392523364485981</v>
      </c>
      <c r="I51" s="141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</sheetData>
  <sortState ref="E2:I7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44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52">
        <v>382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4">
        <v>-262.59999999999997</v>
      </c>
      <c r="C4" s="155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6">
        <f>IF(B$2=0,0,B$4/B$2)</f>
        <v>-5.9681818181818178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6">
        <f>IF(B$2=0,0,(B$7*1+B$8*2+B$9*3)/B$2)</f>
        <v>2.0681818181818183</v>
      </c>
      <c r="C6" s="147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138" t="s">
        <v>245</v>
      </c>
      <c r="F51" s="139" t="s">
        <v>246</v>
      </c>
      <c r="G51" s="48">
        <v>45</v>
      </c>
      <c r="H51" s="140">
        <f>IF(B$17=0,0,G51/B$17)</f>
        <v>0.39473684210526316</v>
      </c>
      <c r="I51" s="141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5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57</v>
      </c>
      <c r="C2" s="151"/>
      <c r="E2" s="62" t="s">
        <v>65</v>
      </c>
      <c r="F2" s="59" t="s">
        <v>21</v>
      </c>
      <c r="G2" s="46">
        <v>88</v>
      </c>
      <c r="H2" s="132">
        <f>IF(B$17=0,0,G2/B$17)</f>
        <v>0.61111111111111116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1001.7543859649123</v>
      </c>
      <c r="P2" s="118">
        <v>57</v>
      </c>
      <c r="Q2" s="102">
        <v>57100</v>
      </c>
    </row>
    <row r="3" spans="1:17" x14ac:dyDescent="0.4">
      <c r="A3" s="55" t="s">
        <v>8</v>
      </c>
      <c r="B3" s="152">
        <v>459</v>
      </c>
      <c r="C3" s="153"/>
      <c r="E3" s="63" t="s">
        <v>66</v>
      </c>
      <c r="F3" s="60" t="s">
        <v>22</v>
      </c>
      <c r="G3" s="47">
        <v>17</v>
      </c>
      <c r="H3" s="133">
        <f>IF(B$17=0,0,G3/B$17)</f>
        <v>0.11805555555555555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2064.8148148148148</v>
      </c>
      <c r="P3" s="119">
        <v>54</v>
      </c>
      <c r="Q3" s="103">
        <v>111500</v>
      </c>
    </row>
    <row r="4" spans="1:17" x14ac:dyDescent="0.4">
      <c r="A4" s="55" t="s">
        <v>6</v>
      </c>
      <c r="B4" s="154">
        <v>255.50000000000003</v>
      </c>
      <c r="C4" s="155"/>
      <c r="E4" s="63" t="s">
        <v>67</v>
      </c>
      <c r="F4" s="60" t="s">
        <v>23</v>
      </c>
      <c r="G4" s="47">
        <v>88</v>
      </c>
      <c r="H4" s="133">
        <f>IF(B$17=0,0,G4/B$17)</f>
        <v>0.61111111111111116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-1104.0816326530612</v>
      </c>
      <c r="P4" s="119">
        <v>49</v>
      </c>
      <c r="Q4" s="103">
        <v>-54100</v>
      </c>
    </row>
    <row r="5" spans="1:17" x14ac:dyDescent="0.4">
      <c r="A5" s="55" t="s">
        <v>7</v>
      </c>
      <c r="B5" s="156">
        <f>IF(B$2=0,0,B$4/B$2)</f>
        <v>4.4824561403508776</v>
      </c>
      <c r="C5" s="157"/>
      <c r="E5" s="63" t="s">
        <v>68</v>
      </c>
      <c r="F5" s="60" t="s">
        <v>24</v>
      </c>
      <c r="G5" s="47">
        <v>54</v>
      </c>
      <c r="H5" s="133">
        <f>IF(B$17=0,0,G5/B$17)</f>
        <v>0.375</v>
      </c>
      <c r="I5" s="94">
        <v>5</v>
      </c>
      <c r="K5" s="38">
        <v>3</v>
      </c>
      <c r="L5" s="99">
        <v>-10</v>
      </c>
      <c r="N5" s="115" t="s">
        <v>135</v>
      </c>
      <c r="O5" s="122">
        <f t="shared" si="0"/>
        <v>1895.7446808510638</v>
      </c>
      <c r="P5" s="119">
        <v>47</v>
      </c>
      <c r="Q5" s="103">
        <v>89100</v>
      </c>
    </row>
    <row r="6" spans="1:17" x14ac:dyDescent="0.4">
      <c r="A6" s="55" t="s">
        <v>1</v>
      </c>
      <c r="B6" s="146">
        <f>IF(B$2=0,0,(B$7*1+B$8*2+B$9*3)/B$2)</f>
        <v>1.8947368421052631</v>
      </c>
      <c r="C6" s="147"/>
      <c r="E6" s="63" t="s">
        <v>69</v>
      </c>
      <c r="F6" s="60" t="s">
        <v>12</v>
      </c>
      <c r="G6" s="47">
        <v>44</v>
      </c>
      <c r="H6" s="133">
        <f>IF(B$17=0,0,G6/B$17)</f>
        <v>0.30555555555555558</v>
      </c>
      <c r="I6" s="94">
        <v>9</v>
      </c>
      <c r="K6" s="38">
        <v>4</v>
      </c>
      <c r="L6" s="99">
        <v>40</v>
      </c>
      <c r="N6" s="115" t="s">
        <v>136</v>
      </c>
      <c r="O6" s="122">
        <f t="shared" si="0"/>
        <v>-1130.952380952381</v>
      </c>
      <c r="P6" s="119">
        <v>42</v>
      </c>
      <c r="Q6" s="103">
        <v>-47500</v>
      </c>
    </row>
    <row r="7" spans="1:17" x14ac:dyDescent="0.4">
      <c r="A7" s="55" t="s">
        <v>2</v>
      </c>
      <c r="B7" s="47">
        <v>23</v>
      </c>
      <c r="C7" s="39">
        <f>IF(B$2=0,0,B7/B$2)</f>
        <v>0.40350877192982454</v>
      </c>
      <c r="E7" s="63" t="s">
        <v>70</v>
      </c>
      <c r="F7" s="60" t="s">
        <v>25</v>
      </c>
      <c r="G7" s="47">
        <v>25</v>
      </c>
      <c r="H7" s="133">
        <f>IF(B$17=0,0,G7/B$17)</f>
        <v>0.1736111111111111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576.47058823529414</v>
      </c>
      <c r="P7" s="120">
        <v>34</v>
      </c>
      <c r="Q7" s="104">
        <v>19600</v>
      </c>
    </row>
    <row r="8" spans="1:17" x14ac:dyDescent="0.4">
      <c r="A8" s="55" t="s">
        <v>3</v>
      </c>
      <c r="B8" s="47">
        <v>17</v>
      </c>
      <c r="C8" s="39">
        <f>IF(B$2=0,0,B8/B$2)</f>
        <v>0.2982456140350877</v>
      </c>
      <c r="E8" s="63" t="s">
        <v>71</v>
      </c>
      <c r="F8" s="60" t="s">
        <v>26</v>
      </c>
      <c r="G8" s="47">
        <v>10</v>
      </c>
      <c r="H8" s="133">
        <f>IF(B$17=0,0,G8/B$17)</f>
        <v>6.9444444444444448E-2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0.2982456140350877</v>
      </c>
      <c r="E9" s="63" t="s">
        <v>72</v>
      </c>
      <c r="F9" s="60" t="s">
        <v>27</v>
      </c>
      <c r="G9" s="47">
        <v>8</v>
      </c>
      <c r="H9" s="133">
        <f>IF(B$17=0,0,G9/B$17)</f>
        <v>5.5555555555555552E-2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0.15789473684210525</v>
      </c>
      <c r="E10" s="63" t="s">
        <v>73</v>
      </c>
      <c r="F10" s="60" t="s">
        <v>28</v>
      </c>
      <c r="G10" s="47">
        <v>60</v>
      </c>
      <c r="H10" s="133">
        <f>IF(B$17=0,0,G10/B$17)</f>
        <v>0.41666666666666669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6.5374999999999996</v>
      </c>
      <c r="P10" s="118">
        <v>16</v>
      </c>
      <c r="Q10" s="106">
        <v>104.6</v>
      </c>
    </row>
    <row r="11" spans="1:17" x14ac:dyDescent="0.4">
      <c r="A11" s="56" t="s">
        <v>140</v>
      </c>
      <c r="B11" s="48">
        <v>8</v>
      </c>
      <c r="C11" s="40">
        <f>IF(B$2=0,0,B11/B$2)</f>
        <v>0.14035087719298245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9.8272727272727263</v>
      </c>
      <c r="P11" s="119">
        <v>22</v>
      </c>
      <c r="Q11" s="107">
        <v>216.2</v>
      </c>
    </row>
    <row r="12" spans="1:17" x14ac:dyDescent="0.4">
      <c r="A12" s="57" t="s">
        <v>160</v>
      </c>
      <c r="B12" s="49">
        <v>5</v>
      </c>
      <c r="C12" s="42">
        <f>IF(B$2=0,0,B12/B$2)</f>
        <v>8.771929824561403E-2</v>
      </c>
      <c r="E12" s="63" t="s">
        <v>75</v>
      </c>
      <c r="F12" s="60" t="s">
        <v>30</v>
      </c>
      <c r="G12" s="47">
        <v>1</v>
      </c>
      <c r="H12" s="133">
        <f>IF(B$17=0,0,G12/B$17)</f>
        <v>6.9444444444444441E-3</v>
      </c>
      <c r="I12" s="94">
        <v>3</v>
      </c>
      <c r="K12" s="38">
        <v>10</v>
      </c>
      <c r="L12" s="99">
        <v>-183.7</v>
      </c>
      <c r="N12" s="116" t="s">
        <v>166</v>
      </c>
      <c r="O12" s="126">
        <f>IF(P12=0,0,Q12/P12)</f>
        <v>-3.4368421052631577</v>
      </c>
      <c r="P12" s="120">
        <v>19</v>
      </c>
      <c r="Q12" s="108">
        <v>-65.3</v>
      </c>
    </row>
    <row r="13" spans="1:17" x14ac:dyDescent="0.4">
      <c r="A13" s="58" t="s">
        <v>122</v>
      </c>
      <c r="B13" s="50">
        <v>128</v>
      </c>
      <c r="C13" s="44">
        <f>IF(B$3=0,0,B13/B$3)</f>
        <v>0.27886710239651419</v>
      </c>
      <c r="E13" s="63" t="s">
        <v>76</v>
      </c>
      <c r="F13" s="60" t="s">
        <v>31</v>
      </c>
      <c r="G13" s="47">
        <v>1</v>
      </c>
      <c r="H13" s="133">
        <f>IF(B$17=0,0,G13/B$17)</f>
        <v>6.9444444444444441E-3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86</v>
      </c>
      <c r="C14" s="39">
        <f>IF(B$3=0,0,B14/B$3)</f>
        <v>0.18736383442265794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88</v>
      </c>
      <c r="C15" s="37">
        <f>IF(B$13=0,0,B15/B$13)</f>
        <v>0.6875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>IF(P15=0,0,Q15/P15)</f>
        <v>39.91764705882354</v>
      </c>
      <c r="P15" s="118">
        <v>17</v>
      </c>
      <c r="Q15" s="106">
        <v>678.60000000000014</v>
      </c>
    </row>
    <row r="16" spans="1:17" x14ac:dyDescent="0.4">
      <c r="A16" s="54" t="s">
        <v>125</v>
      </c>
      <c r="B16" s="46">
        <v>33</v>
      </c>
      <c r="C16" s="37">
        <f>IF(B$14=0,0,B16/B$14)</f>
        <v>0.38372093023255816</v>
      </c>
      <c r="E16" s="63" t="s">
        <v>79</v>
      </c>
      <c r="F16" s="60" t="s">
        <v>34</v>
      </c>
      <c r="G16" s="47">
        <v>5</v>
      </c>
      <c r="H16" s="133">
        <f>IF(B$17=0,0,G16/B$17)</f>
        <v>3.4722222222222224E-2</v>
      </c>
      <c r="I16" s="94">
        <v>4</v>
      </c>
      <c r="K16" s="38">
        <v>14</v>
      </c>
      <c r="L16" s="99">
        <v>-178.49999999999997</v>
      </c>
      <c r="N16" s="115" t="s">
        <v>200</v>
      </c>
      <c r="O16" s="125">
        <f>IF(P16=0,0,Q16/P16)</f>
        <v>32.625</v>
      </c>
      <c r="P16" s="119">
        <v>4</v>
      </c>
      <c r="Q16" s="107">
        <v>130.5</v>
      </c>
    </row>
    <row r="17" spans="1:17" x14ac:dyDescent="0.4">
      <c r="A17" s="54" t="s">
        <v>10</v>
      </c>
      <c r="B17" s="46">
        <f>B19+B18</f>
        <v>144</v>
      </c>
      <c r="C17" s="37">
        <f>IF(B$3=0,0,B17/B$3)</f>
        <v>0.31372549019607843</v>
      </c>
      <c r="E17" s="63" t="s">
        <v>80</v>
      </c>
      <c r="F17" s="60" t="s">
        <v>35</v>
      </c>
      <c r="G17" s="47">
        <v>2</v>
      </c>
      <c r="H17" s="133">
        <f>IF(B$17=0,0,G17/B$17)</f>
        <v>1.3888888888888888E-2</v>
      </c>
      <c r="I17" s="94">
        <v>8</v>
      </c>
      <c r="K17" s="38">
        <v>15</v>
      </c>
      <c r="L17" s="99">
        <v>-146.19999999999999</v>
      </c>
      <c r="N17" s="115" t="s">
        <v>184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62</v>
      </c>
      <c r="C18" s="39">
        <f>IF(B$17=0,0,B18/B$17)</f>
        <v>0.43055555555555558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129</v>
      </c>
      <c r="O18" s="125">
        <f>IF(P18=0,0,Q18/P18)</f>
        <v>15.677777777777777</v>
      </c>
      <c r="P18" s="119">
        <v>18</v>
      </c>
      <c r="Q18" s="107">
        <v>282.2</v>
      </c>
    </row>
    <row r="19" spans="1:17" x14ac:dyDescent="0.4">
      <c r="A19" s="55" t="s">
        <v>11</v>
      </c>
      <c r="B19" s="47">
        <v>82</v>
      </c>
      <c r="C19" s="39">
        <f>IF(B$17=0,0,B19/B$17)</f>
        <v>0.56944444444444442</v>
      </c>
      <c r="E19" s="63" t="s">
        <v>82</v>
      </c>
      <c r="F19" s="60" t="s">
        <v>37</v>
      </c>
      <c r="G19" s="47">
        <v>4</v>
      </c>
      <c r="H19" s="133">
        <f>IF(B$17=0,0,G19/B$17)</f>
        <v>2.7777777777777776E-2</v>
      </c>
      <c r="I19" s="94">
        <v>7</v>
      </c>
      <c r="K19" s="38">
        <v>17</v>
      </c>
      <c r="L19" s="99">
        <v>-161.19999999999999</v>
      </c>
      <c r="N19" s="115" t="s">
        <v>128</v>
      </c>
      <c r="O19" s="125">
        <f>IF(P19=0,0,Q19/P19)</f>
        <v>12.139130434782608</v>
      </c>
      <c r="P19" s="119">
        <v>23</v>
      </c>
      <c r="Q19" s="107">
        <v>279.2</v>
      </c>
    </row>
    <row r="20" spans="1:17" x14ac:dyDescent="0.4">
      <c r="A20" s="55" t="s">
        <v>13</v>
      </c>
      <c r="B20" s="47">
        <v>69</v>
      </c>
      <c r="C20" s="39">
        <f>IF(B$3=0,0,B20/B$3)</f>
        <v>0.15032679738562091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173</v>
      </c>
      <c r="O20" s="125">
        <f>IF(P20=0,0,Q20/P20)</f>
        <v>10.050000000000002</v>
      </c>
      <c r="P20" s="119">
        <v>6</v>
      </c>
      <c r="Q20" s="107">
        <v>60.300000000000011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7</v>
      </c>
      <c r="H21" s="133">
        <f>IF(B$17=0,0,G21/B$17)</f>
        <v>4.8611111111111112E-2</v>
      </c>
      <c r="I21" s="94">
        <v>7</v>
      </c>
      <c r="K21" s="38">
        <v>19</v>
      </c>
      <c r="L21" s="99">
        <v>-235.6</v>
      </c>
      <c r="N21" s="115" t="s">
        <v>172</v>
      </c>
      <c r="O21" s="125">
        <f>IF(P21=0,0,Q21/P21)</f>
        <v>2.9214285714285686</v>
      </c>
      <c r="P21" s="119">
        <v>14</v>
      </c>
      <c r="Q21" s="107">
        <v>40.899999999999963</v>
      </c>
    </row>
    <row r="22" spans="1:17" x14ac:dyDescent="0.4">
      <c r="A22" s="55" t="s">
        <v>192</v>
      </c>
      <c r="B22" s="47">
        <v>45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>IF(P22=0,0,Q22/P22)</f>
        <v>-27.887500000000006</v>
      </c>
      <c r="P22" s="119">
        <v>24</v>
      </c>
      <c r="Q22" s="107">
        <v>-669.30000000000018</v>
      </c>
    </row>
    <row r="23" spans="1:17" x14ac:dyDescent="0.4">
      <c r="A23" s="55" t="s">
        <v>5</v>
      </c>
      <c r="B23" s="51">
        <f>IF(B$17=0,0,C23/B$17)</f>
        <v>8768.75</v>
      </c>
      <c r="C23" s="41">
        <v>1262700</v>
      </c>
      <c r="E23" s="63" t="s">
        <v>86</v>
      </c>
      <c r="F23" s="60" t="s">
        <v>41</v>
      </c>
      <c r="G23" s="47">
        <v>3</v>
      </c>
      <c r="H23" s="133">
        <f>IF(B$17=0,0,G23/B$17)</f>
        <v>2.0833333333333332E-2</v>
      </c>
      <c r="I23" s="94">
        <v>1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-7991.304347826087</v>
      </c>
      <c r="C24" s="45">
        <v>-551400</v>
      </c>
      <c r="E24" s="63" t="s">
        <v>87</v>
      </c>
      <c r="F24" s="60" t="s">
        <v>42</v>
      </c>
      <c r="G24" s="47">
        <v>4</v>
      </c>
      <c r="H24" s="133">
        <f>IF(B$17=0,0,G24/B$17)</f>
        <v>2.7777777777777776E-2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6.5359477124183009E-3</v>
      </c>
      <c r="E27" s="63" t="s">
        <v>90</v>
      </c>
      <c r="F27" s="60" t="s">
        <v>45</v>
      </c>
      <c r="G27" s="47">
        <v>17</v>
      </c>
      <c r="H27" s="133">
        <f>IF(B$17=0,0,G27/B$17)</f>
        <v>0.11805555555555555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6.9444444444444441E-3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3.4722222222222224E-2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6.9444444444444441E-3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6.9444444444444441E-3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138" t="s">
        <v>245</v>
      </c>
      <c r="F51" s="139" t="s">
        <v>246</v>
      </c>
      <c r="G51" s="48">
        <v>60</v>
      </c>
      <c r="H51" s="140">
        <f>IF(B$17=0,0,G51/B$17)</f>
        <v>0.41666666666666669</v>
      </c>
      <c r="I51" s="141">
        <v>4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</sheetData>
  <sortState ref="E2:I5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</v>
      </c>
      <c r="C2" s="151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52">
        <v>118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4">
        <v>-138.69999999999999</v>
      </c>
      <c r="C4" s="155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6">
        <f>IF(B$2=0,0,B$4/B$2)</f>
        <v>-9.9071428571428566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5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2</v>
      </c>
      <c r="N21" s="115" t="s">
        <v>183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62700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12</v>
      </c>
      <c r="H51" s="140">
        <f>IF(B$17=0,0,G51/B$17)</f>
        <v>0.35294117647058826</v>
      </c>
      <c r="I51" s="141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2.0111111111111106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7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0.66666666666666663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0.1111111111111111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-32.625</v>
      </c>
      <c r="P20" s="119">
        <v>4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9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9</v>
      </c>
      <c r="H51" s="140">
        <f>IF(B$17=0,0,G51/B$17)</f>
        <v>0.31034482758620691</v>
      </c>
      <c r="I51" s="141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6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9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2019-06-11T07:28:52Z</dcterms:modified>
</cp:coreProperties>
</file>