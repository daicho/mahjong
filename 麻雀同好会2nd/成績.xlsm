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679398F8-EE86-4702-8FD2-3BDFE79DE252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490" r:id="rId6"/>
    <sheet name="だいち" sheetId="4492" r:id="rId7"/>
    <sheet name="りくと" sheetId="4494" r:id="rId8"/>
    <sheet name="ただ" sheetId="4496" r:id="rId9"/>
    <sheet name="れんたろう" sheetId="4498" r:id="rId10"/>
    <sheet name="たかの" sheetId="4500" r:id="rId11"/>
    <sheet name="ぱぱ" sheetId="4502" r:id="rId12"/>
    <sheet name="まっつん" sheetId="4504" r:id="rId13"/>
    <sheet name="あさひ" sheetId="4506" r:id="rId14"/>
    <sheet name="いっしー" sheetId="4508" r:id="rId15"/>
    <sheet name="いっしー2" sheetId="4509" state="hidden" r:id="rId16"/>
    <sheet name="あさひ2" sheetId="4507" state="hidden" r:id="rId17"/>
    <sheet name="まっつん2" sheetId="4505" state="hidden" r:id="rId18"/>
    <sheet name="ぱぱ2" sheetId="4503" state="hidden" r:id="rId19"/>
    <sheet name="たかの2" sheetId="4501" state="hidden" r:id="rId20"/>
    <sheet name="れんたろう2" sheetId="4499" state="hidden" r:id="rId21"/>
    <sheet name="ただ2" sheetId="4497" state="hidden" r:id="rId22"/>
    <sheet name="りくと2" sheetId="4495" state="hidden" r:id="rId23"/>
    <sheet name="だいち2" sheetId="4493" state="hidden" r:id="rId24"/>
    <sheet name="全体2" sheetId="4491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アガリ率" sheetId="3189" state="hidden" r:id="rId30"/>
    <sheet name="放銃率" sheetId="3190" state="hidden" r:id="rId31"/>
    <sheet name="平均アガリ点" sheetId="3520" state="hidden" r:id="rId32"/>
    <sheet name="平均放銃点" sheetId="3521" state="hidden" r:id="rId33"/>
    <sheet name="ふっとび率" sheetId="3522" state="hidden" r:id="rId34"/>
    <sheet name="ふっとばし率" sheetId="3523" state="hidden" r:id="rId35"/>
    <sheet name="リーチ率" sheetId="3524" state="hidden" r:id="rId36"/>
    <sheet name="副露率" sheetId="3525" state="hidden" r:id="rId37"/>
    <sheet name="リーチ成功率" sheetId="3526" state="hidden" r:id="rId38"/>
    <sheet name="副露成功率" sheetId="3527" state="hidden" r:id="rId39"/>
    <sheet name="ツモ率" sheetId="3528" state="hidden" r:id="rId40"/>
    <sheet name="逆転率" sheetId="3529" state="hidden" r:id="rId4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7" i="4506" l="1"/>
  <c r="O19" i="4502"/>
  <c r="O15" i="4506"/>
  <c r="O17" i="4508"/>
  <c r="O16" i="4494"/>
  <c r="O15" i="4504"/>
  <c r="O15" i="4490"/>
  <c r="O15" i="4508"/>
  <c r="O16" i="4508"/>
  <c r="H6" i="4508"/>
  <c r="H52" i="4508"/>
  <c r="H51" i="4508"/>
  <c r="H50" i="4508"/>
  <c r="H49" i="4508"/>
  <c r="H48" i="4508"/>
  <c r="H47" i="4508"/>
  <c r="H46" i="4508"/>
  <c r="H45" i="4508"/>
  <c r="H44" i="4508"/>
  <c r="H43" i="4508"/>
  <c r="H42" i="4508"/>
  <c r="H41" i="4508"/>
  <c r="H40" i="4508"/>
  <c r="H39" i="4508"/>
  <c r="H38" i="4508"/>
  <c r="H37" i="4508"/>
  <c r="H36" i="4508"/>
  <c r="H35" i="4508"/>
  <c r="H34" i="4508"/>
  <c r="H33" i="4508"/>
  <c r="H32" i="4508"/>
  <c r="H31" i="4508"/>
  <c r="H30" i="4508"/>
  <c r="H5" i="4508"/>
  <c r="H29" i="4508"/>
  <c r="H28" i="4508"/>
  <c r="H27" i="4508"/>
  <c r="C25" i="4508"/>
  <c r="H26" i="4508"/>
  <c r="H25" i="4508"/>
  <c r="H24" i="4508"/>
  <c r="B22" i="4508"/>
  <c r="H23" i="4508"/>
  <c r="H22" i="4508"/>
  <c r="C20" i="4508"/>
  <c r="H21" i="4508"/>
  <c r="H20" i="4508"/>
  <c r="H19" i="4508"/>
  <c r="B17" i="4508"/>
  <c r="B21" i="4508" s="1"/>
  <c r="H18" i="4508"/>
  <c r="C16" i="4508"/>
  <c r="H17" i="4508"/>
  <c r="C15" i="4508"/>
  <c r="H16" i="4508"/>
  <c r="C14" i="4508"/>
  <c r="H15" i="4508"/>
  <c r="C13" i="4508"/>
  <c r="O12" i="4508"/>
  <c r="H14" i="4508"/>
  <c r="C12" i="4508"/>
  <c r="O11" i="4508"/>
  <c r="H13" i="4508"/>
  <c r="C11" i="4508"/>
  <c r="O10" i="4508"/>
  <c r="H4" i="4508"/>
  <c r="C10" i="4508"/>
  <c r="H12" i="4508"/>
  <c r="C9" i="4508"/>
  <c r="H11" i="4508"/>
  <c r="C8" i="4508"/>
  <c r="O7" i="4508"/>
  <c r="H3" i="4508"/>
  <c r="C7" i="4508"/>
  <c r="O6" i="4508"/>
  <c r="H10" i="4508"/>
  <c r="B6" i="4508"/>
  <c r="O5" i="4508"/>
  <c r="H9" i="4508"/>
  <c r="B5" i="4508"/>
  <c r="O4" i="4508"/>
  <c r="H8" i="4508"/>
  <c r="O3" i="4508"/>
  <c r="H7" i="4508"/>
  <c r="O2" i="4508"/>
  <c r="H2" i="4508"/>
  <c r="O16" i="4506"/>
  <c r="O18" i="4506"/>
  <c r="H7" i="4506"/>
  <c r="H52" i="4506"/>
  <c r="H51" i="4506"/>
  <c r="H50" i="4506"/>
  <c r="H49" i="4506"/>
  <c r="H48" i="4506"/>
  <c r="H47" i="4506"/>
  <c r="H46" i="4506"/>
  <c r="H45" i="4506"/>
  <c r="H44" i="4506"/>
  <c r="H43" i="4506"/>
  <c r="H42" i="4506"/>
  <c r="H41" i="4506"/>
  <c r="H40" i="4506"/>
  <c r="H39" i="4506"/>
  <c r="H38" i="4506"/>
  <c r="H37" i="4506"/>
  <c r="H36" i="4506"/>
  <c r="H35" i="4506"/>
  <c r="H34" i="4506"/>
  <c r="H33" i="4506"/>
  <c r="H32" i="4506"/>
  <c r="H31" i="4506"/>
  <c r="H30" i="4506"/>
  <c r="H6" i="4506"/>
  <c r="H29" i="4506"/>
  <c r="H28" i="4506"/>
  <c r="H11" i="4506"/>
  <c r="C25" i="4506"/>
  <c r="H27" i="4506"/>
  <c r="H26" i="4506"/>
  <c r="H25" i="4506"/>
  <c r="B22" i="4506"/>
  <c r="H24" i="4506"/>
  <c r="H23" i="4506"/>
  <c r="C20" i="4506"/>
  <c r="H22" i="4506"/>
  <c r="H21" i="4506"/>
  <c r="H20" i="4506"/>
  <c r="B17" i="4506"/>
  <c r="B21" i="4506" s="1"/>
  <c r="H19" i="4506"/>
  <c r="C16" i="4506"/>
  <c r="H18" i="4506"/>
  <c r="C15" i="4506"/>
  <c r="H17" i="4506"/>
  <c r="C14" i="4506"/>
  <c r="H16" i="4506"/>
  <c r="C13" i="4506"/>
  <c r="O12" i="4506"/>
  <c r="H15" i="4506"/>
  <c r="C12" i="4506"/>
  <c r="O11" i="4506"/>
  <c r="H14" i="4506"/>
  <c r="C11" i="4506"/>
  <c r="O10" i="4506"/>
  <c r="H4" i="4506"/>
  <c r="C10" i="4506"/>
  <c r="H10" i="4506"/>
  <c r="C9" i="4506"/>
  <c r="H13" i="4506"/>
  <c r="C8" i="4506"/>
  <c r="O7" i="4506"/>
  <c r="H9" i="4506"/>
  <c r="C7" i="4506"/>
  <c r="O6" i="4506"/>
  <c r="H8" i="4506"/>
  <c r="B6" i="4506"/>
  <c r="O5" i="4506"/>
  <c r="H5" i="4506"/>
  <c r="B5" i="4506"/>
  <c r="O4" i="4506"/>
  <c r="H3" i="4506"/>
  <c r="O3" i="4506"/>
  <c r="H12" i="4506"/>
  <c r="O2" i="4506"/>
  <c r="H2" i="4506"/>
  <c r="O20" i="4504"/>
  <c r="O19" i="4504"/>
  <c r="O17" i="4492"/>
  <c r="O16" i="4492"/>
  <c r="O22" i="4490"/>
  <c r="C17" i="4506" l="1"/>
  <c r="C19" i="4506"/>
  <c r="C17" i="4508"/>
  <c r="C18" i="4508"/>
  <c r="C19" i="4508"/>
  <c r="C18" i="4506"/>
  <c r="O17" i="4504" l="1"/>
  <c r="O17" i="4502"/>
  <c r="O20" i="4502"/>
  <c r="O15" i="4494"/>
  <c r="O16" i="4500" l="1"/>
  <c r="O17" i="4498"/>
  <c r="O15" i="4502"/>
  <c r="O18" i="4502"/>
  <c r="O15" i="4500" l="1"/>
  <c r="O15" i="4498"/>
  <c r="O18" i="4496"/>
  <c r="O19" i="4496"/>
  <c r="O18" i="4504"/>
  <c r="O16" i="4504"/>
  <c r="H7" i="4504"/>
  <c r="H52" i="4504"/>
  <c r="H51" i="4504"/>
  <c r="H50" i="4504"/>
  <c r="H49" i="4504"/>
  <c r="H48" i="4504"/>
  <c r="H47" i="4504"/>
  <c r="H46" i="4504"/>
  <c r="H45" i="4504"/>
  <c r="H44" i="4504"/>
  <c r="H43" i="4504"/>
  <c r="H42" i="4504"/>
  <c r="H41" i="4504"/>
  <c r="H40" i="4504"/>
  <c r="H39" i="4504"/>
  <c r="H38" i="4504"/>
  <c r="H37" i="4504"/>
  <c r="H36" i="4504"/>
  <c r="H35" i="4504"/>
  <c r="H34" i="4504"/>
  <c r="H33" i="4504"/>
  <c r="H32" i="4504"/>
  <c r="H14" i="4504"/>
  <c r="H31" i="4504"/>
  <c r="H10" i="4504"/>
  <c r="H30" i="4504"/>
  <c r="H29" i="4504"/>
  <c r="H28" i="4504"/>
  <c r="C25" i="4504"/>
  <c r="H13" i="4504"/>
  <c r="H27" i="4504"/>
  <c r="H12" i="4504"/>
  <c r="B22" i="4504"/>
  <c r="H26" i="4504"/>
  <c r="H25" i="4504"/>
  <c r="C20" i="4504"/>
  <c r="H24" i="4504"/>
  <c r="H23" i="4504"/>
  <c r="H22" i="4504"/>
  <c r="B17" i="4504"/>
  <c r="C18" i="4504" s="1"/>
  <c r="H21" i="4504"/>
  <c r="C16" i="4504"/>
  <c r="H20" i="4504"/>
  <c r="C15" i="4504"/>
  <c r="H19" i="4504"/>
  <c r="C14" i="4504"/>
  <c r="H11" i="4504"/>
  <c r="C13" i="4504"/>
  <c r="O12" i="4504"/>
  <c r="H18" i="4504"/>
  <c r="C12" i="4504"/>
  <c r="O11" i="4504"/>
  <c r="H17" i="4504"/>
  <c r="C11" i="4504"/>
  <c r="O10" i="4504"/>
  <c r="H3" i="4504"/>
  <c r="C10" i="4504"/>
  <c r="H16" i="4504"/>
  <c r="C9" i="4504"/>
  <c r="H15" i="4504"/>
  <c r="C8" i="4504"/>
  <c r="O7" i="4504"/>
  <c r="H9" i="4504"/>
  <c r="C7" i="4504"/>
  <c r="O6" i="4504"/>
  <c r="H6" i="4504"/>
  <c r="B6" i="4504"/>
  <c r="O5" i="4504"/>
  <c r="H5" i="4504"/>
  <c r="B5" i="4504"/>
  <c r="O4" i="4504"/>
  <c r="H4" i="4504"/>
  <c r="O3" i="4504"/>
  <c r="H8" i="4504"/>
  <c r="O2" i="4504"/>
  <c r="H2" i="4504"/>
  <c r="O16" i="4498"/>
  <c r="O21" i="4494"/>
  <c r="O20" i="4490"/>
  <c r="C19" i="4504" l="1"/>
  <c r="C17" i="4504"/>
  <c r="B21" i="4504"/>
  <c r="O16" i="4496" l="1"/>
  <c r="O21" i="4502"/>
  <c r="O16" i="4502"/>
  <c r="H6" i="4502"/>
  <c r="H52" i="4502"/>
  <c r="H51" i="4502"/>
  <c r="H50" i="4502"/>
  <c r="H49" i="4502"/>
  <c r="H48" i="4502"/>
  <c r="H47" i="4502"/>
  <c r="H46" i="4502"/>
  <c r="H45" i="4502"/>
  <c r="H44" i="4502"/>
  <c r="H43" i="4502"/>
  <c r="H42" i="4502"/>
  <c r="H41" i="4502"/>
  <c r="H40" i="4502"/>
  <c r="H39" i="4502"/>
  <c r="H38" i="4502"/>
  <c r="H37" i="4502"/>
  <c r="H36" i="4502"/>
  <c r="H35" i="4502"/>
  <c r="H34" i="4502"/>
  <c r="H33" i="4502"/>
  <c r="H32" i="4502"/>
  <c r="H31" i="4502"/>
  <c r="H30" i="4502"/>
  <c r="H9" i="4502"/>
  <c r="H29" i="4502"/>
  <c r="H28" i="4502"/>
  <c r="H27" i="4502"/>
  <c r="C25" i="4502"/>
  <c r="H26" i="4502"/>
  <c r="H25" i="4502"/>
  <c r="H11" i="4502"/>
  <c r="B22" i="4502"/>
  <c r="H24" i="4502"/>
  <c r="H23" i="4502"/>
  <c r="C20" i="4502"/>
  <c r="H22" i="4502"/>
  <c r="H21" i="4502"/>
  <c r="H13" i="4502"/>
  <c r="B17" i="4502"/>
  <c r="B21" i="4502" s="1"/>
  <c r="H20" i="4502"/>
  <c r="C16" i="4502"/>
  <c r="H19" i="4502"/>
  <c r="C15" i="4502"/>
  <c r="H18" i="4502"/>
  <c r="C14" i="4502"/>
  <c r="H17" i="4502"/>
  <c r="C13" i="4502"/>
  <c r="O12" i="4502"/>
  <c r="H16" i="4502"/>
  <c r="C12" i="4502"/>
  <c r="O11" i="4502"/>
  <c r="H15" i="4502"/>
  <c r="C11" i="4502"/>
  <c r="O10" i="4502"/>
  <c r="H3" i="4502"/>
  <c r="C10" i="4502"/>
  <c r="H12" i="4502"/>
  <c r="C9" i="4502"/>
  <c r="H8" i="4502"/>
  <c r="C8" i="4502"/>
  <c r="O7" i="4502"/>
  <c r="H7" i="4502"/>
  <c r="C7" i="4502"/>
  <c r="O6" i="4502"/>
  <c r="H4" i="4502"/>
  <c r="B6" i="4502"/>
  <c r="O5" i="4502"/>
  <c r="H10" i="4502"/>
  <c r="B5" i="4502"/>
  <c r="O4" i="4502"/>
  <c r="H2" i="4502"/>
  <c r="O3" i="4502"/>
  <c r="H14" i="4502"/>
  <c r="O2" i="4502"/>
  <c r="H5" i="4502"/>
  <c r="O15" i="4492"/>
  <c r="O16" i="4490"/>
  <c r="O19" i="4500"/>
  <c r="O17" i="4494"/>
  <c r="O18" i="4494"/>
  <c r="O19" i="4498"/>
  <c r="O17" i="4500"/>
  <c r="O18" i="4500"/>
  <c r="H3" i="4500"/>
  <c r="H52" i="4500"/>
  <c r="H51" i="4500"/>
  <c r="H50" i="4500"/>
  <c r="H49" i="4500"/>
  <c r="H48" i="4500"/>
  <c r="H47" i="4500"/>
  <c r="H46" i="4500"/>
  <c r="H45" i="4500"/>
  <c r="H44" i="4500"/>
  <c r="H43" i="4500"/>
  <c r="H42" i="4500"/>
  <c r="H41" i="4500"/>
  <c r="H40" i="4500"/>
  <c r="H39" i="4500"/>
  <c r="H38" i="4500"/>
  <c r="H37" i="4500"/>
  <c r="H36" i="4500"/>
  <c r="H35" i="4500"/>
  <c r="H34" i="4500"/>
  <c r="H33" i="4500"/>
  <c r="H32" i="4500"/>
  <c r="H31" i="4500"/>
  <c r="H30" i="4500"/>
  <c r="H9" i="4500"/>
  <c r="H29" i="4500"/>
  <c r="H28" i="4500"/>
  <c r="H13" i="4500"/>
  <c r="C25" i="4500"/>
  <c r="H27" i="4500"/>
  <c r="H26" i="4500"/>
  <c r="H12" i="4500"/>
  <c r="B22" i="4500"/>
  <c r="H25" i="4500"/>
  <c r="H11" i="4500"/>
  <c r="C20" i="4500"/>
  <c r="H24" i="4500"/>
  <c r="H23" i="4500"/>
  <c r="H22" i="4500"/>
  <c r="B17" i="4500"/>
  <c r="B21" i="4500" s="1"/>
  <c r="H21" i="4500"/>
  <c r="C16" i="4500"/>
  <c r="H20" i="4500"/>
  <c r="C15" i="4500"/>
  <c r="H19" i="4500"/>
  <c r="C14" i="4500"/>
  <c r="H18" i="4500"/>
  <c r="C13" i="4500"/>
  <c r="O12" i="4500"/>
  <c r="H17" i="4500"/>
  <c r="C12" i="4500"/>
  <c r="O11" i="4500"/>
  <c r="H16" i="4500"/>
  <c r="C11" i="4500"/>
  <c r="O10" i="4500"/>
  <c r="H2" i="4500"/>
  <c r="C10" i="4500"/>
  <c r="H15" i="4500"/>
  <c r="C9" i="4500"/>
  <c r="H14" i="4500"/>
  <c r="C8" i="4500"/>
  <c r="O7" i="4500"/>
  <c r="H10" i="4500"/>
  <c r="C7" i="4500"/>
  <c r="O6" i="4500"/>
  <c r="H7" i="4500"/>
  <c r="B6" i="4500"/>
  <c r="O5" i="4500"/>
  <c r="H6" i="4500"/>
  <c r="B5" i="4500"/>
  <c r="O4" i="4500"/>
  <c r="H5" i="4500"/>
  <c r="O3" i="4500"/>
  <c r="H8" i="4500"/>
  <c r="O2" i="4500"/>
  <c r="H4" i="4500"/>
  <c r="O20" i="4498"/>
  <c r="O18" i="4498"/>
  <c r="H5" i="4498"/>
  <c r="H52" i="4498"/>
  <c r="H51" i="4498"/>
  <c r="H50" i="4498"/>
  <c r="H49" i="4498"/>
  <c r="H48" i="4498"/>
  <c r="H47" i="4498"/>
  <c r="H46" i="4498"/>
  <c r="H45" i="4498"/>
  <c r="H44" i="4498"/>
  <c r="H43" i="4498"/>
  <c r="H42" i="4498"/>
  <c r="H41" i="4498"/>
  <c r="H40" i="4498"/>
  <c r="H39" i="4498"/>
  <c r="H38" i="4498"/>
  <c r="H37" i="4498"/>
  <c r="H36" i="4498"/>
  <c r="H35" i="4498"/>
  <c r="H34" i="4498"/>
  <c r="H33" i="4498"/>
  <c r="H16" i="4498"/>
  <c r="H32" i="4498"/>
  <c r="H31" i="4498"/>
  <c r="H11" i="4498"/>
  <c r="H30" i="4498"/>
  <c r="H29" i="4498"/>
  <c r="H28" i="4498"/>
  <c r="C25" i="4498"/>
  <c r="H27" i="4498"/>
  <c r="H26" i="4498"/>
  <c r="H13" i="4498"/>
  <c r="B22" i="4498"/>
  <c r="H25" i="4498"/>
  <c r="H15" i="4498"/>
  <c r="C20" i="4498"/>
  <c r="H24" i="4498"/>
  <c r="H23" i="4498"/>
  <c r="H22" i="4498"/>
  <c r="B17" i="4498"/>
  <c r="B21" i="4498" s="1"/>
  <c r="H21" i="4498"/>
  <c r="C16" i="4498"/>
  <c r="H20" i="4498"/>
  <c r="C15" i="4498"/>
  <c r="H19" i="4498"/>
  <c r="C14" i="4498"/>
  <c r="H14" i="4498"/>
  <c r="C13" i="4498"/>
  <c r="O12" i="4498"/>
  <c r="H18" i="4498"/>
  <c r="C12" i="4498"/>
  <c r="O11" i="4498"/>
  <c r="H17" i="4498"/>
  <c r="C11" i="4498"/>
  <c r="O10" i="4498"/>
  <c r="H4" i="4498"/>
  <c r="C10" i="4498"/>
  <c r="H12" i="4498"/>
  <c r="C9" i="4498"/>
  <c r="H10" i="4498"/>
  <c r="C8" i="4498"/>
  <c r="O7" i="4498"/>
  <c r="H6" i="4498"/>
  <c r="C7" i="4498"/>
  <c r="O6" i="4498"/>
  <c r="H8" i="4498"/>
  <c r="B6" i="4498"/>
  <c r="O5" i="4498"/>
  <c r="H7" i="4498"/>
  <c r="B5" i="4498"/>
  <c r="O4" i="4498"/>
  <c r="H2" i="4498"/>
  <c r="O3" i="4498"/>
  <c r="H9" i="4498"/>
  <c r="O2" i="4498"/>
  <c r="H3" i="4498"/>
  <c r="O20" i="4492"/>
  <c r="O18" i="4492"/>
  <c r="O19" i="4490"/>
  <c r="O18" i="4490"/>
  <c r="C19" i="4498" l="1"/>
  <c r="C18" i="4502"/>
  <c r="C19" i="4502"/>
  <c r="C17" i="4502"/>
  <c r="C18" i="4500"/>
  <c r="C19" i="4500"/>
  <c r="C18" i="4498"/>
  <c r="C17" i="4500"/>
  <c r="C17" i="4498"/>
  <c r="O15" i="4496" l="1"/>
  <c r="O17" i="4496"/>
  <c r="H7" i="4496"/>
  <c r="H52" i="4496"/>
  <c r="H51" i="4496"/>
  <c r="H50" i="4496"/>
  <c r="H49" i="4496"/>
  <c r="H48" i="4496"/>
  <c r="H47" i="4496"/>
  <c r="H46" i="4496"/>
  <c r="H45" i="4496"/>
  <c r="H44" i="4496"/>
  <c r="H43" i="4496"/>
  <c r="H42" i="4496"/>
  <c r="H41" i="4496"/>
  <c r="H40" i="4496"/>
  <c r="H39" i="4496"/>
  <c r="H38" i="4496"/>
  <c r="H37" i="4496"/>
  <c r="H36" i="4496"/>
  <c r="H35" i="4496"/>
  <c r="H34" i="4496"/>
  <c r="H33" i="4496"/>
  <c r="H32" i="4496"/>
  <c r="H31" i="4496"/>
  <c r="H30" i="4496"/>
  <c r="H9" i="4496"/>
  <c r="H29" i="4496"/>
  <c r="H28" i="4496"/>
  <c r="H12" i="4496"/>
  <c r="C25" i="4496"/>
  <c r="H27" i="4496"/>
  <c r="H26" i="4496"/>
  <c r="H15" i="4496"/>
  <c r="B22" i="4496"/>
  <c r="H25" i="4496"/>
  <c r="H24" i="4496"/>
  <c r="C20" i="4496"/>
  <c r="H23" i="4496"/>
  <c r="H22" i="4496"/>
  <c r="H21" i="4496"/>
  <c r="B17" i="4496"/>
  <c r="C19" i="4496" s="1"/>
  <c r="H14" i="4496"/>
  <c r="C16" i="4496"/>
  <c r="H20" i="4496"/>
  <c r="C15" i="4496"/>
  <c r="H19" i="4496"/>
  <c r="C14" i="4496"/>
  <c r="H18" i="4496"/>
  <c r="C13" i="4496"/>
  <c r="O12" i="4496"/>
  <c r="H17" i="4496"/>
  <c r="C12" i="4496"/>
  <c r="O11" i="4496"/>
  <c r="H16" i="4496"/>
  <c r="C11" i="4496"/>
  <c r="O10" i="4496"/>
  <c r="H5" i="4496"/>
  <c r="C10" i="4496"/>
  <c r="H8" i="4496"/>
  <c r="C9" i="4496"/>
  <c r="H11" i="4496"/>
  <c r="C8" i="4496"/>
  <c r="O7" i="4496"/>
  <c r="H10" i="4496"/>
  <c r="C7" i="4496"/>
  <c r="O6" i="4496"/>
  <c r="H6" i="4496"/>
  <c r="B6" i="4496"/>
  <c r="O5" i="4496"/>
  <c r="H4" i="4496"/>
  <c r="B5" i="4496"/>
  <c r="O4" i="4496"/>
  <c r="H2" i="4496"/>
  <c r="O3" i="4496"/>
  <c r="H13" i="4496"/>
  <c r="O2" i="4496"/>
  <c r="H3" i="4496"/>
  <c r="O19" i="4494"/>
  <c r="O20" i="4494"/>
  <c r="H4" i="4494"/>
  <c r="H19" i="4494"/>
  <c r="H52" i="4494"/>
  <c r="H51" i="4494"/>
  <c r="H50" i="4494"/>
  <c r="H49" i="4494"/>
  <c r="H48" i="4494"/>
  <c r="H47" i="4494"/>
  <c r="H46" i="4494"/>
  <c r="H45" i="4494"/>
  <c r="H44" i="4494"/>
  <c r="H43" i="4494"/>
  <c r="H42" i="4494"/>
  <c r="H41" i="4494"/>
  <c r="H40" i="4494"/>
  <c r="H39" i="4494"/>
  <c r="H38" i="4494"/>
  <c r="H37" i="4494"/>
  <c r="H36" i="4494"/>
  <c r="H35" i="4494"/>
  <c r="H34" i="4494"/>
  <c r="H33" i="4494"/>
  <c r="H15" i="4494"/>
  <c r="H32" i="4494"/>
  <c r="H13" i="4494"/>
  <c r="H31" i="4494"/>
  <c r="H30" i="4494"/>
  <c r="H11" i="4494"/>
  <c r="C25" i="4494"/>
  <c r="H29" i="4494"/>
  <c r="H28" i="4494"/>
  <c r="H14" i="4494"/>
  <c r="B22" i="4494"/>
  <c r="H27" i="4494"/>
  <c r="H12" i="4494"/>
  <c r="C20" i="4494"/>
  <c r="H26" i="4494"/>
  <c r="C19" i="4494"/>
  <c r="H25" i="4494"/>
  <c r="H24" i="4494"/>
  <c r="B17" i="4494"/>
  <c r="C18" i="4494" s="1"/>
  <c r="H23" i="4494"/>
  <c r="C16" i="4494"/>
  <c r="H22" i="4494"/>
  <c r="C15" i="4494"/>
  <c r="H21" i="4494"/>
  <c r="C14" i="4494"/>
  <c r="H18" i="4494"/>
  <c r="C13" i="4494"/>
  <c r="O12" i="4494"/>
  <c r="H20" i="4494"/>
  <c r="C12" i="4494"/>
  <c r="O11" i="4494"/>
  <c r="H17" i="4494"/>
  <c r="C11" i="4494"/>
  <c r="O10" i="4494"/>
  <c r="H6" i="4494"/>
  <c r="C10" i="4494"/>
  <c r="H16" i="4494"/>
  <c r="C9" i="4494"/>
  <c r="H10" i="4494"/>
  <c r="C8" i="4494"/>
  <c r="O7" i="4494"/>
  <c r="H8" i="4494"/>
  <c r="C7" i="4494"/>
  <c r="O6" i="4494"/>
  <c r="H7" i="4494"/>
  <c r="B6" i="4494"/>
  <c r="O5" i="4494"/>
  <c r="H5" i="4494"/>
  <c r="B5" i="4494"/>
  <c r="O4" i="4494"/>
  <c r="H2" i="4494"/>
  <c r="O3" i="4494"/>
  <c r="H9" i="4494"/>
  <c r="O2" i="4494"/>
  <c r="H3" i="4494"/>
  <c r="O23" i="4490"/>
  <c r="O19" i="4492"/>
  <c r="O21" i="4492"/>
  <c r="H5" i="4492"/>
  <c r="H52" i="4492"/>
  <c r="H51" i="4492"/>
  <c r="H50" i="4492"/>
  <c r="H49" i="4492"/>
  <c r="H48" i="4492"/>
  <c r="H47" i="4492"/>
  <c r="H46" i="4492"/>
  <c r="H45" i="4492"/>
  <c r="H44" i="4492"/>
  <c r="H43" i="4492"/>
  <c r="H42" i="4492"/>
  <c r="H41" i="4492"/>
  <c r="H40" i="4492"/>
  <c r="H39" i="4492"/>
  <c r="H38" i="4492"/>
  <c r="H37" i="4492"/>
  <c r="H36" i="4492"/>
  <c r="H35" i="4492"/>
  <c r="H34" i="4492"/>
  <c r="H33" i="4492"/>
  <c r="H32" i="4492"/>
  <c r="H31" i="4492"/>
  <c r="H30" i="4492"/>
  <c r="H7" i="4492"/>
  <c r="H29" i="4492"/>
  <c r="H28" i="4492"/>
  <c r="H12" i="4492"/>
  <c r="C25" i="4492"/>
  <c r="H27" i="4492"/>
  <c r="H26" i="4492"/>
  <c r="H14" i="4492"/>
  <c r="B22" i="4492"/>
  <c r="H25" i="4492"/>
  <c r="H16" i="4492"/>
  <c r="C20" i="4492"/>
  <c r="H24" i="4492"/>
  <c r="H23" i="4492"/>
  <c r="C18" i="4492"/>
  <c r="H22" i="4492"/>
  <c r="B17" i="4492"/>
  <c r="B21" i="4492" s="1"/>
  <c r="H13" i="4492"/>
  <c r="C16" i="4492"/>
  <c r="H21" i="4492"/>
  <c r="C15" i="4492"/>
  <c r="H20" i="4492"/>
  <c r="C14" i="4492"/>
  <c r="H19" i="4492"/>
  <c r="C13" i="4492"/>
  <c r="O12" i="4492"/>
  <c r="H18" i="4492"/>
  <c r="C12" i="4492"/>
  <c r="O11" i="4492"/>
  <c r="H17" i="4492"/>
  <c r="C11" i="4492"/>
  <c r="O10" i="4492"/>
  <c r="H2" i="4492"/>
  <c r="C10" i="4492"/>
  <c r="H15" i="4492"/>
  <c r="C9" i="4492"/>
  <c r="H11" i="4492"/>
  <c r="C8" i="4492"/>
  <c r="O7" i="4492"/>
  <c r="H6" i="4492"/>
  <c r="C7" i="4492"/>
  <c r="O6" i="4492"/>
  <c r="H9" i="4492"/>
  <c r="B6" i="4492"/>
  <c r="O5" i="4492"/>
  <c r="H8" i="4492"/>
  <c r="B5" i="4492"/>
  <c r="O4" i="4492"/>
  <c r="H3" i="4492"/>
  <c r="O3" i="4492"/>
  <c r="H10" i="4492"/>
  <c r="O2" i="4492"/>
  <c r="H4" i="4492"/>
  <c r="O17" i="4490"/>
  <c r="O21" i="4490"/>
  <c r="H5" i="4490"/>
  <c r="H23" i="4490"/>
  <c r="H52" i="4490"/>
  <c r="H51" i="4490"/>
  <c r="H50" i="4490"/>
  <c r="H49" i="4490"/>
  <c r="H48" i="4490"/>
  <c r="H47" i="4490"/>
  <c r="H46" i="4490"/>
  <c r="H45" i="4490"/>
  <c r="H44" i="4490"/>
  <c r="H43" i="4490"/>
  <c r="H42" i="4490"/>
  <c r="H41" i="4490"/>
  <c r="H40" i="4490"/>
  <c r="H39" i="4490"/>
  <c r="H38" i="4490"/>
  <c r="H37" i="4490"/>
  <c r="H36" i="4490"/>
  <c r="H35" i="4490"/>
  <c r="H34" i="4490"/>
  <c r="H22" i="4490"/>
  <c r="H18" i="4490"/>
  <c r="H33" i="4490"/>
  <c r="H9" i="4490"/>
  <c r="H32" i="4490"/>
  <c r="H31" i="4490"/>
  <c r="H14" i="4490"/>
  <c r="C25" i="4490"/>
  <c r="H21" i="4490"/>
  <c r="H30" i="4490"/>
  <c r="H12" i="4490"/>
  <c r="B22" i="4490"/>
  <c r="H29" i="4490"/>
  <c r="H15" i="4490"/>
  <c r="C20" i="4490"/>
  <c r="H28" i="4490"/>
  <c r="H27" i="4490"/>
  <c r="H20" i="4490"/>
  <c r="B17" i="4490"/>
  <c r="C18" i="4490" s="1"/>
  <c r="H16" i="4490"/>
  <c r="C16" i="4490"/>
  <c r="H26" i="4490"/>
  <c r="C15" i="4490"/>
  <c r="H25" i="4490"/>
  <c r="C14" i="4490"/>
  <c r="H17" i="4490"/>
  <c r="C13" i="4490"/>
  <c r="O12" i="4490"/>
  <c r="H24" i="4490"/>
  <c r="C12" i="4490"/>
  <c r="O11" i="4490"/>
  <c r="H19" i="4490"/>
  <c r="C11" i="4490"/>
  <c r="O10" i="4490"/>
  <c r="H3" i="4490"/>
  <c r="C10" i="4490"/>
  <c r="H13" i="4490"/>
  <c r="C9" i="4490"/>
  <c r="H11" i="4490"/>
  <c r="C8" i="4490"/>
  <c r="O7" i="4490"/>
  <c r="H8" i="4490"/>
  <c r="C7" i="4490"/>
  <c r="O6" i="4490"/>
  <c r="H7" i="4490"/>
  <c r="B6" i="4490"/>
  <c r="O5" i="4490"/>
  <c r="H6" i="4490"/>
  <c r="B5" i="4490"/>
  <c r="O4" i="4490"/>
  <c r="H2" i="4490"/>
  <c r="O3" i="4490"/>
  <c r="H10" i="4490"/>
  <c r="O2" i="4490"/>
  <c r="H4" i="4490"/>
  <c r="C19" i="4490" l="1"/>
  <c r="C17" i="4496"/>
  <c r="B21" i="4496"/>
  <c r="C18" i="4496"/>
  <c r="B21" i="4494"/>
  <c r="C17" i="4494"/>
  <c r="C17" i="4492"/>
  <c r="C19" i="4492"/>
  <c r="B21" i="4490"/>
  <c r="C17" i="4490"/>
  <c r="H50" i="2228" l="1"/>
  <c r="H51" i="2228"/>
  <c r="H52" i="2228"/>
  <c r="O12" i="2228" l="1"/>
  <c r="O11" i="2228"/>
  <c r="O10" i="2228"/>
  <c r="O6" i="2228"/>
  <c r="H2" i="2228" l="1"/>
  <c r="C12" i="2228"/>
  <c r="C11" i="2228"/>
  <c r="C10" i="2228"/>
  <c r="C8" i="2228"/>
  <c r="O2" i="2228" l="1"/>
  <c r="O7" i="2228"/>
  <c r="O5" i="2228"/>
  <c r="O4" i="2228"/>
  <c r="O3" i="2228"/>
  <c r="C25" i="2228" l="1"/>
  <c r="C14" i="2228" l="1"/>
  <c r="C13" i="2228"/>
  <c r="C20" i="2228" l="1"/>
  <c r="B22" i="2228" l="1"/>
  <c r="H49" i="2228" l="1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H14" i="2228"/>
  <c r="C17" i="2228"/>
  <c r="B17" i="2228"/>
  <c r="H13" i="2228"/>
  <c r="C16" i="2228"/>
  <c r="H12" i="2228"/>
  <c r="C15" i="2228"/>
  <c r="H11" i="2228"/>
  <c r="H10" i="2228"/>
  <c r="H9" i="2228"/>
  <c r="H8" i="2228"/>
  <c r="C9" i="2228"/>
  <c r="H7" i="2228"/>
  <c r="H6" i="2228"/>
  <c r="C7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<sst xmlns="http://schemas.openxmlformats.org/spreadsheetml/2006/main" count="2423" uniqueCount="199">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</sst>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5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9" xfId="0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1" fontId="2" fillId="0" borderId="52" xfId="0" applyNumberFormat="1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0" fontId="3" fillId="0" borderId="52" xfId="0" applyFont="1" applyBorder="1" applyAlignment="1">
      <alignment horizontal="center" vertical="center" shrinkToFit="1"/>
    </xf>
    <xf numFmtId="1" fontId="2" fillId="0" borderId="41" xfId="0" applyNumberFormat="1" applyFont="1" applyBorder="1" applyAlignment="1">
      <alignment horizontal="center" vertical="center" shrinkToFit="1"/>
    </xf>
    <xf numFmtId="0" fontId="0" fillId="0" borderId="41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76" fontId="5" fillId="0" borderId="44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1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5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0" fontId="0" fillId="0" borderId="4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40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全体!$L$2:$L$98</c:f>
              <c:numCache>
                <c:formatCode>\+0.0;\-0.0;\±0</c:formatCode>
                <c:ptCount val="97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25-437E-8A72-74DDF4FDE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-52.083333333333336</c:v>
                </c:pt>
                <c:pt idx="1">
                  <c:v>0</c:v>
                </c:pt>
                <c:pt idx="2">
                  <c:v>55.555555555555557</c:v>
                </c:pt>
                <c:pt idx="3">
                  <c:v>0</c:v>
                </c:pt>
                <c:pt idx="4">
                  <c:v>-61.728395061728392</c:v>
                </c:pt>
                <c:pt idx="5">
                  <c:v>66.666666666666671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17-4DF6-A4E4-7AF3055D2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だいち!$L$2:$L$21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1D-4886-9C25-E3E93A3BB9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2547.3684210526317</c:v>
                </c:pt>
                <c:pt idx="1">
                  <c:v>5168.4210526315792</c:v>
                </c:pt>
                <c:pt idx="2">
                  <c:v>866.66666666666663</c:v>
                </c:pt>
                <c:pt idx="3">
                  <c:v>4905.8823529411766</c:v>
                </c:pt>
                <c:pt idx="4">
                  <c:v>546.66666666666663</c:v>
                </c:pt>
                <c:pt idx="5">
                  <c:v>471.42857142857144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FD-48AD-A674-B1EDBC648C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りくと!$L$2:$L$22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D5-4DFD-9CB7-BDE4241CE4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-530</c:v>
                </c:pt>
                <c:pt idx="1">
                  <c:v>-2050</c:v>
                </c:pt>
                <c:pt idx="2">
                  <c:v>260</c:v>
                </c:pt>
                <c:pt idx="3">
                  <c:v>3265</c:v>
                </c:pt>
                <c:pt idx="4">
                  <c:v>3715.7894736842104</c:v>
                </c:pt>
                <c:pt idx="5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C-4570-B9A0-F13AC6596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ただ!$L$2:$L$11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F4-4E89-AEE6-50B2DF0682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1255.5555555555557</c:v>
                </c:pt>
                <c:pt idx="1">
                  <c:v>-3022.2222222222222</c:v>
                </c:pt>
                <c:pt idx="2">
                  <c:v>-2914.2857142857142</c:v>
                </c:pt>
                <c:pt idx="3">
                  <c:v>-5114.2857142857147</c:v>
                </c:pt>
                <c:pt idx="4">
                  <c:v>-1571.4285714285713</c:v>
                </c:pt>
                <c:pt idx="5">
                  <c:v>-642.85714285714289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A4-4A37-ADB1-6EF77FA8C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れんたろう!$L$2:$L$20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B0-430F-835B-D256411CD9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-1716.6666666666667</c:v>
                </c:pt>
                <c:pt idx="1">
                  <c:v>1855.5555555555557</c:v>
                </c:pt>
                <c:pt idx="2">
                  <c:v>423.52941176470586</c:v>
                </c:pt>
                <c:pt idx="3">
                  <c:v>-3781.25</c:v>
                </c:pt>
                <c:pt idx="4">
                  <c:v>264.28571428571428</c:v>
                </c:pt>
                <c:pt idx="5">
                  <c:v>-83.333333333333329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0C-4BE3-906C-5901B31E4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たかの!$L$2:$L$10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CB-401B-8080-ACA1EB193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1237.5</c:v>
                </c:pt>
                <c:pt idx="1">
                  <c:v>1362.5</c:v>
                </c:pt>
                <c:pt idx="2">
                  <c:v>-1257.1428571428571</c:v>
                </c:pt>
                <c:pt idx="3">
                  <c:v>2914.2857142857142</c:v>
                </c:pt>
                <c:pt idx="4">
                  <c:v>-4257.1428571428569</c:v>
                </c:pt>
                <c:pt idx="5">
                  <c:v>-2516.6666666666665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96-4955-8334-FA4514DED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8F-4813-867F-C04FCD149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-3272.7272727272725</c:v>
                </c:pt>
                <c:pt idx="1">
                  <c:v>-4881.818181818182</c:v>
                </c:pt>
                <c:pt idx="2">
                  <c:v>-500</c:v>
                </c:pt>
                <c:pt idx="3">
                  <c:v>-8177.7777777777774</c:v>
                </c:pt>
                <c:pt idx="4">
                  <c:v>-3850</c:v>
                </c:pt>
                <c:pt idx="5">
                  <c:v>-900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3A-4940-88B4-8241EABB6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まっつん!$L$2:$L$8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D5-4D9C-B25B-29D835DE4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-1133.3333333333333</c:v>
                </c:pt>
                <c:pt idx="1">
                  <c:v>-2716.6666666666665</c:v>
                </c:pt>
                <c:pt idx="2">
                  <c:v>2133.3333333333335</c:v>
                </c:pt>
                <c:pt idx="3">
                  <c:v>483.33333333333331</c:v>
                </c:pt>
                <c:pt idx="4">
                  <c:v>-2366.6666666666665</c:v>
                </c:pt>
                <c:pt idx="5">
                  <c:v>4250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22-473B-AAD7-CC93467E6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B7-4455-B300-5640F19E54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F8-4838-8BBD-F35EB2EC8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81-43AB-B572-0DF9D560A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350</c:v>
                </c:pt>
                <c:pt idx="1">
                  <c:v>-5500</c:v>
                </c:pt>
                <c:pt idx="2">
                  <c:v>700</c:v>
                </c:pt>
                <c:pt idx="3">
                  <c:v>-10400</c:v>
                </c:pt>
                <c:pt idx="4">
                  <c:v>-1000</c:v>
                </c:pt>
                <c:pt idx="5">
                  <c:v>-2250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2C-42A6-8BB3-486745CB8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いっしー2!$B$1:$B$2</c:f>
              <c:strCache>
                <c:ptCount val="2"/>
                <c:pt idx="0">
                  <c:v>いっしー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いっしー2!$B$3:$B$5</c:f>
              <c:numCache>
                <c:formatCode>\+0.0;\-0.0;\±0</c:formatCode>
                <c:ptCount val="3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いっしー2!$C$1:$C$2</c:f>
              <c:strCache>
                <c:ptCount val="2"/>
                <c:pt idx="0">
                  <c:v>いっしー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いっしー2!$C$3:$C$5</c:f>
              <c:numCache>
                <c:formatCode>\+0.0;\-0.0;\±0</c:formatCode>
                <c:ptCount val="3"/>
                <c:pt idx="1">
                  <c:v>-43.7</c:v>
                </c:pt>
                <c:pt idx="2">
                  <c:v>-38.1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いっしー2!$D$1:$D$2</c:f>
              <c:strCache>
                <c:ptCount val="2"/>
                <c:pt idx="0">
                  <c:v>いっしー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いっしー2!$D$3:$D$5</c:f>
              <c:numCache>
                <c:formatCode>0.00\ "位"</c:formatCode>
                <c:ptCount val="3"/>
                <c:pt idx="1">
                  <c:v>3</c:v>
                </c:pt>
                <c:pt idx="2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いっしー2!$E$1:$E$2</c:f>
              <c:strCache>
                <c:ptCount val="2"/>
                <c:pt idx="0">
                  <c:v>いっしー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いっしー2!$E$3:$E$5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いっしー2!$F$1:$F$2</c:f>
              <c:strCache>
                <c:ptCount val="2"/>
                <c:pt idx="0">
                  <c:v>いっしー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いっしー2!$F$3:$F$5</c:f>
              <c:numCache>
                <c:formatCode>0.0%</c:formatCode>
                <c:ptCount val="3"/>
                <c:pt idx="1">
                  <c:v>0.22222222222222221</c:v>
                </c:pt>
                <c:pt idx="2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いっしー2!$G$1:$G$2</c:f>
              <c:strCache>
                <c:ptCount val="2"/>
                <c:pt idx="0">
                  <c:v>いっしー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いっしー2!$G$3:$G$5</c:f>
              <c:numCache>
                <c:formatCode>0.0%</c:formatCode>
                <c:ptCount val="3"/>
                <c:pt idx="1">
                  <c:v>0.33333333333333331</c:v>
                </c:pt>
                <c:pt idx="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いっしー2!$H$1:$H$2</c:f>
              <c:strCache>
                <c:ptCount val="2"/>
                <c:pt idx="0">
                  <c:v>いっしー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いっしー2!$H$3:$H$5</c:f>
              <c:numCache>
                <c:formatCode>0</c:formatCode>
                <c:ptCount val="3"/>
                <c:pt idx="1">
                  <c:v>3650</c:v>
                </c:pt>
                <c:pt idx="2">
                  <c:v>3366.6666666666665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いっしー2!$I$1:$I$2</c:f>
              <c:strCache>
                <c:ptCount val="2"/>
                <c:pt idx="0">
                  <c:v>いっしー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いっしー2!$I$3:$I$5</c:f>
              <c:numCache>
                <c:formatCode>0</c:formatCode>
                <c:ptCount val="3"/>
                <c:pt idx="1">
                  <c:v>-8566.6666666666661</c:v>
                </c:pt>
                <c:pt idx="2">
                  <c:v>-6940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いっしー2!$J$1:$J$2</c:f>
              <c:strCache>
                <c:ptCount val="2"/>
                <c:pt idx="0">
                  <c:v>いっしー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いっしー2!$J$3:$J$5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いっしー2!$K$1:$K$2</c:f>
              <c:strCache>
                <c:ptCount val="2"/>
                <c:pt idx="0">
                  <c:v>いっしー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いっしー2!$K$3:$K$5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いっしー2!$M$1:$M$2</c:f>
              <c:strCache>
                <c:ptCount val="2"/>
                <c:pt idx="0">
                  <c:v>いっしー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いっしー2!$M$3:$M$5</c:f>
              <c:numCache>
                <c:formatCode>0.0%</c:formatCode>
                <c:ptCount val="3"/>
                <c:pt idx="1">
                  <c:v>0.1111111111111111</c:v>
                </c:pt>
                <c:pt idx="2">
                  <c:v>6.6666666666666666E-2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いっしー2!$N$1:$N$2</c:f>
              <c:strCache>
                <c:ptCount val="2"/>
                <c:pt idx="0">
                  <c:v>いっしー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いっしー2!$N$3:$N$5</c:f>
              <c:numCache>
                <c:formatCode>0.0%</c:formatCode>
                <c:ptCount val="3"/>
                <c:pt idx="1">
                  <c:v>0.1111111111111111</c:v>
                </c:pt>
                <c:pt idx="2">
                  <c:v>6.6666666666666666E-2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いっしー2!$O$1:$O$2</c:f>
              <c:strCache>
                <c:ptCount val="2"/>
                <c:pt idx="0">
                  <c:v>いっしー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いっしー2!$O$3:$O$5</c:f>
              <c:numCache>
                <c:formatCode>0.0%</c:formatCode>
                <c:ptCount val="3"/>
                <c:pt idx="1">
                  <c:v>1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いっしー2!$P$1:$P$2</c:f>
              <c:strCache>
                <c:ptCount val="2"/>
                <c:pt idx="0">
                  <c:v>いっしー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いっしー2!$P$3:$P$5</c:f>
              <c:numCache>
                <c:formatCode>0.0%</c:formatCode>
                <c:ptCount val="3"/>
                <c:pt idx="1">
                  <c:v>1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いっしー2!$Q$1:$Q$2</c:f>
              <c:strCache>
                <c:ptCount val="2"/>
                <c:pt idx="0">
                  <c:v>いっしー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いっしー2!$Q$3:$Q$5</c:f>
              <c:numCache>
                <c:formatCode>0.0%</c:formatCode>
                <c:ptCount val="3"/>
                <c:pt idx="1">
                  <c:v>0.5</c:v>
                </c:pt>
                <c:pt idx="2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いっしー2!$L$1:$L$2</c:f>
              <c:strCache>
                <c:ptCount val="2"/>
                <c:pt idx="0">
                  <c:v>いっしー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いっしー2!$L$3:$L$5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2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103" customWidth="1"/>
    <col min="13" max="13" width="3.625" style="1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1"/>
  </cols>
  <sheetData>
    <row r="1" spans="1:17" x14ac:dyDescent="0.4">
      <c r="A1" s="20" t="s">
        <v>0</v>
      </c>
      <c r="B1" s="151"/>
      <c r="C1" s="152"/>
      <c r="E1" s="133" t="s">
        <v>175</v>
      </c>
      <c r="F1" s="12" t="s">
        <v>118</v>
      </c>
      <c r="G1" s="26" t="s">
        <v>119</v>
      </c>
      <c r="H1" s="134" t="s">
        <v>120</v>
      </c>
      <c r="I1" s="104" t="s">
        <v>159</v>
      </c>
      <c r="K1" s="2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164</v>
      </c>
    </row>
    <row r="2" spans="1:17" x14ac:dyDescent="0.4">
      <c r="A2" s="21" t="s">
        <v>9</v>
      </c>
      <c r="B2" s="147">
        <v>0</v>
      </c>
      <c r="C2" s="148"/>
      <c r="E2" s="62" t="s">
        <v>66</v>
      </c>
      <c r="F2" s="27" t="s">
        <v>21</v>
      </c>
      <c r="G2" s="14">
        <v>0</v>
      </c>
      <c r="H2" s="136">
        <f t="shared" ref="H2:H32" si="0">IF(B$27=0,0,G2/B$27)</f>
        <v>0</v>
      </c>
      <c r="I2" s="97"/>
      <c r="K2" s="3">
        <v>0</v>
      </c>
      <c r="L2" s="102">
        <v>0</v>
      </c>
      <c r="N2" s="118" t="s">
        <v>136</v>
      </c>
      <c r="O2" s="125">
        <f t="shared" ref="O2:O7" si="1">IF(P2=0,0,Q2/P2)</f>
        <v>0</v>
      </c>
      <c r="P2" s="122">
        <v>0</v>
      </c>
      <c r="Q2" s="106">
        <v>0</v>
      </c>
    </row>
    <row r="3" spans="1:17" x14ac:dyDescent="0.4">
      <c r="A3" s="22" t="s">
        <v>8</v>
      </c>
      <c r="B3" s="153">
        <v>0</v>
      </c>
      <c r="C3" s="154"/>
      <c r="E3" s="63" t="s">
        <v>67</v>
      </c>
      <c r="F3" s="28" t="s">
        <v>22</v>
      </c>
      <c r="G3" s="15">
        <v>0</v>
      </c>
      <c r="H3" s="137">
        <f t="shared" si="0"/>
        <v>0</v>
      </c>
      <c r="I3" s="98"/>
      <c r="N3" s="119" t="s">
        <v>137</v>
      </c>
      <c r="O3" s="126">
        <f t="shared" si="1"/>
        <v>0</v>
      </c>
      <c r="P3" s="123">
        <v>0</v>
      </c>
      <c r="Q3" s="107">
        <v>0</v>
      </c>
    </row>
    <row r="4" spans="1:17" x14ac:dyDescent="0.4">
      <c r="A4" s="22" t="s">
        <v>6</v>
      </c>
      <c r="B4" s="155">
        <v>0</v>
      </c>
      <c r="C4" s="156"/>
      <c r="E4" s="63" t="s">
        <v>68</v>
      </c>
      <c r="F4" s="28" t="s">
        <v>23</v>
      </c>
      <c r="G4" s="15">
        <v>0</v>
      </c>
      <c r="H4" s="137">
        <f t="shared" si="0"/>
        <v>0</v>
      </c>
      <c r="I4" s="98"/>
      <c r="N4" s="119" t="s">
        <v>138</v>
      </c>
      <c r="O4" s="126">
        <f t="shared" si="1"/>
        <v>0</v>
      </c>
      <c r="P4" s="123">
        <v>0</v>
      </c>
      <c r="Q4" s="107">
        <v>0</v>
      </c>
    </row>
    <row r="5" spans="1:17" x14ac:dyDescent="0.4">
      <c r="A5" s="22" t="s">
        <v>7</v>
      </c>
      <c r="B5" s="157">
        <f>IF(B$2=0,0,B$4/B$2)</f>
        <v>0</v>
      </c>
      <c r="C5" s="158"/>
      <c r="E5" s="63" t="s">
        <v>69</v>
      </c>
      <c r="F5" s="28" t="s">
        <v>24</v>
      </c>
      <c r="G5" s="15">
        <v>0</v>
      </c>
      <c r="H5" s="137">
        <f t="shared" si="0"/>
        <v>0</v>
      </c>
      <c r="I5" s="98"/>
      <c r="N5" s="119" t="s">
        <v>139</v>
      </c>
      <c r="O5" s="126">
        <f t="shared" si="1"/>
        <v>0</v>
      </c>
      <c r="P5" s="123">
        <v>0</v>
      </c>
      <c r="Q5" s="107">
        <v>0</v>
      </c>
    </row>
    <row r="6" spans="1:17" x14ac:dyDescent="0.4">
      <c r="A6" s="22" t="s">
        <v>1</v>
      </c>
      <c r="B6" s="145">
        <f>IF(B$2=0,0,(B$7*1+B$8*2+B$9*3)/B$2)</f>
        <v>0</v>
      </c>
      <c r="C6" s="146"/>
      <c r="E6" s="63" t="s">
        <v>70</v>
      </c>
      <c r="F6" s="28" t="s">
        <v>12</v>
      </c>
      <c r="G6" s="15">
        <v>0</v>
      </c>
      <c r="H6" s="137">
        <f t="shared" si="0"/>
        <v>0</v>
      </c>
      <c r="I6" s="98"/>
      <c r="N6" s="119" t="s">
        <v>140</v>
      </c>
      <c r="O6" s="126">
        <f t="shared" si="1"/>
        <v>0</v>
      </c>
      <c r="P6" s="123">
        <v>0</v>
      </c>
      <c r="Q6" s="107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71</v>
      </c>
      <c r="F7" s="28" t="s">
        <v>25</v>
      </c>
      <c r="G7" s="15">
        <v>0</v>
      </c>
      <c r="H7" s="137">
        <f t="shared" si="0"/>
        <v>0</v>
      </c>
      <c r="I7" s="98"/>
      <c r="N7" s="120" t="s">
        <v>141</v>
      </c>
      <c r="O7" s="127">
        <f t="shared" si="1"/>
        <v>0</v>
      </c>
      <c r="P7" s="124">
        <v>0</v>
      </c>
      <c r="Q7" s="108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72</v>
      </c>
      <c r="F8" s="28" t="s">
        <v>26</v>
      </c>
      <c r="G8" s="15">
        <v>0</v>
      </c>
      <c r="H8" s="137">
        <f t="shared" si="0"/>
        <v>0</v>
      </c>
      <c r="I8" s="98"/>
      <c r="N8" s="43"/>
      <c r="O8" s="131"/>
      <c r="P8" s="115"/>
      <c r="Q8" s="113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73</v>
      </c>
      <c r="F9" s="28" t="s">
        <v>27</v>
      </c>
      <c r="G9" s="15">
        <v>0</v>
      </c>
      <c r="H9" s="137">
        <f t="shared" si="0"/>
        <v>0</v>
      </c>
      <c r="I9" s="98"/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74</v>
      </c>
      <c r="F10" s="28" t="s">
        <v>28</v>
      </c>
      <c r="G10" s="15">
        <v>0</v>
      </c>
      <c r="H10" s="137">
        <f t="shared" si="0"/>
        <v>0</v>
      </c>
      <c r="I10" s="98"/>
      <c r="N10" s="118" t="s">
        <v>172</v>
      </c>
      <c r="O10" s="128">
        <f>IF(P10=0,0,Q10/P10)</f>
        <v>0</v>
      </c>
      <c r="P10" s="122">
        <v>0</v>
      </c>
      <c r="Q10" s="110">
        <v>0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75</v>
      </c>
      <c r="F11" s="28" t="s">
        <v>29</v>
      </c>
      <c r="G11" s="15">
        <v>0</v>
      </c>
      <c r="H11" s="137">
        <f t="shared" si="0"/>
        <v>0</v>
      </c>
      <c r="I11" s="98"/>
      <c r="N11" s="119" t="s">
        <v>173</v>
      </c>
      <c r="O11" s="129">
        <f>IF(P11=0,0,Q11/P11)</f>
        <v>0</v>
      </c>
      <c r="P11" s="123">
        <v>0</v>
      </c>
      <c r="Q11" s="111">
        <v>0</v>
      </c>
    </row>
    <row r="12" spans="1:17" x14ac:dyDescent="0.4">
      <c r="A12" s="57" t="s">
        <v>165</v>
      </c>
      <c r="B12" s="49">
        <v>0</v>
      </c>
      <c r="C12" s="42">
        <f>IF(B$2=0,0,B12/B$2)</f>
        <v>0</v>
      </c>
      <c r="E12" s="63" t="s">
        <v>76</v>
      </c>
      <c r="F12" s="28" t="s">
        <v>30</v>
      </c>
      <c r="G12" s="15">
        <v>0</v>
      </c>
      <c r="H12" s="137">
        <f t="shared" si="0"/>
        <v>0</v>
      </c>
      <c r="I12" s="98"/>
      <c r="N12" s="120" t="s">
        <v>174</v>
      </c>
      <c r="O12" s="130">
        <f>IF(P12=0,0,Q12/P12)</f>
        <v>0</v>
      </c>
      <c r="P12" s="124">
        <v>0</v>
      </c>
      <c r="Q12" s="112">
        <v>0</v>
      </c>
    </row>
    <row r="13" spans="1:17" x14ac:dyDescent="0.4">
      <c r="A13" s="25" t="s">
        <v>126</v>
      </c>
      <c r="B13" s="17">
        <v>0</v>
      </c>
      <c r="C13" s="11">
        <f>IF(B$26=0,0,B13/B$26)</f>
        <v>0</v>
      </c>
      <c r="E13" s="63" t="s">
        <v>77</v>
      </c>
      <c r="F13" s="28" t="s">
        <v>31</v>
      </c>
      <c r="G13" s="15">
        <v>0</v>
      </c>
      <c r="H13" s="137">
        <f t="shared" si="0"/>
        <v>0</v>
      </c>
      <c r="I13" s="98"/>
      <c r="N13" s="33"/>
      <c r="O13" s="114"/>
      <c r="P13" s="116"/>
      <c r="Q13" s="114"/>
    </row>
    <row r="14" spans="1:17" x14ac:dyDescent="0.4">
      <c r="A14" s="22" t="s">
        <v>121</v>
      </c>
      <c r="B14" s="15">
        <v>0</v>
      </c>
      <c r="C14" s="6">
        <f>IF(B$26=0,0,B14/B$26)</f>
        <v>0</v>
      </c>
      <c r="E14" s="63" t="s">
        <v>78</v>
      </c>
      <c r="F14" s="28" t="s">
        <v>32</v>
      </c>
      <c r="G14" s="15">
        <v>0</v>
      </c>
      <c r="H14" s="137">
        <f t="shared" si="0"/>
        <v>0</v>
      </c>
      <c r="I14" s="98"/>
      <c r="N14" s="117" t="s">
        <v>160</v>
      </c>
      <c r="O14" s="34" t="s">
        <v>161</v>
      </c>
      <c r="P14" s="121" t="s">
        <v>162</v>
      </c>
      <c r="Q14" s="109" t="s">
        <v>163</v>
      </c>
    </row>
    <row r="15" spans="1:17" x14ac:dyDescent="0.4">
      <c r="A15" s="21" t="s">
        <v>128</v>
      </c>
      <c r="B15" s="14">
        <v>0</v>
      </c>
      <c r="C15" s="4">
        <f>IF(B$13=0,0,B15/B$13)</f>
        <v>0</v>
      </c>
      <c r="E15" s="63" t="s">
        <v>79</v>
      </c>
      <c r="F15" s="28" t="s">
        <v>33</v>
      </c>
      <c r="G15" s="15">
        <v>0</v>
      </c>
      <c r="H15" s="137">
        <f t="shared" si="0"/>
        <v>0</v>
      </c>
      <c r="I15" s="98"/>
      <c r="N15" s="118"/>
      <c r="O15" s="128"/>
      <c r="P15" s="122"/>
      <c r="Q15" s="110"/>
    </row>
    <row r="16" spans="1:17" x14ac:dyDescent="0.4">
      <c r="A16" s="21" t="s">
        <v>129</v>
      </c>
      <c r="B16" s="14">
        <v>0</v>
      </c>
      <c r="C16" s="4">
        <f>IF(B$14=0,0,B16/B$14)</f>
        <v>0</v>
      </c>
      <c r="E16" s="63" t="s">
        <v>80</v>
      </c>
      <c r="F16" s="28" t="s">
        <v>34</v>
      </c>
      <c r="G16" s="15">
        <v>0</v>
      </c>
      <c r="H16" s="137">
        <f t="shared" si="0"/>
        <v>0</v>
      </c>
      <c r="I16" s="98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81</v>
      </c>
      <c r="F17" s="28" t="s">
        <v>35</v>
      </c>
      <c r="G17" s="15">
        <v>0</v>
      </c>
      <c r="H17" s="137">
        <f t="shared" si="0"/>
        <v>0</v>
      </c>
      <c r="I17" s="98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82</v>
      </c>
      <c r="F18" s="28" t="s">
        <v>36</v>
      </c>
      <c r="G18" s="15">
        <v>0</v>
      </c>
      <c r="H18" s="137">
        <f t="shared" si="0"/>
        <v>0</v>
      </c>
      <c r="I18" s="98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83</v>
      </c>
      <c r="F19" s="28" t="s">
        <v>37</v>
      </c>
      <c r="G19" s="15">
        <v>0</v>
      </c>
      <c r="H19" s="137">
        <f t="shared" si="0"/>
        <v>0</v>
      </c>
      <c r="I19" s="98"/>
    </row>
    <row r="20" spans="1:9" x14ac:dyDescent="0.4">
      <c r="A20" s="22" t="s">
        <v>13</v>
      </c>
      <c r="B20" s="15">
        <v>0</v>
      </c>
      <c r="C20" s="6">
        <f>IF(B$3=0,0,B20/B$3)</f>
        <v>0</v>
      </c>
      <c r="E20" s="63" t="s">
        <v>84</v>
      </c>
      <c r="F20" s="28" t="s">
        <v>38</v>
      </c>
      <c r="G20" s="15">
        <v>0</v>
      </c>
      <c r="H20" s="137">
        <f t="shared" si="0"/>
        <v>0</v>
      </c>
      <c r="I20" s="98"/>
    </row>
    <row r="21" spans="1:9" x14ac:dyDescent="0.4">
      <c r="A21" s="22" t="s">
        <v>5</v>
      </c>
      <c r="B21" s="18">
        <f>IF(B$17=0,0,C21/B$17)</f>
        <v>0</v>
      </c>
      <c r="C21" s="8">
        <v>0</v>
      </c>
      <c r="E21" s="63" t="s">
        <v>85</v>
      </c>
      <c r="F21" s="28" t="s">
        <v>39</v>
      </c>
      <c r="G21" s="15">
        <v>0</v>
      </c>
      <c r="H21" s="137">
        <f t="shared" si="0"/>
        <v>0</v>
      </c>
      <c r="I21" s="98"/>
    </row>
    <row r="22" spans="1:9" x14ac:dyDescent="0.4">
      <c r="A22" s="24" t="s">
        <v>14</v>
      </c>
      <c r="B22" s="19">
        <f>IF(B$20=0,0,C22/B$20)</f>
        <v>0</v>
      </c>
      <c r="C22" s="13">
        <v>0</v>
      </c>
      <c r="E22" s="63" t="s">
        <v>86</v>
      </c>
      <c r="F22" s="28" t="s">
        <v>40</v>
      </c>
      <c r="G22" s="15">
        <v>0</v>
      </c>
      <c r="H22" s="137">
        <f t="shared" si="0"/>
        <v>0</v>
      </c>
      <c r="I22" s="98"/>
    </row>
    <row r="23" spans="1:9" x14ac:dyDescent="0.4">
      <c r="A23" s="94" t="s">
        <v>146</v>
      </c>
      <c r="B23" s="143">
        <v>0</v>
      </c>
      <c r="C23" s="144"/>
      <c r="E23" s="63" t="s">
        <v>87</v>
      </c>
      <c r="F23" s="28" t="s">
        <v>41</v>
      </c>
      <c r="G23" s="15">
        <v>0</v>
      </c>
      <c r="H23" s="137">
        <f t="shared" si="0"/>
        <v>0</v>
      </c>
      <c r="I23" s="98"/>
    </row>
    <row r="24" spans="1:9" x14ac:dyDescent="0.4">
      <c r="A24" s="58" t="s">
        <v>157</v>
      </c>
      <c r="B24" s="141">
        <v>0</v>
      </c>
      <c r="C24" s="142"/>
      <c r="E24" s="63" t="s">
        <v>88</v>
      </c>
      <c r="F24" s="28" t="s">
        <v>42</v>
      </c>
      <c r="G24" s="15">
        <v>0</v>
      </c>
      <c r="H24" s="137">
        <f t="shared" si="0"/>
        <v>0</v>
      </c>
      <c r="I24" s="98"/>
    </row>
    <row r="25" spans="1:9" x14ac:dyDescent="0.4">
      <c r="A25" s="24" t="s">
        <v>147</v>
      </c>
      <c r="B25" s="32">
        <v>0</v>
      </c>
      <c r="C25" s="9">
        <f>IF(B$3=0,0,B25/B$3)</f>
        <v>0</v>
      </c>
      <c r="E25" s="63" t="s">
        <v>89</v>
      </c>
      <c r="F25" s="28" t="s">
        <v>43</v>
      </c>
      <c r="G25" s="15">
        <v>0</v>
      </c>
      <c r="H25" s="137">
        <f t="shared" si="0"/>
        <v>0</v>
      </c>
      <c r="I25" s="98"/>
    </row>
    <row r="26" spans="1:9" x14ac:dyDescent="0.4">
      <c r="A26" s="21" t="s">
        <v>124</v>
      </c>
      <c r="B26" s="147">
        <v>0</v>
      </c>
      <c r="C26" s="148"/>
      <c r="E26" s="63" t="s">
        <v>90</v>
      </c>
      <c r="F26" s="28" t="s">
        <v>44</v>
      </c>
      <c r="G26" s="15">
        <v>0</v>
      </c>
      <c r="H26" s="137">
        <f t="shared" si="0"/>
        <v>0</v>
      </c>
      <c r="I26" s="98"/>
    </row>
    <row r="27" spans="1:9" x14ac:dyDescent="0.4">
      <c r="A27" s="24" t="s">
        <v>125</v>
      </c>
      <c r="B27" s="149">
        <v>0</v>
      </c>
      <c r="C27" s="150"/>
      <c r="E27" s="63" t="s">
        <v>91</v>
      </c>
      <c r="F27" s="28" t="s">
        <v>45</v>
      </c>
      <c r="G27" s="15">
        <v>0</v>
      </c>
      <c r="H27" s="137">
        <f t="shared" si="0"/>
        <v>0</v>
      </c>
      <c r="I27" s="98"/>
    </row>
    <row r="28" spans="1:9" x14ac:dyDescent="0.4">
      <c r="E28" s="63" t="s">
        <v>92</v>
      </c>
      <c r="F28" s="28" t="s">
        <v>46</v>
      </c>
      <c r="G28" s="15">
        <v>0</v>
      </c>
      <c r="H28" s="137">
        <f t="shared" si="0"/>
        <v>0</v>
      </c>
      <c r="I28" s="98"/>
    </row>
    <row r="29" spans="1:9" x14ac:dyDescent="0.4">
      <c r="E29" s="63" t="s">
        <v>93</v>
      </c>
      <c r="F29" s="28" t="s">
        <v>47</v>
      </c>
      <c r="G29" s="15">
        <v>0</v>
      </c>
      <c r="H29" s="137">
        <f t="shared" si="0"/>
        <v>0</v>
      </c>
      <c r="I29" s="98"/>
    </row>
    <row r="30" spans="1:9" x14ac:dyDescent="0.4">
      <c r="E30" s="63" t="s">
        <v>94</v>
      </c>
      <c r="F30" s="28" t="s">
        <v>48</v>
      </c>
      <c r="G30" s="15">
        <v>0</v>
      </c>
      <c r="H30" s="137">
        <f t="shared" si="0"/>
        <v>0</v>
      </c>
      <c r="I30" s="98"/>
    </row>
    <row r="31" spans="1:9" x14ac:dyDescent="0.4">
      <c r="E31" s="63" t="s">
        <v>95</v>
      </c>
      <c r="F31" s="28" t="s">
        <v>49</v>
      </c>
      <c r="G31" s="15">
        <v>0</v>
      </c>
      <c r="H31" s="137">
        <f t="shared" si="0"/>
        <v>0</v>
      </c>
      <c r="I31" s="98"/>
    </row>
    <row r="32" spans="1:9" x14ac:dyDescent="0.4">
      <c r="E32" s="63" t="s">
        <v>96</v>
      </c>
      <c r="F32" s="28" t="s">
        <v>50</v>
      </c>
      <c r="G32" s="15">
        <v>0</v>
      </c>
      <c r="H32" s="137">
        <f t="shared" si="0"/>
        <v>0</v>
      </c>
      <c r="I32" s="98"/>
    </row>
    <row r="33" spans="5:9" x14ac:dyDescent="0.4">
      <c r="E33" s="63" t="s">
        <v>97</v>
      </c>
      <c r="F33" s="28" t="s">
        <v>51</v>
      </c>
      <c r="G33" s="15">
        <v>0</v>
      </c>
      <c r="H33" s="137">
        <f t="shared" ref="H33:H50" si="3">IF(B$27=0,0,G33/B$27)</f>
        <v>0</v>
      </c>
      <c r="I33" s="98"/>
    </row>
    <row r="34" spans="5:9" x14ac:dyDescent="0.4">
      <c r="E34" s="63" t="s">
        <v>98</v>
      </c>
      <c r="F34" s="28" t="s">
        <v>52</v>
      </c>
      <c r="G34" s="15">
        <v>0</v>
      </c>
      <c r="H34" s="137">
        <f t="shared" si="3"/>
        <v>0</v>
      </c>
      <c r="I34" s="98"/>
    </row>
    <row r="35" spans="5:9" x14ac:dyDescent="0.4">
      <c r="E35" s="63" t="s">
        <v>99</v>
      </c>
      <c r="F35" s="28" t="s">
        <v>53</v>
      </c>
      <c r="G35" s="15">
        <v>0</v>
      </c>
      <c r="H35" s="137">
        <f t="shared" si="3"/>
        <v>0</v>
      </c>
      <c r="I35" s="98"/>
    </row>
    <row r="36" spans="5:9" x14ac:dyDescent="0.4">
      <c r="E36" s="63" t="s">
        <v>100</v>
      </c>
      <c r="F36" s="28" t="s">
        <v>54</v>
      </c>
      <c r="G36" s="15">
        <v>0</v>
      </c>
      <c r="H36" s="137">
        <f t="shared" si="3"/>
        <v>0</v>
      </c>
      <c r="I36" s="98"/>
    </row>
    <row r="37" spans="5:9" x14ac:dyDescent="0.4">
      <c r="E37" s="63" t="s">
        <v>101</v>
      </c>
      <c r="F37" s="28" t="s">
        <v>55</v>
      </c>
      <c r="G37" s="15">
        <v>0</v>
      </c>
      <c r="H37" s="137">
        <f t="shared" si="3"/>
        <v>0</v>
      </c>
      <c r="I37" s="98"/>
    </row>
    <row r="38" spans="5:9" x14ac:dyDescent="0.4">
      <c r="E38" s="63" t="s">
        <v>102</v>
      </c>
      <c r="F38" s="28" t="s">
        <v>56</v>
      </c>
      <c r="G38" s="15">
        <v>0</v>
      </c>
      <c r="H38" s="137">
        <f t="shared" si="3"/>
        <v>0</v>
      </c>
      <c r="I38" s="98"/>
    </row>
    <row r="39" spans="5:9" x14ac:dyDescent="0.4">
      <c r="E39" s="63" t="s">
        <v>103</v>
      </c>
      <c r="F39" s="28" t="s">
        <v>57</v>
      </c>
      <c r="G39" s="15">
        <v>0</v>
      </c>
      <c r="H39" s="137">
        <f t="shared" si="3"/>
        <v>0</v>
      </c>
      <c r="I39" s="98"/>
    </row>
    <row r="40" spans="5:9" x14ac:dyDescent="0.4">
      <c r="E40" s="63" t="s">
        <v>104</v>
      </c>
      <c r="F40" s="28" t="s">
        <v>58</v>
      </c>
      <c r="G40" s="15">
        <v>0</v>
      </c>
      <c r="H40" s="137">
        <f t="shared" si="3"/>
        <v>0</v>
      </c>
      <c r="I40" s="98"/>
    </row>
    <row r="41" spans="5:9" x14ac:dyDescent="0.4">
      <c r="E41" s="63" t="s">
        <v>105</v>
      </c>
      <c r="F41" s="28" t="s">
        <v>59</v>
      </c>
      <c r="G41" s="15">
        <v>0</v>
      </c>
      <c r="H41" s="137">
        <f t="shared" si="3"/>
        <v>0</v>
      </c>
      <c r="I41" s="98"/>
    </row>
    <row r="42" spans="5:9" x14ac:dyDescent="0.4">
      <c r="E42" s="63" t="s">
        <v>106</v>
      </c>
      <c r="F42" s="28" t="s">
        <v>60</v>
      </c>
      <c r="G42" s="15">
        <v>0</v>
      </c>
      <c r="H42" s="137">
        <f t="shared" si="3"/>
        <v>0</v>
      </c>
      <c r="I42" s="98"/>
    </row>
    <row r="43" spans="5:9" x14ac:dyDescent="0.4">
      <c r="E43" s="63" t="s">
        <v>107</v>
      </c>
      <c r="F43" s="28" t="s">
        <v>61</v>
      </c>
      <c r="G43" s="15">
        <v>0</v>
      </c>
      <c r="H43" s="137">
        <f t="shared" si="3"/>
        <v>0</v>
      </c>
      <c r="I43" s="98"/>
    </row>
    <row r="44" spans="5:9" x14ac:dyDescent="0.4">
      <c r="E44" s="63" t="s">
        <v>108</v>
      </c>
      <c r="F44" s="28" t="s">
        <v>115</v>
      </c>
      <c r="G44" s="15">
        <v>0</v>
      </c>
      <c r="H44" s="137">
        <f t="shared" si="3"/>
        <v>0</v>
      </c>
      <c r="I44" s="98"/>
    </row>
    <row r="45" spans="5:9" x14ac:dyDescent="0.4">
      <c r="E45" s="63" t="s">
        <v>109</v>
      </c>
      <c r="F45" s="28" t="s">
        <v>116</v>
      </c>
      <c r="G45" s="15">
        <v>0</v>
      </c>
      <c r="H45" s="137">
        <f t="shared" si="3"/>
        <v>0</v>
      </c>
      <c r="I45" s="98"/>
    </row>
    <row r="46" spans="5:9" x14ac:dyDescent="0.4">
      <c r="E46" s="63" t="s">
        <v>110</v>
      </c>
      <c r="F46" s="28" t="s">
        <v>117</v>
      </c>
      <c r="G46" s="15">
        <v>0</v>
      </c>
      <c r="H46" s="137">
        <f t="shared" si="3"/>
        <v>0</v>
      </c>
      <c r="I46" s="98"/>
    </row>
    <row r="47" spans="5:9" x14ac:dyDescent="0.4">
      <c r="E47" s="63" t="s">
        <v>111</v>
      </c>
      <c r="F47" s="28" t="s">
        <v>62</v>
      </c>
      <c r="G47" s="15">
        <v>0</v>
      </c>
      <c r="H47" s="137">
        <f t="shared" si="3"/>
        <v>0</v>
      </c>
      <c r="I47" s="98"/>
    </row>
    <row r="48" spans="5:9" x14ac:dyDescent="0.4">
      <c r="E48" s="63" t="s">
        <v>112</v>
      </c>
      <c r="F48" s="28" t="s">
        <v>63</v>
      </c>
      <c r="G48" s="15">
        <v>0</v>
      </c>
      <c r="H48" s="137">
        <f t="shared" si="3"/>
        <v>0</v>
      </c>
      <c r="I48" s="98"/>
    </row>
    <row r="49" spans="5:9" x14ac:dyDescent="0.4">
      <c r="E49" s="63" t="s">
        <v>113</v>
      </c>
      <c r="F49" s="28" t="s">
        <v>64</v>
      </c>
      <c r="G49" s="15">
        <v>0</v>
      </c>
      <c r="H49" s="137">
        <f t="shared" si="3"/>
        <v>0</v>
      </c>
      <c r="I49" s="98"/>
    </row>
    <row r="50" spans="5:9" x14ac:dyDescent="0.4">
      <c r="E50" s="63" t="s">
        <v>114</v>
      </c>
      <c r="F50" s="60" t="s">
        <v>65</v>
      </c>
      <c r="G50" s="47">
        <v>0</v>
      </c>
      <c r="H50" s="137">
        <f t="shared" si="3"/>
        <v>0</v>
      </c>
      <c r="I50" s="98"/>
    </row>
    <row r="51" spans="5:9" x14ac:dyDescent="0.4">
      <c r="E51" s="63" t="s">
        <v>188</v>
      </c>
      <c r="F51" s="60" t="s">
        <v>191</v>
      </c>
      <c r="G51" s="47">
        <v>0</v>
      </c>
      <c r="H51" s="137">
        <f t="shared" ref="H51:H52" si="4">IF(B$27=0,0,G51/B$27)</f>
        <v>0</v>
      </c>
      <c r="I51" s="98"/>
    </row>
    <row r="52" spans="5:9" x14ac:dyDescent="0.4">
      <c r="E52" s="64" t="s">
        <v>189</v>
      </c>
      <c r="F52" s="61" t="s">
        <v>190</v>
      </c>
      <c r="G52" s="49">
        <v>0</v>
      </c>
      <c r="H52" s="138">
        <f t="shared" si="4"/>
        <v>0</v>
      </c>
      <c r="I52" s="99"/>
    </row>
  </sheetData>
  <mergeCells count="10">
    <mergeCell ref="B1:C1"/>
    <mergeCell ref="B2:C2"/>
    <mergeCell ref="B3:C3"/>
    <mergeCell ref="B4:C4"/>
    <mergeCell ref="B5:C5"/>
    <mergeCell ref="B24:C24"/>
    <mergeCell ref="B23:C23"/>
    <mergeCell ref="B6:C6"/>
    <mergeCell ref="B26:C26"/>
    <mergeCell ref="B27:C27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8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176</v>
      </c>
      <c r="B2" s="31">
        <v>43555.865243055552</v>
      </c>
      <c r="C2" s="30" t="s">
        <v>134</v>
      </c>
      <c r="D2" s="30" t="s">
        <v>135</v>
      </c>
      <c r="E2" s="30" t="s">
        <v>177</v>
      </c>
    </row>
    <row r="3" spans="1:10" x14ac:dyDescent="0.4">
      <c r="A3" s="30" t="s">
        <v>178</v>
      </c>
      <c r="B3" s="31">
        <v>43557.861886574072</v>
      </c>
      <c r="C3" s="30" t="s">
        <v>134</v>
      </c>
      <c r="D3" s="30" t="s">
        <v>135</v>
      </c>
      <c r="E3" s="30" t="s">
        <v>177</v>
      </c>
      <c r="F3" s="30" t="s">
        <v>182</v>
      </c>
      <c r="G3" s="30" t="s">
        <v>183</v>
      </c>
    </row>
    <row r="4" spans="1:10" x14ac:dyDescent="0.4">
      <c r="A4" s="30" t="s">
        <v>184</v>
      </c>
      <c r="B4" s="31">
        <v>43559.023634259262</v>
      </c>
      <c r="C4" s="30" t="s">
        <v>134</v>
      </c>
      <c r="D4" s="30" t="s">
        <v>135</v>
      </c>
      <c r="E4" s="30" t="s">
        <v>177</v>
      </c>
    </row>
    <row r="5" spans="1:10" x14ac:dyDescent="0.4">
      <c r="A5" s="30" t="s">
        <v>186</v>
      </c>
      <c r="B5" s="31">
        <v>43560.077002314814</v>
      </c>
      <c r="C5" s="30" t="s">
        <v>134</v>
      </c>
      <c r="D5" s="30" t="s">
        <v>135</v>
      </c>
      <c r="E5" s="30" t="s">
        <v>177</v>
      </c>
      <c r="F5" s="30" t="s">
        <v>182</v>
      </c>
    </row>
    <row r="6" spans="1:10" x14ac:dyDescent="0.4">
      <c r="A6" s="30" t="s">
        <v>187</v>
      </c>
      <c r="B6" s="31">
        <v>43561.108229166668</v>
      </c>
      <c r="C6" s="30" t="s">
        <v>134</v>
      </c>
      <c r="D6" s="30" t="s">
        <v>135</v>
      </c>
      <c r="E6" s="30" t="s">
        <v>177</v>
      </c>
      <c r="F6" s="30" t="s">
        <v>182</v>
      </c>
      <c r="G6" s="30" t="s">
        <v>183</v>
      </c>
    </row>
    <row r="7" spans="1:10" x14ac:dyDescent="0.4">
      <c r="A7" s="30" t="s">
        <v>192</v>
      </c>
      <c r="B7" s="31">
        <v>43562.38486111111</v>
      </c>
      <c r="C7" s="30" t="s">
        <v>134</v>
      </c>
      <c r="D7" s="30" t="s">
        <v>135</v>
      </c>
      <c r="E7" s="30" t="s">
        <v>177</v>
      </c>
      <c r="F7" s="30" t="s">
        <v>182</v>
      </c>
      <c r="G7" s="30" t="s">
        <v>183</v>
      </c>
      <c r="H7" s="30" t="s">
        <v>195</v>
      </c>
      <c r="I7" s="30" t="s">
        <v>196</v>
      </c>
      <c r="J7" s="30" t="s">
        <v>197</v>
      </c>
    </row>
    <row r="8" spans="1:10" x14ac:dyDescent="0.4">
      <c r="A8" s="30" t="s">
        <v>198</v>
      </c>
      <c r="B8" s="31">
        <v>43562.70113425926</v>
      </c>
      <c r="C8" s="30" t="s">
        <v>134</v>
      </c>
      <c r="D8" s="30" t="s">
        <v>135</v>
      </c>
      <c r="E8" s="30" t="s">
        <v>177</v>
      </c>
      <c r="F8" s="30" t="s">
        <v>182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0"/>
  <sheetViews>
    <sheetView workbookViewId="0"/>
  </sheetViews>
  <sheetFormatPr defaultRowHeight="18.75" x14ac:dyDescent="0.4"/>
  <sheetData>
    <row r="1" spans="1:1" x14ac:dyDescent="0.4">
      <c r="A1" t="s">
        <v>149</v>
      </c>
    </row>
    <row r="2" spans="1:1" x14ac:dyDescent="0.4">
      <c r="A2" t="s">
        <v>131</v>
      </c>
    </row>
    <row r="3" spans="1:1" x14ac:dyDescent="0.4">
      <c r="A3" t="s">
        <v>132</v>
      </c>
    </row>
    <row r="4" spans="1:1" x14ac:dyDescent="0.4">
      <c r="A4" t="s">
        <v>133</v>
      </c>
    </row>
    <row r="5" spans="1:1" x14ac:dyDescent="0.4">
      <c r="A5" t="s">
        <v>179</v>
      </c>
    </row>
    <row r="6" spans="1:1" x14ac:dyDescent="0.4">
      <c r="A6" t="s">
        <v>180</v>
      </c>
    </row>
    <row r="7" spans="1:1" x14ac:dyDescent="0.4">
      <c r="A7" t="s">
        <v>181</v>
      </c>
    </row>
    <row r="8" spans="1:1" x14ac:dyDescent="0.4">
      <c r="A8" t="s">
        <v>185</v>
      </c>
    </row>
    <row r="9" spans="1:1" x14ac:dyDescent="0.4">
      <c r="A9" t="s">
        <v>193</v>
      </c>
    </row>
    <row r="10" spans="1:1" x14ac:dyDescent="0.4">
      <c r="A10" t="s">
        <v>194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O12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84" customWidth="1"/>
    <col min="2" max="2" width="10.75" style="85" customWidth="1"/>
    <col min="3" max="3" width="10.75" style="86" customWidth="1"/>
    <col min="4" max="4" width="10.75" style="87" customWidth="1"/>
    <col min="5" max="5" width="10.75" style="101" customWidth="1"/>
    <col min="6" max="6" width="10.75" style="87" customWidth="1"/>
    <col min="7" max="7" width="10.75" style="88" customWidth="1"/>
    <col min="8" max="8" width="10.75" style="87" customWidth="1"/>
    <col min="9" max="9" width="10.75" style="89" customWidth="1"/>
    <col min="10" max="10" width="10.75" style="87" customWidth="1"/>
    <col min="11" max="11" width="10.75" style="89" customWidth="1"/>
    <col min="12" max="12" width="10.75" style="87" customWidth="1"/>
    <col min="13" max="13" width="10.75" style="90" customWidth="1"/>
    <col min="14" max="14" width="10.75" style="87" customWidth="1"/>
    <col min="15" max="15" width="10.75" style="90" customWidth="1"/>
    <col min="16" max="16" width="10.75" style="87" customWidth="1"/>
    <col min="17" max="17" width="10.75" style="91" customWidth="1"/>
    <col min="18" max="18" width="10.75" style="87" customWidth="1"/>
    <col min="19" max="19" width="10.75" style="91" customWidth="1"/>
    <col min="20" max="20" width="10.75" style="87" customWidth="1"/>
    <col min="21" max="21" width="10.75" style="89" customWidth="1"/>
    <col min="22" max="22" width="10.75" style="87" customWidth="1"/>
    <col min="23" max="23" width="10.75" style="89" customWidth="1"/>
    <col min="24" max="24" width="10.75" style="87" customWidth="1"/>
    <col min="25" max="25" width="10.75" style="89" customWidth="1"/>
    <col min="26" max="26" width="10.75" style="87" customWidth="1"/>
    <col min="27" max="27" width="10.75" style="90" customWidth="1"/>
    <col min="28" max="28" width="10.75" style="87" customWidth="1"/>
    <col min="29" max="29" width="10.75" style="90" customWidth="1"/>
    <col min="30" max="30" width="10.75" style="87" customWidth="1"/>
    <col min="31" max="31" width="10.75" style="90" customWidth="1"/>
    <col min="32" max="32" width="10.75" style="87" customWidth="1"/>
    <col min="33" max="33" width="10.75" style="90" customWidth="1"/>
    <col min="34" max="34" width="10.75" style="87" customWidth="1"/>
    <col min="35" max="35" width="10.75" style="90" customWidth="1"/>
    <col min="36" max="36" width="10.75" style="87" customWidth="1"/>
    <col min="37" max="37" width="10.75" style="92" customWidth="1"/>
    <col min="38" max="38" width="10.75" style="87" customWidth="1"/>
    <col min="39" max="39" width="10.75" style="96" customWidth="1"/>
    <col min="40" max="40" width="10.75" style="87" customWidth="1"/>
    <col min="41" max="41" width="10.75" style="93" customWidth="1"/>
    <col min="42" max="16384" width="9" style="73"/>
  </cols>
  <sheetData>
    <row r="1" spans="1:41" x14ac:dyDescent="0.4">
      <c r="A1" s="72"/>
      <c r="B1" s="159" t="s">
        <v>6</v>
      </c>
      <c r="C1" s="160"/>
      <c r="D1" s="159" t="s">
        <v>7</v>
      </c>
      <c r="E1" s="160"/>
      <c r="F1" s="159" t="s">
        <v>16</v>
      </c>
      <c r="G1" s="160"/>
      <c r="H1" s="159" t="s">
        <v>15</v>
      </c>
      <c r="I1" s="160"/>
      <c r="J1" s="159" t="s">
        <v>169</v>
      </c>
      <c r="K1" s="160"/>
      <c r="L1" s="159" t="s">
        <v>153</v>
      </c>
      <c r="M1" s="160"/>
      <c r="N1" s="159" t="s">
        <v>154</v>
      </c>
      <c r="O1" s="160"/>
      <c r="P1" s="159" t="s">
        <v>5</v>
      </c>
      <c r="Q1" s="160"/>
      <c r="R1" s="159" t="s">
        <v>17</v>
      </c>
      <c r="S1" s="160"/>
      <c r="T1" s="159" t="s">
        <v>18</v>
      </c>
      <c r="U1" s="160"/>
      <c r="V1" s="159" t="s">
        <v>145</v>
      </c>
      <c r="W1" s="160"/>
      <c r="X1" s="159" t="s">
        <v>167</v>
      </c>
      <c r="Y1" s="160"/>
      <c r="Z1" s="159" t="s">
        <v>127</v>
      </c>
      <c r="AA1" s="160"/>
      <c r="AB1" s="159" t="s">
        <v>122</v>
      </c>
      <c r="AC1" s="160"/>
      <c r="AD1" s="159" t="s">
        <v>130</v>
      </c>
      <c r="AE1" s="160"/>
      <c r="AF1" s="159" t="s">
        <v>155</v>
      </c>
      <c r="AG1" s="160"/>
      <c r="AH1" s="159" t="s">
        <v>148</v>
      </c>
      <c r="AI1" s="160"/>
      <c r="AJ1" s="159" t="s">
        <v>156</v>
      </c>
      <c r="AK1" s="160"/>
      <c r="AL1" s="159" t="s">
        <v>158</v>
      </c>
      <c r="AM1" s="160"/>
      <c r="AN1" s="159" t="s">
        <v>170</v>
      </c>
      <c r="AO1" s="160"/>
    </row>
    <row r="2" spans="1:41" x14ac:dyDescent="0.4">
      <c r="A2" s="72" t="s">
        <v>168</v>
      </c>
      <c r="B2" s="161"/>
      <c r="C2" s="162"/>
      <c r="D2" s="161"/>
      <c r="E2" s="162"/>
      <c r="F2" s="163">
        <v>0.99909267156203863</v>
      </c>
      <c r="G2" s="164"/>
      <c r="H2" s="163">
        <v>0.98676805845857685</v>
      </c>
      <c r="I2" s="164"/>
      <c r="J2" s="163">
        <v>0.99039726195754529</v>
      </c>
      <c r="K2" s="164"/>
      <c r="L2" s="163">
        <v>0.7442430850755134</v>
      </c>
      <c r="M2" s="164"/>
      <c r="N2" s="163">
        <v>0.77393618587129054</v>
      </c>
      <c r="O2" s="164"/>
      <c r="P2" s="163">
        <v>0.85817278372228001</v>
      </c>
      <c r="Q2" s="164"/>
      <c r="R2" s="163">
        <v>0.90479652692122714</v>
      </c>
      <c r="S2" s="164"/>
      <c r="T2" s="163">
        <v>0.8323806055669245</v>
      </c>
      <c r="U2" s="164"/>
      <c r="V2" s="163">
        <v>0.97850172819086212</v>
      </c>
      <c r="W2" s="164"/>
      <c r="X2" s="163">
        <v>0.97850172819086212</v>
      </c>
      <c r="Y2" s="164"/>
      <c r="Z2" s="163">
        <v>0.98885470221575711</v>
      </c>
      <c r="AA2" s="164"/>
      <c r="AB2" s="163">
        <v>-0.29268824097126955</v>
      </c>
      <c r="AC2" s="164"/>
      <c r="AD2" s="163">
        <v>0.73870306537914732</v>
      </c>
      <c r="AE2" s="164"/>
      <c r="AF2" s="163">
        <v>0.41019735832119175</v>
      </c>
      <c r="AG2" s="164"/>
      <c r="AH2" s="163">
        <v>-0.68160203201820946</v>
      </c>
      <c r="AI2" s="164"/>
      <c r="AJ2" s="163">
        <v>-0.76650322600166121</v>
      </c>
      <c r="AK2" s="164"/>
      <c r="AL2" s="163">
        <v>0.99624789038153261</v>
      </c>
      <c r="AM2" s="164"/>
      <c r="AN2" s="163">
        <v>0.27588298274551099</v>
      </c>
      <c r="AO2" s="164"/>
    </row>
    <row r="3" spans="1:41" x14ac:dyDescent="0.4">
      <c r="A3" s="74">
        <v>1</v>
      </c>
      <c r="B3" s="75" t="s">
        <v>131</v>
      </c>
      <c r="C3" s="76">
        <v>405.40000000000003</v>
      </c>
      <c r="D3" s="77" t="s">
        <v>131</v>
      </c>
      <c r="E3" s="100">
        <v>21.336842105263159</v>
      </c>
      <c r="F3" s="77" t="s">
        <v>193</v>
      </c>
      <c r="G3" s="78">
        <v>1.3333333333333333</v>
      </c>
      <c r="H3" s="77" t="s">
        <v>193</v>
      </c>
      <c r="I3" s="79">
        <v>0.66666666666666663</v>
      </c>
      <c r="J3" s="77" t="s">
        <v>193</v>
      </c>
      <c r="K3" s="79">
        <v>0</v>
      </c>
      <c r="L3" s="77" t="s">
        <v>131</v>
      </c>
      <c r="M3" s="80">
        <v>0.42483660130718953</v>
      </c>
      <c r="N3" s="77" t="s">
        <v>193</v>
      </c>
      <c r="O3" s="80">
        <v>0.10526315789473684</v>
      </c>
      <c r="P3" s="77" t="s">
        <v>132</v>
      </c>
      <c r="Q3" s="81">
        <v>8312.5</v>
      </c>
      <c r="R3" s="77" t="s">
        <v>193</v>
      </c>
      <c r="S3" s="81">
        <v>-5150</v>
      </c>
      <c r="T3" s="77" t="s">
        <v>132</v>
      </c>
      <c r="U3" s="79">
        <v>0</v>
      </c>
      <c r="V3" s="77" t="s">
        <v>131</v>
      </c>
      <c r="W3" s="79">
        <v>0.10526315789473684</v>
      </c>
      <c r="X3" s="77" t="s">
        <v>131</v>
      </c>
      <c r="Y3" s="79">
        <v>0.21052631578947367</v>
      </c>
      <c r="Z3" s="77" t="s">
        <v>131</v>
      </c>
      <c r="AA3" s="80">
        <v>0.36601307189542481</v>
      </c>
      <c r="AB3" s="77" t="s">
        <v>180</v>
      </c>
      <c r="AC3" s="80">
        <v>0.34426229508196721</v>
      </c>
      <c r="AD3" s="77" t="s">
        <v>194</v>
      </c>
      <c r="AE3" s="80">
        <v>1</v>
      </c>
      <c r="AF3" s="77" t="s">
        <v>194</v>
      </c>
      <c r="AG3" s="80">
        <v>1</v>
      </c>
      <c r="AH3" s="77" t="s">
        <v>194</v>
      </c>
      <c r="AI3" s="80">
        <v>0.66666666666666663</v>
      </c>
      <c r="AJ3" s="77" t="s">
        <v>149</v>
      </c>
      <c r="AK3" s="82">
        <v>7</v>
      </c>
      <c r="AL3" s="77" t="s">
        <v>131</v>
      </c>
      <c r="AM3" s="95">
        <v>105900</v>
      </c>
      <c r="AN3" s="77" t="s">
        <v>149</v>
      </c>
      <c r="AO3" s="83">
        <v>5</v>
      </c>
    </row>
    <row r="4" spans="1:41" x14ac:dyDescent="0.4">
      <c r="A4" s="84">
        <v>2</v>
      </c>
      <c r="B4" s="85" t="s">
        <v>132</v>
      </c>
      <c r="C4" s="86">
        <v>164.49999999999997</v>
      </c>
      <c r="D4" s="87" t="s">
        <v>193</v>
      </c>
      <c r="E4" s="101">
        <v>20.333333333333332</v>
      </c>
      <c r="F4" s="87" t="s">
        <v>131</v>
      </c>
      <c r="G4" s="88">
        <v>1.631578947368421</v>
      </c>
      <c r="H4" s="87" t="s">
        <v>131</v>
      </c>
      <c r="I4" s="89">
        <v>0.52631578947368418</v>
      </c>
      <c r="J4" s="87" t="s">
        <v>131</v>
      </c>
      <c r="K4" s="89">
        <v>0.15789473684210525</v>
      </c>
      <c r="L4" s="87" t="s">
        <v>132</v>
      </c>
      <c r="M4" s="90">
        <v>0.31638418079096048</v>
      </c>
      <c r="N4" s="87" t="s">
        <v>132</v>
      </c>
      <c r="O4" s="90">
        <v>0.16384180790960451</v>
      </c>
      <c r="P4" s="87" t="s">
        <v>179</v>
      </c>
      <c r="Q4" s="91">
        <v>7875.6756756756758</v>
      </c>
      <c r="R4" s="87" t="s">
        <v>185</v>
      </c>
      <c r="S4" s="91">
        <v>-5400</v>
      </c>
      <c r="T4" s="87" t="s">
        <v>180</v>
      </c>
      <c r="U4" s="89">
        <v>0</v>
      </c>
      <c r="V4" s="87" t="s">
        <v>132</v>
      </c>
      <c r="W4" s="89">
        <v>0.1</v>
      </c>
      <c r="X4" s="87" t="s">
        <v>132</v>
      </c>
      <c r="Y4" s="89">
        <v>0.2</v>
      </c>
      <c r="Z4" s="87" t="s">
        <v>132</v>
      </c>
      <c r="AA4" s="90">
        <v>0.3413173652694611</v>
      </c>
      <c r="AB4" s="87" t="s">
        <v>181</v>
      </c>
      <c r="AC4" s="90">
        <v>0.27956989247311825</v>
      </c>
      <c r="AD4" s="87" t="s">
        <v>185</v>
      </c>
      <c r="AE4" s="90">
        <v>0.66666666666666663</v>
      </c>
      <c r="AF4" s="87" t="s">
        <v>131</v>
      </c>
      <c r="AG4" s="90">
        <v>0.5714285714285714</v>
      </c>
      <c r="AH4" s="87" t="s">
        <v>181</v>
      </c>
      <c r="AI4" s="90">
        <v>0.5</v>
      </c>
      <c r="AJ4" s="87" t="s">
        <v>133</v>
      </c>
      <c r="AK4" s="92">
        <v>7</v>
      </c>
      <c r="AL4" s="87" t="s">
        <v>149</v>
      </c>
      <c r="AM4" s="96">
        <v>105900</v>
      </c>
      <c r="AN4" s="87" t="s">
        <v>132</v>
      </c>
      <c r="AO4" s="93">
        <v>4</v>
      </c>
    </row>
    <row r="5" spans="1:41" x14ac:dyDescent="0.4">
      <c r="A5" s="84">
        <v>3</v>
      </c>
      <c r="B5" s="85" t="s">
        <v>193</v>
      </c>
      <c r="C5" s="86">
        <v>61</v>
      </c>
      <c r="D5" s="87" t="s">
        <v>132</v>
      </c>
      <c r="E5" s="101">
        <v>8.2249999999999979</v>
      </c>
      <c r="F5" s="87" t="s">
        <v>132</v>
      </c>
      <c r="G5" s="88">
        <v>1.85</v>
      </c>
      <c r="H5" s="87" t="s">
        <v>132</v>
      </c>
      <c r="I5" s="89">
        <v>0.45</v>
      </c>
      <c r="J5" s="87" t="s">
        <v>180</v>
      </c>
      <c r="K5" s="89">
        <v>0.25</v>
      </c>
      <c r="L5" s="87" t="s">
        <v>185</v>
      </c>
      <c r="M5" s="90">
        <v>0.31111111111111112</v>
      </c>
      <c r="N5" s="87" t="s">
        <v>180</v>
      </c>
      <c r="O5" s="90">
        <v>0.16393442622950818</v>
      </c>
      <c r="P5" s="87" t="s">
        <v>193</v>
      </c>
      <c r="Q5" s="91">
        <v>7860</v>
      </c>
      <c r="R5" s="87" t="s">
        <v>194</v>
      </c>
      <c r="S5" s="91">
        <v>-6940</v>
      </c>
      <c r="T5" s="87" t="s">
        <v>185</v>
      </c>
      <c r="U5" s="89">
        <v>0</v>
      </c>
      <c r="V5" s="87" t="s">
        <v>179</v>
      </c>
      <c r="W5" s="89">
        <v>5.5555555555555552E-2</v>
      </c>
      <c r="X5" s="87" t="s">
        <v>185</v>
      </c>
      <c r="Y5" s="89">
        <v>0.16666666666666666</v>
      </c>
      <c r="Z5" s="87" t="s">
        <v>149</v>
      </c>
      <c r="AA5" s="90">
        <v>0.27648578811369506</v>
      </c>
      <c r="AB5" s="87" t="s">
        <v>131</v>
      </c>
      <c r="AC5" s="90">
        <v>0.27450980392156865</v>
      </c>
      <c r="AD5" s="87" t="s">
        <v>180</v>
      </c>
      <c r="AE5" s="90">
        <v>0.63636363636363635</v>
      </c>
      <c r="AF5" s="87" t="s">
        <v>193</v>
      </c>
      <c r="AG5" s="90">
        <v>0.5</v>
      </c>
      <c r="AH5" s="87" t="s">
        <v>132</v>
      </c>
      <c r="AI5" s="90">
        <v>0.375</v>
      </c>
      <c r="AJ5" s="87" t="s">
        <v>181</v>
      </c>
      <c r="AK5" s="92">
        <v>6</v>
      </c>
      <c r="AL5" s="87" t="s">
        <v>132</v>
      </c>
      <c r="AM5" s="96">
        <v>88600</v>
      </c>
      <c r="AN5" s="87" t="s">
        <v>179</v>
      </c>
      <c r="AO5" s="93">
        <v>1</v>
      </c>
    </row>
    <row r="6" spans="1:41" x14ac:dyDescent="0.4">
      <c r="A6" s="84">
        <v>4</v>
      </c>
      <c r="B6" s="85" t="s">
        <v>185</v>
      </c>
      <c r="C6" s="86">
        <v>3.8999999999999986</v>
      </c>
      <c r="D6" s="87" t="s">
        <v>185</v>
      </c>
      <c r="E6" s="101">
        <v>0.6499999999999998</v>
      </c>
      <c r="F6" s="87" t="s">
        <v>149</v>
      </c>
      <c r="G6" s="88">
        <v>2</v>
      </c>
      <c r="H6" s="87" t="s">
        <v>179</v>
      </c>
      <c r="I6" s="89">
        <v>0.33333333333333331</v>
      </c>
      <c r="J6" s="87" t="s">
        <v>132</v>
      </c>
      <c r="K6" s="89">
        <v>0.3</v>
      </c>
      <c r="L6" s="87" t="s">
        <v>149</v>
      </c>
      <c r="M6" s="90">
        <v>0.30348258706467662</v>
      </c>
      <c r="N6" s="87" t="s">
        <v>179</v>
      </c>
      <c r="O6" s="90">
        <v>0.17948717948717949</v>
      </c>
      <c r="P6" s="87" t="s">
        <v>131</v>
      </c>
      <c r="Q6" s="91">
        <v>7787.6923076923076</v>
      </c>
      <c r="R6" s="87" t="s">
        <v>180</v>
      </c>
      <c r="S6" s="91">
        <v>-7190</v>
      </c>
      <c r="T6" s="87" t="s">
        <v>193</v>
      </c>
      <c r="U6" s="89">
        <v>0</v>
      </c>
      <c r="V6" s="87" t="s">
        <v>149</v>
      </c>
      <c r="W6" s="89">
        <v>5.2083333333333336E-2</v>
      </c>
      <c r="X6" s="87" t="s">
        <v>149</v>
      </c>
      <c r="Y6" s="89">
        <v>0.125</v>
      </c>
      <c r="Z6" s="87" t="s">
        <v>179</v>
      </c>
      <c r="AA6" s="90">
        <v>0.27397260273972601</v>
      </c>
      <c r="AB6" s="87" t="s">
        <v>185</v>
      </c>
      <c r="AC6" s="90">
        <v>0.26666666666666666</v>
      </c>
      <c r="AD6" s="87" t="s">
        <v>132</v>
      </c>
      <c r="AE6" s="90">
        <v>0.63157894736842102</v>
      </c>
      <c r="AF6" s="87" t="s">
        <v>149</v>
      </c>
      <c r="AG6" s="90">
        <v>0.39444444444444443</v>
      </c>
      <c r="AH6" s="87" t="s">
        <v>149</v>
      </c>
      <c r="AI6" s="90">
        <v>0.36065573770491804</v>
      </c>
      <c r="AJ6" s="87" t="s">
        <v>132</v>
      </c>
      <c r="AK6" s="92">
        <v>5</v>
      </c>
      <c r="AL6" s="87" t="s">
        <v>185</v>
      </c>
      <c r="AM6" s="96">
        <v>65000</v>
      </c>
      <c r="AN6" s="87" t="s">
        <v>131</v>
      </c>
      <c r="AO6" s="93">
        <v>0</v>
      </c>
    </row>
    <row r="7" spans="1:41" x14ac:dyDescent="0.4">
      <c r="A7" s="84">
        <v>5</v>
      </c>
      <c r="B7" s="85" t="s">
        <v>149</v>
      </c>
      <c r="C7" s="86">
        <v>6.6613381477509392E-16</v>
      </c>
      <c r="D7" s="87" t="s">
        <v>149</v>
      </c>
      <c r="E7" s="101">
        <v>6.9388939039072284E-18</v>
      </c>
      <c r="F7" s="87" t="s">
        <v>185</v>
      </c>
      <c r="G7" s="88">
        <v>2</v>
      </c>
      <c r="H7" s="87" t="s">
        <v>149</v>
      </c>
      <c r="I7" s="89">
        <v>0.33333333333333331</v>
      </c>
      <c r="J7" s="87" t="s">
        <v>149</v>
      </c>
      <c r="K7" s="89">
        <v>0.33333333333333331</v>
      </c>
      <c r="L7" s="87" t="s">
        <v>180</v>
      </c>
      <c r="M7" s="90">
        <v>0.27868852459016391</v>
      </c>
      <c r="N7" s="87" t="s">
        <v>131</v>
      </c>
      <c r="O7" s="90">
        <v>0.18954248366013071</v>
      </c>
      <c r="P7" s="87" t="s">
        <v>133</v>
      </c>
      <c r="Q7" s="91">
        <v>7710.5263157894733</v>
      </c>
      <c r="R7" s="87" t="s">
        <v>132</v>
      </c>
      <c r="S7" s="91">
        <v>-7475.8620689655172</v>
      </c>
      <c r="T7" s="87" t="s">
        <v>194</v>
      </c>
      <c r="U7" s="89">
        <v>0</v>
      </c>
      <c r="V7" s="87" t="s">
        <v>181</v>
      </c>
      <c r="W7" s="89">
        <v>0</v>
      </c>
      <c r="X7" s="87" t="s">
        <v>179</v>
      </c>
      <c r="Y7" s="89">
        <v>0.1111111111111111</v>
      </c>
      <c r="Z7" s="87" t="s">
        <v>185</v>
      </c>
      <c r="AA7" s="90">
        <v>0.26666666666666666</v>
      </c>
      <c r="AB7" s="87" t="s">
        <v>179</v>
      </c>
      <c r="AC7" s="90">
        <v>0.23287671232876711</v>
      </c>
      <c r="AD7" s="87" t="s">
        <v>193</v>
      </c>
      <c r="AE7" s="90">
        <v>0.6</v>
      </c>
      <c r="AF7" s="87" t="s">
        <v>181</v>
      </c>
      <c r="AG7" s="90">
        <v>0.38461538461538464</v>
      </c>
      <c r="AH7" s="87" t="s">
        <v>131</v>
      </c>
      <c r="AI7" s="90">
        <v>0.35384615384615387</v>
      </c>
      <c r="AJ7" s="87" t="s">
        <v>131</v>
      </c>
      <c r="AK7" s="92">
        <v>4</v>
      </c>
      <c r="AL7" s="87" t="s">
        <v>179</v>
      </c>
      <c r="AM7" s="96">
        <v>64600</v>
      </c>
      <c r="AN7" s="87" t="s">
        <v>181</v>
      </c>
      <c r="AO7" s="93">
        <v>0</v>
      </c>
    </row>
    <row r="8" spans="1:41" x14ac:dyDescent="0.4">
      <c r="A8" s="84">
        <v>6</v>
      </c>
      <c r="B8" s="85" t="s">
        <v>180</v>
      </c>
      <c r="C8" s="86">
        <v>-29.5</v>
      </c>
      <c r="D8" s="87" t="s">
        <v>180</v>
      </c>
      <c r="E8" s="101">
        <v>-3.6875</v>
      </c>
      <c r="F8" s="87" t="s">
        <v>179</v>
      </c>
      <c r="G8" s="88">
        <v>2.0555555555555554</v>
      </c>
      <c r="H8" s="87" t="s">
        <v>185</v>
      </c>
      <c r="I8" s="89">
        <v>0.33333333333333331</v>
      </c>
      <c r="J8" s="87" t="s">
        <v>185</v>
      </c>
      <c r="K8" s="89">
        <v>0.33333333333333331</v>
      </c>
      <c r="L8" s="87" t="s">
        <v>181</v>
      </c>
      <c r="M8" s="90">
        <v>0.27184466019417475</v>
      </c>
      <c r="N8" s="87" t="s">
        <v>149</v>
      </c>
      <c r="O8" s="90">
        <v>0.1927860696517413</v>
      </c>
      <c r="P8" s="87" t="s">
        <v>149</v>
      </c>
      <c r="Q8" s="91">
        <v>7275.4098360655735</v>
      </c>
      <c r="R8" s="87" t="s">
        <v>131</v>
      </c>
      <c r="S8" s="91">
        <v>-7658.6206896551721</v>
      </c>
      <c r="T8" s="87" t="s">
        <v>149</v>
      </c>
      <c r="U8" s="89">
        <v>5.2083333333333336E-2</v>
      </c>
      <c r="V8" s="87" t="s">
        <v>133</v>
      </c>
      <c r="W8" s="89">
        <v>0</v>
      </c>
      <c r="X8" s="87" t="s">
        <v>133</v>
      </c>
      <c r="Y8" s="89">
        <v>0.1111111111111111</v>
      </c>
      <c r="Z8" s="87" t="s">
        <v>193</v>
      </c>
      <c r="AA8" s="90">
        <v>0.26315789473684209</v>
      </c>
      <c r="AB8" s="87" t="s">
        <v>149</v>
      </c>
      <c r="AC8" s="90">
        <v>0.23255813953488372</v>
      </c>
      <c r="AD8" s="87" t="s">
        <v>149</v>
      </c>
      <c r="AE8" s="90">
        <v>0.56542056074766356</v>
      </c>
      <c r="AF8" s="87" t="s">
        <v>133</v>
      </c>
      <c r="AG8" s="90">
        <v>0.375</v>
      </c>
      <c r="AH8" s="87" t="s">
        <v>180</v>
      </c>
      <c r="AI8" s="90">
        <v>0.35294117647058826</v>
      </c>
      <c r="AJ8" s="87" t="s">
        <v>179</v>
      </c>
      <c r="AK8" s="92">
        <v>4</v>
      </c>
      <c r="AL8" s="87" t="s">
        <v>193</v>
      </c>
      <c r="AM8" s="96">
        <v>53500</v>
      </c>
      <c r="AN8" s="87" t="s">
        <v>133</v>
      </c>
      <c r="AO8" s="93">
        <v>0</v>
      </c>
    </row>
    <row r="9" spans="1:41" x14ac:dyDescent="0.4">
      <c r="A9" s="84">
        <v>7</v>
      </c>
      <c r="B9" s="85" t="s">
        <v>179</v>
      </c>
      <c r="C9" s="86">
        <v>-76.099999999999994</v>
      </c>
      <c r="D9" s="87" t="s">
        <v>179</v>
      </c>
      <c r="E9" s="101">
        <v>-4.2277777777777779</v>
      </c>
      <c r="F9" s="87" t="s">
        <v>180</v>
      </c>
      <c r="G9" s="88">
        <v>2.125</v>
      </c>
      <c r="H9" s="87" t="s">
        <v>133</v>
      </c>
      <c r="I9" s="89">
        <v>0.22222222222222221</v>
      </c>
      <c r="J9" s="87" t="s">
        <v>179</v>
      </c>
      <c r="K9" s="89">
        <v>0.3888888888888889</v>
      </c>
      <c r="L9" s="87" t="s">
        <v>193</v>
      </c>
      <c r="M9" s="90">
        <v>0.26315789473684209</v>
      </c>
      <c r="N9" s="87" t="s">
        <v>185</v>
      </c>
      <c r="O9" s="90">
        <v>0.2</v>
      </c>
      <c r="P9" s="87" t="s">
        <v>185</v>
      </c>
      <c r="Q9" s="91">
        <v>6414.2857142857147</v>
      </c>
      <c r="R9" s="87" t="s">
        <v>179</v>
      </c>
      <c r="S9" s="91">
        <v>-7839.2857142857147</v>
      </c>
      <c r="T9" s="87" t="s">
        <v>131</v>
      </c>
      <c r="U9" s="89">
        <v>5.2631578947368418E-2</v>
      </c>
      <c r="V9" s="87" t="s">
        <v>180</v>
      </c>
      <c r="W9" s="89">
        <v>0</v>
      </c>
      <c r="X9" s="87" t="s">
        <v>181</v>
      </c>
      <c r="Y9" s="89">
        <v>0</v>
      </c>
      <c r="Z9" s="87" t="s">
        <v>133</v>
      </c>
      <c r="AA9" s="90">
        <v>0.24</v>
      </c>
      <c r="AB9" s="87" t="s">
        <v>193</v>
      </c>
      <c r="AC9" s="90">
        <v>0.21052631578947367</v>
      </c>
      <c r="AD9" s="87" t="s">
        <v>133</v>
      </c>
      <c r="AE9" s="90">
        <v>0.55555555555555558</v>
      </c>
      <c r="AF9" s="87" t="s">
        <v>180</v>
      </c>
      <c r="AG9" s="90">
        <v>0.33333333333333331</v>
      </c>
      <c r="AH9" s="87" t="s">
        <v>133</v>
      </c>
      <c r="AI9" s="90">
        <v>0.31578947368421051</v>
      </c>
      <c r="AJ9" s="87" t="s">
        <v>185</v>
      </c>
      <c r="AK9" s="92">
        <v>4</v>
      </c>
      <c r="AL9" s="87" t="s">
        <v>133</v>
      </c>
      <c r="AM9" s="96">
        <v>52200</v>
      </c>
      <c r="AN9" s="87" t="s">
        <v>180</v>
      </c>
      <c r="AO9" s="93">
        <v>0</v>
      </c>
    </row>
    <row r="10" spans="1:41" x14ac:dyDescent="0.4">
      <c r="A10" s="84">
        <v>8</v>
      </c>
      <c r="B10" s="85" t="s">
        <v>194</v>
      </c>
      <c r="C10" s="86">
        <v>-76.2</v>
      </c>
      <c r="D10" s="87" t="s">
        <v>133</v>
      </c>
      <c r="E10" s="101">
        <v>-14.177777777777777</v>
      </c>
      <c r="F10" s="87" t="s">
        <v>133</v>
      </c>
      <c r="G10" s="88">
        <v>2.2222222222222223</v>
      </c>
      <c r="H10" s="87" t="s">
        <v>180</v>
      </c>
      <c r="I10" s="89">
        <v>0.125</v>
      </c>
      <c r="J10" s="87" t="s">
        <v>133</v>
      </c>
      <c r="K10" s="89">
        <v>0.44444444444444442</v>
      </c>
      <c r="L10" s="87" t="s">
        <v>133</v>
      </c>
      <c r="M10" s="90">
        <v>0.25333333333333335</v>
      </c>
      <c r="N10" s="87" t="s">
        <v>133</v>
      </c>
      <c r="O10" s="90">
        <v>0.24</v>
      </c>
      <c r="P10" s="87" t="s">
        <v>180</v>
      </c>
      <c r="Q10" s="91">
        <v>5858.8235294117649</v>
      </c>
      <c r="R10" s="87" t="s">
        <v>149</v>
      </c>
      <c r="S10" s="91">
        <v>-7873.5483870967746</v>
      </c>
      <c r="T10" s="87" t="s">
        <v>179</v>
      </c>
      <c r="U10" s="89">
        <v>5.5555555555555552E-2</v>
      </c>
      <c r="V10" s="87" t="s">
        <v>185</v>
      </c>
      <c r="W10" s="89">
        <v>0</v>
      </c>
      <c r="X10" s="87" t="s">
        <v>180</v>
      </c>
      <c r="Y10" s="89">
        <v>0</v>
      </c>
      <c r="Z10" s="87" t="s">
        <v>180</v>
      </c>
      <c r="AA10" s="90">
        <v>0.18032786885245902</v>
      </c>
      <c r="AB10" s="87" t="s">
        <v>132</v>
      </c>
      <c r="AC10" s="90">
        <v>0.19161676646706588</v>
      </c>
      <c r="AD10" s="87" t="s">
        <v>131</v>
      </c>
      <c r="AE10" s="90">
        <v>0.5357142857142857</v>
      </c>
      <c r="AF10" s="87" t="s">
        <v>185</v>
      </c>
      <c r="AG10" s="90">
        <v>0.33333333333333331</v>
      </c>
      <c r="AH10" s="87" t="s">
        <v>179</v>
      </c>
      <c r="AI10" s="90">
        <v>0.29729729729729731</v>
      </c>
      <c r="AJ10" s="87" t="s">
        <v>180</v>
      </c>
      <c r="AK10" s="92">
        <v>3</v>
      </c>
      <c r="AL10" s="87" t="s">
        <v>180</v>
      </c>
      <c r="AM10" s="96">
        <v>48100</v>
      </c>
      <c r="AN10" s="87" t="s">
        <v>185</v>
      </c>
      <c r="AO10" s="93">
        <v>0</v>
      </c>
    </row>
    <row r="11" spans="1:41" x14ac:dyDescent="0.4">
      <c r="A11" s="84">
        <v>9</v>
      </c>
      <c r="B11" s="85" t="s">
        <v>133</v>
      </c>
      <c r="C11" s="86">
        <v>-127.6</v>
      </c>
      <c r="D11" s="87" t="s">
        <v>181</v>
      </c>
      <c r="E11" s="101">
        <v>-29.581818181818178</v>
      </c>
      <c r="F11" s="87" t="s">
        <v>181</v>
      </c>
      <c r="G11" s="88">
        <v>2.5454545454545454</v>
      </c>
      <c r="H11" s="87" t="s">
        <v>181</v>
      </c>
      <c r="I11" s="89">
        <v>0</v>
      </c>
      <c r="J11" s="87" t="s">
        <v>181</v>
      </c>
      <c r="K11" s="89">
        <v>0.54545454545454541</v>
      </c>
      <c r="L11" s="87" t="s">
        <v>179</v>
      </c>
      <c r="M11" s="90">
        <v>0.23717948717948717</v>
      </c>
      <c r="N11" s="87" t="s">
        <v>181</v>
      </c>
      <c r="O11" s="90">
        <v>0.24271844660194175</v>
      </c>
      <c r="P11" s="87" t="s">
        <v>181</v>
      </c>
      <c r="Q11" s="91">
        <v>4528.5714285714284</v>
      </c>
      <c r="R11" s="87" t="s">
        <v>181</v>
      </c>
      <c r="S11" s="91">
        <v>-9204</v>
      </c>
      <c r="T11" s="87" t="s">
        <v>133</v>
      </c>
      <c r="U11" s="89">
        <v>0.1111111111111111</v>
      </c>
      <c r="V11" s="87" t="s">
        <v>193</v>
      </c>
      <c r="W11" s="89">
        <v>0</v>
      </c>
      <c r="X11" s="87" t="s">
        <v>193</v>
      </c>
      <c r="Y11" s="89">
        <v>0</v>
      </c>
      <c r="Z11" s="87" t="s">
        <v>181</v>
      </c>
      <c r="AA11" s="90">
        <v>0.15053763440860216</v>
      </c>
      <c r="AB11" s="87" t="s">
        <v>133</v>
      </c>
      <c r="AC11" s="90">
        <v>0.10666666666666667</v>
      </c>
      <c r="AD11" s="87" t="s">
        <v>179</v>
      </c>
      <c r="AE11" s="90">
        <v>0.5</v>
      </c>
      <c r="AF11" s="87" t="s">
        <v>179</v>
      </c>
      <c r="AG11" s="90">
        <v>0.3235294117647059</v>
      </c>
      <c r="AH11" s="87" t="s">
        <v>185</v>
      </c>
      <c r="AI11" s="90">
        <v>0.2857142857142857</v>
      </c>
      <c r="AJ11" s="87" t="s">
        <v>193</v>
      </c>
      <c r="AK11" s="92">
        <v>3</v>
      </c>
      <c r="AL11" s="87" t="s">
        <v>181</v>
      </c>
      <c r="AM11" s="96">
        <v>33400</v>
      </c>
      <c r="AN11" s="87" t="s">
        <v>193</v>
      </c>
      <c r="AO11" s="93">
        <v>0</v>
      </c>
    </row>
    <row r="12" spans="1:41" x14ac:dyDescent="0.4">
      <c r="A12" s="84">
        <v>10</v>
      </c>
      <c r="B12" s="85" t="s">
        <v>181</v>
      </c>
      <c r="C12" s="86">
        <v>-325.39999999999998</v>
      </c>
      <c r="D12" s="87" t="s">
        <v>194</v>
      </c>
      <c r="E12" s="101">
        <v>-38.1</v>
      </c>
      <c r="F12" s="87" t="s">
        <v>194</v>
      </c>
      <c r="G12" s="88">
        <v>3</v>
      </c>
      <c r="H12" s="87" t="s">
        <v>194</v>
      </c>
      <c r="I12" s="89">
        <v>0</v>
      </c>
      <c r="J12" s="87" t="s">
        <v>194</v>
      </c>
      <c r="K12" s="89">
        <v>1</v>
      </c>
      <c r="L12" s="87" t="s">
        <v>194</v>
      </c>
      <c r="M12" s="90">
        <v>0.2</v>
      </c>
      <c r="N12" s="87" t="s">
        <v>194</v>
      </c>
      <c r="O12" s="90">
        <v>0.33333333333333331</v>
      </c>
      <c r="P12" s="87" t="s">
        <v>194</v>
      </c>
      <c r="Q12" s="91">
        <v>3366.6666666666665</v>
      </c>
      <c r="R12" s="87" t="s">
        <v>133</v>
      </c>
      <c r="S12" s="91">
        <v>-9244.4444444444453</v>
      </c>
      <c r="T12" s="87" t="s">
        <v>181</v>
      </c>
      <c r="U12" s="89">
        <v>0.18181818181818182</v>
      </c>
      <c r="V12" s="87" t="s">
        <v>194</v>
      </c>
      <c r="W12" s="89">
        <v>0</v>
      </c>
      <c r="X12" s="87" t="s">
        <v>194</v>
      </c>
      <c r="Y12" s="89">
        <v>0</v>
      </c>
      <c r="Z12" s="87" t="s">
        <v>194</v>
      </c>
      <c r="AA12" s="90">
        <v>6.6666666666666666E-2</v>
      </c>
      <c r="AB12" s="87" t="s">
        <v>194</v>
      </c>
      <c r="AC12" s="90">
        <v>6.6666666666666666E-2</v>
      </c>
      <c r="AD12" s="87" t="s">
        <v>181</v>
      </c>
      <c r="AE12" s="90">
        <v>0.42857142857142855</v>
      </c>
      <c r="AF12" s="87" t="s">
        <v>132</v>
      </c>
      <c r="AG12" s="90">
        <v>0.28125</v>
      </c>
      <c r="AH12" s="87" t="s">
        <v>193</v>
      </c>
      <c r="AI12" s="90">
        <v>0.2</v>
      </c>
      <c r="AJ12" s="87" t="s">
        <v>194</v>
      </c>
      <c r="AK12" s="92">
        <v>1</v>
      </c>
      <c r="AL12" s="87" t="s">
        <v>194</v>
      </c>
      <c r="AM12" s="96">
        <v>22500</v>
      </c>
      <c r="AN12" s="87" t="s">
        <v>194</v>
      </c>
      <c r="AO12" s="93">
        <v>0</v>
      </c>
    </row>
  </sheetData>
  <sortState ref="AN3:AO42">
    <sortCondition descending="1" ref="AO1"/>
  </sortState>
  <mergeCells count="40">
    <mergeCell ref="AH2:AI2"/>
    <mergeCell ref="AJ2:AK2"/>
    <mergeCell ref="AL2:AM2"/>
    <mergeCell ref="AN2:AO2"/>
    <mergeCell ref="X2:Y2"/>
    <mergeCell ref="Z2:AA2"/>
    <mergeCell ref="AB2:AC2"/>
    <mergeCell ref="AD2:AE2"/>
    <mergeCell ref="AF2:AG2"/>
    <mergeCell ref="N2:O2"/>
    <mergeCell ref="P2:Q2"/>
    <mergeCell ref="R2:S2"/>
    <mergeCell ref="T2:U2"/>
    <mergeCell ref="V2:W2"/>
    <mergeCell ref="B2:C2"/>
    <mergeCell ref="D2:E2"/>
    <mergeCell ref="F2:G2"/>
    <mergeCell ref="H2:I2"/>
    <mergeCell ref="L2:M2"/>
    <mergeCell ref="J2:K2"/>
    <mergeCell ref="AN1:AO1"/>
    <mergeCell ref="P1:Q1"/>
    <mergeCell ref="R1:S1"/>
    <mergeCell ref="T1:U1"/>
    <mergeCell ref="V1:W1"/>
    <mergeCell ref="Z1:AA1"/>
    <mergeCell ref="AB1:AC1"/>
    <mergeCell ref="AD1:AE1"/>
    <mergeCell ref="AF1:AG1"/>
    <mergeCell ref="AH1:AI1"/>
    <mergeCell ref="AJ1:AK1"/>
    <mergeCell ref="N1:O1"/>
    <mergeCell ref="AL1:AM1"/>
    <mergeCell ref="B1:C1"/>
    <mergeCell ref="D1:E1"/>
    <mergeCell ref="F1:G1"/>
    <mergeCell ref="H1:I1"/>
    <mergeCell ref="L1:M1"/>
    <mergeCell ref="X1:Y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20C7C-820C-4D4E-B127-4AFA107D11A7}">
  <sheetPr codeName="Sheet4"/>
  <dimension ref="A1:Q98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149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96</v>
      </c>
      <c r="C2" s="148"/>
      <c r="E2" s="62" t="s">
        <v>68</v>
      </c>
      <c r="F2" s="59" t="s">
        <v>23</v>
      </c>
      <c r="G2" s="46">
        <v>164</v>
      </c>
      <c r="H2" s="136">
        <f>IF(B$27=0,0,G2/B$27)</f>
        <v>0.69491525423728817</v>
      </c>
      <c r="I2" s="97">
        <v>4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-52.083333333333336</v>
      </c>
      <c r="P2" s="122">
        <v>96</v>
      </c>
      <c r="Q2" s="106">
        <v>-5000</v>
      </c>
    </row>
    <row r="3" spans="1:17" x14ac:dyDescent="0.4">
      <c r="A3" s="55" t="s">
        <v>8</v>
      </c>
      <c r="B3" s="153">
        <v>804</v>
      </c>
      <c r="C3" s="154"/>
      <c r="E3" s="63" t="s">
        <v>74</v>
      </c>
      <c r="F3" s="60" t="s">
        <v>28</v>
      </c>
      <c r="G3" s="47">
        <v>127</v>
      </c>
      <c r="H3" s="137">
        <f>IF(B$27=0,0,G3/B$27)</f>
        <v>0.53813559322033899</v>
      </c>
      <c r="I3" s="98">
        <v>6</v>
      </c>
      <c r="K3" s="38">
        <v>1</v>
      </c>
      <c r="L3" s="103">
        <v>-5.0999999999999996</v>
      </c>
      <c r="N3" s="119" t="s">
        <v>137</v>
      </c>
      <c r="O3" s="126">
        <f t="shared" si="0"/>
        <v>0</v>
      </c>
      <c r="P3" s="123">
        <v>96</v>
      </c>
      <c r="Q3" s="107">
        <v>0</v>
      </c>
    </row>
    <row r="4" spans="1:17" x14ac:dyDescent="0.4">
      <c r="A4" s="55" t="s">
        <v>6</v>
      </c>
      <c r="B4" s="155">
        <v>6.6613381477509392E-16</v>
      </c>
      <c r="C4" s="156"/>
      <c r="E4" s="63" t="s">
        <v>66</v>
      </c>
      <c r="F4" s="60" t="s">
        <v>21</v>
      </c>
      <c r="G4" s="47">
        <v>120</v>
      </c>
      <c r="H4" s="137">
        <f>IF(B$27=0,0,G4/B$27)</f>
        <v>0.50847457627118642</v>
      </c>
      <c r="I4" s="98">
        <v>6</v>
      </c>
      <c r="K4" s="38">
        <v>2</v>
      </c>
      <c r="L4" s="103">
        <v>40.4</v>
      </c>
      <c r="N4" s="119" t="s">
        <v>138</v>
      </c>
      <c r="O4" s="126">
        <f t="shared" si="0"/>
        <v>55.555555555555557</v>
      </c>
      <c r="P4" s="123">
        <v>90</v>
      </c>
      <c r="Q4" s="107">
        <v>5000</v>
      </c>
    </row>
    <row r="5" spans="1:17" x14ac:dyDescent="0.4">
      <c r="A5" s="55" t="s">
        <v>7</v>
      </c>
      <c r="B5" s="157">
        <f>IF(B$2=0,0,B$4/B$2)</f>
        <v>6.9388939039072284E-18</v>
      </c>
      <c r="C5" s="158"/>
      <c r="E5" s="63" t="s">
        <v>189</v>
      </c>
      <c r="F5" s="60" t="s">
        <v>190</v>
      </c>
      <c r="G5" s="47">
        <v>92</v>
      </c>
      <c r="H5" s="137">
        <f>IF(B$27=0,0,G5/B$27)</f>
        <v>0.38983050847457629</v>
      </c>
      <c r="I5" s="98">
        <v>5</v>
      </c>
      <c r="K5" s="38">
        <v>3</v>
      </c>
      <c r="L5" s="103">
        <v>0</v>
      </c>
      <c r="N5" s="119" t="s">
        <v>139</v>
      </c>
      <c r="O5" s="126">
        <f t="shared" si="0"/>
        <v>0</v>
      </c>
      <c r="P5" s="123">
        <v>87</v>
      </c>
      <c r="Q5" s="107">
        <v>0</v>
      </c>
    </row>
    <row r="6" spans="1:17" x14ac:dyDescent="0.4">
      <c r="A6" s="55" t="s">
        <v>1</v>
      </c>
      <c r="B6" s="145">
        <f>IF(B$2=0,0,(B$7*1+B$8*2+B$9*3)/B$2)</f>
        <v>2</v>
      </c>
      <c r="C6" s="146"/>
      <c r="E6" s="63" t="s">
        <v>69</v>
      </c>
      <c r="F6" s="60" t="s">
        <v>24</v>
      </c>
      <c r="G6" s="47">
        <v>62</v>
      </c>
      <c r="H6" s="137">
        <f>IF(B$27=0,0,G6/B$27)</f>
        <v>0.26271186440677968</v>
      </c>
      <c r="I6" s="98">
        <v>5</v>
      </c>
      <c r="K6" s="38">
        <v>4</v>
      </c>
      <c r="L6" s="103">
        <v>2.2000000000000002</v>
      </c>
      <c r="N6" s="119" t="s">
        <v>140</v>
      </c>
      <c r="O6" s="126">
        <f t="shared" si="0"/>
        <v>-61.728395061728392</v>
      </c>
      <c r="P6" s="123">
        <v>81</v>
      </c>
      <c r="Q6" s="107">
        <v>-5000</v>
      </c>
    </row>
    <row r="7" spans="1:17" x14ac:dyDescent="0.4">
      <c r="A7" s="55" t="s">
        <v>2</v>
      </c>
      <c r="B7" s="47">
        <v>32</v>
      </c>
      <c r="C7" s="39">
        <f>IF(B$2=0,0,B7/B$2)</f>
        <v>0.33333333333333331</v>
      </c>
      <c r="E7" s="63" t="s">
        <v>70</v>
      </c>
      <c r="F7" s="60" t="s">
        <v>12</v>
      </c>
      <c r="G7" s="47">
        <v>58</v>
      </c>
      <c r="H7" s="137">
        <f>IF(B$27=0,0,G7/B$27)</f>
        <v>0.24576271186440679</v>
      </c>
      <c r="I7" s="98">
        <v>4</v>
      </c>
      <c r="K7" s="38">
        <v>5</v>
      </c>
      <c r="L7" s="103">
        <v>-37</v>
      </c>
      <c r="N7" s="120" t="s">
        <v>141</v>
      </c>
      <c r="O7" s="127">
        <f t="shared" si="0"/>
        <v>66.666666666666671</v>
      </c>
      <c r="P7" s="124">
        <v>75</v>
      </c>
      <c r="Q7" s="108">
        <v>5000</v>
      </c>
    </row>
    <row r="8" spans="1:17" x14ac:dyDescent="0.4">
      <c r="A8" s="55" t="s">
        <v>3</v>
      </c>
      <c r="B8" s="47">
        <v>32</v>
      </c>
      <c r="C8" s="39">
        <f>IF(B$2=0,0,B8/B$2)</f>
        <v>0.33333333333333331</v>
      </c>
      <c r="E8" s="63" t="s">
        <v>71</v>
      </c>
      <c r="F8" s="60" t="s">
        <v>25</v>
      </c>
      <c r="G8" s="47">
        <v>47</v>
      </c>
      <c r="H8" s="137">
        <f>IF(B$27=0,0,G8/B$27)</f>
        <v>0.19915254237288135</v>
      </c>
      <c r="I8" s="98">
        <v>6</v>
      </c>
      <c r="K8" s="38">
        <v>6</v>
      </c>
      <c r="L8" s="103">
        <v>0</v>
      </c>
      <c r="N8" s="43"/>
      <c r="O8" s="131"/>
      <c r="P8" s="115"/>
      <c r="Q8" s="113"/>
    </row>
    <row r="9" spans="1:17" x14ac:dyDescent="0.4">
      <c r="A9" s="56" t="s">
        <v>4</v>
      </c>
      <c r="B9" s="48">
        <v>32</v>
      </c>
      <c r="C9" s="40">
        <f t="shared" ref="C9" si="1">IF(B$2=0,0,B9/B$2)</f>
        <v>0.33333333333333331</v>
      </c>
      <c r="E9" s="63" t="s">
        <v>92</v>
      </c>
      <c r="F9" s="60" t="s">
        <v>46</v>
      </c>
      <c r="G9" s="47">
        <v>35</v>
      </c>
      <c r="H9" s="137">
        <f>IF(B$27=0,0,G9/B$27)</f>
        <v>0.14830508474576271</v>
      </c>
      <c r="I9" s="98">
        <v>5</v>
      </c>
      <c r="K9" s="38">
        <v>7</v>
      </c>
      <c r="L9" s="103">
        <v>73.3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5</v>
      </c>
      <c r="C10" s="40">
        <f>IF(B$2=0,0,B10/B$2)</f>
        <v>5.2083333333333336E-2</v>
      </c>
      <c r="E10" s="63" t="s">
        <v>67</v>
      </c>
      <c r="F10" s="60" t="s">
        <v>22</v>
      </c>
      <c r="G10" s="47">
        <v>30</v>
      </c>
      <c r="H10" s="137">
        <f>IF(B$27=0,0,G10/B$27)</f>
        <v>0.1271186440677966</v>
      </c>
      <c r="I10" s="98">
        <v>5</v>
      </c>
      <c r="K10" s="38">
        <v>8</v>
      </c>
      <c r="L10" s="103">
        <v>19.699999999999996</v>
      </c>
      <c r="N10" s="118" t="s">
        <v>172</v>
      </c>
      <c r="O10" s="128">
        <f>IF(P10=0,0,Q10/P10)</f>
        <v>-2.812500000000049E-2</v>
      </c>
      <c r="P10" s="122">
        <v>32</v>
      </c>
      <c r="Q10" s="110">
        <v>-0.90000000000001568</v>
      </c>
    </row>
    <row r="11" spans="1:17" x14ac:dyDescent="0.4">
      <c r="A11" s="56" t="s">
        <v>144</v>
      </c>
      <c r="B11" s="48">
        <v>5</v>
      </c>
      <c r="C11" s="40">
        <f>IF(B$2=0,0,B11/B$2)</f>
        <v>5.2083333333333336E-2</v>
      </c>
      <c r="E11" s="63" t="s">
        <v>72</v>
      </c>
      <c r="F11" s="60" t="s">
        <v>26</v>
      </c>
      <c r="G11" s="47">
        <v>20</v>
      </c>
      <c r="H11" s="137">
        <f>IF(B$27=0,0,G11/B$27)</f>
        <v>8.4745762711864403E-2</v>
      </c>
      <c r="I11" s="98">
        <v>5</v>
      </c>
      <c r="K11" s="38">
        <v>9</v>
      </c>
      <c r="L11" s="103">
        <v>-3.5527136788005009E-15</v>
      </c>
      <c r="N11" s="119" t="s">
        <v>173</v>
      </c>
      <c r="O11" s="129">
        <f>IF(P11=0,0,Q11/P11)</f>
        <v>-6.7906249999999977</v>
      </c>
      <c r="P11" s="123">
        <v>32</v>
      </c>
      <c r="Q11" s="111">
        <v>-217.29999999999993</v>
      </c>
    </row>
    <row r="12" spans="1:17" x14ac:dyDescent="0.4">
      <c r="A12" s="57" t="s">
        <v>165</v>
      </c>
      <c r="B12" s="49">
        <v>12</v>
      </c>
      <c r="C12" s="42">
        <f>IF(B$2=0,0,B12/B$2)</f>
        <v>0.125</v>
      </c>
      <c r="E12" s="63" t="s">
        <v>86</v>
      </c>
      <c r="F12" s="60" t="s">
        <v>40</v>
      </c>
      <c r="G12" s="47">
        <v>13</v>
      </c>
      <c r="H12" s="137">
        <f>IF(B$27=0,0,G12/B$27)</f>
        <v>5.5084745762711863E-2</v>
      </c>
      <c r="I12" s="98">
        <v>5</v>
      </c>
      <c r="K12" s="38">
        <v>10</v>
      </c>
      <c r="L12" s="103">
        <v>40.099999999999994</v>
      </c>
      <c r="N12" s="120" t="s">
        <v>174</v>
      </c>
      <c r="O12" s="130">
        <f>IF(P12=0,0,Q12/P12)</f>
        <v>6.8187500000000005</v>
      </c>
      <c r="P12" s="124">
        <v>32</v>
      </c>
      <c r="Q12" s="112">
        <v>218.20000000000002</v>
      </c>
    </row>
    <row r="13" spans="1:17" x14ac:dyDescent="0.4">
      <c r="A13" s="58" t="s">
        <v>126</v>
      </c>
      <c r="B13" s="50">
        <v>214</v>
      </c>
      <c r="C13" s="44">
        <f>IF(B$26=0,0,B13/B$26)</f>
        <v>0.27648578811369506</v>
      </c>
      <c r="E13" s="63" t="s">
        <v>73</v>
      </c>
      <c r="F13" s="60" t="s">
        <v>27</v>
      </c>
      <c r="G13" s="47">
        <v>12</v>
      </c>
      <c r="H13" s="137">
        <f>IF(B$27=0,0,G13/B$27)</f>
        <v>5.0847457627118647E-2</v>
      </c>
      <c r="I13" s="98">
        <v>4</v>
      </c>
      <c r="K13" s="38">
        <v>11</v>
      </c>
      <c r="L13" s="103">
        <v>-11.100000000000009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180</v>
      </c>
      <c r="C14" s="39">
        <f>IF(B$26=0,0,B14/B$26)</f>
        <v>0.23255813953488372</v>
      </c>
      <c r="E14" s="63" t="s">
        <v>89</v>
      </c>
      <c r="F14" s="60" t="s">
        <v>43</v>
      </c>
      <c r="G14" s="47">
        <v>12</v>
      </c>
      <c r="H14" s="137">
        <f>IF(B$27=0,0,G14/B$27)</f>
        <v>5.0847457627118647E-2</v>
      </c>
      <c r="I14" s="98">
        <v>6</v>
      </c>
      <c r="K14" s="38">
        <v>12</v>
      </c>
      <c r="L14" s="103">
        <v>-8.8817841970012523E-15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121</v>
      </c>
      <c r="C15" s="37">
        <f>IF(B$13=0,0,B15/B$13)</f>
        <v>0.56542056074766356</v>
      </c>
      <c r="E15" s="63" t="s">
        <v>84</v>
      </c>
      <c r="F15" s="60" t="s">
        <v>38</v>
      </c>
      <c r="G15" s="47">
        <v>6</v>
      </c>
      <c r="H15" s="137">
        <f>IF(B$27=0,0,G15/B$27)</f>
        <v>2.5423728813559324E-2</v>
      </c>
      <c r="I15" s="98">
        <v>4</v>
      </c>
      <c r="K15" s="38">
        <v>13</v>
      </c>
      <c r="L15" s="103">
        <v>-42.100000000000009</v>
      </c>
      <c r="N15" s="118" t="s">
        <v>194</v>
      </c>
      <c r="O15" s="128">
        <f>IF(P15=0,0,Q15/P15)</f>
        <v>57.150000000000006</v>
      </c>
      <c r="P15" s="122">
        <v>4</v>
      </c>
      <c r="Q15" s="110">
        <v>228.60000000000002</v>
      </c>
    </row>
    <row r="16" spans="1:17" x14ac:dyDescent="0.4">
      <c r="A16" s="54" t="s">
        <v>129</v>
      </c>
      <c r="B16" s="46">
        <v>71</v>
      </c>
      <c r="C16" s="37">
        <f>IF(B$14=0,0,B16/B$14)</f>
        <v>0.39444444444444443</v>
      </c>
      <c r="E16" s="63" t="s">
        <v>80</v>
      </c>
      <c r="F16" s="60" t="s">
        <v>34</v>
      </c>
      <c r="G16" s="47">
        <v>4</v>
      </c>
      <c r="H16" s="137">
        <f>IF(B$27=0,0,G16/B$27)</f>
        <v>1.6949152542372881E-2</v>
      </c>
      <c r="I16" s="98">
        <v>3</v>
      </c>
      <c r="K16" s="38">
        <v>14</v>
      </c>
      <c r="L16" s="103">
        <v>18.79999999999999</v>
      </c>
      <c r="N16" s="119" t="s">
        <v>181</v>
      </c>
      <c r="O16" s="129">
        <f>IF(P16=0,0,Q16/P16)</f>
        <v>44.372727272727268</v>
      </c>
      <c r="P16" s="123">
        <v>22</v>
      </c>
      <c r="Q16" s="111">
        <v>976.19999999999993</v>
      </c>
    </row>
    <row r="17" spans="1:17" x14ac:dyDescent="0.4">
      <c r="A17" s="54" t="s">
        <v>10</v>
      </c>
      <c r="B17" s="46">
        <f>B19+B18</f>
        <v>244</v>
      </c>
      <c r="C17" s="37">
        <f>IF(B$3=0,0,B17/B$3)</f>
        <v>0.30348258706467662</v>
      </c>
      <c r="E17" s="63" t="s">
        <v>77</v>
      </c>
      <c r="F17" s="60" t="s">
        <v>31</v>
      </c>
      <c r="G17" s="47">
        <v>3</v>
      </c>
      <c r="H17" s="137">
        <f>IF(B$27=0,0,G17/B$27)</f>
        <v>1.2711864406779662E-2</v>
      </c>
      <c r="I17" s="98">
        <v>4</v>
      </c>
      <c r="K17" s="38">
        <v>15</v>
      </c>
      <c r="L17" s="103">
        <v>-1.0658141036401503E-14</v>
      </c>
      <c r="N17" s="119" t="s">
        <v>133</v>
      </c>
      <c r="O17" s="129">
        <f>IF(P17=0,0,Q17/P17)</f>
        <v>21.266666666666669</v>
      </c>
      <c r="P17" s="123">
        <v>18</v>
      </c>
      <c r="Q17" s="111">
        <v>382.80000000000007</v>
      </c>
    </row>
    <row r="18" spans="1:17" x14ac:dyDescent="0.4">
      <c r="A18" s="55" t="s">
        <v>12</v>
      </c>
      <c r="B18" s="47">
        <v>88</v>
      </c>
      <c r="C18" s="39">
        <f>IF(B$17=0,0,B18/B$17)</f>
        <v>0.36065573770491804</v>
      </c>
      <c r="E18" s="63" t="s">
        <v>94</v>
      </c>
      <c r="F18" s="60" t="s">
        <v>48</v>
      </c>
      <c r="G18" s="47">
        <v>3</v>
      </c>
      <c r="H18" s="137">
        <f>IF(B$27=0,0,G18/B$27)</f>
        <v>1.2711864406779662E-2</v>
      </c>
      <c r="I18" s="98">
        <v>3</v>
      </c>
      <c r="K18" s="38">
        <v>16</v>
      </c>
      <c r="L18" s="103">
        <v>90.899999999999991</v>
      </c>
      <c r="N18" s="119" t="s">
        <v>179</v>
      </c>
      <c r="O18" s="129">
        <f>IF(P18=0,0,Q18/P18)</f>
        <v>6.3416666666666677</v>
      </c>
      <c r="P18" s="123">
        <v>36</v>
      </c>
      <c r="Q18" s="111">
        <v>228.30000000000004</v>
      </c>
    </row>
    <row r="19" spans="1:17" x14ac:dyDescent="0.4">
      <c r="A19" s="55" t="s">
        <v>11</v>
      </c>
      <c r="B19" s="47">
        <v>156</v>
      </c>
      <c r="C19" s="39">
        <f>IF(B$17=0,0,B19/B$17)</f>
        <v>0.63934426229508201</v>
      </c>
      <c r="E19" s="63" t="s">
        <v>75</v>
      </c>
      <c r="F19" s="60" t="s">
        <v>29</v>
      </c>
      <c r="G19" s="47">
        <v>1</v>
      </c>
      <c r="H19" s="137">
        <f>IF(B$27=0,0,G19/B$27)</f>
        <v>4.2372881355932203E-3</v>
      </c>
      <c r="I19" s="98">
        <v>2</v>
      </c>
      <c r="K19" s="38">
        <v>17</v>
      </c>
      <c r="L19" s="103">
        <v>8.2999999999999972</v>
      </c>
      <c r="N19" s="119" t="s">
        <v>180</v>
      </c>
      <c r="O19" s="129">
        <f>IF(P19=0,0,Q19/P19)</f>
        <v>5.5312499999999973</v>
      </c>
      <c r="P19" s="123">
        <v>16</v>
      </c>
      <c r="Q19" s="111">
        <v>88.499999999999957</v>
      </c>
    </row>
    <row r="20" spans="1:17" x14ac:dyDescent="0.4">
      <c r="A20" s="55" t="s">
        <v>13</v>
      </c>
      <c r="B20" s="47">
        <v>155</v>
      </c>
      <c r="C20" s="39">
        <f>IF(B$3=0,0,B20/B$3)</f>
        <v>0.1927860696517413</v>
      </c>
      <c r="E20" s="63" t="s">
        <v>81</v>
      </c>
      <c r="F20" s="60" t="s">
        <v>35</v>
      </c>
      <c r="G20" s="47">
        <v>1</v>
      </c>
      <c r="H20" s="137">
        <f>IF(B$27=0,0,G20/B$27)</f>
        <v>4.2372881355932203E-3</v>
      </c>
      <c r="I20" s="98">
        <v>2</v>
      </c>
      <c r="K20" s="38">
        <v>18</v>
      </c>
      <c r="L20" s="103">
        <v>-3.5527136788005009E-15</v>
      </c>
      <c r="N20" s="119" t="s">
        <v>185</v>
      </c>
      <c r="O20" s="129">
        <f>IF(P20=0,0,Q20/P20)</f>
        <v>-0.97500000000000142</v>
      </c>
      <c r="P20" s="123">
        <v>12</v>
      </c>
      <c r="Q20" s="111">
        <v>-11.700000000000017</v>
      </c>
    </row>
    <row r="21" spans="1:17" x14ac:dyDescent="0.4">
      <c r="A21" s="55" t="s">
        <v>5</v>
      </c>
      <c r="B21" s="51">
        <f>IF(B$17=0,0,C21/B$17)</f>
        <v>7275.4098360655735</v>
      </c>
      <c r="C21" s="41">
        <v>1775200</v>
      </c>
      <c r="E21" s="63" t="s">
        <v>88</v>
      </c>
      <c r="F21" s="60" t="s">
        <v>42</v>
      </c>
      <c r="G21" s="47">
        <v>1</v>
      </c>
      <c r="H21" s="137">
        <f>IF(B$27=0,0,G21/B$27)</f>
        <v>4.2372881355932203E-3</v>
      </c>
      <c r="I21" s="98">
        <v>2</v>
      </c>
      <c r="K21" s="38">
        <v>19</v>
      </c>
      <c r="L21" s="103">
        <v>30.999999999999996</v>
      </c>
      <c r="N21" s="119" t="s">
        <v>132</v>
      </c>
      <c r="O21" s="129">
        <f>IF(P21=0,0,Q21/P21)</f>
        <v>-12.337499999999999</v>
      </c>
      <c r="P21" s="123">
        <v>40</v>
      </c>
      <c r="Q21" s="111">
        <v>-493.49999999999994</v>
      </c>
    </row>
    <row r="22" spans="1:17" x14ac:dyDescent="0.4">
      <c r="A22" s="57" t="s">
        <v>14</v>
      </c>
      <c r="B22" s="52">
        <f>IF(B$20=0,0,C22/B$20)</f>
        <v>-7873.5483870967746</v>
      </c>
      <c r="C22" s="45">
        <v>-1220400</v>
      </c>
      <c r="E22" s="63" t="s">
        <v>95</v>
      </c>
      <c r="F22" s="60" t="s">
        <v>49</v>
      </c>
      <c r="G22" s="47">
        <v>1</v>
      </c>
      <c r="H22" s="137">
        <f>IF(B$27=0,0,G22/B$27)</f>
        <v>4.2372881355932203E-3</v>
      </c>
      <c r="I22" s="98">
        <v>2</v>
      </c>
      <c r="K22" s="38">
        <v>20</v>
      </c>
      <c r="L22" s="103">
        <v>0.79999999999999716</v>
      </c>
      <c r="N22" s="119" t="s">
        <v>193</v>
      </c>
      <c r="O22" s="129">
        <f>IF(P22=0,0,Q22/P22)</f>
        <v>-30.5</v>
      </c>
      <c r="P22" s="123">
        <v>6</v>
      </c>
      <c r="Q22" s="111">
        <v>-183</v>
      </c>
    </row>
    <row r="23" spans="1:17" x14ac:dyDescent="0.4">
      <c r="A23" s="94" t="s">
        <v>146</v>
      </c>
      <c r="B23" s="143">
        <v>7</v>
      </c>
      <c r="C23" s="144"/>
      <c r="E23" s="63" t="s">
        <v>188</v>
      </c>
      <c r="F23" s="60" t="s">
        <v>191</v>
      </c>
      <c r="G23" s="47">
        <v>1</v>
      </c>
      <c r="H23" s="137">
        <f>IF(B$27=0,0,G23/B$27)</f>
        <v>4.2372881355932203E-3</v>
      </c>
      <c r="I23" s="98">
        <v>2</v>
      </c>
      <c r="K23" s="38">
        <v>21</v>
      </c>
      <c r="L23" s="103">
        <v>-2.886579864025407E-15</v>
      </c>
      <c r="N23" s="119" t="s">
        <v>131</v>
      </c>
      <c r="O23" s="129">
        <f>IF(P23=0,0,Q23/P23)</f>
        <v>-32.005263157894738</v>
      </c>
      <c r="P23" s="123">
        <v>38</v>
      </c>
      <c r="Q23" s="111">
        <v>-1216.2</v>
      </c>
    </row>
    <row r="24" spans="1:17" x14ac:dyDescent="0.4">
      <c r="A24" s="58" t="s">
        <v>157</v>
      </c>
      <c r="B24" s="141">
        <v>105900</v>
      </c>
      <c r="C24" s="142"/>
      <c r="E24" s="63" t="s">
        <v>76</v>
      </c>
      <c r="F24" s="60" t="s">
        <v>30</v>
      </c>
      <c r="G24" s="47">
        <v>0</v>
      </c>
      <c r="H24" s="137">
        <f>IF(B$27=0,0,G24/B$27)</f>
        <v>0</v>
      </c>
      <c r="I24" s="98">
        <v>1</v>
      </c>
      <c r="K24" s="38">
        <v>22</v>
      </c>
      <c r="L24" s="103">
        <v>23.699999999999996</v>
      </c>
    </row>
    <row r="25" spans="1:17" x14ac:dyDescent="0.4">
      <c r="A25" s="57" t="s">
        <v>147</v>
      </c>
      <c r="B25" s="65">
        <v>5</v>
      </c>
      <c r="C25" s="42">
        <f>IF(B$3=0,0,B25/B$3)</f>
        <v>6.2189054726368162E-3</v>
      </c>
      <c r="E25" s="63" t="s">
        <v>78</v>
      </c>
      <c r="F25" s="60" t="s">
        <v>32</v>
      </c>
      <c r="G25" s="47">
        <v>0</v>
      </c>
      <c r="H25" s="137">
        <f>IF(B$27=0,0,G25/B$27)</f>
        <v>0</v>
      </c>
      <c r="I25" s="98">
        <v>1</v>
      </c>
      <c r="K25" s="38">
        <v>23</v>
      </c>
      <c r="L25" s="103">
        <v>26.299999999999997</v>
      </c>
    </row>
    <row r="26" spans="1:17" x14ac:dyDescent="0.4">
      <c r="A26" s="54" t="s">
        <v>124</v>
      </c>
      <c r="B26" s="147">
        <v>774</v>
      </c>
      <c r="C26" s="148"/>
      <c r="E26" s="63" t="s">
        <v>79</v>
      </c>
      <c r="F26" s="60" t="s">
        <v>33</v>
      </c>
      <c r="G26" s="47">
        <v>0</v>
      </c>
      <c r="H26" s="137">
        <f>IF(B$27=0,0,G26/B$27)</f>
        <v>0</v>
      </c>
      <c r="I26" s="98">
        <v>1</v>
      </c>
      <c r="K26" s="38">
        <v>24</v>
      </c>
      <c r="L26" s="103">
        <v>-3.5527136788005009E-15</v>
      </c>
    </row>
    <row r="27" spans="1:17" x14ac:dyDescent="0.4">
      <c r="A27" s="57" t="s">
        <v>125</v>
      </c>
      <c r="B27" s="149">
        <v>236</v>
      </c>
      <c r="C27" s="150"/>
      <c r="E27" s="63" t="s">
        <v>82</v>
      </c>
      <c r="F27" s="60" t="s">
        <v>36</v>
      </c>
      <c r="G27" s="47">
        <v>0</v>
      </c>
      <c r="H27" s="137">
        <f>IF(B$27=0,0,G27/B$27)</f>
        <v>0</v>
      </c>
      <c r="I27" s="98">
        <v>1</v>
      </c>
      <c r="K27" s="38">
        <v>25</v>
      </c>
      <c r="L27" s="103">
        <v>-31.300000000000004</v>
      </c>
    </row>
    <row r="28" spans="1:17" x14ac:dyDescent="0.4">
      <c r="E28" s="63" t="s">
        <v>83</v>
      </c>
      <c r="F28" s="60" t="s">
        <v>37</v>
      </c>
      <c r="G28" s="47">
        <v>0</v>
      </c>
      <c r="H28" s="137">
        <f>IF(B$27=0,0,G28/B$27)</f>
        <v>0</v>
      </c>
      <c r="I28" s="98">
        <v>1</v>
      </c>
      <c r="K28" s="38">
        <v>26</v>
      </c>
      <c r="L28" s="103">
        <v>1.8999999999999986</v>
      </c>
    </row>
    <row r="29" spans="1:17" x14ac:dyDescent="0.4">
      <c r="E29" s="63" t="s">
        <v>85</v>
      </c>
      <c r="F29" s="60" t="s">
        <v>39</v>
      </c>
      <c r="G29" s="47">
        <v>0</v>
      </c>
      <c r="H29" s="137">
        <f>IF(B$27=0,0,G29/B$27)</f>
        <v>0</v>
      </c>
      <c r="I29" s="98">
        <v>1</v>
      </c>
      <c r="K29" s="38">
        <v>27</v>
      </c>
      <c r="L29" s="103">
        <v>-1.3322676295501878E-15</v>
      </c>
    </row>
    <row r="30" spans="1:17" x14ac:dyDescent="0.4">
      <c r="E30" s="63" t="s">
        <v>87</v>
      </c>
      <c r="F30" s="60" t="s">
        <v>41</v>
      </c>
      <c r="G30" s="47">
        <v>0</v>
      </c>
      <c r="H30" s="137">
        <f>IF(B$27=0,0,G30/B$27)</f>
        <v>0</v>
      </c>
      <c r="I30" s="98">
        <v>1</v>
      </c>
      <c r="K30" s="38">
        <v>28</v>
      </c>
      <c r="L30" s="103">
        <v>-58.3</v>
      </c>
    </row>
    <row r="31" spans="1:17" x14ac:dyDescent="0.4">
      <c r="E31" s="63" t="s">
        <v>90</v>
      </c>
      <c r="F31" s="60" t="s">
        <v>44</v>
      </c>
      <c r="G31" s="47">
        <v>0</v>
      </c>
      <c r="H31" s="137">
        <f>IF(B$27=0,0,G31/B$27)</f>
        <v>0</v>
      </c>
      <c r="I31" s="98">
        <v>1</v>
      </c>
      <c r="K31" s="38">
        <v>29</v>
      </c>
      <c r="L31" s="103">
        <v>-9.5</v>
      </c>
    </row>
    <row r="32" spans="1:17" x14ac:dyDescent="0.4">
      <c r="E32" s="63" t="s">
        <v>91</v>
      </c>
      <c r="F32" s="60" t="s">
        <v>45</v>
      </c>
      <c r="G32" s="47">
        <v>0</v>
      </c>
      <c r="H32" s="137">
        <f>IF(B$27=0,0,G32/B$27)</f>
        <v>0</v>
      </c>
      <c r="I32" s="98">
        <v>1</v>
      </c>
      <c r="K32" s="38">
        <v>30</v>
      </c>
      <c r="L32" s="103">
        <v>0</v>
      </c>
    </row>
    <row r="33" spans="5:12" x14ac:dyDescent="0.4">
      <c r="E33" s="63" t="s">
        <v>93</v>
      </c>
      <c r="F33" s="60" t="s">
        <v>47</v>
      </c>
      <c r="G33" s="47">
        <v>0</v>
      </c>
      <c r="H33" s="137">
        <f>IF(B$27=0,0,G33/B$27)</f>
        <v>0</v>
      </c>
      <c r="I33" s="98">
        <v>1</v>
      </c>
      <c r="K33" s="38">
        <v>31</v>
      </c>
      <c r="L33" s="103">
        <v>29.1</v>
      </c>
    </row>
    <row r="34" spans="5:12" x14ac:dyDescent="0.4">
      <c r="E34" s="63" t="s">
        <v>96</v>
      </c>
      <c r="F34" s="60" t="s">
        <v>50</v>
      </c>
      <c r="G34" s="47">
        <v>0</v>
      </c>
      <c r="H34" s="137">
        <f>IF(B$27=0,0,G34/B$27)</f>
        <v>0</v>
      </c>
      <c r="I34" s="98">
        <v>1</v>
      </c>
      <c r="K34" s="38">
        <v>32</v>
      </c>
      <c r="L34" s="103">
        <v>4.3000000000000007</v>
      </c>
    </row>
    <row r="35" spans="5:12" x14ac:dyDescent="0.4">
      <c r="E35" s="63" t="s">
        <v>97</v>
      </c>
      <c r="F35" s="60" t="s">
        <v>51</v>
      </c>
      <c r="G35" s="47">
        <v>0</v>
      </c>
      <c r="H35" s="137">
        <f>IF(B$27=0,0,G35/B$27)</f>
        <v>0</v>
      </c>
      <c r="I35" s="98">
        <v>1</v>
      </c>
      <c r="K35" s="38">
        <v>33</v>
      </c>
      <c r="L35" s="103">
        <v>8.8817841970012523E-16</v>
      </c>
    </row>
    <row r="36" spans="5:12" x14ac:dyDescent="0.4">
      <c r="E36" s="63" t="s">
        <v>98</v>
      </c>
      <c r="F36" s="60" t="s">
        <v>52</v>
      </c>
      <c r="G36" s="47">
        <v>0</v>
      </c>
      <c r="H36" s="137">
        <f>IF(B$27=0,0,G36/B$27)</f>
        <v>0</v>
      </c>
      <c r="I36" s="98">
        <v>1</v>
      </c>
      <c r="K36" s="38">
        <v>34</v>
      </c>
      <c r="L36" s="103">
        <v>-7.2999999999999989</v>
      </c>
    </row>
    <row r="37" spans="5:12" x14ac:dyDescent="0.4">
      <c r="E37" s="63" t="s">
        <v>99</v>
      </c>
      <c r="F37" s="60" t="s">
        <v>53</v>
      </c>
      <c r="G37" s="47">
        <v>0</v>
      </c>
      <c r="H37" s="137">
        <f>IF(B$27=0,0,G37/B$27)</f>
        <v>0</v>
      </c>
      <c r="I37" s="98">
        <v>1</v>
      </c>
      <c r="K37" s="38">
        <v>35</v>
      </c>
      <c r="L37" s="103">
        <v>-37.199999999999996</v>
      </c>
    </row>
    <row r="38" spans="5:12" x14ac:dyDescent="0.4">
      <c r="E38" s="63" t="s">
        <v>100</v>
      </c>
      <c r="F38" s="60" t="s">
        <v>54</v>
      </c>
      <c r="G38" s="47">
        <v>0</v>
      </c>
      <c r="H38" s="137">
        <f>IF(B$27=0,0,G38/B$27)</f>
        <v>0</v>
      </c>
      <c r="I38" s="98">
        <v>1</v>
      </c>
      <c r="K38" s="38">
        <v>36</v>
      </c>
      <c r="L38" s="103">
        <v>7.1054273576010019E-15</v>
      </c>
    </row>
    <row r="39" spans="5:12" x14ac:dyDescent="0.4">
      <c r="E39" s="63" t="s">
        <v>101</v>
      </c>
      <c r="F39" s="60" t="s">
        <v>55</v>
      </c>
      <c r="G39" s="47">
        <v>0</v>
      </c>
      <c r="H39" s="137">
        <f>IF(B$27=0,0,G39/B$27)</f>
        <v>0</v>
      </c>
      <c r="I39" s="98">
        <v>1</v>
      </c>
      <c r="K39" s="38">
        <v>37</v>
      </c>
      <c r="L39" s="103">
        <v>-31.699999999999992</v>
      </c>
    </row>
    <row r="40" spans="5:12" x14ac:dyDescent="0.4">
      <c r="E40" s="63" t="s">
        <v>102</v>
      </c>
      <c r="F40" s="60" t="s">
        <v>56</v>
      </c>
      <c r="G40" s="47">
        <v>0</v>
      </c>
      <c r="H40" s="137">
        <f>IF(B$27=0,0,G40/B$27)</f>
        <v>0</v>
      </c>
      <c r="I40" s="98">
        <v>1</v>
      </c>
      <c r="K40" s="38">
        <v>38</v>
      </c>
      <c r="L40" s="103">
        <v>-33.099999999999994</v>
      </c>
    </row>
    <row r="41" spans="5:12" x14ac:dyDescent="0.4">
      <c r="E41" s="63" t="s">
        <v>103</v>
      </c>
      <c r="F41" s="60" t="s">
        <v>57</v>
      </c>
      <c r="G41" s="47">
        <v>0</v>
      </c>
      <c r="H41" s="137">
        <f>IF(B$27=0,0,G41/B$27)</f>
        <v>0</v>
      </c>
      <c r="I41" s="98">
        <v>1</v>
      </c>
      <c r="K41" s="38">
        <v>39</v>
      </c>
      <c r="L41" s="103">
        <v>7.1054273576010019E-15</v>
      </c>
    </row>
    <row r="42" spans="5:12" x14ac:dyDescent="0.4">
      <c r="E42" s="63" t="s">
        <v>104</v>
      </c>
      <c r="F42" s="60" t="s">
        <v>58</v>
      </c>
      <c r="G42" s="47">
        <v>0</v>
      </c>
      <c r="H42" s="137">
        <f>IF(B$27=0,0,G42/B$27)</f>
        <v>0</v>
      </c>
      <c r="I42" s="98">
        <v>1</v>
      </c>
      <c r="K42" s="38">
        <v>40</v>
      </c>
      <c r="L42" s="103">
        <v>-39.699999999999996</v>
      </c>
    </row>
    <row r="43" spans="5:12" x14ac:dyDescent="0.4">
      <c r="E43" s="63" t="s">
        <v>105</v>
      </c>
      <c r="F43" s="60" t="s">
        <v>59</v>
      </c>
      <c r="G43" s="47">
        <v>0</v>
      </c>
      <c r="H43" s="137">
        <f>IF(B$27=0,0,G43/B$27)</f>
        <v>0</v>
      </c>
      <c r="I43" s="98">
        <v>1</v>
      </c>
      <c r="K43" s="38">
        <v>41</v>
      </c>
      <c r="L43" s="103">
        <v>5.5000000000000071</v>
      </c>
    </row>
    <row r="44" spans="5:12" x14ac:dyDescent="0.4">
      <c r="E44" s="63" t="s">
        <v>106</v>
      </c>
      <c r="F44" s="60" t="s">
        <v>60</v>
      </c>
      <c r="G44" s="47">
        <v>0</v>
      </c>
      <c r="H44" s="137">
        <f>IF(B$27=0,0,G44/B$27)</f>
        <v>0</v>
      </c>
      <c r="I44" s="98">
        <v>1</v>
      </c>
      <c r="K44" s="38">
        <v>42</v>
      </c>
      <c r="L44" s="103">
        <v>7.1054273576010019E-15</v>
      </c>
    </row>
    <row r="45" spans="5:12" x14ac:dyDescent="0.4">
      <c r="E45" s="63" t="s">
        <v>107</v>
      </c>
      <c r="F45" s="60" t="s">
        <v>61</v>
      </c>
      <c r="G45" s="47">
        <v>0</v>
      </c>
      <c r="H45" s="137">
        <f>IF(B$27=0,0,G45/B$27)</f>
        <v>0</v>
      </c>
      <c r="I45" s="98">
        <v>1</v>
      </c>
      <c r="K45" s="38">
        <v>43</v>
      </c>
      <c r="L45" s="103">
        <v>87.1</v>
      </c>
    </row>
    <row r="46" spans="5:12" x14ac:dyDescent="0.4">
      <c r="E46" s="63" t="s">
        <v>108</v>
      </c>
      <c r="F46" s="60" t="s">
        <v>115</v>
      </c>
      <c r="G46" s="47">
        <v>0</v>
      </c>
      <c r="H46" s="137">
        <f>IF(B$27=0,0,G46/B$27)</f>
        <v>0</v>
      </c>
      <c r="I46" s="98">
        <v>1</v>
      </c>
      <c r="K46" s="38">
        <v>44</v>
      </c>
      <c r="L46" s="103">
        <v>60.399999999999991</v>
      </c>
    </row>
    <row r="47" spans="5:12" x14ac:dyDescent="0.4">
      <c r="E47" s="63" t="s">
        <v>109</v>
      </c>
      <c r="F47" s="60" t="s">
        <v>116</v>
      </c>
      <c r="G47" s="47">
        <v>0</v>
      </c>
      <c r="H47" s="137">
        <f>IF(B$27=0,0,G47/B$27)</f>
        <v>0</v>
      </c>
      <c r="I47" s="98">
        <v>1</v>
      </c>
      <c r="K47" s="38">
        <v>45</v>
      </c>
      <c r="L47" s="103">
        <v>-7.1054273576010019E-15</v>
      </c>
    </row>
    <row r="48" spans="5:12" x14ac:dyDescent="0.4">
      <c r="E48" s="63" t="s">
        <v>110</v>
      </c>
      <c r="F48" s="60" t="s">
        <v>117</v>
      </c>
      <c r="G48" s="47">
        <v>0</v>
      </c>
      <c r="H48" s="137">
        <f>IF(B$27=0,0,G48/B$27)</f>
        <v>0</v>
      </c>
      <c r="I48" s="98">
        <v>1</v>
      </c>
      <c r="K48" s="38">
        <v>46</v>
      </c>
      <c r="L48" s="103">
        <v>-48.000000000000007</v>
      </c>
    </row>
    <row r="49" spans="5:12" x14ac:dyDescent="0.4">
      <c r="E49" s="63" t="s">
        <v>111</v>
      </c>
      <c r="F49" s="60" t="s">
        <v>62</v>
      </c>
      <c r="G49" s="47">
        <v>0</v>
      </c>
      <c r="H49" s="137">
        <f>IF(B$27=0,0,G49/B$27)</f>
        <v>0</v>
      </c>
      <c r="I49" s="98">
        <v>1</v>
      </c>
      <c r="K49" s="38">
        <v>47</v>
      </c>
      <c r="L49" s="103">
        <v>-49.600000000000009</v>
      </c>
    </row>
    <row r="50" spans="5:12" x14ac:dyDescent="0.4">
      <c r="E50" s="63" t="s">
        <v>112</v>
      </c>
      <c r="F50" s="60" t="s">
        <v>63</v>
      </c>
      <c r="G50" s="47">
        <v>0</v>
      </c>
      <c r="H50" s="137">
        <f>IF(B$27=0,0,G50/B$27)</f>
        <v>0</v>
      </c>
      <c r="I50" s="98">
        <v>1</v>
      </c>
      <c r="K50" s="38">
        <v>48</v>
      </c>
      <c r="L50" s="103">
        <v>-7.1054273576010019E-15</v>
      </c>
    </row>
    <row r="51" spans="5:12" x14ac:dyDescent="0.4">
      <c r="E51" s="63" t="s">
        <v>113</v>
      </c>
      <c r="F51" s="60" t="s">
        <v>64</v>
      </c>
      <c r="G51" s="47">
        <v>0</v>
      </c>
      <c r="H51" s="137">
        <f>IF(B$27=0,0,G51/B$27)</f>
        <v>0</v>
      </c>
      <c r="I51" s="98">
        <v>1</v>
      </c>
      <c r="K51" s="38">
        <v>49</v>
      </c>
      <c r="L51" s="103">
        <v>38.399999999999991</v>
      </c>
    </row>
    <row r="52" spans="5:12" x14ac:dyDescent="0.4">
      <c r="E52" s="64" t="s">
        <v>114</v>
      </c>
      <c r="F52" s="61" t="s">
        <v>65</v>
      </c>
      <c r="G52" s="49">
        <v>0</v>
      </c>
      <c r="H52" s="138">
        <f>IF(B$27=0,0,G52/B$27)</f>
        <v>0</v>
      </c>
      <c r="I52" s="99">
        <v>1</v>
      </c>
      <c r="K52" s="38">
        <v>50</v>
      </c>
      <c r="L52" s="103">
        <v>4.0999999999999943</v>
      </c>
    </row>
    <row r="53" spans="5:12" x14ac:dyDescent="0.4">
      <c r="K53" s="38">
        <v>51</v>
      </c>
      <c r="L53" s="103">
        <v>-5.3290705182007514E-15</v>
      </c>
    </row>
    <row r="54" spans="5:12" x14ac:dyDescent="0.4">
      <c r="K54" s="38">
        <v>52</v>
      </c>
      <c r="L54" s="103">
        <v>27.799999999999997</v>
      </c>
    </row>
    <row r="55" spans="5:12" x14ac:dyDescent="0.4">
      <c r="K55" s="38">
        <v>53</v>
      </c>
      <c r="L55" s="103">
        <v>25.099999999999998</v>
      </c>
    </row>
    <row r="56" spans="5:12" x14ac:dyDescent="0.4">
      <c r="K56" s="38">
        <v>54</v>
      </c>
      <c r="L56" s="103">
        <v>-3.5527136788005009E-15</v>
      </c>
    </row>
    <row r="57" spans="5:12" x14ac:dyDescent="0.4">
      <c r="K57" s="38">
        <v>55</v>
      </c>
      <c r="L57" s="103">
        <v>47.2</v>
      </c>
    </row>
    <row r="58" spans="5:12" x14ac:dyDescent="0.4">
      <c r="K58" s="38">
        <v>56</v>
      </c>
      <c r="L58" s="103">
        <v>-3.5</v>
      </c>
    </row>
    <row r="59" spans="5:12" x14ac:dyDescent="0.4">
      <c r="K59" s="38">
        <v>57</v>
      </c>
      <c r="L59" s="103">
        <v>0</v>
      </c>
    </row>
    <row r="60" spans="5:12" x14ac:dyDescent="0.4">
      <c r="K60" s="38">
        <v>58</v>
      </c>
      <c r="L60" s="103">
        <v>-28.5</v>
      </c>
    </row>
    <row r="61" spans="5:12" x14ac:dyDescent="0.4">
      <c r="K61" s="38">
        <v>59</v>
      </c>
      <c r="L61" s="103">
        <v>-31.9</v>
      </c>
    </row>
    <row r="62" spans="5:12" x14ac:dyDescent="0.4">
      <c r="K62" s="38">
        <v>60</v>
      </c>
      <c r="L62" s="103">
        <v>0</v>
      </c>
    </row>
    <row r="63" spans="5:12" x14ac:dyDescent="0.4">
      <c r="K63" s="38">
        <v>61</v>
      </c>
      <c r="L63" s="103">
        <v>28.9</v>
      </c>
    </row>
    <row r="64" spans="5:12" x14ac:dyDescent="0.4">
      <c r="K64" s="38">
        <v>62</v>
      </c>
      <c r="L64" s="103">
        <v>3.5</v>
      </c>
    </row>
    <row r="65" spans="11:12" x14ac:dyDescent="0.4">
      <c r="K65" s="38">
        <v>63</v>
      </c>
      <c r="L65" s="103">
        <v>0</v>
      </c>
    </row>
    <row r="66" spans="11:12" x14ac:dyDescent="0.4">
      <c r="K66" s="38">
        <v>64</v>
      </c>
      <c r="L66" s="103">
        <v>-15.3</v>
      </c>
    </row>
    <row r="67" spans="11:12" x14ac:dyDescent="0.4">
      <c r="K67" s="38">
        <v>65</v>
      </c>
      <c r="L67" s="103">
        <v>41</v>
      </c>
    </row>
    <row r="68" spans="11:12" x14ac:dyDescent="0.4">
      <c r="K68" s="38">
        <v>66</v>
      </c>
      <c r="L68" s="103">
        <v>0</v>
      </c>
    </row>
    <row r="69" spans="11:12" x14ac:dyDescent="0.4">
      <c r="K69" s="38">
        <v>67</v>
      </c>
      <c r="L69" s="103">
        <v>-15.8</v>
      </c>
    </row>
    <row r="70" spans="11:12" x14ac:dyDescent="0.4">
      <c r="K70" s="38">
        <v>68</v>
      </c>
      <c r="L70" s="103">
        <v>57.8</v>
      </c>
    </row>
    <row r="71" spans="11:12" x14ac:dyDescent="0.4">
      <c r="K71" s="38">
        <v>69</v>
      </c>
      <c r="L71" s="103">
        <v>0</v>
      </c>
    </row>
    <row r="72" spans="11:12" x14ac:dyDescent="0.4">
      <c r="K72" s="38">
        <v>70</v>
      </c>
      <c r="L72" s="103">
        <v>54.6</v>
      </c>
    </row>
    <row r="73" spans="11:12" x14ac:dyDescent="0.4">
      <c r="K73" s="38">
        <v>71</v>
      </c>
      <c r="L73" s="103">
        <v>14.600000000000001</v>
      </c>
    </row>
    <row r="74" spans="11:12" x14ac:dyDescent="0.4">
      <c r="K74" s="38">
        <v>72</v>
      </c>
      <c r="L74" s="103">
        <v>1.7763568394002505E-15</v>
      </c>
    </row>
    <row r="75" spans="11:12" x14ac:dyDescent="0.4">
      <c r="K75" s="38">
        <v>73</v>
      </c>
      <c r="L75" s="103">
        <v>-43.7</v>
      </c>
    </row>
    <row r="76" spans="11:12" x14ac:dyDescent="0.4">
      <c r="K76" s="38">
        <v>74</v>
      </c>
      <c r="L76" s="103">
        <v>6.2999999999999972</v>
      </c>
    </row>
    <row r="77" spans="11:12" x14ac:dyDescent="0.4">
      <c r="K77" s="38">
        <v>75</v>
      </c>
      <c r="L77" s="103">
        <v>-2.6645352591003757E-15</v>
      </c>
    </row>
    <row r="78" spans="11:12" x14ac:dyDescent="0.4">
      <c r="K78" s="38">
        <v>76</v>
      </c>
      <c r="L78" s="103">
        <v>-32.5</v>
      </c>
    </row>
    <row r="79" spans="11:12" x14ac:dyDescent="0.4">
      <c r="K79" s="38">
        <v>77</v>
      </c>
      <c r="L79" s="103">
        <v>-37.1</v>
      </c>
    </row>
    <row r="80" spans="11:12" x14ac:dyDescent="0.4">
      <c r="K80" s="38">
        <v>78</v>
      </c>
      <c r="L80" s="103">
        <v>0</v>
      </c>
    </row>
    <row r="81" spans="11:12" x14ac:dyDescent="0.4">
      <c r="K81" s="38">
        <v>79</v>
      </c>
      <c r="L81" s="103">
        <v>8</v>
      </c>
    </row>
    <row r="82" spans="11:12" x14ac:dyDescent="0.4">
      <c r="K82" s="38">
        <v>80</v>
      </c>
      <c r="L82" s="103">
        <v>-29.299999999999997</v>
      </c>
    </row>
    <row r="83" spans="11:12" x14ac:dyDescent="0.4">
      <c r="K83" s="38">
        <v>81</v>
      </c>
      <c r="L83" s="103">
        <v>3.5527136788005009E-15</v>
      </c>
    </row>
    <row r="84" spans="11:12" x14ac:dyDescent="0.4">
      <c r="K84" s="38">
        <v>82</v>
      </c>
      <c r="L84" s="103">
        <v>-6.9999999999999964</v>
      </c>
    </row>
    <row r="85" spans="11:12" x14ac:dyDescent="0.4">
      <c r="K85" s="38">
        <v>83</v>
      </c>
      <c r="L85" s="103">
        <v>-38.5</v>
      </c>
    </row>
    <row r="86" spans="11:12" x14ac:dyDescent="0.4">
      <c r="K86" s="38">
        <v>84</v>
      </c>
      <c r="L86" s="103">
        <v>0</v>
      </c>
    </row>
    <row r="87" spans="11:12" x14ac:dyDescent="0.4">
      <c r="K87" s="38">
        <v>85</v>
      </c>
      <c r="L87" s="103">
        <v>52.9</v>
      </c>
    </row>
    <row r="88" spans="11:12" x14ac:dyDescent="0.4">
      <c r="K88" s="38">
        <v>86</v>
      </c>
      <c r="L88" s="103">
        <v>-3.1000000000000014</v>
      </c>
    </row>
    <row r="89" spans="11:12" x14ac:dyDescent="0.4">
      <c r="K89" s="38">
        <v>87</v>
      </c>
      <c r="L89" s="103">
        <v>-1.3322676295501878E-15</v>
      </c>
    </row>
    <row r="90" spans="11:12" x14ac:dyDescent="0.4">
      <c r="K90" s="38">
        <v>88</v>
      </c>
      <c r="L90" s="103">
        <v>22.1</v>
      </c>
    </row>
    <row r="91" spans="11:12" x14ac:dyDescent="0.4">
      <c r="K91" s="38">
        <v>89</v>
      </c>
      <c r="L91" s="103">
        <v>24</v>
      </c>
    </row>
    <row r="92" spans="11:12" x14ac:dyDescent="0.4">
      <c r="K92" s="38">
        <v>90</v>
      </c>
      <c r="L92" s="103">
        <v>0</v>
      </c>
    </row>
    <row r="93" spans="11:12" x14ac:dyDescent="0.4">
      <c r="K93" s="38">
        <v>91</v>
      </c>
      <c r="L93" s="103">
        <v>22.1</v>
      </c>
    </row>
    <row r="94" spans="11:12" x14ac:dyDescent="0.4">
      <c r="K94" s="38">
        <v>92</v>
      </c>
      <c r="L94" s="103">
        <v>24</v>
      </c>
    </row>
    <row r="95" spans="11:12" x14ac:dyDescent="0.4">
      <c r="K95" s="38">
        <v>93</v>
      </c>
      <c r="L95" s="103">
        <v>0</v>
      </c>
    </row>
    <row r="96" spans="11:12" x14ac:dyDescent="0.4">
      <c r="K96" s="38">
        <v>94</v>
      </c>
      <c r="L96" s="103">
        <v>25.7</v>
      </c>
    </row>
    <row r="97" spans="11:12" x14ac:dyDescent="0.4">
      <c r="K97" s="38">
        <v>95</v>
      </c>
      <c r="L97" s="103">
        <v>1.8000000000000007</v>
      </c>
    </row>
    <row r="98" spans="11:12" x14ac:dyDescent="0.4">
      <c r="K98" s="38">
        <v>96</v>
      </c>
      <c r="L98" s="103">
        <v>6.6613381477509392E-16</v>
      </c>
    </row>
  </sheetData>
  <sortState ref="N15:Q23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F8198-E012-4355-9C8E-631E1EBFF5DC}">
  <sheetPr codeName="Sheet7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131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19</v>
      </c>
      <c r="C2" s="148"/>
      <c r="E2" s="62" t="s">
        <v>74</v>
      </c>
      <c r="F2" s="59" t="s">
        <v>28</v>
      </c>
      <c r="G2" s="46">
        <v>41</v>
      </c>
      <c r="H2" s="136">
        <f>IF(B$27=0,0,G2/B$27)</f>
        <v>0.63076923076923075</v>
      </c>
      <c r="I2" s="97">
        <v>2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2547.3684210526317</v>
      </c>
      <c r="P2" s="122">
        <v>19</v>
      </c>
      <c r="Q2" s="106">
        <v>48400</v>
      </c>
    </row>
    <row r="3" spans="1:17" x14ac:dyDescent="0.4">
      <c r="A3" s="55" t="s">
        <v>8</v>
      </c>
      <c r="B3" s="153">
        <v>153</v>
      </c>
      <c r="C3" s="154"/>
      <c r="E3" s="63" t="s">
        <v>68</v>
      </c>
      <c r="F3" s="60" t="s">
        <v>23</v>
      </c>
      <c r="G3" s="47">
        <v>38</v>
      </c>
      <c r="H3" s="137">
        <f>IF(B$27=0,0,G3/B$27)</f>
        <v>0.58461538461538465</v>
      </c>
      <c r="I3" s="98">
        <v>7</v>
      </c>
      <c r="K3" s="38">
        <v>1</v>
      </c>
      <c r="L3" s="103">
        <v>-5.0999999999999996</v>
      </c>
      <c r="N3" s="119" t="s">
        <v>137</v>
      </c>
      <c r="O3" s="126">
        <f t="shared" si="0"/>
        <v>5168.4210526315792</v>
      </c>
      <c r="P3" s="123">
        <v>19</v>
      </c>
      <c r="Q3" s="107">
        <v>98200</v>
      </c>
    </row>
    <row r="4" spans="1:17" x14ac:dyDescent="0.4">
      <c r="A4" s="55" t="s">
        <v>6</v>
      </c>
      <c r="B4" s="155">
        <v>405.40000000000003</v>
      </c>
      <c r="C4" s="156"/>
      <c r="E4" s="63" t="s">
        <v>66</v>
      </c>
      <c r="F4" s="60" t="s">
        <v>21</v>
      </c>
      <c r="G4" s="47">
        <v>30</v>
      </c>
      <c r="H4" s="137">
        <f>IF(B$27=0,0,G4/B$27)</f>
        <v>0.46153846153846156</v>
      </c>
      <c r="I4" s="98">
        <v>8</v>
      </c>
      <c r="K4" s="38">
        <v>2</v>
      </c>
      <c r="L4" s="103">
        <v>-2.8999999999999995</v>
      </c>
      <c r="N4" s="119" t="s">
        <v>138</v>
      </c>
      <c r="O4" s="126">
        <f t="shared" si="0"/>
        <v>866.66666666666663</v>
      </c>
      <c r="P4" s="123">
        <v>18</v>
      </c>
      <c r="Q4" s="107">
        <v>15600</v>
      </c>
    </row>
    <row r="5" spans="1:17" x14ac:dyDescent="0.4">
      <c r="A5" s="55" t="s">
        <v>7</v>
      </c>
      <c r="B5" s="157">
        <f>IF(B$2=0,0,B$4/B$2)</f>
        <v>21.336842105263159</v>
      </c>
      <c r="C5" s="158"/>
      <c r="E5" s="63" t="s">
        <v>189</v>
      </c>
      <c r="F5" s="60" t="s">
        <v>190</v>
      </c>
      <c r="G5" s="47">
        <v>30</v>
      </c>
      <c r="H5" s="137">
        <f>IF(B$27=0,0,G5/B$27)</f>
        <v>0.46153846153846156</v>
      </c>
      <c r="I5" s="98">
        <v>3</v>
      </c>
      <c r="K5" s="38">
        <v>3</v>
      </c>
      <c r="L5" s="103">
        <v>70.399999999999991</v>
      </c>
      <c r="N5" s="119" t="s">
        <v>139</v>
      </c>
      <c r="O5" s="126">
        <f t="shared" si="0"/>
        <v>4905.8823529411766</v>
      </c>
      <c r="P5" s="123">
        <v>17</v>
      </c>
      <c r="Q5" s="107">
        <v>83400</v>
      </c>
    </row>
    <row r="6" spans="1:17" x14ac:dyDescent="0.4">
      <c r="A6" s="55" t="s">
        <v>1</v>
      </c>
      <c r="B6" s="145">
        <f>IF(B$2=0,0,(B$7*1+B$8*2+B$9*3)/B$2)</f>
        <v>1.631578947368421</v>
      </c>
      <c r="C6" s="146"/>
      <c r="E6" s="63" t="s">
        <v>71</v>
      </c>
      <c r="F6" s="60" t="s">
        <v>25</v>
      </c>
      <c r="G6" s="47">
        <v>14</v>
      </c>
      <c r="H6" s="137">
        <f>IF(B$27=0,0,G6/B$27)</f>
        <v>0.2153846153846154</v>
      </c>
      <c r="I6" s="98">
        <v>4</v>
      </c>
      <c r="K6" s="38">
        <v>4</v>
      </c>
      <c r="L6" s="103">
        <v>110.5</v>
      </c>
      <c r="N6" s="119" t="s">
        <v>140</v>
      </c>
      <c r="O6" s="126">
        <f t="shared" si="0"/>
        <v>546.66666666666663</v>
      </c>
      <c r="P6" s="123">
        <v>15</v>
      </c>
      <c r="Q6" s="107">
        <v>8200</v>
      </c>
    </row>
    <row r="7" spans="1:17" x14ac:dyDescent="0.4">
      <c r="A7" s="55" t="s">
        <v>2</v>
      </c>
      <c r="B7" s="47">
        <v>10</v>
      </c>
      <c r="C7" s="39">
        <f>IF(B$2=0,0,B7/B$2)</f>
        <v>0.52631578947368418</v>
      </c>
      <c r="E7" s="63" t="s">
        <v>92</v>
      </c>
      <c r="F7" s="60" t="s">
        <v>46</v>
      </c>
      <c r="G7" s="47">
        <v>14</v>
      </c>
      <c r="H7" s="137">
        <f>IF(B$27=0,0,G7/B$27)</f>
        <v>0.2153846153846154</v>
      </c>
      <c r="I7" s="98">
        <v>3</v>
      </c>
      <c r="K7" s="38">
        <v>5</v>
      </c>
      <c r="L7" s="103">
        <v>201.4</v>
      </c>
      <c r="N7" s="120" t="s">
        <v>141</v>
      </c>
      <c r="O7" s="127">
        <f t="shared" si="0"/>
        <v>471.42857142857144</v>
      </c>
      <c r="P7" s="124">
        <v>14</v>
      </c>
      <c r="Q7" s="108">
        <v>6600</v>
      </c>
    </row>
    <row r="8" spans="1:17" x14ac:dyDescent="0.4">
      <c r="A8" s="55" t="s">
        <v>3</v>
      </c>
      <c r="B8" s="47">
        <v>6</v>
      </c>
      <c r="C8" s="39">
        <f>IF(B$2=0,0,B8/B$2)</f>
        <v>0.31578947368421051</v>
      </c>
      <c r="E8" s="63" t="s">
        <v>69</v>
      </c>
      <c r="F8" s="60" t="s">
        <v>24</v>
      </c>
      <c r="G8" s="47">
        <v>12</v>
      </c>
      <c r="H8" s="137">
        <f>IF(B$27=0,0,G8/B$27)</f>
        <v>0.18461538461538463</v>
      </c>
      <c r="I8" s="98">
        <v>8</v>
      </c>
      <c r="K8" s="38">
        <v>6</v>
      </c>
      <c r="L8" s="103">
        <v>232.4</v>
      </c>
      <c r="N8" s="43"/>
      <c r="O8" s="131"/>
      <c r="P8" s="115"/>
      <c r="Q8" s="113"/>
    </row>
    <row r="9" spans="1:17" x14ac:dyDescent="0.4">
      <c r="A9" s="56" t="s">
        <v>4</v>
      </c>
      <c r="B9" s="48">
        <v>3</v>
      </c>
      <c r="C9" s="40">
        <f t="shared" ref="C9" si="1">IF(B$2=0,0,B9/B$2)</f>
        <v>0.15789473684210525</v>
      </c>
      <c r="E9" s="63" t="s">
        <v>70</v>
      </c>
      <c r="F9" s="60" t="s">
        <v>12</v>
      </c>
      <c r="G9" s="47">
        <v>11</v>
      </c>
      <c r="H9" s="137">
        <f>IF(B$27=0,0,G9/B$27)</f>
        <v>0.16923076923076924</v>
      </c>
      <c r="I9" s="98">
        <v>9</v>
      </c>
      <c r="K9" s="38">
        <v>7</v>
      </c>
      <c r="L9" s="103">
        <v>256.10000000000002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1</v>
      </c>
      <c r="C10" s="40">
        <f>IF(B$2=0,0,B10/B$2)</f>
        <v>5.2631578947368418E-2</v>
      </c>
      <c r="E10" s="63" t="s">
        <v>67</v>
      </c>
      <c r="F10" s="60" t="s">
        <v>22</v>
      </c>
      <c r="G10" s="47">
        <v>10</v>
      </c>
      <c r="H10" s="137">
        <f>IF(B$27=0,0,G10/B$27)</f>
        <v>0.15384615384615385</v>
      </c>
      <c r="I10" s="98">
        <v>3</v>
      </c>
      <c r="K10" s="38">
        <v>8</v>
      </c>
      <c r="L10" s="103">
        <v>285.20000000000005</v>
      </c>
      <c r="N10" s="118" t="s">
        <v>172</v>
      </c>
      <c r="O10" s="128">
        <f>IF(P10=0,0,Q10/P10)</f>
        <v>24.628571428571426</v>
      </c>
      <c r="P10" s="122">
        <v>7</v>
      </c>
      <c r="Q10" s="110">
        <v>172.39999999999998</v>
      </c>
    </row>
    <row r="11" spans="1:17" x14ac:dyDescent="0.4">
      <c r="A11" s="56" t="s">
        <v>144</v>
      </c>
      <c r="B11" s="48">
        <v>2</v>
      </c>
      <c r="C11" s="40">
        <f>IF(B$2=0,0,B11/B$2)</f>
        <v>0.10526315789473684</v>
      </c>
      <c r="E11" s="63" t="s">
        <v>72</v>
      </c>
      <c r="F11" s="60" t="s">
        <v>26</v>
      </c>
      <c r="G11" s="47">
        <v>4</v>
      </c>
      <c r="H11" s="137">
        <f>IF(B$27=0,0,G11/B$27)</f>
        <v>6.1538461538461542E-2</v>
      </c>
      <c r="I11" s="98">
        <v>6</v>
      </c>
      <c r="K11" s="38">
        <v>9</v>
      </c>
      <c r="L11" s="103">
        <v>277.90000000000003</v>
      </c>
      <c r="N11" s="119" t="s">
        <v>173</v>
      </c>
      <c r="O11" s="129">
        <f>IF(P11=0,0,Q11/P11)</f>
        <v>9.5500000000000025</v>
      </c>
      <c r="P11" s="123">
        <v>6</v>
      </c>
      <c r="Q11" s="111">
        <v>57.300000000000011</v>
      </c>
    </row>
    <row r="12" spans="1:17" x14ac:dyDescent="0.4">
      <c r="A12" s="57" t="s">
        <v>165</v>
      </c>
      <c r="B12" s="49">
        <v>4</v>
      </c>
      <c r="C12" s="42">
        <f>IF(B$2=0,0,B12/B$2)</f>
        <v>0.21052631578947367</v>
      </c>
      <c r="E12" s="63" t="s">
        <v>89</v>
      </c>
      <c r="F12" s="60" t="s">
        <v>43</v>
      </c>
      <c r="G12" s="47">
        <v>4</v>
      </c>
      <c r="H12" s="137">
        <f>IF(B$27=0,0,G12/B$27)</f>
        <v>6.1538461538461542E-2</v>
      </c>
      <c r="I12" s="98">
        <v>4</v>
      </c>
      <c r="K12" s="38">
        <v>10</v>
      </c>
      <c r="L12" s="103">
        <v>246.20000000000005</v>
      </c>
      <c r="N12" s="120" t="s">
        <v>174</v>
      </c>
      <c r="O12" s="130">
        <f>IF(P12=0,0,Q12/P12)</f>
        <v>29.283333333333335</v>
      </c>
      <c r="P12" s="124">
        <v>6</v>
      </c>
      <c r="Q12" s="112">
        <v>175.70000000000002</v>
      </c>
    </row>
    <row r="13" spans="1:17" x14ac:dyDescent="0.4">
      <c r="A13" s="58" t="s">
        <v>126</v>
      </c>
      <c r="B13" s="50">
        <v>56</v>
      </c>
      <c r="C13" s="44">
        <f>IF(B$26=0,0,B13/B$26)</f>
        <v>0.36601307189542481</v>
      </c>
      <c r="E13" s="63" t="s">
        <v>80</v>
      </c>
      <c r="F13" s="60" t="s">
        <v>34</v>
      </c>
      <c r="G13" s="47">
        <v>3</v>
      </c>
      <c r="H13" s="137">
        <f>IF(B$27=0,0,G13/B$27)</f>
        <v>4.6153846153846156E-2</v>
      </c>
      <c r="I13" s="98">
        <v>2</v>
      </c>
      <c r="K13" s="38">
        <v>11</v>
      </c>
      <c r="L13" s="103">
        <v>333.30000000000007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42</v>
      </c>
      <c r="C14" s="39">
        <f>IF(B$26=0,0,B14/B$26)</f>
        <v>0.27450980392156865</v>
      </c>
      <c r="E14" s="63" t="s">
        <v>86</v>
      </c>
      <c r="F14" s="60" t="s">
        <v>40</v>
      </c>
      <c r="G14" s="47">
        <v>3</v>
      </c>
      <c r="H14" s="137">
        <f>IF(B$27=0,0,G14/B$27)</f>
        <v>4.6153846153846156E-2</v>
      </c>
      <c r="I14" s="98">
        <v>7</v>
      </c>
      <c r="K14" s="38">
        <v>12</v>
      </c>
      <c r="L14" s="103">
        <v>371.70000000000005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30</v>
      </c>
      <c r="C15" s="37">
        <f>IF(B$13=0,0,B15/B$13)</f>
        <v>0.5357142857142857</v>
      </c>
      <c r="E15" s="63" t="s">
        <v>73</v>
      </c>
      <c r="F15" s="60" t="s">
        <v>27</v>
      </c>
      <c r="G15" s="47">
        <v>2</v>
      </c>
      <c r="H15" s="137">
        <f>IF(B$27=0,0,G15/B$27)</f>
        <v>3.0769230769230771E-2</v>
      </c>
      <c r="I15" s="98">
        <v>6</v>
      </c>
      <c r="K15" s="38">
        <v>13</v>
      </c>
      <c r="L15" s="103">
        <v>418.90000000000003</v>
      </c>
      <c r="N15" s="118" t="s">
        <v>181</v>
      </c>
      <c r="O15" s="128">
        <f>IF(P15=0,0,Q15/P15)</f>
        <v>120</v>
      </c>
      <c r="P15" s="122">
        <v>3</v>
      </c>
      <c r="Q15" s="110">
        <v>360</v>
      </c>
    </row>
    <row r="16" spans="1:17" x14ac:dyDescent="0.4">
      <c r="A16" s="54" t="s">
        <v>129</v>
      </c>
      <c r="B16" s="46">
        <v>24</v>
      </c>
      <c r="C16" s="37">
        <f>IF(B$14=0,0,B16/B$14)</f>
        <v>0.5714285714285714</v>
      </c>
      <c r="E16" s="63" t="s">
        <v>84</v>
      </c>
      <c r="F16" s="60" t="s">
        <v>38</v>
      </c>
      <c r="G16" s="47">
        <v>1</v>
      </c>
      <c r="H16" s="137">
        <f>IF(B$27=0,0,G16/B$27)</f>
        <v>1.5384615384615385E-2</v>
      </c>
      <c r="I16" s="98">
        <v>5</v>
      </c>
      <c r="K16" s="38">
        <v>14</v>
      </c>
      <c r="L16" s="103">
        <v>473.50000000000006</v>
      </c>
      <c r="N16" s="119" t="s">
        <v>185</v>
      </c>
      <c r="O16" s="129">
        <f>IF(P16=0,0,Q16/P16)</f>
        <v>94.6</v>
      </c>
      <c r="P16" s="123">
        <v>1</v>
      </c>
      <c r="Q16" s="111">
        <v>94.6</v>
      </c>
    </row>
    <row r="17" spans="1:17" x14ac:dyDescent="0.4">
      <c r="A17" s="54" t="s">
        <v>10</v>
      </c>
      <c r="B17" s="46">
        <f>B19+B18</f>
        <v>65</v>
      </c>
      <c r="C17" s="37">
        <f>IF(B$3=0,0,B17/B$3)</f>
        <v>0.42483660130718953</v>
      </c>
      <c r="E17" s="63" t="s">
        <v>75</v>
      </c>
      <c r="F17" s="60" t="s">
        <v>29</v>
      </c>
      <c r="G17" s="47">
        <v>0</v>
      </c>
      <c r="H17" s="137">
        <f>IF(B$27=0,0,G17/B$27)</f>
        <v>0</v>
      </c>
      <c r="I17" s="98">
        <v>3</v>
      </c>
      <c r="K17" s="38">
        <v>15</v>
      </c>
      <c r="L17" s="103">
        <v>481.50000000000006</v>
      </c>
      <c r="N17" s="119" t="s">
        <v>193</v>
      </c>
      <c r="O17" s="129">
        <f>IF(P17=0,0,Q17/P17)</f>
        <v>69.2</v>
      </c>
      <c r="P17" s="123">
        <v>1</v>
      </c>
      <c r="Q17" s="111">
        <v>69.2</v>
      </c>
    </row>
    <row r="18" spans="1:17" x14ac:dyDescent="0.4">
      <c r="A18" s="55" t="s">
        <v>12</v>
      </c>
      <c r="B18" s="47">
        <v>23</v>
      </c>
      <c r="C18" s="39">
        <f>IF(B$17=0,0,B18/B$17)</f>
        <v>0.35384615384615387</v>
      </c>
      <c r="E18" s="63" t="s">
        <v>76</v>
      </c>
      <c r="F18" s="60" t="s">
        <v>30</v>
      </c>
      <c r="G18" s="47">
        <v>0</v>
      </c>
      <c r="H18" s="137">
        <f>IF(B$27=0,0,G18/B$27)</f>
        <v>0</v>
      </c>
      <c r="I18" s="98">
        <v>1</v>
      </c>
      <c r="K18" s="38">
        <v>16</v>
      </c>
      <c r="L18" s="103">
        <v>425.50000000000006</v>
      </c>
      <c r="N18" s="119" t="s">
        <v>179</v>
      </c>
      <c r="O18" s="129">
        <f>IF(P18=0,0,Q18/P18)</f>
        <v>38.239999999999995</v>
      </c>
      <c r="P18" s="123">
        <v>10</v>
      </c>
      <c r="Q18" s="111">
        <v>382.39999999999992</v>
      </c>
    </row>
    <row r="19" spans="1:17" x14ac:dyDescent="0.4">
      <c r="A19" s="55" t="s">
        <v>11</v>
      </c>
      <c r="B19" s="47">
        <v>42</v>
      </c>
      <c r="C19" s="39">
        <f>IF(B$17=0,0,B19/B$17)</f>
        <v>0.64615384615384619</v>
      </c>
      <c r="E19" s="63" t="s">
        <v>77</v>
      </c>
      <c r="F19" s="60" t="s">
        <v>31</v>
      </c>
      <c r="G19" s="47">
        <v>0</v>
      </c>
      <c r="H19" s="137">
        <f>IF(B$27=0,0,G19/B$27)</f>
        <v>0</v>
      </c>
      <c r="I19" s="98">
        <v>5</v>
      </c>
      <c r="K19" s="38">
        <v>17</v>
      </c>
      <c r="L19" s="103">
        <v>427.40000000000003</v>
      </c>
      <c r="N19" s="119" t="s">
        <v>133</v>
      </c>
      <c r="O19" s="129">
        <f>IF(P19=0,0,Q19/P19)</f>
        <v>32.857142857142854</v>
      </c>
      <c r="P19" s="123">
        <v>7</v>
      </c>
      <c r="Q19" s="111">
        <v>230</v>
      </c>
    </row>
    <row r="20" spans="1:17" x14ac:dyDescent="0.4">
      <c r="A20" s="55" t="s">
        <v>13</v>
      </c>
      <c r="B20" s="47">
        <v>29</v>
      </c>
      <c r="C20" s="39">
        <f>IF(B$3=0,0,B20/B$3)</f>
        <v>0.18954248366013071</v>
      </c>
      <c r="E20" s="63" t="s">
        <v>78</v>
      </c>
      <c r="F20" s="60" t="s">
        <v>32</v>
      </c>
      <c r="G20" s="47">
        <v>0</v>
      </c>
      <c r="H20" s="137">
        <f>IF(B$27=0,0,G20/B$27)</f>
        <v>0</v>
      </c>
      <c r="I20" s="98">
        <v>1</v>
      </c>
      <c r="K20" s="38">
        <v>18</v>
      </c>
      <c r="L20" s="103">
        <v>429.3</v>
      </c>
      <c r="N20" s="119" t="s">
        <v>180</v>
      </c>
      <c r="O20" s="129">
        <f>IF(P20=0,0,Q20/P20)</f>
        <v>13.3</v>
      </c>
      <c r="P20" s="123">
        <v>4</v>
      </c>
      <c r="Q20" s="111">
        <v>53.2</v>
      </c>
    </row>
    <row r="21" spans="1:17" x14ac:dyDescent="0.4">
      <c r="A21" s="55" t="s">
        <v>5</v>
      </c>
      <c r="B21" s="51">
        <f>IF(B$17=0,0,C21/B$17)</f>
        <v>7787.6923076923076</v>
      </c>
      <c r="C21" s="41">
        <v>506200</v>
      </c>
      <c r="E21" s="63" t="s">
        <v>79</v>
      </c>
      <c r="F21" s="60" t="s">
        <v>33</v>
      </c>
      <c r="G21" s="47">
        <v>0</v>
      </c>
      <c r="H21" s="137">
        <f>IF(B$27=0,0,G21/B$27)</f>
        <v>0</v>
      </c>
      <c r="I21" s="98">
        <v>1</v>
      </c>
      <c r="K21" s="38">
        <v>19</v>
      </c>
      <c r="L21" s="103">
        <v>405.40000000000003</v>
      </c>
      <c r="N21" s="119" t="s">
        <v>132</v>
      </c>
      <c r="O21" s="129">
        <f>IF(P21=0,0,Q21/P21)</f>
        <v>2.2333333333333338</v>
      </c>
      <c r="P21" s="123">
        <v>12</v>
      </c>
      <c r="Q21" s="111">
        <v>26.800000000000008</v>
      </c>
    </row>
    <row r="22" spans="1:17" x14ac:dyDescent="0.4">
      <c r="A22" s="57" t="s">
        <v>14</v>
      </c>
      <c r="B22" s="52">
        <f>IF(B$20=0,0,C22/B$20)</f>
        <v>-7658.6206896551721</v>
      </c>
      <c r="C22" s="45">
        <v>-222100</v>
      </c>
      <c r="E22" s="63" t="s">
        <v>81</v>
      </c>
      <c r="F22" s="60" t="s">
        <v>35</v>
      </c>
      <c r="G22" s="47">
        <v>0</v>
      </c>
      <c r="H22" s="137">
        <f>IF(B$27=0,0,G22/B$27)</f>
        <v>0</v>
      </c>
      <c r="I22" s="98">
        <v>3</v>
      </c>
    </row>
    <row r="23" spans="1:17" x14ac:dyDescent="0.4">
      <c r="A23" s="94" t="s">
        <v>146</v>
      </c>
      <c r="B23" s="143">
        <v>4</v>
      </c>
      <c r="C23" s="144"/>
      <c r="E23" s="63" t="s">
        <v>82</v>
      </c>
      <c r="F23" s="60" t="s">
        <v>36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41">
        <v>105900</v>
      </c>
      <c r="C24" s="142"/>
      <c r="E24" s="63" t="s">
        <v>83</v>
      </c>
      <c r="F24" s="60" t="s">
        <v>37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85</v>
      </c>
      <c r="F25" s="60" t="s">
        <v>39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7">
        <v>153</v>
      </c>
      <c r="C26" s="148"/>
      <c r="E26" s="63" t="s">
        <v>87</v>
      </c>
      <c r="F26" s="60" t="s">
        <v>41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65</v>
      </c>
      <c r="C27" s="150"/>
      <c r="E27" s="63" t="s">
        <v>88</v>
      </c>
      <c r="F27" s="60" t="s">
        <v>42</v>
      </c>
      <c r="G27" s="47">
        <v>0</v>
      </c>
      <c r="H27" s="137">
        <f>IF(B$27=0,0,G27/B$27)</f>
        <v>0</v>
      </c>
      <c r="I27" s="98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IF(B$27=0,0,G28/B$27)</f>
        <v>0</v>
      </c>
      <c r="I28" s="98">
        <v>1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IF(B$27=0,0,G31/B$27)</f>
        <v>0</v>
      </c>
      <c r="I31" s="98">
        <v>4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3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3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1532E-B18D-45CA-8AA6-7304915F035F}">
  <sheetPr codeName="Sheet9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132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20</v>
      </c>
      <c r="C2" s="148"/>
      <c r="E2" s="62" t="s">
        <v>68</v>
      </c>
      <c r="F2" s="59" t="s">
        <v>23</v>
      </c>
      <c r="G2" s="46">
        <v>41</v>
      </c>
      <c r="H2" s="136">
        <f>IF(B$27=0,0,G2/B$27)</f>
        <v>0.82</v>
      </c>
      <c r="I2" s="97">
        <v>2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-530</v>
      </c>
      <c r="P2" s="122">
        <v>20</v>
      </c>
      <c r="Q2" s="106">
        <v>-10600</v>
      </c>
    </row>
    <row r="3" spans="1:17" x14ac:dyDescent="0.4">
      <c r="A3" s="55" t="s">
        <v>8</v>
      </c>
      <c r="B3" s="153">
        <v>177</v>
      </c>
      <c r="C3" s="154"/>
      <c r="E3" s="63" t="s">
        <v>66</v>
      </c>
      <c r="F3" s="60" t="s">
        <v>21</v>
      </c>
      <c r="G3" s="47">
        <v>35</v>
      </c>
      <c r="H3" s="137">
        <f>IF(B$27=0,0,G3/B$27)</f>
        <v>0.7</v>
      </c>
      <c r="I3" s="98">
        <v>1</v>
      </c>
      <c r="K3" s="38">
        <v>1</v>
      </c>
      <c r="L3" s="103">
        <v>45.5</v>
      </c>
      <c r="N3" s="119" t="s">
        <v>137</v>
      </c>
      <c r="O3" s="126">
        <f t="shared" si="0"/>
        <v>-2050</v>
      </c>
      <c r="P3" s="123">
        <v>20</v>
      </c>
      <c r="Q3" s="107">
        <v>-41000</v>
      </c>
    </row>
    <row r="4" spans="1:17" x14ac:dyDescent="0.4">
      <c r="A4" s="55" t="s">
        <v>6</v>
      </c>
      <c r="B4" s="155">
        <v>164.49999999999997</v>
      </c>
      <c r="C4" s="156"/>
      <c r="E4" s="63" t="s">
        <v>189</v>
      </c>
      <c r="F4" s="60" t="s">
        <v>190</v>
      </c>
      <c r="G4" s="47">
        <v>24</v>
      </c>
      <c r="H4" s="137">
        <f>IF(B$27=0,0,G4/B$27)</f>
        <v>0.48</v>
      </c>
      <c r="I4" s="98">
        <v>1</v>
      </c>
      <c r="K4" s="38">
        <v>2</v>
      </c>
      <c r="L4" s="103">
        <v>6.2999999999999972</v>
      </c>
      <c r="N4" s="119" t="s">
        <v>138</v>
      </c>
      <c r="O4" s="126">
        <f t="shared" si="0"/>
        <v>260</v>
      </c>
      <c r="P4" s="123">
        <v>20</v>
      </c>
      <c r="Q4" s="107">
        <v>5200</v>
      </c>
    </row>
    <row r="5" spans="1:17" x14ac:dyDescent="0.4">
      <c r="A5" s="55" t="s">
        <v>7</v>
      </c>
      <c r="B5" s="157">
        <f>IF(B$2=0,0,B$4/B$2)</f>
        <v>8.2249999999999979</v>
      </c>
      <c r="C5" s="158"/>
      <c r="E5" s="63" t="s">
        <v>69</v>
      </c>
      <c r="F5" s="60" t="s">
        <v>24</v>
      </c>
      <c r="G5" s="47">
        <v>23</v>
      </c>
      <c r="H5" s="137">
        <f>IF(B$27=0,0,G5/B$27)</f>
        <v>0.46</v>
      </c>
      <c r="I5" s="98">
        <v>1</v>
      </c>
      <c r="K5" s="38">
        <v>3</v>
      </c>
      <c r="L5" s="103">
        <v>-47.300000000000004</v>
      </c>
      <c r="N5" s="119" t="s">
        <v>139</v>
      </c>
      <c r="O5" s="126">
        <f t="shared" si="0"/>
        <v>3265</v>
      </c>
      <c r="P5" s="123">
        <v>20</v>
      </c>
      <c r="Q5" s="107">
        <v>65300</v>
      </c>
    </row>
    <row r="6" spans="1:17" x14ac:dyDescent="0.4">
      <c r="A6" s="55" t="s">
        <v>1</v>
      </c>
      <c r="B6" s="145">
        <f>IF(B$2=0,0,(B$7*1+B$8*2+B$9*3)/B$2)</f>
        <v>1.85</v>
      </c>
      <c r="C6" s="146"/>
      <c r="E6" s="63" t="s">
        <v>74</v>
      </c>
      <c r="F6" s="60" t="s">
        <v>28</v>
      </c>
      <c r="G6" s="47">
        <v>22</v>
      </c>
      <c r="H6" s="137">
        <f>IF(B$27=0,0,G6/B$27)</f>
        <v>0.44</v>
      </c>
      <c r="I6" s="98">
        <v>8</v>
      </c>
      <c r="K6" s="38">
        <v>4</v>
      </c>
      <c r="L6" s="103">
        <v>13.599999999999994</v>
      </c>
      <c r="N6" s="119" t="s">
        <v>140</v>
      </c>
      <c r="O6" s="126">
        <f t="shared" si="0"/>
        <v>3715.7894736842104</v>
      </c>
      <c r="P6" s="123">
        <v>19</v>
      </c>
      <c r="Q6" s="107">
        <v>70600</v>
      </c>
    </row>
    <row r="7" spans="1:17" x14ac:dyDescent="0.4">
      <c r="A7" s="55" t="s">
        <v>2</v>
      </c>
      <c r="B7" s="47">
        <v>9</v>
      </c>
      <c r="C7" s="39">
        <f>IF(B$2=0,0,B7/B$2)</f>
        <v>0.45</v>
      </c>
      <c r="E7" s="63" t="s">
        <v>70</v>
      </c>
      <c r="F7" s="60" t="s">
        <v>12</v>
      </c>
      <c r="G7" s="47">
        <v>19</v>
      </c>
      <c r="H7" s="137">
        <f>IF(B$27=0,0,G7/B$27)</f>
        <v>0.38</v>
      </c>
      <c r="I7" s="98">
        <v>1</v>
      </c>
      <c r="K7" s="38">
        <v>5</v>
      </c>
      <c r="L7" s="103">
        <v>-16.600000000000005</v>
      </c>
      <c r="N7" s="120" t="s">
        <v>141</v>
      </c>
      <c r="O7" s="127">
        <f t="shared" si="0"/>
        <v>833.33333333333337</v>
      </c>
      <c r="P7" s="124">
        <v>18</v>
      </c>
      <c r="Q7" s="108">
        <v>15000</v>
      </c>
    </row>
    <row r="8" spans="1:17" x14ac:dyDescent="0.4">
      <c r="A8" s="55" t="s">
        <v>3</v>
      </c>
      <c r="B8" s="47">
        <v>5</v>
      </c>
      <c r="C8" s="39">
        <f>IF(B$2=0,0,B8/B$2)</f>
        <v>0.25</v>
      </c>
      <c r="E8" s="63" t="s">
        <v>71</v>
      </c>
      <c r="F8" s="60" t="s">
        <v>25</v>
      </c>
      <c r="G8" s="47">
        <v>12</v>
      </c>
      <c r="H8" s="137">
        <f>IF(B$27=0,0,G8/B$27)</f>
        <v>0.24</v>
      </c>
      <c r="I8" s="98">
        <v>3</v>
      </c>
      <c r="K8" s="38">
        <v>6</v>
      </c>
      <c r="L8" s="103">
        <v>-14.000000000000005</v>
      </c>
      <c r="N8" s="43"/>
      <c r="O8" s="131"/>
      <c r="P8" s="115"/>
      <c r="Q8" s="113"/>
    </row>
    <row r="9" spans="1:17" x14ac:dyDescent="0.4">
      <c r="A9" s="56" t="s">
        <v>4</v>
      </c>
      <c r="B9" s="48">
        <v>6</v>
      </c>
      <c r="C9" s="40">
        <f t="shared" ref="C9" si="1">IF(B$2=0,0,B9/B$2)</f>
        <v>0.3</v>
      </c>
      <c r="E9" s="63" t="s">
        <v>67</v>
      </c>
      <c r="F9" s="60" t="s">
        <v>22</v>
      </c>
      <c r="G9" s="47">
        <v>9</v>
      </c>
      <c r="H9" s="137">
        <f>IF(B$27=0,0,G9/B$27)</f>
        <v>0.18</v>
      </c>
      <c r="I9" s="98">
        <v>1</v>
      </c>
      <c r="K9" s="38">
        <v>7</v>
      </c>
      <c r="L9" s="103">
        <v>-45.300000000000004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26</v>
      </c>
      <c r="G10" s="47">
        <v>6</v>
      </c>
      <c r="H10" s="137">
        <f>IF(B$27=0,0,G10/B$27)</f>
        <v>0.12</v>
      </c>
      <c r="I10" s="98">
        <v>2</v>
      </c>
      <c r="K10" s="38">
        <v>8</v>
      </c>
      <c r="L10" s="103">
        <v>-49.6</v>
      </c>
      <c r="N10" s="118" t="s">
        <v>172</v>
      </c>
      <c r="O10" s="128">
        <f>IF(P10=0,0,Q10/P10)</f>
        <v>18.299999999999997</v>
      </c>
      <c r="P10" s="122">
        <v>9</v>
      </c>
      <c r="Q10" s="110">
        <v>164.7</v>
      </c>
    </row>
    <row r="11" spans="1:17" x14ac:dyDescent="0.4">
      <c r="A11" s="56" t="s">
        <v>144</v>
      </c>
      <c r="B11" s="48">
        <v>2</v>
      </c>
      <c r="C11" s="40">
        <f>IF(B$2=0,0,B11/B$2)</f>
        <v>0.1</v>
      </c>
      <c r="E11" s="63" t="s">
        <v>89</v>
      </c>
      <c r="F11" s="60" t="s">
        <v>43</v>
      </c>
      <c r="G11" s="47">
        <v>4</v>
      </c>
      <c r="H11" s="137">
        <f>IF(B$27=0,0,G11/B$27)</f>
        <v>0.08</v>
      </c>
      <c r="I11" s="98">
        <v>3</v>
      </c>
      <c r="K11" s="38">
        <v>9</v>
      </c>
      <c r="L11" s="103">
        <v>-79.5</v>
      </c>
      <c r="N11" s="119" t="s">
        <v>173</v>
      </c>
      <c r="O11" s="129">
        <f>IF(P11=0,0,Q11/P11)</f>
        <v>-5.4999999999999982</v>
      </c>
      <c r="P11" s="123">
        <v>8</v>
      </c>
      <c r="Q11" s="111">
        <v>-43.999999999999986</v>
      </c>
    </row>
    <row r="12" spans="1:17" x14ac:dyDescent="0.4">
      <c r="A12" s="57" t="s">
        <v>165</v>
      </c>
      <c r="B12" s="49">
        <v>4</v>
      </c>
      <c r="C12" s="42">
        <f>IF(B$2=0,0,B12/B$2)</f>
        <v>0.2</v>
      </c>
      <c r="E12" s="63" t="s">
        <v>84</v>
      </c>
      <c r="F12" s="60" t="s">
        <v>38</v>
      </c>
      <c r="G12" s="47">
        <v>3</v>
      </c>
      <c r="H12" s="137">
        <f>IF(B$27=0,0,G12/B$27)</f>
        <v>0.06</v>
      </c>
      <c r="I12" s="98">
        <v>1</v>
      </c>
      <c r="K12" s="38">
        <v>10</v>
      </c>
      <c r="L12" s="103">
        <v>-80.900000000000006</v>
      </c>
      <c r="N12" s="120" t="s">
        <v>174</v>
      </c>
      <c r="O12" s="130">
        <f>IF(P12=0,0,Q12/P12)</f>
        <v>14.600000000000001</v>
      </c>
      <c r="P12" s="124">
        <v>3</v>
      </c>
      <c r="Q12" s="112">
        <v>43.800000000000004</v>
      </c>
    </row>
    <row r="13" spans="1:17" x14ac:dyDescent="0.4">
      <c r="A13" s="58" t="s">
        <v>126</v>
      </c>
      <c r="B13" s="50">
        <v>57</v>
      </c>
      <c r="C13" s="44">
        <f>IF(B$26=0,0,B13/B$26)</f>
        <v>0.3413173652694611</v>
      </c>
      <c r="E13" s="63" t="s">
        <v>92</v>
      </c>
      <c r="F13" s="60" t="s">
        <v>46</v>
      </c>
      <c r="G13" s="47">
        <v>3</v>
      </c>
      <c r="H13" s="137">
        <f>IF(B$27=0,0,G13/B$27)</f>
        <v>0.06</v>
      </c>
      <c r="I13" s="98">
        <v>10</v>
      </c>
      <c r="K13" s="38">
        <v>11</v>
      </c>
      <c r="L13" s="103">
        <v>-53.100000000000009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32</v>
      </c>
      <c r="C14" s="39">
        <f>IF(B$26=0,0,B14/B$26)</f>
        <v>0.19161676646706588</v>
      </c>
      <c r="E14" s="63" t="s">
        <v>86</v>
      </c>
      <c r="F14" s="60" t="s">
        <v>40</v>
      </c>
      <c r="G14" s="47">
        <v>2</v>
      </c>
      <c r="H14" s="137">
        <f>IF(B$27=0,0,G14/B$27)</f>
        <v>0.04</v>
      </c>
      <c r="I14" s="98">
        <v>8</v>
      </c>
      <c r="K14" s="38">
        <v>12</v>
      </c>
      <c r="L14" s="103">
        <v>-56.500000000000007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36</v>
      </c>
      <c r="C15" s="37">
        <f>IF(B$13=0,0,B15/B$13)</f>
        <v>0.63157894736842102</v>
      </c>
      <c r="E15" s="63" t="s">
        <v>94</v>
      </c>
      <c r="F15" s="60" t="s">
        <v>48</v>
      </c>
      <c r="G15" s="47">
        <v>2</v>
      </c>
      <c r="H15" s="137">
        <f>IF(B$27=0,0,G15/B$27)</f>
        <v>0.04</v>
      </c>
      <c r="I15" s="98">
        <v>2</v>
      </c>
      <c r="K15" s="38">
        <v>13</v>
      </c>
      <c r="L15" s="103">
        <v>-81.900000000000006</v>
      </c>
      <c r="N15" s="118" t="s">
        <v>181</v>
      </c>
      <c r="O15" s="128">
        <f>IF(P15=0,0,Q15/P15)</f>
        <v>52.48</v>
      </c>
      <c r="P15" s="122">
        <v>5</v>
      </c>
      <c r="Q15" s="110">
        <v>262.39999999999998</v>
      </c>
    </row>
    <row r="16" spans="1:17" x14ac:dyDescent="0.4">
      <c r="A16" s="54" t="s">
        <v>129</v>
      </c>
      <c r="B16" s="46">
        <v>9</v>
      </c>
      <c r="C16" s="37">
        <f>IF(B$14=0,0,B16/B$14)</f>
        <v>0.28125</v>
      </c>
      <c r="E16" s="63" t="s">
        <v>73</v>
      </c>
      <c r="F16" s="60" t="s">
        <v>27</v>
      </c>
      <c r="G16" s="47">
        <v>1</v>
      </c>
      <c r="H16" s="137">
        <f>IF(B$27=0,0,G16/B$27)</f>
        <v>0.02</v>
      </c>
      <c r="I16" s="98">
        <v>7</v>
      </c>
      <c r="K16" s="38">
        <v>14</v>
      </c>
      <c r="L16" s="103">
        <v>-25.600000000000009</v>
      </c>
      <c r="N16" s="119" t="s">
        <v>194</v>
      </c>
      <c r="O16" s="129">
        <f>IF(P16=0,0,Q16/P16)</f>
        <v>37.400000000000006</v>
      </c>
      <c r="P16" s="123">
        <v>1</v>
      </c>
      <c r="Q16" s="111">
        <v>37.400000000000006</v>
      </c>
    </row>
    <row r="17" spans="1:17" x14ac:dyDescent="0.4">
      <c r="A17" s="54" t="s">
        <v>10</v>
      </c>
      <c r="B17" s="46">
        <f>B19+B18</f>
        <v>56</v>
      </c>
      <c r="C17" s="37">
        <f>IF(B$3=0,0,B17/B$3)</f>
        <v>0.31638418079096048</v>
      </c>
      <c r="E17" s="63" t="s">
        <v>75</v>
      </c>
      <c r="F17" s="60" t="s">
        <v>29</v>
      </c>
      <c r="G17" s="47">
        <v>1</v>
      </c>
      <c r="H17" s="137">
        <f>IF(B$27=0,0,G17/B$27)</f>
        <v>0.02</v>
      </c>
      <c r="I17" s="98">
        <v>1</v>
      </c>
      <c r="K17" s="38">
        <v>15</v>
      </c>
      <c r="L17" s="103">
        <v>47.999999999999986</v>
      </c>
      <c r="N17" s="119" t="s">
        <v>179</v>
      </c>
      <c r="O17" s="129">
        <f>IF(P17=0,0,Q17/P17)</f>
        <v>33.520000000000003</v>
      </c>
      <c r="P17" s="123">
        <v>10</v>
      </c>
      <c r="Q17" s="111">
        <v>335.20000000000005</v>
      </c>
    </row>
    <row r="18" spans="1:17" x14ac:dyDescent="0.4">
      <c r="A18" s="55" t="s">
        <v>12</v>
      </c>
      <c r="B18" s="47">
        <v>21</v>
      </c>
      <c r="C18" s="39">
        <f>IF(B$17=0,0,B18/B$17)</f>
        <v>0.375</v>
      </c>
      <c r="E18" s="63" t="s">
        <v>77</v>
      </c>
      <c r="F18" s="60" t="s">
        <v>31</v>
      </c>
      <c r="G18" s="47">
        <v>1</v>
      </c>
      <c r="H18" s="137">
        <f>IF(B$27=0,0,G18/B$27)</f>
        <v>0.02</v>
      </c>
      <c r="I18" s="98">
        <v>3</v>
      </c>
      <c r="K18" s="38">
        <v>16</v>
      </c>
      <c r="L18" s="103">
        <v>41.699999999999989</v>
      </c>
      <c r="N18" s="119" t="s">
        <v>180</v>
      </c>
      <c r="O18" s="129">
        <f>IF(P18=0,0,Q18/P18)</f>
        <v>32.699999999999996</v>
      </c>
      <c r="P18" s="123">
        <v>3</v>
      </c>
      <c r="Q18" s="111">
        <v>98.1</v>
      </c>
    </row>
    <row r="19" spans="1:17" x14ac:dyDescent="0.4">
      <c r="A19" s="55" t="s">
        <v>11</v>
      </c>
      <c r="B19" s="47">
        <v>35</v>
      </c>
      <c r="C19" s="39">
        <f>IF(B$17=0,0,B19/B$17)</f>
        <v>0.625</v>
      </c>
      <c r="E19" s="63" t="s">
        <v>188</v>
      </c>
      <c r="F19" s="60" t="s">
        <v>191</v>
      </c>
      <c r="G19" s="47">
        <v>1</v>
      </c>
      <c r="H19" s="137">
        <f>IF(B$27=0,0,G19/B$27)</f>
        <v>0.02</v>
      </c>
      <c r="I19" s="98">
        <v>1</v>
      </c>
      <c r="K19" s="38">
        <v>17</v>
      </c>
      <c r="L19" s="103">
        <v>94.6</v>
      </c>
      <c r="N19" s="119" t="s">
        <v>131</v>
      </c>
      <c r="O19" s="129">
        <f>IF(P19=0,0,Q19/P19)</f>
        <v>-2.2333333333333338</v>
      </c>
      <c r="P19" s="123">
        <v>12</v>
      </c>
      <c r="Q19" s="111">
        <v>-26.800000000000004</v>
      </c>
    </row>
    <row r="20" spans="1:17" x14ac:dyDescent="0.4">
      <c r="A20" s="55" t="s">
        <v>13</v>
      </c>
      <c r="B20" s="47">
        <v>29</v>
      </c>
      <c r="C20" s="39">
        <f>IF(B$3=0,0,B20/B$3)</f>
        <v>0.16384180790960451</v>
      </c>
      <c r="E20" s="63" t="s">
        <v>76</v>
      </c>
      <c r="F20" s="60" t="s">
        <v>30</v>
      </c>
      <c r="G20" s="47">
        <v>0</v>
      </c>
      <c r="H20" s="137">
        <f>IF(B$27=0,0,G20/B$27)</f>
        <v>0</v>
      </c>
      <c r="I20" s="98">
        <v>1</v>
      </c>
      <c r="K20" s="38">
        <v>18</v>
      </c>
      <c r="L20" s="103">
        <v>116.69999999999999</v>
      </c>
      <c r="N20" s="119" t="s">
        <v>133</v>
      </c>
      <c r="O20" s="129">
        <f>IF(P20=0,0,Q20/P20)</f>
        <v>-15.299999999999999</v>
      </c>
      <c r="P20" s="123">
        <v>6</v>
      </c>
      <c r="Q20" s="111">
        <v>-91.8</v>
      </c>
    </row>
    <row r="21" spans="1:17" x14ac:dyDescent="0.4">
      <c r="A21" s="55" t="s">
        <v>5</v>
      </c>
      <c r="B21" s="51">
        <f>IF(B$17=0,0,C21/B$17)</f>
        <v>8312.5</v>
      </c>
      <c r="C21" s="41">
        <v>465500</v>
      </c>
      <c r="E21" s="63" t="s">
        <v>78</v>
      </c>
      <c r="F21" s="60" t="s">
        <v>32</v>
      </c>
      <c r="G21" s="47">
        <v>0</v>
      </c>
      <c r="H21" s="137">
        <f>IF(B$27=0,0,G21/B$27)</f>
        <v>0</v>
      </c>
      <c r="I21" s="98">
        <v>1</v>
      </c>
      <c r="K21" s="38">
        <v>19</v>
      </c>
      <c r="L21" s="103">
        <v>138.79999999999998</v>
      </c>
      <c r="N21" s="119" t="s">
        <v>185</v>
      </c>
      <c r="O21" s="129">
        <f>IF(P21=0,0,Q21/P21)</f>
        <v>-40.333333333333336</v>
      </c>
      <c r="P21" s="123">
        <v>3</v>
      </c>
      <c r="Q21" s="111">
        <v>-121</v>
      </c>
    </row>
    <row r="22" spans="1:17" x14ac:dyDescent="0.4">
      <c r="A22" s="57" t="s">
        <v>14</v>
      </c>
      <c r="B22" s="52">
        <f>IF(B$20=0,0,C22/B$20)</f>
        <v>-7475.8620689655172</v>
      </c>
      <c r="C22" s="45">
        <v>-216800</v>
      </c>
      <c r="E22" s="63" t="s">
        <v>79</v>
      </c>
      <c r="F22" s="60" t="s">
        <v>33</v>
      </c>
      <c r="G22" s="47">
        <v>0</v>
      </c>
      <c r="H22" s="137">
        <f>IF(B$27=0,0,G22/B$27)</f>
        <v>0</v>
      </c>
      <c r="I22" s="98">
        <v>1</v>
      </c>
      <c r="K22" s="38">
        <v>20</v>
      </c>
      <c r="L22" s="103">
        <v>164.49999999999997</v>
      </c>
    </row>
    <row r="23" spans="1:17" x14ac:dyDescent="0.4">
      <c r="A23" s="94" t="s">
        <v>146</v>
      </c>
      <c r="B23" s="143">
        <v>5</v>
      </c>
      <c r="C23" s="144"/>
      <c r="E23" s="63" t="s">
        <v>80</v>
      </c>
      <c r="F23" s="60" t="s">
        <v>34</v>
      </c>
      <c r="G23" s="47">
        <v>0</v>
      </c>
      <c r="H23" s="137">
        <f>IF(B$27=0,0,G23/B$27)</f>
        <v>0</v>
      </c>
      <c r="I23" s="98">
        <v>4</v>
      </c>
    </row>
    <row r="24" spans="1:17" x14ac:dyDescent="0.4">
      <c r="A24" s="58" t="s">
        <v>157</v>
      </c>
      <c r="B24" s="141">
        <v>88600</v>
      </c>
      <c r="C24" s="142"/>
      <c r="E24" s="63" t="s">
        <v>81</v>
      </c>
      <c r="F24" s="60" t="s">
        <v>35</v>
      </c>
      <c r="G24" s="47">
        <v>0</v>
      </c>
      <c r="H24" s="137">
        <f>IF(B$27=0,0,G24/B$27)</f>
        <v>0</v>
      </c>
      <c r="I24" s="98">
        <v>3</v>
      </c>
    </row>
    <row r="25" spans="1:17" x14ac:dyDescent="0.4">
      <c r="A25" s="57" t="s">
        <v>147</v>
      </c>
      <c r="B25" s="65">
        <v>4</v>
      </c>
      <c r="C25" s="42">
        <f>IF(B$3=0,0,B25/B$3)</f>
        <v>2.2598870056497175E-2</v>
      </c>
      <c r="E25" s="63" t="s">
        <v>82</v>
      </c>
      <c r="F25" s="60" t="s">
        <v>36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7">
        <v>167</v>
      </c>
      <c r="C26" s="148"/>
      <c r="E26" s="63" t="s">
        <v>83</v>
      </c>
      <c r="F26" s="60" t="s">
        <v>37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50</v>
      </c>
      <c r="C27" s="150"/>
      <c r="E27" s="63" t="s">
        <v>85</v>
      </c>
      <c r="F27" s="60" t="s">
        <v>39</v>
      </c>
      <c r="G27" s="47">
        <v>0</v>
      </c>
      <c r="H27" s="137">
        <f>IF(B$27=0,0,G27/B$27)</f>
        <v>0</v>
      </c>
      <c r="I27" s="98">
        <v>1</v>
      </c>
    </row>
    <row r="28" spans="1:17" x14ac:dyDescent="0.4">
      <c r="E28" s="63" t="s">
        <v>87</v>
      </c>
      <c r="F28" s="60" t="s">
        <v>41</v>
      </c>
      <c r="G28" s="47">
        <v>0</v>
      </c>
      <c r="H28" s="137">
        <f>IF(B$27=0,0,G28/B$27)</f>
        <v>0</v>
      </c>
      <c r="I28" s="98">
        <v>1</v>
      </c>
    </row>
    <row r="29" spans="1:17" x14ac:dyDescent="0.4">
      <c r="E29" s="63" t="s">
        <v>88</v>
      </c>
      <c r="F29" s="60" t="s">
        <v>42</v>
      </c>
      <c r="G29" s="47">
        <v>0</v>
      </c>
      <c r="H29" s="137">
        <f>IF(B$27=0,0,G29/B$27)</f>
        <v>0</v>
      </c>
      <c r="I29" s="98">
        <v>3</v>
      </c>
    </row>
    <row r="30" spans="1:17" x14ac:dyDescent="0.4">
      <c r="E30" s="63" t="s">
        <v>90</v>
      </c>
      <c r="F30" s="60" t="s">
        <v>44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91</v>
      </c>
      <c r="F31" s="60" t="s">
        <v>45</v>
      </c>
      <c r="G31" s="47">
        <v>0</v>
      </c>
      <c r="H31" s="137">
        <f>IF(B$27=0,0,G31/B$27)</f>
        <v>0</v>
      </c>
      <c r="I31" s="98">
        <v>1</v>
      </c>
    </row>
    <row r="32" spans="1:17" x14ac:dyDescent="0.4">
      <c r="E32" s="63" t="s">
        <v>93</v>
      </c>
      <c r="F32" s="60" t="s">
        <v>47</v>
      </c>
      <c r="G32" s="47">
        <v>0</v>
      </c>
      <c r="H32" s="137">
        <f>IF(B$27=0,0,G32/B$27)</f>
        <v>0</v>
      </c>
      <c r="I32" s="98">
        <v>1</v>
      </c>
    </row>
    <row r="33" spans="5:9" x14ac:dyDescent="0.4">
      <c r="E33" s="63" t="s">
        <v>95</v>
      </c>
      <c r="F33" s="60" t="s">
        <v>49</v>
      </c>
      <c r="G33" s="47">
        <v>0</v>
      </c>
      <c r="H33" s="137">
        <f>IF(B$27=0,0,G33/B$27)</f>
        <v>0</v>
      </c>
      <c r="I33" s="98">
        <v>3</v>
      </c>
    </row>
    <row r="34" spans="5:9" x14ac:dyDescent="0.4">
      <c r="E34" s="63" t="s">
        <v>96</v>
      </c>
      <c r="F34" s="60" t="s">
        <v>50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97</v>
      </c>
      <c r="F35" s="60" t="s">
        <v>51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98</v>
      </c>
      <c r="F36" s="60" t="s">
        <v>52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99</v>
      </c>
      <c r="F37" s="60" t="s">
        <v>53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100</v>
      </c>
      <c r="F38" s="60" t="s">
        <v>54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101</v>
      </c>
      <c r="F39" s="60" t="s">
        <v>55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102</v>
      </c>
      <c r="F40" s="60" t="s">
        <v>56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103</v>
      </c>
      <c r="F41" s="60" t="s">
        <v>57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104</v>
      </c>
      <c r="F42" s="60" t="s">
        <v>58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105</v>
      </c>
      <c r="F43" s="60" t="s">
        <v>59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106</v>
      </c>
      <c r="F44" s="60" t="s">
        <v>60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107</v>
      </c>
      <c r="F45" s="60" t="s">
        <v>61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109</v>
      </c>
      <c r="F47" s="60" t="s">
        <v>116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110</v>
      </c>
      <c r="F48" s="60" t="s">
        <v>117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111</v>
      </c>
      <c r="F49" s="60" t="s">
        <v>62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112</v>
      </c>
      <c r="F50" s="60" t="s">
        <v>63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113</v>
      </c>
      <c r="F51" s="60" t="s">
        <v>64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114</v>
      </c>
      <c r="F52" s="61" t="s">
        <v>65</v>
      </c>
      <c r="G52" s="49">
        <v>0</v>
      </c>
      <c r="H52" s="138">
        <f>IF(B$27=0,0,G52/B$27)</f>
        <v>0</v>
      </c>
      <c r="I52" s="99">
        <v>1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1A469-88FB-4862-A3E4-495D6EFCF207}">
  <sheetPr codeName="Sheet11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133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9</v>
      </c>
      <c r="C2" s="148"/>
      <c r="E2" s="62" t="s">
        <v>68</v>
      </c>
      <c r="F2" s="59" t="s">
        <v>23</v>
      </c>
      <c r="G2" s="46">
        <v>24</v>
      </c>
      <c r="H2" s="136">
        <f>IF(B$27=0,0,G2/B$27)</f>
        <v>1.263157894736842</v>
      </c>
      <c r="I2" s="97">
        <v>1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1255.5555555555557</v>
      </c>
      <c r="P2" s="122">
        <v>9</v>
      </c>
      <c r="Q2" s="106">
        <v>11300</v>
      </c>
    </row>
    <row r="3" spans="1:17" x14ac:dyDescent="0.4">
      <c r="A3" s="55" t="s">
        <v>8</v>
      </c>
      <c r="B3" s="153">
        <v>75</v>
      </c>
      <c r="C3" s="154"/>
      <c r="E3" s="63" t="s">
        <v>66</v>
      </c>
      <c r="F3" s="60" t="s">
        <v>21</v>
      </c>
      <c r="G3" s="47">
        <v>9</v>
      </c>
      <c r="H3" s="137">
        <f>IF(B$27=0,0,G3/B$27)</f>
        <v>0.47368421052631576</v>
      </c>
      <c r="I3" s="98">
        <v>7</v>
      </c>
      <c r="K3" s="38">
        <v>1</v>
      </c>
      <c r="L3" s="103">
        <v>-40.4</v>
      </c>
      <c r="N3" s="119" t="s">
        <v>137</v>
      </c>
      <c r="O3" s="126">
        <f t="shared" si="0"/>
        <v>-3022.2222222222222</v>
      </c>
      <c r="P3" s="123">
        <v>9</v>
      </c>
      <c r="Q3" s="107">
        <v>-27200</v>
      </c>
    </row>
    <row r="4" spans="1:17" x14ac:dyDescent="0.4">
      <c r="A4" s="55" t="s">
        <v>6</v>
      </c>
      <c r="B4" s="155">
        <v>-127.6</v>
      </c>
      <c r="C4" s="156"/>
      <c r="E4" s="63" t="s">
        <v>69</v>
      </c>
      <c r="F4" s="60" t="s">
        <v>24</v>
      </c>
      <c r="G4" s="47">
        <v>7</v>
      </c>
      <c r="H4" s="137">
        <f>IF(B$27=0,0,G4/B$27)</f>
        <v>0.36842105263157893</v>
      </c>
      <c r="I4" s="98">
        <v>3</v>
      </c>
      <c r="K4" s="38">
        <v>2</v>
      </c>
      <c r="L4" s="103">
        <v>-3.3999999999999986</v>
      </c>
      <c r="N4" s="119" t="s">
        <v>138</v>
      </c>
      <c r="O4" s="126">
        <f t="shared" si="0"/>
        <v>-2914.2857142857142</v>
      </c>
      <c r="P4" s="123">
        <v>7</v>
      </c>
      <c r="Q4" s="107">
        <v>-20400</v>
      </c>
    </row>
    <row r="5" spans="1:17" x14ac:dyDescent="0.4">
      <c r="A5" s="55" t="s">
        <v>7</v>
      </c>
      <c r="B5" s="157">
        <f>IF(B$2=0,0,B$4/B$2)</f>
        <v>-14.177777777777777</v>
      </c>
      <c r="C5" s="158"/>
      <c r="E5" s="63" t="s">
        <v>74</v>
      </c>
      <c r="F5" s="60" t="s">
        <v>28</v>
      </c>
      <c r="G5" s="47">
        <v>6</v>
      </c>
      <c r="H5" s="137">
        <f>IF(B$27=0,0,G5/B$27)</f>
        <v>0.31578947368421051</v>
      </c>
      <c r="I5" s="98">
        <v>10</v>
      </c>
      <c r="K5" s="38">
        <v>3</v>
      </c>
      <c r="L5" s="103">
        <v>-23.099999999999998</v>
      </c>
      <c r="N5" s="119" t="s">
        <v>139</v>
      </c>
      <c r="O5" s="126">
        <f t="shared" si="0"/>
        <v>-5114.2857142857147</v>
      </c>
      <c r="P5" s="123">
        <v>7</v>
      </c>
      <c r="Q5" s="107">
        <v>-35800</v>
      </c>
    </row>
    <row r="6" spans="1:17" x14ac:dyDescent="0.4">
      <c r="A6" s="55" t="s">
        <v>1</v>
      </c>
      <c r="B6" s="145">
        <f>IF(B$2=0,0,(B$7*1+B$8*2+B$9*3)/B$2)</f>
        <v>2.2222222222222223</v>
      </c>
      <c r="C6" s="146"/>
      <c r="E6" s="63" t="s">
        <v>70</v>
      </c>
      <c r="F6" s="60" t="s">
        <v>12</v>
      </c>
      <c r="G6" s="47">
        <v>5</v>
      </c>
      <c r="H6" s="137">
        <f>IF(B$27=0,0,G6/B$27)</f>
        <v>0.26315789473684209</v>
      </c>
      <c r="I6" s="98">
        <v>3</v>
      </c>
      <c r="K6" s="38">
        <v>4</v>
      </c>
      <c r="L6" s="103">
        <v>-31.4</v>
      </c>
      <c r="N6" s="119" t="s">
        <v>140</v>
      </c>
      <c r="O6" s="126">
        <f t="shared" si="0"/>
        <v>-1571.4285714285713</v>
      </c>
      <c r="P6" s="123">
        <v>7</v>
      </c>
      <c r="Q6" s="107">
        <v>-11000</v>
      </c>
    </row>
    <row r="7" spans="1:17" x14ac:dyDescent="0.4">
      <c r="A7" s="55" t="s">
        <v>2</v>
      </c>
      <c r="B7" s="47">
        <v>2</v>
      </c>
      <c r="C7" s="39">
        <f>IF(B$2=0,0,B7/B$2)</f>
        <v>0.22222222222222221</v>
      </c>
      <c r="E7" s="63" t="s">
        <v>189</v>
      </c>
      <c r="F7" s="60" t="s">
        <v>190</v>
      </c>
      <c r="G7" s="47">
        <v>5</v>
      </c>
      <c r="H7" s="137">
        <f>IF(B$27=0,0,G7/B$27)</f>
        <v>0.26315789473684209</v>
      </c>
      <c r="I7" s="98">
        <v>8</v>
      </c>
      <c r="K7" s="38">
        <v>5</v>
      </c>
      <c r="L7" s="103">
        <v>-32.199999999999996</v>
      </c>
      <c r="N7" s="120" t="s">
        <v>141</v>
      </c>
      <c r="O7" s="127">
        <f t="shared" si="0"/>
        <v>-642.85714285714289</v>
      </c>
      <c r="P7" s="124">
        <v>7</v>
      </c>
      <c r="Q7" s="108">
        <v>-4500</v>
      </c>
    </row>
    <row r="8" spans="1:17" x14ac:dyDescent="0.4">
      <c r="A8" s="55" t="s">
        <v>3</v>
      </c>
      <c r="B8" s="47">
        <v>3</v>
      </c>
      <c r="C8" s="39">
        <f>IF(B$2=0,0,B8/B$2)</f>
        <v>0.33333333333333331</v>
      </c>
      <c r="E8" s="63" t="s">
        <v>73</v>
      </c>
      <c r="F8" s="60" t="s">
        <v>27</v>
      </c>
      <c r="G8" s="47">
        <v>3</v>
      </c>
      <c r="H8" s="137">
        <f>IF(B$27=0,0,G8/B$27)</f>
        <v>0.15789473684210525</v>
      </c>
      <c r="I8" s="98">
        <v>2</v>
      </c>
      <c r="K8" s="38">
        <v>6</v>
      </c>
      <c r="L8" s="103">
        <v>-58.5</v>
      </c>
      <c r="N8" s="43"/>
      <c r="O8" s="131"/>
      <c r="P8" s="115"/>
      <c r="Q8" s="113"/>
    </row>
    <row r="9" spans="1:17" x14ac:dyDescent="0.4">
      <c r="A9" s="56" t="s">
        <v>4</v>
      </c>
      <c r="B9" s="48">
        <v>4</v>
      </c>
      <c r="C9" s="40">
        <f t="shared" ref="C9" si="1">IF(B$2=0,0,B9/B$2)</f>
        <v>0.44444444444444442</v>
      </c>
      <c r="E9" s="63" t="s">
        <v>92</v>
      </c>
      <c r="F9" s="60" t="s">
        <v>46</v>
      </c>
      <c r="G9" s="47">
        <v>3</v>
      </c>
      <c r="H9" s="137">
        <f>IF(B$27=0,0,G9/B$27)</f>
        <v>0.15789473684210525</v>
      </c>
      <c r="I9" s="98">
        <v>4</v>
      </c>
      <c r="K9" s="38">
        <v>7</v>
      </c>
      <c r="L9" s="103">
        <v>-116.8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1</v>
      </c>
      <c r="C10" s="40">
        <f>IF(B$2=0,0,B10/B$2)</f>
        <v>0.1111111111111111</v>
      </c>
      <c r="E10" s="63" t="s">
        <v>71</v>
      </c>
      <c r="F10" s="60" t="s">
        <v>25</v>
      </c>
      <c r="G10" s="47">
        <v>2</v>
      </c>
      <c r="H10" s="137">
        <f>IF(B$27=0,0,G10/B$27)</f>
        <v>0.10526315789473684</v>
      </c>
      <c r="I10" s="98">
        <v>9</v>
      </c>
      <c r="K10" s="38">
        <v>8</v>
      </c>
      <c r="L10" s="103">
        <v>-79.599999999999994</v>
      </c>
      <c r="N10" s="118" t="s">
        <v>172</v>
      </c>
      <c r="O10" s="128">
        <f>IF(P10=0,0,Q10/P10)</f>
        <v>-30.75</v>
      </c>
      <c r="P10" s="122">
        <v>4</v>
      </c>
      <c r="Q10" s="110">
        <v>-123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72</v>
      </c>
      <c r="F11" s="60" t="s">
        <v>26</v>
      </c>
      <c r="G11" s="47">
        <v>2</v>
      </c>
      <c r="H11" s="137">
        <f>IF(B$27=0,0,G11/B$27)</f>
        <v>0.10526315789473684</v>
      </c>
      <c r="I11" s="98">
        <v>4</v>
      </c>
      <c r="K11" s="38">
        <v>9</v>
      </c>
      <c r="L11" s="103">
        <v>-127.6</v>
      </c>
      <c r="N11" s="119" t="s">
        <v>173</v>
      </c>
      <c r="O11" s="129">
        <f>IF(P11=0,0,Q11/P11)</f>
        <v>-10.25</v>
      </c>
      <c r="P11" s="123">
        <v>2</v>
      </c>
      <c r="Q11" s="111">
        <v>-20.5</v>
      </c>
    </row>
    <row r="12" spans="1:17" x14ac:dyDescent="0.4">
      <c r="A12" s="57" t="s">
        <v>165</v>
      </c>
      <c r="B12" s="49">
        <v>1</v>
      </c>
      <c r="C12" s="42">
        <f>IF(B$2=0,0,B12/B$2)</f>
        <v>0.1111111111111111</v>
      </c>
      <c r="E12" s="63" t="s">
        <v>89</v>
      </c>
      <c r="F12" s="60" t="s">
        <v>43</v>
      </c>
      <c r="G12" s="47">
        <v>2</v>
      </c>
      <c r="H12" s="137">
        <f>IF(B$27=0,0,G12/B$27)</f>
        <v>0.10526315789473684</v>
      </c>
      <c r="I12" s="98">
        <v>2</v>
      </c>
      <c r="N12" s="120" t="s">
        <v>174</v>
      </c>
      <c r="O12" s="130">
        <f>IF(P12=0,0,Q12/P12)</f>
        <v>5.3000000000000016</v>
      </c>
      <c r="P12" s="124">
        <v>3</v>
      </c>
      <c r="Q12" s="112">
        <v>15.900000000000006</v>
      </c>
    </row>
    <row r="13" spans="1:17" x14ac:dyDescent="0.4">
      <c r="A13" s="58" t="s">
        <v>126</v>
      </c>
      <c r="B13" s="50">
        <v>18</v>
      </c>
      <c r="C13" s="44">
        <f>IF(B$26=0,0,B13/B$26)</f>
        <v>0.24</v>
      </c>
      <c r="E13" s="63" t="s">
        <v>67</v>
      </c>
      <c r="F13" s="60" t="s">
        <v>22</v>
      </c>
      <c r="G13" s="47">
        <v>1</v>
      </c>
      <c r="H13" s="137">
        <f>IF(B$27=0,0,G13/B$27)</f>
        <v>5.2631578947368418E-2</v>
      </c>
      <c r="I13" s="98">
        <v>7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8</v>
      </c>
      <c r="C14" s="39">
        <f>IF(B$26=0,0,B14/B$26)</f>
        <v>0.10666666666666667</v>
      </c>
      <c r="E14" s="63" t="s">
        <v>80</v>
      </c>
      <c r="F14" s="60" t="s">
        <v>34</v>
      </c>
      <c r="G14" s="47">
        <v>1</v>
      </c>
      <c r="H14" s="137">
        <f>IF(B$27=0,0,G14/B$27)</f>
        <v>5.2631578947368418E-2</v>
      </c>
      <c r="I14" s="98">
        <v>1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10</v>
      </c>
      <c r="C15" s="37">
        <f>IF(B$13=0,0,B15/B$13)</f>
        <v>0.55555555555555558</v>
      </c>
      <c r="E15" s="63" t="s">
        <v>86</v>
      </c>
      <c r="F15" s="60" t="s">
        <v>40</v>
      </c>
      <c r="G15" s="47">
        <v>1</v>
      </c>
      <c r="H15" s="137">
        <f>IF(B$27=0,0,G15/B$27)</f>
        <v>5.2631578947368418E-2</v>
      </c>
      <c r="I15" s="98">
        <v>6</v>
      </c>
      <c r="N15" s="118" t="s">
        <v>132</v>
      </c>
      <c r="O15" s="128">
        <f>IF(P15=0,0,Q15/P15)</f>
        <v>15.299999999999997</v>
      </c>
      <c r="P15" s="122">
        <v>6</v>
      </c>
      <c r="Q15" s="110">
        <v>91.799999999999983</v>
      </c>
    </row>
    <row r="16" spans="1:17" x14ac:dyDescent="0.4">
      <c r="A16" s="54" t="s">
        <v>129</v>
      </c>
      <c r="B16" s="46">
        <v>3</v>
      </c>
      <c r="C16" s="37">
        <f>IF(B$14=0,0,B16/B$14)</f>
        <v>0.375</v>
      </c>
      <c r="E16" s="63" t="s">
        <v>75</v>
      </c>
      <c r="F16" s="60" t="s">
        <v>29</v>
      </c>
      <c r="G16" s="47">
        <v>0</v>
      </c>
      <c r="H16" s="137">
        <f>IF(B$27=0,0,G16/B$27)</f>
        <v>0</v>
      </c>
      <c r="I16" s="98">
        <v>3</v>
      </c>
      <c r="N16" s="119" t="s">
        <v>181</v>
      </c>
      <c r="O16" s="129">
        <f>IF(P16=0,0,Q16/P16)</f>
        <v>13.95</v>
      </c>
      <c r="P16" s="123">
        <v>2</v>
      </c>
      <c r="Q16" s="111">
        <v>27.9</v>
      </c>
    </row>
    <row r="17" spans="1:17" x14ac:dyDescent="0.4">
      <c r="A17" s="54" t="s">
        <v>10</v>
      </c>
      <c r="B17" s="46">
        <f>B19+B18</f>
        <v>19</v>
      </c>
      <c r="C17" s="37">
        <f>IF(B$3=0,0,B17/B$3)</f>
        <v>0.25333333333333335</v>
      </c>
      <c r="E17" s="63" t="s">
        <v>76</v>
      </c>
      <c r="F17" s="60" t="s">
        <v>30</v>
      </c>
      <c r="G17" s="47">
        <v>0</v>
      </c>
      <c r="H17" s="137">
        <f>IF(B$27=0,0,G17/B$27)</f>
        <v>0</v>
      </c>
      <c r="I17" s="98">
        <v>1</v>
      </c>
      <c r="N17" s="119" t="s">
        <v>131</v>
      </c>
      <c r="O17" s="129">
        <f>IF(P17=0,0,Q17/P17)</f>
        <v>-32.857142857142854</v>
      </c>
      <c r="P17" s="123">
        <v>7</v>
      </c>
      <c r="Q17" s="111">
        <v>-230</v>
      </c>
    </row>
    <row r="18" spans="1:17" x14ac:dyDescent="0.4">
      <c r="A18" s="55" t="s">
        <v>12</v>
      </c>
      <c r="B18" s="47">
        <v>6</v>
      </c>
      <c r="C18" s="39">
        <f>IF(B$17=0,0,B18/B$17)</f>
        <v>0.31578947368421051</v>
      </c>
      <c r="E18" s="63" t="s">
        <v>77</v>
      </c>
      <c r="F18" s="60" t="s">
        <v>31</v>
      </c>
      <c r="G18" s="47">
        <v>0</v>
      </c>
      <c r="H18" s="137">
        <f>IF(B$27=0,0,G18/B$27)</f>
        <v>0</v>
      </c>
      <c r="I18" s="98">
        <v>5</v>
      </c>
      <c r="N18" s="119" t="s">
        <v>180</v>
      </c>
      <c r="O18" s="129">
        <f>IF(P18=0,0,Q18/P18)</f>
        <v>-67.8</v>
      </c>
      <c r="P18" s="123">
        <v>1</v>
      </c>
      <c r="Q18" s="111">
        <v>-67.8</v>
      </c>
    </row>
    <row r="19" spans="1:17" x14ac:dyDescent="0.4">
      <c r="A19" s="55" t="s">
        <v>11</v>
      </c>
      <c r="B19" s="47">
        <v>13</v>
      </c>
      <c r="C19" s="39">
        <f>IF(B$17=0,0,B19/B$17)</f>
        <v>0.68421052631578949</v>
      </c>
      <c r="E19" s="63" t="s">
        <v>78</v>
      </c>
      <c r="F19" s="60" t="s">
        <v>32</v>
      </c>
      <c r="G19" s="47">
        <v>0</v>
      </c>
      <c r="H19" s="137">
        <f>IF(B$27=0,0,G19/B$27)</f>
        <v>0</v>
      </c>
      <c r="I19" s="98">
        <v>1</v>
      </c>
      <c r="N19" s="119" t="s">
        <v>179</v>
      </c>
      <c r="O19" s="129">
        <f>IF(P19=0,0,Q19/P19)</f>
        <v>-102.35</v>
      </c>
      <c r="P19" s="123">
        <v>2</v>
      </c>
      <c r="Q19" s="111">
        <v>-204.7</v>
      </c>
    </row>
    <row r="20" spans="1:17" x14ac:dyDescent="0.4">
      <c r="A20" s="55" t="s">
        <v>13</v>
      </c>
      <c r="B20" s="47">
        <v>18</v>
      </c>
      <c r="C20" s="39">
        <f>IF(B$3=0,0,B20/B$3)</f>
        <v>0.24</v>
      </c>
      <c r="E20" s="63" t="s">
        <v>79</v>
      </c>
      <c r="F20" s="60" t="s">
        <v>33</v>
      </c>
      <c r="G20" s="47">
        <v>0</v>
      </c>
      <c r="H20" s="137">
        <f>IF(B$27=0,0,G20/B$27)</f>
        <v>0</v>
      </c>
      <c r="I20" s="98">
        <v>1</v>
      </c>
    </row>
    <row r="21" spans="1:17" x14ac:dyDescent="0.4">
      <c r="A21" s="55" t="s">
        <v>5</v>
      </c>
      <c r="B21" s="51">
        <f>IF(B$17=0,0,C21/B$17)</f>
        <v>7710.5263157894733</v>
      </c>
      <c r="C21" s="41">
        <v>146500</v>
      </c>
      <c r="E21" s="63" t="s">
        <v>81</v>
      </c>
      <c r="F21" s="60" t="s">
        <v>35</v>
      </c>
      <c r="G21" s="47">
        <v>0</v>
      </c>
      <c r="H21" s="137">
        <f>IF(B$27=0,0,G21/B$27)</f>
        <v>0</v>
      </c>
      <c r="I21" s="98">
        <v>3</v>
      </c>
    </row>
    <row r="22" spans="1:17" x14ac:dyDescent="0.4">
      <c r="A22" s="57" t="s">
        <v>14</v>
      </c>
      <c r="B22" s="52">
        <f>IF(B$20=0,0,C22/B$20)</f>
        <v>-9244.4444444444453</v>
      </c>
      <c r="C22" s="45">
        <v>-166400</v>
      </c>
      <c r="E22" s="63" t="s">
        <v>82</v>
      </c>
      <c r="F22" s="60" t="s">
        <v>36</v>
      </c>
      <c r="G22" s="47">
        <v>0</v>
      </c>
      <c r="H22" s="137">
        <f>IF(B$27=0,0,G22/B$27)</f>
        <v>0</v>
      </c>
      <c r="I22" s="98">
        <v>1</v>
      </c>
    </row>
    <row r="23" spans="1:17" x14ac:dyDescent="0.4">
      <c r="A23" s="94" t="s">
        <v>146</v>
      </c>
      <c r="B23" s="143">
        <v>7</v>
      </c>
      <c r="C23" s="144"/>
      <c r="E23" s="63" t="s">
        <v>83</v>
      </c>
      <c r="F23" s="60" t="s">
        <v>37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41">
        <v>52200</v>
      </c>
      <c r="C24" s="142"/>
      <c r="E24" s="63" t="s">
        <v>84</v>
      </c>
      <c r="F24" s="60" t="s">
        <v>38</v>
      </c>
      <c r="G24" s="47">
        <v>0</v>
      </c>
      <c r="H24" s="137">
        <f>IF(B$27=0,0,G24/B$27)</f>
        <v>0</v>
      </c>
      <c r="I24" s="98">
        <v>6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85</v>
      </c>
      <c r="F25" s="60" t="s">
        <v>39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7">
        <v>75</v>
      </c>
      <c r="C26" s="148"/>
      <c r="E26" s="63" t="s">
        <v>87</v>
      </c>
      <c r="F26" s="60" t="s">
        <v>41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19</v>
      </c>
      <c r="C27" s="150"/>
      <c r="E27" s="63" t="s">
        <v>88</v>
      </c>
      <c r="F27" s="60" t="s">
        <v>42</v>
      </c>
      <c r="G27" s="47">
        <v>0</v>
      </c>
      <c r="H27" s="137">
        <f>IF(B$27=0,0,G27/B$27)</f>
        <v>0</v>
      </c>
      <c r="I27" s="98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IF(B$27=0,0,G28/B$27)</f>
        <v>0</v>
      </c>
      <c r="I28" s="98">
        <v>1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IF(B$27=0,0,G31/B$27)</f>
        <v>0</v>
      </c>
      <c r="I31" s="98">
        <v>4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3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3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94F3E-7D11-4D83-8ED4-16ED4FF9ED9C}">
  <sheetPr codeName="Sheet13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179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18</v>
      </c>
      <c r="C2" s="148"/>
      <c r="E2" s="62" t="s">
        <v>68</v>
      </c>
      <c r="F2" s="59" t="s">
        <v>23</v>
      </c>
      <c r="G2" s="46">
        <v>25</v>
      </c>
      <c r="H2" s="136">
        <f>IF(B$27=0,0,G2/B$27)</f>
        <v>0.67567567567567566</v>
      </c>
      <c r="I2" s="97">
        <v>5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-1716.6666666666667</v>
      </c>
      <c r="P2" s="122">
        <v>18</v>
      </c>
      <c r="Q2" s="106">
        <v>-30900</v>
      </c>
    </row>
    <row r="3" spans="1:17" x14ac:dyDescent="0.4">
      <c r="A3" s="55" t="s">
        <v>8</v>
      </c>
      <c r="B3" s="153">
        <v>156</v>
      </c>
      <c r="C3" s="154"/>
      <c r="E3" s="63" t="s">
        <v>66</v>
      </c>
      <c r="F3" s="60" t="s">
        <v>21</v>
      </c>
      <c r="G3" s="47">
        <v>20</v>
      </c>
      <c r="H3" s="137">
        <f>IF(B$27=0,0,G3/B$27)</f>
        <v>0.54054054054054057</v>
      </c>
      <c r="I3" s="98">
        <v>5</v>
      </c>
      <c r="K3" s="38">
        <v>1</v>
      </c>
      <c r="L3" s="103">
        <v>-51.2</v>
      </c>
      <c r="N3" s="119" t="s">
        <v>137</v>
      </c>
      <c r="O3" s="126">
        <f t="shared" si="0"/>
        <v>1855.5555555555557</v>
      </c>
      <c r="P3" s="123">
        <v>18</v>
      </c>
      <c r="Q3" s="107">
        <v>33400</v>
      </c>
    </row>
    <row r="4" spans="1:17" x14ac:dyDescent="0.4">
      <c r="A4" s="55" t="s">
        <v>6</v>
      </c>
      <c r="B4" s="155">
        <v>-76.099999999999994</v>
      </c>
      <c r="C4" s="156"/>
      <c r="E4" s="63" t="s">
        <v>74</v>
      </c>
      <c r="F4" s="60" t="s">
        <v>28</v>
      </c>
      <c r="G4" s="47">
        <v>20</v>
      </c>
      <c r="H4" s="137">
        <f>IF(B$27=0,0,G4/B$27)</f>
        <v>0.54054054054054057</v>
      </c>
      <c r="I4" s="98">
        <v>5</v>
      </c>
      <c r="K4" s="38">
        <v>2</v>
      </c>
      <c r="L4" s="103">
        <v>-93.300000000000011</v>
      </c>
      <c r="N4" s="119" t="s">
        <v>138</v>
      </c>
      <c r="O4" s="126">
        <f t="shared" si="0"/>
        <v>423.52941176470586</v>
      </c>
      <c r="P4" s="123">
        <v>17</v>
      </c>
      <c r="Q4" s="107">
        <v>7200</v>
      </c>
    </row>
    <row r="5" spans="1:17" x14ac:dyDescent="0.4">
      <c r="A5" s="55" t="s">
        <v>7</v>
      </c>
      <c r="B5" s="157">
        <f>IF(B$2=0,0,B$4/B$2)</f>
        <v>-4.2277777777777779</v>
      </c>
      <c r="C5" s="158"/>
      <c r="E5" s="63" t="s">
        <v>189</v>
      </c>
      <c r="F5" s="60" t="s">
        <v>190</v>
      </c>
      <c r="G5" s="47">
        <v>13</v>
      </c>
      <c r="H5" s="137">
        <f>IF(B$27=0,0,G5/B$27)</f>
        <v>0.35135135135135137</v>
      </c>
      <c r="I5" s="98">
        <v>6</v>
      </c>
      <c r="K5" s="38">
        <v>3</v>
      </c>
      <c r="L5" s="103">
        <v>-60.100000000000009</v>
      </c>
      <c r="N5" s="119" t="s">
        <v>139</v>
      </c>
      <c r="O5" s="126">
        <f t="shared" si="0"/>
        <v>-3781.25</v>
      </c>
      <c r="P5" s="123">
        <v>16</v>
      </c>
      <c r="Q5" s="107">
        <v>-60500</v>
      </c>
    </row>
    <row r="6" spans="1:17" x14ac:dyDescent="0.4">
      <c r="A6" s="55" t="s">
        <v>1</v>
      </c>
      <c r="B6" s="145">
        <f>IF(B$2=0,0,(B$7*1+B$8*2+B$9*3)/B$2)</f>
        <v>2.0555555555555554</v>
      </c>
      <c r="C6" s="146"/>
      <c r="E6" s="63" t="s">
        <v>71</v>
      </c>
      <c r="F6" s="60" t="s">
        <v>25</v>
      </c>
      <c r="G6" s="47">
        <v>10</v>
      </c>
      <c r="H6" s="137">
        <f>IF(B$27=0,0,G6/B$27)</f>
        <v>0.27027027027027029</v>
      </c>
      <c r="I6" s="98">
        <v>2</v>
      </c>
      <c r="K6" s="38">
        <v>4</v>
      </c>
      <c r="L6" s="103">
        <v>-11.300000000000011</v>
      </c>
      <c r="N6" s="119" t="s">
        <v>140</v>
      </c>
      <c r="O6" s="126">
        <f t="shared" si="0"/>
        <v>264.28571428571428</v>
      </c>
      <c r="P6" s="123">
        <v>14</v>
      </c>
      <c r="Q6" s="107">
        <v>3700</v>
      </c>
    </row>
    <row r="7" spans="1:17" x14ac:dyDescent="0.4">
      <c r="A7" s="55" t="s">
        <v>2</v>
      </c>
      <c r="B7" s="47">
        <v>6</v>
      </c>
      <c r="C7" s="39">
        <f>IF(B$2=0,0,B7/B$2)</f>
        <v>0.33333333333333331</v>
      </c>
      <c r="E7" s="63" t="s">
        <v>69</v>
      </c>
      <c r="F7" s="60" t="s">
        <v>24</v>
      </c>
      <c r="G7" s="47">
        <v>8</v>
      </c>
      <c r="H7" s="137">
        <f>IF(B$27=0,0,G7/B$27)</f>
        <v>0.21621621621621623</v>
      </c>
      <c r="I7" s="98">
        <v>6</v>
      </c>
      <c r="K7" s="38">
        <v>5</v>
      </c>
      <c r="L7" s="103">
        <v>-36.100000000000009</v>
      </c>
      <c r="N7" s="120" t="s">
        <v>141</v>
      </c>
      <c r="O7" s="127">
        <f t="shared" si="0"/>
        <v>-83.333333333333329</v>
      </c>
      <c r="P7" s="124">
        <v>12</v>
      </c>
      <c r="Q7" s="108">
        <v>-1000</v>
      </c>
    </row>
    <row r="8" spans="1:17" x14ac:dyDescent="0.4">
      <c r="A8" s="55" t="s">
        <v>3</v>
      </c>
      <c r="B8" s="47">
        <v>5</v>
      </c>
      <c r="C8" s="39">
        <f>IF(B$2=0,0,B8/B$2)</f>
        <v>0.27777777777777779</v>
      </c>
      <c r="E8" s="63" t="s">
        <v>70</v>
      </c>
      <c r="F8" s="60" t="s">
        <v>12</v>
      </c>
      <c r="G8" s="47">
        <v>7</v>
      </c>
      <c r="H8" s="137">
        <f>IF(B$27=0,0,G8/B$27)</f>
        <v>0.1891891891891892</v>
      </c>
      <c r="I8" s="98">
        <v>7</v>
      </c>
      <c r="K8" s="38">
        <v>6</v>
      </c>
      <c r="L8" s="103">
        <v>9.0999999999999943</v>
      </c>
      <c r="N8" s="43"/>
      <c r="O8" s="131"/>
      <c r="P8" s="115"/>
      <c r="Q8" s="113"/>
    </row>
    <row r="9" spans="1:17" x14ac:dyDescent="0.4">
      <c r="A9" s="56" t="s">
        <v>4</v>
      </c>
      <c r="B9" s="48">
        <v>7</v>
      </c>
      <c r="C9" s="40">
        <f t="shared" ref="C9" si="1">IF(B$2=0,0,B9/B$2)</f>
        <v>0.3888888888888889</v>
      </c>
      <c r="E9" s="63" t="s">
        <v>67</v>
      </c>
      <c r="F9" s="60" t="s">
        <v>22</v>
      </c>
      <c r="G9" s="47">
        <v>6</v>
      </c>
      <c r="H9" s="137">
        <f>IF(B$27=0,0,G9/B$27)</f>
        <v>0.16216216216216217</v>
      </c>
      <c r="I9" s="98">
        <v>2</v>
      </c>
      <c r="K9" s="38">
        <v>7</v>
      </c>
      <c r="L9" s="103">
        <v>-51.300000000000004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1</v>
      </c>
      <c r="C10" s="40">
        <f>IF(B$2=0,0,B10/B$2)</f>
        <v>5.5555555555555552E-2</v>
      </c>
      <c r="E10" s="63" t="s">
        <v>72</v>
      </c>
      <c r="F10" s="60" t="s">
        <v>26</v>
      </c>
      <c r="G10" s="47">
        <v>5</v>
      </c>
      <c r="H10" s="137">
        <f>IF(B$27=0,0,G10/B$27)</f>
        <v>0.13513513513513514</v>
      </c>
      <c r="I10" s="98">
        <v>1</v>
      </c>
      <c r="K10" s="38">
        <v>8</v>
      </c>
      <c r="L10" s="103">
        <v>-1.7000000000000028</v>
      </c>
      <c r="N10" s="118" t="s">
        <v>172</v>
      </c>
      <c r="O10" s="128">
        <f>IF(P10=0,0,Q10/P10)</f>
        <v>-11.350000000000001</v>
      </c>
      <c r="P10" s="122">
        <v>6</v>
      </c>
      <c r="Q10" s="110">
        <v>-68.100000000000009</v>
      </c>
    </row>
    <row r="11" spans="1:17" x14ac:dyDescent="0.4">
      <c r="A11" s="56" t="s">
        <v>144</v>
      </c>
      <c r="B11" s="48">
        <v>1</v>
      </c>
      <c r="C11" s="40">
        <f>IF(B$2=0,0,B11/B$2)</f>
        <v>5.5555555555555552E-2</v>
      </c>
      <c r="E11" s="63" t="s">
        <v>92</v>
      </c>
      <c r="F11" s="60" t="s">
        <v>46</v>
      </c>
      <c r="G11" s="47">
        <v>5</v>
      </c>
      <c r="H11" s="137">
        <f>IF(B$27=0,0,G11/B$27)</f>
        <v>0.13513513513513514</v>
      </c>
      <c r="I11" s="98">
        <v>7</v>
      </c>
      <c r="K11" s="38">
        <v>9</v>
      </c>
      <c r="L11" s="103">
        <v>-5.8000000000000025</v>
      </c>
      <c r="N11" s="119" t="s">
        <v>173</v>
      </c>
      <c r="O11" s="129">
        <f>IF(P11=0,0,Q11/P11)</f>
        <v>16.566666666666666</v>
      </c>
      <c r="P11" s="123">
        <v>3</v>
      </c>
      <c r="Q11" s="111">
        <v>49.7</v>
      </c>
    </row>
    <row r="12" spans="1:17" x14ac:dyDescent="0.4">
      <c r="A12" s="57" t="s">
        <v>165</v>
      </c>
      <c r="B12" s="49">
        <v>2</v>
      </c>
      <c r="C12" s="42">
        <f>IF(B$2=0,0,B12/B$2)</f>
        <v>0.1111111111111111</v>
      </c>
      <c r="E12" s="63" t="s">
        <v>73</v>
      </c>
      <c r="F12" s="60" t="s">
        <v>27</v>
      </c>
      <c r="G12" s="47">
        <v>4</v>
      </c>
      <c r="H12" s="137">
        <f>IF(B$27=0,0,G12/B$27)</f>
        <v>0.10810810810810811</v>
      </c>
      <c r="I12" s="98">
        <v>3</v>
      </c>
      <c r="K12" s="38">
        <v>10</v>
      </c>
      <c r="L12" s="103">
        <v>-56.500000000000007</v>
      </c>
      <c r="N12" s="120" t="s">
        <v>174</v>
      </c>
      <c r="O12" s="130">
        <f>IF(P12=0,0,Q12/P12)</f>
        <v>-6.4111111111111105</v>
      </c>
      <c r="P12" s="124">
        <v>9</v>
      </c>
      <c r="Q12" s="112">
        <v>-57.699999999999996</v>
      </c>
    </row>
    <row r="13" spans="1:17" x14ac:dyDescent="0.4">
      <c r="A13" s="58" t="s">
        <v>126</v>
      </c>
      <c r="B13" s="50">
        <v>40</v>
      </c>
      <c r="C13" s="44">
        <f>IF(B$26=0,0,B13/B$26)</f>
        <v>0.27397260273972601</v>
      </c>
      <c r="E13" s="63" t="s">
        <v>86</v>
      </c>
      <c r="F13" s="60" t="s">
        <v>40</v>
      </c>
      <c r="G13" s="47">
        <v>3</v>
      </c>
      <c r="H13" s="137">
        <f>IF(B$27=0,0,G13/B$27)</f>
        <v>8.1081081081081086E-2</v>
      </c>
      <c r="I13" s="98">
        <v>1</v>
      </c>
      <c r="K13" s="38">
        <v>11</v>
      </c>
      <c r="L13" s="103">
        <v>-27.600000000000009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34</v>
      </c>
      <c r="C14" s="39">
        <f>IF(B$26=0,0,B14/B$26)</f>
        <v>0.23287671232876711</v>
      </c>
      <c r="E14" s="63" t="s">
        <v>77</v>
      </c>
      <c r="F14" s="60" t="s">
        <v>31</v>
      </c>
      <c r="G14" s="47">
        <v>1</v>
      </c>
      <c r="H14" s="137">
        <f>IF(B$27=0,0,G14/B$27)</f>
        <v>2.7027027027027029E-2</v>
      </c>
      <c r="I14" s="98">
        <v>2</v>
      </c>
      <c r="K14" s="38">
        <v>12</v>
      </c>
      <c r="L14" s="103">
        <v>-42.900000000000006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20</v>
      </c>
      <c r="C15" s="37">
        <f>IF(B$13=0,0,B15/B$13)</f>
        <v>0.5</v>
      </c>
      <c r="E15" s="63" t="s">
        <v>84</v>
      </c>
      <c r="F15" s="60" t="s">
        <v>38</v>
      </c>
      <c r="G15" s="47">
        <v>1</v>
      </c>
      <c r="H15" s="137">
        <f>IF(B$27=0,0,G15/B$27)</f>
        <v>2.7027027027027029E-2</v>
      </c>
      <c r="I15" s="98">
        <v>3</v>
      </c>
      <c r="K15" s="38">
        <v>13</v>
      </c>
      <c r="L15" s="103">
        <v>-58.7</v>
      </c>
      <c r="N15" s="118" t="s">
        <v>133</v>
      </c>
      <c r="O15" s="128">
        <f>IF(P15=0,0,Q15/P15)</f>
        <v>102.35</v>
      </c>
      <c r="P15" s="122">
        <v>2</v>
      </c>
      <c r="Q15" s="110">
        <v>204.7</v>
      </c>
    </row>
    <row r="16" spans="1:17" x14ac:dyDescent="0.4">
      <c r="A16" s="54" t="s">
        <v>129</v>
      </c>
      <c r="B16" s="46">
        <v>11</v>
      </c>
      <c r="C16" s="37">
        <f>IF(B$14=0,0,B16/B$14)</f>
        <v>0.3235294117647059</v>
      </c>
      <c r="E16" s="63" t="s">
        <v>95</v>
      </c>
      <c r="F16" s="60" t="s">
        <v>49</v>
      </c>
      <c r="G16" s="47">
        <v>1</v>
      </c>
      <c r="H16" s="137">
        <f>IF(B$27=0,0,G16/B$27)</f>
        <v>2.7027027027027029E-2</v>
      </c>
      <c r="I16" s="98">
        <v>1</v>
      </c>
      <c r="K16" s="38">
        <v>14</v>
      </c>
      <c r="L16" s="103">
        <v>-29.400000000000002</v>
      </c>
      <c r="N16" s="119" t="s">
        <v>185</v>
      </c>
      <c r="O16" s="129">
        <f>IF(P16=0,0,Q16/P16)</f>
        <v>35.1</v>
      </c>
      <c r="P16" s="123">
        <v>1</v>
      </c>
      <c r="Q16" s="111">
        <v>35.1</v>
      </c>
    </row>
    <row r="17" spans="1:17" x14ac:dyDescent="0.4">
      <c r="A17" s="54" t="s">
        <v>10</v>
      </c>
      <c r="B17" s="46">
        <f>B19+B18</f>
        <v>37</v>
      </c>
      <c r="C17" s="37">
        <f>IF(B$3=0,0,B17/B$3)</f>
        <v>0.23717948717948717</v>
      </c>
      <c r="E17" s="63" t="s">
        <v>75</v>
      </c>
      <c r="F17" s="60" t="s">
        <v>29</v>
      </c>
      <c r="G17" s="47">
        <v>0</v>
      </c>
      <c r="H17" s="137">
        <f>IF(B$27=0,0,G17/B$27)</f>
        <v>0</v>
      </c>
      <c r="I17" s="98">
        <v>3</v>
      </c>
      <c r="K17" s="38">
        <v>15</v>
      </c>
      <c r="L17" s="103">
        <v>-26.3</v>
      </c>
      <c r="N17" s="119" t="s">
        <v>181</v>
      </c>
      <c r="O17" s="129">
        <f>IF(P17=0,0,Q17/P17)</f>
        <v>33.24285714285714</v>
      </c>
      <c r="P17" s="123">
        <v>7</v>
      </c>
      <c r="Q17" s="111">
        <v>232.7</v>
      </c>
    </row>
    <row r="18" spans="1:17" x14ac:dyDescent="0.4">
      <c r="A18" s="55" t="s">
        <v>12</v>
      </c>
      <c r="B18" s="47">
        <v>11</v>
      </c>
      <c r="C18" s="39">
        <f>IF(B$17=0,0,B18/B$17)</f>
        <v>0.29729729729729731</v>
      </c>
      <c r="E18" s="63" t="s">
        <v>76</v>
      </c>
      <c r="F18" s="60" t="s">
        <v>30</v>
      </c>
      <c r="G18" s="47">
        <v>0</v>
      </c>
      <c r="H18" s="137">
        <f>IF(B$27=0,0,G18/B$27)</f>
        <v>0</v>
      </c>
      <c r="I18" s="98">
        <v>1</v>
      </c>
      <c r="K18" s="38">
        <v>16</v>
      </c>
      <c r="L18" s="103">
        <v>-50.3</v>
      </c>
      <c r="N18" s="119" t="s">
        <v>180</v>
      </c>
      <c r="O18" s="129">
        <f>IF(P18=0,0,Q18/P18)</f>
        <v>2.7999999999999976</v>
      </c>
      <c r="P18" s="123">
        <v>6</v>
      </c>
      <c r="Q18" s="111">
        <v>16.799999999999986</v>
      </c>
    </row>
    <row r="19" spans="1:17" x14ac:dyDescent="0.4">
      <c r="A19" s="55" t="s">
        <v>11</v>
      </c>
      <c r="B19" s="47">
        <v>26</v>
      </c>
      <c r="C19" s="39">
        <f>IF(B$17=0,0,B19/B$17)</f>
        <v>0.70270270270270274</v>
      </c>
      <c r="E19" s="63" t="s">
        <v>78</v>
      </c>
      <c r="F19" s="60" t="s">
        <v>32</v>
      </c>
      <c r="G19" s="47">
        <v>0</v>
      </c>
      <c r="H19" s="137">
        <f>IF(B$27=0,0,G19/B$27)</f>
        <v>0</v>
      </c>
      <c r="I19" s="98">
        <v>1</v>
      </c>
      <c r="K19" s="38">
        <v>17</v>
      </c>
      <c r="L19" s="103">
        <v>-74.3</v>
      </c>
      <c r="N19" s="119" t="s">
        <v>132</v>
      </c>
      <c r="O19" s="129">
        <f>IF(P19=0,0,Q19/P19)</f>
        <v>-33.520000000000003</v>
      </c>
      <c r="P19" s="123">
        <v>10</v>
      </c>
      <c r="Q19" s="111">
        <v>-335.20000000000005</v>
      </c>
    </row>
    <row r="20" spans="1:17" x14ac:dyDescent="0.4">
      <c r="A20" s="55" t="s">
        <v>13</v>
      </c>
      <c r="B20" s="47">
        <v>28</v>
      </c>
      <c r="C20" s="39">
        <f>IF(B$3=0,0,B20/B$3)</f>
        <v>0.17948717948717949</v>
      </c>
      <c r="E20" s="63" t="s">
        <v>79</v>
      </c>
      <c r="F20" s="60" t="s">
        <v>33</v>
      </c>
      <c r="G20" s="47">
        <v>0</v>
      </c>
      <c r="H20" s="137">
        <f>IF(B$27=0,0,G20/B$27)</f>
        <v>0</v>
      </c>
      <c r="I20" s="98">
        <v>1</v>
      </c>
      <c r="K20" s="38">
        <v>18</v>
      </c>
      <c r="L20" s="103">
        <v>-76.099999999999994</v>
      </c>
      <c r="N20" s="119" t="s">
        <v>131</v>
      </c>
      <c r="O20" s="129">
        <f>IF(P20=0,0,Q20/P20)</f>
        <v>-38.239999999999995</v>
      </c>
      <c r="P20" s="123">
        <v>10</v>
      </c>
      <c r="Q20" s="111">
        <v>-382.4</v>
      </c>
    </row>
    <row r="21" spans="1:17" x14ac:dyDescent="0.4">
      <c r="A21" s="55" t="s">
        <v>5</v>
      </c>
      <c r="B21" s="51">
        <f>IF(B$17=0,0,C21/B$17)</f>
        <v>7875.6756756756758</v>
      </c>
      <c r="C21" s="41">
        <v>291400</v>
      </c>
      <c r="E21" s="63" t="s">
        <v>80</v>
      </c>
      <c r="F21" s="60" t="s">
        <v>34</v>
      </c>
      <c r="G21" s="47">
        <v>0</v>
      </c>
      <c r="H21" s="137">
        <f>IF(B$27=0,0,G21/B$27)</f>
        <v>0</v>
      </c>
      <c r="I21" s="98">
        <v>4</v>
      </c>
    </row>
    <row r="22" spans="1:17" x14ac:dyDescent="0.4">
      <c r="A22" s="57" t="s">
        <v>14</v>
      </c>
      <c r="B22" s="52">
        <f>IF(B$20=0,0,C22/B$20)</f>
        <v>-7839.2857142857147</v>
      </c>
      <c r="C22" s="45">
        <v>-219500</v>
      </c>
      <c r="E22" s="63" t="s">
        <v>81</v>
      </c>
      <c r="F22" s="60" t="s">
        <v>35</v>
      </c>
      <c r="G22" s="47">
        <v>0</v>
      </c>
      <c r="H22" s="137">
        <f>IF(B$27=0,0,G22/B$27)</f>
        <v>0</v>
      </c>
      <c r="I22" s="98">
        <v>3</v>
      </c>
    </row>
    <row r="23" spans="1:17" x14ac:dyDescent="0.4">
      <c r="A23" s="94" t="s">
        <v>146</v>
      </c>
      <c r="B23" s="143">
        <v>4</v>
      </c>
      <c r="C23" s="144"/>
      <c r="E23" s="63" t="s">
        <v>82</v>
      </c>
      <c r="F23" s="60" t="s">
        <v>36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41">
        <v>64600</v>
      </c>
      <c r="C24" s="142"/>
      <c r="E24" s="63" t="s">
        <v>83</v>
      </c>
      <c r="F24" s="60" t="s">
        <v>37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1</v>
      </c>
      <c r="C25" s="42">
        <f>IF(B$3=0,0,B25/B$3)</f>
        <v>6.41025641025641E-3</v>
      </c>
      <c r="E25" s="63" t="s">
        <v>85</v>
      </c>
      <c r="F25" s="60" t="s">
        <v>39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7">
        <v>146</v>
      </c>
      <c r="C26" s="148"/>
      <c r="E26" s="63" t="s">
        <v>87</v>
      </c>
      <c r="F26" s="60" t="s">
        <v>41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37</v>
      </c>
      <c r="C27" s="150"/>
      <c r="E27" s="63" t="s">
        <v>88</v>
      </c>
      <c r="F27" s="60" t="s">
        <v>42</v>
      </c>
      <c r="G27" s="47">
        <v>0</v>
      </c>
      <c r="H27" s="137">
        <f>IF(B$27=0,0,G27/B$27)</f>
        <v>0</v>
      </c>
      <c r="I27" s="98">
        <v>3</v>
      </c>
    </row>
    <row r="28" spans="1:17" x14ac:dyDescent="0.4">
      <c r="E28" s="63" t="s">
        <v>89</v>
      </c>
      <c r="F28" s="60" t="s">
        <v>43</v>
      </c>
      <c r="G28" s="47">
        <v>0</v>
      </c>
      <c r="H28" s="137">
        <f>IF(B$27=0,0,G28/B$27)</f>
        <v>0</v>
      </c>
      <c r="I28" s="98">
        <v>7</v>
      </c>
    </row>
    <row r="29" spans="1:17" x14ac:dyDescent="0.4">
      <c r="E29" s="63" t="s">
        <v>90</v>
      </c>
      <c r="F29" s="60" t="s">
        <v>44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91</v>
      </c>
      <c r="F30" s="60" t="s">
        <v>45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93</v>
      </c>
      <c r="F31" s="60" t="s">
        <v>47</v>
      </c>
      <c r="G31" s="47">
        <v>0</v>
      </c>
      <c r="H31" s="137">
        <f>IF(B$27=0,0,G31/B$27)</f>
        <v>0</v>
      </c>
      <c r="I31" s="98">
        <v>1</v>
      </c>
    </row>
    <row r="32" spans="1:17" x14ac:dyDescent="0.4">
      <c r="E32" s="63" t="s">
        <v>94</v>
      </c>
      <c r="F32" s="60" t="s">
        <v>48</v>
      </c>
      <c r="G32" s="47">
        <v>0</v>
      </c>
      <c r="H32" s="137">
        <f>IF(B$27=0,0,G32/B$27)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3</v>
      </c>
    </row>
  </sheetData>
  <sortState ref="N15:Q20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D51D-6EB9-4BAD-B590-67FF6365CED0}">
  <sheetPr codeName="Sheet15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180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8</v>
      </c>
      <c r="C2" s="148"/>
      <c r="E2" s="62" t="s">
        <v>74</v>
      </c>
      <c r="F2" s="59" t="s">
        <v>28</v>
      </c>
      <c r="G2" s="46">
        <v>12</v>
      </c>
      <c r="H2" s="136">
        <f>IF(B$27=0,0,G2/B$27)</f>
        <v>0.70588235294117652</v>
      </c>
      <c r="I2" s="97">
        <v>1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1237.5</v>
      </c>
      <c r="P2" s="122">
        <v>8</v>
      </c>
      <c r="Q2" s="106">
        <v>9900</v>
      </c>
    </row>
    <row r="3" spans="1:17" x14ac:dyDescent="0.4">
      <c r="A3" s="55" t="s">
        <v>8</v>
      </c>
      <c r="B3" s="153">
        <v>61</v>
      </c>
      <c r="C3" s="154"/>
      <c r="E3" s="63" t="s">
        <v>189</v>
      </c>
      <c r="F3" s="60" t="s">
        <v>190</v>
      </c>
      <c r="G3" s="47">
        <v>8</v>
      </c>
      <c r="H3" s="137">
        <f>IF(B$27=0,0,G3/B$27)</f>
        <v>0.47058823529411764</v>
      </c>
      <c r="I3" s="98">
        <v>2</v>
      </c>
      <c r="K3" s="38">
        <v>1</v>
      </c>
      <c r="L3" s="103">
        <v>11.1</v>
      </c>
      <c r="N3" s="119" t="s">
        <v>137</v>
      </c>
      <c r="O3" s="126">
        <f t="shared" si="0"/>
        <v>1362.5</v>
      </c>
      <c r="P3" s="123">
        <v>8</v>
      </c>
      <c r="Q3" s="107">
        <v>10900</v>
      </c>
    </row>
    <row r="4" spans="1:17" x14ac:dyDescent="0.4">
      <c r="A4" s="55" t="s">
        <v>6</v>
      </c>
      <c r="B4" s="155">
        <v>-29.5</v>
      </c>
      <c r="C4" s="156"/>
      <c r="E4" s="63" t="s">
        <v>66</v>
      </c>
      <c r="F4" s="60" t="s">
        <v>21</v>
      </c>
      <c r="G4" s="47">
        <v>7</v>
      </c>
      <c r="H4" s="137">
        <f>IF(B$27=0,0,G4/B$27)</f>
        <v>0.41176470588235292</v>
      </c>
      <c r="I4" s="98">
        <v>9</v>
      </c>
      <c r="K4" s="38">
        <v>2</v>
      </c>
      <c r="L4" s="103">
        <v>-7.7000000000000011</v>
      </c>
      <c r="N4" s="119" t="s">
        <v>138</v>
      </c>
      <c r="O4" s="126">
        <f t="shared" si="0"/>
        <v>-1257.1428571428571</v>
      </c>
      <c r="P4" s="123">
        <v>7</v>
      </c>
      <c r="Q4" s="107">
        <v>-8800</v>
      </c>
    </row>
    <row r="5" spans="1:17" x14ac:dyDescent="0.4">
      <c r="A5" s="55" t="s">
        <v>7</v>
      </c>
      <c r="B5" s="157">
        <f>IF(B$2=0,0,B$4/B$2)</f>
        <v>-3.6875</v>
      </c>
      <c r="C5" s="158"/>
      <c r="E5" s="63" t="s">
        <v>68</v>
      </c>
      <c r="F5" s="60" t="s">
        <v>23</v>
      </c>
      <c r="G5" s="47">
        <v>7</v>
      </c>
      <c r="H5" s="137">
        <f>IF(B$27=0,0,G5/B$27)</f>
        <v>0.41176470588235292</v>
      </c>
      <c r="I5" s="98">
        <v>8</v>
      </c>
      <c r="K5" s="38">
        <v>3</v>
      </c>
      <c r="L5" s="103">
        <v>1.7999999999999989</v>
      </c>
      <c r="N5" s="119" t="s">
        <v>139</v>
      </c>
      <c r="O5" s="126">
        <f t="shared" si="0"/>
        <v>2914.2857142857142</v>
      </c>
      <c r="P5" s="123">
        <v>7</v>
      </c>
      <c r="Q5" s="107">
        <v>20400</v>
      </c>
    </row>
    <row r="6" spans="1:17" x14ac:dyDescent="0.4">
      <c r="A6" s="55" t="s">
        <v>1</v>
      </c>
      <c r="B6" s="145">
        <f>IF(B$2=0,0,(B$7*1+B$8*2+B$9*3)/B$2)</f>
        <v>2.125</v>
      </c>
      <c r="C6" s="146"/>
      <c r="E6" s="63" t="s">
        <v>69</v>
      </c>
      <c r="F6" s="60" t="s">
        <v>24</v>
      </c>
      <c r="G6" s="47">
        <v>5</v>
      </c>
      <c r="H6" s="137">
        <f>IF(B$27=0,0,G6/B$27)</f>
        <v>0.29411764705882354</v>
      </c>
      <c r="I6" s="98">
        <v>4</v>
      </c>
      <c r="K6" s="38">
        <v>4</v>
      </c>
      <c r="L6" s="103">
        <v>34.9</v>
      </c>
      <c r="N6" s="119" t="s">
        <v>140</v>
      </c>
      <c r="O6" s="126">
        <f t="shared" si="0"/>
        <v>-4257.1428571428569</v>
      </c>
      <c r="P6" s="123">
        <v>7</v>
      </c>
      <c r="Q6" s="107">
        <v>-29800</v>
      </c>
    </row>
    <row r="7" spans="1:17" x14ac:dyDescent="0.4">
      <c r="A7" s="55" t="s">
        <v>2</v>
      </c>
      <c r="B7" s="47">
        <v>1</v>
      </c>
      <c r="C7" s="39">
        <f>IF(B$2=0,0,B7/B$2)</f>
        <v>0.125</v>
      </c>
      <c r="E7" s="63" t="s">
        <v>70</v>
      </c>
      <c r="F7" s="60" t="s">
        <v>12</v>
      </c>
      <c r="G7" s="47">
        <v>3</v>
      </c>
      <c r="H7" s="137">
        <f>IF(B$27=0,0,G7/B$27)</f>
        <v>0.17647058823529413</v>
      </c>
      <c r="I7" s="98">
        <v>8</v>
      </c>
      <c r="K7" s="38">
        <v>5</v>
      </c>
      <c r="L7" s="103">
        <v>29.4</v>
      </c>
      <c r="N7" s="120" t="s">
        <v>141</v>
      </c>
      <c r="O7" s="127">
        <f t="shared" si="0"/>
        <v>-2516.6666666666665</v>
      </c>
      <c r="P7" s="124">
        <v>6</v>
      </c>
      <c r="Q7" s="108">
        <v>-15100</v>
      </c>
    </row>
    <row r="8" spans="1:17" x14ac:dyDescent="0.4">
      <c r="A8" s="55" t="s">
        <v>3</v>
      </c>
      <c r="B8" s="47">
        <v>5</v>
      </c>
      <c r="C8" s="39">
        <f>IF(B$2=0,0,B8/B$2)</f>
        <v>0.625</v>
      </c>
      <c r="E8" s="63" t="s">
        <v>67</v>
      </c>
      <c r="F8" s="60" t="s">
        <v>22</v>
      </c>
      <c r="G8" s="47">
        <v>2</v>
      </c>
      <c r="H8" s="137">
        <f>IF(B$27=0,0,G8/B$27)</f>
        <v>0.11764705882352941</v>
      </c>
      <c r="I8" s="98">
        <v>6</v>
      </c>
      <c r="K8" s="38">
        <v>6</v>
      </c>
      <c r="L8" s="103">
        <v>4.2999999999999972</v>
      </c>
      <c r="N8" s="43"/>
      <c r="O8" s="131"/>
      <c r="P8" s="115"/>
      <c r="Q8" s="113"/>
    </row>
    <row r="9" spans="1:17" x14ac:dyDescent="0.4">
      <c r="A9" s="56" t="s">
        <v>4</v>
      </c>
      <c r="B9" s="48">
        <v>2</v>
      </c>
      <c r="C9" s="40">
        <f t="shared" ref="C9" si="1">IF(B$2=0,0,B9/B$2)</f>
        <v>0.25</v>
      </c>
      <c r="E9" s="63" t="s">
        <v>92</v>
      </c>
      <c r="F9" s="60" t="s">
        <v>46</v>
      </c>
      <c r="G9" s="47">
        <v>2</v>
      </c>
      <c r="H9" s="137">
        <f>IF(B$27=0,0,G9/B$27)</f>
        <v>0.11764705882352941</v>
      </c>
      <c r="I9" s="98">
        <v>8</v>
      </c>
      <c r="K9" s="38">
        <v>7</v>
      </c>
      <c r="L9" s="103">
        <v>7.7999999999999972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71</v>
      </c>
      <c r="F10" s="60" t="s">
        <v>25</v>
      </c>
      <c r="G10" s="47">
        <v>1</v>
      </c>
      <c r="H10" s="137">
        <f>IF(B$27=0,0,G10/B$27)</f>
        <v>5.8823529411764705E-2</v>
      </c>
      <c r="I10" s="98">
        <v>10</v>
      </c>
      <c r="K10" s="38">
        <v>8</v>
      </c>
      <c r="L10" s="103">
        <v>-29.5</v>
      </c>
      <c r="N10" s="118" t="s">
        <v>172</v>
      </c>
      <c r="O10" s="128">
        <f>IF(P10=0,0,Q10/P10)</f>
        <v>-37.299999999999997</v>
      </c>
      <c r="P10" s="122">
        <v>1</v>
      </c>
      <c r="Q10" s="110">
        <v>-37.299999999999997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84</v>
      </c>
      <c r="F11" s="60" t="s">
        <v>38</v>
      </c>
      <c r="G11" s="47">
        <v>1</v>
      </c>
      <c r="H11" s="137">
        <f>IF(B$27=0,0,G11/B$27)</f>
        <v>5.8823529411764705E-2</v>
      </c>
      <c r="I11" s="98">
        <v>2</v>
      </c>
      <c r="N11" s="119" t="s">
        <v>173</v>
      </c>
      <c r="O11" s="129">
        <f>IF(P11=0,0,Q11/P11)</f>
        <v>8.0333333333333332</v>
      </c>
      <c r="P11" s="123">
        <v>3</v>
      </c>
      <c r="Q11" s="111">
        <v>24.1</v>
      </c>
    </row>
    <row r="12" spans="1:17" x14ac:dyDescent="0.4">
      <c r="A12" s="57" t="s">
        <v>165</v>
      </c>
      <c r="B12" s="49">
        <v>0</v>
      </c>
      <c r="C12" s="42">
        <f>IF(B$2=0,0,B12/B$2)</f>
        <v>0</v>
      </c>
      <c r="E12" s="63" t="s">
        <v>86</v>
      </c>
      <c r="F12" s="60" t="s">
        <v>40</v>
      </c>
      <c r="G12" s="47">
        <v>1</v>
      </c>
      <c r="H12" s="137">
        <f>IF(B$27=0,0,G12/B$27)</f>
        <v>5.8823529411764705E-2</v>
      </c>
      <c r="I12" s="98">
        <v>4</v>
      </c>
      <c r="N12" s="120" t="s">
        <v>174</v>
      </c>
      <c r="O12" s="130">
        <f>IF(P12=0,0,Q12/P12)</f>
        <v>-4.0750000000000002</v>
      </c>
      <c r="P12" s="124">
        <v>4</v>
      </c>
      <c r="Q12" s="112">
        <v>-16.3</v>
      </c>
    </row>
    <row r="13" spans="1:17" x14ac:dyDescent="0.4">
      <c r="A13" s="58" t="s">
        <v>126</v>
      </c>
      <c r="B13" s="50">
        <v>11</v>
      </c>
      <c r="C13" s="44">
        <f>IF(B$26=0,0,B13/B$26)</f>
        <v>0.18032786885245902</v>
      </c>
      <c r="E13" s="63" t="s">
        <v>89</v>
      </c>
      <c r="F13" s="60" t="s">
        <v>43</v>
      </c>
      <c r="G13" s="47">
        <v>1</v>
      </c>
      <c r="H13" s="137">
        <f>IF(B$27=0,0,G13/B$27)</f>
        <v>5.8823529411764705E-2</v>
      </c>
      <c r="I13" s="98">
        <v>5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21</v>
      </c>
      <c r="C14" s="39">
        <f>IF(B$26=0,0,B14/B$26)</f>
        <v>0.34426229508196721</v>
      </c>
      <c r="E14" s="63" t="s">
        <v>72</v>
      </c>
      <c r="F14" s="60" t="s">
        <v>26</v>
      </c>
      <c r="G14" s="47">
        <v>0</v>
      </c>
      <c r="H14" s="137">
        <f>IF(B$27=0,0,G14/B$27)</f>
        <v>0</v>
      </c>
      <c r="I14" s="98">
        <v>7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7</v>
      </c>
      <c r="C15" s="37">
        <f>IF(B$13=0,0,B15/B$13)</f>
        <v>0.63636363636363635</v>
      </c>
      <c r="E15" s="63" t="s">
        <v>73</v>
      </c>
      <c r="F15" s="60" t="s">
        <v>27</v>
      </c>
      <c r="G15" s="47">
        <v>0</v>
      </c>
      <c r="H15" s="137">
        <f>IF(B$27=0,0,G15/B$27)</f>
        <v>0</v>
      </c>
      <c r="I15" s="98">
        <v>8</v>
      </c>
      <c r="N15" s="118" t="s">
        <v>133</v>
      </c>
      <c r="O15" s="128">
        <f>IF(P15=0,0,Q15/P15)</f>
        <v>67.8</v>
      </c>
      <c r="P15" s="122">
        <v>1</v>
      </c>
      <c r="Q15" s="110">
        <v>67.8</v>
      </c>
    </row>
    <row r="16" spans="1:17" x14ac:dyDescent="0.4">
      <c r="A16" s="54" t="s">
        <v>129</v>
      </c>
      <c r="B16" s="46">
        <v>7</v>
      </c>
      <c r="C16" s="37">
        <f>IF(B$14=0,0,B16/B$14)</f>
        <v>0.33333333333333331</v>
      </c>
      <c r="E16" s="63" t="s">
        <v>75</v>
      </c>
      <c r="F16" s="60" t="s">
        <v>29</v>
      </c>
      <c r="G16" s="47">
        <v>0</v>
      </c>
      <c r="H16" s="137">
        <f>IF(B$27=0,0,G16/B$27)</f>
        <v>0</v>
      </c>
      <c r="I16" s="98">
        <v>3</v>
      </c>
      <c r="N16" s="119" t="s">
        <v>181</v>
      </c>
      <c r="O16" s="129">
        <f>IF(P16=0,0,Q16/P16)</f>
        <v>5.9</v>
      </c>
      <c r="P16" s="123">
        <v>2</v>
      </c>
      <c r="Q16" s="111">
        <v>11.8</v>
      </c>
    </row>
    <row r="17" spans="1:17" x14ac:dyDescent="0.4">
      <c r="A17" s="54" t="s">
        <v>10</v>
      </c>
      <c r="B17" s="46">
        <f>B19+B18</f>
        <v>17</v>
      </c>
      <c r="C17" s="37">
        <f>IF(B$3=0,0,B17/B$3)</f>
        <v>0.27868852459016391</v>
      </c>
      <c r="E17" s="63" t="s">
        <v>76</v>
      </c>
      <c r="F17" s="60" t="s">
        <v>30</v>
      </c>
      <c r="G17" s="47">
        <v>0</v>
      </c>
      <c r="H17" s="137">
        <f>IF(B$27=0,0,G17/B$27)</f>
        <v>0</v>
      </c>
      <c r="I17" s="98">
        <v>1</v>
      </c>
      <c r="N17" s="119" t="s">
        <v>179</v>
      </c>
      <c r="O17" s="129">
        <f>IF(P17=0,0,Q17/P17)</f>
        <v>-2.8000000000000003</v>
      </c>
      <c r="P17" s="123">
        <v>6</v>
      </c>
      <c r="Q17" s="111">
        <v>-16.8</v>
      </c>
    </row>
    <row r="18" spans="1:17" x14ac:dyDescent="0.4">
      <c r="A18" s="55" t="s">
        <v>12</v>
      </c>
      <c r="B18" s="47">
        <v>6</v>
      </c>
      <c r="C18" s="39">
        <f>IF(B$17=0,0,B18/B$17)</f>
        <v>0.35294117647058826</v>
      </c>
      <c r="E18" s="63" t="s">
        <v>77</v>
      </c>
      <c r="F18" s="60" t="s">
        <v>31</v>
      </c>
      <c r="G18" s="47">
        <v>0</v>
      </c>
      <c r="H18" s="137">
        <f>IF(B$27=0,0,G18/B$27)</f>
        <v>0</v>
      </c>
      <c r="I18" s="98">
        <v>5</v>
      </c>
      <c r="N18" s="119" t="s">
        <v>131</v>
      </c>
      <c r="O18" s="129">
        <f>IF(P18=0,0,Q18/P18)</f>
        <v>-13.3</v>
      </c>
      <c r="P18" s="123">
        <v>4</v>
      </c>
      <c r="Q18" s="111">
        <v>-53.2</v>
      </c>
    </row>
    <row r="19" spans="1:17" x14ac:dyDescent="0.4">
      <c r="A19" s="55" t="s">
        <v>11</v>
      </c>
      <c r="B19" s="47">
        <v>11</v>
      </c>
      <c r="C19" s="39">
        <f>IF(B$17=0,0,B19/B$17)</f>
        <v>0.6470588235294118</v>
      </c>
      <c r="E19" s="63" t="s">
        <v>78</v>
      </c>
      <c r="F19" s="60" t="s">
        <v>32</v>
      </c>
      <c r="G19" s="47">
        <v>0</v>
      </c>
      <c r="H19" s="137">
        <f>IF(B$27=0,0,G19/B$27)</f>
        <v>0</v>
      </c>
      <c r="I19" s="98">
        <v>1</v>
      </c>
      <c r="N19" s="119" t="s">
        <v>132</v>
      </c>
      <c r="O19" s="129">
        <f>IF(P19=0,0,Q19/P19)</f>
        <v>-32.700000000000003</v>
      </c>
      <c r="P19" s="123">
        <v>3</v>
      </c>
      <c r="Q19" s="111">
        <v>-98.100000000000009</v>
      </c>
    </row>
    <row r="20" spans="1:17" x14ac:dyDescent="0.4">
      <c r="A20" s="55" t="s">
        <v>13</v>
      </c>
      <c r="B20" s="47">
        <v>10</v>
      </c>
      <c r="C20" s="39">
        <f>IF(B$3=0,0,B20/B$3)</f>
        <v>0.16393442622950818</v>
      </c>
      <c r="E20" s="63" t="s">
        <v>79</v>
      </c>
      <c r="F20" s="60" t="s">
        <v>33</v>
      </c>
      <c r="G20" s="47">
        <v>0</v>
      </c>
      <c r="H20" s="137">
        <f>IF(B$27=0,0,G20/B$27)</f>
        <v>0</v>
      </c>
      <c r="I20" s="98">
        <v>1</v>
      </c>
    </row>
    <row r="21" spans="1:17" x14ac:dyDescent="0.4">
      <c r="A21" s="55" t="s">
        <v>5</v>
      </c>
      <c r="B21" s="51">
        <f>IF(B$17=0,0,C21/B$17)</f>
        <v>5858.8235294117649</v>
      </c>
      <c r="C21" s="41">
        <v>99600</v>
      </c>
      <c r="E21" s="63" t="s">
        <v>80</v>
      </c>
      <c r="F21" s="60" t="s">
        <v>34</v>
      </c>
      <c r="G21" s="47">
        <v>0</v>
      </c>
      <c r="H21" s="137">
        <f>IF(B$27=0,0,G21/B$27)</f>
        <v>0</v>
      </c>
      <c r="I21" s="98">
        <v>4</v>
      </c>
    </row>
    <row r="22" spans="1:17" x14ac:dyDescent="0.4">
      <c r="A22" s="57" t="s">
        <v>14</v>
      </c>
      <c r="B22" s="52">
        <f>IF(B$20=0,0,C22/B$20)</f>
        <v>-7190</v>
      </c>
      <c r="C22" s="45">
        <v>-71900</v>
      </c>
      <c r="E22" s="63" t="s">
        <v>81</v>
      </c>
      <c r="F22" s="60" t="s">
        <v>35</v>
      </c>
      <c r="G22" s="47">
        <v>0</v>
      </c>
      <c r="H22" s="137">
        <f>IF(B$27=0,0,G22/B$27)</f>
        <v>0</v>
      </c>
      <c r="I22" s="98">
        <v>3</v>
      </c>
    </row>
    <row r="23" spans="1:17" x14ac:dyDescent="0.4">
      <c r="A23" s="94" t="s">
        <v>146</v>
      </c>
      <c r="B23" s="143">
        <v>3</v>
      </c>
      <c r="C23" s="144"/>
      <c r="E23" s="63" t="s">
        <v>82</v>
      </c>
      <c r="F23" s="60" t="s">
        <v>36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41">
        <v>48100</v>
      </c>
      <c r="C24" s="142"/>
      <c r="E24" s="63" t="s">
        <v>83</v>
      </c>
      <c r="F24" s="60" t="s">
        <v>37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85</v>
      </c>
      <c r="F25" s="60" t="s">
        <v>39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7">
        <v>61</v>
      </c>
      <c r="C26" s="148"/>
      <c r="E26" s="63" t="s">
        <v>87</v>
      </c>
      <c r="F26" s="60" t="s">
        <v>41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17</v>
      </c>
      <c r="C27" s="150"/>
      <c r="E27" s="63" t="s">
        <v>88</v>
      </c>
      <c r="F27" s="60" t="s">
        <v>42</v>
      </c>
      <c r="G27" s="47">
        <v>0</v>
      </c>
      <c r="H27" s="137">
        <f>IF(B$27=0,0,G27/B$27)</f>
        <v>0</v>
      </c>
      <c r="I27" s="98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IF(B$27=0,0,G28/B$27)</f>
        <v>0</v>
      </c>
      <c r="I28" s="98">
        <v>1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IF(B$27=0,0,G31/B$27)</f>
        <v>0</v>
      </c>
      <c r="I31" s="98">
        <v>4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3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3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FDE08-1B47-422D-A7BE-CCCABF861211}">
  <sheetPr codeName="Sheet17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181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11</v>
      </c>
      <c r="C2" s="148"/>
      <c r="E2" s="62" t="s">
        <v>68</v>
      </c>
      <c r="F2" s="59" t="s">
        <v>23</v>
      </c>
      <c r="G2" s="46">
        <v>21</v>
      </c>
      <c r="H2" s="136">
        <f>IF(B$27=0,0,G2/B$27)</f>
        <v>0.80769230769230771</v>
      </c>
      <c r="I2" s="97">
        <v>3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-3272.7272727272725</v>
      </c>
      <c r="P2" s="122">
        <v>11</v>
      </c>
      <c r="Q2" s="106">
        <v>-36000</v>
      </c>
    </row>
    <row r="3" spans="1:17" x14ac:dyDescent="0.4">
      <c r="A3" s="55" t="s">
        <v>8</v>
      </c>
      <c r="B3" s="153">
        <v>103</v>
      </c>
      <c r="C3" s="154"/>
      <c r="E3" s="63" t="s">
        <v>74</v>
      </c>
      <c r="F3" s="60" t="s">
        <v>28</v>
      </c>
      <c r="G3" s="47">
        <v>15</v>
      </c>
      <c r="H3" s="137">
        <f>IF(B$27=0,0,G3/B$27)</f>
        <v>0.57692307692307687</v>
      </c>
      <c r="I3" s="98">
        <v>4</v>
      </c>
      <c r="K3" s="38">
        <v>1</v>
      </c>
      <c r="L3" s="103">
        <v>-82.6</v>
      </c>
      <c r="N3" s="119" t="s">
        <v>137</v>
      </c>
      <c r="O3" s="126">
        <f t="shared" si="0"/>
        <v>-4881.818181818182</v>
      </c>
      <c r="P3" s="123">
        <v>11</v>
      </c>
      <c r="Q3" s="107">
        <v>-53700</v>
      </c>
    </row>
    <row r="4" spans="1:17" x14ac:dyDescent="0.4">
      <c r="A4" s="55" t="s">
        <v>6</v>
      </c>
      <c r="B4" s="155">
        <v>-325.39999999999998</v>
      </c>
      <c r="C4" s="156"/>
      <c r="E4" s="63" t="s">
        <v>70</v>
      </c>
      <c r="F4" s="60" t="s">
        <v>12</v>
      </c>
      <c r="G4" s="47">
        <v>9</v>
      </c>
      <c r="H4" s="137">
        <f>IF(B$27=0,0,G4/B$27)</f>
        <v>0.34615384615384615</v>
      </c>
      <c r="I4" s="98">
        <v>2</v>
      </c>
      <c r="K4" s="38">
        <v>2</v>
      </c>
      <c r="L4" s="103">
        <v>-122.3</v>
      </c>
      <c r="N4" s="119" t="s">
        <v>138</v>
      </c>
      <c r="O4" s="126">
        <f t="shared" si="0"/>
        <v>-500</v>
      </c>
      <c r="P4" s="123">
        <v>10</v>
      </c>
      <c r="Q4" s="107">
        <v>-5000</v>
      </c>
    </row>
    <row r="5" spans="1:17" x14ac:dyDescent="0.4">
      <c r="A5" s="55" t="s">
        <v>7</v>
      </c>
      <c r="B5" s="157">
        <f>IF(B$2=0,0,B$4/B$2)</f>
        <v>-29.581818181818178</v>
      </c>
      <c r="C5" s="158"/>
      <c r="E5" s="63" t="s">
        <v>66</v>
      </c>
      <c r="F5" s="60" t="s">
        <v>21</v>
      </c>
      <c r="G5" s="47">
        <v>6</v>
      </c>
      <c r="H5" s="137">
        <f>IF(B$27=0,0,G5/B$27)</f>
        <v>0.23076923076923078</v>
      </c>
      <c r="I5" s="98">
        <v>10</v>
      </c>
      <c r="K5" s="38">
        <v>3</v>
      </c>
      <c r="L5" s="103">
        <v>-149</v>
      </c>
      <c r="N5" s="119" t="s">
        <v>139</v>
      </c>
      <c r="O5" s="126">
        <f t="shared" si="0"/>
        <v>-8177.7777777777774</v>
      </c>
      <c r="P5" s="123">
        <v>9</v>
      </c>
      <c r="Q5" s="107">
        <v>-73600</v>
      </c>
    </row>
    <row r="6" spans="1:17" x14ac:dyDescent="0.4">
      <c r="A6" s="55" t="s">
        <v>1</v>
      </c>
      <c r="B6" s="145">
        <f>IF(B$2=0,0,(B$7*1+B$8*2+B$9*3)/B$2)</f>
        <v>2.5454545454545454</v>
      </c>
      <c r="C6" s="146"/>
      <c r="E6" s="63" t="s">
        <v>189</v>
      </c>
      <c r="F6" s="60" t="s">
        <v>190</v>
      </c>
      <c r="G6" s="47">
        <v>6</v>
      </c>
      <c r="H6" s="137">
        <f>IF(B$27=0,0,G6/B$27)</f>
        <v>0.23076923076923078</v>
      </c>
      <c r="I6" s="98">
        <v>9</v>
      </c>
      <c r="K6" s="38">
        <v>4</v>
      </c>
      <c r="L6" s="103">
        <v>-150.6</v>
      </c>
      <c r="N6" s="119" t="s">
        <v>140</v>
      </c>
      <c r="O6" s="126">
        <f t="shared" si="0"/>
        <v>-3850</v>
      </c>
      <c r="P6" s="123">
        <v>8</v>
      </c>
      <c r="Q6" s="107">
        <v>-30800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71</v>
      </c>
      <c r="F7" s="60" t="s">
        <v>25</v>
      </c>
      <c r="G7" s="47">
        <v>3</v>
      </c>
      <c r="H7" s="137">
        <f>IF(B$27=0,0,G7/B$27)</f>
        <v>0.11538461538461539</v>
      </c>
      <c r="I7" s="98">
        <v>8</v>
      </c>
      <c r="K7" s="38">
        <v>5</v>
      </c>
      <c r="L7" s="103">
        <v>-184.89999999999998</v>
      </c>
      <c r="N7" s="120" t="s">
        <v>141</v>
      </c>
      <c r="O7" s="127">
        <f t="shared" si="0"/>
        <v>-900</v>
      </c>
      <c r="P7" s="124">
        <v>7</v>
      </c>
      <c r="Q7" s="108">
        <v>-6300</v>
      </c>
    </row>
    <row r="8" spans="1:17" x14ac:dyDescent="0.4">
      <c r="A8" s="55" t="s">
        <v>3</v>
      </c>
      <c r="B8" s="47">
        <v>5</v>
      </c>
      <c r="C8" s="39">
        <f>IF(B$2=0,0,B8/B$2)</f>
        <v>0.45454545454545453</v>
      </c>
      <c r="E8" s="63" t="s">
        <v>72</v>
      </c>
      <c r="F8" s="60" t="s">
        <v>26</v>
      </c>
      <c r="G8" s="47">
        <v>3</v>
      </c>
      <c r="H8" s="137">
        <f>IF(B$27=0,0,G8/B$27)</f>
        <v>0.11538461538461539</v>
      </c>
      <c r="I8" s="98">
        <v>3</v>
      </c>
      <c r="K8" s="38">
        <v>6</v>
      </c>
      <c r="L8" s="103">
        <v>-187.59999999999997</v>
      </c>
      <c r="N8" s="43"/>
      <c r="O8" s="131"/>
      <c r="P8" s="115"/>
      <c r="Q8" s="113"/>
    </row>
    <row r="9" spans="1:17" x14ac:dyDescent="0.4">
      <c r="A9" s="56" t="s">
        <v>4</v>
      </c>
      <c r="B9" s="48">
        <v>6</v>
      </c>
      <c r="C9" s="40">
        <f t="shared" ref="C9" si="1">IF(B$2=0,0,B9/B$2)</f>
        <v>0.54545454545454541</v>
      </c>
      <c r="E9" s="63" t="s">
        <v>92</v>
      </c>
      <c r="F9" s="60" t="s">
        <v>46</v>
      </c>
      <c r="G9" s="47">
        <v>3</v>
      </c>
      <c r="H9" s="137">
        <f>IF(B$27=0,0,G9/B$27)</f>
        <v>0.11538461538461539</v>
      </c>
      <c r="I9" s="98">
        <v>9</v>
      </c>
      <c r="K9" s="38">
        <v>7</v>
      </c>
      <c r="L9" s="103">
        <v>-216.09999999999997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2</v>
      </c>
      <c r="C10" s="40">
        <f>IF(B$2=0,0,B10/B$2)</f>
        <v>0.18181818181818182</v>
      </c>
      <c r="E10" s="63" t="s">
        <v>69</v>
      </c>
      <c r="F10" s="60" t="s">
        <v>24</v>
      </c>
      <c r="G10" s="47">
        <v>2</v>
      </c>
      <c r="H10" s="137">
        <f>IF(B$27=0,0,G10/B$27)</f>
        <v>7.6923076923076927E-2</v>
      </c>
      <c r="I10" s="98">
        <v>9</v>
      </c>
      <c r="K10" s="38">
        <v>8</v>
      </c>
      <c r="L10" s="103">
        <v>-219.59999999999997</v>
      </c>
      <c r="N10" s="118" t="s">
        <v>172</v>
      </c>
      <c r="O10" s="128">
        <f>IF(P10=0,0,Q10/P10)</f>
        <v>-25.066666666666666</v>
      </c>
      <c r="P10" s="122">
        <v>3</v>
      </c>
      <c r="Q10" s="110">
        <v>-75.2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86</v>
      </c>
      <c r="F11" s="60" t="s">
        <v>40</v>
      </c>
      <c r="G11" s="47">
        <v>2</v>
      </c>
      <c r="H11" s="137">
        <f>IF(B$27=0,0,G11/B$27)</f>
        <v>7.6923076923076927E-2</v>
      </c>
      <c r="I11" s="98">
        <v>2</v>
      </c>
      <c r="K11" s="38">
        <v>9</v>
      </c>
      <c r="L11" s="103">
        <v>-260.59999999999997</v>
      </c>
      <c r="N11" s="119" t="s">
        <v>173</v>
      </c>
      <c r="O11" s="129">
        <f>IF(P11=0,0,Q11/P11)</f>
        <v>-27.349999999999998</v>
      </c>
      <c r="P11" s="123">
        <v>6</v>
      </c>
      <c r="Q11" s="111">
        <v>-164.1</v>
      </c>
    </row>
    <row r="12" spans="1:17" x14ac:dyDescent="0.4">
      <c r="A12" s="57" t="s">
        <v>165</v>
      </c>
      <c r="B12" s="49">
        <v>0</v>
      </c>
      <c r="C12" s="42">
        <f>IF(B$2=0,0,B12/B$2)</f>
        <v>0</v>
      </c>
      <c r="E12" s="63" t="s">
        <v>73</v>
      </c>
      <c r="F12" s="60" t="s">
        <v>27</v>
      </c>
      <c r="G12" s="47">
        <v>1</v>
      </c>
      <c r="H12" s="137">
        <f>IF(B$27=0,0,G12/B$27)</f>
        <v>3.8461538461538464E-2</v>
      </c>
      <c r="I12" s="98">
        <v>5</v>
      </c>
      <c r="K12" s="38">
        <v>10</v>
      </c>
      <c r="L12" s="103">
        <v>-318.39999999999998</v>
      </c>
      <c r="N12" s="120" t="s">
        <v>174</v>
      </c>
      <c r="O12" s="130">
        <f>IF(P12=0,0,Q12/P12)</f>
        <v>-43.05</v>
      </c>
      <c r="P12" s="124">
        <v>2</v>
      </c>
      <c r="Q12" s="112">
        <v>-86.1</v>
      </c>
    </row>
    <row r="13" spans="1:17" x14ac:dyDescent="0.4">
      <c r="A13" s="58" t="s">
        <v>126</v>
      </c>
      <c r="B13" s="50">
        <v>14</v>
      </c>
      <c r="C13" s="44">
        <f>IF(B$26=0,0,B13/B$26)</f>
        <v>0.15053763440860216</v>
      </c>
      <c r="E13" s="63" t="s">
        <v>81</v>
      </c>
      <c r="F13" s="60" t="s">
        <v>35</v>
      </c>
      <c r="G13" s="47">
        <v>1</v>
      </c>
      <c r="H13" s="137">
        <f>IF(B$27=0,0,G13/B$27)</f>
        <v>3.8461538461538464E-2</v>
      </c>
      <c r="I13" s="98">
        <v>1</v>
      </c>
      <c r="K13" s="38">
        <v>11</v>
      </c>
      <c r="L13" s="103">
        <v>-325.39999999999998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26</v>
      </c>
      <c r="C14" s="39">
        <f>IF(B$26=0,0,B14/B$26)</f>
        <v>0.27956989247311825</v>
      </c>
      <c r="E14" s="63" t="s">
        <v>67</v>
      </c>
      <c r="F14" s="60" t="s">
        <v>22</v>
      </c>
      <c r="G14" s="47">
        <v>0</v>
      </c>
      <c r="H14" s="137">
        <f>IF(B$27=0,0,G14/B$27)</f>
        <v>0</v>
      </c>
      <c r="I14" s="98">
        <v>8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6</v>
      </c>
      <c r="C15" s="37">
        <f>IF(B$13=0,0,B15/B$13)</f>
        <v>0.42857142857142855</v>
      </c>
      <c r="E15" s="63" t="s">
        <v>75</v>
      </c>
      <c r="F15" s="60" t="s">
        <v>29</v>
      </c>
      <c r="G15" s="47">
        <v>0</v>
      </c>
      <c r="H15" s="137">
        <f>IF(B$27=0,0,G15/B$27)</f>
        <v>0</v>
      </c>
      <c r="I15" s="98">
        <v>3</v>
      </c>
      <c r="N15" s="118" t="s">
        <v>180</v>
      </c>
      <c r="O15" s="128">
        <f>IF(P15=0,0,Q15/P15)</f>
        <v>-5.9000000000000021</v>
      </c>
      <c r="P15" s="122">
        <v>2</v>
      </c>
      <c r="Q15" s="110">
        <v>-11.800000000000004</v>
      </c>
    </row>
    <row r="16" spans="1:17" x14ac:dyDescent="0.4">
      <c r="A16" s="54" t="s">
        <v>129</v>
      </c>
      <c r="B16" s="46">
        <v>10</v>
      </c>
      <c r="C16" s="37">
        <f>IF(B$14=0,0,B16/B$14)</f>
        <v>0.38461538461538464</v>
      </c>
      <c r="E16" s="63" t="s">
        <v>76</v>
      </c>
      <c r="F16" s="60" t="s">
        <v>30</v>
      </c>
      <c r="G16" s="47">
        <v>0</v>
      </c>
      <c r="H16" s="137">
        <f>IF(B$27=0,0,G16/B$27)</f>
        <v>0</v>
      </c>
      <c r="I16" s="98">
        <v>1</v>
      </c>
      <c r="N16" s="119" t="s">
        <v>133</v>
      </c>
      <c r="O16" s="129">
        <f>IF(P16=0,0,Q16/P16)</f>
        <v>-13.949999999999996</v>
      </c>
      <c r="P16" s="123">
        <v>2</v>
      </c>
      <c r="Q16" s="111">
        <v>-27.899999999999991</v>
      </c>
    </row>
    <row r="17" spans="1:17" x14ac:dyDescent="0.4">
      <c r="A17" s="54" t="s">
        <v>10</v>
      </c>
      <c r="B17" s="46">
        <f>B19+B18</f>
        <v>28</v>
      </c>
      <c r="C17" s="37">
        <f>IF(B$3=0,0,B17/B$3)</f>
        <v>0.27184466019417475</v>
      </c>
      <c r="E17" s="63" t="s">
        <v>77</v>
      </c>
      <c r="F17" s="60" t="s">
        <v>31</v>
      </c>
      <c r="G17" s="47">
        <v>0</v>
      </c>
      <c r="H17" s="137">
        <f>IF(B$27=0,0,G17/B$27)</f>
        <v>0</v>
      </c>
      <c r="I17" s="98">
        <v>5</v>
      </c>
      <c r="N17" s="119" t="s">
        <v>185</v>
      </c>
      <c r="O17" s="129">
        <f>IF(P17=0,0,Q17/P17)</f>
        <v>-17.950000000000003</v>
      </c>
      <c r="P17" s="123">
        <v>2</v>
      </c>
      <c r="Q17" s="111">
        <v>-35.900000000000006</v>
      </c>
    </row>
    <row r="18" spans="1:17" x14ac:dyDescent="0.4">
      <c r="A18" s="55" t="s">
        <v>12</v>
      </c>
      <c r="B18" s="47">
        <v>14</v>
      </c>
      <c r="C18" s="39">
        <f>IF(B$17=0,0,B18/B$17)</f>
        <v>0.5</v>
      </c>
      <c r="E18" s="63" t="s">
        <v>78</v>
      </c>
      <c r="F18" s="60" t="s">
        <v>32</v>
      </c>
      <c r="G18" s="47">
        <v>0</v>
      </c>
      <c r="H18" s="137">
        <f>IF(B$27=0,0,G18/B$27)</f>
        <v>0</v>
      </c>
      <c r="I18" s="98">
        <v>1</v>
      </c>
      <c r="N18" s="119" t="s">
        <v>179</v>
      </c>
      <c r="O18" s="129">
        <f>IF(P18=0,0,Q18/P18)</f>
        <v>-33.24285714285714</v>
      </c>
      <c r="P18" s="123">
        <v>7</v>
      </c>
      <c r="Q18" s="111">
        <v>-232.7</v>
      </c>
    </row>
    <row r="19" spans="1:17" x14ac:dyDescent="0.4">
      <c r="A19" s="55" t="s">
        <v>11</v>
      </c>
      <c r="B19" s="47">
        <v>14</v>
      </c>
      <c r="C19" s="39">
        <f>IF(B$17=0,0,B19/B$17)</f>
        <v>0.5</v>
      </c>
      <c r="E19" s="63" t="s">
        <v>79</v>
      </c>
      <c r="F19" s="60" t="s">
        <v>33</v>
      </c>
      <c r="G19" s="47">
        <v>0</v>
      </c>
      <c r="H19" s="137">
        <f>IF(B$27=0,0,G19/B$27)</f>
        <v>0</v>
      </c>
      <c r="I19" s="98">
        <v>1</v>
      </c>
      <c r="N19" s="119" t="s">
        <v>193</v>
      </c>
      <c r="O19" s="129">
        <f>IF(P19=0,0,Q19/P19)</f>
        <v>-45.5</v>
      </c>
      <c r="P19" s="123">
        <v>1</v>
      </c>
      <c r="Q19" s="111">
        <v>-45.5</v>
      </c>
    </row>
    <row r="20" spans="1:17" x14ac:dyDescent="0.4">
      <c r="A20" s="55" t="s">
        <v>13</v>
      </c>
      <c r="B20" s="47">
        <v>25</v>
      </c>
      <c r="C20" s="39">
        <f>IF(B$3=0,0,B20/B$3)</f>
        <v>0.24271844660194175</v>
      </c>
      <c r="E20" s="63" t="s">
        <v>80</v>
      </c>
      <c r="F20" s="60" t="s">
        <v>34</v>
      </c>
      <c r="G20" s="47">
        <v>0</v>
      </c>
      <c r="H20" s="137">
        <f>IF(B$27=0,0,G20/B$27)</f>
        <v>0</v>
      </c>
      <c r="I20" s="98">
        <v>4</v>
      </c>
      <c r="N20" s="119" t="s">
        <v>132</v>
      </c>
      <c r="O20" s="129">
        <f>IF(P20=0,0,Q20/P20)</f>
        <v>-52.48</v>
      </c>
      <c r="P20" s="123">
        <v>5</v>
      </c>
      <c r="Q20" s="111">
        <v>-262.39999999999998</v>
      </c>
    </row>
    <row r="21" spans="1:17" x14ac:dyDescent="0.4">
      <c r="A21" s="55" t="s">
        <v>5</v>
      </c>
      <c r="B21" s="51">
        <f>IF(B$17=0,0,C21/B$17)</f>
        <v>4528.5714285714284</v>
      </c>
      <c r="C21" s="41">
        <v>126800</v>
      </c>
      <c r="E21" s="63" t="s">
        <v>82</v>
      </c>
      <c r="F21" s="60" t="s">
        <v>36</v>
      </c>
      <c r="G21" s="47">
        <v>0</v>
      </c>
      <c r="H21" s="137">
        <f>IF(B$27=0,0,G21/B$27)</f>
        <v>0</v>
      </c>
      <c r="I21" s="98">
        <v>1</v>
      </c>
      <c r="N21" s="119" t="s">
        <v>131</v>
      </c>
      <c r="O21" s="129">
        <f>IF(P21=0,0,Q21/P21)</f>
        <v>-119.99999999999999</v>
      </c>
      <c r="P21" s="123">
        <v>3</v>
      </c>
      <c r="Q21" s="111">
        <v>-359.99999999999994</v>
      </c>
    </row>
    <row r="22" spans="1:17" x14ac:dyDescent="0.4">
      <c r="A22" s="57" t="s">
        <v>14</v>
      </c>
      <c r="B22" s="52">
        <f>IF(B$20=0,0,C22/B$20)</f>
        <v>-9204</v>
      </c>
      <c r="C22" s="45">
        <v>-230100</v>
      </c>
      <c r="E22" s="63" t="s">
        <v>83</v>
      </c>
      <c r="F22" s="60" t="s">
        <v>37</v>
      </c>
      <c r="G22" s="47">
        <v>0</v>
      </c>
      <c r="H22" s="137">
        <f>IF(B$27=0,0,G22/B$27)</f>
        <v>0</v>
      </c>
      <c r="I22" s="98">
        <v>1</v>
      </c>
    </row>
    <row r="23" spans="1:17" x14ac:dyDescent="0.4">
      <c r="A23" s="94" t="s">
        <v>146</v>
      </c>
      <c r="B23" s="143">
        <v>6</v>
      </c>
      <c r="C23" s="144"/>
      <c r="E23" s="63" t="s">
        <v>84</v>
      </c>
      <c r="F23" s="60" t="s">
        <v>38</v>
      </c>
      <c r="G23" s="47">
        <v>0</v>
      </c>
      <c r="H23" s="137">
        <f>IF(B$27=0,0,G23/B$27)</f>
        <v>0</v>
      </c>
      <c r="I23" s="98">
        <v>6</v>
      </c>
    </row>
    <row r="24" spans="1:17" x14ac:dyDescent="0.4">
      <c r="A24" s="58" t="s">
        <v>157</v>
      </c>
      <c r="B24" s="141">
        <v>33400</v>
      </c>
      <c r="C24" s="142"/>
      <c r="E24" s="63" t="s">
        <v>85</v>
      </c>
      <c r="F24" s="60" t="s">
        <v>39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87</v>
      </c>
      <c r="F25" s="60" t="s">
        <v>41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7">
        <v>93</v>
      </c>
      <c r="C26" s="148"/>
      <c r="E26" s="63" t="s">
        <v>88</v>
      </c>
      <c r="F26" s="60" t="s">
        <v>42</v>
      </c>
      <c r="G26" s="47">
        <v>0</v>
      </c>
      <c r="H26" s="137">
        <f>IF(B$27=0,0,G26/B$27)</f>
        <v>0</v>
      </c>
      <c r="I26" s="98">
        <v>3</v>
      </c>
    </row>
    <row r="27" spans="1:17" x14ac:dyDescent="0.4">
      <c r="A27" s="57" t="s">
        <v>125</v>
      </c>
      <c r="B27" s="149">
        <v>26</v>
      </c>
      <c r="C27" s="150"/>
      <c r="E27" s="63" t="s">
        <v>89</v>
      </c>
      <c r="F27" s="60" t="s">
        <v>43</v>
      </c>
      <c r="G27" s="47">
        <v>0</v>
      </c>
      <c r="H27" s="137">
        <f>IF(B$27=0,0,G27/B$27)</f>
        <v>0</v>
      </c>
      <c r="I27" s="98">
        <v>7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IF(B$27=0,0,G28/B$27)</f>
        <v>0</v>
      </c>
      <c r="I28" s="98">
        <v>1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IF(B$27=0,0,G31/B$27)</f>
        <v>0</v>
      </c>
      <c r="I31" s="98">
        <v>4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3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3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CA2E2-77BA-4396-82C1-F1DECE3CFA31}">
  <sheetPr codeName="Sheet19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185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6</v>
      </c>
      <c r="C2" s="148"/>
      <c r="E2" s="62" t="s">
        <v>66</v>
      </c>
      <c r="F2" s="59" t="s">
        <v>21</v>
      </c>
      <c r="G2" s="46">
        <v>8</v>
      </c>
      <c r="H2" s="136">
        <f>IF(B$27=0,0,G2/B$27)</f>
        <v>0.5714285714285714</v>
      </c>
      <c r="I2" s="97">
        <v>4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-1133.3333333333333</v>
      </c>
      <c r="P2" s="122">
        <v>6</v>
      </c>
      <c r="Q2" s="106">
        <v>-6800</v>
      </c>
    </row>
    <row r="3" spans="1:17" x14ac:dyDescent="0.4">
      <c r="A3" s="55" t="s">
        <v>8</v>
      </c>
      <c r="B3" s="153">
        <v>45</v>
      </c>
      <c r="C3" s="154"/>
      <c r="E3" s="63" t="s">
        <v>74</v>
      </c>
      <c r="F3" s="60" t="s">
        <v>28</v>
      </c>
      <c r="G3" s="47">
        <v>7</v>
      </c>
      <c r="H3" s="137">
        <f>IF(B$27=0,0,G3/B$27)</f>
        <v>0.5</v>
      </c>
      <c r="I3" s="98">
        <v>7</v>
      </c>
      <c r="K3" s="38">
        <v>1</v>
      </c>
      <c r="L3" s="103">
        <v>-1.9</v>
      </c>
      <c r="N3" s="119" t="s">
        <v>137</v>
      </c>
      <c r="O3" s="126">
        <f t="shared" si="0"/>
        <v>-2716.6666666666665</v>
      </c>
      <c r="P3" s="123">
        <v>6</v>
      </c>
      <c r="Q3" s="107">
        <v>-16300</v>
      </c>
    </row>
    <row r="4" spans="1:17" x14ac:dyDescent="0.4">
      <c r="A4" s="55" t="s">
        <v>6</v>
      </c>
      <c r="B4" s="155">
        <v>3.8999999999999986</v>
      </c>
      <c r="C4" s="156"/>
      <c r="E4" s="63" t="s">
        <v>68</v>
      </c>
      <c r="F4" s="60" t="s">
        <v>23</v>
      </c>
      <c r="G4" s="47">
        <v>5</v>
      </c>
      <c r="H4" s="137">
        <f>IF(B$27=0,0,G4/B$27)</f>
        <v>0.35714285714285715</v>
      </c>
      <c r="I4" s="98">
        <v>9</v>
      </c>
      <c r="K4" s="38">
        <v>2</v>
      </c>
      <c r="L4" s="103">
        <v>30</v>
      </c>
      <c r="N4" s="119" t="s">
        <v>138</v>
      </c>
      <c r="O4" s="126">
        <f t="shared" si="0"/>
        <v>2133.3333333333335</v>
      </c>
      <c r="P4" s="123">
        <v>6</v>
      </c>
      <c r="Q4" s="107">
        <v>12800</v>
      </c>
    </row>
    <row r="5" spans="1:17" x14ac:dyDescent="0.4">
      <c r="A5" s="55" t="s">
        <v>7</v>
      </c>
      <c r="B5" s="157">
        <f>IF(B$2=0,0,B$4/B$2)</f>
        <v>0.6499999999999998</v>
      </c>
      <c r="C5" s="158"/>
      <c r="E5" s="63" t="s">
        <v>69</v>
      </c>
      <c r="F5" s="60" t="s">
        <v>24</v>
      </c>
      <c r="G5" s="47">
        <v>3</v>
      </c>
      <c r="H5" s="137">
        <f>IF(B$27=0,0,G5/B$27)</f>
        <v>0.21428571428571427</v>
      </c>
      <c r="I5" s="98">
        <v>7</v>
      </c>
      <c r="K5" s="38">
        <v>3</v>
      </c>
      <c r="L5" s="103">
        <v>-10</v>
      </c>
      <c r="N5" s="119" t="s">
        <v>139</v>
      </c>
      <c r="O5" s="126">
        <f t="shared" si="0"/>
        <v>483.33333333333331</v>
      </c>
      <c r="P5" s="123">
        <v>6</v>
      </c>
      <c r="Q5" s="107">
        <v>2900</v>
      </c>
    </row>
    <row r="6" spans="1:17" x14ac:dyDescent="0.4">
      <c r="A6" s="55" t="s">
        <v>1</v>
      </c>
      <c r="B6" s="145">
        <f>IF(B$2=0,0,(B$7*1+B$8*2+B$9*3)/B$2)</f>
        <v>2</v>
      </c>
      <c r="C6" s="146"/>
      <c r="E6" s="63" t="s">
        <v>70</v>
      </c>
      <c r="F6" s="60" t="s">
        <v>12</v>
      </c>
      <c r="G6" s="47">
        <v>3</v>
      </c>
      <c r="H6" s="137">
        <f>IF(B$27=0,0,G6/B$27)</f>
        <v>0.21428571428571427</v>
      </c>
      <c r="I6" s="98">
        <v>5</v>
      </c>
      <c r="K6" s="38">
        <v>4</v>
      </c>
      <c r="L6" s="103">
        <v>40</v>
      </c>
      <c r="N6" s="119" t="s">
        <v>140</v>
      </c>
      <c r="O6" s="126">
        <f t="shared" si="0"/>
        <v>-2366.6666666666665</v>
      </c>
      <c r="P6" s="123">
        <v>6</v>
      </c>
      <c r="Q6" s="107">
        <v>-14200</v>
      </c>
    </row>
    <row r="7" spans="1:17" x14ac:dyDescent="0.4">
      <c r="A7" s="55" t="s">
        <v>2</v>
      </c>
      <c r="B7" s="47">
        <v>2</v>
      </c>
      <c r="C7" s="39">
        <f>IF(B$2=0,0,B7/B$2)</f>
        <v>0.33333333333333331</v>
      </c>
      <c r="E7" s="63" t="s">
        <v>189</v>
      </c>
      <c r="F7" s="60" t="s">
        <v>190</v>
      </c>
      <c r="G7" s="47">
        <v>3</v>
      </c>
      <c r="H7" s="137">
        <f>IF(B$27=0,0,G7/B$27)</f>
        <v>0.21428571428571427</v>
      </c>
      <c r="I7" s="98">
        <v>10</v>
      </c>
      <c r="K7" s="38">
        <v>5</v>
      </c>
      <c r="L7" s="103">
        <v>35.4</v>
      </c>
      <c r="N7" s="120" t="s">
        <v>141</v>
      </c>
      <c r="O7" s="127">
        <f t="shared" si="0"/>
        <v>4250</v>
      </c>
      <c r="P7" s="124">
        <v>6</v>
      </c>
      <c r="Q7" s="108">
        <v>25500</v>
      </c>
    </row>
    <row r="8" spans="1:17" x14ac:dyDescent="0.4">
      <c r="A8" s="55" t="s">
        <v>3</v>
      </c>
      <c r="B8" s="47">
        <v>2</v>
      </c>
      <c r="C8" s="39">
        <f>IF(B$2=0,0,B8/B$2)</f>
        <v>0.33333333333333331</v>
      </c>
      <c r="E8" s="63" t="s">
        <v>67</v>
      </c>
      <c r="F8" s="60" t="s">
        <v>22</v>
      </c>
      <c r="G8" s="47">
        <v>2</v>
      </c>
      <c r="H8" s="137">
        <f>IF(B$27=0,0,G8/B$27)</f>
        <v>0.14285714285714285</v>
      </c>
      <c r="I8" s="98">
        <v>4</v>
      </c>
      <c r="K8" s="38">
        <v>6</v>
      </c>
      <c r="L8" s="103">
        <v>3.8999999999999986</v>
      </c>
      <c r="N8" s="43"/>
      <c r="O8" s="131"/>
      <c r="P8" s="115"/>
      <c r="Q8" s="113"/>
    </row>
    <row r="9" spans="1:17" x14ac:dyDescent="0.4">
      <c r="A9" s="56" t="s">
        <v>4</v>
      </c>
      <c r="B9" s="48">
        <v>2</v>
      </c>
      <c r="C9" s="40">
        <f t="shared" ref="C9" si="1">IF(B$2=0,0,B9/B$2)</f>
        <v>0.33333333333333331</v>
      </c>
      <c r="E9" s="63" t="s">
        <v>71</v>
      </c>
      <c r="F9" s="60" t="s">
        <v>25</v>
      </c>
      <c r="G9" s="47">
        <v>2</v>
      </c>
      <c r="H9" s="137">
        <f>IF(B$27=0,0,G9/B$27)</f>
        <v>0.14285714285714285</v>
      </c>
      <c r="I9" s="98">
        <v>7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92</v>
      </c>
      <c r="F10" s="60" t="s">
        <v>46</v>
      </c>
      <c r="G10" s="47">
        <v>2</v>
      </c>
      <c r="H10" s="137">
        <f>IF(B$27=0,0,G10/B$27)</f>
        <v>0.14285714285714285</v>
      </c>
      <c r="I10" s="98">
        <v>6</v>
      </c>
      <c r="N10" s="118" t="s">
        <v>172</v>
      </c>
      <c r="O10" s="128">
        <f>IF(P10=0,0,Q10/P10)</f>
        <v>-1.9</v>
      </c>
      <c r="P10" s="122">
        <v>1</v>
      </c>
      <c r="Q10" s="110">
        <v>-1.9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77</v>
      </c>
      <c r="F11" s="60" t="s">
        <v>31</v>
      </c>
      <c r="G11" s="47">
        <v>1</v>
      </c>
      <c r="H11" s="137">
        <f>IF(B$27=0,0,G11/B$27)</f>
        <v>7.1428571428571425E-2</v>
      </c>
      <c r="I11" s="98">
        <v>1</v>
      </c>
      <c r="N11" s="119" t="s">
        <v>173</v>
      </c>
      <c r="O11" s="129">
        <f>IF(P11=0,0,Q11/P11)</f>
        <v>-25.366666666666664</v>
      </c>
      <c r="P11" s="123">
        <v>3</v>
      </c>
      <c r="Q11" s="111">
        <v>-76.099999999999994</v>
      </c>
    </row>
    <row r="12" spans="1:17" x14ac:dyDescent="0.4">
      <c r="A12" s="57" t="s">
        <v>165</v>
      </c>
      <c r="B12" s="49">
        <v>1</v>
      </c>
      <c r="C12" s="42">
        <f>IF(B$2=0,0,B12/B$2)</f>
        <v>0.16666666666666666</v>
      </c>
      <c r="E12" s="63" t="s">
        <v>86</v>
      </c>
      <c r="F12" s="60" t="s">
        <v>40</v>
      </c>
      <c r="G12" s="47">
        <v>1</v>
      </c>
      <c r="H12" s="137">
        <f>IF(B$27=0,0,G12/B$27)</f>
        <v>7.1428571428571425E-2</v>
      </c>
      <c r="I12" s="98">
        <v>3</v>
      </c>
      <c r="N12" s="120" t="s">
        <v>174</v>
      </c>
      <c r="O12" s="130">
        <f>IF(P12=0,0,Q12/P12)</f>
        <v>40.950000000000003</v>
      </c>
      <c r="P12" s="124">
        <v>2</v>
      </c>
      <c r="Q12" s="112">
        <v>81.900000000000006</v>
      </c>
    </row>
    <row r="13" spans="1:17" x14ac:dyDescent="0.4">
      <c r="A13" s="58" t="s">
        <v>126</v>
      </c>
      <c r="B13" s="50">
        <v>12</v>
      </c>
      <c r="C13" s="44">
        <f>IF(B$26=0,0,B13/B$26)</f>
        <v>0.26666666666666666</v>
      </c>
      <c r="E13" s="63" t="s">
        <v>88</v>
      </c>
      <c r="F13" s="60" t="s">
        <v>42</v>
      </c>
      <c r="G13" s="47">
        <v>1</v>
      </c>
      <c r="H13" s="137">
        <f>IF(B$27=0,0,G13/B$27)</f>
        <v>7.1428571428571425E-2</v>
      </c>
      <c r="I13" s="98">
        <v>1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12</v>
      </c>
      <c r="C14" s="39">
        <f>IF(B$26=0,0,B14/B$26)</f>
        <v>0.26666666666666666</v>
      </c>
      <c r="E14" s="63" t="s">
        <v>94</v>
      </c>
      <c r="F14" s="60" t="s">
        <v>48</v>
      </c>
      <c r="G14" s="47">
        <v>1</v>
      </c>
      <c r="H14" s="137">
        <f>IF(B$27=0,0,G14/B$27)</f>
        <v>7.1428571428571425E-2</v>
      </c>
      <c r="I14" s="98">
        <v>1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8</v>
      </c>
      <c r="C15" s="37">
        <f>IF(B$13=0,0,B15/B$13)</f>
        <v>0.66666666666666663</v>
      </c>
      <c r="E15" s="63" t="s">
        <v>72</v>
      </c>
      <c r="F15" s="60" t="s">
        <v>26</v>
      </c>
      <c r="G15" s="47">
        <v>0</v>
      </c>
      <c r="H15" s="137">
        <f>IF(B$27=0,0,G15/B$27)</f>
        <v>0</v>
      </c>
      <c r="I15" s="98">
        <v>7</v>
      </c>
      <c r="N15" s="118" t="s">
        <v>194</v>
      </c>
      <c r="O15" s="128">
        <f>IF(P15=0,0,Q15/P15)</f>
        <v>60.800000000000004</v>
      </c>
      <c r="P15" s="122">
        <v>2</v>
      </c>
      <c r="Q15" s="110">
        <v>121.60000000000001</v>
      </c>
    </row>
    <row r="16" spans="1:17" x14ac:dyDescent="0.4">
      <c r="A16" s="54" t="s">
        <v>129</v>
      </c>
      <c r="B16" s="46">
        <v>4</v>
      </c>
      <c r="C16" s="37">
        <f>IF(B$14=0,0,B16/B$14)</f>
        <v>0.33333333333333331</v>
      </c>
      <c r="E16" s="63" t="s">
        <v>73</v>
      </c>
      <c r="F16" s="60" t="s">
        <v>27</v>
      </c>
      <c r="G16" s="47">
        <v>0</v>
      </c>
      <c r="H16" s="137">
        <f>IF(B$27=0,0,G16/B$27)</f>
        <v>0</v>
      </c>
      <c r="I16" s="98">
        <v>8</v>
      </c>
      <c r="N16" s="119" t="s">
        <v>132</v>
      </c>
      <c r="O16" s="129">
        <f>IF(P16=0,0,Q16/P16)</f>
        <v>40.333333333333336</v>
      </c>
      <c r="P16" s="123">
        <v>3</v>
      </c>
      <c r="Q16" s="111">
        <v>121</v>
      </c>
    </row>
    <row r="17" spans="1:17" x14ac:dyDescent="0.4">
      <c r="A17" s="54" t="s">
        <v>10</v>
      </c>
      <c r="B17" s="46">
        <f>B19+B18</f>
        <v>14</v>
      </c>
      <c r="C17" s="37">
        <f>IF(B$3=0,0,B17/B$3)</f>
        <v>0.31111111111111112</v>
      </c>
      <c r="E17" s="63" t="s">
        <v>75</v>
      </c>
      <c r="F17" s="60" t="s">
        <v>29</v>
      </c>
      <c r="G17" s="47">
        <v>0</v>
      </c>
      <c r="H17" s="137">
        <f>IF(B$27=0,0,G17/B$27)</f>
        <v>0</v>
      </c>
      <c r="I17" s="98">
        <v>3</v>
      </c>
      <c r="N17" s="119" t="s">
        <v>181</v>
      </c>
      <c r="O17" s="129">
        <f>IF(P17=0,0,Q17/P17)</f>
        <v>17.95</v>
      </c>
      <c r="P17" s="123">
        <v>2</v>
      </c>
      <c r="Q17" s="111">
        <v>35.9</v>
      </c>
    </row>
    <row r="18" spans="1:17" x14ac:dyDescent="0.4">
      <c r="A18" s="55" t="s">
        <v>12</v>
      </c>
      <c r="B18" s="47">
        <v>4</v>
      </c>
      <c r="C18" s="39">
        <f>IF(B$17=0,0,B18/B$17)</f>
        <v>0.2857142857142857</v>
      </c>
      <c r="E18" s="63" t="s">
        <v>76</v>
      </c>
      <c r="F18" s="60" t="s">
        <v>30</v>
      </c>
      <c r="G18" s="47">
        <v>0</v>
      </c>
      <c r="H18" s="137">
        <f>IF(B$27=0,0,G18/B$27)</f>
        <v>0</v>
      </c>
      <c r="I18" s="98">
        <v>1</v>
      </c>
      <c r="N18" s="119" t="s">
        <v>179</v>
      </c>
      <c r="O18" s="129">
        <f>IF(P18=0,0,Q18/P18)</f>
        <v>-35.1</v>
      </c>
      <c r="P18" s="123">
        <v>1</v>
      </c>
      <c r="Q18" s="111">
        <v>-35.1</v>
      </c>
    </row>
    <row r="19" spans="1:17" x14ac:dyDescent="0.4">
      <c r="A19" s="55" t="s">
        <v>11</v>
      </c>
      <c r="B19" s="47">
        <v>10</v>
      </c>
      <c r="C19" s="39">
        <f>IF(B$17=0,0,B19/B$17)</f>
        <v>0.7142857142857143</v>
      </c>
      <c r="E19" s="63" t="s">
        <v>78</v>
      </c>
      <c r="F19" s="60" t="s">
        <v>32</v>
      </c>
      <c r="G19" s="47">
        <v>0</v>
      </c>
      <c r="H19" s="137">
        <f>IF(B$27=0,0,G19/B$27)</f>
        <v>0</v>
      </c>
      <c r="I19" s="98">
        <v>1</v>
      </c>
      <c r="N19" s="119" t="s">
        <v>193</v>
      </c>
      <c r="O19" s="129">
        <f>IF(P19=0,0,Q19/P19)</f>
        <v>-45.699999999999996</v>
      </c>
      <c r="P19" s="123">
        <v>3</v>
      </c>
      <c r="Q19" s="111">
        <v>-137.1</v>
      </c>
    </row>
    <row r="20" spans="1:17" x14ac:dyDescent="0.4">
      <c r="A20" s="55" t="s">
        <v>13</v>
      </c>
      <c r="B20" s="47">
        <v>9</v>
      </c>
      <c r="C20" s="39">
        <f>IF(B$3=0,0,B20/B$3)</f>
        <v>0.2</v>
      </c>
      <c r="E20" s="63" t="s">
        <v>79</v>
      </c>
      <c r="F20" s="60" t="s">
        <v>33</v>
      </c>
      <c r="G20" s="47">
        <v>0</v>
      </c>
      <c r="H20" s="137">
        <f>IF(B$27=0,0,G20/B$27)</f>
        <v>0</v>
      </c>
      <c r="I20" s="98">
        <v>1</v>
      </c>
      <c r="N20" s="119" t="s">
        <v>131</v>
      </c>
      <c r="O20" s="129">
        <f>IF(P20=0,0,Q20/P20)</f>
        <v>-94.6</v>
      </c>
      <c r="P20" s="123">
        <v>1</v>
      </c>
      <c r="Q20" s="111">
        <v>-94.6</v>
      </c>
    </row>
    <row r="21" spans="1:17" x14ac:dyDescent="0.4">
      <c r="A21" s="55" t="s">
        <v>5</v>
      </c>
      <c r="B21" s="51">
        <f>IF(B$17=0,0,C21/B$17)</f>
        <v>6414.2857142857147</v>
      </c>
      <c r="C21" s="41">
        <v>89800</v>
      </c>
      <c r="E21" s="63" t="s">
        <v>80</v>
      </c>
      <c r="F21" s="60" t="s">
        <v>34</v>
      </c>
      <c r="G21" s="47">
        <v>0</v>
      </c>
      <c r="H21" s="137">
        <f>IF(B$27=0,0,G21/B$27)</f>
        <v>0</v>
      </c>
      <c r="I21" s="98">
        <v>4</v>
      </c>
    </row>
    <row r="22" spans="1:17" x14ac:dyDescent="0.4">
      <c r="A22" s="57" t="s">
        <v>14</v>
      </c>
      <c r="B22" s="52">
        <f>IF(B$20=0,0,C22/B$20)</f>
        <v>-5400</v>
      </c>
      <c r="C22" s="45">
        <v>-48600</v>
      </c>
      <c r="E22" s="63" t="s">
        <v>81</v>
      </c>
      <c r="F22" s="60" t="s">
        <v>35</v>
      </c>
      <c r="G22" s="47">
        <v>0</v>
      </c>
      <c r="H22" s="137">
        <f>IF(B$27=0,0,G22/B$27)</f>
        <v>0</v>
      </c>
      <c r="I22" s="98">
        <v>3</v>
      </c>
    </row>
    <row r="23" spans="1:17" x14ac:dyDescent="0.4">
      <c r="A23" s="94" t="s">
        <v>146</v>
      </c>
      <c r="B23" s="143">
        <v>4</v>
      </c>
      <c r="C23" s="144"/>
      <c r="E23" s="63" t="s">
        <v>82</v>
      </c>
      <c r="F23" s="60" t="s">
        <v>36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41">
        <v>65000</v>
      </c>
      <c r="C24" s="142"/>
      <c r="E24" s="63" t="s">
        <v>83</v>
      </c>
      <c r="F24" s="60" t="s">
        <v>37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84</v>
      </c>
      <c r="F25" s="60" t="s">
        <v>38</v>
      </c>
      <c r="G25" s="47">
        <v>0</v>
      </c>
      <c r="H25" s="137">
        <f>IF(B$27=0,0,G25/B$27)</f>
        <v>0</v>
      </c>
      <c r="I25" s="98">
        <v>6</v>
      </c>
    </row>
    <row r="26" spans="1:17" x14ac:dyDescent="0.4">
      <c r="A26" s="54" t="s">
        <v>124</v>
      </c>
      <c r="B26" s="147">
        <v>45</v>
      </c>
      <c r="C26" s="148"/>
      <c r="E26" s="63" t="s">
        <v>85</v>
      </c>
      <c r="F26" s="60" t="s">
        <v>39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14</v>
      </c>
      <c r="C27" s="150"/>
      <c r="E27" s="63" t="s">
        <v>87</v>
      </c>
      <c r="F27" s="60" t="s">
        <v>41</v>
      </c>
      <c r="G27" s="47">
        <v>0</v>
      </c>
      <c r="H27" s="137">
        <f>IF(B$27=0,0,G27/B$27)</f>
        <v>0</v>
      </c>
      <c r="I27" s="98">
        <v>1</v>
      </c>
    </row>
    <row r="28" spans="1:17" x14ac:dyDescent="0.4">
      <c r="E28" s="63" t="s">
        <v>89</v>
      </c>
      <c r="F28" s="60" t="s">
        <v>43</v>
      </c>
      <c r="G28" s="47">
        <v>0</v>
      </c>
      <c r="H28" s="137">
        <f>IF(B$27=0,0,G28/B$27)</f>
        <v>0</v>
      </c>
      <c r="I28" s="98">
        <v>7</v>
      </c>
    </row>
    <row r="29" spans="1:17" x14ac:dyDescent="0.4">
      <c r="E29" s="63" t="s">
        <v>90</v>
      </c>
      <c r="F29" s="60" t="s">
        <v>44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91</v>
      </c>
      <c r="F30" s="60" t="s">
        <v>45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93</v>
      </c>
      <c r="F31" s="60" t="s">
        <v>47</v>
      </c>
      <c r="G31" s="47">
        <v>0</v>
      </c>
      <c r="H31" s="137">
        <f>IF(B$27=0,0,G31/B$27)</f>
        <v>0</v>
      </c>
      <c r="I31" s="98">
        <v>1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3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3</v>
      </c>
    </row>
  </sheetData>
  <sortState ref="N15:Q20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D65AB-E962-41A3-953B-827E2E63ABB4}">
  <sheetPr codeName="Sheet21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193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3</v>
      </c>
      <c r="C2" s="148"/>
      <c r="E2" s="62" t="s">
        <v>66</v>
      </c>
      <c r="F2" s="59" t="s">
        <v>21</v>
      </c>
      <c r="G2" s="46">
        <v>3</v>
      </c>
      <c r="H2" s="136">
        <f>IF(B$27=0,0,G2/B$27)</f>
        <v>0.6</v>
      </c>
      <c r="I2" s="97">
        <v>3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3000</v>
      </c>
      <c r="P2" s="122">
        <v>3</v>
      </c>
      <c r="Q2" s="106">
        <v>9000</v>
      </c>
    </row>
    <row r="3" spans="1:17" x14ac:dyDescent="0.4">
      <c r="A3" s="55" t="s">
        <v>8</v>
      </c>
      <c r="B3" s="153">
        <v>19</v>
      </c>
      <c r="C3" s="154"/>
      <c r="E3" s="63" t="s">
        <v>68</v>
      </c>
      <c r="F3" s="60" t="s">
        <v>23</v>
      </c>
      <c r="G3" s="47">
        <v>3</v>
      </c>
      <c r="H3" s="137">
        <f>IF(B$27=0,0,G3/B$27)</f>
        <v>0.6</v>
      </c>
      <c r="I3" s="98">
        <v>6</v>
      </c>
      <c r="K3" s="38">
        <v>1</v>
      </c>
      <c r="L3" s="103">
        <v>-14.6</v>
      </c>
      <c r="N3" s="119" t="s">
        <v>137</v>
      </c>
      <c r="O3" s="126">
        <f t="shared" si="0"/>
        <v>2233.3333333333335</v>
      </c>
      <c r="P3" s="123">
        <v>3</v>
      </c>
      <c r="Q3" s="107">
        <v>6700</v>
      </c>
    </row>
    <row r="4" spans="1:17" x14ac:dyDescent="0.4">
      <c r="A4" s="55" t="s">
        <v>6</v>
      </c>
      <c r="B4" s="155">
        <v>61</v>
      </c>
      <c r="C4" s="156"/>
      <c r="E4" s="63" t="s">
        <v>74</v>
      </c>
      <c r="F4" s="60" t="s">
        <v>28</v>
      </c>
      <c r="G4" s="47">
        <v>3</v>
      </c>
      <c r="H4" s="137">
        <f>IF(B$27=0,0,G4/B$27)</f>
        <v>0.6</v>
      </c>
      <c r="I4" s="98">
        <v>3</v>
      </c>
      <c r="K4" s="38">
        <v>2</v>
      </c>
      <c r="L4" s="103">
        <v>22.5</v>
      </c>
      <c r="N4" s="119" t="s">
        <v>138</v>
      </c>
      <c r="O4" s="126">
        <f t="shared" si="0"/>
        <v>-1000</v>
      </c>
      <c r="P4" s="123">
        <v>3</v>
      </c>
      <c r="Q4" s="107">
        <v>-3000</v>
      </c>
    </row>
    <row r="5" spans="1:17" x14ac:dyDescent="0.4">
      <c r="A5" s="55" t="s">
        <v>7</v>
      </c>
      <c r="B5" s="157">
        <f>IF(B$2=0,0,B$4/B$2)</f>
        <v>20.333333333333332</v>
      </c>
      <c r="C5" s="158"/>
      <c r="E5" s="63" t="s">
        <v>69</v>
      </c>
      <c r="F5" s="60" t="s">
        <v>24</v>
      </c>
      <c r="G5" s="47">
        <v>2</v>
      </c>
      <c r="H5" s="137">
        <f>IF(B$27=0,0,G5/B$27)</f>
        <v>0.4</v>
      </c>
      <c r="I5" s="98">
        <v>2</v>
      </c>
      <c r="K5" s="38">
        <v>3</v>
      </c>
      <c r="L5" s="103">
        <v>61</v>
      </c>
      <c r="N5" s="119" t="s">
        <v>139</v>
      </c>
      <c r="O5" s="126">
        <f t="shared" si="0"/>
        <v>6233.333333333333</v>
      </c>
      <c r="P5" s="123">
        <v>3</v>
      </c>
      <c r="Q5" s="107">
        <v>18700</v>
      </c>
    </row>
    <row r="6" spans="1:17" x14ac:dyDescent="0.4">
      <c r="A6" s="55" t="s">
        <v>1</v>
      </c>
      <c r="B6" s="145">
        <f>IF(B$2=0,0,(B$7*1+B$8*2+B$9*3)/B$2)</f>
        <v>1.3333333333333333</v>
      </c>
      <c r="C6" s="146"/>
      <c r="E6" s="63" t="s">
        <v>92</v>
      </c>
      <c r="F6" s="60" t="s">
        <v>46</v>
      </c>
      <c r="G6" s="47">
        <v>2</v>
      </c>
      <c r="H6" s="137">
        <f>IF(B$27=0,0,G6/B$27)</f>
        <v>0.4</v>
      </c>
      <c r="I6" s="98">
        <v>1</v>
      </c>
      <c r="N6" s="119" t="s">
        <v>140</v>
      </c>
      <c r="O6" s="126">
        <f t="shared" si="0"/>
        <v>100</v>
      </c>
      <c r="P6" s="123">
        <v>3</v>
      </c>
      <c r="Q6" s="107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189</v>
      </c>
      <c r="F7" s="60" t="s">
        <v>190</v>
      </c>
      <c r="G7" s="47">
        <v>2</v>
      </c>
      <c r="H7" s="137">
        <f>IF(B$27=0,0,G7/B$27)</f>
        <v>0.4</v>
      </c>
      <c r="I7" s="98">
        <v>4</v>
      </c>
      <c r="N7" s="120" t="s">
        <v>141</v>
      </c>
      <c r="O7" s="127">
        <f t="shared" si="0"/>
        <v>-3566.6666666666665</v>
      </c>
      <c r="P7" s="124">
        <v>3</v>
      </c>
      <c r="Q7" s="108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70</v>
      </c>
      <c r="F8" s="60" t="s">
        <v>12</v>
      </c>
      <c r="G8" s="47">
        <v>1</v>
      </c>
      <c r="H8" s="137">
        <f>IF(B$27=0,0,G8/B$27)</f>
        <v>0.2</v>
      </c>
      <c r="I8" s="98">
        <v>6</v>
      </c>
      <c r="N8" s="43"/>
      <c r="O8" s="131"/>
      <c r="P8" s="115"/>
      <c r="Q8" s="113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71</v>
      </c>
      <c r="F9" s="60" t="s">
        <v>25</v>
      </c>
      <c r="G9" s="47">
        <v>1</v>
      </c>
      <c r="H9" s="137">
        <f>IF(B$27=0,0,G9/B$27)</f>
        <v>0.2</v>
      </c>
      <c r="I9" s="98">
        <v>5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27</v>
      </c>
      <c r="G10" s="47">
        <v>1</v>
      </c>
      <c r="H10" s="137">
        <f>IF(B$27=0,0,G10/B$27)</f>
        <v>0.2</v>
      </c>
      <c r="I10" s="98">
        <v>1</v>
      </c>
      <c r="N10" s="118" t="s">
        <v>172</v>
      </c>
      <c r="O10" s="128">
        <f>IF(P10=0,0,Q10/P10)</f>
        <v>0</v>
      </c>
      <c r="P10" s="122">
        <v>0</v>
      </c>
      <c r="Q10" s="110">
        <v>0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89</v>
      </c>
      <c r="F11" s="60" t="s">
        <v>43</v>
      </c>
      <c r="G11" s="47">
        <v>1</v>
      </c>
      <c r="H11" s="137">
        <f>IF(B$27=0,0,G11/B$27)</f>
        <v>0.2</v>
      </c>
      <c r="I11" s="98">
        <v>1</v>
      </c>
      <c r="N11" s="119" t="s">
        <v>173</v>
      </c>
      <c r="O11" s="129">
        <f>IF(P11=0,0,Q11/P11)</f>
        <v>0</v>
      </c>
      <c r="P11" s="123">
        <v>0</v>
      </c>
      <c r="Q11" s="111">
        <v>0</v>
      </c>
    </row>
    <row r="12" spans="1:17" x14ac:dyDescent="0.4">
      <c r="A12" s="57" t="s">
        <v>165</v>
      </c>
      <c r="B12" s="49">
        <v>0</v>
      </c>
      <c r="C12" s="42">
        <f>IF(B$2=0,0,B12/B$2)</f>
        <v>0</v>
      </c>
      <c r="E12" s="63" t="s">
        <v>67</v>
      </c>
      <c r="F12" s="60" t="s">
        <v>22</v>
      </c>
      <c r="G12" s="47">
        <v>0</v>
      </c>
      <c r="H12" s="137">
        <f>IF(B$27=0,0,G12/B$27)</f>
        <v>0</v>
      </c>
      <c r="I12" s="98">
        <v>8</v>
      </c>
      <c r="N12" s="120" t="s">
        <v>174</v>
      </c>
      <c r="O12" s="130">
        <f>IF(P12=0,0,Q12/P12)</f>
        <v>20.333333333333332</v>
      </c>
      <c r="P12" s="124">
        <v>3</v>
      </c>
      <c r="Q12" s="112">
        <v>61</v>
      </c>
    </row>
    <row r="13" spans="1:17" x14ac:dyDescent="0.4">
      <c r="A13" s="58" t="s">
        <v>126</v>
      </c>
      <c r="B13" s="50">
        <v>5</v>
      </c>
      <c r="C13" s="44">
        <f>IF(B$26=0,0,B13/B$26)</f>
        <v>0.26315789473684209</v>
      </c>
      <c r="E13" s="63" t="s">
        <v>72</v>
      </c>
      <c r="F13" s="60" t="s">
        <v>26</v>
      </c>
      <c r="G13" s="47">
        <v>0</v>
      </c>
      <c r="H13" s="137">
        <f>IF(B$27=0,0,G13/B$27)</f>
        <v>0</v>
      </c>
      <c r="I13" s="98">
        <v>7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4</v>
      </c>
      <c r="C14" s="39">
        <f>IF(B$26=0,0,B14/B$26)</f>
        <v>0.21052631578947367</v>
      </c>
      <c r="E14" s="63" t="s">
        <v>75</v>
      </c>
      <c r="F14" s="60" t="s">
        <v>29</v>
      </c>
      <c r="G14" s="47">
        <v>0</v>
      </c>
      <c r="H14" s="137">
        <f>IF(B$27=0,0,G14/B$27)</f>
        <v>0</v>
      </c>
      <c r="I14" s="98">
        <v>3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3</v>
      </c>
      <c r="C15" s="37">
        <f>IF(B$13=0,0,B15/B$13)</f>
        <v>0.6</v>
      </c>
      <c r="E15" s="63" t="s">
        <v>76</v>
      </c>
      <c r="F15" s="60" t="s">
        <v>30</v>
      </c>
      <c r="G15" s="47">
        <v>0</v>
      </c>
      <c r="H15" s="137">
        <f>IF(B$27=0,0,G15/B$27)</f>
        <v>0</v>
      </c>
      <c r="I15" s="98">
        <v>1</v>
      </c>
      <c r="N15" s="118" t="s">
        <v>194</v>
      </c>
      <c r="O15" s="128">
        <f>IF(P15=0,0,Q15/P15)</f>
        <v>69.599999999999994</v>
      </c>
      <c r="P15" s="122">
        <v>1</v>
      </c>
      <c r="Q15" s="110">
        <v>69.599999999999994</v>
      </c>
    </row>
    <row r="16" spans="1:17" x14ac:dyDescent="0.4">
      <c r="A16" s="54" t="s">
        <v>129</v>
      </c>
      <c r="B16" s="46">
        <v>2</v>
      </c>
      <c r="C16" s="37">
        <f>IF(B$14=0,0,B16/B$14)</f>
        <v>0.5</v>
      </c>
      <c r="E16" s="63" t="s">
        <v>77</v>
      </c>
      <c r="F16" s="60" t="s">
        <v>31</v>
      </c>
      <c r="G16" s="47">
        <v>0</v>
      </c>
      <c r="H16" s="137">
        <f>IF(B$27=0,0,G16/B$27)</f>
        <v>0</v>
      </c>
      <c r="I16" s="98">
        <v>5</v>
      </c>
      <c r="N16" s="119" t="s">
        <v>185</v>
      </c>
      <c r="O16" s="129">
        <f>IF(P16=0,0,Q16/P16)</f>
        <v>45.699999999999996</v>
      </c>
      <c r="P16" s="123">
        <v>3</v>
      </c>
      <c r="Q16" s="111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78</v>
      </c>
      <c r="F17" s="60" t="s">
        <v>32</v>
      </c>
      <c r="G17" s="47">
        <v>0</v>
      </c>
      <c r="H17" s="137">
        <f>IF(B$27=0,0,G17/B$27)</f>
        <v>0</v>
      </c>
      <c r="I17" s="98">
        <v>1</v>
      </c>
      <c r="N17" s="119" t="s">
        <v>181</v>
      </c>
      <c r="O17" s="129">
        <f>IF(P17=0,0,Q17/P17)</f>
        <v>45.5</v>
      </c>
      <c r="P17" s="123">
        <v>1</v>
      </c>
      <c r="Q17" s="111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79</v>
      </c>
      <c r="F18" s="60" t="s">
        <v>33</v>
      </c>
      <c r="G18" s="47">
        <v>0</v>
      </c>
      <c r="H18" s="137">
        <f>IF(B$27=0,0,G18/B$27)</f>
        <v>0</v>
      </c>
      <c r="I18" s="98">
        <v>1</v>
      </c>
      <c r="N18" s="119" t="s">
        <v>131</v>
      </c>
      <c r="O18" s="129">
        <f>IF(P18=0,0,Q18/P18)</f>
        <v>-69.2</v>
      </c>
      <c r="P18" s="123">
        <v>1</v>
      </c>
      <c r="Q18" s="111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80</v>
      </c>
      <c r="F19" s="60" t="s">
        <v>34</v>
      </c>
      <c r="G19" s="47">
        <v>0</v>
      </c>
      <c r="H19" s="137">
        <f>IF(B$27=0,0,G19/B$27)</f>
        <v>0</v>
      </c>
      <c r="I19" s="98">
        <v>4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81</v>
      </c>
      <c r="F20" s="60" t="s">
        <v>35</v>
      </c>
      <c r="G20" s="47">
        <v>0</v>
      </c>
      <c r="H20" s="137">
        <f>IF(B$27=0,0,G20/B$27)</f>
        <v>0</v>
      </c>
      <c r="I20" s="98">
        <v>3</v>
      </c>
    </row>
    <row r="21" spans="1:17" x14ac:dyDescent="0.4">
      <c r="A21" s="55" t="s">
        <v>5</v>
      </c>
      <c r="B21" s="51">
        <f>IF(B$17=0,0,C21/B$17)</f>
        <v>7860</v>
      </c>
      <c r="C21" s="41">
        <v>39300</v>
      </c>
      <c r="E21" s="63" t="s">
        <v>82</v>
      </c>
      <c r="F21" s="60" t="s">
        <v>36</v>
      </c>
      <c r="G21" s="47">
        <v>0</v>
      </c>
      <c r="H21" s="137">
        <f>IF(B$27=0,0,G21/B$27)</f>
        <v>0</v>
      </c>
      <c r="I21" s="98">
        <v>1</v>
      </c>
    </row>
    <row r="22" spans="1:17" x14ac:dyDescent="0.4">
      <c r="A22" s="57" t="s">
        <v>14</v>
      </c>
      <c r="B22" s="52">
        <f>IF(B$20=0,0,C22/B$20)</f>
        <v>-5150</v>
      </c>
      <c r="C22" s="45">
        <v>-10300</v>
      </c>
      <c r="E22" s="63" t="s">
        <v>83</v>
      </c>
      <c r="F22" s="60" t="s">
        <v>37</v>
      </c>
      <c r="G22" s="47">
        <v>0</v>
      </c>
      <c r="H22" s="137">
        <f>IF(B$27=0,0,G22/B$27)</f>
        <v>0</v>
      </c>
      <c r="I22" s="98">
        <v>1</v>
      </c>
    </row>
    <row r="23" spans="1:17" x14ac:dyDescent="0.4">
      <c r="A23" s="94" t="s">
        <v>146</v>
      </c>
      <c r="B23" s="143">
        <v>3</v>
      </c>
      <c r="C23" s="144"/>
      <c r="E23" s="63" t="s">
        <v>84</v>
      </c>
      <c r="F23" s="60" t="s">
        <v>38</v>
      </c>
      <c r="G23" s="47">
        <v>0</v>
      </c>
      <c r="H23" s="137">
        <f>IF(B$27=0,0,G23/B$27)</f>
        <v>0</v>
      </c>
      <c r="I23" s="98">
        <v>6</v>
      </c>
    </row>
    <row r="24" spans="1:17" x14ac:dyDescent="0.4">
      <c r="A24" s="58" t="s">
        <v>157</v>
      </c>
      <c r="B24" s="141">
        <v>53500</v>
      </c>
      <c r="C24" s="142"/>
      <c r="E24" s="63" t="s">
        <v>85</v>
      </c>
      <c r="F24" s="60" t="s">
        <v>39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86</v>
      </c>
      <c r="F25" s="60" t="s">
        <v>40</v>
      </c>
      <c r="G25" s="47">
        <v>0</v>
      </c>
      <c r="H25" s="137">
        <f>IF(B$27=0,0,G25/B$27)</f>
        <v>0</v>
      </c>
      <c r="I25" s="98">
        <v>9</v>
      </c>
    </row>
    <row r="26" spans="1:17" x14ac:dyDescent="0.4">
      <c r="A26" s="54" t="s">
        <v>124</v>
      </c>
      <c r="B26" s="147">
        <v>19</v>
      </c>
      <c r="C26" s="148"/>
      <c r="E26" s="63" t="s">
        <v>87</v>
      </c>
      <c r="F26" s="60" t="s">
        <v>41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5</v>
      </c>
      <c r="C27" s="150"/>
      <c r="E27" s="63" t="s">
        <v>88</v>
      </c>
      <c r="F27" s="60" t="s">
        <v>42</v>
      </c>
      <c r="G27" s="47">
        <v>0</v>
      </c>
      <c r="H27" s="137">
        <f>IF(B$27=0,0,G27/B$27)</f>
        <v>0</v>
      </c>
      <c r="I27" s="98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IF(B$27=0,0,G28/B$27)</f>
        <v>0</v>
      </c>
      <c r="I28" s="98">
        <v>1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IF(B$27=0,0,G31/B$27)</f>
        <v>0</v>
      </c>
      <c r="I31" s="98">
        <v>4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3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3</v>
      </c>
    </row>
  </sheetData>
  <sortState ref="N15:Q18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5DB85-3B34-4FD1-95D6-D478EE4460C8}">
  <sheetPr codeName="Sheet23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194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2</v>
      </c>
      <c r="C2" s="148"/>
      <c r="E2" s="62" t="s">
        <v>66</v>
      </c>
      <c r="F2" s="59" t="s">
        <v>21</v>
      </c>
      <c r="G2" s="46">
        <v>2</v>
      </c>
      <c r="H2" s="136">
        <f>IF(B$27=0,0,G2/B$27)</f>
        <v>0.66666666666666663</v>
      </c>
      <c r="I2" s="97">
        <v>2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350</v>
      </c>
      <c r="P2" s="122">
        <v>2</v>
      </c>
      <c r="Q2" s="106">
        <v>700</v>
      </c>
    </row>
    <row r="3" spans="1:17" x14ac:dyDescent="0.4">
      <c r="A3" s="55" t="s">
        <v>8</v>
      </c>
      <c r="B3" s="153">
        <v>15</v>
      </c>
      <c r="C3" s="154"/>
      <c r="E3" s="63" t="s">
        <v>71</v>
      </c>
      <c r="F3" s="60" t="s">
        <v>25</v>
      </c>
      <c r="G3" s="47">
        <v>2</v>
      </c>
      <c r="H3" s="137">
        <f>IF(B$27=0,0,G3/B$27)</f>
        <v>0.66666666666666663</v>
      </c>
      <c r="I3" s="98">
        <v>1</v>
      </c>
      <c r="K3" s="38">
        <v>1</v>
      </c>
      <c r="L3" s="103">
        <v>-43.7</v>
      </c>
      <c r="N3" s="119" t="s">
        <v>137</v>
      </c>
      <c r="O3" s="126">
        <f t="shared" si="0"/>
        <v>-5500</v>
      </c>
      <c r="P3" s="123">
        <v>2</v>
      </c>
      <c r="Q3" s="107">
        <v>-11000</v>
      </c>
    </row>
    <row r="4" spans="1:17" x14ac:dyDescent="0.4">
      <c r="A4" s="55" t="s">
        <v>6</v>
      </c>
      <c r="B4" s="155">
        <v>-76.2</v>
      </c>
      <c r="C4" s="156"/>
      <c r="E4" s="63" t="s">
        <v>74</v>
      </c>
      <c r="F4" s="60" t="s">
        <v>28</v>
      </c>
      <c r="G4" s="47">
        <v>1</v>
      </c>
      <c r="H4" s="137">
        <f>IF(B$27=0,0,G4/B$27)</f>
        <v>0.33333333333333331</v>
      </c>
      <c r="I4" s="98">
        <v>9</v>
      </c>
      <c r="K4" s="38">
        <v>2</v>
      </c>
      <c r="L4" s="103">
        <v>-76.2</v>
      </c>
      <c r="N4" s="119" t="s">
        <v>138</v>
      </c>
      <c r="O4" s="126">
        <f t="shared" si="0"/>
        <v>700</v>
      </c>
      <c r="P4" s="123">
        <v>2</v>
      </c>
      <c r="Q4" s="107">
        <v>1400</v>
      </c>
    </row>
    <row r="5" spans="1:17" x14ac:dyDescent="0.4">
      <c r="A5" s="55" t="s">
        <v>7</v>
      </c>
      <c r="B5" s="157">
        <f>IF(B$2=0,0,B$4/B$2)</f>
        <v>-38.1</v>
      </c>
      <c r="C5" s="158"/>
      <c r="E5" s="63" t="s">
        <v>92</v>
      </c>
      <c r="F5" s="60" t="s">
        <v>46</v>
      </c>
      <c r="G5" s="47">
        <v>1</v>
      </c>
      <c r="H5" s="137">
        <f>IF(B$27=0,0,G5/B$27)</f>
        <v>0.33333333333333331</v>
      </c>
      <c r="I5" s="98">
        <v>2</v>
      </c>
      <c r="N5" s="119" t="s">
        <v>139</v>
      </c>
      <c r="O5" s="126">
        <f t="shared" si="0"/>
        <v>-10400</v>
      </c>
      <c r="P5" s="123">
        <v>2</v>
      </c>
      <c r="Q5" s="107">
        <v>-20800</v>
      </c>
    </row>
    <row r="6" spans="1:17" x14ac:dyDescent="0.4">
      <c r="A6" s="55" t="s">
        <v>1</v>
      </c>
      <c r="B6" s="145">
        <f>IF(B$2=0,0,(B$7*1+B$8*2+B$9*3)/B$2)</f>
        <v>3</v>
      </c>
      <c r="C6" s="146"/>
      <c r="E6" s="63" t="s">
        <v>189</v>
      </c>
      <c r="F6" s="60" t="s">
        <v>190</v>
      </c>
      <c r="G6" s="47">
        <v>1</v>
      </c>
      <c r="H6" s="137">
        <f>IF(B$27=0,0,G6/B$27)</f>
        <v>0.33333333333333331</v>
      </c>
      <c r="I6" s="98">
        <v>7</v>
      </c>
      <c r="N6" s="119" t="s">
        <v>140</v>
      </c>
      <c r="O6" s="126">
        <f t="shared" si="0"/>
        <v>-1000</v>
      </c>
      <c r="P6" s="123">
        <v>2</v>
      </c>
      <c r="Q6" s="107">
        <v>-2000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67</v>
      </c>
      <c r="F7" s="60" t="s">
        <v>22</v>
      </c>
      <c r="G7" s="47">
        <v>0</v>
      </c>
      <c r="H7" s="137">
        <f>IF(B$27=0,0,G7/B$27)</f>
        <v>0</v>
      </c>
      <c r="I7" s="98">
        <v>8</v>
      </c>
      <c r="N7" s="120" t="s">
        <v>141</v>
      </c>
      <c r="O7" s="127">
        <f t="shared" si="0"/>
        <v>-2250</v>
      </c>
      <c r="P7" s="124">
        <v>2</v>
      </c>
      <c r="Q7" s="108">
        <v>-4500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68</v>
      </c>
      <c r="F8" s="60" t="s">
        <v>23</v>
      </c>
      <c r="G8" s="47">
        <v>0</v>
      </c>
      <c r="H8" s="137">
        <f>IF(B$27=0,0,G8/B$27)</f>
        <v>0</v>
      </c>
      <c r="I8" s="98">
        <v>10</v>
      </c>
      <c r="N8" s="43"/>
      <c r="O8" s="131"/>
      <c r="P8" s="115"/>
      <c r="Q8" s="113"/>
    </row>
    <row r="9" spans="1:17" x14ac:dyDescent="0.4">
      <c r="A9" s="56" t="s">
        <v>4</v>
      </c>
      <c r="B9" s="48">
        <v>2</v>
      </c>
      <c r="C9" s="40">
        <f t="shared" ref="C9" si="1">IF(B$2=0,0,B9/B$2)</f>
        <v>1</v>
      </c>
      <c r="E9" s="63" t="s">
        <v>69</v>
      </c>
      <c r="F9" s="60" t="s">
        <v>24</v>
      </c>
      <c r="G9" s="47">
        <v>0</v>
      </c>
      <c r="H9" s="137">
        <f>IF(B$27=0,0,G9/B$27)</f>
        <v>0</v>
      </c>
      <c r="I9" s="98">
        <v>10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70</v>
      </c>
      <c r="F10" s="60" t="s">
        <v>12</v>
      </c>
      <c r="G10" s="47">
        <v>0</v>
      </c>
      <c r="H10" s="137">
        <f>IF(B$27=0,0,G10/B$27)</f>
        <v>0</v>
      </c>
      <c r="I10" s="98">
        <v>10</v>
      </c>
      <c r="N10" s="118" t="s">
        <v>172</v>
      </c>
      <c r="O10" s="128">
        <f>IF(P10=0,0,Q10/P10)</f>
        <v>-32.5</v>
      </c>
      <c r="P10" s="122">
        <v>1</v>
      </c>
      <c r="Q10" s="110">
        <v>-32.5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72</v>
      </c>
      <c r="F11" s="60" t="s">
        <v>26</v>
      </c>
      <c r="G11" s="47">
        <v>0</v>
      </c>
      <c r="H11" s="137">
        <f>IF(B$27=0,0,G11/B$27)</f>
        <v>0</v>
      </c>
      <c r="I11" s="98">
        <v>7</v>
      </c>
      <c r="N11" s="119" t="s">
        <v>173</v>
      </c>
      <c r="O11" s="129">
        <f>IF(P11=0,0,Q11/P11)</f>
        <v>-43.7</v>
      </c>
      <c r="P11" s="123">
        <v>1</v>
      </c>
      <c r="Q11" s="111">
        <v>-43.7</v>
      </c>
    </row>
    <row r="12" spans="1:17" x14ac:dyDescent="0.4">
      <c r="A12" s="57" t="s">
        <v>165</v>
      </c>
      <c r="B12" s="49">
        <v>0</v>
      </c>
      <c r="C12" s="42">
        <f>IF(B$2=0,0,B12/B$2)</f>
        <v>0</v>
      </c>
      <c r="E12" s="63" t="s">
        <v>73</v>
      </c>
      <c r="F12" s="60" t="s">
        <v>27</v>
      </c>
      <c r="G12" s="47">
        <v>0</v>
      </c>
      <c r="H12" s="137">
        <f>IF(B$27=0,0,G12/B$27)</f>
        <v>0</v>
      </c>
      <c r="I12" s="98">
        <v>8</v>
      </c>
      <c r="N12" s="120" t="s">
        <v>174</v>
      </c>
      <c r="O12" s="130">
        <f>IF(P12=0,0,Q12/P12)</f>
        <v>0</v>
      </c>
      <c r="P12" s="124">
        <v>0</v>
      </c>
      <c r="Q12" s="112">
        <v>0</v>
      </c>
    </row>
    <row r="13" spans="1:17" x14ac:dyDescent="0.4">
      <c r="A13" s="58" t="s">
        <v>126</v>
      </c>
      <c r="B13" s="50">
        <v>1</v>
      </c>
      <c r="C13" s="44">
        <f>IF(B$26=0,0,B13/B$26)</f>
        <v>6.6666666666666666E-2</v>
      </c>
      <c r="E13" s="63" t="s">
        <v>75</v>
      </c>
      <c r="F13" s="60" t="s">
        <v>29</v>
      </c>
      <c r="G13" s="47">
        <v>0</v>
      </c>
      <c r="H13" s="137">
        <f>IF(B$27=0,0,G13/B$27)</f>
        <v>0</v>
      </c>
      <c r="I13" s="98">
        <v>3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1</v>
      </c>
      <c r="C14" s="39">
        <f>IF(B$26=0,0,B14/B$26)</f>
        <v>6.6666666666666666E-2</v>
      </c>
      <c r="E14" s="63" t="s">
        <v>76</v>
      </c>
      <c r="F14" s="60" t="s">
        <v>30</v>
      </c>
      <c r="G14" s="47">
        <v>0</v>
      </c>
      <c r="H14" s="137">
        <f>IF(B$27=0,0,G14/B$27)</f>
        <v>0</v>
      </c>
      <c r="I14" s="98">
        <v>1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1</v>
      </c>
      <c r="C15" s="37">
        <f>IF(B$13=0,0,B15/B$13)</f>
        <v>1</v>
      </c>
      <c r="E15" s="63" t="s">
        <v>77</v>
      </c>
      <c r="F15" s="60" t="s">
        <v>31</v>
      </c>
      <c r="G15" s="47">
        <v>0</v>
      </c>
      <c r="H15" s="137">
        <f>IF(B$27=0,0,G15/B$27)</f>
        <v>0</v>
      </c>
      <c r="I15" s="98">
        <v>5</v>
      </c>
      <c r="N15" s="118" t="s">
        <v>132</v>
      </c>
      <c r="O15" s="128">
        <f>IF(P15=0,0,Q15/P15)</f>
        <v>-37.400000000000006</v>
      </c>
      <c r="P15" s="122">
        <v>1</v>
      </c>
      <c r="Q15" s="110">
        <v>-37.400000000000006</v>
      </c>
    </row>
    <row r="16" spans="1:17" x14ac:dyDescent="0.4">
      <c r="A16" s="54" t="s">
        <v>129</v>
      </c>
      <c r="B16" s="46">
        <v>1</v>
      </c>
      <c r="C16" s="37">
        <f>IF(B$14=0,0,B16/B$14)</f>
        <v>1</v>
      </c>
      <c r="E16" s="63" t="s">
        <v>78</v>
      </c>
      <c r="F16" s="60" t="s">
        <v>32</v>
      </c>
      <c r="G16" s="47">
        <v>0</v>
      </c>
      <c r="H16" s="137">
        <f>IF(B$27=0,0,G16/B$27)</f>
        <v>0</v>
      </c>
      <c r="I16" s="98">
        <v>1</v>
      </c>
      <c r="N16" s="119" t="s">
        <v>185</v>
      </c>
      <c r="O16" s="129">
        <f>IF(P16=0,0,Q16/P16)</f>
        <v>-60.800000000000004</v>
      </c>
      <c r="P16" s="123">
        <v>2</v>
      </c>
      <c r="Q16" s="111">
        <v>-121.60000000000001</v>
      </c>
    </row>
    <row r="17" spans="1:17" x14ac:dyDescent="0.4">
      <c r="A17" s="54" t="s">
        <v>10</v>
      </c>
      <c r="B17" s="46">
        <f>B19+B18</f>
        <v>3</v>
      </c>
      <c r="C17" s="37">
        <f>IF(B$3=0,0,B17/B$3)</f>
        <v>0.2</v>
      </c>
      <c r="E17" s="63" t="s">
        <v>79</v>
      </c>
      <c r="F17" s="60" t="s">
        <v>33</v>
      </c>
      <c r="G17" s="47">
        <v>0</v>
      </c>
      <c r="H17" s="137">
        <f>IF(B$27=0,0,G17/B$27)</f>
        <v>0</v>
      </c>
      <c r="I17" s="98">
        <v>1</v>
      </c>
      <c r="N17" s="119" t="s">
        <v>193</v>
      </c>
      <c r="O17" s="129">
        <f>IF(P17=0,0,Q17/P17)</f>
        <v>-69.599999999999994</v>
      </c>
      <c r="P17" s="123">
        <v>1</v>
      </c>
      <c r="Q17" s="111">
        <v>-69.599999999999994</v>
      </c>
    </row>
    <row r="18" spans="1:17" x14ac:dyDescent="0.4">
      <c r="A18" s="55" t="s">
        <v>12</v>
      </c>
      <c r="B18" s="47">
        <v>2</v>
      </c>
      <c r="C18" s="39">
        <f>IF(B$17=0,0,B18/B$17)</f>
        <v>0.66666666666666663</v>
      </c>
      <c r="E18" s="63" t="s">
        <v>80</v>
      </c>
      <c r="F18" s="60" t="s">
        <v>34</v>
      </c>
      <c r="G18" s="47">
        <v>0</v>
      </c>
      <c r="H18" s="137">
        <f>IF(B$27=0,0,G18/B$27)</f>
        <v>0</v>
      </c>
      <c r="I18" s="98">
        <v>4</v>
      </c>
    </row>
    <row r="19" spans="1:17" x14ac:dyDescent="0.4">
      <c r="A19" s="55" t="s">
        <v>11</v>
      </c>
      <c r="B19" s="47">
        <v>1</v>
      </c>
      <c r="C19" s="39">
        <f>IF(B$17=0,0,B19/B$17)</f>
        <v>0.33333333333333331</v>
      </c>
      <c r="E19" s="63" t="s">
        <v>81</v>
      </c>
      <c r="F19" s="60" t="s">
        <v>35</v>
      </c>
      <c r="G19" s="47">
        <v>0</v>
      </c>
      <c r="H19" s="137">
        <f>IF(B$27=0,0,G19/B$27)</f>
        <v>0</v>
      </c>
      <c r="I19" s="98">
        <v>3</v>
      </c>
    </row>
    <row r="20" spans="1:17" x14ac:dyDescent="0.4">
      <c r="A20" s="55" t="s">
        <v>13</v>
      </c>
      <c r="B20" s="47">
        <v>5</v>
      </c>
      <c r="C20" s="39">
        <f>IF(B$3=0,0,B20/B$3)</f>
        <v>0.33333333333333331</v>
      </c>
      <c r="E20" s="63" t="s">
        <v>82</v>
      </c>
      <c r="F20" s="60" t="s">
        <v>36</v>
      </c>
      <c r="G20" s="47">
        <v>0</v>
      </c>
      <c r="H20" s="137">
        <f>IF(B$27=0,0,G20/B$27)</f>
        <v>0</v>
      </c>
      <c r="I20" s="98">
        <v>1</v>
      </c>
    </row>
    <row r="21" spans="1:17" x14ac:dyDescent="0.4">
      <c r="A21" s="55" t="s">
        <v>5</v>
      </c>
      <c r="B21" s="51">
        <f>IF(B$17=0,0,C21/B$17)</f>
        <v>3366.6666666666665</v>
      </c>
      <c r="C21" s="41">
        <v>10100</v>
      </c>
      <c r="E21" s="63" t="s">
        <v>83</v>
      </c>
      <c r="F21" s="60" t="s">
        <v>37</v>
      </c>
      <c r="G21" s="47">
        <v>0</v>
      </c>
      <c r="H21" s="137">
        <f>IF(B$27=0,0,G21/B$27)</f>
        <v>0</v>
      </c>
      <c r="I21" s="98">
        <v>1</v>
      </c>
    </row>
    <row r="22" spans="1:17" x14ac:dyDescent="0.4">
      <c r="A22" s="57" t="s">
        <v>14</v>
      </c>
      <c r="B22" s="52">
        <f>IF(B$20=0,0,C22/B$20)</f>
        <v>-6940</v>
      </c>
      <c r="C22" s="45">
        <v>-34700</v>
      </c>
      <c r="E22" s="63" t="s">
        <v>84</v>
      </c>
      <c r="F22" s="60" t="s">
        <v>38</v>
      </c>
      <c r="G22" s="47">
        <v>0</v>
      </c>
      <c r="H22" s="137">
        <f>IF(B$27=0,0,G22/B$27)</f>
        <v>0</v>
      </c>
      <c r="I22" s="98">
        <v>6</v>
      </c>
    </row>
    <row r="23" spans="1:17" x14ac:dyDescent="0.4">
      <c r="A23" s="94" t="s">
        <v>146</v>
      </c>
      <c r="B23" s="143">
        <v>1</v>
      </c>
      <c r="C23" s="144"/>
      <c r="E23" s="63" t="s">
        <v>85</v>
      </c>
      <c r="F23" s="60" t="s">
        <v>39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41">
        <v>22500</v>
      </c>
      <c r="C24" s="142"/>
      <c r="E24" s="63" t="s">
        <v>86</v>
      </c>
      <c r="F24" s="60" t="s">
        <v>40</v>
      </c>
      <c r="G24" s="47">
        <v>0</v>
      </c>
      <c r="H24" s="137">
        <f>IF(B$27=0,0,G24/B$27)</f>
        <v>0</v>
      </c>
      <c r="I24" s="98">
        <v>9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87</v>
      </c>
      <c r="F25" s="60" t="s">
        <v>41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7">
        <v>15</v>
      </c>
      <c r="C26" s="148"/>
      <c r="E26" s="63" t="s">
        <v>88</v>
      </c>
      <c r="F26" s="60" t="s">
        <v>42</v>
      </c>
      <c r="G26" s="47">
        <v>0</v>
      </c>
      <c r="H26" s="137">
        <f>IF(B$27=0,0,G26/B$27)</f>
        <v>0</v>
      </c>
      <c r="I26" s="98">
        <v>3</v>
      </c>
    </row>
    <row r="27" spans="1:17" x14ac:dyDescent="0.4">
      <c r="A27" s="57" t="s">
        <v>125</v>
      </c>
      <c r="B27" s="149">
        <v>3</v>
      </c>
      <c r="C27" s="150"/>
      <c r="E27" s="63" t="s">
        <v>89</v>
      </c>
      <c r="F27" s="60" t="s">
        <v>43</v>
      </c>
      <c r="G27" s="47">
        <v>0</v>
      </c>
      <c r="H27" s="137">
        <f>IF(B$27=0,0,G27/B$27)</f>
        <v>0</v>
      </c>
      <c r="I27" s="98">
        <v>7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IF(B$27=0,0,G28/B$27)</f>
        <v>0</v>
      </c>
      <c r="I28" s="98">
        <v>1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IF(B$27=0,0,G31/B$27)</f>
        <v>0</v>
      </c>
      <c r="I31" s="98">
        <v>4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3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3</v>
      </c>
    </row>
  </sheetData>
  <sortState ref="N15:Q1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2543F-7790-46F6-B4B8-F507F080A763}">
  <sheetPr codeName="Sheet24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194</v>
      </c>
      <c r="B1" s="70" t="s">
        <v>194</v>
      </c>
      <c r="C1" s="70" t="s">
        <v>194</v>
      </c>
      <c r="D1" s="71" t="s">
        <v>194</v>
      </c>
      <c r="E1" s="70" t="s">
        <v>194</v>
      </c>
      <c r="F1" s="70" t="s">
        <v>194</v>
      </c>
      <c r="G1" s="70" t="s">
        <v>194</v>
      </c>
      <c r="H1" s="70" t="s">
        <v>194</v>
      </c>
      <c r="I1" s="70" t="s">
        <v>194</v>
      </c>
      <c r="J1" s="70" t="s">
        <v>194</v>
      </c>
      <c r="K1" s="70" t="s">
        <v>194</v>
      </c>
      <c r="L1" s="70" t="s">
        <v>194</v>
      </c>
      <c r="M1" s="70" t="s">
        <v>194</v>
      </c>
      <c r="N1" s="70" t="s">
        <v>194</v>
      </c>
      <c r="O1" s="70" t="s">
        <v>194</v>
      </c>
      <c r="P1" s="70" t="s">
        <v>194</v>
      </c>
      <c r="Q1" s="70" t="s">
        <v>194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0.22222222222222221</v>
      </c>
      <c r="G4" s="67">
        <v>0.33333333333333331</v>
      </c>
      <c r="H4" s="68">
        <v>3650</v>
      </c>
      <c r="I4" s="68">
        <v>-8566.6666666666661</v>
      </c>
      <c r="J4" s="67">
        <v>0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0.2</v>
      </c>
      <c r="G5" s="67">
        <v>0.33333333333333331</v>
      </c>
      <c r="H5" s="68">
        <v>3366.6666666666665</v>
      </c>
      <c r="I5" s="68">
        <v>-6940</v>
      </c>
      <c r="J5" s="67">
        <v>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46954-3E7A-400C-8A72-B56A9FFF973F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193</v>
      </c>
      <c r="B1" s="70" t="s">
        <v>193</v>
      </c>
      <c r="C1" s="70" t="s">
        <v>193</v>
      </c>
      <c r="D1" s="71" t="s">
        <v>193</v>
      </c>
      <c r="E1" s="70" t="s">
        <v>193</v>
      </c>
      <c r="F1" s="70" t="s">
        <v>193</v>
      </c>
      <c r="G1" s="70" t="s">
        <v>193</v>
      </c>
      <c r="H1" s="70" t="s">
        <v>193</v>
      </c>
      <c r="I1" s="70" t="s">
        <v>193</v>
      </c>
      <c r="J1" s="70" t="s">
        <v>193</v>
      </c>
      <c r="K1" s="70" t="s">
        <v>193</v>
      </c>
      <c r="L1" s="70" t="s">
        <v>193</v>
      </c>
      <c r="M1" s="70" t="s">
        <v>193</v>
      </c>
      <c r="N1" s="70" t="s">
        <v>193</v>
      </c>
      <c r="O1" s="70" t="s">
        <v>193</v>
      </c>
      <c r="P1" s="70" t="s">
        <v>193</v>
      </c>
      <c r="Q1" s="70" t="s">
        <v>193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0.2857142857142857</v>
      </c>
      <c r="H4" s="68">
        <v>0</v>
      </c>
      <c r="I4" s="68">
        <v>-5150</v>
      </c>
      <c r="J4" s="67">
        <v>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0.23076923076923078</v>
      </c>
      <c r="G5" s="67">
        <v>0.15384615384615385</v>
      </c>
      <c r="H5" s="68">
        <v>6433.333333333333</v>
      </c>
      <c r="I5" s="68">
        <v>-5150</v>
      </c>
      <c r="J5" s="67">
        <v>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0.26315789473684209</v>
      </c>
      <c r="G6" s="67">
        <v>0.10526315789473684</v>
      </c>
      <c r="H6" s="68">
        <v>7860</v>
      </c>
      <c r="I6" s="68">
        <v>-5150</v>
      </c>
      <c r="J6" s="67">
        <v>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3C724-DA52-4119-A07D-F144ED7FCEF7}">
  <sheetPr codeName="Sheet20"/>
  <dimension ref="A1:Q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0.2857142857142857</v>
      </c>
      <c r="G4" s="67">
        <v>0.14285714285714285</v>
      </c>
      <c r="H4" s="68">
        <v>7050</v>
      </c>
      <c r="I4" s="68">
        <v>-3900</v>
      </c>
      <c r="J4" s="67">
        <v>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0.29411764705882354</v>
      </c>
      <c r="G5" s="67">
        <v>0.17647058823529413</v>
      </c>
      <c r="H5" s="68">
        <v>8800</v>
      </c>
      <c r="I5" s="68">
        <v>-2933.3333333333335</v>
      </c>
      <c r="J5" s="67">
        <v>0</v>
      </c>
      <c r="K5" s="67">
        <v>0</v>
      </c>
      <c r="L5" s="67">
        <v>0.5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0.29166666666666669</v>
      </c>
      <c r="G6" s="67">
        <v>0.20833333333333334</v>
      </c>
      <c r="H6" s="68">
        <v>6828.5714285714284</v>
      </c>
      <c r="I6" s="68">
        <v>-6560</v>
      </c>
      <c r="J6" s="67">
        <v>0</v>
      </c>
      <c r="K6" s="67">
        <v>0</v>
      </c>
      <c r="L6" s="67">
        <v>0.33333333333333331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0.36363636363636365</v>
      </c>
      <c r="G7" s="67">
        <v>0.15151515151515152</v>
      </c>
      <c r="H7" s="68">
        <v>7050</v>
      </c>
      <c r="I7" s="68">
        <v>-6560</v>
      </c>
      <c r="J7" s="67">
        <v>0</v>
      </c>
      <c r="K7" s="67">
        <v>0</v>
      </c>
      <c r="L7" s="67">
        <v>0.25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0.33333333333333331</v>
      </c>
      <c r="G8" s="67">
        <v>0.15384615384615385</v>
      </c>
      <c r="H8" s="68">
        <v>6607.6923076923076</v>
      </c>
      <c r="I8" s="68">
        <v>-6116.666666666667</v>
      </c>
      <c r="J8" s="67">
        <v>0</v>
      </c>
      <c r="K8" s="67">
        <v>0</v>
      </c>
      <c r="L8" s="67">
        <v>0.2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0.31111111111111112</v>
      </c>
      <c r="G9" s="67">
        <v>0.2</v>
      </c>
      <c r="H9" s="68">
        <v>6414.2857142857147</v>
      </c>
      <c r="I9" s="68">
        <v>-5400</v>
      </c>
      <c r="J9" s="67">
        <v>0</v>
      </c>
      <c r="K9" s="67">
        <v>0</v>
      </c>
      <c r="L9" s="67">
        <v>0.16666666666666666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4A6FC-4996-446A-9D79-545FD23A8E01}">
  <sheetPr codeName="Sheet18"/>
  <dimension ref="A1:Q1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181</v>
      </c>
      <c r="B1" s="70" t="s">
        <v>181</v>
      </c>
      <c r="C1" s="70" t="s">
        <v>181</v>
      </c>
      <c r="D1" s="71" t="s">
        <v>181</v>
      </c>
      <c r="E1" s="70" t="s">
        <v>181</v>
      </c>
      <c r="F1" s="70" t="s">
        <v>181</v>
      </c>
      <c r="G1" s="70" t="s">
        <v>181</v>
      </c>
      <c r="H1" s="70" t="s">
        <v>181</v>
      </c>
      <c r="I1" s="70" t="s">
        <v>181</v>
      </c>
      <c r="J1" s="70" t="s">
        <v>181</v>
      </c>
      <c r="K1" s="70" t="s">
        <v>181</v>
      </c>
      <c r="L1" s="70" t="s">
        <v>181</v>
      </c>
      <c r="M1" s="70" t="s">
        <v>181</v>
      </c>
      <c r="N1" s="70" t="s">
        <v>181</v>
      </c>
      <c r="O1" s="70" t="s">
        <v>181</v>
      </c>
      <c r="P1" s="70" t="s">
        <v>181</v>
      </c>
      <c r="Q1" s="70" t="s">
        <v>181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0.14285714285714285</v>
      </c>
      <c r="G4" s="67">
        <v>0.2857142857142857</v>
      </c>
      <c r="H4" s="68">
        <v>4000</v>
      </c>
      <c r="I4" s="68">
        <v>-20800</v>
      </c>
      <c r="J4" s="67">
        <v>1</v>
      </c>
      <c r="K4" s="67">
        <v>0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0.26315789473684209</v>
      </c>
      <c r="G5" s="67">
        <v>0.26315789473684209</v>
      </c>
      <c r="H5" s="68">
        <v>4220</v>
      </c>
      <c r="I5" s="68">
        <v>-14080</v>
      </c>
      <c r="J5" s="67">
        <v>0.5</v>
      </c>
      <c r="K5" s="67">
        <v>0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0.18518518518518517</v>
      </c>
      <c r="G6" s="67">
        <v>0.25925925925925924</v>
      </c>
      <c r="H6" s="68">
        <v>4220</v>
      </c>
      <c r="I6" s="68">
        <v>-12600</v>
      </c>
      <c r="J6" s="67">
        <v>0.33333333333333331</v>
      </c>
      <c r="K6" s="67">
        <v>0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0.23076923076923078</v>
      </c>
      <c r="G7" s="67">
        <v>0.23076923076923078</v>
      </c>
      <c r="H7" s="68">
        <v>3633.3333333333335</v>
      </c>
      <c r="I7" s="68">
        <v>-11011.111111111111</v>
      </c>
      <c r="J7" s="67">
        <v>0.25</v>
      </c>
      <c r="K7" s="67">
        <v>0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0.19148936170212766</v>
      </c>
      <c r="G8" s="67">
        <v>0.23404255319148937</v>
      </c>
      <c r="H8" s="68">
        <v>3633.3333333333335</v>
      </c>
      <c r="I8" s="68">
        <v>-9836.363636363636</v>
      </c>
      <c r="J8" s="67">
        <v>0.2</v>
      </c>
      <c r="K8" s="67">
        <v>0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0.18518518518518517</v>
      </c>
      <c r="G9" s="67">
        <v>0.22222222222222221</v>
      </c>
      <c r="H9" s="68">
        <v>3850</v>
      </c>
      <c r="I9" s="68">
        <v>-9183.3333333333339</v>
      </c>
      <c r="J9" s="67">
        <v>0.16666666666666666</v>
      </c>
      <c r="K9" s="67">
        <v>0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0.203125</v>
      </c>
      <c r="G10" s="67">
        <v>0.203125</v>
      </c>
      <c r="H10" s="68">
        <v>4323.0769230769229</v>
      </c>
      <c r="I10" s="68">
        <v>-9069.2307692307695</v>
      </c>
      <c r="J10" s="67">
        <v>0.14285714285714285</v>
      </c>
      <c r="K10" s="67">
        <v>0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0.24324324324324326</v>
      </c>
      <c r="G11" s="67">
        <v>0.1891891891891892</v>
      </c>
      <c r="H11" s="68">
        <v>4200</v>
      </c>
      <c r="I11" s="68">
        <v>-9250</v>
      </c>
      <c r="J11" s="67">
        <v>0.125</v>
      </c>
      <c r="K11" s="67">
        <v>0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0.23809523809523808</v>
      </c>
      <c r="G12" s="67">
        <v>0.21428571428571427</v>
      </c>
      <c r="H12" s="68">
        <v>4085</v>
      </c>
      <c r="I12" s="68">
        <v>-8144.4444444444443</v>
      </c>
      <c r="J12" s="67">
        <v>0.1111111111111111</v>
      </c>
      <c r="K12" s="67">
        <v>0</v>
      </c>
      <c r="L12" s="67">
        <v>0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0.25773195876288657</v>
      </c>
      <c r="G13" s="67">
        <v>0.23711340206185566</v>
      </c>
      <c r="H13" s="68">
        <v>4756</v>
      </c>
      <c r="I13" s="68">
        <v>-9313.04347826087</v>
      </c>
      <c r="J13" s="67">
        <v>0.2</v>
      </c>
      <c r="K13" s="67">
        <v>0</v>
      </c>
      <c r="L13" s="67">
        <v>0</v>
      </c>
      <c r="M13" s="67">
        <v>0.16091954022988506</v>
      </c>
      <c r="N13" s="67">
        <v>0.28735632183908044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0.27184466019417475</v>
      </c>
      <c r="G14" s="67">
        <v>0.24271844660194175</v>
      </c>
      <c r="H14" s="68">
        <v>4528.5714285714284</v>
      </c>
      <c r="I14" s="68">
        <v>-9204</v>
      </c>
      <c r="J14" s="67">
        <v>0.18181818181818182</v>
      </c>
      <c r="K14" s="67">
        <v>0</v>
      </c>
      <c r="L14" s="67">
        <v>0</v>
      </c>
      <c r="M14" s="67">
        <v>0.15053763440860216</v>
      </c>
      <c r="N14" s="67">
        <v>0.27956989247311825</v>
      </c>
      <c r="O14" s="67">
        <v>0.42857142857142855</v>
      </c>
      <c r="P14" s="67">
        <v>0.38461538461538464</v>
      </c>
      <c r="Q14" s="67">
        <v>0.5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40285-2522-4C29-97C0-4054D91620F7}">
  <sheetPr codeName="Sheet16"/>
  <dimension ref="A1:Q1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0.14285714285714285</v>
      </c>
      <c r="G4" s="67">
        <v>0.14285714285714285</v>
      </c>
      <c r="H4" s="68">
        <v>8000</v>
      </c>
      <c r="I4" s="68">
        <v>-3900</v>
      </c>
      <c r="J4" s="67">
        <v>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0.125</v>
      </c>
      <c r="G5" s="67">
        <v>0.125</v>
      </c>
      <c r="H5" s="68">
        <v>5050</v>
      </c>
      <c r="I5" s="68">
        <v>-6750</v>
      </c>
      <c r="J5" s="67">
        <v>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0.25</v>
      </c>
      <c r="G6" s="67">
        <v>0.1</v>
      </c>
      <c r="H6" s="68">
        <v>3520</v>
      </c>
      <c r="I6" s="68">
        <v>-6750</v>
      </c>
      <c r="J6" s="67">
        <v>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0.2857142857142857</v>
      </c>
      <c r="G7" s="67">
        <v>0.10714285714285714</v>
      </c>
      <c r="H7" s="68">
        <v>4662.5</v>
      </c>
      <c r="I7" s="68">
        <v>-8366.6666666666661</v>
      </c>
      <c r="J7" s="67">
        <v>0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0.27500000000000002</v>
      </c>
      <c r="G8" s="67">
        <v>0.125</v>
      </c>
      <c r="H8" s="68">
        <v>5318.181818181818</v>
      </c>
      <c r="I8" s="68">
        <v>-7400</v>
      </c>
      <c r="J8" s="67">
        <v>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0.2978723404255319</v>
      </c>
      <c r="G9" s="67">
        <v>0.1702127659574468</v>
      </c>
      <c r="H9" s="68">
        <v>5121.4285714285716</v>
      </c>
      <c r="I9" s="68">
        <v>-6487.5</v>
      </c>
      <c r="J9" s="67">
        <v>0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0.30909090909090908</v>
      </c>
      <c r="G10" s="67">
        <v>0.16363636363636364</v>
      </c>
      <c r="H10" s="68">
        <v>5858.8235294117649</v>
      </c>
      <c r="I10" s="68">
        <v>-7100</v>
      </c>
      <c r="J10" s="67">
        <v>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0.27868852459016391</v>
      </c>
      <c r="G11" s="67">
        <v>0.16393442622950818</v>
      </c>
      <c r="H11" s="68">
        <v>5858.8235294117649</v>
      </c>
      <c r="I11" s="68">
        <v>-7190</v>
      </c>
      <c r="J11" s="67">
        <v>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D7FBE-B61A-407E-8502-CF891F895D18}">
  <sheetPr codeName="Sheet14"/>
  <dimension ref="A1:Q2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0.14285714285714285</v>
      </c>
      <c r="G4" s="67">
        <v>0.5714285714285714</v>
      </c>
      <c r="H4" s="68">
        <v>2000</v>
      </c>
      <c r="I4" s="68">
        <v>-5800</v>
      </c>
      <c r="J4" s="67">
        <v>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0.125</v>
      </c>
      <c r="G5" s="67">
        <v>0.4375</v>
      </c>
      <c r="H5" s="68">
        <v>2950</v>
      </c>
      <c r="I5" s="68">
        <v>-5014.2857142857147</v>
      </c>
      <c r="J5" s="67">
        <v>0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0.21739130434782608</v>
      </c>
      <c r="G6" s="67">
        <v>0.34782608695652173</v>
      </c>
      <c r="H6" s="68">
        <v>7100</v>
      </c>
      <c r="I6" s="68">
        <v>-5887.5</v>
      </c>
      <c r="J6" s="67">
        <v>0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0.22222222222222221</v>
      </c>
      <c r="G7" s="67">
        <v>0.33333333333333331</v>
      </c>
      <c r="H7" s="68">
        <v>11250</v>
      </c>
      <c r="I7" s="68">
        <v>-5666.666666666667</v>
      </c>
      <c r="J7" s="67">
        <v>0</v>
      </c>
      <c r="K7" s="67">
        <v>0.25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0.24324324324324326</v>
      </c>
      <c r="G8" s="67">
        <v>0.32432432432432434</v>
      </c>
      <c r="H8" s="68">
        <v>9266.6666666666661</v>
      </c>
      <c r="I8" s="68">
        <v>-5333.333333333333</v>
      </c>
      <c r="J8" s="67">
        <v>0</v>
      </c>
      <c r="K8" s="67">
        <v>0.2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0.26530612244897961</v>
      </c>
      <c r="G9" s="67">
        <v>0.26530612244897961</v>
      </c>
      <c r="H9" s="68">
        <v>9392.3076923076915</v>
      </c>
      <c r="I9" s="68">
        <v>-5323.0769230769229</v>
      </c>
      <c r="J9" s="67">
        <v>0</v>
      </c>
      <c r="K9" s="67">
        <v>0.16666666666666666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0.24561403508771928</v>
      </c>
      <c r="G10" s="67">
        <v>0.26315789473684209</v>
      </c>
      <c r="H10" s="68">
        <v>8921.4285714285706</v>
      </c>
      <c r="I10" s="68">
        <v>-6586.666666666667</v>
      </c>
      <c r="J10" s="67">
        <v>0.14285714285714285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0.27536231884057971</v>
      </c>
      <c r="G11" s="67">
        <v>0.21739130434782608</v>
      </c>
      <c r="H11" s="68">
        <v>8084.2105263157891</v>
      </c>
      <c r="I11" s="68">
        <v>-6586.666666666667</v>
      </c>
      <c r="J11" s="67">
        <v>0.125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0.27272727272727271</v>
      </c>
      <c r="G12" s="67">
        <v>0.23376623376623376</v>
      </c>
      <c r="H12" s="68">
        <v>7695.2380952380954</v>
      </c>
      <c r="I12" s="68">
        <v>-6188.8888888888887</v>
      </c>
      <c r="J12" s="67">
        <v>0.1111111111111111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0.25882352941176473</v>
      </c>
      <c r="G13" s="67">
        <v>0.24705882352941178</v>
      </c>
      <c r="H13" s="68">
        <v>7890.909090909091</v>
      </c>
      <c r="I13" s="68">
        <v>-6633.333333333333</v>
      </c>
      <c r="J13" s="67">
        <v>0.1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0.25263157894736843</v>
      </c>
      <c r="G14" s="67">
        <v>0.23157894736842105</v>
      </c>
      <c r="H14" s="68">
        <v>7883.333333333333</v>
      </c>
      <c r="I14" s="68">
        <v>-6450</v>
      </c>
      <c r="J14" s="67">
        <v>9.0909090909090912E-2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0.22857142857142856</v>
      </c>
      <c r="G15" s="67">
        <v>0.20952380952380953</v>
      </c>
      <c r="H15" s="68">
        <v>7883.333333333333</v>
      </c>
      <c r="I15" s="68">
        <v>-6450</v>
      </c>
      <c r="J15" s="67">
        <v>8.3333333333333329E-2</v>
      </c>
      <c r="K15" s="67">
        <v>8.3333333333333329E-2</v>
      </c>
      <c r="L15" s="67">
        <v>8.3333333333333329E-2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0.22033898305084745</v>
      </c>
      <c r="G16" s="67">
        <v>0.20338983050847459</v>
      </c>
      <c r="H16" s="68">
        <v>7880.7692307692305</v>
      </c>
      <c r="I16" s="68">
        <v>-6895.833333333333</v>
      </c>
      <c r="J16" s="67">
        <v>7.6923076923076927E-2</v>
      </c>
      <c r="K16" s="67">
        <v>7.6923076923076927E-2</v>
      </c>
      <c r="L16" s="67">
        <v>7.6923076923076927E-2</v>
      </c>
      <c r="M16" s="67">
        <v>0.24074074074074073</v>
      </c>
      <c r="N16" s="67">
        <v>0.25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0.23387096774193547</v>
      </c>
      <c r="G17" s="67">
        <v>0.19354838709677419</v>
      </c>
      <c r="H17" s="68">
        <v>7686.2068965517237</v>
      </c>
      <c r="I17" s="68">
        <v>-6895.833333333333</v>
      </c>
      <c r="J17" s="67">
        <v>7.1428571428571425E-2</v>
      </c>
      <c r="K17" s="67">
        <v>7.1428571428571425E-2</v>
      </c>
      <c r="L17" s="67">
        <v>0.14285714285714285</v>
      </c>
      <c r="M17" s="67">
        <v>0.24561403508771928</v>
      </c>
      <c r="N17" s="67">
        <v>0.25438596491228072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0.23255813953488372</v>
      </c>
      <c r="G18" s="67">
        <v>0.18604651162790697</v>
      </c>
      <c r="H18" s="68">
        <v>7696.666666666667</v>
      </c>
      <c r="I18" s="68">
        <v>-6895.833333333333</v>
      </c>
      <c r="J18" s="67">
        <v>6.6666666666666666E-2</v>
      </c>
      <c r="K18" s="67">
        <v>6.6666666666666666E-2</v>
      </c>
      <c r="L18" s="67">
        <v>0.13333333333333333</v>
      </c>
      <c r="M18" s="67">
        <v>0.24369747899159663</v>
      </c>
      <c r="N18" s="67">
        <v>0.25210084033613445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0.22627737226277372</v>
      </c>
      <c r="G19" s="67">
        <v>0.18248175182481752</v>
      </c>
      <c r="H19" s="68">
        <v>7706.4516129032254</v>
      </c>
      <c r="I19" s="68">
        <v>-7100</v>
      </c>
      <c r="J19" s="67">
        <v>6.25E-2</v>
      </c>
      <c r="K19" s="67">
        <v>6.25E-2</v>
      </c>
      <c r="L19" s="67">
        <v>0.125</v>
      </c>
      <c r="M19" s="67">
        <v>0.24409448818897639</v>
      </c>
      <c r="N19" s="67">
        <v>0.24409448818897639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0.22068965517241379</v>
      </c>
      <c r="G20" s="67">
        <v>0.1793103448275862</v>
      </c>
      <c r="H20" s="68">
        <v>7715.625</v>
      </c>
      <c r="I20" s="68">
        <v>-7288.4615384615381</v>
      </c>
      <c r="J20" s="67">
        <v>5.8823529411764705E-2</v>
      </c>
      <c r="K20" s="67">
        <v>5.8823529411764705E-2</v>
      </c>
      <c r="L20" s="67">
        <v>0.11764705882352941</v>
      </c>
      <c r="M20" s="67">
        <v>0.24444444444444444</v>
      </c>
      <c r="N20" s="67">
        <v>0.23703703703703705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0.23717948717948717</v>
      </c>
      <c r="G21" s="67">
        <v>0.17948717948717949</v>
      </c>
      <c r="H21" s="68">
        <v>7875.6756756756758</v>
      </c>
      <c r="I21" s="68">
        <v>-7839.2857142857147</v>
      </c>
      <c r="J21" s="67">
        <v>5.5555555555555552E-2</v>
      </c>
      <c r="K21" s="67">
        <v>5.5555555555555552E-2</v>
      </c>
      <c r="L21" s="67">
        <v>0.1111111111111111</v>
      </c>
      <c r="M21" s="67">
        <v>0.27397260273972601</v>
      </c>
      <c r="N21" s="67">
        <v>0.23287671232876711</v>
      </c>
      <c r="O21" s="67">
        <v>0.5</v>
      </c>
      <c r="P21" s="67">
        <v>0.3235294117647059</v>
      </c>
      <c r="Q21" s="67">
        <v>0.29729729729729731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E7013-70E4-4AE6-BEBE-FE2A983944AE}">
  <sheetPr codeName="Sheet12"/>
  <dimension ref="A1:Q1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133</v>
      </c>
      <c r="B1" s="70" t="s">
        <v>133</v>
      </c>
      <c r="C1" s="70" t="s">
        <v>133</v>
      </c>
      <c r="D1" s="71" t="s">
        <v>133</v>
      </c>
      <c r="E1" s="70" t="s">
        <v>133</v>
      </c>
      <c r="F1" s="70" t="s">
        <v>133</v>
      </c>
      <c r="G1" s="70" t="s">
        <v>133</v>
      </c>
      <c r="H1" s="70" t="s">
        <v>133</v>
      </c>
      <c r="I1" s="70" t="s">
        <v>133</v>
      </c>
      <c r="J1" s="70" t="s">
        <v>133</v>
      </c>
      <c r="K1" s="70" t="s">
        <v>133</v>
      </c>
      <c r="L1" s="70" t="s">
        <v>133</v>
      </c>
      <c r="M1" s="70" t="s">
        <v>133</v>
      </c>
      <c r="N1" s="70" t="s">
        <v>133</v>
      </c>
      <c r="O1" s="70" t="s">
        <v>133</v>
      </c>
      <c r="P1" s="70" t="s">
        <v>133</v>
      </c>
      <c r="Q1" s="70" t="s">
        <v>133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0.16666666666666666</v>
      </c>
      <c r="G4" s="67">
        <v>0.33333333333333331</v>
      </c>
      <c r="H4" s="68">
        <v>2800</v>
      </c>
      <c r="I4" s="68">
        <v>-7850</v>
      </c>
      <c r="J4" s="67">
        <v>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0.375</v>
      </c>
      <c r="G5" s="67">
        <v>0.25</v>
      </c>
      <c r="H5" s="68">
        <v>7983.333333333333</v>
      </c>
      <c r="I5" s="68">
        <v>-9825</v>
      </c>
      <c r="J5" s="67">
        <v>0</v>
      </c>
      <c r="K5" s="67">
        <v>0</v>
      </c>
      <c r="L5" s="67">
        <v>0.5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0.30769230769230771</v>
      </c>
      <c r="G6" s="67">
        <v>0.26923076923076922</v>
      </c>
      <c r="H6" s="68">
        <v>6837.5</v>
      </c>
      <c r="I6" s="68">
        <v>-8471.4285714285706</v>
      </c>
      <c r="J6" s="67">
        <v>0</v>
      </c>
      <c r="K6" s="67">
        <v>0</v>
      </c>
      <c r="L6" s="67">
        <v>0.33333333333333331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0.27272727272727271</v>
      </c>
      <c r="G7" s="67">
        <v>0.24242424242424243</v>
      </c>
      <c r="H7" s="68">
        <v>7411.1111111111113</v>
      </c>
      <c r="I7" s="68">
        <v>-8137.5</v>
      </c>
      <c r="J7" s="67">
        <v>0</v>
      </c>
      <c r="K7" s="67">
        <v>0</v>
      </c>
      <c r="L7" s="67">
        <v>0.25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0.30232558139534882</v>
      </c>
      <c r="G8" s="67">
        <v>0.2558139534883721</v>
      </c>
      <c r="H8" s="68">
        <v>7515.3846153846152</v>
      </c>
      <c r="I8" s="68">
        <v>-8627.2727272727279</v>
      </c>
      <c r="J8" s="67">
        <v>0</v>
      </c>
      <c r="K8" s="67">
        <v>0</v>
      </c>
      <c r="L8" s="67">
        <v>0.2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0.28846153846153844</v>
      </c>
      <c r="G9" s="67">
        <v>0.26923076923076922</v>
      </c>
      <c r="H9" s="68">
        <v>7973.333333333333</v>
      </c>
      <c r="I9" s="68">
        <v>-8350</v>
      </c>
      <c r="J9" s="67">
        <v>0</v>
      </c>
      <c r="K9" s="67">
        <v>0</v>
      </c>
      <c r="L9" s="67">
        <v>0.16666666666666666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0.26785714285714285</v>
      </c>
      <c r="G10" s="67">
        <v>0.2857142857142857</v>
      </c>
      <c r="H10" s="68">
        <v>7973.333333333333</v>
      </c>
      <c r="I10" s="68">
        <v>-9431.25</v>
      </c>
      <c r="J10" s="67">
        <v>0.14285714285714285</v>
      </c>
      <c r="K10" s="67">
        <v>0</v>
      </c>
      <c r="L10" s="67">
        <v>0.14285714285714285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0.2857142857142857</v>
      </c>
      <c r="G11" s="67">
        <v>0.25396825396825395</v>
      </c>
      <c r="H11" s="68">
        <v>7977.7777777777774</v>
      </c>
      <c r="I11" s="68">
        <v>-9431.25</v>
      </c>
      <c r="J11" s="67">
        <v>0.125</v>
      </c>
      <c r="K11" s="67">
        <v>0</v>
      </c>
      <c r="L11" s="67">
        <v>0.125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0.25333333333333335</v>
      </c>
      <c r="G12" s="67">
        <v>0.24</v>
      </c>
      <c r="H12" s="68">
        <v>7710.5263157894733</v>
      </c>
      <c r="I12" s="68">
        <v>-9244.4444444444453</v>
      </c>
      <c r="J12" s="67">
        <v>0.1111111111111111</v>
      </c>
      <c r="K12" s="67">
        <v>0</v>
      </c>
      <c r="L12" s="67">
        <v>0.1111111111111111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BCC95-41B1-48C9-98CC-4AFC9FC069DC}">
  <sheetPr codeName="Sheet10"/>
  <dimension ref="A1:Q2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132</v>
      </c>
      <c r="B1" s="70" t="s">
        <v>132</v>
      </c>
      <c r="C1" s="70" t="s">
        <v>132</v>
      </c>
      <c r="D1" s="71" t="s">
        <v>132</v>
      </c>
      <c r="E1" s="70" t="s">
        <v>132</v>
      </c>
      <c r="F1" s="70" t="s">
        <v>132</v>
      </c>
      <c r="G1" s="70" t="s">
        <v>132</v>
      </c>
      <c r="H1" s="70" t="s">
        <v>132</v>
      </c>
      <c r="I1" s="70" t="s">
        <v>132</v>
      </c>
      <c r="J1" s="70" t="s">
        <v>132</v>
      </c>
      <c r="K1" s="70" t="s">
        <v>132</v>
      </c>
      <c r="L1" s="70" t="s">
        <v>132</v>
      </c>
      <c r="M1" s="70" t="s">
        <v>132</v>
      </c>
      <c r="N1" s="70" t="s">
        <v>132</v>
      </c>
      <c r="O1" s="70" t="s">
        <v>132</v>
      </c>
      <c r="P1" s="70" t="s">
        <v>132</v>
      </c>
      <c r="Q1" s="70" t="s">
        <v>132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0.5</v>
      </c>
      <c r="G4" s="67">
        <v>0.16666666666666666</v>
      </c>
      <c r="H4" s="68">
        <v>13233.333333333334</v>
      </c>
      <c r="I4" s="68">
        <v>-8000</v>
      </c>
      <c r="J4" s="67">
        <v>0</v>
      </c>
      <c r="K4" s="67">
        <v>0</v>
      </c>
      <c r="L4" s="67">
        <v>1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0.3125</v>
      </c>
      <c r="G5" s="67">
        <v>0.25</v>
      </c>
      <c r="H5" s="68">
        <v>11860</v>
      </c>
      <c r="I5" s="68">
        <v>-6950</v>
      </c>
      <c r="J5" s="67">
        <v>0</v>
      </c>
      <c r="K5" s="67">
        <v>0</v>
      </c>
      <c r="L5" s="67">
        <v>0.5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0.23076923076923078</v>
      </c>
      <c r="G6" s="67">
        <v>0.26923076923076922</v>
      </c>
      <c r="H6" s="68">
        <v>11483.333333333334</v>
      </c>
      <c r="I6" s="68">
        <v>-7785.7142857142853</v>
      </c>
      <c r="J6" s="67">
        <v>0</v>
      </c>
      <c r="K6" s="67">
        <v>0</v>
      </c>
      <c r="L6" s="67">
        <v>0.33333333333333331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0.34285714285714286</v>
      </c>
      <c r="G7" s="67">
        <v>0.22857142857142856</v>
      </c>
      <c r="H7" s="68">
        <v>9500</v>
      </c>
      <c r="I7" s="68">
        <v>-7300</v>
      </c>
      <c r="J7" s="67">
        <v>0</v>
      </c>
      <c r="K7" s="67">
        <v>0</v>
      </c>
      <c r="L7" s="67">
        <v>0.25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0.28888888888888886</v>
      </c>
      <c r="G8" s="67">
        <v>0.2</v>
      </c>
      <c r="H8" s="68">
        <v>8846.1538461538457</v>
      </c>
      <c r="I8" s="68">
        <v>-6755.5555555555557</v>
      </c>
      <c r="J8" s="67">
        <v>0</v>
      </c>
      <c r="K8" s="67">
        <v>0</v>
      </c>
      <c r="L8" s="67">
        <v>0.2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0.29629629629629628</v>
      </c>
      <c r="G9" s="67">
        <v>0.16666666666666666</v>
      </c>
      <c r="H9" s="68">
        <v>8231.25</v>
      </c>
      <c r="I9" s="68">
        <v>-6755.5555555555557</v>
      </c>
      <c r="J9" s="67">
        <v>0</v>
      </c>
      <c r="K9" s="67">
        <v>0</v>
      </c>
      <c r="L9" s="67">
        <v>0.16666666666666666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0.29508196721311475</v>
      </c>
      <c r="G10" s="67">
        <v>0.16393442622950818</v>
      </c>
      <c r="H10" s="68">
        <v>8138.8888888888887</v>
      </c>
      <c r="I10" s="68">
        <v>-7880</v>
      </c>
      <c r="J10" s="67">
        <v>0</v>
      </c>
      <c r="K10" s="67">
        <v>0</v>
      </c>
      <c r="L10" s="67">
        <v>0.14285714285714285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0.26760563380281688</v>
      </c>
      <c r="G11" s="67">
        <v>0.14084507042253522</v>
      </c>
      <c r="H11" s="68">
        <v>8115.7894736842109</v>
      </c>
      <c r="I11" s="68">
        <v>-7880</v>
      </c>
      <c r="J11" s="67">
        <v>0</v>
      </c>
      <c r="K11" s="67">
        <v>0</v>
      </c>
      <c r="L11" s="67">
        <v>0.125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0.26923076923076922</v>
      </c>
      <c r="G12" s="67">
        <v>0.16666666666666666</v>
      </c>
      <c r="H12" s="68">
        <v>7900</v>
      </c>
      <c r="I12" s="68">
        <v>-7569.2307692307695</v>
      </c>
      <c r="J12" s="67">
        <v>0</v>
      </c>
      <c r="K12" s="67">
        <v>0</v>
      </c>
      <c r="L12" s="67">
        <v>0.1111111111111111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0.27906976744186046</v>
      </c>
      <c r="G13" s="67">
        <v>0.16279069767441862</v>
      </c>
      <c r="H13" s="68">
        <v>7900</v>
      </c>
      <c r="I13" s="68">
        <v>-7578.5714285714284</v>
      </c>
      <c r="J13" s="67">
        <v>0</v>
      </c>
      <c r="K13" s="67">
        <v>0</v>
      </c>
      <c r="L13" s="67">
        <v>0.1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0.29032258064516131</v>
      </c>
      <c r="G14" s="67">
        <v>0.16129032258064516</v>
      </c>
      <c r="H14" s="68">
        <v>7644.4444444444443</v>
      </c>
      <c r="I14" s="68">
        <v>-7606.666666666667</v>
      </c>
      <c r="J14" s="67">
        <v>0</v>
      </c>
      <c r="K14" s="67">
        <v>0</v>
      </c>
      <c r="L14" s="67">
        <v>9.0909090909090912E-2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0.30097087378640774</v>
      </c>
      <c r="G15" s="67">
        <v>0.17475728155339806</v>
      </c>
      <c r="H15" s="68">
        <v>7809.677419354839</v>
      </c>
      <c r="I15" s="68">
        <v>-8222.2222222222226</v>
      </c>
      <c r="J15" s="67">
        <v>0</v>
      </c>
      <c r="K15" s="67">
        <v>0</v>
      </c>
      <c r="L15" s="67">
        <v>8.3333333333333329E-2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0.29203539823008851</v>
      </c>
      <c r="G16" s="67">
        <v>0.17699115044247787</v>
      </c>
      <c r="H16" s="68">
        <v>7763.636363636364</v>
      </c>
      <c r="I16" s="68">
        <v>-8100</v>
      </c>
      <c r="J16" s="67">
        <v>0</v>
      </c>
      <c r="K16" s="67">
        <v>0</v>
      </c>
      <c r="L16" s="67">
        <v>7.6923076923076927E-2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0.31707317073170732</v>
      </c>
      <c r="G17" s="67">
        <v>0.16260162601626016</v>
      </c>
      <c r="H17" s="68">
        <v>7392.3076923076924</v>
      </c>
      <c r="I17" s="68">
        <v>-8100</v>
      </c>
      <c r="J17" s="67">
        <v>0</v>
      </c>
      <c r="K17" s="67">
        <v>0</v>
      </c>
      <c r="L17" s="67">
        <v>7.1428571428571425E-2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0.33088235294117646</v>
      </c>
      <c r="G18" s="67">
        <v>0.16911764705882354</v>
      </c>
      <c r="H18" s="68">
        <v>8133.333333333333</v>
      </c>
      <c r="I18" s="68">
        <v>-8026.086956521739</v>
      </c>
      <c r="J18" s="67">
        <v>0</v>
      </c>
      <c r="K18" s="67">
        <v>6.6666666666666666E-2</v>
      </c>
      <c r="L18" s="67">
        <v>6.6666666666666666E-2</v>
      </c>
      <c r="M18" s="67">
        <v>0.36507936507936506</v>
      </c>
      <c r="N18" s="67">
        <v>0.23015873015873015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0.32413793103448274</v>
      </c>
      <c r="G19" s="67">
        <v>0.1793103448275862</v>
      </c>
      <c r="H19" s="68">
        <v>8000</v>
      </c>
      <c r="I19" s="68">
        <v>-7476.9230769230771</v>
      </c>
      <c r="J19" s="67">
        <v>0</v>
      </c>
      <c r="K19" s="67">
        <v>6.25E-2</v>
      </c>
      <c r="L19" s="67">
        <v>6.25E-2</v>
      </c>
      <c r="M19" s="67">
        <v>0.34814814814814815</v>
      </c>
      <c r="N19" s="67">
        <v>0.22962962962962963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0.33333333333333331</v>
      </c>
      <c r="G20" s="67">
        <v>0.17333333333333334</v>
      </c>
      <c r="H20" s="68">
        <v>8258</v>
      </c>
      <c r="I20" s="68">
        <v>-7476.9230769230771</v>
      </c>
      <c r="J20" s="67">
        <v>0</v>
      </c>
      <c r="K20" s="67">
        <v>0.11764705882352941</v>
      </c>
      <c r="L20" s="67">
        <v>5.8823529411764705E-2</v>
      </c>
      <c r="M20" s="67">
        <v>0.35714285714285715</v>
      </c>
      <c r="N20" s="67">
        <v>0.22142857142857142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0.32911392405063289</v>
      </c>
      <c r="G21" s="67">
        <v>0.17088607594936708</v>
      </c>
      <c r="H21" s="68">
        <v>8196.1538461538457</v>
      </c>
      <c r="I21" s="68">
        <v>-7392.5925925925922</v>
      </c>
      <c r="J21" s="67">
        <v>0</v>
      </c>
      <c r="K21" s="67">
        <v>0.1111111111111111</v>
      </c>
      <c r="L21" s="67">
        <v>0.1111111111111111</v>
      </c>
      <c r="M21" s="67">
        <v>0.35135135135135137</v>
      </c>
      <c r="N21" s="67">
        <v>0.20945945945945946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0.3253012048192771</v>
      </c>
      <c r="G22" s="67">
        <v>0.16867469879518071</v>
      </c>
      <c r="H22" s="68">
        <v>8138.8888888888887</v>
      </c>
      <c r="I22" s="68">
        <v>-7314.2857142857147</v>
      </c>
      <c r="J22" s="67">
        <v>0</v>
      </c>
      <c r="K22" s="67">
        <v>0.10526315789473684</v>
      </c>
      <c r="L22" s="67">
        <v>0.15789473684210525</v>
      </c>
      <c r="M22" s="67">
        <v>0.34615384615384615</v>
      </c>
      <c r="N22" s="67">
        <v>0.19871794871794871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0.31638418079096048</v>
      </c>
      <c r="G23" s="67">
        <v>0.16384180790960451</v>
      </c>
      <c r="H23" s="68">
        <v>8312.5</v>
      </c>
      <c r="I23" s="68">
        <v>-7475.8620689655172</v>
      </c>
      <c r="J23" s="67">
        <v>0</v>
      </c>
      <c r="K23" s="67">
        <v>0.1</v>
      </c>
      <c r="L23" s="67">
        <v>0.2</v>
      </c>
      <c r="M23" s="67">
        <v>0.3413173652694611</v>
      </c>
      <c r="N23" s="67">
        <v>0.19161676646706588</v>
      </c>
      <c r="O23" s="67">
        <v>0.63157894736842102</v>
      </c>
      <c r="P23" s="67">
        <v>0.28125</v>
      </c>
      <c r="Q23" s="67">
        <v>0.375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21E8E-336C-4DFC-B0DB-C375BD99160E}">
  <sheetPr codeName="Sheet8"/>
  <dimension ref="A1:Q2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131</v>
      </c>
      <c r="B1" s="70" t="s">
        <v>131</v>
      </c>
      <c r="C1" s="70" t="s">
        <v>131</v>
      </c>
      <c r="D1" s="71" t="s">
        <v>131</v>
      </c>
      <c r="E1" s="70" t="s">
        <v>131</v>
      </c>
      <c r="F1" s="70" t="s">
        <v>131</v>
      </c>
      <c r="G1" s="70" t="s">
        <v>131</v>
      </c>
      <c r="H1" s="70" t="s">
        <v>131</v>
      </c>
      <c r="I1" s="70" t="s">
        <v>131</v>
      </c>
      <c r="J1" s="70" t="s">
        <v>131</v>
      </c>
      <c r="K1" s="70" t="s">
        <v>131</v>
      </c>
      <c r="L1" s="70" t="s">
        <v>131</v>
      </c>
      <c r="M1" s="70" t="s">
        <v>131</v>
      </c>
      <c r="N1" s="70" t="s">
        <v>131</v>
      </c>
      <c r="O1" s="70" t="s">
        <v>131</v>
      </c>
      <c r="P1" s="70" t="s">
        <v>131</v>
      </c>
      <c r="Q1" s="70" t="s">
        <v>131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0.33333333333333331</v>
      </c>
      <c r="G4" s="67">
        <v>0.16666666666666666</v>
      </c>
      <c r="H4" s="68">
        <v>10000</v>
      </c>
      <c r="I4" s="68">
        <v>-24000</v>
      </c>
      <c r="J4" s="67">
        <v>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0.3125</v>
      </c>
      <c r="G5" s="67">
        <v>0.1875</v>
      </c>
      <c r="H5" s="68">
        <v>10780</v>
      </c>
      <c r="I5" s="68">
        <v>-13733.333333333334</v>
      </c>
      <c r="J5" s="67">
        <v>0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0.38461538461538464</v>
      </c>
      <c r="G6" s="67">
        <v>0.15384615384615385</v>
      </c>
      <c r="H6" s="68">
        <v>9910</v>
      </c>
      <c r="I6" s="68">
        <v>-11025</v>
      </c>
      <c r="J6" s="67">
        <v>0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0.42424242424242425</v>
      </c>
      <c r="G7" s="67">
        <v>0.15151515151515152</v>
      </c>
      <c r="H7" s="68">
        <v>8442.8571428571431</v>
      </c>
      <c r="I7" s="68">
        <v>-9220</v>
      </c>
      <c r="J7" s="67">
        <v>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0.47499999999999998</v>
      </c>
      <c r="G8" s="67">
        <v>0.125</v>
      </c>
      <c r="H8" s="68">
        <v>9663.1578947368416</v>
      </c>
      <c r="I8" s="68">
        <v>-9220</v>
      </c>
      <c r="J8" s="67">
        <v>0</v>
      </c>
      <c r="K8" s="67">
        <v>0.2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0.44</v>
      </c>
      <c r="G9" s="67">
        <v>0.14000000000000001</v>
      </c>
      <c r="H9" s="68">
        <v>9700</v>
      </c>
      <c r="I9" s="68">
        <v>-9014.2857142857138</v>
      </c>
      <c r="J9" s="67">
        <v>0</v>
      </c>
      <c r="K9" s="67">
        <v>0.16666666666666666</v>
      </c>
      <c r="L9" s="67">
        <v>0.33333333333333331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0.44067796610169491</v>
      </c>
      <c r="G10" s="67">
        <v>0.15254237288135594</v>
      </c>
      <c r="H10" s="68">
        <v>8938.461538461539</v>
      </c>
      <c r="I10" s="68">
        <v>-7733.333333333333</v>
      </c>
      <c r="J10" s="67">
        <v>0</v>
      </c>
      <c r="K10" s="67">
        <v>0.14285714285714285</v>
      </c>
      <c r="L10" s="67">
        <v>0.42857142857142855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0.43478260869565216</v>
      </c>
      <c r="G11" s="67">
        <v>0.15942028985507245</v>
      </c>
      <c r="H11" s="68">
        <v>8296.6666666666661</v>
      </c>
      <c r="I11" s="68">
        <v>-7409.090909090909</v>
      </c>
      <c r="J11" s="67">
        <v>0</v>
      </c>
      <c r="K11" s="67">
        <v>0.125</v>
      </c>
      <c r="L11" s="67">
        <v>0.5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0.42105263157894735</v>
      </c>
      <c r="G12" s="67">
        <v>0.15789473684210525</v>
      </c>
      <c r="H12" s="68">
        <v>8140.625</v>
      </c>
      <c r="I12" s="68">
        <v>-7458.333333333333</v>
      </c>
      <c r="J12" s="67">
        <v>0</v>
      </c>
      <c r="K12" s="67">
        <v>0.1111111111111111</v>
      </c>
      <c r="L12" s="67">
        <v>0.44444444444444442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0.40476190476190477</v>
      </c>
      <c r="G13" s="67">
        <v>0.17857142857142858</v>
      </c>
      <c r="H13" s="68">
        <v>8229.4117647058829</v>
      </c>
      <c r="I13" s="68">
        <v>-7546.666666666667</v>
      </c>
      <c r="J13" s="67">
        <v>0</v>
      </c>
      <c r="K13" s="67">
        <v>0.1</v>
      </c>
      <c r="L13" s="67">
        <v>0.4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0.44565217391304346</v>
      </c>
      <c r="G14" s="67">
        <v>0.16304347826086957</v>
      </c>
      <c r="H14" s="68">
        <v>8234.1463414634145</v>
      </c>
      <c r="I14" s="68">
        <v>-7546.666666666667</v>
      </c>
      <c r="J14" s="67">
        <v>0</v>
      </c>
      <c r="K14" s="67">
        <v>0.18181818181818182</v>
      </c>
      <c r="L14" s="67">
        <v>0.36363636363636365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0.45</v>
      </c>
      <c r="G15" s="67">
        <v>0.15</v>
      </c>
      <c r="H15" s="68">
        <v>7868.8888888888887</v>
      </c>
      <c r="I15" s="68">
        <v>-7546.666666666667</v>
      </c>
      <c r="J15" s="67">
        <v>0</v>
      </c>
      <c r="K15" s="67">
        <v>0.16666666666666666</v>
      </c>
      <c r="L15" s="67">
        <v>0.33333333333333331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0.44444444444444442</v>
      </c>
      <c r="G16" s="67">
        <v>0.1388888888888889</v>
      </c>
      <c r="H16" s="68">
        <v>7870.833333333333</v>
      </c>
      <c r="I16" s="68">
        <v>-7546.666666666667</v>
      </c>
      <c r="J16" s="67">
        <v>0</v>
      </c>
      <c r="K16" s="67">
        <v>0.15384615384615385</v>
      </c>
      <c r="L16" s="67">
        <v>0.30769230769230771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0.46086956521739131</v>
      </c>
      <c r="G17" s="67">
        <v>0.1391304347826087</v>
      </c>
      <c r="H17" s="68">
        <v>7815.0943396226412</v>
      </c>
      <c r="I17" s="68">
        <v>-7237.5</v>
      </c>
      <c r="J17" s="67">
        <v>0</v>
      </c>
      <c r="K17" s="67">
        <v>0.14285714285714285</v>
      </c>
      <c r="L17" s="67">
        <v>0.2857142857142857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0.46280991735537191</v>
      </c>
      <c r="G18" s="67">
        <v>0.1487603305785124</v>
      </c>
      <c r="H18" s="68">
        <v>7700</v>
      </c>
      <c r="I18" s="68">
        <v>-6988.8888888888887</v>
      </c>
      <c r="J18" s="67">
        <v>0</v>
      </c>
      <c r="K18" s="67">
        <v>0.13333333333333333</v>
      </c>
      <c r="L18" s="67">
        <v>0.26666666666666666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0.45238095238095238</v>
      </c>
      <c r="G19" s="67">
        <v>0.16666666666666666</v>
      </c>
      <c r="H19" s="68">
        <v>7705.2631578947367</v>
      </c>
      <c r="I19" s="68">
        <v>-7761.9047619047615</v>
      </c>
      <c r="J19" s="67">
        <v>6.25E-2</v>
      </c>
      <c r="K19" s="67">
        <v>0.125</v>
      </c>
      <c r="L19" s="67">
        <v>0.25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0.44029850746268656</v>
      </c>
      <c r="G20" s="67">
        <v>0.17164179104477612</v>
      </c>
      <c r="H20" s="68">
        <v>7735.593220338983</v>
      </c>
      <c r="I20" s="68">
        <v>-7665.217391304348</v>
      </c>
      <c r="J20" s="67">
        <v>5.8823529411764705E-2</v>
      </c>
      <c r="K20" s="67">
        <v>0.11764705882352941</v>
      </c>
      <c r="L20" s="67">
        <v>0.23529411764705882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0.42957746478873238</v>
      </c>
      <c r="G21" s="67">
        <v>0.176056338028169</v>
      </c>
      <c r="H21" s="68">
        <v>7763.9344262295081</v>
      </c>
      <c r="I21" s="68">
        <v>-7584</v>
      </c>
      <c r="J21" s="67">
        <v>5.5555555555555552E-2</v>
      </c>
      <c r="K21" s="67">
        <v>0.1111111111111111</v>
      </c>
      <c r="L21" s="67">
        <v>0.22222222222222221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0.42483660130718953</v>
      </c>
      <c r="G22" s="67">
        <v>0.18954248366013071</v>
      </c>
      <c r="H22" s="68">
        <v>7787.6923076923076</v>
      </c>
      <c r="I22" s="68">
        <v>-7658.6206896551721</v>
      </c>
      <c r="J22" s="67">
        <v>5.2631578947368418E-2</v>
      </c>
      <c r="K22" s="67">
        <v>0.10526315789473684</v>
      </c>
      <c r="L22" s="67">
        <v>0.21052631578947367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B6D24-97D2-44E4-8892-7AD3F045CA1B}">
  <sheetPr codeName="Sheet6"/>
  <dimension ref="A1:Q3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149</v>
      </c>
      <c r="B1" s="70" t="s">
        <v>149</v>
      </c>
      <c r="C1" s="70" t="s">
        <v>149</v>
      </c>
      <c r="D1" s="71" t="s">
        <v>149</v>
      </c>
      <c r="E1" s="70" t="s">
        <v>149</v>
      </c>
      <c r="F1" s="70" t="s">
        <v>149</v>
      </c>
      <c r="G1" s="70" t="s">
        <v>149</v>
      </c>
      <c r="H1" s="70" t="s">
        <v>149</v>
      </c>
      <c r="I1" s="70" t="s">
        <v>149</v>
      </c>
      <c r="J1" s="70" t="s">
        <v>149</v>
      </c>
      <c r="K1" s="70" t="s">
        <v>149</v>
      </c>
      <c r="L1" s="70" t="s">
        <v>149</v>
      </c>
      <c r="M1" s="70" t="s">
        <v>149</v>
      </c>
      <c r="N1" s="70" t="s">
        <v>149</v>
      </c>
      <c r="O1" s="70" t="s">
        <v>149</v>
      </c>
      <c r="P1" s="70" t="s">
        <v>149</v>
      </c>
      <c r="Q1" s="70" t="s">
        <v>149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0.22222222222222221</v>
      </c>
      <c r="H4" s="68">
        <v>10416.666666666666</v>
      </c>
      <c r="I4" s="68">
        <v>-11925</v>
      </c>
      <c r="J4" s="67">
        <v>0</v>
      </c>
      <c r="K4" s="67">
        <v>0</v>
      </c>
      <c r="L4" s="67">
        <v>0.33333333333333331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0.22916666666666666</v>
      </c>
      <c r="H5" s="68">
        <v>10068.75</v>
      </c>
      <c r="I5" s="68">
        <v>-9845.454545454546</v>
      </c>
      <c r="J5" s="67">
        <v>0</v>
      </c>
      <c r="K5" s="67">
        <v>0</v>
      </c>
      <c r="L5" s="67">
        <v>0.33333333333333331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0.30769230769230771</v>
      </c>
      <c r="G6" s="67">
        <v>0.23076923076923078</v>
      </c>
      <c r="H6" s="68">
        <v>9279.1666666666661</v>
      </c>
      <c r="I6" s="68">
        <v>-8772.2222222222226</v>
      </c>
      <c r="J6" s="67">
        <v>0</v>
      </c>
      <c r="K6" s="67">
        <v>0</v>
      </c>
      <c r="L6" s="67">
        <v>0.22222222222222221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0.30303030303030304</v>
      </c>
      <c r="G7" s="67">
        <v>0.24242424242424243</v>
      </c>
      <c r="H7" s="68">
        <v>8393.3333333333339</v>
      </c>
      <c r="I7" s="68">
        <v>-7791.666666666667</v>
      </c>
      <c r="J7" s="67">
        <v>0</v>
      </c>
      <c r="K7" s="67">
        <v>0</v>
      </c>
      <c r="L7" s="67">
        <v>0.16666666666666666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0.30158730158730157</v>
      </c>
      <c r="G8" s="67">
        <v>0.23015873015873015</v>
      </c>
      <c r="H8" s="68">
        <v>7971.0526315789475</v>
      </c>
      <c r="I8" s="68">
        <v>-7324.1379310344828</v>
      </c>
      <c r="J8" s="67">
        <v>0</v>
      </c>
      <c r="K8" s="67">
        <v>0</v>
      </c>
      <c r="L8" s="67">
        <v>0.13333333333333333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0.30612244897959184</v>
      </c>
      <c r="G9" s="67">
        <v>0.21768707482993196</v>
      </c>
      <c r="H9" s="68">
        <v>8540</v>
      </c>
      <c r="I9" s="68">
        <v>-8118.75</v>
      </c>
      <c r="J9" s="67">
        <v>5.5555555555555552E-2</v>
      </c>
      <c r="K9" s="67">
        <v>5.5555555555555552E-2</v>
      </c>
      <c r="L9" s="67">
        <v>0.16666666666666666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0.29943502824858759</v>
      </c>
      <c r="G10" s="67">
        <v>0.21468926553672316</v>
      </c>
      <c r="H10" s="68">
        <v>8416.9811320754725</v>
      </c>
      <c r="I10" s="68">
        <v>-8131.5789473684208</v>
      </c>
      <c r="J10" s="67">
        <v>4.7619047619047616E-2</v>
      </c>
      <c r="K10" s="67">
        <v>4.7619047619047616E-2</v>
      </c>
      <c r="L10" s="67">
        <v>0.19047619047619047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0.30392156862745096</v>
      </c>
      <c r="G11" s="67">
        <v>0.2107843137254902</v>
      </c>
      <c r="H11" s="68">
        <v>8124.1935483870966</v>
      </c>
      <c r="I11" s="68">
        <v>-7848.8372093023254</v>
      </c>
      <c r="J11" s="67">
        <v>4.1666666666666664E-2</v>
      </c>
      <c r="K11" s="67">
        <v>4.1666666666666664E-2</v>
      </c>
      <c r="L11" s="67">
        <v>0.20833333333333334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0.30666666666666664</v>
      </c>
      <c r="G12" s="67">
        <v>0.20444444444444446</v>
      </c>
      <c r="H12" s="68">
        <v>8147.826086956522</v>
      </c>
      <c r="I12" s="68">
        <v>-8073.913043478261</v>
      </c>
      <c r="J12" s="67">
        <v>3.7037037037037035E-2</v>
      </c>
      <c r="K12" s="67">
        <v>3.7037037037037035E-2</v>
      </c>
      <c r="L12" s="67">
        <v>0.18518518518518517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0.30801687763713081</v>
      </c>
      <c r="G13" s="67">
        <v>0.20675105485232068</v>
      </c>
      <c r="H13" s="68">
        <v>8242.465753424658</v>
      </c>
      <c r="I13" s="68">
        <v>-8353.0612244897966</v>
      </c>
      <c r="J13" s="67">
        <v>6.6666666666666666E-2</v>
      </c>
      <c r="K13" s="67">
        <v>6.6666666666666666E-2</v>
      </c>
      <c r="L13" s="67">
        <v>0.2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0.30337078651685395</v>
      </c>
      <c r="G14" s="67">
        <v>0.20224719101123595</v>
      </c>
      <c r="H14" s="68">
        <v>7923.4567901234568</v>
      </c>
      <c r="I14" s="68">
        <v>-8040.7407407407409</v>
      </c>
      <c r="J14" s="67">
        <v>6.0606060606060608E-2</v>
      </c>
      <c r="K14" s="67">
        <v>6.0606060606060608E-2</v>
      </c>
      <c r="L14" s="67">
        <v>0.21212121212121213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0.30555555555555558</v>
      </c>
      <c r="G15" s="67">
        <v>0.2013888888888889</v>
      </c>
      <c r="H15" s="68">
        <v>7830.681818181818</v>
      </c>
      <c r="I15" s="68">
        <v>-7962.0689655172409</v>
      </c>
      <c r="J15" s="67">
        <v>5.5555555555555552E-2</v>
      </c>
      <c r="K15" s="67">
        <v>5.5555555555555552E-2</v>
      </c>
      <c r="L15" s="67">
        <v>0.19444444444444445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0.30769230769230771</v>
      </c>
      <c r="G16" s="67">
        <v>0.20192307692307693</v>
      </c>
      <c r="H16" s="68">
        <v>7831.25</v>
      </c>
      <c r="I16" s="68">
        <v>-8012.6984126984125</v>
      </c>
      <c r="J16" s="67">
        <v>5.128205128205128E-2</v>
      </c>
      <c r="K16" s="67">
        <v>5.128205128205128E-2</v>
      </c>
      <c r="L16" s="67">
        <v>0.17948717948717949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0.30747126436781608</v>
      </c>
      <c r="G17" s="67">
        <v>0.19827586206896552</v>
      </c>
      <c r="H17" s="68">
        <v>7745.7943925233649</v>
      </c>
      <c r="I17" s="68">
        <v>-7981.159420289855</v>
      </c>
      <c r="J17" s="67">
        <v>4.7619047619047616E-2</v>
      </c>
      <c r="K17" s="67">
        <v>4.7619047619047616E-2</v>
      </c>
      <c r="L17" s="67">
        <v>0.16666666666666666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0.30913978494623656</v>
      </c>
      <c r="G18" s="67">
        <v>0.19623655913978494</v>
      </c>
      <c r="H18" s="68">
        <v>7733.913043478261</v>
      </c>
      <c r="I18" s="68">
        <v>-8193.1506849315065</v>
      </c>
      <c r="J18" s="67">
        <v>6.6666666666666666E-2</v>
      </c>
      <c r="K18" s="67">
        <v>6.6666666666666666E-2</v>
      </c>
      <c r="L18" s="67">
        <v>0.15555555555555556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0.30637254901960786</v>
      </c>
      <c r="G19" s="67">
        <v>0.18872549019607843</v>
      </c>
      <c r="H19" s="68">
        <v>7460.8</v>
      </c>
      <c r="I19" s="68">
        <v>-8110.3896103896104</v>
      </c>
      <c r="J19" s="67">
        <v>6.25E-2</v>
      </c>
      <c r="K19" s="67">
        <v>6.25E-2</v>
      </c>
      <c r="L19" s="67">
        <v>0.14583333333333334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0.30324074074074076</v>
      </c>
      <c r="G20" s="67">
        <v>0.18981481481481483</v>
      </c>
      <c r="H20" s="68">
        <v>7306.1068702290077</v>
      </c>
      <c r="I20" s="68">
        <v>-7880.4878048780483</v>
      </c>
      <c r="J20" s="67">
        <v>5.8823529411764705E-2</v>
      </c>
      <c r="K20" s="67">
        <v>5.8823529411764705E-2</v>
      </c>
      <c r="L20" s="67">
        <v>0.13725490196078433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0.30463576158940397</v>
      </c>
      <c r="G21" s="67">
        <v>0.19205298013245034</v>
      </c>
      <c r="H21" s="68">
        <v>7194.927536231884</v>
      </c>
      <c r="I21" s="68">
        <v>-7713.7931034482763</v>
      </c>
      <c r="J21" s="67">
        <v>5.5555555555555552E-2</v>
      </c>
      <c r="K21" s="67">
        <v>5.5555555555555552E-2</v>
      </c>
      <c r="L21" s="67">
        <v>0.12962962962962962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0.30398322851153042</v>
      </c>
      <c r="G22" s="67">
        <v>0.19077568134171907</v>
      </c>
      <c r="H22" s="68">
        <v>7286.2068965517237</v>
      </c>
      <c r="I22" s="68">
        <v>-7813.1868131868132</v>
      </c>
      <c r="J22" s="67">
        <v>5.2631578947368418E-2</v>
      </c>
      <c r="K22" s="67">
        <v>5.2631578947368418E-2</v>
      </c>
      <c r="L22" s="67">
        <v>0.12280701754385964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0.3057199211045365</v>
      </c>
      <c r="G23" s="67">
        <v>0.19132149901380671</v>
      </c>
      <c r="H23" s="68">
        <v>7353.5483870967746</v>
      </c>
      <c r="I23" s="68">
        <v>-7809.2783505154639</v>
      </c>
      <c r="J23" s="67">
        <v>0.05</v>
      </c>
      <c r="K23" s="67">
        <v>0.05</v>
      </c>
      <c r="L23" s="67">
        <v>0.13333333333333333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0.3054003724394786</v>
      </c>
      <c r="G24" s="67">
        <v>0.18808193668528864</v>
      </c>
      <c r="H24" s="68">
        <v>7249.3902439024387</v>
      </c>
      <c r="I24" s="68">
        <v>-7779.2079207920788</v>
      </c>
      <c r="J24" s="67">
        <v>4.7619047619047616E-2</v>
      </c>
      <c r="K24" s="67">
        <v>4.7619047619047616E-2</v>
      </c>
      <c r="L24" s="67">
        <v>0.12698412698412698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0.30335097001763667</v>
      </c>
      <c r="G25" s="67">
        <v>0.18518518518518517</v>
      </c>
      <c r="H25" s="68">
        <v>7134.3023255813951</v>
      </c>
      <c r="I25" s="68">
        <v>-7645.7142857142853</v>
      </c>
      <c r="J25" s="67">
        <v>4.5454545454545456E-2</v>
      </c>
      <c r="K25" s="67">
        <v>4.5454545454545456E-2</v>
      </c>
      <c r="L25" s="67">
        <v>0.12121212121212122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0.30528052805280526</v>
      </c>
      <c r="G26" s="67">
        <v>0.18976897689768976</v>
      </c>
      <c r="H26" s="68">
        <v>7338.9189189189192</v>
      </c>
      <c r="I26" s="68">
        <v>-7970.434782608696</v>
      </c>
      <c r="J26" s="67">
        <v>5.7971014492753624E-2</v>
      </c>
      <c r="K26" s="67">
        <v>5.7971014492753624E-2</v>
      </c>
      <c r="L26" s="67">
        <v>0.11594202898550725</v>
      </c>
      <c r="M26" s="67">
        <v>0.26909722222222221</v>
      </c>
      <c r="N26" s="67">
        <v>0.24131944444444445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0.30622009569377989</v>
      </c>
      <c r="G27" s="67">
        <v>0.19138755980861244</v>
      </c>
      <c r="H27" s="68">
        <v>7280.729166666667</v>
      </c>
      <c r="I27" s="68">
        <v>-7945.833333333333</v>
      </c>
      <c r="J27" s="67">
        <v>5.5555555555555552E-2</v>
      </c>
      <c r="K27" s="67">
        <v>5.5555555555555552E-2</v>
      </c>
      <c r="L27" s="67">
        <v>0.1111111111111111</v>
      </c>
      <c r="M27" s="67">
        <v>0.27303182579564489</v>
      </c>
      <c r="N27" s="67">
        <v>0.24120603015075376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0.30733944954128439</v>
      </c>
      <c r="G28" s="67">
        <v>0.19266055045871561</v>
      </c>
      <c r="H28" s="68">
        <v>7223.8805970149251</v>
      </c>
      <c r="I28" s="68">
        <v>-7849.2063492063489</v>
      </c>
      <c r="J28" s="67">
        <v>5.3333333333333337E-2</v>
      </c>
      <c r="K28" s="67">
        <v>5.3333333333333337E-2</v>
      </c>
      <c r="L28" s="67">
        <v>0.10666666666666667</v>
      </c>
      <c r="M28" s="67">
        <v>0.27083333333333331</v>
      </c>
      <c r="N28" s="67">
        <v>0.24038461538461539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0.30654761904761907</v>
      </c>
      <c r="G29" s="67">
        <v>0.19196428571428573</v>
      </c>
      <c r="H29" s="68">
        <v>7162.1359223300969</v>
      </c>
      <c r="I29" s="68">
        <v>-7766.666666666667</v>
      </c>
      <c r="J29" s="67">
        <v>5.128205128205128E-2</v>
      </c>
      <c r="K29" s="67">
        <v>5.128205128205128E-2</v>
      </c>
      <c r="L29" s="67">
        <v>0.10256410256410256</v>
      </c>
      <c r="M29" s="67">
        <v>0.26947040498442365</v>
      </c>
      <c r="N29" s="67">
        <v>0.23987538940809969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0.30724637681159422</v>
      </c>
      <c r="G30" s="67">
        <v>0.19130434782608696</v>
      </c>
      <c r="H30" s="68">
        <v>7124.5283018867922</v>
      </c>
      <c r="I30" s="68">
        <v>-7726.515151515152</v>
      </c>
      <c r="J30" s="67">
        <v>4.9382716049382713E-2</v>
      </c>
      <c r="K30" s="67">
        <v>4.9382716049382713E-2</v>
      </c>
      <c r="L30" s="67">
        <v>0.1111111111111111</v>
      </c>
      <c r="M30" s="67">
        <v>0.26818181818181819</v>
      </c>
      <c r="N30" s="67">
        <v>0.24242424242424243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0.30790960451977401</v>
      </c>
      <c r="G31" s="67">
        <v>0.19350282485875706</v>
      </c>
      <c r="H31" s="68">
        <v>7074.3119266055046</v>
      </c>
      <c r="I31" s="68">
        <v>-7647.445255474453</v>
      </c>
      <c r="J31" s="67">
        <v>4.7619047619047616E-2</v>
      </c>
      <c r="K31" s="67">
        <v>4.7619047619047616E-2</v>
      </c>
      <c r="L31" s="67">
        <v>0.10714285714285714</v>
      </c>
      <c r="M31" s="67">
        <v>0.26548672566371684</v>
      </c>
      <c r="N31" s="67">
        <v>0.24188790560471976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0.30843706777316737</v>
      </c>
      <c r="G32" s="67">
        <v>0.19363762102351315</v>
      </c>
      <c r="H32" s="68">
        <v>7152.9147982062777</v>
      </c>
      <c r="I32" s="68">
        <v>-7749.2857142857147</v>
      </c>
      <c r="J32" s="67">
        <v>5.7471264367816091E-2</v>
      </c>
      <c r="K32" s="67">
        <v>5.7471264367816091E-2</v>
      </c>
      <c r="L32" s="67">
        <v>0.10344827586206896</v>
      </c>
      <c r="M32" s="67">
        <v>0.26695526695526695</v>
      </c>
      <c r="N32" s="67">
        <v>0.24242424242424243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0.30522088353413657</v>
      </c>
      <c r="G33" s="67">
        <v>0.19277108433734941</v>
      </c>
      <c r="H33" s="68">
        <v>7164.9122807017548</v>
      </c>
      <c r="I33" s="68">
        <v>-7745.833333333333</v>
      </c>
      <c r="J33" s="67">
        <v>5.5555555555555552E-2</v>
      </c>
      <c r="K33" s="67">
        <v>5.5555555555555552E-2</v>
      </c>
      <c r="L33" s="67">
        <v>0.1111111111111111</v>
      </c>
      <c r="M33" s="67">
        <v>0.26778242677824265</v>
      </c>
      <c r="N33" s="67">
        <v>0.2384937238493724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0.30220492866407261</v>
      </c>
      <c r="G34" s="67">
        <v>0.191958495460441</v>
      </c>
      <c r="H34" s="68">
        <v>7176.394849785408</v>
      </c>
      <c r="I34" s="68">
        <v>-7742.5675675675675</v>
      </c>
      <c r="J34" s="67">
        <v>5.3763440860215055E-2</v>
      </c>
      <c r="K34" s="67">
        <v>5.3763440860215055E-2</v>
      </c>
      <c r="L34" s="67">
        <v>0.11827956989247312</v>
      </c>
      <c r="M34" s="67">
        <v>0.26855600539811064</v>
      </c>
      <c r="N34" s="67">
        <v>0.23481781376518218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0.30348258706467662</v>
      </c>
      <c r="G35" s="67">
        <v>0.1927860696517413</v>
      </c>
      <c r="H35" s="68">
        <v>7275.4098360655735</v>
      </c>
      <c r="I35" s="68">
        <v>-7873.5483870967746</v>
      </c>
      <c r="J35" s="67">
        <v>5.2083333333333336E-2</v>
      </c>
      <c r="K35" s="67">
        <v>5.2083333333333336E-2</v>
      </c>
      <c r="L35" s="67">
        <v>0.125</v>
      </c>
      <c r="M35" s="67">
        <v>0.27648578811369506</v>
      </c>
      <c r="N35" s="67">
        <v>0.23255813953488372</v>
      </c>
      <c r="O35" s="67">
        <v>0.56542056074766356</v>
      </c>
      <c r="P35" s="67">
        <v>0.39444444444444443</v>
      </c>
      <c r="Q35" s="67">
        <v>0.36065573770491804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16</vt:i4>
      </vt:variant>
    </vt:vector>
  </HeadingPairs>
  <TitlesOfParts>
    <vt:vector size="41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2019-04-07T07:50:12Z</dcterms:modified>
</cp:coreProperties>
</file>