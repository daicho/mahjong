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91CDAA7F-AA41-4EC0-9CC1-7076E775630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85" r:id="rId6"/>
    <sheet name="だいち" sheetId="5087" r:id="rId7"/>
    <sheet name="りくと" sheetId="5089" r:id="rId8"/>
    <sheet name="ただ" sheetId="5091" r:id="rId9"/>
    <sheet name="れんたろう" sheetId="5093" r:id="rId10"/>
    <sheet name="たかの" sheetId="5095" r:id="rId11"/>
    <sheet name="ぱぱ" sheetId="5097" r:id="rId12"/>
    <sheet name="まっつん" sheetId="5099" r:id="rId13"/>
    <sheet name="あさひ" sheetId="5101" r:id="rId14"/>
    <sheet name="いっしー" sheetId="5103" r:id="rId15"/>
    <sheet name="ほたに" sheetId="5105" r:id="rId16"/>
    <sheet name="ほたに2" sheetId="5106" state="hidden" r:id="rId17"/>
    <sheet name="いっしー2" sheetId="5104" state="hidden" r:id="rId18"/>
    <sheet name="あさひ2" sheetId="5102" state="hidden" r:id="rId19"/>
    <sheet name="まっつん2" sheetId="5100" state="hidden" r:id="rId20"/>
    <sheet name="ぱぱ2" sheetId="5098" state="hidden" r:id="rId21"/>
    <sheet name="たかの2" sheetId="5096" state="hidden" r:id="rId22"/>
    <sheet name="れんたろう2" sheetId="5094" state="hidden" r:id="rId23"/>
    <sheet name="ただ2" sheetId="5092" state="hidden" r:id="rId24"/>
    <sheet name="りくと2" sheetId="5090" state="hidden" r:id="rId25"/>
    <sheet name="だいち2" sheetId="5088" state="hidden" r:id="rId26"/>
    <sheet name="全体2" sheetId="508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0" i="5105" l="1"/>
  <c r="O19" i="5105"/>
  <c r="O15" i="5099"/>
  <c r="O16" i="5089"/>
  <c r="O21" i="5087" l="1"/>
  <c r="O18" i="5105"/>
  <c r="O21" i="5097"/>
  <c r="O16" i="5105"/>
  <c r="O15" i="5105" l="1"/>
  <c r="O17" i="5105"/>
  <c r="C27" i="5105"/>
  <c r="B24" i="5105"/>
  <c r="C20" i="5105"/>
  <c r="B17" i="5105"/>
  <c r="H8" i="5105" s="1"/>
  <c r="C16" i="5105"/>
  <c r="C15" i="5105"/>
  <c r="C14" i="5105"/>
  <c r="C13" i="5105"/>
  <c r="O12" i="5105"/>
  <c r="C12" i="5105"/>
  <c r="O11" i="5105"/>
  <c r="C11" i="5105"/>
  <c r="O10" i="5105"/>
  <c r="C10" i="5105"/>
  <c r="C9" i="5105"/>
  <c r="C8" i="5105"/>
  <c r="O7" i="5105"/>
  <c r="C7" i="5105"/>
  <c r="O6" i="5105"/>
  <c r="B6" i="5105"/>
  <c r="O5" i="5105"/>
  <c r="B5" i="5105"/>
  <c r="O4" i="5105"/>
  <c r="O3" i="5105"/>
  <c r="O2" i="5105"/>
  <c r="O22" i="5093"/>
  <c r="O16" i="5095"/>
  <c r="O19" i="5085"/>
  <c r="H3" i="5105" l="1"/>
  <c r="H13" i="5105"/>
  <c r="H37" i="5105"/>
  <c r="H4" i="5105"/>
  <c r="H15" i="5105"/>
  <c r="H27" i="5105"/>
  <c r="H18" i="5105"/>
  <c r="C18" i="5105"/>
  <c r="H2" i="5105"/>
  <c r="H5" i="5105"/>
  <c r="H9" i="5105"/>
  <c r="H41" i="5105"/>
  <c r="B23" i="5105"/>
  <c r="H29" i="5105"/>
  <c r="H45" i="5105"/>
  <c r="C17" i="5105"/>
  <c r="H33" i="5105"/>
  <c r="H49" i="5105"/>
  <c r="H23" i="5105"/>
  <c r="H28" i="5105"/>
  <c r="H34" i="5105"/>
  <c r="H46" i="5105"/>
  <c r="H17" i="5105"/>
  <c r="H19" i="5105"/>
  <c r="C19" i="5105"/>
  <c r="H24" i="5105"/>
  <c r="H31" i="5105"/>
  <c r="H35" i="5105"/>
  <c r="H39" i="5105"/>
  <c r="H43" i="5105"/>
  <c r="H47" i="5105"/>
  <c r="H51" i="5105"/>
  <c r="H21" i="5105"/>
  <c r="H26" i="5105"/>
  <c r="H30" i="5105"/>
  <c r="H38" i="5105"/>
  <c r="H42" i="5105"/>
  <c r="H50" i="5105"/>
  <c r="H7" i="5105"/>
  <c r="H11" i="5105"/>
  <c r="H6" i="5105"/>
  <c r="H14" i="5105"/>
  <c r="H16" i="5105"/>
  <c r="H20" i="5105"/>
  <c r="H22" i="5105"/>
  <c r="H25" i="5105"/>
  <c r="H12" i="5105"/>
  <c r="H10" i="5105"/>
  <c r="H32" i="5105"/>
  <c r="H36" i="5105"/>
  <c r="H40" i="5105"/>
  <c r="H44" i="5105"/>
  <c r="H48" i="5105"/>
  <c r="O20" i="5095" l="1"/>
  <c r="O15" i="5091"/>
  <c r="O19" i="5099"/>
  <c r="O22" i="5099"/>
  <c r="O19" i="5087" l="1"/>
  <c r="O17" i="5103"/>
  <c r="O16" i="5103" l="1"/>
  <c r="O15" i="5103"/>
  <c r="O16" i="5093"/>
  <c r="O20" i="5091"/>
  <c r="O17" i="5101" l="1"/>
  <c r="O22" i="5097"/>
  <c r="O15" i="5101"/>
  <c r="O20" i="5103"/>
  <c r="O15" i="5089"/>
  <c r="O16" i="5099"/>
  <c r="O16" i="5085"/>
  <c r="O18" i="5103"/>
  <c r="O19" i="5103"/>
  <c r="C27" i="5103"/>
  <c r="B24" i="5103"/>
  <c r="C20" i="5103"/>
  <c r="B17" i="5103"/>
  <c r="H7" i="5103" s="1"/>
  <c r="C16" i="5103"/>
  <c r="C15" i="5103"/>
  <c r="C14" i="5103"/>
  <c r="C13" i="5103"/>
  <c r="O12" i="5103"/>
  <c r="C12" i="5103"/>
  <c r="O11" i="5103"/>
  <c r="C11" i="5103"/>
  <c r="O10" i="5103"/>
  <c r="C10" i="5103"/>
  <c r="C9" i="5103"/>
  <c r="C8" i="5103"/>
  <c r="O7" i="5103"/>
  <c r="C7" i="5103"/>
  <c r="O6" i="5103"/>
  <c r="B6" i="5103"/>
  <c r="O5" i="5103"/>
  <c r="B5" i="5103"/>
  <c r="O4" i="5103"/>
  <c r="O3" i="5103"/>
  <c r="O2" i="5103"/>
  <c r="O16" i="5101"/>
  <c r="O18" i="5101"/>
  <c r="C27" i="5101"/>
  <c r="B24" i="5101"/>
  <c r="C20" i="5101"/>
  <c r="B17" i="5101"/>
  <c r="H50" i="5101" s="1"/>
  <c r="C16" i="5101"/>
  <c r="C15" i="5101"/>
  <c r="C14" i="5101"/>
  <c r="C13" i="5101"/>
  <c r="O12" i="5101"/>
  <c r="C12" i="5101"/>
  <c r="O11" i="5101"/>
  <c r="C11" i="5101"/>
  <c r="O10" i="5101"/>
  <c r="C10" i="5101"/>
  <c r="C9" i="5101"/>
  <c r="C8" i="5101"/>
  <c r="O7" i="5101"/>
  <c r="C7" i="5101"/>
  <c r="O6" i="5101"/>
  <c r="B6" i="5101"/>
  <c r="O5" i="5101"/>
  <c r="H5" i="5101"/>
  <c r="B5" i="5101"/>
  <c r="O4" i="5101"/>
  <c r="O3" i="5101"/>
  <c r="O2" i="5101"/>
  <c r="O21" i="5099"/>
  <c r="O23" i="5099"/>
  <c r="O15" i="5087"/>
  <c r="O17" i="5087"/>
  <c r="O24" i="5085"/>
  <c r="H9" i="5103" l="1"/>
  <c r="H4" i="5103"/>
  <c r="H3" i="5103"/>
  <c r="H10" i="5101"/>
  <c r="H15" i="5101"/>
  <c r="H17" i="5101"/>
  <c r="H24" i="5101"/>
  <c r="H6" i="5101"/>
  <c r="H39" i="5101"/>
  <c r="H49" i="5101"/>
  <c r="H12" i="5101"/>
  <c r="H8" i="5101"/>
  <c r="H14" i="5101"/>
  <c r="H20" i="5101"/>
  <c r="H29" i="5101"/>
  <c r="H40" i="5101"/>
  <c r="H13" i="5101"/>
  <c r="H4" i="5101"/>
  <c r="C18" i="5101"/>
  <c r="H11" i="5101"/>
  <c r="H33" i="5101"/>
  <c r="H44" i="5101"/>
  <c r="H2" i="5101"/>
  <c r="H3" i="5101"/>
  <c r="H19" i="5101"/>
  <c r="H35" i="5101"/>
  <c r="H45" i="5101"/>
  <c r="C19" i="5101"/>
  <c r="H25" i="5101"/>
  <c r="H27" i="5101"/>
  <c r="H31" i="5101"/>
  <c r="H36" i="5101"/>
  <c r="H41" i="5101"/>
  <c r="H7" i="5101"/>
  <c r="H9" i="5101"/>
  <c r="H16" i="5101"/>
  <c r="H18" i="5101"/>
  <c r="C17" i="5101"/>
  <c r="H22" i="5101"/>
  <c r="B23" i="5101"/>
  <c r="H32" i="5101"/>
  <c r="H37" i="5101"/>
  <c r="H43" i="5101"/>
  <c r="H48" i="5101"/>
  <c r="H51" i="5101"/>
  <c r="H47" i="5101"/>
  <c r="H16" i="5103"/>
  <c r="H2" i="5103"/>
  <c r="H8" i="5103"/>
  <c r="H11" i="5103"/>
  <c r="H27" i="5103"/>
  <c r="H37" i="5103"/>
  <c r="H13" i="5103"/>
  <c r="H20" i="5103"/>
  <c r="C17" i="5103"/>
  <c r="H10" i="5103"/>
  <c r="H41" i="5103"/>
  <c r="H5" i="5103"/>
  <c r="H17" i="5103"/>
  <c r="H18" i="5103"/>
  <c r="C18" i="5103"/>
  <c r="B23" i="5103"/>
  <c r="H29" i="5103"/>
  <c r="H45" i="5103"/>
  <c r="H12" i="5103"/>
  <c r="H19" i="5103"/>
  <c r="H21" i="5103"/>
  <c r="C19" i="5103"/>
  <c r="H33" i="5103"/>
  <c r="H49" i="5103"/>
  <c r="H22" i="5103"/>
  <c r="H23" i="5103"/>
  <c r="H25" i="5103"/>
  <c r="H28" i="5103"/>
  <c r="H30" i="5103"/>
  <c r="H34" i="5103"/>
  <c r="H38" i="5103"/>
  <c r="H42" i="5103"/>
  <c r="H46" i="5103"/>
  <c r="H50" i="5103"/>
  <c r="H31" i="5103"/>
  <c r="H35" i="5103"/>
  <c r="H39" i="5103"/>
  <c r="H43" i="5103"/>
  <c r="H47" i="5103"/>
  <c r="H51" i="5103"/>
  <c r="H14" i="5103"/>
  <c r="H15" i="5103"/>
  <c r="H24" i="5103"/>
  <c r="H26" i="5103"/>
  <c r="H6" i="5103"/>
  <c r="H32" i="5103"/>
  <c r="H36" i="5103"/>
  <c r="H40" i="5103"/>
  <c r="H44" i="5103"/>
  <c r="H48" i="5103"/>
  <c r="H21" i="5101"/>
  <c r="H23" i="5101"/>
  <c r="H26" i="5101"/>
  <c r="H28" i="5101"/>
  <c r="H30" i="5101"/>
  <c r="H34" i="5101"/>
  <c r="H38" i="5101"/>
  <c r="H42" i="5101"/>
  <c r="H46" i="5101"/>
  <c r="O17" i="5099" l="1"/>
  <c r="O19" i="5097"/>
  <c r="O16" i="5097"/>
  <c r="O21" i="5089"/>
  <c r="O17" i="5095" l="1"/>
  <c r="O17" i="5093"/>
  <c r="O18" i="5097"/>
  <c r="O17" i="5097"/>
  <c r="O15" i="5095" l="1"/>
  <c r="O15" i="5093"/>
  <c r="O21" i="5091"/>
  <c r="O18" i="5091"/>
  <c r="O18" i="5099"/>
  <c r="O20" i="5099"/>
  <c r="C27" i="5099"/>
  <c r="B24" i="5099"/>
  <c r="C20" i="5099"/>
  <c r="B17" i="5099"/>
  <c r="H50" i="5099" s="1"/>
  <c r="C16" i="5099"/>
  <c r="C15" i="5099"/>
  <c r="C14" i="5099"/>
  <c r="C13" i="5099"/>
  <c r="O12" i="5099"/>
  <c r="C12" i="5099"/>
  <c r="O11" i="5099"/>
  <c r="C11" i="5099"/>
  <c r="O10" i="5099"/>
  <c r="C10" i="5099"/>
  <c r="C9" i="5099"/>
  <c r="C8" i="5099"/>
  <c r="O7" i="5099"/>
  <c r="C7" i="5099"/>
  <c r="O6" i="5099"/>
  <c r="B6" i="5099"/>
  <c r="O5" i="5099"/>
  <c r="B5" i="5099"/>
  <c r="O4" i="5099"/>
  <c r="O3" i="5099"/>
  <c r="O2" i="5099"/>
  <c r="O20" i="5093"/>
  <c r="O19" i="5089"/>
  <c r="O17" i="5085"/>
  <c r="H8" i="5099" l="1"/>
  <c r="H4" i="5099"/>
  <c r="H3" i="5099"/>
  <c r="H14" i="5099"/>
  <c r="H10" i="5099"/>
  <c r="H7" i="5099"/>
  <c r="C17" i="5099"/>
  <c r="H6" i="5099"/>
  <c r="H2" i="5099"/>
  <c r="H22" i="5099"/>
  <c r="H17" i="5099"/>
  <c r="H13" i="5099"/>
  <c r="H31" i="5099"/>
  <c r="H39" i="5099"/>
  <c r="H47" i="5099"/>
  <c r="H15" i="5099"/>
  <c r="H16" i="5099"/>
  <c r="H23" i="5099"/>
  <c r="H27" i="5099"/>
  <c r="H32" i="5099"/>
  <c r="H40" i="5099"/>
  <c r="H48" i="5099"/>
  <c r="H20" i="5099"/>
  <c r="H21" i="5099"/>
  <c r="H18" i="5099"/>
  <c r="C18" i="5099"/>
  <c r="H11" i="5099"/>
  <c r="H35" i="5099"/>
  <c r="H43" i="5099"/>
  <c r="H51" i="5099"/>
  <c r="C19" i="5099"/>
  <c r="H26" i="5099"/>
  <c r="H9" i="5099"/>
  <c r="H36" i="5099"/>
  <c r="H44" i="5099"/>
  <c r="H5" i="5099"/>
  <c r="B23" i="5099"/>
  <c r="H28" i="5099"/>
  <c r="H30" i="5099"/>
  <c r="H33" i="5099"/>
  <c r="H37" i="5099"/>
  <c r="H41" i="5099"/>
  <c r="H45" i="5099"/>
  <c r="H49" i="5099"/>
  <c r="H24" i="5099"/>
  <c r="H25" i="5099"/>
  <c r="H19" i="5099"/>
  <c r="H29" i="5099"/>
  <c r="H12" i="5099"/>
  <c r="H34" i="5099"/>
  <c r="H38" i="5099"/>
  <c r="H42" i="5099"/>
  <c r="H46" i="5099"/>
  <c r="O17" i="5091" l="1"/>
  <c r="O20" i="5097"/>
  <c r="O15" i="5097"/>
  <c r="C27" i="5097"/>
  <c r="B24" i="5097"/>
  <c r="C20" i="5097"/>
  <c r="B17" i="5097"/>
  <c r="H19" i="5097" s="1"/>
  <c r="C16" i="5097"/>
  <c r="C15" i="5097"/>
  <c r="C14" i="5097"/>
  <c r="C13" i="5097"/>
  <c r="O12" i="5097"/>
  <c r="C12" i="5097"/>
  <c r="O11" i="5097"/>
  <c r="C11" i="5097"/>
  <c r="O10" i="5097"/>
  <c r="C10" i="5097"/>
  <c r="C9" i="5097"/>
  <c r="C8" i="5097"/>
  <c r="O7" i="5097"/>
  <c r="C7" i="5097"/>
  <c r="O6" i="5097"/>
  <c r="B6" i="5097"/>
  <c r="O5" i="5097"/>
  <c r="B5" i="5097"/>
  <c r="O4" i="5097"/>
  <c r="O3" i="5097"/>
  <c r="O2" i="5097"/>
  <c r="O18" i="5087"/>
  <c r="O18" i="5085"/>
  <c r="O19" i="5095"/>
  <c r="O20" i="5089"/>
  <c r="O17" i="5089"/>
  <c r="O19" i="5093"/>
  <c r="O18" i="5095"/>
  <c r="O21" i="5095"/>
  <c r="C27" i="5095"/>
  <c r="B24" i="5095"/>
  <c r="C20" i="5095"/>
  <c r="B17" i="5095"/>
  <c r="H4" i="5095" s="1"/>
  <c r="C16" i="5095"/>
  <c r="C15" i="5095"/>
  <c r="C14" i="5095"/>
  <c r="C13" i="5095"/>
  <c r="O12" i="5095"/>
  <c r="C12" i="5095"/>
  <c r="O11" i="5095"/>
  <c r="C11" i="5095"/>
  <c r="O10" i="5095"/>
  <c r="C10" i="5095"/>
  <c r="C9" i="5095"/>
  <c r="C8" i="5095"/>
  <c r="O7" i="5095"/>
  <c r="C7" i="5095"/>
  <c r="O6" i="5095"/>
  <c r="B6" i="5095"/>
  <c r="O5" i="5095"/>
  <c r="B5" i="5095"/>
  <c r="O4" i="5095"/>
  <c r="O3" i="5095"/>
  <c r="O2" i="5095"/>
  <c r="O21" i="5093"/>
  <c r="O18" i="5093"/>
  <c r="C27" i="5093"/>
  <c r="B24" i="5093"/>
  <c r="C20" i="5093"/>
  <c r="B17" i="5093"/>
  <c r="H5" i="5093" s="1"/>
  <c r="C16" i="5093"/>
  <c r="C15" i="5093"/>
  <c r="C14" i="5093"/>
  <c r="C13" i="5093"/>
  <c r="O12" i="5093"/>
  <c r="C12" i="5093"/>
  <c r="O11" i="5093"/>
  <c r="C11" i="5093"/>
  <c r="O10" i="5093"/>
  <c r="C10" i="5093"/>
  <c r="C9" i="5093"/>
  <c r="C8" i="5093"/>
  <c r="O7" i="5093"/>
  <c r="C7" i="5093"/>
  <c r="O6" i="5093"/>
  <c r="B6" i="5093"/>
  <c r="O5" i="5093"/>
  <c r="B5" i="5093"/>
  <c r="O4" i="5093"/>
  <c r="O3" i="5093"/>
  <c r="O2" i="5093"/>
  <c r="O20" i="5087"/>
  <c r="O23" i="5087"/>
  <c r="O21" i="5085"/>
  <c r="O22" i="5085"/>
  <c r="H5" i="5097" l="1"/>
  <c r="H5" i="5095"/>
  <c r="H2" i="5093"/>
  <c r="H3" i="5093"/>
  <c r="C17" i="5093"/>
  <c r="H11" i="5097"/>
  <c r="H9" i="5097"/>
  <c r="H3" i="5097"/>
  <c r="C17" i="5097"/>
  <c r="H20" i="5097"/>
  <c r="H4" i="5097"/>
  <c r="H2" i="5097"/>
  <c r="H12" i="5097"/>
  <c r="H16" i="5097"/>
  <c r="H25" i="5097"/>
  <c r="H27" i="5097"/>
  <c r="H13" i="5097"/>
  <c r="H8" i="5097"/>
  <c r="H33" i="5097"/>
  <c r="H37" i="5097"/>
  <c r="H41" i="5097"/>
  <c r="H45" i="5097"/>
  <c r="H49" i="5097"/>
  <c r="H6" i="5097"/>
  <c r="H7" i="5097"/>
  <c r="H14" i="5097"/>
  <c r="H22" i="5097"/>
  <c r="H15" i="5097"/>
  <c r="C18" i="5097"/>
  <c r="B23" i="5097"/>
  <c r="H29" i="5097"/>
  <c r="H31" i="5097"/>
  <c r="H34" i="5097"/>
  <c r="H38" i="5097"/>
  <c r="H42" i="5097"/>
  <c r="H46" i="5097"/>
  <c r="H50" i="5097"/>
  <c r="H24" i="5097"/>
  <c r="H26" i="5097"/>
  <c r="H28" i="5097"/>
  <c r="H30" i="5097"/>
  <c r="H18" i="5097"/>
  <c r="H35" i="5097"/>
  <c r="H39" i="5097"/>
  <c r="H43" i="5097"/>
  <c r="H47" i="5097"/>
  <c r="H51" i="5097"/>
  <c r="H10" i="5097"/>
  <c r="H21" i="5097"/>
  <c r="H23" i="5097"/>
  <c r="C19" i="5097"/>
  <c r="H17" i="5097"/>
  <c r="H32" i="5097"/>
  <c r="H36" i="5097"/>
  <c r="H40" i="5097"/>
  <c r="H44" i="5097"/>
  <c r="H48" i="5097"/>
  <c r="H3" i="5095"/>
  <c r="H22" i="5095"/>
  <c r="H7" i="5095"/>
  <c r="H2" i="5095"/>
  <c r="H16" i="5095"/>
  <c r="H10" i="5095"/>
  <c r="C17" i="5095"/>
  <c r="H33" i="5095"/>
  <c r="H11" i="5093"/>
  <c r="H4" i="5093"/>
  <c r="H19" i="5095"/>
  <c r="C18" i="5095"/>
  <c r="H28" i="5095"/>
  <c r="H37" i="5095"/>
  <c r="H41" i="5095"/>
  <c r="B23" i="5095"/>
  <c r="H30" i="5095"/>
  <c r="H45" i="5095"/>
  <c r="H49" i="5095"/>
  <c r="H24" i="5095"/>
  <c r="H29" i="5095"/>
  <c r="H50" i="5095"/>
  <c r="H8" i="5095"/>
  <c r="H21" i="5095"/>
  <c r="H23" i="5095"/>
  <c r="C19" i="5095"/>
  <c r="H14" i="5095"/>
  <c r="H31" i="5095"/>
  <c r="H35" i="5095"/>
  <c r="H39" i="5095"/>
  <c r="H43" i="5095"/>
  <c r="H47" i="5095"/>
  <c r="H51" i="5095"/>
  <c r="H25" i="5095"/>
  <c r="H27" i="5095"/>
  <c r="H18" i="5095"/>
  <c r="H34" i="5095"/>
  <c r="H38" i="5095"/>
  <c r="H42" i="5095"/>
  <c r="H46" i="5095"/>
  <c r="H9" i="5095"/>
  <c r="H6" i="5095"/>
  <c r="H13" i="5095"/>
  <c r="H20" i="5095"/>
  <c r="H17" i="5095"/>
  <c r="H15" i="5095"/>
  <c r="H26" i="5095"/>
  <c r="H12" i="5095"/>
  <c r="H11" i="5095"/>
  <c r="H32" i="5095"/>
  <c r="H36" i="5095"/>
  <c r="H40" i="5095"/>
  <c r="H44" i="5095"/>
  <c r="H48" i="5095"/>
  <c r="H27" i="5093"/>
  <c r="H32" i="5093"/>
  <c r="H39" i="5093"/>
  <c r="H47" i="5093"/>
  <c r="H6" i="5093"/>
  <c r="H21" i="5093"/>
  <c r="H23" i="5093"/>
  <c r="H16" i="5093"/>
  <c r="C18" i="5093"/>
  <c r="B23" i="5093"/>
  <c r="H20" i="5093"/>
  <c r="H31" i="5093"/>
  <c r="H34" i="5093"/>
  <c r="H38" i="5093"/>
  <c r="H42" i="5093"/>
  <c r="H46" i="5093"/>
  <c r="H50" i="5093"/>
  <c r="H26" i="5093"/>
  <c r="H29" i="5093"/>
  <c r="H35" i="5093"/>
  <c r="H51" i="5093"/>
  <c r="H8" i="5093"/>
  <c r="H17" i="5093"/>
  <c r="H24" i="5093"/>
  <c r="C19" i="5093"/>
  <c r="H14" i="5093"/>
  <c r="H18" i="5093"/>
  <c r="H36" i="5093"/>
  <c r="H40" i="5093"/>
  <c r="H44" i="5093"/>
  <c r="H48" i="5093"/>
  <c r="H19" i="5093"/>
  <c r="H30" i="5093"/>
  <c r="H43" i="5093"/>
  <c r="H10" i="5093"/>
  <c r="H7" i="5093"/>
  <c r="H13" i="5093"/>
  <c r="H22" i="5093"/>
  <c r="H25" i="5093"/>
  <c r="H15" i="5093"/>
  <c r="H28" i="5093"/>
  <c r="H12" i="5093"/>
  <c r="H9" i="5093"/>
  <c r="H33" i="5093"/>
  <c r="H37" i="5093"/>
  <c r="H41" i="5093"/>
  <c r="H45" i="5093"/>
  <c r="H49" i="5093"/>
  <c r="O16" i="5091" l="1"/>
  <c r="O19" i="5091"/>
  <c r="C27" i="5091"/>
  <c r="B24" i="5091"/>
  <c r="C20" i="5091"/>
  <c r="B17" i="5091"/>
  <c r="H5" i="5091" s="1"/>
  <c r="C16" i="5091"/>
  <c r="C15" i="5091"/>
  <c r="C14" i="5091"/>
  <c r="C13" i="5091"/>
  <c r="O12" i="5091"/>
  <c r="C12" i="5091"/>
  <c r="O11" i="5091"/>
  <c r="C11" i="5091"/>
  <c r="O10" i="5091"/>
  <c r="C10" i="5091"/>
  <c r="C9" i="5091"/>
  <c r="C8" i="5091"/>
  <c r="O7" i="5091"/>
  <c r="C7" i="5091"/>
  <c r="O6" i="5091"/>
  <c r="B6" i="5091"/>
  <c r="O5" i="5091"/>
  <c r="B5" i="5091"/>
  <c r="O4" i="5091"/>
  <c r="O3" i="5091"/>
  <c r="O2" i="5091"/>
  <c r="O22" i="5089"/>
  <c r="O18" i="5089"/>
  <c r="C27" i="5089"/>
  <c r="B24" i="5089"/>
  <c r="C20" i="5089"/>
  <c r="B17" i="5089"/>
  <c r="H5" i="5089" s="1"/>
  <c r="C16" i="5089"/>
  <c r="C15" i="5089"/>
  <c r="C14" i="5089"/>
  <c r="C13" i="5089"/>
  <c r="O12" i="5089"/>
  <c r="C12" i="5089"/>
  <c r="O11" i="5089"/>
  <c r="C11" i="5089"/>
  <c r="O10" i="5089"/>
  <c r="C10" i="5089"/>
  <c r="C9" i="5089"/>
  <c r="C8" i="5089"/>
  <c r="O7" i="5089"/>
  <c r="C7" i="5089"/>
  <c r="O6" i="5089"/>
  <c r="B6" i="5089"/>
  <c r="O5" i="5089"/>
  <c r="B5" i="5089"/>
  <c r="O4" i="5089"/>
  <c r="O3" i="5089"/>
  <c r="O2" i="5089"/>
  <c r="O23" i="5085"/>
  <c r="O16" i="5087"/>
  <c r="O22" i="5087"/>
  <c r="C27" i="5087"/>
  <c r="B24" i="5087"/>
  <c r="C20" i="5087"/>
  <c r="B17" i="5087"/>
  <c r="H5" i="5087" s="1"/>
  <c r="C16" i="5087"/>
  <c r="C15" i="5087"/>
  <c r="C14" i="5087"/>
  <c r="C13" i="5087"/>
  <c r="O12" i="5087"/>
  <c r="C12" i="5087"/>
  <c r="O11" i="5087"/>
  <c r="C11" i="5087"/>
  <c r="O10" i="5087"/>
  <c r="C10" i="5087"/>
  <c r="C9" i="5087"/>
  <c r="C8" i="5087"/>
  <c r="O7" i="5087"/>
  <c r="C7" i="5087"/>
  <c r="O6" i="5087"/>
  <c r="B6" i="5087"/>
  <c r="O5" i="5087"/>
  <c r="B5" i="5087"/>
  <c r="O4" i="5087"/>
  <c r="O3" i="5087"/>
  <c r="O2" i="5087"/>
  <c r="O15" i="5085"/>
  <c r="O20" i="5085"/>
  <c r="C27" i="5085"/>
  <c r="B24" i="5085"/>
  <c r="C20" i="5085"/>
  <c r="B17" i="5085"/>
  <c r="H18" i="5085" s="1"/>
  <c r="C16" i="5085"/>
  <c r="C15" i="5085"/>
  <c r="C14" i="5085"/>
  <c r="C13" i="5085"/>
  <c r="O12" i="5085"/>
  <c r="C12" i="5085"/>
  <c r="O11" i="5085"/>
  <c r="C11" i="5085"/>
  <c r="O10" i="5085"/>
  <c r="C10" i="5085"/>
  <c r="C9" i="5085"/>
  <c r="C8" i="5085"/>
  <c r="O7" i="5085"/>
  <c r="C7" i="5085"/>
  <c r="O6" i="5085"/>
  <c r="B6" i="5085"/>
  <c r="O5" i="5085"/>
  <c r="B5" i="5085"/>
  <c r="O4" i="5085"/>
  <c r="O3" i="5085"/>
  <c r="O2" i="5085"/>
  <c r="H2" i="5089" l="1"/>
  <c r="H8" i="5089"/>
  <c r="H7" i="5089"/>
  <c r="H3" i="5089"/>
  <c r="H9" i="5089"/>
  <c r="H24" i="5091"/>
  <c r="H12" i="5089"/>
  <c r="H29" i="5089"/>
  <c r="C17" i="5089"/>
  <c r="H6" i="5089"/>
  <c r="H22" i="5089"/>
  <c r="H10" i="5089"/>
  <c r="H4" i="5089"/>
  <c r="H20" i="5089"/>
  <c r="B23" i="5089"/>
  <c r="H6" i="5091"/>
  <c r="H8" i="5091"/>
  <c r="H23" i="5089"/>
  <c r="H12" i="5091"/>
  <c r="H4" i="5091"/>
  <c r="H10" i="5091"/>
  <c r="C17" i="5091"/>
  <c r="H29" i="5091"/>
  <c r="H14" i="5091"/>
  <c r="H16" i="5091"/>
  <c r="H3" i="5091"/>
  <c r="H2" i="5091"/>
  <c r="H9" i="5091"/>
  <c r="H7" i="5091"/>
  <c r="H25" i="5091"/>
  <c r="H17" i="5091"/>
  <c r="H13" i="5091"/>
  <c r="H23" i="5091"/>
  <c r="H26" i="5091"/>
  <c r="H15" i="5091"/>
  <c r="C18" i="5091"/>
  <c r="B23" i="5091"/>
  <c r="H19" i="5091"/>
  <c r="H31" i="5091"/>
  <c r="H33" i="5091"/>
  <c r="H37" i="5091"/>
  <c r="H41" i="5091"/>
  <c r="H45" i="5091"/>
  <c r="H49" i="5091"/>
  <c r="H27" i="5091"/>
  <c r="H28" i="5091"/>
  <c r="H30" i="5091"/>
  <c r="H20" i="5091"/>
  <c r="H21" i="5091"/>
  <c r="H34" i="5091"/>
  <c r="H38" i="5091"/>
  <c r="H42" i="5091"/>
  <c r="H46" i="5091"/>
  <c r="H50" i="5091"/>
  <c r="C19" i="5091"/>
  <c r="H18" i="5091"/>
  <c r="H32" i="5091"/>
  <c r="H35" i="5091"/>
  <c r="H39" i="5091"/>
  <c r="H43" i="5091"/>
  <c r="H47" i="5091"/>
  <c r="H51" i="5091"/>
  <c r="H11" i="5091"/>
  <c r="H22" i="5091"/>
  <c r="H36" i="5091"/>
  <c r="H40" i="5091"/>
  <c r="H44" i="5091"/>
  <c r="H48" i="5091"/>
  <c r="H19" i="5089"/>
  <c r="C18" i="5089"/>
  <c r="H21" i="5089"/>
  <c r="C19" i="5089"/>
  <c r="H26" i="5089"/>
  <c r="H34" i="5089"/>
  <c r="H38" i="5089"/>
  <c r="H42" i="5089"/>
  <c r="H33" i="5089"/>
  <c r="H35" i="5089"/>
  <c r="H46" i="5089"/>
  <c r="H15" i="5089"/>
  <c r="H36" i="5089"/>
  <c r="H50" i="5089"/>
  <c r="H30" i="5089"/>
  <c r="H31" i="5089"/>
  <c r="H32" i="5089"/>
  <c r="H25" i="5089"/>
  <c r="H16" i="5089"/>
  <c r="H28" i="5089"/>
  <c r="H39" i="5089"/>
  <c r="H43" i="5089"/>
  <c r="H47" i="5089"/>
  <c r="H51" i="5089"/>
  <c r="H40" i="5089"/>
  <c r="H44" i="5089"/>
  <c r="H48" i="5089"/>
  <c r="H18" i="5089"/>
  <c r="H17" i="5089"/>
  <c r="H14" i="5089"/>
  <c r="H24" i="5089"/>
  <c r="H13" i="5089"/>
  <c r="H11" i="5089"/>
  <c r="H27" i="5089"/>
  <c r="H37" i="5089"/>
  <c r="H41" i="5089"/>
  <c r="H45" i="5089"/>
  <c r="H49" i="5089"/>
  <c r="H7" i="5087"/>
  <c r="H14" i="5087"/>
  <c r="H6" i="5087"/>
  <c r="H3" i="5087"/>
  <c r="H21" i="5087"/>
  <c r="H22" i="5087"/>
  <c r="C17" i="5087"/>
  <c r="H40" i="5087"/>
  <c r="H10" i="5087"/>
  <c r="H20" i="5087"/>
  <c r="H36" i="5087"/>
  <c r="H4" i="5087"/>
  <c r="H2" i="5087"/>
  <c r="H11" i="5087"/>
  <c r="C19" i="5087"/>
  <c r="H44" i="5087"/>
  <c r="H8" i="5087"/>
  <c r="H29" i="5087"/>
  <c r="H17" i="5087"/>
  <c r="H25" i="5087"/>
  <c r="H50" i="5087"/>
  <c r="H23" i="5087"/>
  <c r="H35" i="5087"/>
  <c r="H42" i="5087"/>
  <c r="H13" i="5087"/>
  <c r="H28" i="5087"/>
  <c r="C18" i="5087"/>
  <c r="B23" i="5087"/>
  <c r="H24" i="5087"/>
  <c r="H38" i="5087"/>
  <c r="H46" i="5087"/>
  <c r="H30" i="5087"/>
  <c r="H31" i="5087"/>
  <c r="H33" i="5087"/>
  <c r="H34" i="5087"/>
  <c r="H18" i="5087"/>
  <c r="H27" i="5087"/>
  <c r="H39" i="5087"/>
  <c r="H43" i="5087"/>
  <c r="H47" i="5087"/>
  <c r="H51" i="5087"/>
  <c r="H48" i="5087"/>
  <c r="H16" i="5087"/>
  <c r="H19" i="5087"/>
  <c r="H15" i="5087"/>
  <c r="H32" i="5087"/>
  <c r="H12" i="5087"/>
  <c r="H9" i="5087"/>
  <c r="H26" i="5087"/>
  <c r="H37" i="5087"/>
  <c r="H41" i="5087"/>
  <c r="H45" i="5087"/>
  <c r="H49" i="5087"/>
  <c r="H9" i="5085"/>
  <c r="H2" i="5085"/>
  <c r="H3" i="5085"/>
  <c r="H4" i="5085"/>
  <c r="H11" i="5085"/>
  <c r="H6" i="5085"/>
  <c r="H23" i="5085"/>
  <c r="H7" i="5085"/>
  <c r="H21" i="5085"/>
  <c r="H32" i="5085"/>
  <c r="H16" i="5085"/>
  <c r="C18" i="5085"/>
  <c r="H14" i="5085"/>
  <c r="H13" i="5085"/>
  <c r="H31" i="5085"/>
  <c r="H38" i="5085"/>
  <c r="H46" i="5085"/>
  <c r="C19" i="5085"/>
  <c r="H29" i="5085"/>
  <c r="H25" i="5085"/>
  <c r="H26" i="5085"/>
  <c r="H41" i="5085"/>
  <c r="H49" i="5085"/>
  <c r="H8" i="5085"/>
  <c r="H20" i="5085"/>
  <c r="H24" i="5085"/>
  <c r="C17" i="5085"/>
  <c r="H15" i="5085"/>
  <c r="B23" i="5085"/>
  <c r="H35" i="5085"/>
  <c r="H42" i="5085"/>
  <c r="H50" i="5085"/>
  <c r="H12" i="5085"/>
  <c r="H19" i="5085"/>
  <c r="H10" i="5085"/>
  <c r="H37" i="5085"/>
  <c r="H45" i="5085"/>
  <c r="H5" i="5085"/>
  <c r="H33" i="5085"/>
  <c r="H34" i="5085"/>
  <c r="H30" i="5085"/>
  <c r="H27" i="5085"/>
  <c r="H17" i="5085"/>
  <c r="H28" i="5085"/>
  <c r="H39" i="5085"/>
  <c r="H43" i="5085"/>
  <c r="H47" i="5085"/>
  <c r="H51" i="5085"/>
  <c r="H22" i="5085"/>
  <c r="H36" i="5085"/>
  <c r="H40" i="5085"/>
  <c r="H44" i="5085"/>
  <c r="H48" i="508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<sst xmlns="http://schemas.openxmlformats.org/spreadsheetml/2006/main" count="2720" uniqueCount="220">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</sst>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</c:f>
              <c:numCache>
                <c:formatCode>General</c:formatCode>
                <c:ptCount val="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</c:numCache>
            </c:numRef>
          </c:xVal>
          <c:yVal>
            <c:numRef>
              <c:f>全体!$L$2:$L$383</c:f>
              <c:numCache>
                <c:formatCode>\+0.0;\-0.0;\±0</c:formatCode>
                <c:ptCount val="38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4-49ED-94FB-B6DAC2A5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-13.123359580052494</c:v>
                </c:pt>
                <c:pt idx="1">
                  <c:v>-13.227513227513228</c:v>
                </c:pt>
                <c:pt idx="2">
                  <c:v>11.204481792717086</c:v>
                </c:pt>
                <c:pt idx="3">
                  <c:v>15.432098765432098</c:v>
                </c:pt>
                <c:pt idx="4">
                  <c:v>-16.835016835016834</c:v>
                </c:pt>
                <c:pt idx="5">
                  <c:v>21.739130434782609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C-4F79-BAA5-11B640B7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だいち!$L$2:$L$88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D-4788-971B-8BC8F98C5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2596.5116279069766</c:v>
                </c:pt>
                <c:pt idx="1">
                  <c:v>2935.294117647059</c:v>
                </c:pt>
                <c:pt idx="2">
                  <c:v>2459.2592592592591</c:v>
                </c:pt>
                <c:pt idx="3">
                  <c:v>2674.3243243243242</c:v>
                </c:pt>
                <c:pt idx="4">
                  <c:v>-86.36363636363636</c:v>
                </c:pt>
                <c:pt idx="5">
                  <c:v>1327.8688524590164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87A-A24F-8C5DBF26B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りくと!$L$2:$L$96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7-4F11-935C-5DCA658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793.61702127659578</c:v>
                </c:pt>
                <c:pt idx="1">
                  <c:v>-2486.0215053763441</c:v>
                </c:pt>
                <c:pt idx="2">
                  <c:v>-675.55555555555554</c:v>
                </c:pt>
                <c:pt idx="3">
                  <c:v>901.23456790123453</c:v>
                </c:pt>
                <c:pt idx="4">
                  <c:v>237.83783783783784</c:v>
                </c:pt>
                <c:pt idx="5">
                  <c:v>373.91304347826087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A2B-B7A8-65DFCB816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34C-A25B-41A819166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-2836.8421052631579</c:v>
                </c:pt>
                <c:pt idx="1">
                  <c:v>-3252.6315789473683</c:v>
                </c:pt>
                <c:pt idx="2">
                  <c:v>-1208.5714285714287</c:v>
                </c:pt>
                <c:pt idx="3">
                  <c:v>-6190</c:v>
                </c:pt>
                <c:pt idx="4">
                  <c:v>-1188.8888888888889</c:v>
                </c:pt>
                <c:pt idx="5">
                  <c:v>-1584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E-4BCB-A7D0-7312F456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7-4705-83B2-80530EC1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144.68085106382978</c:v>
                </c:pt>
                <c:pt idx="1">
                  <c:v>744.68085106382978</c:v>
                </c:pt>
                <c:pt idx="2">
                  <c:v>-93.333333333333329</c:v>
                </c:pt>
                <c:pt idx="3">
                  <c:v>2017.948717948718</c:v>
                </c:pt>
                <c:pt idx="4">
                  <c:v>-1500</c:v>
                </c:pt>
                <c:pt idx="5">
                  <c:v>-217.64705882352942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A3B-A784-3629B423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A-4114-9A99-3E78370CA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711.62790697674416</c:v>
                </c:pt>
                <c:pt idx="1">
                  <c:v>-46.511627906976742</c:v>
                </c:pt>
                <c:pt idx="2">
                  <c:v>-757.89473684210532</c:v>
                </c:pt>
                <c:pt idx="3">
                  <c:v>934.28571428571433</c:v>
                </c:pt>
                <c:pt idx="4">
                  <c:v>73.529411764705884</c:v>
                </c:pt>
                <c:pt idx="5">
                  <c:v>-1403.3333333333333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F-47AB-AA13-F9705224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ぱぱ!$L$2:$L$37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1-45F2-B96D-D2B58B80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-3080</c:v>
                </c:pt>
                <c:pt idx="1">
                  <c:v>1965.7142857142858</c:v>
                </c:pt>
                <c:pt idx="2">
                  <c:v>-884.84848484848487</c:v>
                </c:pt>
                <c:pt idx="3">
                  <c:v>-4461.2903225806449</c:v>
                </c:pt>
                <c:pt idx="4">
                  <c:v>828.57142857142856</c:v>
                </c:pt>
                <c:pt idx="5">
                  <c:v>681.48148148148152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AED-A3ED-12FA9954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まっつん!$L$2:$L$24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894-881A-399E7685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-3536.3636363636365</c:v>
                </c:pt>
                <c:pt idx="1">
                  <c:v>-952.38095238095241</c:v>
                </c:pt>
                <c:pt idx="2">
                  <c:v>-468.42105263157896</c:v>
                </c:pt>
                <c:pt idx="3">
                  <c:v>-1289.4736842105262</c:v>
                </c:pt>
                <c:pt idx="4">
                  <c:v>1177.7777777777778</c:v>
                </c:pt>
                <c:pt idx="5">
                  <c:v>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A-4746-B462-D2FA367B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D-4CF9-B195-D9EF897D5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C-42F5-9962-05756C26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C-426B-B5BB-F67DD5E52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7-45A9-B938-BEF8C8CF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D-4844-A4B2-3B6A6752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E4F-A5C2-625DD6C8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ほたに2!$C$3:$C$8</c:f>
              <c:numCache>
                <c:formatCode>\+0.0;\-0.0;\±0</c:formatCode>
                <c:ptCount val="6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18964938204882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ほたに2!$G$3:$G$8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37648530331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ほたに2!$H$3:$H$8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17448405253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ほたに2!$I$3:$I$8</c:f>
              <c:numCache>
                <c:formatCode>0</c:formatCode>
                <c:ptCount val="6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7.7042399172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ほたに2!$J$3:$J$8</c:f>
              <c:numCache>
                <c:formatCode>0</c:formatCode>
                <c:ptCount val="6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50.4655493482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73753280839894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73753280839894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ほたに2!$M$3:$M$8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23076923076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ほたに2!$N$3:$N$8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072545340838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1173054587688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ほたに2!$P$3:$P$8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502170767004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ほたに2!$Q$3:$Q$8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40124095139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AADC31-BBE2-4DAD-B3B3-93252E994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D95D36-0707-40E7-A789-872CC4590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804E5B-2B47-4F6E-BB5F-1D2B28DE6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21D97B-E5E8-45FE-9C8F-7A1696095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CBD0E2-A930-4CE1-886E-B986D8760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9261A2-8EDF-4A42-B659-405A9839A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D0554B-EDA2-4D31-BA51-E8D258F59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EF37D8-9FD7-4DB5-8231-4CC26C6F0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445A62-0C91-443D-920F-3AD5667B9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BB0388-14B5-480E-89ED-B5D3D6A07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11DFA6-858D-43C8-8982-C8C6520E2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84B571-568B-49D5-BAF8-DBB17F1E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16ED94-9C7D-4833-90F7-2F7CA5CC4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E460AC-A166-4801-A0BB-0EBE60A9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031346-750F-44AF-AB08-634922FC0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F109D5-FEB0-4D4A-B81F-ECBBE0616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E9D7F8-9CA8-4B01-8CD5-3A5C991ED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3EC151-5DCF-4568-A96F-B1ADF1B3D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61E367-A616-4C78-AC24-B13EAB93B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6F95AA-72DF-4D77-9A31-F748B72B1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34E5D4-9353-4B72-876C-B1F95F082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B78A37-A5EE-4970-A826-8EF6CF308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43596.837326388886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43597.068877314814</v>
      </c>
      <c r="C34" s="30" t="s">
        <v>130</v>
      </c>
      <c r="D34" s="30" t="s">
        <v>131</v>
      </c>
      <c r="E34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>
      <selection activeCell="C15" sqref="C15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0.78491153716341622</v>
      </c>
      <c r="G2" s="155"/>
      <c r="H2" s="154">
        <v>0.85794824429132521</v>
      </c>
      <c r="I2" s="155"/>
      <c r="J2" s="154">
        <v>0.64118807345452689</v>
      </c>
      <c r="K2" s="155"/>
      <c r="L2" s="154">
        <v>0.56684129402502315</v>
      </c>
      <c r="M2" s="155"/>
      <c r="N2" s="154">
        <v>0.17940626747778338</v>
      </c>
      <c r="O2" s="155"/>
      <c r="P2" s="154">
        <v>0.5366330978890228</v>
      </c>
      <c r="Q2" s="155"/>
      <c r="R2" s="154">
        <v>5.6363482658223614E-2</v>
      </c>
      <c r="S2" s="155"/>
      <c r="T2" s="154">
        <v>0.40709617825565653</v>
      </c>
      <c r="U2" s="155"/>
      <c r="V2" s="154">
        <v>0.78166368682502707</v>
      </c>
      <c r="W2" s="155"/>
      <c r="X2" s="154">
        <v>0.8939556555528041</v>
      </c>
      <c r="Y2" s="155"/>
      <c r="Z2" s="154">
        <v>-1.8114162184760856E-2</v>
      </c>
      <c r="AA2" s="155"/>
      <c r="AB2" s="154">
        <v>-3.4600197683029736E-2</v>
      </c>
      <c r="AC2" s="155"/>
      <c r="AD2" s="154">
        <v>0.59224477225802319</v>
      </c>
      <c r="AE2" s="155"/>
      <c r="AF2" s="154">
        <v>-5.7215107152990743E-3</v>
      </c>
      <c r="AG2" s="155"/>
      <c r="AH2" s="154">
        <v>0.82009823334909182</v>
      </c>
      <c r="AI2" s="155"/>
    </row>
    <row r="3" spans="1:35" x14ac:dyDescent="0.4">
      <c r="A3" s="74">
        <v>1</v>
      </c>
      <c r="B3" s="75" t="s">
        <v>127</v>
      </c>
      <c r="C3" s="76">
        <v>1610.200000000001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0.38218390804597702</v>
      </c>
      <c r="N3" s="77" t="s">
        <v>185</v>
      </c>
      <c r="O3" s="80">
        <v>0.10526315789473684</v>
      </c>
      <c r="P3" s="77" t="s">
        <v>171</v>
      </c>
      <c r="Q3" s="81">
        <v>9392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0.1744186046511628</v>
      </c>
      <c r="X3" s="77" t="s">
        <v>127</v>
      </c>
      <c r="Y3" s="80">
        <v>0.33333333333333331</v>
      </c>
      <c r="Z3" s="77" t="s">
        <v>172</v>
      </c>
      <c r="AA3" s="80">
        <v>0.29866666666666669</v>
      </c>
      <c r="AB3" s="77" t="s">
        <v>186</v>
      </c>
      <c r="AC3" s="80">
        <v>0.66666666666666663</v>
      </c>
      <c r="AD3" s="77" t="s">
        <v>127</v>
      </c>
      <c r="AE3" s="80">
        <v>0.54320987654320985</v>
      </c>
      <c r="AF3" s="77" t="s">
        <v>202</v>
      </c>
      <c r="AG3" s="80">
        <v>0.58333333333333337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18.7232558139535</v>
      </c>
      <c r="F4" s="85" t="s">
        <v>127</v>
      </c>
      <c r="G4" s="86">
        <v>1.6162790697674418</v>
      </c>
      <c r="H4" s="85" t="s">
        <v>127</v>
      </c>
      <c r="I4" s="87">
        <v>0.56976744186046513</v>
      </c>
      <c r="J4" s="85" t="s">
        <v>127</v>
      </c>
      <c r="K4" s="87">
        <v>0.18604651162790697</v>
      </c>
      <c r="L4" s="85" t="s">
        <v>172</v>
      </c>
      <c r="M4" s="88">
        <v>0.36533333333333334</v>
      </c>
      <c r="N4" s="85" t="s">
        <v>172</v>
      </c>
      <c r="O4" s="88">
        <v>0.14133333333333334</v>
      </c>
      <c r="P4" s="85" t="s">
        <v>128</v>
      </c>
      <c r="Q4" s="89">
        <v>9233.7837837837833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0.1276595744680851</v>
      </c>
      <c r="X4" s="85" t="s">
        <v>128</v>
      </c>
      <c r="Y4" s="88">
        <v>0.2878787878787879</v>
      </c>
      <c r="Z4" s="85" t="s">
        <v>202</v>
      </c>
      <c r="AA4" s="88">
        <v>0.26</v>
      </c>
      <c r="AB4" s="85" t="s">
        <v>177</v>
      </c>
      <c r="AC4" s="88">
        <v>0.61764705882352944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145</v>
      </c>
      <c r="C5" s="84">
        <v>4.2632564145606011E-14</v>
      </c>
      <c r="D5" s="85" t="s">
        <v>145</v>
      </c>
      <c r="E5" s="97">
        <v>1.1189649382048822E-16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173</v>
      </c>
      <c r="M5" s="88">
        <v>0.30769230769230771</v>
      </c>
      <c r="N5" s="85" t="s">
        <v>171</v>
      </c>
      <c r="O5" s="88">
        <v>0.15577889447236182</v>
      </c>
      <c r="P5" s="85" t="s">
        <v>127</v>
      </c>
      <c r="Q5" s="89">
        <v>9200.7518796992481</v>
      </c>
      <c r="R5" s="85" t="s">
        <v>171</v>
      </c>
      <c r="S5" s="89">
        <v>-7070.9677419354839</v>
      </c>
      <c r="T5" s="85" t="s">
        <v>171</v>
      </c>
      <c r="U5" s="87">
        <v>2.1276595744680851E-2</v>
      </c>
      <c r="V5" s="85" t="s">
        <v>172</v>
      </c>
      <c r="W5" s="87">
        <v>0.11627906976744186</v>
      </c>
      <c r="X5" s="85" t="s">
        <v>145</v>
      </c>
      <c r="Y5" s="88">
        <v>0.26923076923076922</v>
      </c>
      <c r="Z5" s="85" t="s">
        <v>173</v>
      </c>
      <c r="AA5" s="88">
        <v>0.25320512820512819</v>
      </c>
      <c r="AB5" s="85" t="s">
        <v>128</v>
      </c>
      <c r="AC5" s="88">
        <v>0.60964912280701755</v>
      </c>
      <c r="AD5" s="85" t="s">
        <v>186</v>
      </c>
      <c r="AE5" s="88">
        <v>0.46666666666666667</v>
      </c>
      <c r="AF5" s="85" t="s">
        <v>173</v>
      </c>
      <c r="AG5" s="88">
        <v>0.52083333333333337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-16.100000000000005</v>
      </c>
      <c r="D6" s="85" t="s">
        <v>171</v>
      </c>
      <c r="E6" s="97">
        <v>-0.70425531914893624</v>
      </c>
      <c r="F6" s="85" t="s">
        <v>202</v>
      </c>
      <c r="G6" s="86">
        <v>2</v>
      </c>
      <c r="H6" s="85" t="s">
        <v>177</v>
      </c>
      <c r="I6" s="87">
        <v>0.31818181818181818</v>
      </c>
      <c r="J6" s="85" t="s">
        <v>128</v>
      </c>
      <c r="K6" s="87">
        <v>0.32978723404255317</v>
      </c>
      <c r="L6" s="85" t="s">
        <v>145</v>
      </c>
      <c r="M6" s="88">
        <v>0.30237648530331457</v>
      </c>
      <c r="N6" s="85" t="s">
        <v>127</v>
      </c>
      <c r="O6" s="88">
        <v>0.15948275862068967</v>
      </c>
      <c r="P6" s="85" t="s">
        <v>129</v>
      </c>
      <c r="Q6" s="89">
        <v>8566.1538461538457</v>
      </c>
      <c r="R6" s="85" t="s">
        <v>177</v>
      </c>
      <c r="S6" s="89">
        <v>-7113.333333333333</v>
      </c>
      <c r="T6" s="85" t="s">
        <v>127</v>
      </c>
      <c r="U6" s="87">
        <v>5.8139534883720929E-2</v>
      </c>
      <c r="V6" s="85" t="s">
        <v>145</v>
      </c>
      <c r="W6" s="87">
        <v>9.9737532808398949E-2</v>
      </c>
      <c r="X6" s="85" t="s">
        <v>185</v>
      </c>
      <c r="Y6" s="88">
        <v>0.26315789473684209</v>
      </c>
      <c r="Z6" s="85" t="s">
        <v>177</v>
      </c>
      <c r="AA6" s="88">
        <v>0.23463687150837989</v>
      </c>
      <c r="AB6" s="85" t="s">
        <v>173</v>
      </c>
      <c r="AC6" s="88">
        <v>0.60563380281690138</v>
      </c>
      <c r="AD6" s="85" t="s">
        <v>172</v>
      </c>
      <c r="AE6" s="88">
        <v>0.4107142857142857</v>
      </c>
      <c r="AF6" s="85" t="s">
        <v>129</v>
      </c>
      <c r="AG6" s="88">
        <v>0.50769230769230766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172</v>
      </c>
      <c r="C7" s="84">
        <v>-32.999999999999993</v>
      </c>
      <c r="D7" s="85" t="s">
        <v>172</v>
      </c>
      <c r="E7" s="97">
        <v>-0.76744186046511609</v>
      </c>
      <c r="F7" s="85" t="s">
        <v>177</v>
      </c>
      <c r="G7" s="86">
        <v>2.0454545454545454</v>
      </c>
      <c r="H7" s="85" t="s">
        <v>172</v>
      </c>
      <c r="I7" s="87">
        <v>0.27906976744186046</v>
      </c>
      <c r="J7" s="85" t="s">
        <v>145</v>
      </c>
      <c r="K7" s="87">
        <v>0.33333333333333331</v>
      </c>
      <c r="L7" s="85" t="s">
        <v>128</v>
      </c>
      <c r="M7" s="88">
        <v>0.28030303030303028</v>
      </c>
      <c r="N7" s="85" t="s">
        <v>177</v>
      </c>
      <c r="O7" s="88">
        <v>0.16759776536312848</v>
      </c>
      <c r="P7" s="85" t="s">
        <v>145</v>
      </c>
      <c r="Q7" s="89">
        <v>8457.7042399172697</v>
      </c>
      <c r="R7" s="85" t="s">
        <v>127</v>
      </c>
      <c r="S7" s="89">
        <v>-7783.7837837837842</v>
      </c>
      <c r="T7" s="85" t="s">
        <v>172</v>
      </c>
      <c r="U7" s="87">
        <v>6.9767441860465115E-2</v>
      </c>
      <c r="V7" s="85" t="s">
        <v>128</v>
      </c>
      <c r="W7" s="87">
        <v>8.5106382978723402E-2</v>
      </c>
      <c r="X7" s="85" t="s">
        <v>171</v>
      </c>
      <c r="Y7" s="88">
        <v>0.25879396984924624</v>
      </c>
      <c r="Z7" s="85" t="s">
        <v>127</v>
      </c>
      <c r="AA7" s="88">
        <v>0.23275862068965517</v>
      </c>
      <c r="AB7" s="85" t="s">
        <v>185</v>
      </c>
      <c r="AC7" s="88">
        <v>0.6</v>
      </c>
      <c r="AD7" s="85" t="s">
        <v>177</v>
      </c>
      <c r="AE7" s="88">
        <v>0.40476190476190477</v>
      </c>
      <c r="AF7" s="85" t="s">
        <v>172</v>
      </c>
      <c r="AG7" s="88">
        <v>0.43795620437956206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-33.1</v>
      </c>
      <c r="D8" s="85" t="s">
        <v>128</v>
      </c>
      <c r="E8" s="97">
        <v>-2.3510638297872344</v>
      </c>
      <c r="F8" s="85" t="s">
        <v>128</v>
      </c>
      <c r="G8" s="86">
        <v>2.0638297872340425</v>
      </c>
      <c r="H8" s="85" t="s">
        <v>171</v>
      </c>
      <c r="I8" s="87">
        <v>0.27659574468085107</v>
      </c>
      <c r="J8" s="85" t="s">
        <v>173</v>
      </c>
      <c r="K8" s="87">
        <v>0.34285714285714286</v>
      </c>
      <c r="L8" s="85" t="s">
        <v>185</v>
      </c>
      <c r="M8" s="88">
        <v>0.26315789473684209</v>
      </c>
      <c r="N8" s="85" t="s">
        <v>145</v>
      </c>
      <c r="O8" s="88">
        <v>0.16791744840525327</v>
      </c>
      <c r="P8" s="85" t="s">
        <v>202</v>
      </c>
      <c r="Q8" s="89">
        <v>8425</v>
      </c>
      <c r="R8" s="85" t="s">
        <v>128</v>
      </c>
      <c r="S8" s="89">
        <v>-7811.940298507463</v>
      </c>
      <c r="T8" s="85" t="s">
        <v>145</v>
      </c>
      <c r="U8" s="87">
        <v>9.9737532808398949E-2</v>
      </c>
      <c r="V8" s="85" t="s">
        <v>173</v>
      </c>
      <c r="W8" s="87">
        <v>5.7142857142857141E-2</v>
      </c>
      <c r="X8" s="85" t="s">
        <v>129</v>
      </c>
      <c r="Y8" s="88">
        <v>0.24919093851132687</v>
      </c>
      <c r="Z8" s="85" t="s">
        <v>186</v>
      </c>
      <c r="AA8" s="88">
        <v>0.22058823529411764</v>
      </c>
      <c r="AB8" s="85" t="s">
        <v>172</v>
      </c>
      <c r="AC8" s="88">
        <v>0.5977011494252874</v>
      </c>
      <c r="AD8" s="85" t="s">
        <v>145</v>
      </c>
      <c r="AE8" s="88">
        <v>0.38350217076700432</v>
      </c>
      <c r="AF8" s="85" t="s">
        <v>145</v>
      </c>
      <c r="AG8" s="88">
        <v>0.4364012409513961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177</v>
      </c>
      <c r="C9" s="84">
        <v>-142.60000000000002</v>
      </c>
      <c r="D9" s="85" t="s">
        <v>202</v>
      </c>
      <c r="E9" s="97">
        <v>-3.2200000000000011</v>
      </c>
      <c r="F9" s="85" t="s">
        <v>171</v>
      </c>
      <c r="G9" s="86">
        <v>2.0851063829787235</v>
      </c>
      <c r="H9" s="85" t="s">
        <v>128</v>
      </c>
      <c r="I9" s="87">
        <v>0.26595744680851063</v>
      </c>
      <c r="J9" s="85" t="s">
        <v>171</v>
      </c>
      <c r="K9" s="87">
        <v>0.36170212765957449</v>
      </c>
      <c r="L9" s="85" t="s">
        <v>177</v>
      </c>
      <c r="M9" s="88">
        <v>0.26256983240223464</v>
      </c>
      <c r="N9" s="85" t="s">
        <v>128</v>
      </c>
      <c r="O9" s="88">
        <v>0.1691919191919192</v>
      </c>
      <c r="P9" s="85" t="s">
        <v>185</v>
      </c>
      <c r="Q9" s="89">
        <v>7860</v>
      </c>
      <c r="R9" s="85" t="s">
        <v>173</v>
      </c>
      <c r="S9" s="89">
        <v>-7934.4827586206893</v>
      </c>
      <c r="T9" s="85" t="s">
        <v>173</v>
      </c>
      <c r="U9" s="87">
        <v>0.11428571428571428</v>
      </c>
      <c r="V9" s="85" t="s">
        <v>129</v>
      </c>
      <c r="W9" s="87">
        <v>5.2631578947368418E-2</v>
      </c>
      <c r="X9" s="85" t="s">
        <v>202</v>
      </c>
      <c r="Y9" s="88">
        <v>0.24</v>
      </c>
      <c r="Z9" s="85" t="s">
        <v>145</v>
      </c>
      <c r="AA9" s="88">
        <v>0.21607254534083803</v>
      </c>
      <c r="AB9" s="85" t="s">
        <v>127</v>
      </c>
      <c r="AC9" s="88">
        <v>0.59482758620689657</v>
      </c>
      <c r="AD9" s="85" t="s">
        <v>171</v>
      </c>
      <c r="AE9" s="88">
        <v>0.35294117647058826</v>
      </c>
      <c r="AF9" s="85" t="s">
        <v>127</v>
      </c>
      <c r="AG9" s="88">
        <v>0.43233082706766918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-170.5</v>
      </c>
      <c r="D10" s="85" t="s">
        <v>173</v>
      </c>
      <c r="E10" s="97">
        <v>-6.4257142857142862</v>
      </c>
      <c r="F10" s="85" t="s">
        <v>173</v>
      </c>
      <c r="G10" s="86">
        <v>2.0857142857142859</v>
      </c>
      <c r="H10" s="85" t="s">
        <v>173</v>
      </c>
      <c r="I10" s="87">
        <v>0.25714285714285712</v>
      </c>
      <c r="J10" s="85" t="s">
        <v>177</v>
      </c>
      <c r="K10" s="87">
        <v>0.36363636363636365</v>
      </c>
      <c r="L10" s="85" t="s">
        <v>171</v>
      </c>
      <c r="M10" s="88">
        <v>0.25125628140703515</v>
      </c>
      <c r="N10" s="85" t="s">
        <v>173</v>
      </c>
      <c r="O10" s="88">
        <v>0.1858974358974359</v>
      </c>
      <c r="P10" s="85" t="s">
        <v>186</v>
      </c>
      <c r="Q10" s="89">
        <v>7364.7058823529414</v>
      </c>
      <c r="R10" s="85" t="s">
        <v>145</v>
      </c>
      <c r="S10" s="89">
        <v>-8050.4655493482305</v>
      </c>
      <c r="T10" s="85" t="s">
        <v>186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0.23200000000000001</v>
      </c>
      <c r="Z10" s="85" t="s">
        <v>185</v>
      </c>
      <c r="AA10" s="88">
        <v>0.21052631578947367</v>
      </c>
      <c r="AB10" s="85" t="s">
        <v>145</v>
      </c>
      <c r="AC10" s="88">
        <v>0.59117305458768876</v>
      </c>
      <c r="AD10" s="85" t="s">
        <v>173</v>
      </c>
      <c r="AE10" s="88">
        <v>0.34177215189873417</v>
      </c>
      <c r="AF10" s="85" t="s">
        <v>128</v>
      </c>
      <c r="AG10" s="88">
        <v>0.4144144144144144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128</v>
      </c>
      <c r="C11" s="84">
        <v>-221.00000000000003</v>
      </c>
      <c r="D11" s="85" t="s">
        <v>177</v>
      </c>
      <c r="E11" s="97">
        <v>-6.4818181818181833</v>
      </c>
      <c r="F11" s="85" t="s">
        <v>172</v>
      </c>
      <c r="G11" s="86">
        <v>2.0930232558139537</v>
      </c>
      <c r="H11" s="85" t="s">
        <v>186</v>
      </c>
      <c r="I11" s="87">
        <v>0.25</v>
      </c>
      <c r="J11" s="85" t="s">
        <v>172</v>
      </c>
      <c r="K11" s="87">
        <v>0.37209302325581395</v>
      </c>
      <c r="L11" s="85" t="s">
        <v>186</v>
      </c>
      <c r="M11" s="88">
        <v>0.25</v>
      </c>
      <c r="N11" s="85" t="s">
        <v>129</v>
      </c>
      <c r="O11" s="88">
        <v>0.1941747572815534</v>
      </c>
      <c r="P11" s="85" t="s">
        <v>177</v>
      </c>
      <c r="Q11" s="89">
        <v>7276.5957446808507</v>
      </c>
      <c r="R11" s="85" t="s">
        <v>186</v>
      </c>
      <c r="S11" s="89">
        <v>-8323.5294117647063</v>
      </c>
      <c r="T11" s="85" t="s">
        <v>128</v>
      </c>
      <c r="U11" s="87">
        <v>0.1276595744680851</v>
      </c>
      <c r="V11" s="85" t="s">
        <v>185</v>
      </c>
      <c r="W11" s="87">
        <v>0</v>
      </c>
      <c r="X11" s="85" t="s">
        <v>173</v>
      </c>
      <c r="Y11" s="88">
        <v>0.22756410256410256</v>
      </c>
      <c r="Z11" s="85" t="s">
        <v>128</v>
      </c>
      <c r="AA11" s="88">
        <v>0.19065656565656566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177</v>
      </c>
      <c r="AG11" s="88">
        <v>0.38297872340425532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173</v>
      </c>
      <c r="C12" s="84">
        <v>-224.9</v>
      </c>
      <c r="D12" s="85" t="s">
        <v>186</v>
      </c>
      <c r="E12" s="97">
        <v>-21.3125</v>
      </c>
      <c r="F12" s="85" t="s">
        <v>129</v>
      </c>
      <c r="G12" s="86">
        <v>2.3684210526315788</v>
      </c>
      <c r="H12" s="85" t="s">
        <v>202</v>
      </c>
      <c r="I12" s="87">
        <v>0.2</v>
      </c>
      <c r="J12" s="85" t="s">
        <v>129</v>
      </c>
      <c r="K12" s="87">
        <v>0.55263157894736847</v>
      </c>
      <c r="L12" s="85" t="s">
        <v>202</v>
      </c>
      <c r="M12" s="88">
        <v>0.24</v>
      </c>
      <c r="N12" s="85" t="s">
        <v>202</v>
      </c>
      <c r="O12" s="88">
        <v>0.2</v>
      </c>
      <c r="P12" s="85" t="s">
        <v>173</v>
      </c>
      <c r="Q12" s="89">
        <v>6813.541666666667</v>
      </c>
      <c r="R12" s="85" t="s">
        <v>172</v>
      </c>
      <c r="S12" s="89">
        <v>-9500</v>
      </c>
      <c r="T12" s="85" t="s">
        <v>177</v>
      </c>
      <c r="U12" s="87">
        <v>0.18181818181818182</v>
      </c>
      <c r="V12" s="85" t="s">
        <v>186</v>
      </c>
      <c r="W12" s="87">
        <v>0</v>
      </c>
      <c r="X12" s="85" t="s">
        <v>177</v>
      </c>
      <c r="Y12" s="88">
        <v>0.18994413407821228</v>
      </c>
      <c r="Z12" s="85" t="s">
        <v>171</v>
      </c>
      <c r="AA12" s="88">
        <v>0.17085427135678391</v>
      </c>
      <c r="AB12" s="85" t="s">
        <v>171</v>
      </c>
      <c r="AC12" s="88">
        <v>0.57281553398058249</v>
      </c>
      <c r="AD12" s="85" t="s">
        <v>128</v>
      </c>
      <c r="AE12" s="88">
        <v>0.27152317880794702</v>
      </c>
      <c r="AF12" s="85" t="s">
        <v>171</v>
      </c>
      <c r="AG12" s="88">
        <v>0.37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-829.99999999999989</v>
      </c>
      <c r="D13" s="85" t="s">
        <v>129</v>
      </c>
      <c r="E13" s="97">
        <v>-21.84210526315789</v>
      </c>
      <c r="F13" s="85" t="s">
        <v>186</v>
      </c>
      <c r="G13" s="86">
        <v>2.375</v>
      </c>
      <c r="H13" s="85" t="s">
        <v>129</v>
      </c>
      <c r="I13" s="87">
        <v>0.18421052631578946</v>
      </c>
      <c r="J13" s="85" t="s">
        <v>186</v>
      </c>
      <c r="K13" s="87">
        <v>0.625</v>
      </c>
      <c r="L13" s="85" t="s">
        <v>129</v>
      </c>
      <c r="M13" s="88">
        <v>0.21035598705501618</v>
      </c>
      <c r="N13" s="85" t="s">
        <v>186</v>
      </c>
      <c r="O13" s="88">
        <v>0.25</v>
      </c>
      <c r="P13" s="85" t="s">
        <v>172</v>
      </c>
      <c r="Q13" s="89">
        <v>6741.6058394160582</v>
      </c>
      <c r="R13" s="85" t="s">
        <v>129</v>
      </c>
      <c r="S13" s="89">
        <v>-9846.6666666666661</v>
      </c>
      <c r="T13" s="85" t="s">
        <v>129</v>
      </c>
      <c r="U13" s="87">
        <v>0.21052631578947367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0.14563106796116504</v>
      </c>
      <c r="AB13" s="85" t="s">
        <v>129</v>
      </c>
      <c r="AC13" s="88">
        <v>0.50649350649350644</v>
      </c>
      <c r="AD13" s="85" t="s">
        <v>129</v>
      </c>
      <c r="AE13" s="88">
        <v>0.2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FCBD-ED2C-401E-A23F-13096ADEC687}">
  <sheetPr codeName="Sheet4"/>
  <dimension ref="A1:Q3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381</v>
      </c>
      <c r="C2" s="147"/>
      <c r="E2" s="62" t="s">
        <v>67</v>
      </c>
      <c r="F2" s="59" t="s">
        <v>23</v>
      </c>
      <c r="G2" s="46">
        <v>710</v>
      </c>
      <c r="H2" s="132">
        <f>IF(B$17=0,0,G2/B$17)</f>
        <v>0.73422957600827299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-13.123359580052494</v>
      </c>
      <c r="P2" s="118">
        <v>381</v>
      </c>
      <c r="Q2" s="102">
        <v>-5000</v>
      </c>
    </row>
    <row r="3" spans="1:17" x14ac:dyDescent="0.4">
      <c r="A3" s="55" t="s">
        <v>8</v>
      </c>
      <c r="B3" s="148">
        <v>3198</v>
      </c>
      <c r="C3" s="149"/>
      <c r="E3" s="63" t="s">
        <v>73</v>
      </c>
      <c r="F3" s="60" t="s">
        <v>28</v>
      </c>
      <c r="G3" s="47">
        <v>504</v>
      </c>
      <c r="H3" s="133">
        <f>IF(B$17=0,0,G3/B$17)</f>
        <v>0.52119958634953467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-13.227513227513228</v>
      </c>
      <c r="P3" s="119">
        <v>378</v>
      </c>
      <c r="Q3" s="103">
        <v>-5000</v>
      </c>
    </row>
    <row r="4" spans="1:17" x14ac:dyDescent="0.4">
      <c r="A4" s="55" t="s">
        <v>6</v>
      </c>
      <c r="B4" s="150">
        <v>4.2632564145606011E-14</v>
      </c>
      <c r="C4" s="151"/>
      <c r="E4" s="63" t="s">
        <v>65</v>
      </c>
      <c r="F4" s="60" t="s">
        <v>21</v>
      </c>
      <c r="G4" s="47">
        <v>483</v>
      </c>
      <c r="H4" s="133">
        <f>IF(B$17=0,0,G4/B$17)</f>
        <v>0.49948293691830403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11.204481792717086</v>
      </c>
      <c r="P4" s="119">
        <v>357</v>
      </c>
      <c r="Q4" s="103">
        <v>4000</v>
      </c>
    </row>
    <row r="5" spans="1:17" x14ac:dyDescent="0.4">
      <c r="A5" s="55" t="s">
        <v>7</v>
      </c>
      <c r="B5" s="152">
        <f>IF(B$2=0,0,B$4/B$2)</f>
        <v>1.1189649382048822E-16</v>
      </c>
      <c r="C5" s="153"/>
      <c r="E5" s="63" t="s">
        <v>181</v>
      </c>
      <c r="F5" s="60" t="s">
        <v>182</v>
      </c>
      <c r="G5" s="47">
        <v>380</v>
      </c>
      <c r="H5" s="133">
        <f>IF(B$17=0,0,G5/B$17)</f>
        <v>0.39296794208893487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15.432098765432098</v>
      </c>
      <c r="P5" s="119">
        <v>324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291</v>
      </c>
      <c r="H6" s="133">
        <f>IF(B$17=0,0,G6/B$17)</f>
        <v>0.30093071354705275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-16.835016835016834</v>
      </c>
      <c r="P6" s="119">
        <v>297</v>
      </c>
      <c r="Q6" s="103">
        <v>-5000</v>
      </c>
    </row>
    <row r="7" spans="1:17" x14ac:dyDescent="0.4">
      <c r="A7" s="55" t="s">
        <v>2</v>
      </c>
      <c r="B7" s="47">
        <v>127</v>
      </c>
      <c r="C7" s="39">
        <f>IF(B$2=0,0,B7/B$2)</f>
        <v>0.33333333333333331</v>
      </c>
      <c r="E7" s="63" t="s">
        <v>68</v>
      </c>
      <c r="F7" s="60" t="s">
        <v>24</v>
      </c>
      <c r="G7" s="47">
        <v>280</v>
      </c>
      <c r="H7" s="133">
        <f>IF(B$17=0,0,G7/B$17)</f>
        <v>0.28955532574974147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21.739130434782609</v>
      </c>
      <c r="P7" s="120">
        <v>276</v>
      </c>
      <c r="Q7" s="104">
        <v>6000</v>
      </c>
    </row>
    <row r="8" spans="1:17" x14ac:dyDescent="0.4">
      <c r="A8" s="55" t="s">
        <v>3</v>
      </c>
      <c r="B8" s="47">
        <v>127</v>
      </c>
      <c r="C8" s="39">
        <f>IF(B$2=0,0,B8/B$2)</f>
        <v>0.33333333333333331</v>
      </c>
      <c r="E8" s="63" t="s">
        <v>70</v>
      </c>
      <c r="F8" s="60" t="s">
        <v>25</v>
      </c>
      <c r="G8" s="47">
        <v>178</v>
      </c>
      <c r="H8" s="133">
        <f>IF(B$17=0,0,G8/B$17)</f>
        <v>0.18407445708376421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127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122</v>
      </c>
      <c r="H9" s="133">
        <f>IF(B$17=0,0,G9/B$17)</f>
        <v>0.12616339193381593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38</v>
      </c>
      <c r="C10" s="40">
        <f>IF(B$2=0,0,B10/B$2)</f>
        <v>9.9737532808398949E-2</v>
      </c>
      <c r="E10" s="63" t="s">
        <v>90</v>
      </c>
      <c r="F10" s="60" t="s">
        <v>45</v>
      </c>
      <c r="G10" s="47">
        <v>122</v>
      </c>
      <c r="H10" s="133">
        <f>IF(B$17=0,0,G10/B$17)</f>
        <v>0.12616339193381593</v>
      </c>
      <c r="I10" s="94">
        <v>6</v>
      </c>
      <c r="K10" s="38">
        <v>8</v>
      </c>
      <c r="L10" s="99">
        <v>19.699999999999996</v>
      </c>
      <c r="N10" s="114" t="s">
        <v>164</v>
      </c>
      <c r="O10" s="124">
        <f>IF(P10=0,0,Q10/P10)</f>
        <v>-1.2244094488188977</v>
      </c>
      <c r="P10" s="118">
        <v>127</v>
      </c>
      <c r="Q10" s="106">
        <v>-155.5</v>
      </c>
    </row>
    <row r="11" spans="1:17" x14ac:dyDescent="0.4">
      <c r="A11" s="56" t="s">
        <v>140</v>
      </c>
      <c r="B11" s="48">
        <v>38</v>
      </c>
      <c r="C11" s="40">
        <f>IF(B$2=0,0,B11/B$2)</f>
        <v>9.9737532808398949E-2</v>
      </c>
      <c r="E11" s="63" t="s">
        <v>71</v>
      </c>
      <c r="F11" s="60" t="s">
        <v>26</v>
      </c>
      <c r="G11" s="47">
        <v>97</v>
      </c>
      <c r="H11" s="133">
        <f>IF(B$17=0,0,G11/B$17)</f>
        <v>0.10031023784901758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-2.9897637795275602</v>
      </c>
      <c r="P11" s="119">
        <v>127</v>
      </c>
      <c r="Q11" s="107">
        <v>-379.70000000000016</v>
      </c>
    </row>
    <row r="12" spans="1:17" x14ac:dyDescent="0.4">
      <c r="A12" s="57" t="s">
        <v>160</v>
      </c>
      <c r="B12" s="49">
        <v>37</v>
      </c>
      <c r="C12" s="42">
        <f>IF(B$2=0,0,B12/B$2)</f>
        <v>9.711286089238845E-2</v>
      </c>
      <c r="E12" s="63" t="s">
        <v>72</v>
      </c>
      <c r="F12" s="60" t="s">
        <v>27</v>
      </c>
      <c r="G12" s="47">
        <v>59</v>
      </c>
      <c r="H12" s="133">
        <f>IF(B$17=0,0,G12/B$17)</f>
        <v>6.1013443640124093E-2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4.2141732283464561</v>
      </c>
      <c r="P12" s="120">
        <v>127</v>
      </c>
      <c r="Q12" s="108">
        <v>535.19999999999993</v>
      </c>
    </row>
    <row r="13" spans="1:17" x14ac:dyDescent="0.4">
      <c r="A13" s="58" t="s">
        <v>122</v>
      </c>
      <c r="B13" s="50">
        <v>861</v>
      </c>
      <c r="C13" s="44">
        <f>IF(B$3=0,0,B13/B$3)</f>
        <v>0.26923076923076922</v>
      </c>
      <c r="E13" s="63" t="s">
        <v>87</v>
      </c>
      <c r="F13" s="60" t="s">
        <v>42</v>
      </c>
      <c r="G13" s="47">
        <v>56</v>
      </c>
      <c r="H13" s="133">
        <f>IF(B$17=0,0,G13/B$17)</f>
        <v>5.7911065149948295E-2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691</v>
      </c>
      <c r="C14" s="39">
        <f>IF(B$3=0,0,B14/B$3)</f>
        <v>0.21607254534083803</v>
      </c>
      <c r="E14" s="63" t="s">
        <v>84</v>
      </c>
      <c r="F14" s="60" t="s">
        <v>39</v>
      </c>
      <c r="G14" s="47">
        <v>43</v>
      </c>
      <c r="H14" s="133">
        <f>IF(B$17=0,0,G14/B$17)</f>
        <v>4.4467425025853151E-2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509</v>
      </c>
      <c r="C15" s="37">
        <f>IF(B$13=0,0,B15/B$13)</f>
        <v>0.59117305458768876</v>
      </c>
      <c r="E15" s="63" t="s">
        <v>82</v>
      </c>
      <c r="F15" s="60" t="s">
        <v>37</v>
      </c>
      <c r="G15" s="47">
        <v>31</v>
      </c>
      <c r="H15" s="133">
        <f>IF(B$17=0,0,G15/B$17)</f>
        <v>3.2057911065149949E-2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32.763157894736842</v>
      </c>
      <c r="P15" s="118">
        <v>76</v>
      </c>
      <c r="Q15" s="106">
        <v>2490</v>
      </c>
    </row>
    <row r="16" spans="1:17" x14ac:dyDescent="0.4">
      <c r="A16" s="54" t="s">
        <v>125</v>
      </c>
      <c r="B16" s="46">
        <v>265</v>
      </c>
      <c r="C16" s="37">
        <f>IF(B$14=0,0,B16/B$14)</f>
        <v>0.38350217076700432</v>
      </c>
      <c r="E16" s="63" t="s">
        <v>79</v>
      </c>
      <c r="F16" s="60" t="s">
        <v>34</v>
      </c>
      <c r="G16" s="47">
        <v>17</v>
      </c>
      <c r="H16" s="133">
        <f>IF(B$17=0,0,G16/B$17)</f>
        <v>1.7580144777662874E-2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967</v>
      </c>
      <c r="C17" s="37">
        <f>IF(B$3=0,0,B17/B$3)</f>
        <v>0.30237648530331457</v>
      </c>
      <c r="E17" s="63" t="s">
        <v>92</v>
      </c>
      <c r="F17" s="60" t="s">
        <v>47</v>
      </c>
      <c r="G17" s="47">
        <v>17</v>
      </c>
      <c r="H17" s="133">
        <f>IF(B$17=0,0,G17/B$17)</f>
        <v>1.7580144777662874E-2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9.7227272727272691</v>
      </c>
      <c r="P17" s="119">
        <v>44</v>
      </c>
      <c r="Q17" s="107">
        <v>427.79999999999984</v>
      </c>
    </row>
    <row r="18" spans="1:17" x14ac:dyDescent="0.4">
      <c r="A18" s="55" t="s">
        <v>12</v>
      </c>
      <c r="B18" s="47">
        <v>422</v>
      </c>
      <c r="C18" s="39">
        <f>IF(B$17=0,0,B18/B$17)</f>
        <v>0.4364012409513961</v>
      </c>
      <c r="E18" s="63" t="s">
        <v>180</v>
      </c>
      <c r="F18" s="60" t="s">
        <v>183</v>
      </c>
      <c r="G18" s="47">
        <v>15</v>
      </c>
      <c r="H18" s="133">
        <f>IF(B$17=0,0,G18/B$17)</f>
        <v>1.5511892450879007E-2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9.6385714285714261</v>
      </c>
      <c r="P18" s="119">
        <v>70</v>
      </c>
      <c r="Q18" s="107">
        <v>674.69999999999982</v>
      </c>
    </row>
    <row r="19" spans="1:17" x14ac:dyDescent="0.4">
      <c r="A19" s="55" t="s">
        <v>11</v>
      </c>
      <c r="B19" s="47">
        <v>545</v>
      </c>
      <c r="C19" s="39">
        <f>IF(B$17=0,0,B19/B$17)</f>
        <v>0.5635987590486039</v>
      </c>
      <c r="E19" s="63" t="s">
        <v>80</v>
      </c>
      <c r="F19" s="60" t="s">
        <v>35</v>
      </c>
      <c r="G19" s="47">
        <v>13</v>
      </c>
      <c r="H19" s="133">
        <f>IF(B$17=0,0,G19/B$17)</f>
        <v>1.344364012409514E-2</v>
      </c>
      <c r="I19" s="94">
        <v>6</v>
      </c>
      <c r="K19" s="38">
        <v>17</v>
      </c>
      <c r="L19" s="99">
        <v>8.2999999999999972</v>
      </c>
      <c r="N19" s="115" t="s">
        <v>202</v>
      </c>
      <c r="O19" s="125">
        <f>IF(P19=0,0,Q19/P19)</f>
        <v>4.8299999999999983</v>
      </c>
      <c r="P19" s="119">
        <v>10</v>
      </c>
      <c r="Q19" s="107">
        <v>48.299999999999983</v>
      </c>
    </row>
    <row r="20" spans="1:17" x14ac:dyDescent="0.4">
      <c r="A20" s="55" t="s">
        <v>13</v>
      </c>
      <c r="B20" s="47">
        <v>537</v>
      </c>
      <c r="C20" s="39">
        <f>IF(B$3=0,0,B20/B$3)</f>
        <v>0.16791744840525327</v>
      </c>
      <c r="E20" s="63" t="s">
        <v>76</v>
      </c>
      <c r="F20" s="60" t="s">
        <v>31</v>
      </c>
      <c r="G20" s="47">
        <v>7</v>
      </c>
      <c r="H20" s="133">
        <f>IF(B$17=0,0,G20/B$17)</f>
        <v>7.2388831437435368E-3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3.5265957446808511</v>
      </c>
      <c r="P20" s="119">
        <v>188</v>
      </c>
      <c r="Q20" s="107">
        <v>663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6</v>
      </c>
      <c r="H21" s="133">
        <f>IF(B$17=0,0,G21/B$17)</f>
        <v>6.2047569803516025E-3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1.1511627906976734</v>
      </c>
      <c r="P21" s="119">
        <v>86</v>
      </c>
      <c r="Q21" s="107">
        <v>98.999999999999901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>IF(B$17=0,0,G22/B$17)</f>
        <v>4.1365046535677356E-3</v>
      </c>
      <c r="I22" s="94">
        <v>3</v>
      </c>
      <c r="K22" s="38">
        <v>20</v>
      </c>
      <c r="L22" s="99">
        <v>0.79999999999999716</v>
      </c>
      <c r="N22" s="115" t="s">
        <v>171</v>
      </c>
      <c r="O22" s="125">
        <f>IF(P22=0,0,Q22/P22)</f>
        <v>1.0563829787234067</v>
      </c>
      <c r="P22" s="119">
        <v>94</v>
      </c>
      <c r="Q22" s="107">
        <v>99.300000000000239</v>
      </c>
    </row>
    <row r="23" spans="1:17" x14ac:dyDescent="0.4">
      <c r="A23" s="55" t="s">
        <v>5</v>
      </c>
      <c r="B23" s="51">
        <f>IF(B$17=0,0,C23/B$17)</f>
        <v>8457.7042399172697</v>
      </c>
      <c r="C23" s="41">
        <v>8178600</v>
      </c>
      <c r="E23" s="63" t="s">
        <v>75</v>
      </c>
      <c r="F23" s="60" t="s">
        <v>30</v>
      </c>
      <c r="G23" s="47">
        <v>3</v>
      </c>
      <c r="H23" s="133">
        <f>IF(B$17=0,0,G23/B$17)</f>
        <v>3.1023784901758012E-3</v>
      </c>
      <c r="I23" s="94">
        <v>3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-28.084883720930193</v>
      </c>
      <c r="P23" s="119">
        <v>172</v>
      </c>
      <c r="Q23" s="107">
        <v>-4830.5999999999931</v>
      </c>
    </row>
    <row r="24" spans="1:17" x14ac:dyDescent="0.4">
      <c r="A24" s="57" t="s">
        <v>14</v>
      </c>
      <c r="B24" s="52">
        <f>IF(B$20=0,0,C24/B$20)</f>
        <v>-8050.4655493482305</v>
      </c>
      <c r="C24" s="45">
        <v>-4323100</v>
      </c>
      <c r="E24" s="63" t="s">
        <v>78</v>
      </c>
      <c r="F24" s="60" t="s">
        <v>33</v>
      </c>
      <c r="G24" s="47">
        <v>3</v>
      </c>
      <c r="H24" s="133">
        <f>IF(B$17=0,0,G24/B$17)</f>
        <v>3.1023784901758012E-3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3.1023784901758012E-3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3.1023784901758012E-3</v>
      </c>
      <c r="I26" s="94">
        <v>4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3.1269543464665416E-3</v>
      </c>
      <c r="E27" s="63" t="s">
        <v>89</v>
      </c>
      <c r="F27" s="60" t="s">
        <v>44</v>
      </c>
      <c r="G27" s="47">
        <v>2</v>
      </c>
      <c r="H27" s="133">
        <f>IF(B$17=0,0,G27/B$17)</f>
        <v>2.0682523267838678E-3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2.0682523267838678E-3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1.0341261633919339E-3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1.0341261633919339E-3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1.0341261633919339E-3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A43-6A54-4153-91BB-7A5E464E7E14}">
  <sheetPr codeName="Sheet7"/>
  <dimension ref="A1:Q8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86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0.74060150375939848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2596.5116279069766</v>
      </c>
      <c r="P2" s="118">
        <v>86</v>
      </c>
      <c r="Q2" s="102">
        <v>223300</v>
      </c>
    </row>
    <row r="3" spans="1:17" x14ac:dyDescent="0.4">
      <c r="A3" s="55" t="s">
        <v>8</v>
      </c>
      <c r="B3" s="148">
        <v>696</v>
      </c>
      <c r="C3" s="149"/>
      <c r="E3" s="63" t="s">
        <v>73</v>
      </c>
      <c r="F3" s="60" t="s">
        <v>28</v>
      </c>
      <c r="G3" s="47">
        <v>147</v>
      </c>
      <c r="H3" s="133">
        <f>IF(B$17=0,0,G3/B$17)</f>
        <v>0.55263157894736847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2935.294117647059</v>
      </c>
      <c r="P3" s="119">
        <v>85</v>
      </c>
      <c r="Q3" s="103">
        <v>249500</v>
      </c>
    </row>
    <row r="4" spans="1:17" x14ac:dyDescent="0.4">
      <c r="A4" s="55" t="s">
        <v>6</v>
      </c>
      <c r="B4" s="150">
        <v>1610.200000000001</v>
      </c>
      <c r="C4" s="151"/>
      <c r="E4" s="63" t="s">
        <v>65</v>
      </c>
      <c r="F4" s="60" t="s">
        <v>21</v>
      </c>
      <c r="G4" s="47">
        <v>127</v>
      </c>
      <c r="H4" s="133">
        <f>IF(B$17=0,0,G4/B$17)</f>
        <v>0.47744360902255639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2459.2592592592591</v>
      </c>
      <c r="P4" s="119">
        <v>81</v>
      </c>
      <c r="Q4" s="103">
        <v>199200</v>
      </c>
    </row>
    <row r="5" spans="1:17" x14ac:dyDescent="0.4">
      <c r="A5" s="55" t="s">
        <v>7</v>
      </c>
      <c r="B5" s="152">
        <f>IF(B$2=0,0,B$4/B$2)</f>
        <v>18.7232558139535</v>
      </c>
      <c r="C5" s="153"/>
      <c r="E5" s="63" t="s">
        <v>181</v>
      </c>
      <c r="F5" s="60" t="s">
        <v>182</v>
      </c>
      <c r="G5" s="47">
        <v>110</v>
      </c>
      <c r="H5" s="133">
        <f>IF(B$17=0,0,G5/B$17)</f>
        <v>0.41353383458646614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2674.3243243243242</v>
      </c>
      <c r="P5" s="119">
        <v>74</v>
      </c>
      <c r="Q5" s="103">
        <v>197900</v>
      </c>
    </row>
    <row r="6" spans="1:17" x14ac:dyDescent="0.4">
      <c r="A6" s="55" t="s">
        <v>1</v>
      </c>
      <c r="B6" s="142">
        <f>IF(B$2=0,0,(B$7*1+B$8*2+B$9*3)/B$2)</f>
        <v>1.6162790697674418</v>
      </c>
      <c r="C6" s="143"/>
      <c r="E6" s="63" t="s">
        <v>68</v>
      </c>
      <c r="F6" s="60" t="s">
        <v>24</v>
      </c>
      <c r="G6" s="47">
        <v>83</v>
      </c>
      <c r="H6" s="133">
        <f>IF(B$17=0,0,G6/B$17)</f>
        <v>0.31203007518796994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-86.36363636363636</v>
      </c>
      <c r="P6" s="119">
        <v>66</v>
      </c>
      <c r="Q6" s="103">
        <v>-5700</v>
      </c>
    </row>
    <row r="7" spans="1:17" x14ac:dyDescent="0.4">
      <c r="A7" s="55" t="s">
        <v>2</v>
      </c>
      <c r="B7" s="47">
        <v>49</v>
      </c>
      <c r="C7" s="39">
        <f>IF(B$2=0,0,B7/B$2)</f>
        <v>0.56976744186046513</v>
      </c>
      <c r="E7" s="63" t="s">
        <v>69</v>
      </c>
      <c r="F7" s="60" t="s">
        <v>12</v>
      </c>
      <c r="G7" s="47">
        <v>71</v>
      </c>
      <c r="H7" s="133">
        <f>IF(B$17=0,0,G7/B$17)</f>
        <v>0.26691729323308272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1327.8688524590164</v>
      </c>
      <c r="P7" s="120">
        <v>61</v>
      </c>
      <c r="Q7" s="104">
        <v>81000</v>
      </c>
    </row>
    <row r="8" spans="1:17" x14ac:dyDescent="0.4">
      <c r="A8" s="55" t="s">
        <v>3</v>
      </c>
      <c r="B8" s="47">
        <v>21</v>
      </c>
      <c r="C8" s="39">
        <f>IF(B$2=0,0,B8/B$2)</f>
        <v>0.2441860465116279</v>
      </c>
      <c r="E8" s="63" t="s">
        <v>70</v>
      </c>
      <c r="F8" s="60" t="s">
        <v>25</v>
      </c>
      <c r="G8" s="47">
        <v>47</v>
      </c>
      <c r="H8" s="133">
        <f>IF(B$17=0,0,G8/B$17)</f>
        <v>0.17669172932330826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0.18604651162790697</v>
      </c>
      <c r="E9" s="63" t="s">
        <v>90</v>
      </c>
      <c r="F9" s="60" t="s">
        <v>45</v>
      </c>
      <c r="G9" s="47">
        <v>46</v>
      </c>
      <c r="H9" s="133">
        <f>IF(B$17=0,0,G9/B$17)</f>
        <v>0.17293233082706766</v>
      </c>
      <c r="I9" s="94">
        <v>3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5.8139534883720929E-2</v>
      </c>
      <c r="E10" s="63" t="s">
        <v>66</v>
      </c>
      <c r="F10" s="60" t="s">
        <v>22</v>
      </c>
      <c r="G10" s="47">
        <v>40</v>
      </c>
      <c r="H10" s="133">
        <f>IF(B$17=0,0,G10/B$17)</f>
        <v>0.15037593984962405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23.591999999999999</v>
      </c>
      <c r="P10" s="118">
        <v>25</v>
      </c>
      <c r="Q10" s="106">
        <v>589.79999999999995</v>
      </c>
    </row>
    <row r="11" spans="1:17" x14ac:dyDescent="0.4">
      <c r="A11" s="56" t="s">
        <v>140</v>
      </c>
      <c r="B11" s="48">
        <v>15</v>
      </c>
      <c r="C11" s="40">
        <f>IF(B$2=0,0,B11/B$2)</f>
        <v>0.1744186046511628</v>
      </c>
      <c r="E11" s="63" t="s">
        <v>71</v>
      </c>
      <c r="F11" s="60" t="s">
        <v>26</v>
      </c>
      <c r="G11" s="47">
        <v>22</v>
      </c>
      <c r="H11" s="133">
        <f>IF(B$17=0,0,G11/B$17)</f>
        <v>8.2706766917293228E-2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13.444444444444443</v>
      </c>
      <c r="P11" s="119">
        <v>27</v>
      </c>
      <c r="Q11" s="107">
        <v>362.99999999999994</v>
      </c>
    </row>
    <row r="12" spans="1:17" x14ac:dyDescent="0.4">
      <c r="A12" s="57" t="s">
        <v>160</v>
      </c>
      <c r="B12" s="49">
        <v>17</v>
      </c>
      <c r="C12" s="42">
        <f>IF(B$2=0,0,B12/B$2)</f>
        <v>0.19767441860465115</v>
      </c>
      <c r="E12" s="63" t="s">
        <v>87</v>
      </c>
      <c r="F12" s="60" t="s">
        <v>42</v>
      </c>
      <c r="G12" s="47">
        <v>20</v>
      </c>
      <c r="H12" s="133">
        <f>IF(B$17=0,0,G12/B$17)</f>
        <v>7.5187969924812026E-2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19.335294117647067</v>
      </c>
      <c r="P12" s="120">
        <v>34</v>
      </c>
      <c r="Q12" s="108">
        <v>657.4000000000002</v>
      </c>
    </row>
    <row r="13" spans="1:17" x14ac:dyDescent="0.4">
      <c r="A13" s="58" t="s">
        <v>122</v>
      </c>
      <c r="B13" s="50">
        <v>232</v>
      </c>
      <c r="C13" s="44">
        <f>IF(B$3=0,0,B13/B$3)</f>
        <v>0.33333333333333331</v>
      </c>
      <c r="E13" s="63" t="s">
        <v>72</v>
      </c>
      <c r="F13" s="60" t="s">
        <v>27</v>
      </c>
      <c r="G13" s="47">
        <v>17</v>
      </c>
      <c r="H13" s="133">
        <f>IF(B$17=0,0,G13/B$17)</f>
        <v>6.3909774436090222E-2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162</v>
      </c>
      <c r="C14" s="39">
        <f>IF(B$3=0,0,B14/B$3)</f>
        <v>0.23275862068965517</v>
      </c>
      <c r="E14" s="63" t="s">
        <v>84</v>
      </c>
      <c r="F14" s="60" t="s">
        <v>39</v>
      </c>
      <c r="G14" s="47">
        <v>15</v>
      </c>
      <c r="H14" s="133">
        <f>IF(B$17=0,0,G14/B$17)</f>
        <v>5.6390977443609019E-2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138</v>
      </c>
      <c r="C15" s="37">
        <f>IF(B$13=0,0,B15/B$13)</f>
        <v>0.59482758620689657</v>
      </c>
      <c r="E15" s="63" t="s">
        <v>82</v>
      </c>
      <c r="F15" s="60" t="s">
        <v>37</v>
      </c>
      <c r="G15" s="47">
        <v>10</v>
      </c>
      <c r="H15" s="133">
        <f>IF(B$17=0,0,G15/B$17)</f>
        <v>3.7593984962406013E-2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88</v>
      </c>
      <c r="C16" s="37">
        <f>IF(B$14=0,0,B16/B$14)</f>
        <v>0.54320987654320985</v>
      </c>
      <c r="E16" s="63" t="s">
        <v>180</v>
      </c>
      <c r="F16" s="60" t="s">
        <v>183</v>
      </c>
      <c r="G16" s="47">
        <v>8</v>
      </c>
      <c r="H16" s="133">
        <f>IF(B$17=0,0,G16/B$17)</f>
        <v>3.007518796992481E-2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266</v>
      </c>
      <c r="C17" s="37">
        <f>IF(B$3=0,0,B17/B$3)</f>
        <v>0.38218390804597702</v>
      </c>
      <c r="E17" s="63" t="s">
        <v>79</v>
      </c>
      <c r="F17" s="60" t="s">
        <v>34</v>
      </c>
      <c r="G17" s="47">
        <v>4</v>
      </c>
      <c r="H17" s="133">
        <f>IF(B$17=0,0,G17/B$17)</f>
        <v>1.5037593984962405E-2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115</v>
      </c>
      <c r="C18" s="39">
        <f>IF(B$17=0,0,B18/B$17)</f>
        <v>0.43233082706766918</v>
      </c>
      <c r="E18" s="63" t="s">
        <v>92</v>
      </c>
      <c r="F18" s="60" t="s">
        <v>47</v>
      </c>
      <c r="G18" s="47">
        <v>4</v>
      </c>
      <c r="H18" s="133">
        <f>IF(B$17=0,0,G18/B$17)</f>
        <v>1.5037593984962405E-2</v>
      </c>
      <c r="I18" s="94">
        <v>5</v>
      </c>
      <c r="K18" s="38">
        <v>16</v>
      </c>
      <c r="L18" s="99">
        <v>425.50000000000006</v>
      </c>
      <c r="N18" s="115" t="s">
        <v>173</v>
      </c>
      <c r="O18" s="125">
        <f>IF(P18=0,0,Q18/P18)</f>
        <v>29.17647058823529</v>
      </c>
      <c r="P18" s="119">
        <v>17</v>
      </c>
      <c r="Q18" s="107">
        <v>495.99999999999994</v>
      </c>
    </row>
    <row r="19" spans="1:17" x14ac:dyDescent="0.4">
      <c r="A19" s="55" t="s">
        <v>11</v>
      </c>
      <c r="B19" s="47">
        <v>151</v>
      </c>
      <c r="C19" s="39">
        <f>IF(B$17=0,0,B19/B$17)</f>
        <v>0.56766917293233088</v>
      </c>
      <c r="E19" s="63" t="s">
        <v>80</v>
      </c>
      <c r="F19" s="60" t="s">
        <v>35</v>
      </c>
      <c r="G19" s="47">
        <v>3</v>
      </c>
      <c r="H19" s="133">
        <f>IF(B$17=0,0,G19/B$17)</f>
        <v>1.1278195488721804E-2</v>
      </c>
      <c r="I19" s="94">
        <v>7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111</v>
      </c>
      <c r="C20" s="39">
        <f>IF(B$3=0,0,B20/B$3)</f>
        <v>0.15948275862068967</v>
      </c>
      <c r="E20" s="63" t="s">
        <v>74</v>
      </c>
      <c r="F20" s="60" t="s">
        <v>29</v>
      </c>
      <c r="G20" s="47">
        <v>2</v>
      </c>
      <c r="H20" s="133">
        <f>IF(B$17=0,0,G20/B$17)</f>
        <v>7.5187969924812026E-3</v>
      </c>
      <c r="I20" s="94">
        <v>3</v>
      </c>
      <c r="K20" s="38">
        <v>18</v>
      </c>
      <c r="L20" s="99">
        <v>429.3</v>
      </c>
      <c r="N20" s="115" t="s">
        <v>172</v>
      </c>
      <c r="O20" s="125">
        <f>IF(P20=0,0,Q20/P20)</f>
        <v>27.365217391304352</v>
      </c>
      <c r="P20" s="119">
        <v>23</v>
      </c>
      <c r="Q20" s="107">
        <v>629.40000000000009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3.7593984962406013E-3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3.7593984962406013E-3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19.601515151515159</v>
      </c>
      <c r="P22" s="119">
        <v>66</v>
      </c>
      <c r="Q22" s="107">
        <v>1293.7000000000005</v>
      </c>
    </row>
    <row r="23" spans="1:17" x14ac:dyDescent="0.4">
      <c r="A23" s="55" t="s">
        <v>5</v>
      </c>
      <c r="B23" s="51">
        <f>IF(B$17=0,0,C23/B$17)</f>
        <v>9200.7518796992481</v>
      </c>
      <c r="C23" s="41">
        <v>2447400</v>
      </c>
      <c r="E23" s="63" t="s">
        <v>88</v>
      </c>
      <c r="F23" s="60" t="s">
        <v>43</v>
      </c>
      <c r="G23" s="47">
        <v>1</v>
      </c>
      <c r="H23" s="133">
        <f>IF(B$17=0,0,G23/B$17)</f>
        <v>3.7593984962406013E-3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18.848148148148145</v>
      </c>
      <c r="P23" s="119">
        <v>27</v>
      </c>
      <c r="Q23" s="107">
        <v>508.89999999999986</v>
      </c>
    </row>
    <row r="24" spans="1:17" x14ac:dyDescent="0.4">
      <c r="A24" s="57" t="s">
        <v>14</v>
      </c>
      <c r="B24" s="52">
        <f>IF(B$20=0,0,C24/B$20)</f>
        <v>-7783.7837837837842</v>
      </c>
      <c r="C24" s="45">
        <v>-864000</v>
      </c>
      <c r="E24" s="63" t="s">
        <v>91</v>
      </c>
      <c r="F24" s="60" t="s">
        <v>46</v>
      </c>
      <c r="G24" s="47">
        <v>1</v>
      </c>
      <c r="H24" s="133">
        <f>IF(B$17=0,0,G24/B$17)</f>
        <v>3.7593984962406013E-3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3.7593984962406013E-3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3.7593984962406013E-3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3.7593984962406013E-3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061C-DD39-4B74-836A-1E15D6181904}">
  <sheetPr codeName="Sheet9"/>
  <dimension ref="A1:Q96"/>
  <sheetViews>
    <sheetView showGridLines="0" topLeftCell="A24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94</v>
      </c>
      <c r="C2" s="147"/>
      <c r="E2" s="62" t="s">
        <v>67</v>
      </c>
      <c r="F2" s="59" t="s">
        <v>23</v>
      </c>
      <c r="G2" s="46">
        <v>169</v>
      </c>
      <c r="H2" s="132">
        <f>IF(B$17=0,0,G2/B$17)</f>
        <v>0.76126126126126126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793.61702127659578</v>
      </c>
      <c r="P2" s="118">
        <v>94</v>
      </c>
      <c r="Q2" s="102">
        <v>74600</v>
      </c>
    </row>
    <row r="3" spans="1:17" x14ac:dyDescent="0.4">
      <c r="A3" s="55" t="s">
        <v>8</v>
      </c>
      <c r="B3" s="148">
        <v>792</v>
      </c>
      <c r="C3" s="149"/>
      <c r="E3" s="63" t="s">
        <v>65</v>
      </c>
      <c r="F3" s="60" t="s">
        <v>21</v>
      </c>
      <c r="G3" s="47">
        <v>131</v>
      </c>
      <c r="H3" s="133">
        <f>IF(B$17=0,0,G3/B$17)</f>
        <v>0.59009009009009006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-2486.0215053763441</v>
      </c>
      <c r="P3" s="119">
        <v>93</v>
      </c>
      <c r="Q3" s="103">
        <v>-231200</v>
      </c>
    </row>
    <row r="4" spans="1:17" x14ac:dyDescent="0.4">
      <c r="A4" s="55" t="s">
        <v>6</v>
      </c>
      <c r="B4" s="150">
        <v>-221.00000000000003</v>
      </c>
      <c r="C4" s="151"/>
      <c r="E4" s="63" t="s">
        <v>73</v>
      </c>
      <c r="F4" s="60" t="s">
        <v>28</v>
      </c>
      <c r="G4" s="47">
        <v>102</v>
      </c>
      <c r="H4" s="133">
        <f>IF(B$17=0,0,G4/B$17)</f>
        <v>0.45945945945945948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-675.55555555555554</v>
      </c>
      <c r="P4" s="119">
        <v>90</v>
      </c>
      <c r="Q4" s="103">
        <v>-60800</v>
      </c>
    </row>
    <row r="5" spans="1:17" x14ac:dyDescent="0.4">
      <c r="A5" s="55" t="s">
        <v>7</v>
      </c>
      <c r="B5" s="152">
        <f>IF(B$2=0,0,B$4/B$2)</f>
        <v>-2.3510638297872344</v>
      </c>
      <c r="C5" s="153"/>
      <c r="E5" s="63" t="s">
        <v>181</v>
      </c>
      <c r="F5" s="60" t="s">
        <v>182</v>
      </c>
      <c r="G5" s="47">
        <v>96</v>
      </c>
      <c r="H5" s="133">
        <f>IF(B$17=0,0,G5/B$17)</f>
        <v>0.43243243243243246</v>
      </c>
      <c r="I5" s="94">
        <v>1</v>
      </c>
      <c r="K5" s="38">
        <v>3</v>
      </c>
      <c r="L5" s="99">
        <v>-47.300000000000004</v>
      </c>
      <c r="N5" s="115" t="s">
        <v>135</v>
      </c>
      <c r="O5" s="122">
        <f t="shared" si="0"/>
        <v>901.23456790123453</v>
      </c>
      <c r="P5" s="119">
        <v>81</v>
      </c>
      <c r="Q5" s="103">
        <v>73000</v>
      </c>
    </row>
    <row r="6" spans="1:17" x14ac:dyDescent="0.4">
      <c r="A6" s="55" t="s">
        <v>1</v>
      </c>
      <c r="B6" s="142">
        <f>IF(B$2=0,0,(B$7*1+B$8*2+B$9*3)/B$2)</f>
        <v>2.0638297872340425</v>
      </c>
      <c r="C6" s="143"/>
      <c r="E6" s="63" t="s">
        <v>68</v>
      </c>
      <c r="F6" s="60" t="s">
        <v>24</v>
      </c>
      <c r="G6" s="47">
        <v>73</v>
      </c>
      <c r="H6" s="133">
        <f>IF(B$17=0,0,G6/B$17)</f>
        <v>0.32882882882882886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237.83783783783784</v>
      </c>
      <c r="P6" s="119">
        <v>74</v>
      </c>
      <c r="Q6" s="103">
        <v>17600</v>
      </c>
    </row>
    <row r="7" spans="1:17" x14ac:dyDescent="0.4">
      <c r="A7" s="55" t="s">
        <v>2</v>
      </c>
      <c r="B7" s="47">
        <v>25</v>
      </c>
      <c r="C7" s="39">
        <f>IF(B$2=0,0,B7/B$2)</f>
        <v>0.26595744680851063</v>
      </c>
      <c r="E7" s="63" t="s">
        <v>69</v>
      </c>
      <c r="F7" s="60" t="s">
        <v>12</v>
      </c>
      <c r="G7" s="47">
        <v>73</v>
      </c>
      <c r="H7" s="133">
        <f>IF(B$17=0,0,G7/B$17)</f>
        <v>0.32882882882882886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373.91304347826087</v>
      </c>
      <c r="P7" s="120">
        <v>69</v>
      </c>
      <c r="Q7" s="104">
        <v>25800</v>
      </c>
    </row>
    <row r="8" spans="1:17" x14ac:dyDescent="0.4">
      <c r="A8" s="55" t="s">
        <v>3</v>
      </c>
      <c r="B8" s="47">
        <v>38</v>
      </c>
      <c r="C8" s="39">
        <f>IF(B$2=0,0,B8/B$2)</f>
        <v>0.40425531914893614</v>
      </c>
      <c r="E8" s="63" t="s">
        <v>70</v>
      </c>
      <c r="F8" s="60" t="s">
        <v>25</v>
      </c>
      <c r="G8" s="47">
        <v>48</v>
      </c>
      <c r="H8" s="133">
        <f>IF(B$17=0,0,G8/B$17)</f>
        <v>0.21621621621621623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0.32978723404255317</v>
      </c>
      <c r="E9" s="63" t="s">
        <v>66</v>
      </c>
      <c r="F9" s="60" t="s">
        <v>22</v>
      </c>
      <c r="G9" s="47">
        <v>38</v>
      </c>
      <c r="H9" s="133">
        <f>IF(B$17=0,0,G9/B$17)</f>
        <v>0.17117117117117117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0.1276595744680851</v>
      </c>
      <c r="E10" s="63" t="s">
        <v>71</v>
      </c>
      <c r="F10" s="60" t="s">
        <v>26</v>
      </c>
      <c r="G10" s="47">
        <v>27</v>
      </c>
      <c r="H10" s="133">
        <f>IF(B$17=0,0,G10/B$17)</f>
        <v>0.12162162162162163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-3.3693877551020415</v>
      </c>
      <c r="P10" s="118">
        <v>49</v>
      </c>
      <c r="Q10" s="106">
        <v>-165.10000000000002</v>
      </c>
    </row>
    <row r="11" spans="1:17" x14ac:dyDescent="0.4">
      <c r="A11" s="56" t="s">
        <v>140</v>
      </c>
      <c r="B11" s="48">
        <v>8</v>
      </c>
      <c r="C11" s="40">
        <f>IF(B$2=0,0,B11/B$2)</f>
        <v>8.5106382978723402E-2</v>
      </c>
      <c r="E11" s="63" t="s">
        <v>90</v>
      </c>
      <c r="F11" s="60" t="s">
        <v>45</v>
      </c>
      <c r="G11" s="47">
        <v>21</v>
      </c>
      <c r="H11" s="133">
        <f>IF(B$17=0,0,G11/B$17)</f>
        <v>9.45945945945946E-2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7</v>
      </c>
      <c r="C12" s="42">
        <f>IF(B$2=0,0,B12/B$2)</f>
        <v>7.4468085106382975E-2</v>
      </c>
      <c r="E12" s="63" t="s">
        <v>72</v>
      </c>
      <c r="F12" s="60" t="s">
        <v>27</v>
      </c>
      <c r="G12" s="47">
        <v>12</v>
      </c>
      <c r="H12" s="133">
        <f>IF(B$17=0,0,G12/B$17)</f>
        <v>5.4054054054054057E-2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228</v>
      </c>
      <c r="C13" s="44">
        <f>IF(B$3=0,0,B13/B$3)</f>
        <v>0.2878787878787879</v>
      </c>
      <c r="E13" s="63" t="s">
        <v>87</v>
      </c>
      <c r="F13" s="60" t="s">
        <v>42</v>
      </c>
      <c r="G13" s="47">
        <v>12</v>
      </c>
      <c r="H13" s="133">
        <f>IF(B$17=0,0,G13/B$17)</f>
        <v>5.4054054054054057E-2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151</v>
      </c>
      <c r="C14" s="39">
        <f>IF(B$3=0,0,B14/B$3)</f>
        <v>0.19065656565656566</v>
      </c>
      <c r="E14" s="63" t="s">
        <v>82</v>
      </c>
      <c r="F14" s="60" t="s">
        <v>37</v>
      </c>
      <c r="G14" s="47">
        <v>8</v>
      </c>
      <c r="H14" s="133">
        <f>IF(B$17=0,0,G14/B$17)</f>
        <v>3.6036036036036036E-2</v>
      </c>
      <c r="I14" s="94">
        <v>6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139</v>
      </c>
      <c r="C15" s="37">
        <f>IF(B$13=0,0,B15/B$13)</f>
        <v>0.60964912280701755</v>
      </c>
      <c r="E15" s="63" t="s">
        <v>84</v>
      </c>
      <c r="F15" s="60" t="s">
        <v>39</v>
      </c>
      <c r="G15" s="47">
        <v>7</v>
      </c>
      <c r="H15" s="133">
        <f>IF(B$17=0,0,G15/B$17)</f>
        <v>3.1531531531531529E-2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41</v>
      </c>
      <c r="C16" s="37">
        <f>IF(B$14=0,0,B16/B$14)</f>
        <v>0.27152317880794702</v>
      </c>
      <c r="E16" s="63" t="s">
        <v>92</v>
      </c>
      <c r="F16" s="60" t="s">
        <v>47</v>
      </c>
      <c r="G16" s="47">
        <v>6</v>
      </c>
      <c r="H16" s="133">
        <f>IF(B$17=0,0,G16/B$17)</f>
        <v>2.7027027027027029E-2</v>
      </c>
      <c r="I16" s="94">
        <v>2</v>
      </c>
      <c r="K16" s="38">
        <v>14</v>
      </c>
      <c r="L16" s="99">
        <v>-25.600000000000009</v>
      </c>
      <c r="N16" s="115" t="s">
        <v>202</v>
      </c>
      <c r="O16" s="125">
        <f>IF(P16=0,0,Q16/P16)</f>
        <v>25</v>
      </c>
      <c r="P16" s="119">
        <v>1</v>
      </c>
      <c r="Q16" s="107">
        <v>25</v>
      </c>
    </row>
    <row r="17" spans="1:17" x14ac:dyDescent="0.4">
      <c r="A17" s="54" t="s">
        <v>10</v>
      </c>
      <c r="B17" s="46">
        <f>B19+B18</f>
        <v>222</v>
      </c>
      <c r="C17" s="37">
        <f>IF(B$3=0,0,B17/B$3)</f>
        <v>0.28030303030303028</v>
      </c>
      <c r="E17" s="63" t="s">
        <v>80</v>
      </c>
      <c r="F17" s="60" t="s">
        <v>35</v>
      </c>
      <c r="G17" s="47">
        <v>4</v>
      </c>
      <c r="H17" s="133">
        <f>IF(B$17=0,0,G17/B$17)</f>
        <v>1.8018018018018018E-2</v>
      </c>
      <c r="I17" s="94">
        <v>3</v>
      </c>
      <c r="K17" s="38">
        <v>15</v>
      </c>
      <c r="L17" s="99">
        <v>47.999999999999986</v>
      </c>
      <c r="N17" s="115" t="s">
        <v>172</v>
      </c>
      <c r="O17" s="125">
        <f>IF(P17=0,0,Q17/P17)</f>
        <v>7.2538461538461538</v>
      </c>
      <c r="P17" s="119">
        <v>26</v>
      </c>
      <c r="Q17" s="107">
        <v>188.6</v>
      </c>
    </row>
    <row r="18" spans="1:17" x14ac:dyDescent="0.4">
      <c r="A18" s="55" t="s">
        <v>12</v>
      </c>
      <c r="B18" s="47">
        <v>92</v>
      </c>
      <c r="C18" s="39">
        <f>IF(B$17=0,0,B18/B$17)</f>
        <v>0.4144144144144144</v>
      </c>
      <c r="E18" s="63" t="s">
        <v>180</v>
      </c>
      <c r="F18" s="60" t="s">
        <v>183</v>
      </c>
      <c r="G18" s="47">
        <v>4</v>
      </c>
      <c r="H18" s="133">
        <f>IF(B$17=0,0,G18/B$17)</f>
        <v>1.8018018018018018E-2</v>
      </c>
      <c r="I18" s="94">
        <v>3</v>
      </c>
      <c r="K18" s="38">
        <v>16</v>
      </c>
      <c r="L18" s="99">
        <v>41.699999999999989</v>
      </c>
      <c r="N18" s="115" t="s">
        <v>129</v>
      </c>
      <c r="O18" s="125">
        <f>IF(P18=0,0,Q18/P18)</f>
        <v>6.103703703703701</v>
      </c>
      <c r="P18" s="119">
        <v>27</v>
      </c>
      <c r="Q18" s="107">
        <v>164.79999999999993</v>
      </c>
    </row>
    <row r="19" spans="1:17" x14ac:dyDescent="0.4">
      <c r="A19" s="55" t="s">
        <v>11</v>
      </c>
      <c r="B19" s="47">
        <v>130</v>
      </c>
      <c r="C19" s="39">
        <f>IF(B$17=0,0,B19/B$17)</f>
        <v>0.5855855855855856</v>
      </c>
      <c r="E19" s="63" t="s">
        <v>75</v>
      </c>
      <c r="F19" s="60" t="s">
        <v>30</v>
      </c>
      <c r="G19" s="47">
        <v>2</v>
      </c>
      <c r="H19" s="133">
        <f>IF(B$17=0,0,G19/B$17)</f>
        <v>9.0090090090090089E-3</v>
      </c>
      <c r="I19" s="94">
        <v>2</v>
      </c>
      <c r="K19" s="38">
        <v>17</v>
      </c>
      <c r="L19" s="99">
        <v>94.6</v>
      </c>
      <c r="N19" s="115" t="s">
        <v>177</v>
      </c>
      <c r="O19" s="125">
        <f>IF(P19=0,0,Q19/P19)</f>
        <v>4.1411764705882348</v>
      </c>
      <c r="P19" s="119">
        <v>17</v>
      </c>
      <c r="Q19" s="107">
        <v>70.399999999999991</v>
      </c>
    </row>
    <row r="20" spans="1:17" x14ac:dyDescent="0.4">
      <c r="A20" s="55" t="s">
        <v>13</v>
      </c>
      <c r="B20" s="47">
        <v>134</v>
      </c>
      <c r="C20" s="39">
        <f>IF(B$3=0,0,B20/B$3)</f>
        <v>0.1691919191919192</v>
      </c>
      <c r="E20" s="63" t="s">
        <v>76</v>
      </c>
      <c r="F20" s="60" t="s">
        <v>31</v>
      </c>
      <c r="G20" s="47">
        <v>2</v>
      </c>
      <c r="H20" s="133">
        <f>IF(B$17=0,0,G20/B$17)</f>
        <v>9.0090090090090089E-3</v>
      </c>
      <c r="I20" s="94">
        <v>4</v>
      </c>
      <c r="K20" s="38">
        <v>18</v>
      </c>
      <c r="L20" s="99">
        <v>116.69999999999999</v>
      </c>
      <c r="N20" s="115" t="s">
        <v>171</v>
      </c>
      <c r="O20" s="125">
        <f>IF(P20=0,0,Q20/P20)</f>
        <v>2.2307692307692384</v>
      </c>
      <c r="P20" s="119">
        <v>26</v>
      </c>
      <c r="Q20" s="107">
        <v>58.000000000000199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9.0090090090090089E-3</v>
      </c>
      <c r="I21" s="94">
        <v>9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>IF(B$17=0,0,G22/B$17)</f>
        <v>4.5045045045045045E-3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-19.601515151515159</v>
      </c>
      <c r="P22" s="119">
        <v>66</v>
      </c>
      <c r="Q22" s="107">
        <v>-1293.7000000000005</v>
      </c>
    </row>
    <row r="23" spans="1:17" x14ac:dyDescent="0.4">
      <c r="A23" s="55" t="s">
        <v>5</v>
      </c>
      <c r="B23" s="51">
        <f>IF(B$17=0,0,C23/B$17)</f>
        <v>9233.7837837837833</v>
      </c>
      <c r="C23" s="41">
        <v>2049900</v>
      </c>
      <c r="E23" s="63" t="s">
        <v>78</v>
      </c>
      <c r="F23" s="60" t="s">
        <v>33</v>
      </c>
      <c r="G23" s="47">
        <v>1</v>
      </c>
      <c r="H23" s="133">
        <f>IF(B$17=0,0,G23/B$17)</f>
        <v>4.5045045045045045E-3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-7811.940298507463</v>
      </c>
      <c r="C24" s="45">
        <v>-1046800</v>
      </c>
      <c r="E24" s="63" t="s">
        <v>85</v>
      </c>
      <c r="F24" s="60" t="s">
        <v>40</v>
      </c>
      <c r="G24" s="47">
        <v>1</v>
      </c>
      <c r="H24" s="133">
        <f>IF(B$17=0,0,G24/B$17)</f>
        <v>4.5045045045045045E-3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4.5045045045045045E-3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4.5045045045045045E-3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6.313131313131313E-3</v>
      </c>
      <c r="E27" s="63" t="s">
        <v>94</v>
      </c>
      <c r="F27" s="60" t="s">
        <v>49</v>
      </c>
      <c r="G27" s="47">
        <v>1</v>
      </c>
      <c r="H27" s="133">
        <f>IF(B$17=0,0,G27/B$17)</f>
        <v>4.5045045045045045E-3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4.5045045045045045E-3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65B5-8407-4B5C-A125-4CBCCD477218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53</v>
      </c>
      <c r="H2" s="132">
        <f>IF(B$17=0,0,G2/B$17)</f>
        <v>0.81538461538461537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-2836.8421052631579</v>
      </c>
      <c r="P2" s="118">
        <v>38</v>
      </c>
      <c r="Q2" s="102">
        <v>-107800</v>
      </c>
    </row>
    <row r="3" spans="1:17" x14ac:dyDescent="0.4">
      <c r="A3" s="55" t="s">
        <v>8</v>
      </c>
      <c r="B3" s="148">
        <v>309</v>
      </c>
      <c r="C3" s="149"/>
      <c r="E3" s="63" t="s">
        <v>65</v>
      </c>
      <c r="F3" s="60" t="s">
        <v>21</v>
      </c>
      <c r="G3" s="47">
        <v>37</v>
      </c>
      <c r="H3" s="133">
        <f>IF(B$17=0,0,G3/B$17)</f>
        <v>0.56923076923076921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-3252.6315789473683</v>
      </c>
      <c r="P3" s="119">
        <v>38</v>
      </c>
      <c r="Q3" s="103">
        <v>-123600</v>
      </c>
    </row>
    <row r="4" spans="1:17" x14ac:dyDescent="0.4">
      <c r="A4" s="55" t="s">
        <v>6</v>
      </c>
      <c r="B4" s="150">
        <v>-829.99999999999989</v>
      </c>
      <c r="C4" s="151"/>
      <c r="E4" s="63" t="s">
        <v>69</v>
      </c>
      <c r="F4" s="60" t="s">
        <v>12</v>
      </c>
      <c r="G4" s="47">
        <v>26</v>
      </c>
      <c r="H4" s="133">
        <f>IF(B$17=0,0,G4/B$17)</f>
        <v>0.4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-1208.5714285714287</v>
      </c>
      <c r="P4" s="119">
        <v>35</v>
      </c>
      <c r="Q4" s="103">
        <v>-42300</v>
      </c>
    </row>
    <row r="5" spans="1:17" x14ac:dyDescent="0.4">
      <c r="A5" s="55" t="s">
        <v>7</v>
      </c>
      <c r="B5" s="152">
        <f>IF(B$2=0,0,B$4/B$2)</f>
        <v>-21.84210526315789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0.4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-6190</v>
      </c>
      <c r="P5" s="119">
        <v>30</v>
      </c>
      <c r="Q5" s="103">
        <v>-185700</v>
      </c>
    </row>
    <row r="6" spans="1:17" x14ac:dyDescent="0.4">
      <c r="A6" s="55" t="s">
        <v>1</v>
      </c>
      <c r="B6" s="142">
        <f>IF(B$2=0,0,(B$7*1+B$8*2+B$9*3)/B$2)</f>
        <v>2.3684210526315788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0.35384615384615387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-1188.8888888888889</v>
      </c>
      <c r="P6" s="119">
        <v>27</v>
      </c>
      <c r="Q6" s="103">
        <v>-32100</v>
      </c>
    </row>
    <row r="7" spans="1:17" x14ac:dyDescent="0.4">
      <c r="A7" s="55" t="s">
        <v>2</v>
      </c>
      <c r="B7" s="47">
        <v>7</v>
      </c>
      <c r="C7" s="39">
        <f>IF(B$2=0,0,B7/B$2)</f>
        <v>0.18421052631578946</v>
      </c>
      <c r="E7" s="63" t="s">
        <v>73</v>
      </c>
      <c r="F7" s="60" t="s">
        <v>28</v>
      </c>
      <c r="G7" s="47">
        <v>20</v>
      </c>
      <c r="H7" s="133">
        <f>IF(B$17=0,0,G7/B$17)</f>
        <v>0.30769230769230771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-1584</v>
      </c>
      <c r="P7" s="120">
        <v>25</v>
      </c>
      <c r="Q7" s="104">
        <v>-39600</v>
      </c>
    </row>
    <row r="8" spans="1:17" x14ac:dyDescent="0.4">
      <c r="A8" s="55" t="s">
        <v>3</v>
      </c>
      <c r="B8" s="47">
        <v>10</v>
      </c>
      <c r="C8" s="39">
        <f>IF(B$2=0,0,B8/B$2)</f>
        <v>0.26315789473684209</v>
      </c>
      <c r="E8" s="63" t="s">
        <v>70</v>
      </c>
      <c r="F8" s="60" t="s">
        <v>25</v>
      </c>
      <c r="G8" s="47">
        <v>16</v>
      </c>
      <c r="H8" s="133">
        <f>IF(B$17=0,0,G8/B$17)</f>
        <v>0.24615384615384617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0.55263157894736847</v>
      </c>
      <c r="E9" s="63" t="s">
        <v>71</v>
      </c>
      <c r="F9" s="60" t="s">
        <v>26</v>
      </c>
      <c r="G9" s="47">
        <v>14</v>
      </c>
      <c r="H9" s="133">
        <f>IF(B$17=0,0,G9/B$17)</f>
        <v>0.2153846153846154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0.21052631578947367</v>
      </c>
      <c r="E10" s="63" t="s">
        <v>72</v>
      </c>
      <c r="F10" s="60" t="s">
        <v>27</v>
      </c>
      <c r="G10" s="47">
        <v>8</v>
      </c>
      <c r="H10" s="133">
        <f>IF(B$17=0,0,G10/B$17)</f>
        <v>0.12307692307692308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90</v>
      </c>
      <c r="F11" s="60" t="s">
        <v>45</v>
      </c>
      <c r="G11" s="47">
        <v>6</v>
      </c>
      <c r="H11" s="133">
        <f>IF(B$17=0,0,G11/B$17)</f>
        <v>9.2307692307692313E-2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66</v>
      </c>
      <c r="F12" s="60" t="s">
        <v>22</v>
      </c>
      <c r="G12" s="47">
        <v>5</v>
      </c>
      <c r="H12" s="133">
        <f>IF(B$17=0,0,G12/B$17)</f>
        <v>7.6923076923076927E-2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77</v>
      </c>
      <c r="C13" s="44">
        <f>IF(B$3=0,0,B13/B$3)</f>
        <v>0.24919093851132687</v>
      </c>
      <c r="E13" s="63" t="s">
        <v>87</v>
      </c>
      <c r="F13" s="60" t="s">
        <v>42</v>
      </c>
      <c r="G13" s="47">
        <v>2</v>
      </c>
      <c r="H13" s="133">
        <f>IF(B$17=0,0,G13/B$17)</f>
        <v>3.0769230769230771E-2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0.14563106796116504</v>
      </c>
      <c r="E14" s="63" t="s">
        <v>78</v>
      </c>
      <c r="F14" s="60" t="s">
        <v>33</v>
      </c>
      <c r="G14" s="47">
        <v>1</v>
      </c>
      <c r="H14" s="133">
        <f>IF(B$17=0,0,G14/B$17)</f>
        <v>1.5384615384615385E-2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0.50649350649350644</v>
      </c>
      <c r="E15" s="63" t="s">
        <v>79</v>
      </c>
      <c r="F15" s="60" t="s">
        <v>34</v>
      </c>
      <c r="G15" s="47">
        <v>1</v>
      </c>
      <c r="H15" s="133">
        <f>IF(B$17=0,0,G15/B$17)</f>
        <v>1.5384615384615385E-2</v>
      </c>
      <c r="I15" s="94">
        <v>6</v>
      </c>
      <c r="K15" s="38">
        <v>13</v>
      </c>
      <c r="L15" s="99">
        <v>-369.1</v>
      </c>
      <c r="N15" s="114" t="s">
        <v>177</v>
      </c>
      <c r="O15" s="124">
        <f>IF(P15=0,0,Q15/P15)</f>
        <v>42.625</v>
      </c>
      <c r="P15" s="118">
        <v>4</v>
      </c>
      <c r="Q15" s="106">
        <v>170.5</v>
      </c>
    </row>
    <row r="16" spans="1:17" x14ac:dyDescent="0.4">
      <c r="A16" s="54" t="s">
        <v>125</v>
      </c>
      <c r="B16" s="46">
        <v>9</v>
      </c>
      <c r="C16" s="37">
        <f>IF(B$14=0,0,B16/B$14)</f>
        <v>0.2</v>
      </c>
      <c r="E16" s="63" t="s">
        <v>80</v>
      </c>
      <c r="F16" s="60" t="s">
        <v>35</v>
      </c>
      <c r="G16" s="47">
        <v>1</v>
      </c>
      <c r="H16" s="133">
        <f>IF(B$17=0,0,G16/B$17)</f>
        <v>1.5384615384615385E-2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-6.1037037037036974</v>
      </c>
      <c r="P16" s="119">
        <v>27</v>
      </c>
      <c r="Q16" s="107">
        <v>-164.79999999999984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0.21035598705501618</v>
      </c>
      <c r="E17" s="63" t="s">
        <v>82</v>
      </c>
      <c r="F17" s="60" t="s">
        <v>37</v>
      </c>
      <c r="G17" s="47">
        <v>1</v>
      </c>
      <c r="H17" s="133">
        <f>IF(B$17=0,0,G17/B$17)</f>
        <v>1.5384615384615385E-2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33</v>
      </c>
      <c r="C18" s="39">
        <f>IF(B$17=0,0,B18/B$17)</f>
        <v>0.50769230769230766</v>
      </c>
      <c r="E18" s="63" t="s">
        <v>84</v>
      </c>
      <c r="F18" s="60" t="s">
        <v>39</v>
      </c>
      <c r="G18" s="47">
        <v>1</v>
      </c>
      <c r="H18" s="133">
        <f>IF(B$17=0,0,G18/B$17)</f>
        <v>1.5384615384615385E-2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0.49230769230769234</v>
      </c>
      <c r="E19" s="63" t="s">
        <v>88</v>
      </c>
      <c r="F19" s="60" t="s">
        <v>43</v>
      </c>
      <c r="G19" s="47">
        <v>1</v>
      </c>
      <c r="H19" s="133">
        <f>IF(B$17=0,0,G19/B$17)</f>
        <v>1.5384615384615385E-2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60</v>
      </c>
      <c r="C20" s="39">
        <f>IF(B$3=0,0,B20/B$3)</f>
        <v>0.1941747572815534</v>
      </c>
      <c r="E20" s="63" t="s">
        <v>89</v>
      </c>
      <c r="F20" s="60" t="s">
        <v>44</v>
      </c>
      <c r="G20" s="47">
        <v>1</v>
      </c>
      <c r="H20" s="133">
        <f>IF(B$17=0,0,G20/B$17)</f>
        <v>1.5384615384615385E-2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1.5384615384615385E-2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1</v>
      </c>
      <c r="H22" s="133">
        <f>IF(B$17=0,0,G22/B$17)</f>
        <v>1.5384615384615385E-2</v>
      </c>
      <c r="I22" s="94">
        <v>1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8566.1538461538457</v>
      </c>
      <c r="C23" s="41">
        <v>556800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-9846.6666666666661</v>
      </c>
      <c r="C24" s="45">
        <v>-590800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3.2362459546925568E-3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0D6B-9027-494C-8AFF-E063C678E7D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67</v>
      </c>
      <c r="F2" s="59" t="s">
        <v>23</v>
      </c>
      <c r="G2" s="46">
        <v>74</v>
      </c>
      <c r="H2" s="132">
        <f>IF(B$17=0,0,G2/B$17)</f>
        <v>0.74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144.68085106382978</v>
      </c>
      <c r="P2" s="118">
        <v>47</v>
      </c>
      <c r="Q2" s="102">
        <v>6800</v>
      </c>
    </row>
    <row r="3" spans="1:17" x14ac:dyDescent="0.4">
      <c r="A3" s="55" t="s">
        <v>8</v>
      </c>
      <c r="B3" s="148">
        <v>398</v>
      </c>
      <c r="C3" s="149"/>
      <c r="E3" s="63" t="s">
        <v>65</v>
      </c>
      <c r="F3" s="60" t="s">
        <v>21</v>
      </c>
      <c r="G3" s="47">
        <v>55</v>
      </c>
      <c r="H3" s="133">
        <f>IF(B$17=0,0,G3/B$17)</f>
        <v>0.55000000000000004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744.68085106382978</v>
      </c>
      <c r="P3" s="119">
        <v>47</v>
      </c>
      <c r="Q3" s="103">
        <v>35000</v>
      </c>
    </row>
    <row r="4" spans="1:17" x14ac:dyDescent="0.4">
      <c r="A4" s="55" t="s">
        <v>6</v>
      </c>
      <c r="B4" s="150">
        <v>-33.1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0.51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-93.333333333333329</v>
      </c>
      <c r="P4" s="119">
        <v>45</v>
      </c>
      <c r="Q4" s="103">
        <v>-4200</v>
      </c>
    </row>
    <row r="5" spans="1:17" x14ac:dyDescent="0.4">
      <c r="A5" s="55" t="s">
        <v>7</v>
      </c>
      <c r="B5" s="152">
        <f>IF(B$2=0,0,B$4/B$2)</f>
        <v>-0.70425531914893624</v>
      </c>
      <c r="C5" s="153"/>
      <c r="E5" s="63" t="s">
        <v>181</v>
      </c>
      <c r="F5" s="60" t="s">
        <v>182</v>
      </c>
      <c r="G5" s="47">
        <v>35</v>
      </c>
      <c r="H5" s="133">
        <f>IF(B$17=0,0,G5/B$17)</f>
        <v>0.35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2017.948717948718</v>
      </c>
      <c r="P5" s="119">
        <v>39</v>
      </c>
      <c r="Q5" s="103">
        <v>78700</v>
      </c>
    </row>
    <row r="6" spans="1:17" x14ac:dyDescent="0.4">
      <c r="A6" s="55" t="s">
        <v>1</v>
      </c>
      <c r="B6" s="142">
        <f>IF(B$2=0,0,(B$7*1+B$8*2+B$9*3)/B$2)</f>
        <v>2.0851063829787235</v>
      </c>
      <c r="C6" s="143"/>
      <c r="E6" s="63" t="s">
        <v>68</v>
      </c>
      <c r="F6" s="60" t="s">
        <v>24</v>
      </c>
      <c r="G6" s="47">
        <v>31</v>
      </c>
      <c r="H6" s="133">
        <f>IF(B$17=0,0,G6/B$17)</f>
        <v>0.31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-1500</v>
      </c>
      <c r="P6" s="119">
        <v>36</v>
      </c>
      <c r="Q6" s="103">
        <v>-54000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69</v>
      </c>
      <c r="F7" s="60" t="s">
        <v>12</v>
      </c>
      <c r="G7" s="47">
        <v>26</v>
      </c>
      <c r="H7" s="133">
        <f>IF(B$17=0,0,G7/B$17)</f>
        <v>0.26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-217.64705882352942</v>
      </c>
      <c r="P7" s="120">
        <v>34</v>
      </c>
      <c r="Q7" s="104">
        <v>-7400</v>
      </c>
    </row>
    <row r="8" spans="1:17" x14ac:dyDescent="0.4">
      <c r="A8" s="55" t="s">
        <v>3</v>
      </c>
      <c r="B8" s="47">
        <v>17</v>
      </c>
      <c r="C8" s="39">
        <f>IF(B$2=0,0,B8/B$2)</f>
        <v>0.36170212765957449</v>
      </c>
      <c r="E8" s="63" t="s">
        <v>70</v>
      </c>
      <c r="F8" s="60" t="s">
        <v>25</v>
      </c>
      <c r="G8" s="47">
        <v>22</v>
      </c>
      <c r="H8" s="133">
        <f>IF(B$17=0,0,G8/B$17)</f>
        <v>0.22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0.36170212765957449</v>
      </c>
      <c r="E9" s="63" t="s">
        <v>90</v>
      </c>
      <c r="F9" s="60" t="s">
        <v>45</v>
      </c>
      <c r="G9" s="47">
        <v>15</v>
      </c>
      <c r="H9" s="133">
        <f>IF(B$17=0,0,G9/B$17)</f>
        <v>0.15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2.1276595744680851E-2</v>
      </c>
      <c r="E10" s="63" t="s">
        <v>66</v>
      </c>
      <c r="F10" s="60" t="s">
        <v>22</v>
      </c>
      <c r="G10" s="47">
        <v>14</v>
      </c>
      <c r="H10" s="133">
        <f>IF(B$17=0,0,G10/B$17)</f>
        <v>0.14000000000000001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9.918181818181818</v>
      </c>
      <c r="P10" s="118">
        <v>11</v>
      </c>
      <c r="Q10" s="106">
        <v>109.1</v>
      </c>
    </row>
    <row r="11" spans="1:17" x14ac:dyDescent="0.4">
      <c r="A11" s="56" t="s">
        <v>140</v>
      </c>
      <c r="B11" s="48">
        <v>6</v>
      </c>
      <c r="C11" s="40">
        <f>IF(B$2=0,0,B11/B$2)</f>
        <v>0.1276595744680851</v>
      </c>
      <c r="E11" s="63" t="s">
        <v>71</v>
      </c>
      <c r="F11" s="60" t="s">
        <v>26</v>
      </c>
      <c r="G11" s="47">
        <v>12</v>
      </c>
      <c r="H11" s="133">
        <f>IF(B$17=0,0,G11/B$17)</f>
        <v>0.12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8.5106382978723402E-2</v>
      </c>
      <c r="E12" s="63" t="s">
        <v>87</v>
      </c>
      <c r="F12" s="60" t="s">
        <v>42</v>
      </c>
      <c r="G12" s="47">
        <v>8</v>
      </c>
      <c r="H12" s="133">
        <f>IF(B$17=0,0,G12/B$17)</f>
        <v>0.08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103</v>
      </c>
      <c r="C13" s="44">
        <f>IF(B$3=0,0,B13/B$3)</f>
        <v>0.25879396984924624</v>
      </c>
      <c r="E13" s="63" t="s">
        <v>72</v>
      </c>
      <c r="F13" s="60" t="s">
        <v>27</v>
      </c>
      <c r="G13" s="47">
        <v>7</v>
      </c>
      <c r="H13" s="133">
        <f>IF(B$17=0,0,G13/B$17)</f>
        <v>7.0000000000000007E-2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0.17085427135678391</v>
      </c>
      <c r="E14" s="63" t="s">
        <v>84</v>
      </c>
      <c r="F14" s="60" t="s">
        <v>39</v>
      </c>
      <c r="G14" s="47">
        <v>6</v>
      </c>
      <c r="H14" s="133">
        <f>IF(B$17=0,0,G14/B$17)</f>
        <v>0.06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0.57281553398058249</v>
      </c>
      <c r="E15" s="63" t="s">
        <v>82</v>
      </c>
      <c r="F15" s="60" t="s">
        <v>37</v>
      </c>
      <c r="G15" s="47">
        <v>4</v>
      </c>
      <c r="H15" s="133">
        <f>IF(B$17=0,0,G15/B$17)</f>
        <v>0.04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24</v>
      </c>
      <c r="C16" s="37">
        <f>IF(B$14=0,0,B16/B$14)</f>
        <v>0.35294117647058826</v>
      </c>
      <c r="E16" s="63" t="s">
        <v>79</v>
      </c>
      <c r="F16" s="60" t="s">
        <v>34</v>
      </c>
      <c r="G16" s="47">
        <v>3</v>
      </c>
      <c r="H16" s="133">
        <f>IF(B$17=0,0,G16/B$17)</f>
        <v>0.03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0.25125628140703515</v>
      </c>
      <c r="E17" s="63" t="s">
        <v>76</v>
      </c>
      <c r="F17" s="60" t="s">
        <v>31</v>
      </c>
      <c r="G17" s="47">
        <v>2</v>
      </c>
      <c r="H17" s="133">
        <f>IF(B$17=0,0,G17/B$17)</f>
        <v>0.02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37</v>
      </c>
      <c r="C18" s="39">
        <f>IF(B$17=0,0,B18/B$17)</f>
        <v>0.37</v>
      </c>
      <c r="E18" s="63" t="s">
        <v>93</v>
      </c>
      <c r="F18" s="60" t="s">
        <v>48</v>
      </c>
      <c r="G18" s="47">
        <v>2</v>
      </c>
      <c r="H18" s="133">
        <f>IF(B$17=0,0,G18/B$17)</f>
        <v>0.02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-1.0923076923076933</v>
      </c>
      <c r="P18" s="119">
        <v>13</v>
      </c>
      <c r="Q18" s="107">
        <v>-14.200000000000012</v>
      </c>
    </row>
    <row r="19" spans="1:17" x14ac:dyDescent="0.4">
      <c r="A19" s="55" t="s">
        <v>11</v>
      </c>
      <c r="B19" s="47">
        <v>63</v>
      </c>
      <c r="C19" s="39">
        <f>IF(B$17=0,0,B19/B$17)</f>
        <v>0.63</v>
      </c>
      <c r="E19" s="63" t="s">
        <v>180</v>
      </c>
      <c r="F19" s="60" t="s">
        <v>183</v>
      </c>
      <c r="G19" s="47">
        <v>2</v>
      </c>
      <c r="H19" s="133">
        <f>IF(B$17=0,0,G19/B$17)</f>
        <v>0.02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-2.2307692307692384</v>
      </c>
      <c r="P19" s="119">
        <v>26</v>
      </c>
      <c r="Q19" s="107">
        <v>-58.000000000000199</v>
      </c>
    </row>
    <row r="20" spans="1:17" x14ac:dyDescent="0.4">
      <c r="A20" s="55" t="s">
        <v>13</v>
      </c>
      <c r="B20" s="47">
        <v>62</v>
      </c>
      <c r="C20" s="39">
        <f>IF(B$3=0,0,B20/B$3)</f>
        <v>0.15577889447236182</v>
      </c>
      <c r="E20" s="63" t="s">
        <v>88</v>
      </c>
      <c r="F20" s="60" t="s">
        <v>43</v>
      </c>
      <c r="G20" s="47">
        <v>1</v>
      </c>
      <c r="H20" s="133">
        <f>IF(B$17=0,0,G20/B$17)</f>
        <v>0.01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-18.848148148148145</v>
      </c>
      <c r="P21" s="119">
        <v>27</v>
      </c>
      <c r="Q21" s="107">
        <v>-508.89999999999992</v>
      </c>
    </row>
    <row r="22" spans="1:17" x14ac:dyDescent="0.4">
      <c r="A22" s="55" t="s">
        <v>194</v>
      </c>
      <c r="B22" s="47">
        <v>20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9392</v>
      </c>
      <c r="C23" s="41">
        <v>939200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-7070.9677419354839</v>
      </c>
      <c r="C24" s="45">
        <v>-438400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2.5125628140703518E-3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B844-E8F0-4389-86D8-23EC2944024C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43</v>
      </c>
      <c r="C2" s="147"/>
      <c r="E2" s="62" t="s">
        <v>67</v>
      </c>
      <c r="F2" s="59" t="s">
        <v>23</v>
      </c>
      <c r="G2" s="46">
        <v>96</v>
      </c>
      <c r="H2" s="132">
        <f>IF(B$17=0,0,G2/B$17)</f>
        <v>0.7007299270072993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711.62790697674416</v>
      </c>
      <c r="P2" s="118">
        <v>43</v>
      </c>
      <c r="Q2" s="102">
        <v>30600</v>
      </c>
    </row>
    <row r="3" spans="1:17" x14ac:dyDescent="0.4">
      <c r="A3" s="55" t="s">
        <v>8</v>
      </c>
      <c r="B3" s="148">
        <v>375</v>
      </c>
      <c r="C3" s="149"/>
      <c r="E3" s="63" t="s">
        <v>73</v>
      </c>
      <c r="F3" s="60" t="s">
        <v>28</v>
      </c>
      <c r="G3" s="47">
        <v>80</v>
      </c>
      <c r="H3" s="133">
        <f>IF(B$17=0,0,G3/B$17)</f>
        <v>0.58394160583941601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-46.511627906976742</v>
      </c>
      <c r="P3" s="119">
        <v>43</v>
      </c>
      <c r="Q3" s="103">
        <v>-2000</v>
      </c>
    </row>
    <row r="4" spans="1:17" x14ac:dyDescent="0.4">
      <c r="A4" s="55" t="s">
        <v>6</v>
      </c>
      <c r="B4" s="150">
        <v>-32.999999999999993</v>
      </c>
      <c r="C4" s="151"/>
      <c r="E4" s="63" t="s">
        <v>181</v>
      </c>
      <c r="F4" s="60" t="s">
        <v>182</v>
      </c>
      <c r="G4" s="47">
        <v>53</v>
      </c>
      <c r="H4" s="133">
        <f>IF(B$17=0,0,G4/B$17)</f>
        <v>0.38686131386861317</v>
      </c>
      <c r="I4" s="94">
        <v>7</v>
      </c>
      <c r="K4" s="38">
        <v>2</v>
      </c>
      <c r="L4" s="99">
        <v>-7.7000000000000011</v>
      </c>
      <c r="N4" s="115" t="s">
        <v>134</v>
      </c>
      <c r="O4" s="122">
        <f t="shared" si="0"/>
        <v>-757.89473684210532</v>
      </c>
      <c r="P4" s="119">
        <v>38</v>
      </c>
      <c r="Q4" s="103">
        <v>-28800</v>
      </c>
    </row>
    <row r="5" spans="1:17" x14ac:dyDescent="0.4">
      <c r="A5" s="55" t="s">
        <v>7</v>
      </c>
      <c r="B5" s="152">
        <f>IF(B$2=0,0,B$4/B$2)</f>
        <v>-0.76744186046511609</v>
      </c>
      <c r="C5" s="153"/>
      <c r="E5" s="63" t="s">
        <v>65</v>
      </c>
      <c r="F5" s="60" t="s">
        <v>21</v>
      </c>
      <c r="G5" s="47">
        <v>51</v>
      </c>
      <c r="H5" s="133">
        <f>IF(B$17=0,0,G5/B$17)</f>
        <v>0.37226277372262773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934.28571428571433</v>
      </c>
      <c r="P5" s="119">
        <v>35</v>
      </c>
      <c r="Q5" s="103">
        <v>32700</v>
      </c>
    </row>
    <row r="6" spans="1:17" x14ac:dyDescent="0.4">
      <c r="A6" s="55" t="s">
        <v>1</v>
      </c>
      <c r="B6" s="142">
        <f>IF(B$2=0,0,(B$7*1+B$8*2+B$9*3)/B$2)</f>
        <v>2.0930232558139537</v>
      </c>
      <c r="C6" s="143"/>
      <c r="E6" s="63" t="s">
        <v>69</v>
      </c>
      <c r="F6" s="60" t="s">
        <v>12</v>
      </c>
      <c r="G6" s="47">
        <v>39</v>
      </c>
      <c r="H6" s="133">
        <f>IF(B$17=0,0,G6/B$17)</f>
        <v>0.28467153284671531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73.529411764705884</v>
      </c>
      <c r="P6" s="119">
        <v>34</v>
      </c>
      <c r="Q6" s="103">
        <v>2500</v>
      </c>
    </row>
    <row r="7" spans="1:17" x14ac:dyDescent="0.4">
      <c r="A7" s="55" t="s">
        <v>2</v>
      </c>
      <c r="B7" s="47">
        <v>12</v>
      </c>
      <c r="C7" s="39">
        <f>IF(B$2=0,0,B7/B$2)</f>
        <v>0.27906976744186046</v>
      </c>
      <c r="E7" s="63" t="s">
        <v>68</v>
      </c>
      <c r="F7" s="60" t="s">
        <v>24</v>
      </c>
      <c r="G7" s="47">
        <v>25</v>
      </c>
      <c r="H7" s="133">
        <f>IF(B$17=0,0,G7/B$17)</f>
        <v>0.18248175182481752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-1403.3333333333333</v>
      </c>
      <c r="P7" s="120">
        <v>30</v>
      </c>
      <c r="Q7" s="104">
        <v>-42100</v>
      </c>
    </row>
    <row r="8" spans="1:17" x14ac:dyDescent="0.4">
      <c r="A8" s="55" t="s">
        <v>3</v>
      </c>
      <c r="B8" s="47">
        <v>15</v>
      </c>
      <c r="C8" s="39">
        <f>IF(B$2=0,0,B8/B$2)</f>
        <v>0.34883720930232559</v>
      </c>
      <c r="E8" s="63" t="s">
        <v>70</v>
      </c>
      <c r="F8" s="60" t="s">
        <v>25</v>
      </c>
      <c r="G8" s="47">
        <v>20</v>
      </c>
      <c r="H8" s="133">
        <f>IF(B$17=0,0,G8/B$17)</f>
        <v>0.145985401459854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0.37209302325581395</v>
      </c>
      <c r="E9" s="63" t="s">
        <v>66</v>
      </c>
      <c r="F9" s="60" t="s">
        <v>22</v>
      </c>
      <c r="G9" s="47">
        <v>14</v>
      </c>
      <c r="H9" s="133">
        <f>IF(B$17=0,0,G9/B$17)</f>
        <v>0.10218978102189781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6.9767441860465115E-2</v>
      </c>
      <c r="E10" s="63" t="s">
        <v>71</v>
      </c>
      <c r="F10" s="60" t="s">
        <v>26</v>
      </c>
      <c r="G10" s="47">
        <v>9</v>
      </c>
      <c r="H10" s="133">
        <f>IF(B$17=0,0,G10/B$17)</f>
        <v>6.569343065693431E-2</v>
      </c>
      <c r="I10" s="94">
        <v>7</v>
      </c>
      <c r="K10" s="38">
        <v>8</v>
      </c>
      <c r="L10" s="99">
        <v>-29.5</v>
      </c>
      <c r="N10" s="114" t="s">
        <v>164</v>
      </c>
      <c r="O10" s="124">
        <f>IF(P10=0,0,Q10/P10)</f>
        <v>-11.884615384615387</v>
      </c>
      <c r="P10" s="118">
        <v>13</v>
      </c>
      <c r="Q10" s="106">
        <v>-154.50000000000003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0.11627906976744186</v>
      </c>
      <c r="E11" s="63" t="s">
        <v>90</v>
      </c>
      <c r="F11" s="60" t="s">
        <v>45</v>
      </c>
      <c r="G11" s="47">
        <v>9</v>
      </c>
      <c r="H11" s="133">
        <f>IF(B$17=0,0,G11/B$17)</f>
        <v>6.569343065693431E-2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4.7071428571428564</v>
      </c>
      <c r="P11" s="119">
        <v>14</v>
      </c>
      <c r="Q11" s="107">
        <v>65.899999999999991</v>
      </c>
    </row>
    <row r="12" spans="1:17" x14ac:dyDescent="0.4">
      <c r="A12" s="57" t="s">
        <v>160</v>
      </c>
      <c r="B12" s="49">
        <v>2</v>
      </c>
      <c r="C12" s="42">
        <f>IF(B$2=0,0,B12/B$2)</f>
        <v>4.6511627906976744E-2</v>
      </c>
      <c r="E12" s="63" t="s">
        <v>87</v>
      </c>
      <c r="F12" s="60" t="s">
        <v>42</v>
      </c>
      <c r="G12" s="47">
        <v>8</v>
      </c>
      <c r="H12" s="133">
        <f>IF(B$17=0,0,G12/B$17)</f>
        <v>5.8394160583941604E-2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3.4750000000000005</v>
      </c>
      <c r="P12" s="120">
        <v>16</v>
      </c>
      <c r="Q12" s="108">
        <v>55.600000000000009</v>
      </c>
    </row>
    <row r="13" spans="1:17" x14ac:dyDescent="0.4">
      <c r="A13" s="58" t="s">
        <v>122</v>
      </c>
      <c r="B13" s="50">
        <v>87</v>
      </c>
      <c r="C13" s="44">
        <f>IF(B$3=0,0,B13/B$3)</f>
        <v>0.23200000000000001</v>
      </c>
      <c r="E13" s="63" t="s">
        <v>72</v>
      </c>
      <c r="F13" s="60" t="s">
        <v>27</v>
      </c>
      <c r="G13" s="47">
        <v>7</v>
      </c>
      <c r="H13" s="133">
        <f>IF(B$17=0,0,G13/B$17)</f>
        <v>5.1094890510948905E-2</v>
      </c>
      <c r="I13" s="94">
        <v>8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0.29866666666666669</v>
      </c>
      <c r="E14" s="63" t="s">
        <v>84</v>
      </c>
      <c r="F14" s="60" t="s">
        <v>39</v>
      </c>
      <c r="G14" s="47">
        <v>7</v>
      </c>
      <c r="H14" s="133">
        <f>IF(B$17=0,0,G14/B$17)</f>
        <v>5.1094890510948905E-2</v>
      </c>
      <c r="I14" s="94">
        <v>5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0.5977011494252874</v>
      </c>
      <c r="E15" s="63" t="s">
        <v>82</v>
      </c>
      <c r="F15" s="60" t="s">
        <v>37</v>
      </c>
      <c r="G15" s="47">
        <v>5</v>
      </c>
      <c r="H15" s="133">
        <f>IF(B$17=0,0,G15/B$17)</f>
        <v>3.6496350364963501E-2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46</v>
      </c>
      <c r="C16" s="37">
        <f>IF(B$14=0,0,B16/B$14)</f>
        <v>0.4107142857142857</v>
      </c>
      <c r="E16" s="63" t="s">
        <v>79</v>
      </c>
      <c r="F16" s="60" t="s">
        <v>34</v>
      </c>
      <c r="G16" s="47">
        <v>2</v>
      </c>
      <c r="H16" s="133">
        <f>IF(B$17=0,0,G16/B$17)</f>
        <v>1.4598540145985401E-2</v>
      </c>
      <c r="I16" s="94">
        <v>8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137</v>
      </c>
      <c r="C17" s="37">
        <f>IF(B$3=0,0,B17/B$3)</f>
        <v>0.36533333333333334</v>
      </c>
      <c r="E17" s="63" t="s">
        <v>80</v>
      </c>
      <c r="F17" s="60" t="s">
        <v>35</v>
      </c>
      <c r="G17" s="47">
        <v>2</v>
      </c>
      <c r="H17" s="133">
        <f>IF(B$17=0,0,G17/B$17)</f>
        <v>1.4598540145985401E-2</v>
      </c>
      <c r="I17" s="94">
        <v>5</v>
      </c>
      <c r="K17" s="38">
        <v>15</v>
      </c>
      <c r="L17" s="99">
        <v>-80.3</v>
      </c>
      <c r="N17" s="115" t="s">
        <v>173</v>
      </c>
      <c r="O17" s="125">
        <f>IF(P17=0,0,Q17/P17)</f>
        <v>13.91111111111111</v>
      </c>
      <c r="P17" s="119">
        <v>9</v>
      </c>
      <c r="Q17" s="107">
        <v>125.19999999999999</v>
      </c>
    </row>
    <row r="18" spans="1:17" x14ac:dyDescent="0.4">
      <c r="A18" s="55" t="s">
        <v>12</v>
      </c>
      <c r="B18" s="47">
        <v>60</v>
      </c>
      <c r="C18" s="39">
        <f>IF(B$17=0,0,B18/B$17)</f>
        <v>0.43795620437956206</v>
      </c>
      <c r="E18" s="63" t="s">
        <v>92</v>
      </c>
      <c r="F18" s="60" t="s">
        <v>47</v>
      </c>
      <c r="G18" s="47">
        <v>2</v>
      </c>
      <c r="H18" s="133">
        <f>IF(B$17=0,0,G18/B$17)</f>
        <v>1.4598540145985401E-2</v>
      </c>
      <c r="I18" s="94">
        <v>6</v>
      </c>
      <c r="K18" s="38">
        <v>16</v>
      </c>
      <c r="L18" s="99">
        <v>-87.6</v>
      </c>
      <c r="N18" s="115" t="s">
        <v>171</v>
      </c>
      <c r="O18" s="125">
        <f>IF(P18=0,0,Q18/P18)</f>
        <v>1.0923076923076911</v>
      </c>
      <c r="P18" s="119">
        <v>13</v>
      </c>
      <c r="Q18" s="107">
        <v>14.199999999999983</v>
      </c>
    </row>
    <row r="19" spans="1:17" x14ac:dyDescent="0.4">
      <c r="A19" s="55" t="s">
        <v>11</v>
      </c>
      <c r="B19" s="47">
        <v>77</v>
      </c>
      <c r="C19" s="39">
        <f>IF(B$17=0,0,B19/B$17)</f>
        <v>0.56204379562043794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128</v>
      </c>
      <c r="O19" s="125">
        <f>IF(P19=0,0,Q19/P19)</f>
        <v>-7.2538461538461547</v>
      </c>
      <c r="P19" s="119">
        <v>26</v>
      </c>
      <c r="Q19" s="107">
        <v>-188.60000000000002</v>
      </c>
    </row>
    <row r="20" spans="1:17" x14ac:dyDescent="0.4">
      <c r="A20" s="55" t="s">
        <v>13</v>
      </c>
      <c r="B20" s="47">
        <v>53</v>
      </c>
      <c r="C20" s="39">
        <f>IF(B$3=0,0,B20/B$3)</f>
        <v>0.14133333333333334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177</v>
      </c>
      <c r="O20" s="125">
        <f>IF(P20=0,0,Q20/P20)</f>
        <v>-11.875</v>
      </c>
      <c r="P20" s="119">
        <v>4</v>
      </c>
      <c r="Q20" s="107">
        <v>-47.5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-27.365217391304352</v>
      </c>
      <c r="P21" s="119">
        <v>23</v>
      </c>
      <c r="Q21" s="107">
        <v>-629.40000000000009</v>
      </c>
    </row>
    <row r="22" spans="1:17" x14ac:dyDescent="0.4">
      <c r="A22" s="55" t="s">
        <v>194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6741.6058394160582</v>
      </c>
      <c r="C23" s="41">
        <v>923600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-9500</v>
      </c>
      <c r="C24" s="45">
        <v>-503500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2.6666666666666666E-3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8B0D-0E97-462E-A859-BDFB9C712342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72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-3080</v>
      </c>
      <c r="P2" s="118">
        <v>35</v>
      </c>
      <c r="Q2" s="102">
        <v>-107800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0.53125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1965.7142857142858</v>
      </c>
      <c r="P3" s="119">
        <v>35</v>
      </c>
      <c r="Q3" s="103">
        <v>68800</v>
      </c>
    </row>
    <row r="4" spans="1:17" x14ac:dyDescent="0.4">
      <c r="A4" s="55" t="s">
        <v>6</v>
      </c>
      <c r="B4" s="150">
        <v>-224.9</v>
      </c>
      <c r="C4" s="151"/>
      <c r="E4" s="63" t="s">
        <v>65</v>
      </c>
      <c r="F4" s="60" t="s">
        <v>21</v>
      </c>
      <c r="G4" s="47">
        <v>42</v>
      </c>
      <c r="H4" s="133">
        <f>IF(B$17=0,0,G4/B$17)</f>
        <v>0.4375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-884.84848484848487</v>
      </c>
      <c r="P4" s="119">
        <v>33</v>
      </c>
      <c r="Q4" s="103">
        <v>-29200</v>
      </c>
    </row>
    <row r="5" spans="1:17" x14ac:dyDescent="0.4">
      <c r="A5" s="55" t="s">
        <v>7</v>
      </c>
      <c r="B5" s="152">
        <f>IF(B$2=0,0,B$4/B$2)</f>
        <v>-6.4257142857142862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0.38541666666666669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-4461.2903225806449</v>
      </c>
      <c r="P5" s="119">
        <v>31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2.0857142857142859</v>
      </c>
      <c r="C6" s="143"/>
      <c r="E6" s="63" t="s">
        <v>181</v>
      </c>
      <c r="F6" s="60" t="s">
        <v>182</v>
      </c>
      <c r="G6" s="47">
        <v>33</v>
      </c>
      <c r="H6" s="133">
        <f>IF(B$17=0,0,G6/B$17)</f>
        <v>0.34375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828.57142857142856</v>
      </c>
      <c r="P6" s="119">
        <v>28</v>
      </c>
      <c r="Q6" s="103">
        <v>23200</v>
      </c>
    </row>
    <row r="7" spans="1:17" x14ac:dyDescent="0.4">
      <c r="A7" s="55" t="s">
        <v>2</v>
      </c>
      <c r="B7" s="47">
        <v>9</v>
      </c>
      <c r="C7" s="39">
        <f>IF(B$2=0,0,B7/B$2)</f>
        <v>0.25714285714285712</v>
      </c>
      <c r="E7" s="63" t="s">
        <v>68</v>
      </c>
      <c r="F7" s="60" t="s">
        <v>24</v>
      </c>
      <c r="G7" s="47">
        <v>23</v>
      </c>
      <c r="H7" s="133">
        <f>IF(B$17=0,0,G7/B$17)</f>
        <v>0.23958333333333334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681.48148148148152</v>
      </c>
      <c r="P7" s="120">
        <v>27</v>
      </c>
      <c r="Q7" s="104">
        <v>18400</v>
      </c>
    </row>
    <row r="8" spans="1:17" x14ac:dyDescent="0.4">
      <c r="A8" s="55" t="s">
        <v>3</v>
      </c>
      <c r="B8" s="47">
        <v>14</v>
      </c>
      <c r="C8" s="39">
        <f>IF(B$2=0,0,B8/B$2)</f>
        <v>0.4</v>
      </c>
      <c r="E8" s="63" t="s">
        <v>90</v>
      </c>
      <c r="F8" s="60" t="s">
        <v>45</v>
      </c>
      <c r="G8" s="47">
        <v>12</v>
      </c>
      <c r="H8" s="133">
        <f>IF(B$17=0,0,G8/B$17)</f>
        <v>0.125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0.34285714285714286</v>
      </c>
      <c r="E9" s="63" t="s">
        <v>71</v>
      </c>
      <c r="F9" s="60" t="s">
        <v>26</v>
      </c>
      <c r="G9" s="47">
        <v>11</v>
      </c>
      <c r="H9" s="133">
        <f>IF(B$17=0,0,G9/B$17)</f>
        <v>0.11458333333333333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0.11428571428571428</v>
      </c>
      <c r="E10" s="63" t="s">
        <v>70</v>
      </c>
      <c r="F10" s="60" t="s">
        <v>25</v>
      </c>
      <c r="G10" s="47">
        <v>9</v>
      </c>
      <c r="H10" s="133">
        <f>IF(B$17=0,0,G10/B$17)</f>
        <v>9.375E-2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5.7142857142857141E-2</v>
      </c>
      <c r="E11" s="63" t="s">
        <v>66</v>
      </c>
      <c r="F11" s="60" t="s">
        <v>22</v>
      </c>
      <c r="G11" s="47">
        <v>6</v>
      </c>
      <c r="H11" s="133">
        <f>IF(B$17=0,0,G11/B$17)</f>
        <v>6.25E-2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2.8571428571428571E-2</v>
      </c>
      <c r="E12" s="63" t="s">
        <v>72</v>
      </c>
      <c r="F12" s="60" t="s">
        <v>27</v>
      </c>
      <c r="G12" s="47">
        <v>6</v>
      </c>
      <c r="H12" s="133">
        <f>IF(B$17=0,0,G12/B$17)</f>
        <v>6.25E-2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71</v>
      </c>
      <c r="C13" s="44">
        <f>IF(B$3=0,0,B13/B$3)</f>
        <v>0.22756410256410256</v>
      </c>
      <c r="E13" s="63" t="s">
        <v>87</v>
      </c>
      <c r="F13" s="60" t="s">
        <v>42</v>
      </c>
      <c r="G13" s="47">
        <v>4</v>
      </c>
      <c r="H13" s="133">
        <f>IF(B$17=0,0,G13/B$17)</f>
        <v>4.1666666666666664E-2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0.25320512820512819</v>
      </c>
      <c r="E14" s="63" t="s">
        <v>74</v>
      </c>
      <c r="F14" s="60" t="s">
        <v>29</v>
      </c>
      <c r="G14" s="47">
        <v>2</v>
      </c>
      <c r="H14" s="133">
        <f>IF(B$17=0,0,G14/B$17)</f>
        <v>2.0833333333333332E-2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0.60563380281690138</v>
      </c>
      <c r="E15" s="63" t="s">
        <v>79</v>
      </c>
      <c r="F15" s="60" t="s">
        <v>34</v>
      </c>
      <c r="G15" s="47">
        <v>2</v>
      </c>
      <c r="H15" s="133">
        <f>IF(B$17=0,0,G15/B$17)</f>
        <v>2.0833333333333332E-2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0.34177215189873417</v>
      </c>
      <c r="E16" s="63" t="s">
        <v>80</v>
      </c>
      <c r="F16" s="60" t="s">
        <v>35</v>
      </c>
      <c r="G16" s="47">
        <v>2</v>
      </c>
      <c r="H16" s="133">
        <f>IF(B$17=0,0,G16/B$17)</f>
        <v>2.0833333333333332E-2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96</v>
      </c>
      <c r="C17" s="37">
        <f>IF(B$3=0,0,B17/B$3)</f>
        <v>0.30769230769230771</v>
      </c>
      <c r="E17" s="63" t="s">
        <v>84</v>
      </c>
      <c r="F17" s="60" t="s">
        <v>39</v>
      </c>
      <c r="G17" s="47">
        <v>2</v>
      </c>
      <c r="H17" s="133">
        <f>IF(B$17=0,0,G17/B$17)</f>
        <v>2.0833333333333332E-2</v>
      </c>
      <c r="I17" s="94">
        <v>8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50</v>
      </c>
      <c r="C18" s="39">
        <f>IF(B$17=0,0,B18/B$17)</f>
        <v>0.52083333333333337</v>
      </c>
      <c r="E18" s="63" t="s">
        <v>92</v>
      </c>
      <c r="F18" s="60" t="s">
        <v>47</v>
      </c>
      <c r="G18" s="47">
        <v>1</v>
      </c>
      <c r="H18" s="133">
        <f>IF(B$17=0,0,G18/B$17)</f>
        <v>1.0416666666666666E-2</v>
      </c>
      <c r="I18" s="94">
        <v>7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46</v>
      </c>
      <c r="C19" s="39">
        <f>IF(B$17=0,0,B19/B$17)</f>
        <v>0.47916666666666669</v>
      </c>
      <c r="E19" s="63" t="s">
        <v>180</v>
      </c>
      <c r="F19" s="60" t="s">
        <v>183</v>
      </c>
      <c r="G19" s="47">
        <v>1</v>
      </c>
      <c r="H19" s="133">
        <f>IF(B$17=0,0,G19/B$17)</f>
        <v>1.0416666666666666E-2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58</v>
      </c>
      <c r="C20" s="39">
        <f>IF(B$3=0,0,B20/B$3)</f>
        <v>0.1858974358974359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-29.176470588235286</v>
      </c>
      <c r="P20" s="119">
        <v>17</v>
      </c>
      <c r="Q20" s="107">
        <v>-495.99999999999989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6813.541666666667</v>
      </c>
      <c r="C23" s="41">
        <v>654100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-7934.4827586206893</v>
      </c>
      <c r="C24" s="45">
        <v>-460200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9F8C-BDDC-473E-BCC6-33F9979DF04D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22</v>
      </c>
      <c r="C2" s="147"/>
      <c r="E2" s="62" t="s">
        <v>73</v>
      </c>
      <c r="F2" s="59" t="s">
        <v>28</v>
      </c>
      <c r="G2" s="46">
        <v>28</v>
      </c>
      <c r="H2" s="132">
        <f>IF(B$17=0,0,G2/B$17)</f>
        <v>0.5957446808510638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-3536.3636363636365</v>
      </c>
      <c r="P2" s="118">
        <v>22</v>
      </c>
      <c r="Q2" s="102">
        <v>-77800</v>
      </c>
    </row>
    <row r="3" spans="1:17" x14ac:dyDescent="0.4">
      <c r="A3" s="55" t="s">
        <v>8</v>
      </c>
      <c r="B3" s="148">
        <v>179</v>
      </c>
      <c r="C3" s="149"/>
      <c r="E3" s="63" t="s">
        <v>67</v>
      </c>
      <c r="F3" s="60" t="s">
        <v>23</v>
      </c>
      <c r="G3" s="47">
        <v>26</v>
      </c>
      <c r="H3" s="133">
        <f>IF(B$17=0,0,G3/B$17)</f>
        <v>0.55319148936170215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-952.38095238095241</v>
      </c>
      <c r="P3" s="119">
        <v>21</v>
      </c>
      <c r="Q3" s="103">
        <v>-20000</v>
      </c>
    </row>
    <row r="4" spans="1:17" x14ac:dyDescent="0.4">
      <c r="A4" s="55" t="s">
        <v>6</v>
      </c>
      <c r="B4" s="150">
        <v>-142.60000000000002</v>
      </c>
      <c r="C4" s="151"/>
      <c r="E4" s="63" t="s">
        <v>65</v>
      </c>
      <c r="F4" s="60" t="s">
        <v>21</v>
      </c>
      <c r="G4" s="47">
        <v>22</v>
      </c>
      <c r="H4" s="133">
        <f>IF(B$17=0,0,G4/B$17)</f>
        <v>0.46808510638297873</v>
      </c>
      <c r="I4" s="94">
        <v>9</v>
      </c>
      <c r="K4" s="38">
        <v>2</v>
      </c>
      <c r="L4" s="99">
        <v>30</v>
      </c>
      <c r="N4" s="115" t="s">
        <v>134</v>
      </c>
      <c r="O4" s="122">
        <f t="shared" si="0"/>
        <v>-468.42105263157896</v>
      </c>
      <c r="P4" s="119">
        <v>19</v>
      </c>
      <c r="Q4" s="103">
        <v>-8900</v>
      </c>
    </row>
    <row r="5" spans="1:17" x14ac:dyDescent="0.4">
      <c r="A5" s="55" t="s">
        <v>7</v>
      </c>
      <c r="B5" s="152">
        <f>IF(B$2=0,0,B$4/B$2)</f>
        <v>-6.4818181818181833</v>
      </c>
      <c r="C5" s="153"/>
      <c r="E5" s="63" t="s">
        <v>181</v>
      </c>
      <c r="F5" s="60" t="s">
        <v>182</v>
      </c>
      <c r="G5" s="47">
        <v>16</v>
      </c>
      <c r="H5" s="133">
        <f>IF(B$17=0,0,G5/B$17)</f>
        <v>0.34042553191489361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-1289.4736842105262</v>
      </c>
      <c r="P5" s="119">
        <v>19</v>
      </c>
      <c r="Q5" s="103">
        <v>-24500</v>
      </c>
    </row>
    <row r="6" spans="1:17" x14ac:dyDescent="0.4">
      <c r="A6" s="55" t="s">
        <v>1</v>
      </c>
      <c r="B6" s="142">
        <f>IF(B$2=0,0,(B$7*1+B$8*2+B$9*3)/B$2)</f>
        <v>2.0454545454545454</v>
      </c>
      <c r="C6" s="143"/>
      <c r="E6" s="63" t="s">
        <v>68</v>
      </c>
      <c r="F6" s="60" t="s">
        <v>24</v>
      </c>
      <c r="G6" s="47">
        <v>11</v>
      </c>
      <c r="H6" s="133">
        <f>IF(B$17=0,0,G6/B$17)</f>
        <v>0.23404255319148937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1177.7777777777778</v>
      </c>
      <c r="P6" s="119">
        <v>18</v>
      </c>
      <c r="Q6" s="103">
        <v>21200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69</v>
      </c>
      <c r="F7" s="60" t="s">
        <v>12</v>
      </c>
      <c r="G7" s="47">
        <v>9</v>
      </c>
      <c r="H7" s="133">
        <f>IF(B$17=0,0,G7/B$17)</f>
        <v>0.19148936170212766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1225</v>
      </c>
      <c r="P7" s="120">
        <v>16</v>
      </c>
      <c r="Q7" s="104">
        <v>19600</v>
      </c>
    </row>
    <row r="8" spans="1:17" x14ac:dyDescent="0.4">
      <c r="A8" s="55" t="s">
        <v>3</v>
      </c>
      <c r="B8" s="47">
        <v>7</v>
      </c>
      <c r="C8" s="39">
        <f>IF(B$2=0,0,B8/B$2)</f>
        <v>0.31818181818181818</v>
      </c>
      <c r="E8" s="63" t="s">
        <v>70</v>
      </c>
      <c r="F8" s="60" t="s">
        <v>25</v>
      </c>
      <c r="G8" s="47">
        <v>8</v>
      </c>
      <c r="H8" s="133">
        <f>IF(B$17=0,0,G8/B$17)</f>
        <v>0.1702127659574468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5</v>
      </c>
      <c r="H9" s="133">
        <f>IF(B$17=0,0,G9/B$17)</f>
        <v>0.10638297872340426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0.18181818181818182</v>
      </c>
      <c r="E10" s="63" t="s">
        <v>66</v>
      </c>
      <c r="F10" s="60" t="s">
        <v>22</v>
      </c>
      <c r="G10" s="47">
        <v>4</v>
      </c>
      <c r="H10" s="133">
        <f>IF(B$17=0,0,G10/B$17)</f>
        <v>8.5106382978723402E-2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6.3829787234042548E-2</v>
      </c>
      <c r="I11" s="94">
        <v>2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9.0909090909090912E-2</v>
      </c>
      <c r="E12" s="63" t="s">
        <v>92</v>
      </c>
      <c r="F12" s="60" t="s">
        <v>47</v>
      </c>
      <c r="G12" s="47">
        <v>3</v>
      </c>
      <c r="H12" s="133">
        <f>IF(B$17=0,0,G12/B$17)</f>
        <v>6.3829787234042548E-2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-3.1999999999999984</v>
      </c>
      <c r="P12" s="120">
        <v>10</v>
      </c>
      <c r="Q12" s="108">
        <v>-31.999999999999986</v>
      </c>
    </row>
    <row r="13" spans="1:17" x14ac:dyDescent="0.4">
      <c r="A13" s="58" t="s">
        <v>122</v>
      </c>
      <c r="B13" s="50">
        <v>34</v>
      </c>
      <c r="C13" s="44">
        <f>IF(B$3=0,0,B13/B$3)</f>
        <v>0.18994413407821228</v>
      </c>
      <c r="E13" s="63" t="s">
        <v>82</v>
      </c>
      <c r="F13" s="60" t="s">
        <v>37</v>
      </c>
      <c r="G13" s="47">
        <v>2</v>
      </c>
      <c r="H13" s="133">
        <f>IF(B$17=0,0,G13/B$17)</f>
        <v>4.2553191489361701E-2</v>
      </c>
      <c r="I13" s="94">
        <v>2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</v>
      </c>
      <c r="C14" s="39">
        <f>IF(B$3=0,0,B14/B$3)</f>
        <v>0.23463687150837989</v>
      </c>
      <c r="E14" s="63" t="s">
        <v>71</v>
      </c>
      <c r="F14" s="60" t="s">
        <v>26</v>
      </c>
      <c r="G14" s="47">
        <v>1</v>
      </c>
      <c r="H14" s="133">
        <f>IF(B$17=0,0,G14/B$17)</f>
        <v>2.1276595744680851E-2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0.61764705882352944</v>
      </c>
      <c r="E15" s="63" t="s">
        <v>72</v>
      </c>
      <c r="F15" s="60" t="s">
        <v>27</v>
      </c>
      <c r="G15" s="47">
        <v>1</v>
      </c>
      <c r="H15" s="133">
        <f>IF(B$17=0,0,G15/B$17)</f>
        <v>2.1276595744680851E-2</v>
      </c>
      <c r="I15" s="94">
        <v>9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17</v>
      </c>
      <c r="C16" s="37">
        <f>IF(B$14=0,0,B16/B$14)</f>
        <v>0.40476190476190477</v>
      </c>
      <c r="E16" s="63" t="s">
        <v>75</v>
      </c>
      <c r="F16" s="60" t="s">
        <v>30</v>
      </c>
      <c r="G16" s="47">
        <v>1</v>
      </c>
      <c r="H16" s="133">
        <f>IF(B$17=0,0,G16/B$17)</f>
        <v>2.1276595744680851E-2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47</v>
      </c>
      <c r="C17" s="37">
        <f>IF(B$3=0,0,B17/B$3)</f>
        <v>0.26256983240223464</v>
      </c>
      <c r="E17" s="63" t="s">
        <v>76</v>
      </c>
      <c r="F17" s="60" t="s">
        <v>31</v>
      </c>
      <c r="G17" s="47">
        <v>1</v>
      </c>
      <c r="H17" s="133">
        <f>IF(B$17=0,0,G17/B$17)</f>
        <v>2.1276595744680851E-2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18</v>
      </c>
      <c r="C18" s="39">
        <f>IF(B$17=0,0,B18/B$17)</f>
        <v>0.38297872340425532</v>
      </c>
      <c r="E18" s="63" t="s">
        <v>79</v>
      </c>
      <c r="F18" s="60" t="s">
        <v>34</v>
      </c>
      <c r="G18" s="47">
        <v>1</v>
      </c>
      <c r="H18" s="133">
        <f>IF(B$17=0,0,G18/B$17)</f>
        <v>2.1276595744680851E-2</v>
      </c>
      <c r="I18" s="94">
        <v>3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29</v>
      </c>
      <c r="C19" s="39">
        <f>IF(B$17=0,0,B19/B$17)</f>
        <v>0.61702127659574468</v>
      </c>
      <c r="E19" s="63" t="s">
        <v>86</v>
      </c>
      <c r="F19" s="60" t="s">
        <v>41</v>
      </c>
      <c r="G19" s="47">
        <v>1</v>
      </c>
      <c r="H19" s="133">
        <f>IF(B$17=0,0,G19/B$17)</f>
        <v>2.1276595744680851E-2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11.874999999999996</v>
      </c>
      <c r="P19" s="119">
        <v>4</v>
      </c>
      <c r="Q19" s="107">
        <v>47.499999999999986</v>
      </c>
    </row>
    <row r="20" spans="1:17" x14ac:dyDescent="0.4">
      <c r="A20" s="55" t="s">
        <v>13</v>
      </c>
      <c r="B20" s="47">
        <v>30</v>
      </c>
      <c r="C20" s="39">
        <f>IF(B$3=0,0,B20/B$3)</f>
        <v>0.16759776536312848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128</v>
      </c>
      <c r="O20" s="125">
        <f>IF(P20=0,0,Q20/P20)</f>
        <v>-4.1411764705882339</v>
      </c>
      <c r="P20" s="119">
        <v>17</v>
      </c>
      <c r="Q20" s="107">
        <v>-70.399999999999977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21</v>
      </c>
      <c r="C22" s="135">
        <v>9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7276.5957446808507</v>
      </c>
      <c r="C23" s="41">
        <v>342000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-7113.333333333333</v>
      </c>
      <c r="C24" s="45">
        <v>-213400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5.5865921787709499E-3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DDD-6179-49ED-B097-F23816F3F23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9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6869-D991-44E2-8865-641A7207D5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2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16B-5540-416A-BB78-F23598355DB2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08CC-9BF4-44DF-9998-668EB4A92D2D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9D9A-4DDD-461B-9D7E-A4E7AE5D3820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A671-26A3-445F-85D2-F9E986EF013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5F3-55C7-4697-8D30-B9AE0CBEF41C}">
  <sheetPr codeName="Sheet20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0DF-6B64-41FE-96DC-D7A56B035E2C}">
  <sheetPr codeName="Sheet18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30A-CE7D-4C49-AA0B-8011EDE4DD7A}">
  <sheetPr codeName="Sheet16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B531-E55E-4841-9E4E-4CD7BEA9F16F}">
  <sheetPr codeName="Sheet14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1F2A5-56C6-4153-B694-4251456C1D25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5049-4FB1-4EE9-96BE-D1C72EE30713}">
  <sheetPr codeName="Sheet10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48F7-EB76-4947-859D-79256C438166}">
  <sheetPr codeName="Sheet8"/>
  <dimension ref="A1:Q8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FC41-FE19-448E-A8A3-22078C764B40}">
  <sheetPr codeName="Sheet6"/>
  <dimension ref="A1:Q1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2019-05-12T01:03:42Z</dcterms:modified>
</cp:coreProperties>
</file>