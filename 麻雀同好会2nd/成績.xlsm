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F85F39EE-B41B-4D43-A7A2-D86C377D9AD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01" r:id="rId6"/>
    <sheet name="だいち" sheetId="5403" r:id="rId7"/>
    <sheet name="りくと" sheetId="5405" r:id="rId8"/>
    <sheet name="ただ" sheetId="5407" r:id="rId9"/>
    <sheet name="れんたろう" sheetId="5409" r:id="rId10"/>
    <sheet name="たかの" sheetId="5411" r:id="rId11"/>
    <sheet name="ぱぱ" sheetId="5413" r:id="rId12"/>
    <sheet name="まっつん" sheetId="5415" r:id="rId13"/>
    <sheet name="あさひ" sheetId="5417" r:id="rId14"/>
    <sheet name="いっしー" sheetId="5419" r:id="rId15"/>
    <sheet name="ほたに" sheetId="5421" r:id="rId16"/>
    <sheet name="かわたつ" sheetId="5423" r:id="rId17"/>
    <sheet name="やがさき" sheetId="5425" r:id="rId18"/>
    <sheet name="やがさき2" sheetId="5426" state="hidden" r:id="rId19"/>
    <sheet name="かわたつ2" sheetId="5424" state="hidden" r:id="rId20"/>
    <sheet name="ほたに2" sheetId="5422" state="hidden" r:id="rId21"/>
    <sheet name="いっしー2" sheetId="5420" state="hidden" r:id="rId22"/>
    <sheet name="あさひ2" sheetId="5418" state="hidden" r:id="rId23"/>
    <sheet name="まっつん2" sheetId="5416" state="hidden" r:id="rId24"/>
    <sheet name="ぱぱ2" sheetId="5414" state="hidden" r:id="rId25"/>
    <sheet name="たかの2" sheetId="5412" state="hidden" r:id="rId26"/>
    <sheet name="れんたろう2" sheetId="5410" state="hidden" r:id="rId27"/>
    <sheet name="ただ2" sheetId="5408" state="hidden" r:id="rId28"/>
    <sheet name="りくと2" sheetId="5406" state="hidden" r:id="rId29"/>
    <sheet name="だいち2" sheetId="5404" state="hidden" r:id="rId30"/>
    <sheet name="全体2" sheetId="5402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03" l="1"/>
  <c r="O15" i="5425"/>
  <c r="O15" i="5407" l="1"/>
  <c r="O16" i="5411"/>
  <c r="O16" i="5401"/>
  <c r="O17" i="5425"/>
  <c r="O16" i="5425"/>
  <c r="C27" i="5425"/>
  <c r="B24" i="5425"/>
  <c r="C20" i="5425"/>
  <c r="B17" i="5425"/>
  <c r="H50" i="5425" s="1"/>
  <c r="C16" i="5425"/>
  <c r="C15" i="5425"/>
  <c r="C14" i="5425"/>
  <c r="C13" i="5425"/>
  <c r="O12" i="5425"/>
  <c r="C12" i="5425"/>
  <c r="O11" i="5425"/>
  <c r="C11" i="5425"/>
  <c r="O10" i="5425"/>
  <c r="C10" i="5425"/>
  <c r="C9" i="5425"/>
  <c r="C8" i="5425"/>
  <c r="O7" i="5425"/>
  <c r="C7" i="5425"/>
  <c r="O6" i="5425"/>
  <c r="B6" i="5425"/>
  <c r="O5" i="5425"/>
  <c r="B5" i="5425"/>
  <c r="O4" i="5425"/>
  <c r="O3" i="5425"/>
  <c r="O2" i="5425"/>
  <c r="O15" i="5423"/>
  <c r="O16" i="5423"/>
  <c r="C27" i="5423"/>
  <c r="B24" i="5423"/>
  <c r="C20" i="5423"/>
  <c r="B17" i="5423"/>
  <c r="H48" i="5423" s="1"/>
  <c r="C16" i="5423"/>
  <c r="C15" i="5423"/>
  <c r="C14" i="5423"/>
  <c r="C13" i="5423"/>
  <c r="O12" i="5423"/>
  <c r="C12" i="5423"/>
  <c r="O11" i="5423"/>
  <c r="C11" i="5423"/>
  <c r="O10" i="5423"/>
  <c r="H10" i="5423"/>
  <c r="C10" i="5423"/>
  <c r="C9" i="5423"/>
  <c r="C8" i="5423"/>
  <c r="O7" i="5423"/>
  <c r="C7" i="5423"/>
  <c r="O6" i="5423"/>
  <c r="B6" i="5423"/>
  <c r="O5" i="5423"/>
  <c r="B5" i="5423"/>
  <c r="O4" i="5423"/>
  <c r="O3" i="5423"/>
  <c r="O2" i="5423"/>
  <c r="O23" i="5409"/>
  <c r="O18" i="5403"/>
  <c r="O25" i="5401"/>
  <c r="H11" i="5425" l="1"/>
  <c r="H35" i="5425"/>
  <c r="H8" i="5425"/>
  <c r="H3" i="5425"/>
  <c r="H27" i="5425"/>
  <c r="H14" i="5425"/>
  <c r="H6" i="5425"/>
  <c r="H36" i="5425"/>
  <c r="H44" i="5425"/>
  <c r="H16" i="5425"/>
  <c r="H22" i="5425"/>
  <c r="H45" i="5425"/>
  <c r="H7" i="5425"/>
  <c r="H24" i="5425"/>
  <c r="H12" i="5425"/>
  <c r="H37" i="5425"/>
  <c r="H47" i="5425"/>
  <c r="H30" i="5425"/>
  <c r="H5" i="5425"/>
  <c r="H15" i="5425"/>
  <c r="C18" i="5425"/>
  <c r="H25" i="5425"/>
  <c r="H31" i="5425"/>
  <c r="H40" i="5425"/>
  <c r="H49" i="5425"/>
  <c r="C17" i="5425"/>
  <c r="H29" i="5425"/>
  <c r="H20" i="5425"/>
  <c r="H48" i="5425"/>
  <c r="H13" i="5425"/>
  <c r="H21" i="5425"/>
  <c r="H32" i="5425"/>
  <c r="H41" i="5425"/>
  <c r="H51" i="5425"/>
  <c r="H2" i="5425"/>
  <c r="H9" i="5425"/>
  <c r="H46" i="5425"/>
  <c r="H17" i="5425"/>
  <c r="H38" i="5425"/>
  <c r="B23" i="5425"/>
  <c r="H39" i="5425"/>
  <c r="H18" i="5425"/>
  <c r="H4" i="5425"/>
  <c r="H19" i="5425"/>
  <c r="C19" i="5425"/>
  <c r="H26" i="5425"/>
  <c r="H33" i="5425"/>
  <c r="H43" i="5425"/>
  <c r="H10" i="5425"/>
  <c r="H23" i="5425"/>
  <c r="H28" i="5425"/>
  <c r="H34" i="5425"/>
  <c r="H42" i="5425"/>
  <c r="C17" i="5423"/>
  <c r="H4" i="5423"/>
  <c r="H20" i="5423"/>
  <c r="H26" i="5423"/>
  <c r="H33" i="5423"/>
  <c r="H41" i="5423"/>
  <c r="H49" i="5423"/>
  <c r="H7" i="5423"/>
  <c r="H13" i="5423"/>
  <c r="H21" i="5423"/>
  <c r="H34" i="5423"/>
  <c r="H42" i="5423"/>
  <c r="H50" i="5423"/>
  <c r="H17" i="5423"/>
  <c r="H22" i="5423"/>
  <c r="H27" i="5423"/>
  <c r="H35" i="5423"/>
  <c r="H43" i="5423"/>
  <c r="H51" i="5423"/>
  <c r="H5" i="5423"/>
  <c r="H11" i="5423"/>
  <c r="H14" i="5423"/>
  <c r="C18" i="5423"/>
  <c r="B23" i="5423"/>
  <c r="H28" i="5423"/>
  <c r="H36" i="5423"/>
  <c r="H44" i="5423"/>
  <c r="H2" i="5423"/>
  <c r="H8" i="5423"/>
  <c r="H18" i="5423"/>
  <c r="H23" i="5423"/>
  <c r="H29" i="5423"/>
  <c r="H37" i="5423"/>
  <c r="H45" i="5423"/>
  <c r="H15" i="5423"/>
  <c r="C19" i="5423"/>
  <c r="H30" i="5423"/>
  <c r="H38" i="5423"/>
  <c r="H46" i="5423"/>
  <c r="H3" i="5423"/>
  <c r="H6" i="5423"/>
  <c r="H9" i="5423"/>
  <c r="H12" i="5423"/>
  <c r="H19" i="5423"/>
  <c r="H24" i="5423"/>
  <c r="H31" i="5423"/>
  <c r="H39" i="5423"/>
  <c r="H47" i="5423"/>
  <c r="H16" i="5423"/>
  <c r="H25" i="5423"/>
  <c r="H32" i="5423"/>
  <c r="H40" i="5423"/>
  <c r="O17" i="5411" l="1"/>
  <c r="O16" i="5419"/>
  <c r="O20" i="5421" l="1"/>
  <c r="O18" i="5421"/>
  <c r="O15" i="5415"/>
  <c r="O20" i="5405"/>
  <c r="O24" i="5403" l="1"/>
  <c r="O16" i="5421"/>
  <c r="O21" i="5413"/>
  <c r="O15" i="5421"/>
  <c r="O17" i="5421" l="1"/>
  <c r="O19" i="5421"/>
  <c r="C27" i="5421"/>
  <c r="B24" i="5421"/>
  <c r="C20" i="5421"/>
  <c r="B17" i="5421"/>
  <c r="H49" i="5421" s="1"/>
  <c r="C16" i="5421"/>
  <c r="C15" i="5421"/>
  <c r="C14" i="5421"/>
  <c r="C13" i="5421"/>
  <c r="O12" i="5421"/>
  <c r="C12" i="5421"/>
  <c r="O11" i="5421"/>
  <c r="C11" i="5421"/>
  <c r="O10" i="5421"/>
  <c r="C10" i="5421"/>
  <c r="C9" i="5421"/>
  <c r="C8" i="5421"/>
  <c r="O7" i="5421"/>
  <c r="C7" i="5421"/>
  <c r="O6" i="5421"/>
  <c r="B6" i="5421"/>
  <c r="O5" i="5421"/>
  <c r="B5" i="5421"/>
  <c r="O4" i="5421"/>
  <c r="O3" i="5421"/>
  <c r="O2" i="5421"/>
  <c r="O21" i="5409"/>
  <c r="O18" i="5411"/>
  <c r="O19" i="5401"/>
  <c r="H37" i="5421" l="1"/>
  <c r="C19" i="5421"/>
  <c r="H10" i="5421"/>
  <c r="H42" i="5421"/>
  <c r="H43" i="5421"/>
  <c r="H18" i="5421"/>
  <c r="H11" i="5421"/>
  <c r="H30" i="5421"/>
  <c r="H15" i="5421"/>
  <c r="H46" i="5421"/>
  <c r="H3" i="5421"/>
  <c r="H44" i="5421"/>
  <c r="H5" i="5421"/>
  <c r="H34" i="5421"/>
  <c r="H6" i="5421"/>
  <c r="H17" i="5421"/>
  <c r="H24" i="5421"/>
  <c r="H4" i="5421"/>
  <c r="C18" i="5421"/>
  <c r="H14" i="5421"/>
  <c r="H27" i="5421"/>
  <c r="H45" i="5421"/>
  <c r="H8" i="5421"/>
  <c r="H19" i="5421"/>
  <c r="H31" i="5421"/>
  <c r="H2" i="5421"/>
  <c r="H9" i="5421"/>
  <c r="H12" i="5421"/>
  <c r="H16" i="5421"/>
  <c r="B23" i="5421"/>
  <c r="H36" i="5421"/>
  <c r="H23" i="5421"/>
  <c r="H35" i="5421"/>
  <c r="H47" i="5421"/>
  <c r="H28" i="5421"/>
  <c r="H50" i="5421"/>
  <c r="H21" i="5421"/>
  <c r="H38" i="5421"/>
  <c r="H7" i="5421"/>
  <c r="H13" i="5421"/>
  <c r="C17" i="5421"/>
  <c r="H22" i="5421"/>
  <c r="H29" i="5421"/>
  <c r="H39" i="5421"/>
  <c r="H51" i="5421"/>
  <c r="H25" i="5421"/>
  <c r="H32" i="5421"/>
  <c r="H40" i="5421"/>
  <c r="H48" i="5421"/>
  <c r="H20" i="5421"/>
  <c r="H26" i="5421"/>
  <c r="H33" i="5421"/>
  <c r="H41" i="5421"/>
  <c r="O19" i="5411" l="1"/>
  <c r="O16" i="5407"/>
  <c r="O21" i="5415"/>
  <c r="O20" i="5415"/>
  <c r="O21" i="5403" l="1"/>
  <c r="O17" i="5419"/>
  <c r="O20" i="5419" l="1"/>
  <c r="O15" i="5419"/>
  <c r="O16" i="5409"/>
  <c r="O22" i="5407"/>
  <c r="O17" i="5417" l="1"/>
  <c r="O22" i="5413"/>
  <c r="O15" i="5417"/>
  <c r="O21" i="5419"/>
  <c r="O15" i="5405"/>
  <c r="O17" i="5415"/>
  <c r="O17" i="5401"/>
  <c r="O19" i="5419"/>
  <c r="O18" i="5419"/>
  <c r="C27" i="5419"/>
  <c r="B24" i="5419"/>
  <c r="C20" i="5419"/>
  <c r="B17" i="5419"/>
  <c r="H51" i="5419" s="1"/>
  <c r="C16" i="5419"/>
  <c r="C15" i="5419"/>
  <c r="C14" i="5419"/>
  <c r="C13" i="5419"/>
  <c r="O12" i="5419"/>
  <c r="C12" i="5419"/>
  <c r="O11" i="5419"/>
  <c r="C11" i="5419"/>
  <c r="O10" i="5419"/>
  <c r="C10" i="5419"/>
  <c r="C9" i="5419"/>
  <c r="C8" i="5419"/>
  <c r="O7" i="5419"/>
  <c r="C7" i="5419"/>
  <c r="O6" i="5419"/>
  <c r="B6" i="5419"/>
  <c r="O5" i="5419"/>
  <c r="B5" i="5419"/>
  <c r="O4" i="5419"/>
  <c r="O3" i="5419"/>
  <c r="O2" i="5419"/>
  <c r="O16" i="5417"/>
  <c r="O18" i="5417"/>
  <c r="C27" i="5417"/>
  <c r="B24" i="5417"/>
  <c r="C20" i="5417"/>
  <c r="B17" i="5417"/>
  <c r="H48" i="5417" s="1"/>
  <c r="C16" i="5417"/>
  <c r="C15" i="5417"/>
  <c r="C14" i="5417"/>
  <c r="C13" i="5417"/>
  <c r="O12" i="5417"/>
  <c r="C12" i="5417"/>
  <c r="O11" i="5417"/>
  <c r="C11" i="5417"/>
  <c r="O10" i="5417"/>
  <c r="C10" i="5417"/>
  <c r="C9" i="5417"/>
  <c r="C8" i="5417"/>
  <c r="O7" i="5417"/>
  <c r="C7" i="5417"/>
  <c r="O6" i="5417"/>
  <c r="B6" i="5417"/>
  <c r="O5" i="5417"/>
  <c r="B5" i="5417"/>
  <c r="O4" i="5417"/>
  <c r="O3" i="5417"/>
  <c r="O2" i="5417"/>
  <c r="O22" i="5415"/>
  <c r="O23" i="5415"/>
  <c r="O15" i="5403"/>
  <c r="O17" i="5403"/>
  <c r="O26" i="5401"/>
  <c r="H23" i="5417" l="1"/>
  <c r="H10" i="5417"/>
  <c r="H8" i="5417"/>
  <c r="H2" i="5417"/>
  <c r="H29" i="5417"/>
  <c r="H37" i="5417"/>
  <c r="C17" i="5417"/>
  <c r="H45" i="5417"/>
  <c r="H4" i="5417"/>
  <c r="H18" i="5417"/>
  <c r="H2" i="5419"/>
  <c r="H4" i="5419"/>
  <c r="C17" i="5419"/>
  <c r="H8" i="5419"/>
  <c r="H26" i="5419"/>
  <c r="H41" i="5419"/>
  <c r="H7" i="5419"/>
  <c r="H13" i="5419"/>
  <c r="H42" i="5419"/>
  <c r="H5" i="5419"/>
  <c r="H11" i="5419"/>
  <c r="H14" i="5419"/>
  <c r="C18" i="5419"/>
  <c r="B23" i="5419"/>
  <c r="H28" i="5419"/>
  <c r="H36" i="5419"/>
  <c r="H44" i="5419"/>
  <c r="H18" i="5419"/>
  <c r="H29" i="5419"/>
  <c r="H37" i="5419"/>
  <c r="H15" i="5419"/>
  <c r="H30" i="5419"/>
  <c r="H46" i="5419"/>
  <c r="H3" i="5419"/>
  <c r="H6" i="5419"/>
  <c r="H9" i="5419"/>
  <c r="H12" i="5419"/>
  <c r="H19" i="5419"/>
  <c r="H24" i="5419"/>
  <c r="H31" i="5419"/>
  <c r="H39" i="5419"/>
  <c r="H47" i="5419"/>
  <c r="H23" i="5419"/>
  <c r="H45" i="5419"/>
  <c r="C19" i="5419"/>
  <c r="H38" i="5419"/>
  <c r="H16" i="5419"/>
  <c r="H25" i="5419"/>
  <c r="H32" i="5419"/>
  <c r="H40" i="5419"/>
  <c r="H48" i="5419"/>
  <c r="H10" i="5419"/>
  <c r="H20" i="5419"/>
  <c r="H33" i="5419"/>
  <c r="H49" i="5419"/>
  <c r="H21" i="5419"/>
  <c r="H34" i="5419"/>
  <c r="H50" i="5419"/>
  <c r="H17" i="5419"/>
  <c r="H22" i="5419"/>
  <c r="H27" i="5419"/>
  <c r="H35" i="5419"/>
  <c r="H43" i="5419"/>
  <c r="H20" i="5417"/>
  <c r="H26" i="5417"/>
  <c r="H33" i="5417"/>
  <c r="H41" i="5417"/>
  <c r="H49" i="5417"/>
  <c r="H7" i="5417"/>
  <c r="H13" i="5417"/>
  <c r="H21" i="5417"/>
  <c r="H34" i="5417"/>
  <c r="H42" i="5417"/>
  <c r="H50" i="5417"/>
  <c r="H17" i="5417"/>
  <c r="H22" i="5417"/>
  <c r="H27" i="5417"/>
  <c r="H35" i="5417"/>
  <c r="H43" i="5417"/>
  <c r="H51" i="5417"/>
  <c r="H5" i="5417"/>
  <c r="H11" i="5417"/>
  <c r="H14" i="5417"/>
  <c r="C18" i="5417"/>
  <c r="B23" i="5417"/>
  <c r="H28" i="5417"/>
  <c r="H36" i="5417"/>
  <c r="H44" i="5417"/>
  <c r="H15" i="5417"/>
  <c r="C19" i="5417"/>
  <c r="H30" i="5417"/>
  <c r="H38" i="5417"/>
  <c r="H46" i="5417"/>
  <c r="H3" i="5417"/>
  <c r="H6" i="5417"/>
  <c r="H9" i="5417"/>
  <c r="H12" i="5417"/>
  <c r="H19" i="5417"/>
  <c r="H24" i="5417"/>
  <c r="H31" i="5417"/>
  <c r="H39" i="5417"/>
  <c r="H47" i="5417"/>
  <c r="H16" i="5417"/>
  <c r="H25" i="5417"/>
  <c r="H32" i="5417"/>
  <c r="H40" i="5417"/>
  <c r="O19" i="5415" l="1"/>
  <c r="O18" i="5413"/>
  <c r="O16" i="5413"/>
  <c r="O17" i="5405"/>
  <c r="O20" i="5411" l="1"/>
  <c r="O17" i="5409"/>
  <c r="O17" i="5413"/>
  <c r="O19" i="5413"/>
  <c r="O15" i="5411" l="1"/>
  <c r="O15" i="5409"/>
  <c r="O21" i="5407"/>
  <c r="O19" i="5407"/>
  <c r="O16" i="5415"/>
  <c r="O18" i="5415"/>
  <c r="C27" i="5415"/>
  <c r="B24" i="5415"/>
  <c r="C20" i="5415"/>
  <c r="B17" i="5415"/>
  <c r="H48" i="5415" s="1"/>
  <c r="C16" i="5415"/>
  <c r="C15" i="5415"/>
  <c r="C14" i="5415"/>
  <c r="C13" i="5415"/>
  <c r="O12" i="5415"/>
  <c r="C12" i="5415"/>
  <c r="O11" i="5415"/>
  <c r="C11" i="5415"/>
  <c r="O10" i="5415"/>
  <c r="H10" i="5415"/>
  <c r="C10" i="5415"/>
  <c r="C9" i="5415"/>
  <c r="C8" i="5415"/>
  <c r="O7" i="5415"/>
  <c r="C7" i="5415"/>
  <c r="O6" i="5415"/>
  <c r="B6" i="5415"/>
  <c r="O5" i="5415"/>
  <c r="B5" i="5415"/>
  <c r="O4" i="5415"/>
  <c r="O3" i="5415"/>
  <c r="O2" i="5415"/>
  <c r="O22" i="5409"/>
  <c r="O21" i="5405"/>
  <c r="O23" i="5401"/>
  <c r="H2" i="5415" l="1"/>
  <c r="C17" i="5415"/>
  <c r="H4" i="5415"/>
  <c r="H20" i="5415"/>
  <c r="H26" i="5415"/>
  <c r="H33" i="5415"/>
  <c r="H41" i="5415"/>
  <c r="H49" i="5415"/>
  <c r="H7" i="5415"/>
  <c r="H13" i="5415"/>
  <c r="H21" i="5415"/>
  <c r="H34" i="5415"/>
  <c r="H42" i="5415"/>
  <c r="H50" i="5415"/>
  <c r="H17" i="5415"/>
  <c r="H22" i="5415"/>
  <c r="H27" i="5415"/>
  <c r="H35" i="5415"/>
  <c r="H43" i="5415"/>
  <c r="H51" i="5415"/>
  <c r="H5" i="5415"/>
  <c r="H11" i="5415"/>
  <c r="H14" i="5415"/>
  <c r="C18" i="5415"/>
  <c r="B23" i="5415"/>
  <c r="H28" i="5415"/>
  <c r="H36" i="5415"/>
  <c r="H44" i="5415"/>
  <c r="H8" i="5415"/>
  <c r="H18" i="5415"/>
  <c r="H23" i="5415"/>
  <c r="H29" i="5415"/>
  <c r="H37" i="5415"/>
  <c r="H45" i="5415"/>
  <c r="H15" i="5415"/>
  <c r="C19" i="5415"/>
  <c r="H30" i="5415"/>
  <c r="H38" i="5415"/>
  <c r="H46" i="5415"/>
  <c r="H3" i="5415"/>
  <c r="H6" i="5415"/>
  <c r="H9" i="5415"/>
  <c r="H12" i="5415"/>
  <c r="H19" i="5415"/>
  <c r="H24" i="5415"/>
  <c r="H31" i="5415"/>
  <c r="H39" i="5415"/>
  <c r="H47" i="5415"/>
  <c r="H16" i="5415"/>
  <c r="H25" i="5415"/>
  <c r="H32" i="5415"/>
  <c r="H40" i="5415"/>
  <c r="O18" i="5407" l="1"/>
  <c r="O20" i="5413"/>
  <c r="O15" i="5413"/>
  <c r="C27" i="5413"/>
  <c r="B24" i="5413"/>
  <c r="C20" i="5413"/>
  <c r="B17" i="5413"/>
  <c r="H50" i="5413" s="1"/>
  <c r="C16" i="5413"/>
  <c r="C15" i="5413"/>
  <c r="C14" i="5413"/>
  <c r="C13" i="5413"/>
  <c r="O12" i="5413"/>
  <c r="C12" i="5413"/>
  <c r="O11" i="5413"/>
  <c r="C11" i="5413"/>
  <c r="O10" i="5413"/>
  <c r="C10" i="5413"/>
  <c r="C9" i="5413"/>
  <c r="C8" i="5413"/>
  <c r="O7" i="5413"/>
  <c r="C7" i="5413"/>
  <c r="O6" i="5413"/>
  <c r="B6" i="5413"/>
  <c r="O5" i="5413"/>
  <c r="B5" i="5413"/>
  <c r="O4" i="5413"/>
  <c r="O3" i="5413"/>
  <c r="O2" i="5413"/>
  <c r="O20" i="5403"/>
  <c r="O18" i="5401"/>
  <c r="O21" i="5411"/>
  <c r="O19" i="5405"/>
  <c r="O18" i="5405"/>
  <c r="O18" i="5409"/>
  <c r="O22" i="5411"/>
  <c r="O23" i="5411"/>
  <c r="C27" i="5411"/>
  <c r="B24" i="5411"/>
  <c r="C20" i="5411"/>
  <c r="B17" i="5411"/>
  <c r="H51" i="5411" s="1"/>
  <c r="C16" i="5411"/>
  <c r="C15" i="5411"/>
  <c r="C14" i="5411"/>
  <c r="C13" i="5411"/>
  <c r="O12" i="5411"/>
  <c r="C12" i="5411"/>
  <c r="O11" i="5411"/>
  <c r="C11" i="5411"/>
  <c r="O10" i="5411"/>
  <c r="C10" i="5411"/>
  <c r="C9" i="5411"/>
  <c r="C8" i="5411"/>
  <c r="O7" i="5411"/>
  <c r="C7" i="5411"/>
  <c r="O6" i="5411"/>
  <c r="B6" i="5411"/>
  <c r="O5" i="5411"/>
  <c r="B5" i="5411"/>
  <c r="O4" i="5411"/>
  <c r="O3" i="5411"/>
  <c r="O2" i="5411"/>
  <c r="O20" i="5409"/>
  <c r="O19" i="5409"/>
  <c r="C27" i="5409"/>
  <c r="B24" i="5409"/>
  <c r="C20" i="5409"/>
  <c r="B17" i="5409"/>
  <c r="H51" i="5409" s="1"/>
  <c r="C16" i="5409"/>
  <c r="C15" i="5409"/>
  <c r="C14" i="5409"/>
  <c r="C13" i="5409"/>
  <c r="O12" i="5409"/>
  <c r="C12" i="5409"/>
  <c r="O11" i="5409"/>
  <c r="C11" i="5409"/>
  <c r="O10" i="5409"/>
  <c r="C10" i="5409"/>
  <c r="C9" i="5409"/>
  <c r="C8" i="5409"/>
  <c r="O7" i="5409"/>
  <c r="C7" i="5409"/>
  <c r="O6" i="5409"/>
  <c r="B6" i="5409"/>
  <c r="O5" i="5409"/>
  <c r="B5" i="5409"/>
  <c r="O4" i="5409"/>
  <c r="O3" i="5409"/>
  <c r="O2" i="5409"/>
  <c r="O19" i="5403"/>
  <c r="O23" i="5403"/>
  <c r="O21" i="5401"/>
  <c r="O22" i="5401"/>
  <c r="H10" i="5413" l="1"/>
  <c r="H9" i="5409"/>
  <c r="H6" i="5409"/>
  <c r="H36" i="5409"/>
  <c r="H12" i="5409"/>
  <c r="B23" i="5409"/>
  <c r="H10" i="5409"/>
  <c r="H30" i="5409"/>
  <c r="H3" i="5409"/>
  <c r="H16" i="5409"/>
  <c r="H38" i="5409"/>
  <c r="H13" i="5409"/>
  <c r="H4" i="5409"/>
  <c r="H7" i="5409"/>
  <c r="H40" i="5409"/>
  <c r="H25" i="5409"/>
  <c r="H11" i="5409"/>
  <c r="H45" i="5409"/>
  <c r="C17" i="5409"/>
  <c r="C18" i="5409"/>
  <c r="H5" i="5409"/>
  <c r="H14" i="5409"/>
  <c r="H46" i="5409"/>
  <c r="H24" i="5409"/>
  <c r="H44" i="5409"/>
  <c r="H18" i="5409"/>
  <c r="H2" i="5409"/>
  <c r="H8" i="5409"/>
  <c r="C19" i="5409"/>
  <c r="H28" i="5409"/>
  <c r="H15" i="5409"/>
  <c r="H19" i="5409"/>
  <c r="H29" i="5409"/>
  <c r="C17" i="5413"/>
  <c r="H4" i="5413"/>
  <c r="H17" i="5413"/>
  <c r="H22" i="5413"/>
  <c r="H27" i="5413"/>
  <c r="H35" i="5413"/>
  <c r="H43" i="5413"/>
  <c r="H51" i="5413"/>
  <c r="H5" i="5413"/>
  <c r="H11" i="5413"/>
  <c r="H14" i="5413"/>
  <c r="C18" i="5413"/>
  <c r="B23" i="5413"/>
  <c r="H28" i="5413"/>
  <c r="H36" i="5413"/>
  <c r="H44" i="5413"/>
  <c r="H2" i="5413"/>
  <c r="H8" i="5413"/>
  <c r="H18" i="5413"/>
  <c r="H23" i="5413"/>
  <c r="H29" i="5413"/>
  <c r="H37" i="5413"/>
  <c r="H45" i="5413"/>
  <c r="H30" i="5413"/>
  <c r="H38" i="5413"/>
  <c r="H46" i="5413"/>
  <c r="C19" i="5413"/>
  <c r="H3" i="5413"/>
  <c r="H6" i="5413"/>
  <c r="H9" i="5413"/>
  <c r="H12" i="5413"/>
  <c r="H19" i="5413"/>
  <c r="H24" i="5413"/>
  <c r="H31" i="5413"/>
  <c r="H39" i="5413"/>
  <c r="H47" i="5413"/>
  <c r="H15" i="5413"/>
  <c r="H16" i="5413"/>
  <c r="H25" i="5413"/>
  <c r="H32" i="5413"/>
  <c r="H40" i="5413"/>
  <c r="H48" i="5413"/>
  <c r="H20" i="5413"/>
  <c r="H26" i="5413"/>
  <c r="H33" i="5413"/>
  <c r="H41" i="5413"/>
  <c r="H49" i="5413"/>
  <c r="H7" i="5413"/>
  <c r="H13" i="5413"/>
  <c r="H21" i="5413"/>
  <c r="H34" i="5413"/>
  <c r="H42" i="5413"/>
  <c r="H38" i="5411"/>
  <c r="H8" i="5411"/>
  <c r="H5" i="5411"/>
  <c r="H14" i="5411"/>
  <c r="H39" i="5411"/>
  <c r="H19" i="5411"/>
  <c r="H28" i="5411"/>
  <c r="C19" i="5411"/>
  <c r="H42" i="5411"/>
  <c r="H2" i="5411"/>
  <c r="H3" i="5411"/>
  <c r="H11" i="5411"/>
  <c r="H15" i="5411"/>
  <c r="H29" i="5411"/>
  <c r="H37" i="5409"/>
  <c r="H44" i="5411"/>
  <c r="H9" i="5411"/>
  <c r="B23" i="5411"/>
  <c r="C17" i="5411"/>
  <c r="H34" i="5411"/>
  <c r="H46" i="5411"/>
  <c r="H6" i="5411"/>
  <c r="H30" i="5411"/>
  <c r="H31" i="5411"/>
  <c r="H4" i="5411"/>
  <c r="H7" i="5411"/>
  <c r="H13" i="5411"/>
  <c r="C18" i="5411"/>
  <c r="H47" i="5411"/>
  <c r="H12" i="5411"/>
  <c r="H21" i="5411"/>
  <c r="H45" i="5411"/>
  <c r="H10" i="5411"/>
  <c r="H23" i="5411"/>
  <c r="H36" i="5411"/>
  <c r="H18" i="5411"/>
  <c r="H24" i="5411"/>
  <c r="H37" i="5411"/>
  <c r="H50" i="5411"/>
  <c r="H16" i="5411"/>
  <c r="H25" i="5411"/>
  <c r="H32" i="5411"/>
  <c r="H40" i="5411"/>
  <c r="H48" i="5411"/>
  <c r="H20" i="5411"/>
  <c r="H26" i="5411"/>
  <c r="H33" i="5411"/>
  <c r="H41" i="5411"/>
  <c r="H49" i="5411"/>
  <c r="H17" i="5411"/>
  <c r="H22" i="5411"/>
  <c r="H27" i="5411"/>
  <c r="H35" i="5411"/>
  <c r="H43" i="5411"/>
  <c r="H23" i="5409"/>
  <c r="H32" i="5409"/>
  <c r="H48" i="5409"/>
  <c r="H31" i="5409"/>
  <c r="H39" i="5409"/>
  <c r="H47" i="5409"/>
  <c r="H20" i="5409"/>
  <c r="H26" i="5409"/>
  <c r="H33" i="5409"/>
  <c r="H41" i="5409"/>
  <c r="H49" i="5409"/>
  <c r="H21" i="5409"/>
  <c r="H34" i="5409"/>
  <c r="H42" i="5409"/>
  <c r="H50" i="5409"/>
  <c r="H17" i="5409"/>
  <c r="H22" i="5409"/>
  <c r="H27" i="5409"/>
  <c r="H35" i="5409"/>
  <c r="H43" i="5409"/>
  <c r="O17" i="5407" l="1"/>
  <c r="O20" i="5407"/>
  <c r="C27" i="5407"/>
  <c r="B24" i="5407"/>
  <c r="C20" i="5407"/>
  <c r="B17" i="5407"/>
  <c r="H51" i="5407" s="1"/>
  <c r="C16" i="5407"/>
  <c r="C15" i="5407"/>
  <c r="C14" i="5407"/>
  <c r="C13" i="5407"/>
  <c r="O12" i="5407"/>
  <c r="C12" i="5407"/>
  <c r="O11" i="5407"/>
  <c r="C11" i="5407"/>
  <c r="O10" i="5407"/>
  <c r="C10" i="5407"/>
  <c r="C9" i="5407"/>
  <c r="C8" i="5407"/>
  <c r="O7" i="5407"/>
  <c r="C7" i="5407"/>
  <c r="O6" i="5407"/>
  <c r="B6" i="5407"/>
  <c r="O5" i="5407"/>
  <c r="B5" i="5407"/>
  <c r="O4" i="5407"/>
  <c r="O3" i="5407"/>
  <c r="O2" i="5407"/>
  <c r="O22" i="5405"/>
  <c r="O16" i="5405"/>
  <c r="C27" i="5405"/>
  <c r="B24" i="5405"/>
  <c r="C20" i="5405"/>
  <c r="B17" i="5405"/>
  <c r="H49" i="5405" s="1"/>
  <c r="C16" i="5405"/>
  <c r="C15" i="5405"/>
  <c r="C14" i="5405"/>
  <c r="C13" i="5405"/>
  <c r="O12" i="5405"/>
  <c r="C12" i="5405"/>
  <c r="O11" i="5405"/>
  <c r="C11" i="5405"/>
  <c r="O10" i="5405"/>
  <c r="C10" i="5405"/>
  <c r="C9" i="5405"/>
  <c r="C8" i="5405"/>
  <c r="O7" i="5405"/>
  <c r="C7" i="5405"/>
  <c r="O6" i="5405"/>
  <c r="B6" i="5405"/>
  <c r="O5" i="5405"/>
  <c r="B5" i="5405"/>
  <c r="O4" i="5405"/>
  <c r="O3" i="5405"/>
  <c r="O2" i="5405"/>
  <c r="O24" i="5401"/>
  <c r="O16" i="5403"/>
  <c r="O22" i="5403"/>
  <c r="C27" i="5403"/>
  <c r="B24" i="5403"/>
  <c r="C20" i="5403"/>
  <c r="B17" i="5403"/>
  <c r="H51" i="5403" s="1"/>
  <c r="C16" i="5403"/>
  <c r="C15" i="5403"/>
  <c r="C14" i="5403"/>
  <c r="C13" i="5403"/>
  <c r="O12" i="5403"/>
  <c r="C12" i="5403"/>
  <c r="O11" i="5403"/>
  <c r="C11" i="5403"/>
  <c r="O10" i="5403"/>
  <c r="C10" i="5403"/>
  <c r="C9" i="5403"/>
  <c r="C8" i="5403"/>
  <c r="O7" i="5403"/>
  <c r="C7" i="5403"/>
  <c r="O6" i="5403"/>
  <c r="B6" i="5403"/>
  <c r="O5" i="5403"/>
  <c r="B5" i="5403"/>
  <c r="O4" i="5403"/>
  <c r="O3" i="5403"/>
  <c r="O2" i="5403"/>
  <c r="O15" i="5401"/>
  <c r="O20" i="5401"/>
  <c r="C27" i="5401"/>
  <c r="B24" i="5401"/>
  <c r="C20" i="5401"/>
  <c r="B17" i="5401"/>
  <c r="H51" i="5401" s="1"/>
  <c r="C16" i="5401"/>
  <c r="C15" i="5401"/>
  <c r="C14" i="5401"/>
  <c r="C13" i="5401"/>
  <c r="O12" i="5401"/>
  <c r="C12" i="5401"/>
  <c r="O11" i="5401"/>
  <c r="C11" i="5401"/>
  <c r="O10" i="5401"/>
  <c r="C10" i="5401"/>
  <c r="C9" i="5401"/>
  <c r="C8" i="5401"/>
  <c r="O7" i="5401"/>
  <c r="C7" i="5401"/>
  <c r="O6" i="5401"/>
  <c r="B6" i="5401"/>
  <c r="O5" i="5401"/>
  <c r="B5" i="5401"/>
  <c r="O4" i="5401"/>
  <c r="O3" i="5401"/>
  <c r="O2" i="5401"/>
  <c r="H14" i="5407" l="1"/>
  <c r="H36" i="5403"/>
  <c r="H26" i="5403"/>
  <c r="H13" i="5403"/>
  <c r="H7" i="5403"/>
  <c r="H6" i="5407"/>
  <c r="H16" i="5407"/>
  <c r="H18" i="5407"/>
  <c r="H9" i="5407"/>
  <c r="H10" i="5407"/>
  <c r="H3" i="5407"/>
  <c r="H4" i="5407"/>
  <c r="H37" i="5407"/>
  <c r="H33" i="5407"/>
  <c r="H41" i="5407"/>
  <c r="H26" i="5407"/>
  <c r="H24" i="5407"/>
  <c r="H30" i="5407"/>
  <c r="H27" i="5407"/>
  <c r="H12" i="5407"/>
  <c r="C19" i="5407"/>
  <c r="H44" i="5407"/>
  <c r="H19" i="5407"/>
  <c r="H8" i="5407"/>
  <c r="C17" i="5407"/>
  <c r="H2" i="5407"/>
  <c r="H7" i="5407"/>
  <c r="H13" i="5407"/>
  <c r="H45" i="5407"/>
  <c r="H25" i="5407"/>
  <c r="C18" i="5407"/>
  <c r="H32" i="5407"/>
  <c r="H10" i="5403"/>
  <c r="H17" i="5403"/>
  <c r="H2" i="5403"/>
  <c r="H14" i="5403"/>
  <c r="H6" i="5401"/>
  <c r="H17" i="5407"/>
  <c r="H21" i="5407"/>
  <c r="H36" i="5407"/>
  <c r="H46" i="5407"/>
  <c r="H47" i="5407"/>
  <c r="H15" i="5407"/>
  <c r="H11" i="5407"/>
  <c r="H38" i="5407"/>
  <c r="H48" i="5407"/>
  <c r="H29" i="5407"/>
  <c r="H31" i="5407"/>
  <c r="H39" i="5407"/>
  <c r="H49" i="5407"/>
  <c r="H20" i="5407"/>
  <c r="B23" i="5407"/>
  <c r="H23" i="5407"/>
  <c r="H40" i="5407"/>
  <c r="H5" i="5407"/>
  <c r="H28" i="5407"/>
  <c r="H22" i="5407"/>
  <c r="H34" i="5407"/>
  <c r="H42" i="5407"/>
  <c r="H50" i="5407"/>
  <c r="H35" i="5407"/>
  <c r="H43" i="5407"/>
  <c r="H12" i="5401"/>
  <c r="H37" i="5401"/>
  <c r="H38" i="5401"/>
  <c r="H35" i="5405"/>
  <c r="C18" i="5405"/>
  <c r="H36" i="5405"/>
  <c r="H3" i="5405"/>
  <c r="H17" i="5405"/>
  <c r="H4" i="5405"/>
  <c r="H18" i="5405"/>
  <c r="C19" i="5405"/>
  <c r="H8" i="5405"/>
  <c r="H15" i="5405"/>
  <c r="H30" i="5405"/>
  <c r="H44" i="5405"/>
  <c r="H23" i="5405"/>
  <c r="H10" i="5405"/>
  <c r="H37" i="5405"/>
  <c r="H14" i="5405"/>
  <c r="H43" i="5405"/>
  <c r="H2" i="5405"/>
  <c r="H45" i="5405"/>
  <c r="H6" i="5405"/>
  <c r="H24" i="5405"/>
  <c r="H42" i="5405"/>
  <c r="H11" i="5405"/>
  <c r="H27" i="5405"/>
  <c r="H5" i="5405"/>
  <c r="H19" i="5405"/>
  <c r="H31" i="5405"/>
  <c r="H9" i="5405"/>
  <c r="H12" i="5405"/>
  <c r="H16" i="5405"/>
  <c r="B23" i="5405"/>
  <c r="H34" i="5405"/>
  <c r="H46" i="5405"/>
  <c r="H47" i="5405"/>
  <c r="H21" i="5405"/>
  <c r="H28" i="5405"/>
  <c r="H38" i="5405"/>
  <c r="H50" i="5405"/>
  <c r="H7" i="5405"/>
  <c r="H13" i="5405"/>
  <c r="C17" i="5405"/>
  <c r="H22" i="5405"/>
  <c r="H29" i="5405"/>
  <c r="H39" i="5405"/>
  <c r="H51" i="5405"/>
  <c r="H25" i="5405"/>
  <c r="H32" i="5405"/>
  <c r="H40" i="5405"/>
  <c r="H48" i="5405"/>
  <c r="H20" i="5405"/>
  <c r="H26" i="5405"/>
  <c r="H33" i="5405"/>
  <c r="H41" i="5405"/>
  <c r="H10" i="5401"/>
  <c r="H16" i="5401"/>
  <c r="H2" i="5401"/>
  <c r="H24" i="5401"/>
  <c r="H45" i="5403"/>
  <c r="H37" i="5403"/>
  <c r="H30" i="5403"/>
  <c r="H16" i="5403"/>
  <c r="H46" i="5403"/>
  <c r="H3" i="5403"/>
  <c r="H47" i="5403"/>
  <c r="H8" i="5403"/>
  <c r="H25" i="5403"/>
  <c r="H27" i="5403"/>
  <c r="H39" i="5403"/>
  <c r="H48" i="5403"/>
  <c r="H38" i="5403"/>
  <c r="H41" i="5403"/>
  <c r="H9" i="5403"/>
  <c r="H23" i="5403"/>
  <c r="H19" i="5403"/>
  <c r="H18" i="5403"/>
  <c r="H40" i="5403"/>
  <c r="H31" i="5403"/>
  <c r="H21" i="5403"/>
  <c r="H50" i="5403"/>
  <c r="H4" i="5403"/>
  <c r="H11" i="5403"/>
  <c r="H32" i="5403"/>
  <c r="H28" i="5403"/>
  <c r="H42" i="5403"/>
  <c r="H15" i="5403"/>
  <c r="C17" i="5403"/>
  <c r="B23" i="5403"/>
  <c r="H49" i="5403"/>
  <c r="H6" i="5403"/>
  <c r="H20" i="5403"/>
  <c r="C18" i="5403"/>
  <c r="H22" i="5403"/>
  <c r="H24" i="5403"/>
  <c r="C19" i="5403"/>
  <c r="H12" i="5403"/>
  <c r="H35" i="5403"/>
  <c r="H44" i="5403"/>
  <c r="H5" i="5403"/>
  <c r="H33" i="5403"/>
  <c r="H34" i="5403"/>
  <c r="H29" i="5403"/>
  <c r="H43" i="5403"/>
  <c r="H45" i="5401"/>
  <c r="H22" i="5401"/>
  <c r="H15" i="5401"/>
  <c r="H46" i="5401"/>
  <c r="H39" i="5401"/>
  <c r="C17" i="5401"/>
  <c r="H48" i="5401"/>
  <c r="H4" i="5401"/>
  <c r="H41" i="5401"/>
  <c r="H9" i="5401"/>
  <c r="H21" i="5401"/>
  <c r="H40" i="5401"/>
  <c r="H18" i="5401"/>
  <c r="H17" i="5401"/>
  <c r="H7" i="5401"/>
  <c r="H20" i="5401"/>
  <c r="C18" i="5401"/>
  <c r="H27" i="5401"/>
  <c r="H32" i="5401"/>
  <c r="H25" i="5401"/>
  <c r="H42" i="5401"/>
  <c r="H19" i="5401"/>
  <c r="H14" i="5401"/>
  <c r="H47" i="5401"/>
  <c r="H8" i="5401"/>
  <c r="H26" i="5401"/>
  <c r="H30" i="5401"/>
  <c r="B23" i="5401"/>
  <c r="H49" i="5401"/>
  <c r="H33" i="5401"/>
  <c r="H23" i="5401"/>
  <c r="H50" i="5401"/>
  <c r="H3" i="5401"/>
  <c r="H11" i="5401"/>
  <c r="H34" i="5401"/>
  <c r="H28" i="5401"/>
  <c r="C19" i="5401"/>
  <c r="H13" i="5401"/>
  <c r="H36" i="5401"/>
  <c r="H44" i="5401"/>
  <c r="H5" i="5401"/>
  <c r="H35" i="5401"/>
  <c r="H29" i="5401"/>
  <c r="H31" i="5401"/>
  <c r="H43" i="540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<sst xmlns="http://schemas.openxmlformats.org/spreadsheetml/2006/main" count="3232" uniqueCount="242">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</sst>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全体!$K$2:$K$572</c:f>
              <c:numCache>
                <c:formatCode>General</c:formatCode>
                <c:ptCount val="5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</c:numCache>
            </c:numRef>
          </c:xVal>
          <c:yVal>
            <c:numRef>
              <c:f>全体!$L$2:$L$572</c:f>
              <c:numCache>
                <c:formatCode>\+0.0;\-0.0;\±0</c:formatCode>
                <c:ptCount val="57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B-4FE4-9336-E859B79F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-14.035087719298245</c:v>
                </c:pt>
                <c:pt idx="1">
                  <c:v>-7.1684587813620073</c:v>
                </c:pt>
                <c:pt idx="2">
                  <c:v>5.7142857142857144</c:v>
                </c:pt>
                <c:pt idx="3">
                  <c:v>12.578616352201259</c:v>
                </c:pt>
                <c:pt idx="4">
                  <c:v>-14.084507042253522</c:v>
                </c:pt>
                <c:pt idx="5">
                  <c:v>23.4375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C6-4E1F-9B27-78ACAF71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だいち!$K$2:$K$130</c:f>
              <c:numCache>
                <c:formatCode>General</c:formatCode>
                <c:ptCount val="1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</c:numCache>
            </c:numRef>
          </c:xVal>
          <c:yVal>
            <c:numRef>
              <c:f>だいち!$L$2:$L$130</c:f>
              <c:numCache>
                <c:formatCode>\+0.0;\-0.0;\±0</c:formatCode>
                <c:ptCount val="12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0-409D-9ACF-ADC5EE9DA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1352.34375</c:v>
                </c:pt>
                <c:pt idx="1">
                  <c:v>1174.4000000000001</c:v>
                </c:pt>
                <c:pt idx="2">
                  <c:v>1399.1525423728813</c:v>
                </c:pt>
                <c:pt idx="3">
                  <c:v>2909.2592592592591</c:v>
                </c:pt>
                <c:pt idx="4">
                  <c:v>407.44680851063828</c:v>
                </c:pt>
                <c:pt idx="5">
                  <c:v>867.07317073170736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6-4DBC-B978-7F9F67A2E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0-45CA-8D70-BC0ECF22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444.3478260869565</c:v>
                </c:pt>
                <c:pt idx="1">
                  <c:v>-2309.0090090090089</c:v>
                </c:pt>
                <c:pt idx="2">
                  <c:v>62.037037037037038</c:v>
                </c:pt>
                <c:pt idx="3">
                  <c:v>256.25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F4-4AB5-B8E1-2C6D0E5F1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ただ!$L$2:$L$70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1-4C7D-B954-48E7F941E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-1658.8235294117646</c:v>
                </c:pt>
                <c:pt idx="1">
                  <c:v>-1333.3333333333333</c:v>
                </c:pt>
                <c:pt idx="2">
                  <c:v>-880.64516129032256</c:v>
                </c:pt>
                <c:pt idx="3">
                  <c:v>-5090.7407407407409</c:v>
                </c:pt>
                <c:pt idx="4">
                  <c:v>-1604.1666666666667</c:v>
                </c:pt>
                <c:pt idx="5">
                  <c:v>-2100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1-4AF5-8174-EA7E819D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れんたろう!$L$2:$L$81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A-4610-BE3C-BB15F39C7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-1070.8860759493671</c:v>
                </c:pt>
                <c:pt idx="1">
                  <c:v>1011.5384615384615</c:v>
                </c:pt>
                <c:pt idx="2">
                  <c:v>1584.7222222222222</c:v>
                </c:pt>
                <c:pt idx="3">
                  <c:v>1145.1612903225807</c:v>
                </c:pt>
                <c:pt idx="4">
                  <c:v>-677.77777777777783</c:v>
                </c:pt>
                <c:pt idx="5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8-4A73-A997-CDB312F6A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たかの!$L$2:$L$64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7-4856-96F5-722DB8331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766.12903225806451</c:v>
                </c:pt>
                <c:pt idx="1">
                  <c:v>-403.22580645161293</c:v>
                </c:pt>
                <c:pt idx="2">
                  <c:v>-1281.8181818181818</c:v>
                </c:pt>
                <c:pt idx="3">
                  <c:v>319.23076923076923</c:v>
                </c:pt>
                <c:pt idx="4">
                  <c:v>808</c:v>
                </c:pt>
                <c:pt idx="5">
                  <c:v>-343.18181818181819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D-42CB-9D1C-5E4CA1739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0-4A09-BE8A-4CD7671A8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F-4BC0-90B2-665790308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まっつん!$L$2:$L$49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7-43F1-A748-A8533D45D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1202.127659574468</c:v>
                </c:pt>
                <c:pt idx="1">
                  <c:v>537.77777777777783</c:v>
                </c:pt>
                <c:pt idx="2">
                  <c:v>-1153.6585365853659</c:v>
                </c:pt>
                <c:pt idx="3">
                  <c:v>1572.5</c:v>
                </c:pt>
                <c:pt idx="4">
                  <c:v>-1572.2222222222222</c:v>
                </c:pt>
                <c:pt idx="5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8-49CB-88FC-37E86AF4D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C-45F4-8E88-BD4B51168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7-413C-A675-0ACD9EC67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F-43C5-A50A-728F714D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9A-4DED-8F45-D897D9265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6-4F0C-9EF9-2590D2964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4F-45AE-A418-B021AE083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B7-4327-8A7F-FDBB2E65C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D4-4954-89E2-F76FCB5D6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E-4A33-AC71-AE2281A24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2-42AC-A888-9D2572325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やがさき2!$C$3:$C$5</c:f>
              <c:numCache>
                <c:formatCode>\+0.0;\-0.0;\±0</c:formatCode>
                <c:ptCount val="3"/>
                <c:pt idx="1">
                  <c:v>-37</c:v>
                </c:pt>
                <c:pt idx="2">
                  <c:v>-12.35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やがさき2!$D$3:$D$5</c:f>
              <c:numCache>
                <c:formatCode>0.00\ "位"</c:formatCode>
                <c:ptCount val="3"/>
                <c:pt idx="1">
                  <c:v>3</c:v>
                </c:pt>
                <c:pt idx="2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やがさき2!$F$3:$F$5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やがさき2!$G$3:$G$5</c:f>
              <c:numCache>
                <c:formatCode>0.0%</c:formatCode>
                <c:ptCount val="3"/>
                <c:pt idx="1">
                  <c:v>0.375</c:v>
                </c:pt>
                <c:pt idx="2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7890295358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やがさき2!$H$3:$H$5</c:f>
              <c:numCache>
                <c:formatCode>0.0%</c:formatCode>
                <c:ptCount val="3"/>
                <c:pt idx="1">
                  <c:v>0.375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932489451476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やがさき2!$I$3:$I$5</c:f>
              <c:numCache>
                <c:formatCode>0</c:formatCode>
                <c:ptCount val="3"/>
                <c:pt idx="1">
                  <c:v>8666.6666666666661</c:v>
                </c:pt>
                <c:pt idx="2">
                  <c:v>10600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87.26249120337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やがさき2!$J$3:$J$5</c:f>
              <c:numCache>
                <c:formatCode>0</c:formatCode>
                <c:ptCount val="3"/>
                <c:pt idx="1">
                  <c:v>-14000</c:v>
                </c:pt>
                <c:pt idx="2">
                  <c:v>-12425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25.62814070351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789473684210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789473684210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やがさき2!$M$3:$M$5</c:f>
              <c:numCache>
                <c:formatCode>0.0%</c:formatCode>
                <c:ptCount val="3"/>
                <c:pt idx="1">
                  <c:v>0.375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324894514767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やがさき2!$N$3:$N$5</c:f>
              <c:numCache>
                <c:formatCode>0.0%</c:formatCode>
                <c:ptCount val="3"/>
                <c:pt idx="1">
                  <c:v>0.125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181434599156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1570996978851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やがさき2!$P$3:$P$5</c:f>
              <c:numCache>
                <c:formatCode>0.0%</c:formatCode>
                <c:ptCount val="3"/>
                <c:pt idx="1">
                  <c:v>0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608391608391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やがさき2!$Q$3:$Q$5</c:f>
              <c:numCache>
                <c:formatCode>0.0%</c:formatCode>
                <c:ptCount val="3"/>
                <c:pt idx="1">
                  <c:v>0.66666666666666663</c:v>
                </c:pt>
                <c:pt idx="2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2012667135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  <row r="48" spans="1:11" x14ac:dyDescent="0.4">
      <c r="A48" s="30" t="s">
        <v>237</v>
      </c>
      <c r="B48" s="31">
        <v>43609.644525462965</v>
      </c>
      <c r="C48" s="30" t="s">
        <v>130</v>
      </c>
    </row>
    <row r="49" spans="1:7" x14ac:dyDescent="0.4">
      <c r="A49" s="30" t="s">
        <v>236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240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239</v>
      </c>
      <c r="B52" s="31">
        <v>43613.63894675926</v>
      </c>
      <c r="C52" s="30" t="s">
        <v>130</v>
      </c>
    </row>
    <row r="53" spans="1:7" x14ac:dyDescent="0.4">
      <c r="A53" s="30" t="s">
        <v>241</v>
      </c>
      <c r="B53" s="31">
        <v>43613.668553240743</v>
      </c>
      <c r="C53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570</v>
      </c>
    </row>
    <row r="2" spans="1:2" x14ac:dyDescent="0.4">
      <c r="A2" t="s">
        <v>127</v>
      </c>
      <c r="B2">
        <v>128</v>
      </c>
    </row>
    <row r="3" spans="1:2" x14ac:dyDescent="0.4">
      <c r="A3" t="s">
        <v>128</v>
      </c>
      <c r="B3">
        <v>115</v>
      </c>
    </row>
    <row r="4" spans="1:2" x14ac:dyDescent="0.4">
      <c r="A4" t="s">
        <v>129</v>
      </c>
      <c r="B4">
        <v>68</v>
      </c>
    </row>
    <row r="5" spans="1:2" x14ac:dyDescent="0.4">
      <c r="A5" t="s">
        <v>171</v>
      </c>
      <c r="B5">
        <v>79</v>
      </c>
    </row>
    <row r="6" spans="1:2" x14ac:dyDescent="0.4">
      <c r="A6" t="s">
        <v>172</v>
      </c>
      <c r="B6">
        <v>62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47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0.47017903755742685</v>
      </c>
      <c r="G2" s="159"/>
      <c r="H2" s="158">
        <v>0.2503134332808441</v>
      </c>
      <c r="I2" s="159"/>
      <c r="J2" s="158">
        <v>0.55275992134790841</v>
      </c>
      <c r="K2" s="159"/>
      <c r="L2" s="158">
        <v>0.16804896901135713</v>
      </c>
      <c r="M2" s="159"/>
      <c r="N2" s="158">
        <v>0.35882874428755129</v>
      </c>
      <c r="O2" s="159"/>
      <c r="P2" s="158">
        <v>0.49455325496285302</v>
      </c>
      <c r="Q2" s="159"/>
      <c r="R2" s="158">
        <v>5.5752436064977491E-2</v>
      </c>
      <c r="S2" s="159"/>
      <c r="T2" s="158">
        <v>0.10318925849766701</v>
      </c>
      <c r="U2" s="159"/>
      <c r="V2" s="158">
        <v>0.65020118510468006</v>
      </c>
      <c r="W2" s="159"/>
      <c r="X2" s="158">
        <v>0.7944217708658291</v>
      </c>
      <c r="Y2" s="159"/>
      <c r="Z2" s="158">
        <v>-0.17380669309691088</v>
      </c>
      <c r="AA2" s="159"/>
      <c r="AB2" s="158">
        <v>-0.48101676507009355</v>
      </c>
      <c r="AC2" s="159"/>
      <c r="AD2" s="158">
        <v>7.7782005698665016E-2</v>
      </c>
      <c r="AE2" s="159"/>
      <c r="AF2" s="158">
        <v>-0.59021354269588588</v>
      </c>
      <c r="AG2" s="159"/>
      <c r="AH2" s="158">
        <v>0.67916926037659275</v>
      </c>
      <c r="AI2" s="159"/>
    </row>
    <row r="3" spans="1:35" x14ac:dyDescent="0.4">
      <c r="A3" s="74">
        <v>1</v>
      </c>
      <c r="B3" s="75" t="s">
        <v>127</v>
      </c>
      <c r="C3" s="76">
        <v>1573.600000000001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172</v>
      </c>
      <c r="M3" s="80">
        <v>0.35887850467289717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0.171875</v>
      </c>
      <c r="X3" s="77" t="s">
        <v>127</v>
      </c>
      <c r="Y3" s="80">
        <v>0.32562620423892102</v>
      </c>
      <c r="Z3" s="77" t="s">
        <v>172</v>
      </c>
      <c r="AA3" s="80">
        <v>0.29532710280373831</v>
      </c>
      <c r="AB3" s="77" t="s">
        <v>225</v>
      </c>
      <c r="AC3" s="80">
        <v>1</v>
      </c>
      <c r="AD3" s="77" t="s">
        <v>127</v>
      </c>
      <c r="AE3" s="80">
        <v>0.51315789473684215</v>
      </c>
      <c r="AF3" s="77" t="s">
        <v>225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118.49999999999999</v>
      </c>
      <c r="D4" s="85" t="s">
        <v>224</v>
      </c>
      <c r="E4" s="97">
        <v>13.3</v>
      </c>
      <c r="F4" s="85" t="s">
        <v>127</v>
      </c>
      <c r="G4" s="86">
        <v>1.7421875</v>
      </c>
      <c r="H4" s="85" t="s">
        <v>127</v>
      </c>
      <c r="I4" s="87">
        <v>0.4921875</v>
      </c>
      <c r="J4" s="85" t="s">
        <v>224</v>
      </c>
      <c r="K4" s="87">
        <v>0</v>
      </c>
      <c r="L4" s="85" t="s">
        <v>127</v>
      </c>
      <c r="M4" s="88">
        <v>0.34778420038535646</v>
      </c>
      <c r="N4" s="85" t="s">
        <v>185</v>
      </c>
      <c r="O4" s="88">
        <v>0.10526315789473684</v>
      </c>
      <c r="P4" s="85" t="s">
        <v>225</v>
      </c>
      <c r="Q4" s="89">
        <v>10600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0.12658227848101267</v>
      </c>
      <c r="X4" s="85" t="s">
        <v>128</v>
      </c>
      <c r="Y4" s="88">
        <v>0.29778247096092925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177</v>
      </c>
      <c r="C5" s="84">
        <v>71.099999999999994</v>
      </c>
      <c r="D5" s="85" t="s">
        <v>127</v>
      </c>
      <c r="E5" s="97">
        <v>12.293750000000008</v>
      </c>
      <c r="F5" s="85" t="s">
        <v>177</v>
      </c>
      <c r="G5" s="86">
        <v>1.9361702127659575</v>
      </c>
      <c r="H5" s="85" t="s">
        <v>177</v>
      </c>
      <c r="I5" s="87">
        <v>0.38297872340425532</v>
      </c>
      <c r="J5" s="85" t="s">
        <v>202</v>
      </c>
      <c r="K5" s="87">
        <v>0.14285714285714285</v>
      </c>
      <c r="L5" s="85" t="s">
        <v>202</v>
      </c>
      <c r="M5" s="88">
        <v>0.30434782608695654</v>
      </c>
      <c r="N5" s="85" t="s">
        <v>172</v>
      </c>
      <c r="O5" s="88">
        <v>0.12897196261682242</v>
      </c>
      <c r="P5" s="85" t="s">
        <v>171</v>
      </c>
      <c r="Q5" s="89">
        <v>9977.5401069518721</v>
      </c>
      <c r="R5" s="85" t="s">
        <v>177</v>
      </c>
      <c r="S5" s="89">
        <v>-7621.311475409836</v>
      </c>
      <c r="T5" s="85" t="s">
        <v>224</v>
      </c>
      <c r="U5" s="87">
        <v>0</v>
      </c>
      <c r="V5" s="85" t="s">
        <v>129</v>
      </c>
      <c r="W5" s="87">
        <v>0.11764705882352941</v>
      </c>
      <c r="X5" s="85" t="s">
        <v>171</v>
      </c>
      <c r="Y5" s="88">
        <v>0.2898330804248862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172</v>
      </c>
      <c r="AE5" s="88">
        <v>0.44303797468354428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177</v>
      </c>
      <c r="E6" s="97">
        <v>1.5127659574468084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0.234375</v>
      </c>
      <c r="L6" s="85" t="s">
        <v>145</v>
      </c>
      <c r="M6" s="88">
        <v>0.299789029535865</v>
      </c>
      <c r="N6" s="85" t="s">
        <v>127</v>
      </c>
      <c r="O6" s="88">
        <v>0.15703275529865124</v>
      </c>
      <c r="P6" s="85" t="s">
        <v>128</v>
      </c>
      <c r="Q6" s="89">
        <v>9304.2635658914733</v>
      </c>
      <c r="R6" s="85" t="s">
        <v>128</v>
      </c>
      <c r="S6" s="89">
        <v>-7741.1042944785277</v>
      </c>
      <c r="T6" s="85" t="s">
        <v>225</v>
      </c>
      <c r="U6" s="87">
        <v>0</v>
      </c>
      <c r="V6" s="85" t="s">
        <v>145</v>
      </c>
      <c r="W6" s="87">
        <v>0.11578947368421053</v>
      </c>
      <c r="X6" s="85" t="s">
        <v>145</v>
      </c>
      <c r="Y6" s="88">
        <v>0.27932489451476794</v>
      </c>
      <c r="Z6" s="85" t="s">
        <v>225</v>
      </c>
      <c r="AA6" s="88">
        <v>0.23529411764705882</v>
      </c>
      <c r="AB6" s="85" t="s">
        <v>177</v>
      </c>
      <c r="AC6" s="88">
        <v>0.66666666666666663</v>
      </c>
      <c r="AD6" s="85" t="s">
        <v>186</v>
      </c>
      <c r="AE6" s="88">
        <v>0.44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171</v>
      </c>
      <c r="E7" s="97">
        <v>1.4999999999999998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0.30645161290322581</v>
      </c>
      <c r="L7" s="85" t="s">
        <v>173</v>
      </c>
      <c r="M7" s="88">
        <v>0.29842931937172773</v>
      </c>
      <c r="N7" s="85" t="s">
        <v>177</v>
      </c>
      <c r="O7" s="88">
        <v>0.16010498687664043</v>
      </c>
      <c r="P7" s="85" t="s">
        <v>127</v>
      </c>
      <c r="Q7" s="89">
        <v>9223.8227146814406</v>
      </c>
      <c r="R7" s="85" t="s">
        <v>173</v>
      </c>
      <c r="S7" s="89">
        <v>-7866.1971830985913</v>
      </c>
      <c r="T7" s="85" t="s">
        <v>172</v>
      </c>
      <c r="U7" s="87">
        <v>4.8387096774193547E-2</v>
      </c>
      <c r="V7" s="85" t="s">
        <v>172</v>
      </c>
      <c r="W7" s="87">
        <v>0.11290322580645161</v>
      </c>
      <c r="X7" s="85" t="s">
        <v>129</v>
      </c>
      <c r="Y7" s="88">
        <v>0.27224199288256229</v>
      </c>
      <c r="Z7" s="85" t="s">
        <v>127</v>
      </c>
      <c r="AA7" s="88">
        <v>0.21965317919075145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172</v>
      </c>
      <c r="C8" s="84">
        <v>7.9999999999999822</v>
      </c>
      <c r="D8" s="85" t="s">
        <v>172</v>
      </c>
      <c r="E8" s="97">
        <v>0.12903225806451585</v>
      </c>
      <c r="F8" s="85" t="s">
        <v>224</v>
      </c>
      <c r="G8" s="86">
        <v>2</v>
      </c>
      <c r="H8" s="85" t="s">
        <v>171</v>
      </c>
      <c r="I8" s="87">
        <v>0.30379746835443039</v>
      </c>
      <c r="J8" s="85" t="s">
        <v>177</v>
      </c>
      <c r="K8" s="87">
        <v>0.31914893617021278</v>
      </c>
      <c r="L8" s="85" t="s">
        <v>225</v>
      </c>
      <c r="M8" s="88">
        <v>0.29411764705882354</v>
      </c>
      <c r="N8" s="85" t="s">
        <v>145</v>
      </c>
      <c r="O8" s="88">
        <v>0.16793248945147679</v>
      </c>
      <c r="P8" s="85" t="s">
        <v>129</v>
      </c>
      <c r="Q8" s="89">
        <v>8890.7692307692305</v>
      </c>
      <c r="R8" s="85" t="s">
        <v>171</v>
      </c>
      <c r="S8" s="89">
        <v>-8087.1794871794873</v>
      </c>
      <c r="T8" s="85" t="s">
        <v>171</v>
      </c>
      <c r="U8" s="87">
        <v>7.5949367088607597E-2</v>
      </c>
      <c r="V8" s="85" t="s">
        <v>177</v>
      </c>
      <c r="W8" s="87">
        <v>0.10638297872340426</v>
      </c>
      <c r="X8" s="85" t="s">
        <v>185</v>
      </c>
      <c r="Y8" s="88">
        <v>0.26315789473684209</v>
      </c>
      <c r="Z8" s="85" t="s">
        <v>186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0.40625</v>
      </c>
      <c r="AF8" s="85" t="s">
        <v>129</v>
      </c>
      <c r="AG8" s="88">
        <v>0.47692307692307695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0</v>
      </c>
      <c r="D9" s="85" t="s">
        <v>145</v>
      </c>
      <c r="E9" s="97">
        <v>0</v>
      </c>
      <c r="F9" s="85" t="s">
        <v>172</v>
      </c>
      <c r="G9" s="86">
        <v>2.032258064516129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177</v>
      </c>
      <c r="M9" s="88">
        <v>0.29396325459317585</v>
      </c>
      <c r="N9" s="85" t="s">
        <v>128</v>
      </c>
      <c r="O9" s="88">
        <v>0.17212249208025343</v>
      </c>
      <c r="P9" s="85" t="s">
        <v>177</v>
      </c>
      <c r="Q9" s="89">
        <v>8838.3928571428569</v>
      </c>
      <c r="R9" s="85" t="s">
        <v>186</v>
      </c>
      <c r="S9" s="89">
        <v>-8107.6923076923076</v>
      </c>
      <c r="T9" s="85" t="s">
        <v>173</v>
      </c>
      <c r="U9" s="87">
        <v>0.11363636363636363</v>
      </c>
      <c r="V9" s="85" t="s">
        <v>128</v>
      </c>
      <c r="W9" s="87">
        <v>9.5652173913043481E-2</v>
      </c>
      <c r="X9" s="85" t="s">
        <v>177</v>
      </c>
      <c r="Y9" s="88">
        <v>0.25984251968503935</v>
      </c>
      <c r="Z9" s="85" t="s">
        <v>145</v>
      </c>
      <c r="AA9" s="88">
        <v>0.21118143459915611</v>
      </c>
      <c r="AB9" s="85" t="s">
        <v>128</v>
      </c>
      <c r="AC9" s="88">
        <v>0.58510638297872342</v>
      </c>
      <c r="AD9" s="85" t="s">
        <v>145</v>
      </c>
      <c r="AE9" s="88">
        <v>0.39160839160839161</v>
      </c>
      <c r="AF9" s="85" t="s">
        <v>145</v>
      </c>
      <c r="AG9" s="88">
        <v>0.434201266713582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-24.7</v>
      </c>
      <c r="D10" s="85" t="s">
        <v>128</v>
      </c>
      <c r="E10" s="97">
        <v>-2.8486956521739137</v>
      </c>
      <c r="F10" s="85" t="s">
        <v>171</v>
      </c>
      <c r="G10" s="86">
        <v>2.037974683544304</v>
      </c>
      <c r="H10" s="85" t="s">
        <v>172</v>
      </c>
      <c r="I10" s="87">
        <v>0.27419354838709675</v>
      </c>
      <c r="J10" s="85" t="s">
        <v>171</v>
      </c>
      <c r="K10" s="87">
        <v>0.34177215189873417</v>
      </c>
      <c r="L10" s="85" t="s">
        <v>186</v>
      </c>
      <c r="M10" s="88">
        <v>0.28813559322033899</v>
      </c>
      <c r="N10" s="85" t="s">
        <v>202</v>
      </c>
      <c r="O10" s="88">
        <v>0.17391304347826086</v>
      </c>
      <c r="P10" s="85" t="s">
        <v>145</v>
      </c>
      <c r="Q10" s="89">
        <v>8687.2624912033771</v>
      </c>
      <c r="R10" s="85" t="s">
        <v>145</v>
      </c>
      <c r="S10" s="89">
        <v>-8325.6281407035167</v>
      </c>
      <c r="T10" s="85" t="s">
        <v>145</v>
      </c>
      <c r="U10" s="87">
        <v>0.11578947368421053</v>
      </c>
      <c r="V10" s="85" t="s">
        <v>173</v>
      </c>
      <c r="W10" s="87">
        <v>6.8181818181818177E-2</v>
      </c>
      <c r="X10" s="85" t="s">
        <v>202</v>
      </c>
      <c r="Y10" s="88">
        <v>0.24637681159420291</v>
      </c>
      <c r="Z10" s="85" t="s">
        <v>185</v>
      </c>
      <c r="AA10" s="88">
        <v>0.21052631578947367</v>
      </c>
      <c r="AB10" s="85" t="s">
        <v>145</v>
      </c>
      <c r="AC10" s="88">
        <v>0.58157099697885195</v>
      </c>
      <c r="AD10" s="85" t="s">
        <v>177</v>
      </c>
      <c r="AE10" s="88">
        <v>0.35616438356164382</v>
      </c>
      <c r="AF10" s="85" t="s">
        <v>128</v>
      </c>
      <c r="AG10" s="88">
        <v>0.4263565891472868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202</v>
      </c>
      <c r="C11" s="84">
        <v>-25.300000000000004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0.26956521739130435</v>
      </c>
      <c r="J11" s="85" t="s">
        <v>128</v>
      </c>
      <c r="K11" s="87">
        <v>0.34782608695652173</v>
      </c>
      <c r="L11" s="85" t="s">
        <v>171</v>
      </c>
      <c r="M11" s="88">
        <v>0.28376327769347498</v>
      </c>
      <c r="N11" s="85" t="s">
        <v>171</v>
      </c>
      <c r="O11" s="88">
        <v>0.17754172989377845</v>
      </c>
      <c r="P11" s="85" t="s">
        <v>185</v>
      </c>
      <c r="Q11" s="89">
        <v>7860</v>
      </c>
      <c r="R11" s="85" t="s">
        <v>127</v>
      </c>
      <c r="S11" s="89">
        <v>-8374.8466257668715</v>
      </c>
      <c r="T11" s="85" t="s">
        <v>127</v>
      </c>
      <c r="U11" s="87">
        <v>0.1171875</v>
      </c>
      <c r="V11" s="85" t="s">
        <v>186</v>
      </c>
      <c r="W11" s="87">
        <v>0</v>
      </c>
      <c r="X11" s="85" t="s">
        <v>186</v>
      </c>
      <c r="Y11" s="88">
        <v>0.23728813559322035</v>
      </c>
      <c r="Z11" s="85" t="s">
        <v>171</v>
      </c>
      <c r="AA11" s="88">
        <v>0.19423368740515934</v>
      </c>
      <c r="AB11" s="85" t="s">
        <v>171</v>
      </c>
      <c r="AC11" s="88">
        <v>0.5759162303664922</v>
      </c>
      <c r="AD11" s="85" t="s">
        <v>173</v>
      </c>
      <c r="AE11" s="88">
        <v>0.33673469387755101</v>
      </c>
      <c r="AF11" s="85" t="s">
        <v>171</v>
      </c>
      <c r="AG11" s="88">
        <v>0.42245989304812837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2.0782608695652174</v>
      </c>
      <c r="H12" s="85" t="s">
        <v>129</v>
      </c>
      <c r="I12" s="87">
        <v>0.23529411764705882</v>
      </c>
      <c r="J12" s="85" t="s">
        <v>173</v>
      </c>
      <c r="K12" s="87">
        <v>0.36363636363636365</v>
      </c>
      <c r="L12" s="85" t="s">
        <v>128</v>
      </c>
      <c r="M12" s="88">
        <v>0.27243928194297784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-9417.391304347826</v>
      </c>
      <c r="T12" s="85" t="s">
        <v>128</v>
      </c>
      <c r="U12" s="87">
        <v>0.13043478260869565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177</v>
      </c>
      <c r="AA12" s="88">
        <v>0.19160104986876642</v>
      </c>
      <c r="AB12" s="85" t="s">
        <v>127</v>
      </c>
      <c r="AC12" s="88">
        <v>0.57396449704142016</v>
      </c>
      <c r="AD12" s="85" t="s">
        <v>128</v>
      </c>
      <c r="AE12" s="88">
        <v>0.2982456140350877</v>
      </c>
      <c r="AF12" s="85" t="s">
        <v>172</v>
      </c>
      <c r="AG12" s="88">
        <v>0.421875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129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0.19039145907473309</v>
      </c>
      <c r="P13" s="85" t="s">
        <v>202</v>
      </c>
      <c r="Q13" s="89">
        <v>7438.0952380952385</v>
      </c>
      <c r="R13" s="85" t="s">
        <v>129</v>
      </c>
      <c r="S13" s="89">
        <v>-9513.0841121495323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0.18057022175290391</v>
      </c>
      <c r="AB13" s="85" t="s">
        <v>172</v>
      </c>
      <c r="AC13" s="88">
        <v>0.5641025641025641</v>
      </c>
      <c r="AD13" s="85" t="s">
        <v>225</v>
      </c>
      <c r="AE13" s="88">
        <v>0.25</v>
      </c>
      <c r="AF13" s="85" t="s">
        <v>177</v>
      </c>
      <c r="AG13" s="88">
        <v>0.41964285714285715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-327.60000000000008</v>
      </c>
      <c r="D14" s="85" t="s">
        <v>225</v>
      </c>
      <c r="E14" s="97">
        <v>-12.35</v>
      </c>
      <c r="F14" s="85" t="s">
        <v>129</v>
      </c>
      <c r="G14" s="86">
        <v>2.2647058823529411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0.23131672597864769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0.1702127659574468</v>
      </c>
      <c r="V14" s="85" t="s">
        <v>224</v>
      </c>
      <c r="W14" s="87">
        <v>0</v>
      </c>
      <c r="X14" s="85" t="s">
        <v>172</v>
      </c>
      <c r="Y14" s="88">
        <v>0.21869158878504674</v>
      </c>
      <c r="Z14" s="85" t="s">
        <v>129</v>
      </c>
      <c r="AA14" s="88">
        <v>0.16370106761565836</v>
      </c>
      <c r="AB14" s="85" t="s">
        <v>129</v>
      </c>
      <c r="AC14" s="88">
        <v>0.5163398692810458</v>
      </c>
      <c r="AD14" s="85" t="s">
        <v>129</v>
      </c>
      <c r="AE14" s="88">
        <v>0.22826086956521738</v>
      </c>
      <c r="AF14" s="85" t="s">
        <v>127</v>
      </c>
      <c r="AG14" s="88">
        <v>0.40166204986149584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-1066.5999999999997</v>
      </c>
      <c r="D15" s="85" t="s">
        <v>129</v>
      </c>
      <c r="E15" s="97">
        <v>-15.685294117647054</v>
      </c>
      <c r="F15" s="85" t="s">
        <v>225</v>
      </c>
      <c r="G15" s="86">
        <v>2.5</v>
      </c>
      <c r="H15" s="85" t="s">
        <v>225</v>
      </c>
      <c r="I15" s="87">
        <v>0</v>
      </c>
      <c r="J15" s="85" t="s">
        <v>225</v>
      </c>
      <c r="K15" s="87">
        <v>0.5</v>
      </c>
      <c r="L15" s="85" t="s">
        <v>224</v>
      </c>
      <c r="M15" s="88">
        <v>0.15384615384615385</v>
      </c>
      <c r="N15" s="85" t="s">
        <v>225</v>
      </c>
      <c r="O15" s="88">
        <v>0.23529411764705882</v>
      </c>
      <c r="P15" s="85" t="s">
        <v>172</v>
      </c>
      <c r="Q15" s="89">
        <v>6635.9375</v>
      </c>
      <c r="R15" s="85" t="s">
        <v>225</v>
      </c>
      <c r="S15" s="89">
        <v>-12425</v>
      </c>
      <c r="T15" s="85" t="s">
        <v>129</v>
      </c>
      <c r="U15" s="87">
        <v>0.17647058823529413</v>
      </c>
      <c r="V15" s="85" t="s">
        <v>225</v>
      </c>
      <c r="W15" s="87">
        <v>0</v>
      </c>
      <c r="X15" s="85" t="s">
        <v>225</v>
      </c>
      <c r="Y15" s="88">
        <v>0.17647058823529413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224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39B12-1E75-41C6-86D1-ED6EBFED1F8E}">
  <sheetPr codeName="Sheet4"/>
  <dimension ref="A1:Q57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570</v>
      </c>
      <c r="C2" s="147"/>
      <c r="E2" s="62" t="s">
        <v>67</v>
      </c>
      <c r="F2" s="59" t="s">
        <v>23</v>
      </c>
      <c r="G2" s="46">
        <v>1063</v>
      </c>
      <c r="H2" s="132">
        <f>IF(B$17=0,0,G2/B$17)</f>
        <v>0.7480647431386348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-14.035087719298245</v>
      </c>
      <c r="P2" s="118">
        <v>570</v>
      </c>
      <c r="Q2" s="102">
        <v>-8000</v>
      </c>
    </row>
    <row r="3" spans="1:17" x14ac:dyDescent="0.4">
      <c r="A3" s="55" t="s">
        <v>8</v>
      </c>
      <c r="B3" s="148">
        <v>4740</v>
      </c>
      <c r="C3" s="149"/>
      <c r="E3" s="63" t="s">
        <v>65</v>
      </c>
      <c r="F3" s="60" t="s">
        <v>21</v>
      </c>
      <c r="G3" s="47">
        <v>734</v>
      </c>
      <c r="H3" s="133">
        <f>IF(B$17=0,0,G3/B$17)</f>
        <v>0.51653764954257564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-7.1684587813620073</v>
      </c>
      <c r="P3" s="119">
        <v>558</v>
      </c>
      <c r="Q3" s="103">
        <v>-4000</v>
      </c>
    </row>
    <row r="4" spans="1:17" x14ac:dyDescent="0.4">
      <c r="A4" s="55" t="s">
        <v>6</v>
      </c>
      <c r="B4" s="150">
        <v>0</v>
      </c>
      <c r="C4" s="151"/>
      <c r="E4" s="63" t="s">
        <v>73</v>
      </c>
      <c r="F4" s="60" t="s">
        <v>28</v>
      </c>
      <c r="G4" s="47">
        <v>733</v>
      </c>
      <c r="H4" s="133">
        <f>IF(B$17=0,0,G4/B$17)</f>
        <v>0.51583391977480653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5.7142857142857144</v>
      </c>
      <c r="P4" s="119">
        <v>525</v>
      </c>
      <c r="Q4" s="103">
        <v>3000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181</v>
      </c>
      <c r="F5" s="60" t="s">
        <v>182</v>
      </c>
      <c r="G5" s="47">
        <v>590</v>
      </c>
      <c r="H5" s="133">
        <f>IF(B$17=0,0,G5/B$17)</f>
        <v>0.41520056298381419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12.578616352201259</v>
      </c>
      <c r="P5" s="119">
        <v>477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446</v>
      </c>
      <c r="H6" s="133">
        <f>IF(B$17=0,0,G6/B$17)</f>
        <v>0.3138634764250528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-14.084507042253522</v>
      </c>
      <c r="P6" s="119">
        <v>426</v>
      </c>
      <c r="Q6" s="103">
        <v>-6000</v>
      </c>
    </row>
    <row r="7" spans="1:17" x14ac:dyDescent="0.4">
      <c r="A7" s="55" t="s">
        <v>2</v>
      </c>
      <c r="B7" s="47">
        <v>190</v>
      </c>
      <c r="C7" s="39">
        <f>IF(B$2=0,0,B7/B$2)</f>
        <v>0.33333333333333331</v>
      </c>
      <c r="E7" s="63" t="s">
        <v>68</v>
      </c>
      <c r="F7" s="60" t="s">
        <v>24</v>
      </c>
      <c r="G7" s="47">
        <v>428</v>
      </c>
      <c r="H7" s="133">
        <f>IF(B$17=0,0,G7/B$17)</f>
        <v>0.30119634060520761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23.4375</v>
      </c>
      <c r="P7" s="120">
        <v>384</v>
      </c>
      <c r="Q7" s="104">
        <v>9000</v>
      </c>
    </row>
    <row r="8" spans="1:17" x14ac:dyDescent="0.4">
      <c r="A8" s="55" t="s">
        <v>3</v>
      </c>
      <c r="B8" s="47">
        <v>190</v>
      </c>
      <c r="C8" s="39">
        <f>IF(B$2=0,0,B8/B$2)</f>
        <v>0.33333333333333331</v>
      </c>
      <c r="E8" s="63" t="s">
        <v>70</v>
      </c>
      <c r="F8" s="60" t="s">
        <v>25</v>
      </c>
      <c r="G8" s="47">
        <v>255</v>
      </c>
      <c r="H8" s="133">
        <f>IF(B$17=0,0,G8/B$17)</f>
        <v>0.17945109078114005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190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176</v>
      </c>
      <c r="H9" s="133">
        <f>IF(B$17=0,0,G9/B$17)</f>
        <v>0.12385643912737508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66</v>
      </c>
      <c r="C10" s="40">
        <f>IF(B$2=0,0,B10/B$2)</f>
        <v>0.11578947368421053</v>
      </c>
      <c r="E10" s="63" t="s">
        <v>66</v>
      </c>
      <c r="F10" s="60" t="s">
        <v>22</v>
      </c>
      <c r="G10" s="47">
        <v>173</v>
      </c>
      <c r="H10" s="133">
        <f>IF(B$17=0,0,G10/B$17)</f>
        <v>0.12174524982406756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-3.0047368421052632</v>
      </c>
      <c r="P10" s="118">
        <v>190</v>
      </c>
      <c r="Q10" s="106">
        <v>-570.9</v>
      </c>
    </row>
    <row r="11" spans="1:17" x14ac:dyDescent="0.4">
      <c r="A11" s="56" t="s">
        <v>140</v>
      </c>
      <c r="B11" s="48">
        <v>66</v>
      </c>
      <c r="C11" s="40">
        <f>IF(B$2=0,0,B11/B$2)</f>
        <v>0.11578947368421053</v>
      </c>
      <c r="E11" s="63" t="s">
        <v>71</v>
      </c>
      <c r="F11" s="60" t="s">
        <v>26</v>
      </c>
      <c r="G11" s="47">
        <v>142</v>
      </c>
      <c r="H11" s="133">
        <f>IF(B$17=0,0,G11/B$17)</f>
        <v>9.9929627023223083E-2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-0.34631578947368435</v>
      </c>
      <c r="P11" s="119">
        <v>190</v>
      </c>
      <c r="Q11" s="107">
        <v>-65.800000000000026</v>
      </c>
    </row>
    <row r="12" spans="1:17" x14ac:dyDescent="0.4">
      <c r="A12" s="57" t="s">
        <v>160</v>
      </c>
      <c r="B12" s="49">
        <v>50</v>
      </c>
      <c r="C12" s="42">
        <f>IF(B$2=0,0,B12/B$2)</f>
        <v>8.771929824561403E-2</v>
      </c>
      <c r="E12" s="63" t="s">
        <v>72</v>
      </c>
      <c r="F12" s="60" t="s">
        <v>27</v>
      </c>
      <c r="G12" s="47">
        <v>94</v>
      </c>
      <c r="H12" s="133">
        <f>IF(B$17=0,0,G12/B$17)</f>
        <v>6.615059817030261E-2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3.3510526315789475</v>
      </c>
      <c r="P12" s="120">
        <v>190</v>
      </c>
      <c r="Q12" s="108">
        <v>636.70000000000005</v>
      </c>
    </row>
    <row r="13" spans="1:17" x14ac:dyDescent="0.4">
      <c r="A13" s="58" t="s">
        <v>122</v>
      </c>
      <c r="B13" s="50">
        <v>1324</v>
      </c>
      <c r="C13" s="44">
        <f>IF(B$3=0,0,B13/B$3)</f>
        <v>0.27932489451476794</v>
      </c>
      <c r="E13" s="63" t="s">
        <v>87</v>
      </c>
      <c r="F13" s="60" t="s">
        <v>42</v>
      </c>
      <c r="G13" s="47">
        <v>79</v>
      </c>
      <c r="H13" s="133">
        <f>IF(B$17=0,0,G13/B$17)</f>
        <v>5.5594651653764954E-2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1001</v>
      </c>
      <c r="C14" s="39">
        <f>IF(B$3=0,0,B14/B$3)</f>
        <v>0.21118143459915611</v>
      </c>
      <c r="E14" s="63" t="s">
        <v>84</v>
      </c>
      <c r="F14" s="60" t="s">
        <v>39</v>
      </c>
      <c r="G14" s="47">
        <v>66</v>
      </c>
      <c r="H14" s="133">
        <f>IF(B$17=0,0,G14/B$17)</f>
        <v>4.6446164672765661E-2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770</v>
      </c>
      <c r="C15" s="37">
        <f>IF(B$13=0,0,B15/B$13)</f>
        <v>0.58157099697885195</v>
      </c>
      <c r="E15" s="63" t="s">
        <v>82</v>
      </c>
      <c r="F15" s="60" t="s">
        <v>37</v>
      </c>
      <c r="G15" s="47">
        <v>39</v>
      </c>
      <c r="H15" s="133">
        <f>IF(B$17=0,0,G15/B$17)</f>
        <v>2.7445460942997889E-2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23.527941176470613</v>
      </c>
      <c r="P15" s="118">
        <v>136</v>
      </c>
      <c r="Q15" s="106">
        <v>3199.8000000000034</v>
      </c>
    </row>
    <row r="16" spans="1:17" x14ac:dyDescent="0.4">
      <c r="A16" s="54" t="s">
        <v>125</v>
      </c>
      <c r="B16" s="46">
        <v>392</v>
      </c>
      <c r="C16" s="37">
        <f>IF(B$14=0,0,B16/B$14)</f>
        <v>0.39160839160839161</v>
      </c>
      <c r="E16" s="63" t="s">
        <v>79</v>
      </c>
      <c r="F16" s="60" t="s">
        <v>34</v>
      </c>
      <c r="G16" s="47">
        <v>37</v>
      </c>
      <c r="H16" s="133">
        <f>IF(B$17=0,0,G16/B$17)</f>
        <v>2.6038001407459536E-2</v>
      </c>
      <c r="I16" s="94">
        <v>6</v>
      </c>
      <c r="K16" s="38">
        <v>14</v>
      </c>
      <c r="L16" s="99">
        <v>18.79999999999999</v>
      </c>
      <c r="N16" s="115" t="s">
        <v>225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1421</v>
      </c>
      <c r="C17" s="37">
        <f>IF(B$3=0,0,B17/B$3)</f>
        <v>0.299789029535865</v>
      </c>
      <c r="E17" s="63" t="s">
        <v>92</v>
      </c>
      <c r="F17" s="60" t="s">
        <v>47</v>
      </c>
      <c r="G17" s="47">
        <v>27</v>
      </c>
      <c r="H17" s="133">
        <f>IF(B$17=0,0,G17/B$17)</f>
        <v>1.9000703729767768E-2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617</v>
      </c>
      <c r="C18" s="39">
        <f>IF(B$17=0,0,B18/B$17)</f>
        <v>0.434201266713582</v>
      </c>
      <c r="E18" s="63" t="s">
        <v>80</v>
      </c>
      <c r="F18" s="60" t="s">
        <v>35</v>
      </c>
      <c r="G18" s="47">
        <v>23</v>
      </c>
      <c r="H18" s="133">
        <f>IF(B$17=0,0,G18/B$17)</f>
        <v>1.6185784658691062E-2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804</v>
      </c>
      <c r="C19" s="39">
        <f>IF(B$17=0,0,B19/B$17)</f>
        <v>0.56579873328641805</v>
      </c>
      <c r="E19" s="63" t="s">
        <v>180</v>
      </c>
      <c r="F19" s="60" t="s">
        <v>183</v>
      </c>
      <c r="G19" s="47">
        <v>23</v>
      </c>
      <c r="H19" s="133">
        <f>IF(B$17=0,0,G19/B$17)</f>
        <v>1.6185784658691062E-2</v>
      </c>
      <c r="I19" s="94">
        <v>5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796</v>
      </c>
      <c r="C20" s="39">
        <f>IF(B$3=0,0,B20/B$3)</f>
        <v>0.16793248945147679</v>
      </c>
      <c r="E20" s="63" t="s">
        <v>74</v>
      </c>
      <c r="F20" s="60" t="s">
        <v>29</v>
      </c>
      <c r="G20" s="47">
        <v>9</v>
      </c>
      <c r="H20" s="133">
        <f>IF(B$17=0,0,G20/B$17)</f>
        <v>6.3335679099225895E-3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4.2730434782608713</v>
      </c>
      <c r="P20" s="119">
        <v>230</v>
      </c>
      <c r="Q20" s="107">
        <v>982.80000000000041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6.3335679099225895E-3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-0.19354838709677544</v>
      </c>
      <c r="P21" s="119">
        <v>124</v>
      </c>
      <c r="Q21" s="107">
        <v>-24.000000000000153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75</v>
      </c>
      <c r="F22" s="60" t="s">
        <v>30</v>
      </c>
      <c r="G22" s="47">
        <v>6</v>
      </c>
      <c r="H22" s="133">
        <f>IF(B$17=0,0,G22/B$17)</f>
        <v>4.22237860661506E-3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-2.2499999999999973</v>
      </c>
      <c r="P22" s="119">
        <v>158</v>
      </c>
      <c r="Q22" s="107">
        <v>-355.4999999999996</v>
      </c>
    </row>
    <row r="23" spans="1:17" x14ac:dyDescent="0.4">
      <c r="A23" s="55" t="s">
        <v>5</v>
      </c>
      <c r="B23" s="51">
        <f>IF(B$17=0,0,C23/B$17)</f>
        <v>8687.2624912033771</v>
      </c>
      <c r="C23" s="41">
        <v>12344600</v>
      </c>
      <c r="E23" s="63" t="s">
        <v>93</v>
      </c>
      <c r="F23" s="60" t="s">
        <v>48</v>
      </c>
      <c r="G23" s="47">
        <v>6</v>
      </c>
      <c r="H23" s="133">
        <f>IF(B$17=0,0,G23/B$17)</f>
        <v>4.22237860661506E-3</v>
      </c>
      <c r="I23" s="94">
        <v>4</v>
      </c>
      <c r="K23" s="38">
        <v>21</v>
      </c>
      <c r="L23" s="99">
        <v>-2.886579864025407E-15</v>
      </c>
      <c r="N23" s="115" t="s">
        <v>177</v>
      </c>
      <c r="O23" s="125">
        <f>IF(P23=0,0,Q23/P23)</f>
        <v>-2.2691489361702146</v>
      </c>
      <c r="P23" s="119">
        <v>94</v>
      </c>
      <c r="Q23" s="107">
        <v>-213.30000000000018</v>
      </c>
    </row>
    <row r="24" spans="1:17" x14ac:dyDescent="0.4">
      <c r="A24" s="57" t="s">
        <v>14</v>
      </c>
      <c r="B24" s="52">
        <f>IF(B$20=0,0,C24/B$20)</f>
        <v>-8325.6281407035167</v>
      </c>
      <c r="C24" s="45">
        <v>-6627200</v>
      </c>
      <c r="E24" s="63" t="s">
        <v>88</v>
      </c>
      <c r="F24" s="60" t="s">
        <v>43</v>
      </c>
      <c r="G24" s="47">
        <v>5</v>
      </c>
      <c r="H24" s="133">
        <f>IF(B$17=0,0,G24/B$17)</f>
        <v>3.518648838845883E-3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-18.440624999999972</v>
      </c>
      <c r="P24" s="119">
        <v>256</v>
      </c>
      <c r="Q24" s="107">
        <v>-4720.7999999999929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3.518648838845883E-3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4</v>
      </c>
      <c r="H26" s="133">
        <f>IF(B$17=0,0,G26/B$17)</f>
        <v>2.8149190710767065E-3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2.9535864978902952E-3</v>
      </c>
      <c r="E27" s="63" t="s">
        <v>86</v>
      </c>
      <c r="F27" s="60" t="s">
        <v>41</v>
      </c>
      <c r="G27" s="47">
        <v>4</v>
      </c>
      <c r="H27" s="133">
        <f>IF(B$17=0,0,G27/B$17)</f>
        <v>2.8149190710767065E-3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3</v>
      </c>
      <c r="H28" s="133">
        <f>IF(B$17=0,0,G28/B$17)</f>
        <v>2.11118930330753E-3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1.4074595355383533E-3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1.4074595355383533E-3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1.4074595355383533E-3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7.0372976776917663E-4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450AE-DA29-4E70-9649-0D746880031C}">
  <sheetPr codeName="Sheet7"/>
  <dimension ref="A1:Q13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128</v>
      </c>
      <c r="C2" s="147"/>
      <c r="E2" s="62" t="s">
        <v>67</v>
      </c>
      <c r="F2" s="59" t="s">
        <v>23</v>
      </c>
      <c r="G2" s="46">
        <v>270</v>
      </c>
      <c r="H2" s="132">
        <f>IF(B$17=0,0,G2/B$17)</f>
        <v>0.74792243767313016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1352.34375</v>
      </c>
      <c r="P2" s="118">
        <v>128</v>
      </c>
      <c r="Q2" s="102">
        <v>173100</v>
      </c>
    </row>
    <row r="3" spans="1:17" x14ac:dyDescent="0.4">
      <c r="A3" s="55" t="s">
        <v>8</v>
      </c>
      <c r="B3" s="148">
        <v>1038</v>
      </c>
      <c r="C3" s="149"/>
      <c r="E3" s="63" t="s">
        <v>73</v>
      </c>
      <c r="F3" s="60" t="s">
        <v>28</v>
      </c>
      <c r="G3" s="47">
        <v>206</v>
      </c>
      <c r="H3" s="133">
        <f>IF(B$17=0,0,G3/B$17)</f>
        <v>0.5706371191135734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1174.4000000000001</v>
      </c>
      <c r="P3" s="119">
        <v>125</v>
      </c>
      <c r="Q3" s="103">
        <v>146800</v>
      </c>
    </row>
    <row r="4" spans="1:17" x14ac:dyDescent="0.4">
      <c r="A4" s="55" t="s">
        <v>6</v>
      </c>
      <c r="B4" s="150">
        <v>1573.600000000001</v>
      </c>
      <c r="C4" s="151"/>
      <c r="E4" s="63" t="s">
        <v>65</v>
      </c>
      <c r="F4" s="60" t="s">
        <v>21</v>
      </c>
      <c r="G4" s="47">
        <v>179</v>
      </c>
      <c r="H4" s="133">
        <f>IF(B$17=0,0,G4/B$17)</f>
        <v>0.49584487534626037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1399.1525423728813</v>
      </c>
      <c r="P4" s="119">
        <v>118</v>
      </c>
      <c r="Q4" s="103">
        <v>165100</v>
      </c>
    </row>
    <row r="5" spans="1:17" x14ac:dyDescent="0.4">
      <c r="A5" s="55" t="s">
        <v>7</v>
      </c>
      <c r="B5" s="152">
        <f>IF(B$2=0,0,B$4/B$2)</f>
        <v>12.293750000000008</v>
      </c>
      <c r="C5" s="153"/>
      <c r="E5" s="63" t="s">
        <v>181</v>
      </c>
      <c r="F5" s="60" t="s">
        <v>182</v>
      </c>
      <c r="G5" s="47">
        <v>149</v>
      </c>
      <c r="H5" s="133">
        <f>IF(B$17=0,0,G5/B$17)</f>
        <v>0.41274238227146814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2909.2592592592591</v>
      </c>
      <c r="P5" s="119">
        <v>108</v>
      </c>
      <c r="Q5" s="103">
        <v>314200</v>
      </c>
    </row>
    <row r="6" spans="1:17" x14ac:dyDescent="0.4">
      <c r="A6" s="55" t="s">
        <v>1</v>
      </c>
      <c r="B6" s="142">
        <f>IF(B$2=0,0,(B$7*1+B$8*2+B$9*3)/B$2)</f>
        <v>1.7421875</v>
      </c>
      <c r="C6" s="143"/>
      <c r="E6" s="63" t="s">
        <v>68</v>
      </c>
      <c r="F6" s="60" t="s">
        <v>24</v>
      </c>
      <c r="G6" s="47">
        <v>107</v>
      </c>
      <c r="H6" s="133">
        <f>IF(B$17=0,0,G6/B$17)</f>
        <v>0.296398891966759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407.44680851063828</v>
      </c>
      <c r="P6" s="119">
        <v>94</v>
      </c>
      <c r="Q6" s="103">
        <v>38300</v>
      </c>
    </row>
    <row r="7" spans="1:17" x14ac:dyDescent="0.4">
      <c r="A7" s="55" t="s">
        <v>2</v>
      </c>
      <c r="B7" s="47">
        <v>63</v>
      </c>
      <c r="C7" s="39">
        <f>IF(B$2=0,0,B7/B$2)</f>
        <v>0.4921875</v>
      </c>
      <c r="E7" s="63" t="s">
        <v>69</v>
      </c>
      <c r="F7" s="60" t="s">
        <v>12</v>
      </c>
      <c r="G7" s="47">
        <v>93</v>
      </c>
      <c r="H7" s="133">
        <f>IF(B$17=0,0,G7/B$17)</f>
        <v>0.25761772853185594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867.07317073170736</v>
      </c>
      <c r="P7" s="120">
        <v>82</v>
      </c>
      <c r="Q7" s="104">
        <v>71100</v>
      </c>
    </row>
    <row r="8" spans="1:17" x14ac:dyDescent="0.4">
      <c r="A8" s="55" t="s">
        <v>3</v>
      </c>
      <c r="B8" s="47">
        <v>35</v>
      </c>
      <c r="C8" s="39">
        <f>IF(B$2=0,0,B8/B$2)</f>
        <v>0.2734375</v>
      </c>
      <c r="E8" s="63" t="s">
        <v>70</v>
      </c>
      <c r="F8" s="60" t="s">
        <v>25</v>
      </c>
      <c r="G8" s="47">
        <v>61</v>
      </c>
      <c r="H8" s="133">
        <f>IF(B$17=0,0,G8/B$17)</f>
        <v>0.16897506925207756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0.234375</v>
      </c>
      <c r="E9" s="63" t="s">
        <v>90</v>
      </c>
      <c r="F9" s="60" t="s">
        <v>45</v>
      </c>
      <c r="G9" s="47">
        <v>56</v>
      </c>
      <c r="H9" s="133">
        <f>IF(B$17=0,0,G9/B$17)</f>
        <v>0.15512465373961218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0.1171875</v>
      </c>
      <c r="E10" s="63" t="s">
        <v>66</v>
      </c>
      <c r="F10" s="60" t="s">
        <v>22</v>
      </c>
      <c r="G10" s="47">
        <v>51</v>
      </c>
      <c r="H10" s="133">
        <f>IF(B$17=0,0,G10/B$17)</f>
        <v>0.14127423822714683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13.476315789473684</v>
      </c>
      <c r="P10" s="118">
        <v>38</v>
      </c>
      <c r="Q10" s="106">
        <v>512.1</v>
      </c>
    </row>
    <row r="11" spans="1:17" x14ac:dyDescent="0.4">
      <c r="A11" s="56" t="s">
        <v>140</v>
      </c>
      <c r="B11" s="48">
        <v>22</v>
      </c>
      <c r="C11" s="40">
        <f>IF(B$2=0,0,B11/B$2)</f>
        <v>0.171875</v>
      </c>
      <c r="E11" s="63" t="s">
        <v>71</v>
      </c>
      <c r="F11" s="60" t="s">
        <v>26</v>
      </c>
      <c r="G11" s="47">
        <v>34</v>
      </c>
      <c r="H11" s="133">
        <f>IF(B$17=0,0,G11/B$17)</f>
        <v>9.4182825484764546E-2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0.1484375</v>
      </c>
      <c r="E12" s="63" t="s">
        <v>87</v>
      </c>
      <c r="F12" s="60" t="s">
        <v>42</v>
      </c>
      <c r="G12" s="47">
        <v>26</v>
      </c>
      <c r="H12" s="133">
        <f>IF(B$17=0,0,G12/B$17)</f>
        <v>7.2022160664819951E-2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13.86274509803922</v>
      </c>
      <c r="P12" s="120">
        <v>51</v>
      </c>
      <c r="Q12" s="108">
        <v>707.00000000000023</v>
      </c>
    </row>
    <row r="13" spans="1:17" x14ac:dyDescent="0.4">
      <c r="A13" s="58" t="s">
        <v>122</v>
      </c>
      <c r="B13" s="50">
        <v>338</v>
      </c>
      <c r="C13" s="44">
        <f>IF(B$3=0,0,B13/B$3)</f>
        <v>0.32562620423892102</v>
      </c>
      <c r="E13" s="63" t="s">
        <v>72</v>
      </c>
      <c r="F13" s="60" t="s">
        <v>27</v>
      </c>
      <c r="G13" s="47">
        <v>25</v>
      </c>
      <c r="H13" s="133">
        <f>IF(B$17=0,0,G13/B$17)</f>
        <v>6.9252077562326875E-2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228</v>
      </c>
      <c r="C14" s="39">
        <f>IF(B$3=0,0,B14/B$3)</f>
        <v>0.21965317919075145</v>
      </c>
      <c r="E14" s="63" t="s">
        <v>84</v>
      </c>
      <c r="F14" s="60" t="s">
        <v>39</v>
      </c>
      <c r="G14" s="47">
        <v>18</v>
      </c>
      <c r="H14" s="133">
        <f>IF(B$17=0,0,G14/B$17)</f>
        <v>4.9861495844875349E-2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194</v>
      </c>
      <c r="C15" s="37">
        <f>IF(B$13=0,0,B15/B$13)</f>
        <v>0.57396449704142016</v>
      </c>
      <c r="E15" s="63" t="s">
        <v>180</v>
      </c>
      <c r="F15" s="60" t="s">
        <v>183</v>
      </c>
      <c r="G15" s="47">
        <v>12</v>
      </c>
      <c r="H15" s="133">
        <f>IF(B$17=0,0,G15/B$17)</f>
        <v>3.3240997229916899E-2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117</v>
      </c>
      <c r="C16" s="37">
        <f>IF(B$14=0,0,B16/B$14)</f>
        <v>0.51315789473684215</v>
      </c>
      <c r="E16" s="63" t="s">
        <v>82</v>
      </c>
      <c r="F16" s="60" t="s">
        <v>37</v>
      </c>
      <c r="G16" s="47">
        <v>11</v>
      </c>
      <c r="H16" s="133">
        <f>IF(B$17=0,0,G16/B$17)</f>
        <v>3.0470914127423823E-2</v>
      </c>
      <c r="I16" s="94">
        <v>5</v>
      </c>
      <c r="K16" s="38">
        <v>14</v>
      </c>
      <c r="L16" s="99">
        <v>473.50000000000006</v>
      </c>
      <c r="N16" s="115" t="s">
        <v>129</v>
      </c>
      <c r="O16" s="125">
        <f>IF(P16=0,0,Q16/P16)</f>
        <v>31.390243902439028</v>
      </c>
      <c r="P16" s="119">
        <v>41</v>
      </c>
      <c r="Q16" s="107">
        <v>1287.0000000000002</v>
      </c>
    </row>
    <row r="17" spans="1:17" x14ac:dyDescent="0.4">
      <c r="A17" s="54" t="s">
        <v>10</v>
      </c>
      <c r="B17" s="46">
        <f>B19+B18</f>
        <v>361</v>
      </c>
      <c r="C17" s="37">
        <f>IF(B$3=0,0,B17/B$3)</f>
        <v>0.34778420038535646</v>
      </c>
      <c r="E17" s="63" t="s">
        <v>79</v>
      </c>
      <c r="F17" s="60" t="s">
        <v>34</v>
      </c>
      <c r="G17" s="47">
        <v>7</v>
      </c>
      <c r="H17" s="133">
        <f>IF(B$17=0,0,G17/B$17)</f>
        <v>1.9390581717451522E-2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29.850000000000005</v>
      </c>
      <c r="P17" s="119">
        <v>20</v>
      </c>
      <c r="Q17" s="107">
        <v>597.00000000000011</v>
      </c>
    </row>
    <row r="18" spans="1:17" x14ac:dyDescent="0.4">
      <c r="A18" s="55" t="s">
        <v>12</v>
      </c>
      <c r="B18" s="47">
        <v>145</v>
      </c>
      <c r="C18" s="39">
        <f>IF(B$17=0,0,B18/B$17)</f>
        <v>0.40166204986149584</v>
      </c>
      <c r="E18" s="63" t="s">
        <v>92</v>
      </c>
      <c r="F18" s="60" t="s">
        <v>47</v>
      </c>
      <c r="G18" s="47">
        <v>7</v>
      </c>
      <c r="H18" s="133">
        <f>IF(B$17=0,0,G18/B$17)</f>
        <v>1.9390581717451522E-2</v>
      </c>
      <c r="I18" s="94">
        <v>4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216</v>
      </c>
      <c r="C19" s="39">
        <f>IF(B$17=0,0,B19/B$17)</f>
        <v>0.5983379501385041</v>
      </c>
      <c r="E19" s="63" t="s">
        <v>80</v>
      </c>
      <c r="F19" s="60" t="s">
        <v>35</v>
      </c>
      <c r="G19" s="47">
        <v>5</v>
      </c>
      <c r="H19" s="133">
        <f>IF(B$17=0,0,G19/B$17)</f>
        <v>1.3850415512465374E-2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23.990909090909092</v>
      </c>
      <c r="P19" s="119">
        <v>33</v>
      </c>
      <c r="Q19" s="107">
        <v>791.7</v>
      </c>
    </row>
    <row r="20" spans="1:17" x14ac:dyDescent="0.4">
      <c r="A20" s="55" t="s">
        <v>13</v>
      </c>
      <c r="B20" s="47">
        <v>163</v>
      </c>
      <c r="C20" s="39">
        <f>IF(B$3=0,0,B20/B$3)</f>
        <v>0.15703275529865124</v>
      </c>
      <c r="E20" s="63" t="s">
        <v>74</v>
      </c>
      <c r="F20" s="60" t="s">
        <v>29</v>
      </c>
      <c r="G20" s="47">
        <v>2</v>
      </c>
      <c r="H20" s="133">
        <f>IF(B$17=0,0,G20/B$17)</f>
        <v>5.5401662049861496E-3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86</v>
      </c>
      <c r="F21" s="60" t="s">
        <v>41</v>
      </c>
      <c r="G21" s="47">
        <v>2</v>
      </c>
      <c r="H21" s="133">
        <f>IF(B$17=0,0,G21/B$17)</f>
        <v>5.5401662049861496E-3</v>
      </c>
      <c r="I21" s="94">
        <v>2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0</v>
      </c>
      <c r="E22" s="63" t="s">
        <v>93</v>
      </c>
      <c r="F22" s="60" t="s">
        <v>48</v>
      </c>
      <c r="G22" s="47">
        <v>2</v>
      </c>
      <c r="H22" s="133">
        <f>IF(B$17=0,0,G22/B$17)</f>
        <v>5.5401662049861496E-3</v>
      </c>
      <c r="I22" s="94">
        <v>3</v>
      </c>
      <c r="K22" s="38">
        <v>20</v>
      </c>
      <c r="L22" s="99">
        <v>469.6</v>
      </c>
      <c r="N22" s="115" t="s">
        <v>128</v>
      </c>
      <c r="O22" s="125">
        <f>IF(P22=0,0,Q22/P22)</f>
        <v>17.662025316455697</v>
      </c>
      <c r="P22" s="119">
        <v>79</v>
      </c>
      <c r="Q22" s="107">
        <v>1395.3000000000002</v>
      </c>
    </row>
    <row r="23" spans="1:17" x14ac:dyDescent="0.4">
      <c r="A23" s="55" t="s">
        <v>5</v>
      </c>
      <c r="B23" s="51">
        <f>IF(B$17=0,0,C23/B$17)</f>
        <v>9223.8227146814406</v>
      </c>
      <c r="C23" s="41">
        <v>3329800</v>
      </c>
      <c r="E23" s="63" t="s">
        <v>76</v>
      </c>
      <c r="F23" s="60" t="s">
        <v>31</v>
      </c>
      <c r="G23" s="47">
        <v>1</v>
      </c>
      <c r="H23" s="133">
        <f>IF(B$17=0,0,G23/B$17)</f>
        <v>2.7700831024930748E-3</v>
      </c>
      <c r="I23" s="94">
        <v>7</v>
      </c>
      <c r="K23" s="38">
        <v>21</v>
      </c>
      <c r="L23" s="99">
        <v>468.3</v>
      </c>
      <c r="N23" s="115" t="s">
        <v>171</v>
      </c>
      <c r="O23" s="125">
        <f>IF(P23=0,0,Q23/P23)</f>
        <v>-2.5531914893619577E-2</v>
      </c>
      <c r="P23" s="119">
        <v>47</v>
      </c>
      <c r="Q23" s="107">
        <v>-1.2000000000001201</v>
      </c>
    </row>
    <row r="24" spans="1:17" x14ac:dyDescent="0.4">
      <c r="A24" s="57" t="s">
        <v>14</v>
      </c>
      <c r="B24" s="52">
        <f>IF(B$20=0,0,C24/B$20)</f>
        <v>-8374.8466257668715</v>
      </c>
      <c r="C24" s="45">
        <v>-1365100</v>
      </c>
      <c r="E24" s="63" t="s">
        <v>78</v>
      </c>
      <c r="F24" s="60" t="s">
        <v>33</v>
      </c>
      <c r="G24" s="47">
        <v>1</v>
      </c>
      <c r="H24" s="133">
        <f>IF(B$17=0,0,G24/B$17)</f>
        <v>2.7700831024930748E-3</v>
      </c>
      <c r="I24" s="94">
        <v>3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85</v>
      </c>
      <c r="F25" s="60" t="s">
        <v>40</v>
      </c>
      <c r="G25" s="47">
        <v>1</v>
      </c>
      <c r="H25" s="133">
        <f>IF(B$17=0,0,G25/B$17)</f>
        <v>2.7700831024930748E-3</v>
      </c>
      <c r="I25" s="94">
        <v>4</v>
      </c>
      <c r="K25" s="38">
        <v>23</v>
      </c>
      <c r="L25" s="99">
        <v>555.90000000000009</v>
      </c>
      <c r="N25" s="115" t="s">
        <v>225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38">
        <v>116000</v>
      </c>
      <c r="C26" s="139"/>
      <c r="E26" s="63" t="s">
        <v>88</v>
      </c>
      <c r="F26" s="60" t="s">
        <v>43</v>
      </c>
      <c r="G26" s="47">
        <v>1</v>
      </c>
      <c r="H26" s="133">
        <f>IF(B$17=0,0,G26/B$17)</f>
        <v>2.7700831024930748E-3</v>
      </c>
      <c r="I26" s="94">
        <v>6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9.6339113680154141E-4</v>
      </c>
      <c r="E27" s="63" t="s">
        <v>91</v>
      </c>
      <c r="F27" s="60" t="s">
        <v>46</v>
      </c>
      <c r="G27" s="47">
        <v>1</v>
      </c>
      <c r="H27" s="133">
        <f>IF(B$17=0,0,G27/B$17)</f>
        <v>2.7700831024930748E-3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2.7700831024930748E-3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2.7700831024930748E-3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E2CBA-37F2-4102-BBDC-57BDC2FCAC6B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444.3478260869565</v>
      </c>
      <c r="P2" s="118">
        <v>115</v>
      </c>
      <c r="Q2" s="102">
        <v>51100</v>
      </c>
    </row>
    <row r="3" spans="1:17" x14ac:dyDescent="0.4">
      <c r="A3" s="55" t="s">
        <v>8</v>
      </c>
      <c r="B3" s="148">
        <v>947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-2309.0090090090089</v>
      </c>
      <c r="P3" s="119">
        <v>111</v>
      </c>
      <c r="Q3" s="103">
        <v>-256300</v>
      </c>
    </row>
    <row r="4" spans="1:17" x14ac:dyDescent="0.4">
      <c r="A4" s="55" t="s">
        <v>6</v>
      </c>
      <c r="B4" s="150">
        <v>-327.60000000000008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62.037037037037038</v>
      </c>
      <c r="P4" s="119">
        <v>108</v>
      </c>
      <c r="Q4" s="103">
        <v>6700</v>
      </c>
    </row>
    <row r="5" spans="1:17" x14ac:dyDescent="0.4">
      <c r="A5" s="55" t="s">
        <v>7</v>
      </c>
      <c r="B5" s="152">
        <f>IF(B$2=0,0,B$4/B$2)</f>
        <v>-2.8486956521739137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256.25</v>
      </c>
      <c r="P5" s="119">
        <v>96</v>
      </c>
      <c r="Q5" s="103">
        <v>24600</v>
      </c>
    </row>
    <row r="6" spans="1:17" x14ac:dyDescent="0.4">
      <c r="A6" s="55" t="s">
        <v>1</v>
      </c>
      <c r="B6" s="142">
        <f>IF(B$2=0,0,(B$7*1+B$8*2+B$9*3)/B$2)</f>
        <v>2.0782608695652174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0.26956521739130435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0.38260869565217392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0.34782608695652173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0.13043478260869565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9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9.5652173913043481E-2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6.9565217391304349E-2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282</v>
      </c>
      <c r="C13" s="44">
        <f>IF(B$3=0,0,B13/B$3)</f>
        <v>0.29778247096092925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0.18057022175290391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0.58510638297872342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0.27243928194297784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163</v>
      </c>
      <c r="C20" s="39">
        <f>IF(B$3=0,0,B20/B$3)</f>
        <v>0.17212249208025343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-7741.1042944785277</v>
      </c>
      <c r="C24" s="45">
        <v>-1261800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5.279831045406547E-3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3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3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</sheetData>
  <sortState ref="E2:I11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1F3E6-FF15-4C3B-8BEC-532C8E294859}">
  <sheetPr codeName="Sheet11"/>
  <dimension ref="A1:Q7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68</v>
      </c>
      <c r="C2" s="147"/>
      <c r="E2" s="62" t="s">
        <v>67</v>
      </c>
      <c r="F2" s="59" t="s">
        <v>23</v>
      </c>
      <c r="G2" s="46">
        <v>117</v>
      </c>
      <c r="H2" s="132">
        <f>IF(B$17=0,0,G2/B$17)</f>
        <v>0.9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-1658.8235294117646</v>
      </c>
      <c r="P2" s="118">
        <v>68</v>
      </c>
      <c r="Q2" s="102">
        <v>-112800</v>
      </c>
    </row>
    <row r="3" spans="1:17" x14ac:dyDescent="0.4">
      <c r="A3" s="55" t="s">
        <v>8</v>
      </c>
      <c r="B3" s="148">
        <v>562</v>
      </c>
      <c r="C3" s="149"/>
      <c r="E3" s="63" t="s">
        <v>65</v>
      </c>
      <c r="F3" s="60" t="s">
        <v>21</v>
      </c>
      <c r="G3" s="47">
        <v>76</v>
      </c>
      <c r="H3" s="133">
        <f>IF(B$17=0,0,G3/B$17)</f>
        <v>0.58461538461538465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-1333.3333333333333</v>
      </c>
      <c r="P3" s="119">
        <v>66</v>
      </c>
      <c r="Q3" s="103">
        <v>-88000</v>
      </c>
    </row>
    <row r="4" spans="1:17" x14ac:dyDescent="0.4">
      <c r="A4" s="55" t="s">
        <v>6</v>
      </c>
      <c r="B4" s="150">
        <v>-1066.5999999999997</v>
      </c>
      <c r="C4" s="151"/>
      <c r="E4" s="63" t="s">
        <v>69</v>
      </c>
      <c r="F4" s="60" t="s">
        <v>12</v>
      </c>
      <c r="G4" s="47">
        <v>54</v>
      </c>
      <c r="H4" s="133">
        <f>IF(B$17=0,0,G4/B$17)</f>
        <v>0.41538461538461541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-880.64516129032256</v>
      </c>
      <c r="P4" s="119">
        <v>62</v>
      </c>
      <c r="Q4" s="103">
        <v>-54600</v>
      </c>
    </row>
    <row r="5" spans="1:17" x14ac:dyDescent="0.4">
      <c r="A5" s="55" t="s">
        <v>7</v>
      </c>
      <c r="B5" s="152">
        <f>IF(B$2=0,0,B$4/B$2)</f>
        <v>-15.685294117647054</v>
      </c>
      <c r="C5" s="153"/>
      <c r="E5" s="63" t="s">
        <v>181</v>
      </c>
      <c r="F5" s="60" t="s">
        <v>182</v>
      </c>
      <c r="G5" s="47">
        <v>50</v>
      </c>
      <c r="H5" s="133">
        <f>IF(B$17=0,0,G5/B$17)</f>
        <v>0.38461538461538464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0"/>
        <v>-5090.7407407407409</v>
      </c>
      <c r="P5" s="119">
        <v>54</v>
      </c>
      <c r="Q5" s="103">
        <v>-274900</v>
      </c>
    </row>
    <row r="6" spans="1:17" x14ac:dyDescent="0.4">
      <c r="A6" s="55" t="s">
        <v>1</v>
      </c>
      <c r="B6" s="142">
        <f>IF(B$2=0,0,(B$7*1+B$8*2+B$9*3)/B$2)</f>
        <v>2.2647058823529411</v>
      </c>
      <c r="C6" s="143"/>
      <c r="E6" s="63" t="s">
        <v>68</v>
      </c>
      <c r="F6" s="60" t="s">
        <v>24</v>
      </c>
      <c r="G6" s="47">
        <v>44</v>
      </c>
      <c r="H6" s="133">
        <f>IF(B$17=0,0,G6/B$17)</f>
        <v>0.33846153846153848</v>
      </c>
      <c r="I6" s="94">
        <v>7</v>
      </c>
      <c r="K6" s="38">
        <v>4</v>
      </c>
      <c r="L6" s="99">
        <v>-31.4</v>
      </c>
      <c r="N6" s="115" t="s">
        <v>136</v>
      </c>
      <c r="O6" s="122">
        <f t="shared" si="0"/>
        <v>-1604.1666666666667</v>
      </c>
      <c r="P6" s="119">
        <v>48</v>
      </c>
      <c r="Q6" s="103">
        <v>-77000</v>
      </c>
    </row>
    <row r="7" spans="1:17" x14ac:dyDescent="0.4">
      <c r="A7" s="55" t="s">
        <v>2</v>
      </c>
      <c r="B7" s="47">
        <v>16</v>
      </c>
      <c r="C7" s="39">
        <f>IF(B$2=0,0,B7/B$2)</f>
        <v>0.23529411764705882</v>
      </c>
      <c r="E7" s="63" t="s">
        <v>73</v>
      </c>
      <c r="F7" s="60" t="s">
        <v>28</v>
      </c>
      <c r="G7" s="47">
        <v>43</v>
      </c>
      <c r="H7" s="133">
        <f>IF(B$17=0,0,G7/B$17)</f>
        <v>0.33076923076923076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-2100</v>
      </c>
      <c r="P7" s="120">
        <v>44</v>
      </c>
      <c r="Q7" s="104">
        <v>-92400</v>
      </c>
    </row>
    <row r="8" spans="1:17" x14ac:dyDescent="0.4">
      <c r="A8" s="55" t="s">
        <v>3</v>
      </c>
      <c r="B8" s="47">
        <v>18</v>
      </c>
      <c r="C8" s="39">
        <f>IF(B$2=0,0,B8/B$2)</f>
        <v>0.26470588235294118</v>
      </c>
      <c r="E8" s="63" t="s">
        <v>70</v>
      </c>
      <c r="F8" s="60" t="s">
        <v>25</v>
      </c>
      <c r="G8" s="47">
        <v>28</v>
      </c>
      <c r="H8" s="133">
        <f>IF(B$17=0,0,G8/B$17)</f>
        <v>0.2153846153846154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20</v>
      </c>
      <c r="H9" s="133">
        <f>IF(B$17=0,0,G9/B$17)</f>
        <v>0.15384615384615385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0.17647058823529413</v>
      </c>
      <c r="E10" s="63" t="s">
        <v>72</v>
      </c>
      <c r="F10" s="60" t="s">
        <v>27</v>
      </c>
      <c r="G10" s="47">
        <v>14</v>
      </c>
      <c r="H10" s="133">
        <f>IF(B$17=0,0,G10/B$17)</f>
        <v>0.1076923076923077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-20.042857142857137</v>
      </c>
      <c r="P10" s="118">
        <v>21</v>
      </c>
      <c r="Q10" s="106">
        <v>-420.89999999999992</v>
      </c>
    </row>
    <row r="11" spans="1:17" x14ac:dyDescent="0.4">
      <c r="A11" s="56" t="s">
        <v>140</v>
      </c>
      <c r="B11" s="48">
        <v>8</v>
      </c>
      <c r="C11" s="40">
        <f>IF(B$2=0,0,B11/B$2)</f>
        <v>0.11764705882352941</v>
      </c>
      <c r="E11" s="63" t="s">
        <v>90</v>
      </c>
      <c r="F11" s="60" t="s">
        <v>45</v>
      </c>
      <c r="G11" s="47">
        <v>11</v>
      </c>
      <c r="H11" s="133">
        <f>IF(B$17=0,0,G11/B$17)</f>
        <v>8.461538461538462E-2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-10.889655172413798</v>
      </c>
      <c r="P11" s="119">
        <v>29</v>
      </c>
      <c r="Q11" s="107">
        <v>-315.80000000000013</v>
      </c>
    </row>
    <row r="12" spans="1:17" x14ac:dyDescent="0.4">
      <c r="A12" s="57" t="s">
        <v>160</v>
      </c>
      <c r="B12" s="49">
        <v>5</v>
      </c>
      <c r="C12" s="42">
        <f>IF(B$2=0,0,B12/B$2)</f>
        <v>7.3529411764705885E-2</v>
      </c>
      <c r="E12" s="63" t="s">
        <v>66</v>
      </c>
      <c r="F12" s="60" t="s">
        <v>22</v>
      </c>
      <c r="G12" s="47">
        <v>9</v>
      </c>
      <c r="H12" s="133">
        <f>IF(B$17=0,0,G12/B$17)</f>
        <v>6.9230769230769235E-2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153</v>
      </c>
      <c r="C13" s="44">
        <f>IF(B$3=0,0,B13/B$3)</f>
        <v>0.27224199288256229</v>
      </c>
      <c r="E13" s="63" t="s">
        <v>87</v>
      </c>
      <c r="F13" s="60" t="s">
        <v>42</v>
      </c>
      <c r="G13" s="47">
        <v>9</v>
      </c>
      <c r="H13" s="133">
        <f>IF(B$17=0,0,G13/B$17)</f>
        <v>6.9230769230769235E-2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92</v>
      </c>
      <c r="C14" s="39">
        <f>IF(B$3=0,0,B14/B$3)</f>
        <v>0.16370106761565836</v>
      </c>
      <c r="E14" s="63" t="s">
        <v>79</v>
      </c>
      <c r="F14" s="60" t="s">
        <v>34</v>
      </c>
      <c r="G14" s="47">
        <v>5</v>
      </c>
      <c r="H14" s="133">
        <f>IF(B$17=0,0,G14/B$17)</f>
        <v>3.8461538461538464E-2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79</v>
      </c>
      <c r="C15" s="37">
        <f>IF(B$13=0,0,B15/B$13)</f>
        <v>0.5163398692810458</v>
      </c>
      <c r="E15" s="63" t="s">
        <v>84</v>
      </c>
      <c r="F15" s="60" t="s">
        <v>39</v>
      </c>
      <c r="G15" s="47">
        <v>5</v>
      </c>
      <c r="H15" s="133">
        <f>IF(B$17=0,0,G15/B$17)</f>
        <v>3.8461538461538464E-2</v>
      </c>
      <c r="I15" s="94">
        <v>10</v>
      </c>
      <c r="K15" s="38">
        <v>13</v>
      </c>
      <c r="L15" s="99">
        <v>-369.1</v>
      </c>
      <c r="N15" s="114" t="s">
        <v>225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21</v>
      </c>
      <c r="C16" s="37">
        <f>IF(B$14=0,0,B16/B$14)</f>
        <v>0.22826086956521738</v>
      </c>
      <c r="E16" s="63" t="s">
        <v>75</v>
      </c>
      <c r="F16" s="60" t="s">
        <v>30</v>
      </c>
      <c r="G16" s="47">
        <v>2</v>
      </c>
      <c r="H16" s="133">
        <f>IF(B$17=0,0,G16/B$17)</f>
        <v>1.5384615384615385E-2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-4.4153846153846148</v>
      </c>
      <c r="P16" s="119">
        <v>13</v>
      </c>
      <c r="Q16" s="107">
        <v>-57.399999999999991</v>
      </c>
    </row>
    <row r="17" spans="1:17" x14ac:dyDescent="0.4">
      <c r="A17" s="54" t="s">
        <v>10</v>
      </c>
      <c r="B17" s="46">
        <f>B19+B18</f>
        <v>130</v>
      </c>
      <c r="C17" s="37">
        <f>IF(B$3=0,0,B17/B$3)</f>
        <v>0.23131672597864769</v>
      </c>
      <c r="E17" s="63" t="s">
        <v>82</v>
      </c>
      <c r="F17" s="60" t="s">
        <v>37</v>
      </c>
      <c r="G17" s="47">
        <v>2</v>
      </c>
      <c r="H17" s="133">
        <f>IF(B$17=0,0,G17/B$17)</f>
        <v>1.5384615384615385E-2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62</v>
      </c>
      <c r="C18" s="39">
        <f>IF(B$17=0,0,B18/B$17)</f>
        <v>0.47692307692307695</v>
      </c>
      <c r="E18" s="63" t="s">
        <v>94</v>
      </c>
      <c r="F18" s="60" t="s">
        <v>49</v>
      </c>
      <c r="G18" s="47">
        <v>2</v>
      </c>
      <c r="H18" s="133">
        <f>IF(B$17=0,0,G18/B$17)</f>
        <v>1.5384615384615385E-2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68</v>
      </c>
      <c r="C19" s="39">
        <f>IF(B$17=0,0,B19/B$17)</f>
        <v>0.52307692307692311</v>
      </c>
      <c r="E19" s="63" t="s">
        <v>78</v>
      </c>
      <c r="F19" s="60" t="s">
        <v>33</v>
      </c>
      <c r="G19" s="47">
        <v>1</v>
      </c>
      <c r="H19" s="133">
        <f>IF(B$17=0,0,G19/B$17)</f>
        <v>7.6923076923076927E-3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-26.328571428571429</v>
      </c>
      <c r="P19" s="119">
        <v>21</v>
      </c>
      <c r="Q19" s="107">
        <v>-552.9</v>
      </c>
    </row>
    <row r="20" spans="1:17" x14ac:dyDescent="0.4">
      <c r="A20" s="55" t="s">
        <v>13</v>
      </c>
      <c r="B20" s="47">
        <v>107</v>
      </c>
      <c r="C20" s="39">
        <f>IF(B$3=0,0,B20/B$3)</f>
        <v>0.19039145907473309</v>
      </c>
      <c r="E20" s="63" t="s">
        <v>80</v>
      </c>
      <c r="F20" s="60" t="s">
        <v>35</v>
      </c>
      <c r="G20" s="47">
        <v>1</v>
      </c>
      <c r="H20" s="133">
        <f>IF(B$17=0,0,G20/B$17)</f>
        <v>7.6923076923076927E-3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-31.390243902439035</v>
      </c>
      <c r="P20" s="119">
        <v>41</v>
      </c>
      <c r="Q20" s="107">
        <v>-1287.0000000000005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7.6923076923076927E-3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10</v>
      </c>
      <c r="E22" s="63" t="s">
        <v>89</v>
      </c>
      <c r="F22" s="60" t="s">
        <v>44</v>
      </c>
      <c r="G22" s="47">
        <v>1</v>
      </c>
      <c r="H22" s="133">
        <f>IF(B$17=0,0,G22/B$17)</f>
        <v>7.6923076923076927E-3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8890.7692307692305</v>
      </c>
      <c r="C23" s="41">
        <v>1155800</v>
      </c>
      <c r="E23" s="63" t="s">
        <v>92</v>
      </c>
      <c r="F23" s="60" t="s">
        <v>47</v>
      </c>
      <c r="G23" s="47">
        <v>1</v>
      </c>
      <c r="H23" s="133">
        <f>IF(B$17=0,0,G23/B$17)</f>
        <v>7.6923076923076927E-3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-9513.0841121495323</v>
      </c>
      <c r="C24" s="45">
        <v>-1017900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1.7793594306049821E-3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CE30F-E13F-4FFB-96FA-76FE87A50D23}">
  <sheetPr codeName="Sheet13"/>
  <dimension ref="A1:Q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79</v>
      </c>
      <c r="C2" s="147"/>
      <c r="E2" s="62" t="s">
        <v>65</v>
      </c>
      <c r="F2" s="59" t="s">
        <v>21</v>
      </c>
      <c r="G2" s="46">
        <v>103</v>
      </c>
      <c r="H2" s="132">
        <f>IF(B$17=0,0,G2/B$17)</f>
        <v>0.55080213903743314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-1070.8860759493671</v>
      </c>
      <c r="P2" s="118">
        <v>79</v>
      </c>
      <c r="Q2" s="102">
        <v>-84600</v>
      </c>
    </row>
    <row r="3" spans="1:17" x14ac:dyDescent="0.4">
      <c r="A3" s="55" t="s">
        <v>8</v>
      </c>
      <c r="B3" s="148">
        <v>659</v>
      </c>
      <c r="C3" s="149"/>
      <c r="E3" s="63" t="s">
        <v>66</v>
      </c>
      <c r="F3" s="60" t="s">
        <v>22</v>
      </c>
      <c r="G3" s="47">
        <v>26</v>
      </c>
      <c r="H3" s="133">
        <f>IF(B$17=0,0,G3/B$17)</f>
        <v>0.13903743315508021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1011.5384615384615</v>
      </c>
      <c r="P3" s="119">
        <v>78</v>
      </c>
      <c r="Q3" s="103">
        <v>78900</v>
      </c>
    </row>
    <row r="4" spans="1:17" x14ac:dyDescent="0.4">
      <c r="A4" s="55" t="s">
        <v>6</v>
      </c>
      <c r="B4" s="150">
        <v>118.49999999999999</v>
      </c>
      <c r="C4" s="151"/>
      <c r="E4" s="63" t="s">
        <v>67</v>
      </c>
      <c r="F4" s="60" t="s">
        <v>23</v>
      </c>
      <c r="G4" s="47">
        <v>162</v>
      </c>
      <c r="H4" s="133">
        <f>IF(B$17=0,0,G4/B$17)</f>
        <v>0.86631016042780751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1584.7222222222222</v>
      </c>
      <c r="P4" s="119">
        <v>72</v>
      </c>
      <c r="Q4" s="103">
        <v>114100</v>
      </c>
    </row>
    <row r="5" spans="1:17" x14ac:dyDescent="0.4">
      <c r="A5" s="55" t="s">
        <v>7</v>
      </c>
      <c r="B5" s="152">
        <f>IF(B$2=0,0,B$4/B$2)</f>
        <v>1.4999999999999998</v>
      </c>
      <c r="C5" s="153"/>
      <c r="E5" s="63" t="s">
        <v>68</v>
      </c>
      <c r="F5" s="60" t="s">
        <v>24</v>
      </c>
      <c r="G5" s="47">
        <v>63</v>
      </c>
      <c r="H5" s="133">
        <f>IF(B$17=0,0,G5/B$17)</f>
        <v>0.33689839572192515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1145.1612903225807</v>
      </c>
      <c r="P5" s="119">
        <v>62</v>
      </c>
      <c r="Q5" s="103">
        <v>71000</v>
      </c>
    </row>
    <row r="6" spans="1:17" x14ac:dyDescent="0.4">
      <c r="A6" s="55" t="s">
        <v>1</v>
      </c>
      <c r="B6" s="142">
        <f>IF(B$2=0,0,(B$7*1+B$8*2+B$9*3)/B$2)</f>
        <v>2.037974683544304</v>
      </c>
      <c r="C6" s="143"/>
      <c r="E6" s="63" t="s">
        <v>69</v>
      </c>
      <c r="F6" s="60" t="s">
        <v>12</v>
      </c>
      <c r="G6" s="47">
        <v>58</v>
      </c>
      <c r="H6" s="133">
        <f>IF(B$17=0,0,G6/B$17)</f>
        <v>0.31016042780748665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-677.77777777777783</v>
      </c>
      <c r="P6" s="119">
        <v>54</v>
      </c>
      <c r="Q6" s="103">
        <v>-36600</v>
      </c>
    </row>
    <row r="7" spans="1:17" x14ac:dyDescent="0.4">
      <c r="A7" s="55" t="s">
        <v>2</v>
      </c>
      <c r="B7" s="47">
        <v>24</v>
      </c>
      <c r="C7" s="39">
        <f>IF(B$2=0,0,B7/B$2)</f>
        <v>0.30379746835443039</v>
      </c>
      <c r="E7" s="63" t="s">
        <v>70</v>
      </c>
      <c r="F7" s="60" t="s">
        <v>25</v>
      </c>
      <c r="G7" s="47">
        <v>37</v>
      </c>
      <c r="H7" s="133">
        <f>IF(B$17=0,0,G7/B$17)</f>
        <v>0.19786096256684493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134</v>
      </c>
      <c r="P7" s="120">
        <v>50</v>
      </c>
      <c r="Q7" s="104">
        <v>6700</v>
      </c>
    </row>
    <row r="8" spans="1:17" x14ac:dyDescent="0.4">
      <c r="A8" s="55" t="s">
        <v>3</v>
      </c>
      <c r="B8" s="47">
        <v>28</v>
      </c>
      <c r="C8" s="39">
        <f>IF(B$2=0,0,B8/B$2)</f>
        <v>0.35443037974683544</v>
      </c>
      <c r="E8" s="63" t="s">
        <v>71</v>
      </c>
      <c r="F8" s="60" t="s">
        <v>26</v>
      </c>
      <c r="G8" s="47">
        <v>20</v>
      </c>
      <c r="H8" s="133">
        <f>IF(B$17=0,0,G8/B$17)</f>
        <v>0.10695187165775401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0.34177215189873417</v>
      </c>
      <c r="E9" s="63" t="s">
        <v>72</v>
      </c>
      <c r="F9" s="60" t="s">
        <v>27</v>
      </c>
      <c r="G9" s="47">
        <v>12</v>
      </c>
      <c r="H9" s="133">
        <f>IF(B$17=0,0,G9/B$17)</f>
        <v>6.4171122994652413E-2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7.5949367088607597E-2</v>
      </c>
      <c r="E10" s="63" t="s">
        <v>73</v>
      </c>
      <c r="F10" s="60" t="s">
        <v>28</v>
      </c>
      <c r="G10" s="47">
        <v>99</v>
      </c>
      <c r="H10" s="133">
        <f>IF(B$17=0,0,G10/B$17)</f>
        <v>0.52941176470588236</v>
      </c>
      <c r="I10" s="94">
        <v>6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0.12658227848101267</v>
      </c>
      <c r="E11" s="63" t="s">
        <v>74</v>
      </c>
      <c r="F11" s="60" t="s">
        <v>29</v>
      </c>
      <c r="G11" s="47">
        <v>1</v>
      </c>
      <c r="H11" s="133">
        <f>IF(B$17=0,0,G11/B$17)</f>
        <v>5.3475935828877002E-3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-4.1161290322580628</v>
      </c>
      <c r="P11" s="119">
        <v>31</v>
      </c>
      <c r="Q11" s="107">
        <v>-127.59999999999995</v>
      </c>
    </row>
    <row r="12" spans="1:17" x14ac:dyDescent="0.4">
      <c r="A12" s="57" t="s">
        <v>160</v>
      </c>
      <c r="B12" s="49">
        <v>6</v>
      </c>
      <c r="C12" s="42">
        <f>IF(B$2=0,0,B12/B$2)</f>
        <v>7.5949367088607597E-2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5.4464285714285712</v>
      </c>
      <c r="P12" s="120">
        <v>28</v>
      </c>
      <c r="Q12" s="108">
        <v>152.5</v>
      </c>
    </row>
    <row r="13" spans="1:17" x14ac:dyDescent="0.4">
      <c r="A13" s="58" t="s">
        <v>122</v>
      </c>
      <c r="B13" s="50">
        <v>191</v>
      </c>
      <c r="C13" s="44">
        <f>IF(B$3=0,0,B13/B$3)</f>
        <v>0.2898330804248862</v>
      </c>
      <c r="E13" s="63" t="s">
        <v>76</v>
      </c>
      <c r="F13" s="60" t="s">
        <v>31</v>
      </c>
      <c r="G13" s="47">
        <v>3</v>
      </c>
      <c r="H13" s="133">
        <f>IF(B$17=0,0,G13/B$17)</f>
        <v>1.6042780748663103E-2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128</v>
      </c>
      <c r="C14" s="39">
        <f>IF(B$3=0,0,B14/B$3)</f>
        <v>0.19423368740515934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110</v>
      </c>
      <c r="C15" s="37">
        <f>IF(B$13=0,0,B15/B$13)</f>
        <v>0.5759162303664922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26.328571428571422</v>
      </c>
      <c r="P15" s="118">
        <v>21</v>
      </c>
      <c r="Q15" s="106">
        <v>552.89999999999986</v>
      </c>
    </row>
    <row r="16" spans="1:17" x14ac:dyDescent="0.4">
      <c r="A16" s="54" t="s">
        <v>125</v>
      </c>
      <c r="B16" s="46">
        <v>52</v>
      </c>
      <c r="C16" s="37">
        <f>IF(B$14=0,0,B16/B$14)</f>
        <v>0.40625</v>
      </c>
      <c r="E16" s="63" t="s">
        <v>79</v>
      </c>
      <c r="F16" s="60" t="s">
        <v>34</v>
      </c>
      <c r="G16" s="47">
        <v>9</v>
      </c>
      <c r="H16" s="133">
        <f>IF(B$17=0,0,G16/B$17)</f>
        <v>4.8128342245989303E-2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 t="shared" si="2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187</v>
      </c>
      <c r="C17" s="37">
        <f>IF(B$3=0,0,B17/B$3)</f>
        <v>0.28376327769347498</v>
      </c>
      <c r="E17" s="63" t="s">
        <v>80</v>
      </c>
      <c r="F17" s="60" t="s">
        <v>35</v>
      </c>
      <c r="G17" s="47">
        <v>3</v>
      </c>
      <c r="H17" s="133">
        <f>IF(B$17=0,0,G17/B$17)</f>
        <v>1.6042780748663103E-2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79</v>
      </c>
      <c r="C18" s="39">
        <f>IF(B$17=0,0,B18/B$17)</f>
        <v>0.42245989304812837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128</v>
      </c>
      <c r="O18" s="125">
        <f t="shared" si="2"/>
        <v>2.3171428571428523</v>
      </c>
      <c r="P18" s="119">
        <v>35</v>
      </c>
      <c r="Q18" s="107">
        <v>81.099999999999824</v>
      </c>
    </row>
    <row r="19" spans="1:17" x14ac:dyDescent="0.4">
      <c r="A19" s="55" t="s">
        <v>11</v>
      </c>
      <c r="B19" s="47">
        <v>108</v>
      </c>
      <c r="C19" s="39">
        <f>IF(B$17=0,0,B19/B$17)</f>
        <v>0.57754010695187163</v>
      </c>
      <c r="E19" s="63" t="s">
        <v>82</v>
      </c>
      <c r="F19" s="60" t="s">
        <v>37</v>
      </c>
      <c r="G19" s="47">
        <v>7</v>
      </c>
      <c r="H19" s="133">
        <f>IF(B$17=0,0,G19/B$17)</f>
        <v>3.7433155080213901E-2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 t="shared" si="2"/>
        <v>1.1473684210526311</v>
      </c>
      <c r="P19" s="119">
        <v>19</v>
      </c>
      <c r="Q19" s="107">
        <v>21.799999999999994</v>
      </c>
    </row>
    <row r="20" spans="1:17" x14ac:dyDescent="0.4">
      <c r="A20" s="55" t="s">
        <v>13</v>
      </c>
      <c r="B20" s="47">
        <v>117</v>
      </c>
      <c r="C20" s="39">
        <f>IF(B$3=0,0,B20/B$3)</f>
        <v>0.17754172989377845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2.5531914893621391E-2</v>
      </c>
      <c r="P20" s="119">
        <v>47</v>
      </c>
      <c r="Q20" s="107">
        <v>1.2000000000002053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84</v>
      </c>
      <c r="F21" s="60" t="s">
        <v>39</v>
      </c>
      <c r="G21" s="47">
        <v>8</v>
      </c>
      <c r="H21" s="133">
        <f>IF(B$17=0,0,G21/B$17)</f>
        <v>4.2780748663101602E-2</v>
      </c>
      <c r="I21" s="94">
        <v>7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1.06951871657754E-2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9977.5401069518721</v>
      </c>
      <c r="C23" s="41">
        <v>1865800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-8087.1794871794873</v>
      </c>
      <c r="C24" s="45">
        <v>-946200</v>
      </c>
      <c r="E24" s="63" t="s">
        <v>87</v>
      </c>
      <c r="F24" s="60" t="s">
        <v>42</v>
      </c>
      <c r="G24" s="47">
        <v>13</v>
      </c>
      <c r="H24" s="133">
        <f>IF(B$17=0,0,G24/B$17)</f>
        <v>6.9518716577540107E-2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5.3475935828877002E-3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1.5174506828528073E-3</v>
      </c>
      <c r="E27" s="63" t="s">
        <v>90</v>
      </c>
      <c r="F27" s="60" t="s">
        <v>45</v>
      </c>
      <c r="G27" s="47">
        <v>30</v>
      </c>
      <c r="H27" s="133">
        <f>IF(B$17=0,0,G27/B$17)</f>
        <v>0.16042780748663102</v>
      </c>
      <c r="I27" s="94">
        <v>4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2.1390374331550801E-2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1.06951871657754E-2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5.3475935828877002E-3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4</v>
      </c>
      <c r="H50" s="133">
        <f>IF(B$17=0,0,G50/B$17)</f>
        <v>2.1390374331550801E-2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75</v>
      </c>
      <c r="H51" s="134">
        <f>IF(B$17=0,0,G51/B$17)</f>
        <v>0.40106951871657753</v>
      </c>
      <c r="I51" s="95">
        <v>7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</sheetData>
  <sortState ref="E2:I8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BD0BA-E07C-42E4-9AFB-CB7ED8CD5116}">
  <sheetPr codeName="Sheet15"/>
  <dimension ref="A1:Q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62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0.34375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766.12903225806451</v>
      </c>
      <c r="P2" s="118">
        <v>62</v>
      </c>
      <c r="Q2" s="102">
        <v>47500</v>
      </c>
    </row>
    <row r="3" spans="1:17" x14ac:dyDescent="0.4">
      <c r="A3" s="55" t="s">
        <v>8</v>
      </c>
      <c r="B3" s="148">
        <v>535</v>
      </c>
      <c r="C3" s="149"/>
      <c r="E3" s="63" t="s">
        <v>66</v>
      </c>
      <c r="F3" s="60" t="s">
        <v>22</v>
      </c>
      <c r="G3" s="47">
        <v>21</v>
      </c>
      <c r="H3" s="133">
        <f>IF(B$17=0,0,G3/B$17)</f>
        <v>0.109375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-403.22580645161293</v>
      </c>
      <c r="P3" s="119">
        <v>62</v>
      </c>
      <c r="Q3" s="103">
        <v>-25000</v>
      </c>
    </row>
    <row r="4" spans="1:17" x14ac:dyDescent="0.4">
      <c r="A4" s="55" t="s">
        <v>6</v>
      </c>
      <c r="B4" s="150">
        <v>7.9999999999999822</v>
      </c>
      <c r="C4" s="151"/>
      <c r="E4" s="63" t="s">
        <v>67</v>
      </c>
      <c r="F4" s="60" t="s">
        <v>23</v>
      </c>
      <c r="G4" s="47">
        <v>130</v>
      </c>
      <c r="H4" s="133">
        <f>IF(B$17=0,0,G4/B$17)</f>
        <v>0.67708333333333337</v>
      </c>
      <c r="I4" s="94">
        <v>8</v>
      </c>
      <c r="K4" s="38">
        <v>2</v>
      </c>
      <c r="L4" s="99">
        <v>-7.7000000000000011</v>
      </c>
      <c r="N4" s="115" t="s">
        <v>134</v>
      </c>
      <c r="O4" s="122">
        <f t="shared" si="0"/>
        <v>-1281.8181818181818</v>
      </c>
      <c r="P4" s="119">
        <v>55</v>
      </c>
      <c r="Q4" s="103">
        <v>-70500</v>
      </c>
    </row>
    <row r="5" spans="1:17" x14ac:dyDescent="0.4">
      <c r="A5" s="55" t="s">
        <v>7</v>
      </c>
      <c r="B5" s="152">
        <f>IF(B$2=0,0,B$4/B$2)</f>
        <v>0.12903225806451585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0.16666666666666666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319.23076923076923</v>
      </c>
      <c r="P5" s="119">
        <v>52</v>
      </c>
      <c r="Q5" s="103">
        <v>16600</v>
      </c>
    </row>
    <row r="6" spans="1:17" x14ac:dyDescent="0.4">
      <c r="A6" s="55" t="s">
        <v>1</v>
      </c>
      <c r="B6" s="142">
        <f>IF(B$2=0,0,(B$7*1+B$8*2+B$9*3)/B$2)</f>
        <v>2.032258064516129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0.265625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808</v>
      </c>
      <c r="P6" s="119">
        <v>50</v>
      </c>
      <c r="Q6" s="103">
        <v>40400</v>
      </c>
    </row>
    <row r="7" spans="1:17" x14ac:dyDescent="0.4">
      <c r="A7" s="55" t="s">
        <v>2</v>
      </c>
      <c r="B7" s="47">
        <v>17</v>
      </c>
      <c r="C7" s="39">
        <f>IF(B$2=0,0,B7/B$2)</f>
        <v>0.27419354838709675</v>
      </c>
      <c r="E7" s="63" t="s">
        <v>70</v>
      </c>
      <c r="F7" s="60" t="s">
        <v>25</v>
      </c>
      <c r="G7" s="47">
        <v>28</v>
      </c>
      <c r="H7" s="133">
        <f>IF(B$17=0,0,G7/B$17)</f>
        <v>0.14583333333333334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-343.18181818181819</v>
      </c>
      <c r="P7" s="120">
        <v>44</v>
      </c>
      <c r="Q7" s="104">
        <v>-15100</v>
      </c>
    </row>
    <row r="8" spans="1:17" x14ac:dyDescent="0.4">
      <c r="A8" s="55" t="s">
        <v>3</v>
      </c>
      <c r="B8" s="47">
        <v>26</v>
      </c>
      <c r="C8" s="39">
        <f>IF(B$2=0,0,B8/B$2)</f>
        <v>0.41935483870967744</v>
      </c>
      <c r="E8" s="63" t="s">
        <v>71</v>
      </c>
      <c r="F8" s="60" t="s">
        <v>26</v>
      </c>
      <c r="G8" s="47">
        <v>11</v>
      </c>
      <c r="H8" s="133">
        <f>IF(B$17=0,0,G8/B$17)</f>
        <v>5.7291666666666664E-2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0.30645161290322581</v>
      </c>
      <c r="E9" s="63" t="s">
        <v>72</v>
      </c>
      <c r="F9" s="60" t="s">
        <v>27</v>
      </c>
      <c r="G9" s="47">
        <v>15</v>
      </c>
      <c r="H9" s="133">
        <f>IF(B$17=0,0,G9/B$17)</f>
        <v>7.8125E-2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4.8387096774193547E-2</v>
      </c>
      <c r="E10" s="63" t="s">
        <v>73</v>
      </c>
      <c r="F10" s="60" t="s">
        <v>28</v>
      </c>
      <c r="G10" s="47">
        <v>112</v>
      </c>
      <c r="H10" s="133">
        <f>IF(B$17=0,0,G10/B$17)</f>
        <v>0.58333333333333337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0.11290322580645161</v>
      </c>
      <c r="E11" s="63" t="s">
        <v>74</v>
      </c>
      <c r="F11" s="60" t="s">
        <v>29</v>
      </c>
      <c r="G11" s="47">
        <v>1</v>
      </c>
      <c r="H11" s="133">
        <f>IF(B$17=0,0,G11/B$17)</f>
        <v>5.208333333333333E-3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4</v>
      </c>
      <c r="C12" s="42">
        <f>IF(B$2=0,0,B12/B$2)</f>
        <v>6.4516129032258063E-2</v>
      </c>
      <c r="E12" s="63" t="s">
        <v>75</v>
      </c>
      <c r="F12" s="60" t="s">
        <v>30</v>
      </c>
      <c r="G12" s="47">
        <v>1</v>
      </c>
      <c r="H12" s="133">
        <f>IF(B$17=0,0,G12/B$17)</f>
        <v>5.208333333333333E-3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1.94</v>
      </c>
      <c r="P12" s="120">
        <v>25</v>
      </c>
      <c r="Q12" s="108">
        <v>48.5</v>
      </c>
    </row>
    <row r="13" spans="1:17" x14ac:dyDescent="0.4">
      <c r="A13" s="58" t="s">
        <v>122</v>
      </c>
      <c r="B13" s="50">
        <v>117</v>
      </c>
      <c r="C13" s="44">
        <f>IF(B$3=0,0,B13/B$3)</f>
        <v>0.21869158878504674</v>
      </c>
      <c r="E13" s="63" t="s">
        <v>76</v>
      </c>
      <c r="F13" s="60" t="s">
        <v>31</v>
      </c>
      <c r="G13" s="47">
        <v>1</v>
      </c>
      <c r="H13" s="133">
        <f>IF(B$17=0,0,G13/B$17)</f>
        <v>5.208333333333333E-3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158</v>
      </c>
      <c r="C14" s="39">
        <f>IF(B$3=0,0,B14/B$3)</f>
        <v>0.29532710280373831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0.5641025641025641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70</v>
      </c>
      <c r="C16" s="37">
        <f>IF(B$14=0,0,B16/B$14)</f>
        <v>0.44303797468354428</v>
      </c>
      <c r="E16" s="63" t="s">
        <v>79</v>
      </c>
      <c r="F16" s="60" t="s">
        <v>34</v>
      </c>
      <c r="G16" s="47">
        <v>2</v>
      </c>
      <c r="H16" s="133">
        <f>IF(B$17=0,0,G16/B$17)</f>
        <v>1.0416666666666666E-2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192</v>
      </c>
      <c r="C17" s="37">
        <f>IF(B$3=0,0,B17/B$3)</f>
        <v>0.35887850467289717</v>
      </c>
      <c r="E17" s="63" t="s">
        <v>80</v>
      </c>
      <c r="F17" s="60" t="s">
        <v>35</v>
      </c>
      <c r="G17" s="47">
        <v>3</v>
      </c>
      <c r="H17" s="133">
        <f>IF(B$17=0,0,G17/B$17)</f>
        <v>1.5625E-2</v>
      </c>
      <c r="I17" s="94">
        <v>7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81</v>
      </c>
      <c r="C18" s="39">
        <f>IF(B$17=0,0,B18/B$17)</f>
        <v>0.421875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111</v>
      </c>
      <c r="C19" s="39">
        <f>IF(B$17=0,0,B19/B$17)</f>
        <v>0.578125</v>
      </c>
      <c r="E19" s="63" t="s">
        <v>82</v>
      </c>
      <c r="F19" s="60" t="s">
        <v>37</v>
      </c>
      <c r="G19" s="47">
        <v>6</v>
      </c>
      <c r="H19" s="133">
        <f>IF(B$17=0,0,G19/B$17)</f>
        <v>3.125E-2</v>
      </c>
      <c r="I19" s="94">
        <v>3</v>
      </c>
      <c r="K19" s="38">
        <v>17</v>
      </c>
      <c r="L19" s="99">
        <v>-55.099999999999994</v>
      </c>
      <c r="N19" s="115" t="s">
        <v>177</v>
      </c>
      <c r="O19" s="125">
        <f t="shared" si="2"/>
        <v>7.7299999999999995</v>
      </c>
      <c r="P19" s="119">
        <v>10</v>
      </c>
      <c r="Q19" s="107">
        <v>77.3</v>
      </c>
    </row>
    <row r="20" spans="1:17" x14ac:dyDescent="0.4">
      <c r="A20" s="55" t="s">
        <v>13</v>
      </c>
      <c r="B20" s="47">
        <v>69</v>
      </c>
      <c r="C20" s="39">
        <f>IF(B$3=0,0,B20/B$3)</f>
        <v>0.12897196261682242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173</v>
      </c>
      <c r="O20" s="125">
        <f t="shared" si="2"/>
        <v>6.6333333333333302</v>
      </c>
      <c r="P20" s="119">
        <v>12</v>
      </c>
      <c r="Q20" s="107">
        <v>79.599999999999966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12</v>
      </c>
      <c r="H21" s="133">
        <f>IF(B$17=0,0,G21/B$17)</f>
        <v>6.25E-2</v>
      </c>
      <c r="I21" s="94">
        <v>2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-1.1473684210526323</v>
      </c>
      <c r="P22" s="119">
        <v>19</v>
      </c>
      <c r="Q22" s="107">
        <v>-21.800000000000011</v>
      </c>
    </row>
    <row r="23" spans="1:17" x14ac:dyDescent="0.4">
      <c r="A23" s="55" t="s">
        <v>5</v>
      </c>
      <c r="B23" s="51">
        <f>IF(B$17=0,0,C23/B$17)</f>
        <v>6635.9375</v>
      </c>
      <c r="C23" s="41">
        <v>1274100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-23.990909090909092</v>
      </c>
      <c r="P23" s="119">
        <v>33</v>
      </c>
      <c r="Q23" s="107">
        <v>-791.7</v>
      </c>
    </row>
    <row r="24" spans="1:17" x14ac:dyDescent="0.4">
      <c r="A24" s="57" t="s">
        <v>14</v>
      </c>
      <c r="B24" s="52">
        <f>IF(B$20=0,0,C24/B$20)</f>
        <v>-9417.391304347826</v>
      </c>
      <c r="C24" s="45">
        <v>-649800</v>
      </c>
      <c r="E24" s="63" t="s">
        <v>87</v>
      </c>
      <c r="F24" s="60" t="s">
        <v>42</v>
      </c>
      <c r="G24" s="47">
        <v>8</v>
      </c>
      <c r="H24" s="133">
        <f>IF(B$17=0,0,G24/B$17)</f>
        <v>4.1666666666666664E-2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5.208333333333333E-3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1.869158878504673E-3</v>
      </c>
      <c r="E27" s="63" t="s">
        <v>90</v>
      </c>
      <c r="F27" s="60" t="s">
        <v>45</v>
      </c>
      <c r="G27" s="47">
        <v>14</v>
      </c>
      <c r="H27" s="133">
        <f>IF(B$17=0,0,G27/B$17)</f>
        <v>7.2916666666666671E-2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1.0416666666666666E-2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87</v>
      </c>
      <c r="H51" s="134">
        <f>IF(B$17=0,0,G51/B$17)</f>
        <v>0.453125</v>
      </c>
      <c r="I51" s="95">
        <v>2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</sheetData>
  <sortState ref="E2:I6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B1133-79AB-45FE-8D71-29DF8E5C13D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64" t="s">
        <v>181</v>
      </c>
      <c r="F51" s="61" t="s">
        <v>182</v>
      </c>
      <c r="G51" s="49">
        <v>45</v>
      </c>
      <c r="H51" s="134">
        <f>IF(B$17=0,0,G51/B$17)</f>
        <v>0.39473684210526316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2FBDC-342F-4138-BB74-3BE4FEDC9D1A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0.5892857142857143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1202.127659574468</v>
      </c>
      <c r="P2" s="118">
        <v>47</v>
      </c>
      <c r="Q2" s="102">
        <v>56500</v>
      </c>
    </row>
    <row r="3" spans="1:17" x14ac:dyDescent="0.4">
      <c r="A3" s="55" t="s">
        <v>8</v>
      </c>
      <c r="B3" s="148">
        <v>381</v>
      </c>
      <c r="C3" s="149"/>
      <c r="E3" s="63" t="s">
        <v>66</v>
      </c>
      <c r="F3" s="60" t="s">
        <v>22</v>
      </c>
      <c r="G3" s="47">
        <v>14</v>
      </c>
      <c r="H3" s="133">
        <f>IF(B$17=0,0,G3/B$17)</f>
        <v>0.125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537.77777777777783</v>
      </c>
      <c r="P3" s="119">
        <v>45</v>
      </c>
      <c r="Q3" s="103">
        <v>24200</v>
      </c>
    </row>
    <row r="4" spans="1:17" x14ac:dyDescent="0.4">
      <c r="A4" s="55" t="s">
        <v>6</v>
      </c>
      <c r="B4" s="150">
        <v>71.099999999999994</v>
      </c>
      <c r="C4" s="151"/>
      <c r="E4" s="63" t="s">
        <v>67</v>
      </c>
      <c r="F4" s="60" t="s">
        <v>23</v>
      </c>
      <c r="G4" s="47">
        <v>61</v>
      </c>
      <c r="H4" s="133">
        <f>IF(B$17=0,0,G4/B$17)</f>
        <v>0.5446428571428571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-1153.6585365853659</v>
      </c>
      <c r="P4" s="119">
        <v>41</v>
      </c>
      <c r="Q4" s="103">
        <v>-47300</v>
      </c>
    </row>
    <row r="5" spans="1:17" x14ac:dyDescent="0.4">
      <c r="A5" s="55" t="s">
        <v>7</v>
      </c>
      <c r="B5" s="152">
        <f>IF(B$2=0,0,B$4/B$2)</f>
        <v>1.5127659574468084</v>
      </c>
      <c r="C5" s="153"/>
      <c r="E5" s="63" t="s">
        <v>68</v>
      </c>
      <c r="F5" s="60" t="s">
        <v>24</v>
      </c>
      <c r="G5" s="47">
        <v>39</v>
      </c>
      <c r="H5" s="133">
        <f>IF(B$17=0,0,G5/B$17)</f>
        <v>0.3482142857142857</v>
      </c>
      <c r="I5" s="94">
        <v>6</v>
      </c>
      <c r="K5" s="38">
        <v>3</v>
      </c>
      <c r="L5" s="99">
        <v>-10</v>
      </c>
      <c r="N5" s="115" t="s">
        <v>135</v>
      </c>
      <c r="O5" s="122">
        <f t="shared" si="0"/>
        <v>1572.5</v>
      </c>
      <c r="P5" s="119">
        <v>40</v>
      </c>
      <c r="Q5" s="103">
        <v>62900</v>
      </c>
    </row>
    <row r="6" spans="1:17" x14ac:dyDescent="0.4">
      <c r="A6" s="55" t="s">
        <v>1</v>
      </c>
      <c r="B6" s="142">
        <f>IF(B$2=0,0,(B$7*1+B$8*2+B$9*3)/B$2)</f>
        <v>1.9361702127659575</v>
      </c>
      <c r="C6" s="143"/>
      <c r="E6" s="63" t="s">
        <v>69</v>
      </c>
      <c r="F6" s="60" t="s">
        <v>12</v>
      </c>
      <c r="G6" s="47">
        <v>33</v>
      </c>
      <c r="H6" s="133">
        <f>IF(B$17=0,0,G6/B$17)</f>
        <v>0.29464285714285715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-1572.2222222222222</v>
      </c>
      <c r="P6" s="119">
        <v>36</v>
      </c>
      <c r="Q6" s="103">
        <v>-56600</v>
      </c>
    </row>
    <row r="7" spans="1:17" x14ac:dyDescent="0.4">
      <c r="A7" s="55" t="s">
        <v>2</v>
      </c>
      <c r="B7" s="47">
        <v>18</v>
      </c>
      <c r="C7" s="39">
        <f>IF(B$2=0,0,B7/B$2)</f>
        <v>0.38297872340425532</v>
      </c>
      <c r="E7" s="63" t="s">
        <v>70</v>
      </c>
      <c r="F7" s="60" t="s">
        <v>25</v>
      </c>
      <c r="G7" s="47">
        <v>18</v>
      </c>
      <c r="H7" s="133">
        <f>IF(B$17=0,0,G7/B$17)</f>
        <v>0.16071428571428573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320</v>
      </c>
      <c r="P7" s="120">
        <v>30</v>
      </c>
      <c r="Q7" s="104">
        <v>9600</v>
      </c>
    </row>
    <row r="8" spans="1:17" x14ac:dyDescent="0.4">
      <c r="A8" s="55" t="s">
        <v>3</v>
      </c>
      <c r="B8" s="47">
        <v>14</v>
      </c>
      <c r="C8" s="39">
        <f>IF(B$2=0,0,B8/B$2)</f>
        <v>0.2978723404255319</v>
      </c>
      <c r="E8" s="63" t="s">
        <v>71</v>
      </c>
      <c r="F8" s="60" t="s">
        <v>26</v>
      </c>
      <c r="G8" s="47">
        <v>8</v>
      </c>
      <c r="H8" s="133">
        <f>IF(B$17=0,0,G8/B$17)</f>
        <v>7.1428571428571425E-2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0.31914893617021278</v>
      </c>
      <c r="E9" s="63" t="s">
        <v>72</v>
      </c>
      <c r="F9" s="60" t="s">
        <v>27</v>
      </c>
      <c r="G9" s="47">
        <v>5</v>
      </c>
      <c r="H9" s="133">
        <f>IF(B$17=0,0,G9/B$17)</f>
        <v>4.4642857142857144E-2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0.1702127659574468</v>
      </c>
      <c r="E10" s="63" t="s">
        <v>73</v>
      </c>
      <c r="F10" s="60" t="s">
        <v>28</v>
      </c>
      <c r="G10" s="47">
        <v>52</v>
      </c>
      <c r="H10" s="133">
        <f>IF(B$17=0,0,G10/B$17)</f>
        <v>0.4642857142857143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1.5999999999999992</v>
      </c>
      <c r="P10" s="118">
        <v>13</v>
      </c>
      <c r="Q10" s="106">
        <v>20.79999999999999</v>
      </c>
    </row>
    <row r="11" spans="1:17" x14ac:dyDescent="0.4">
      <c r="A11" s="56" t="s">
        <v>140</v>
      </c>
      <c r="B11" s="48">
        <v>5</v>
      </c>
      <c r="C11" s="40">
        <f>IF(B$2=0,0,B11/B$2)</f>
        <v>0.10638297872340426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5.6888888888888882</v>
      </c>
      <c r="P11" s="119">
        <v>18</v>
      </c>
      <c r="Q11" s="107">
        <v>102.39999999999999</v>
      </c>
    </row>
    <row r="12" spans="1:17" x14ac:dyDescent="0.4">
      <c r="A12" s="57" t="s">
        <v>160</v>
      </c>
      <c r="B12" s="49">
        <v>5</v>
      </c>
      <c r="C12" s="42">
        <f>IF(B$2=0,0,B12/B$2)</f>
        <v>0.10638297872340426</v>
      </c>
      <c r="E12" s="63" t="s">
        <v>75</v>
      </c>
      <c r="F12" s="60" t="s">
        <v>30</v>
      </c>
      <c r="G12" s="47">
        <v>1</v>
      </c>
      <c r="H12" s="133">
        <f>IF(B$17=0,0,G12/B$17)</f>
        <v>8.9285714285714281E-3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-3.2562499999999996</v>
      </c>
      <c r="P12" s="120">
        <v>16</v>
      </c>
      <c r="Q12" s="108">
        <v>-52.099999999999994</v>
      </c>
    </row>
    <row r="13" spans="1:17" x14ac:dyDescent="0.4">
      <c r="A13" s="58" t="s">
        <v>122</v>
      </c>
      <c r="B13" s="50">
        <v>99</v>
      </c>
      <c r="C13" s="44">
        <f>IF(B$3=0,0,B13/B$3)</f>
        <v>0.25984251968503935</v>
      </c>
      <c r="E13" s="63" t="s">
        <v>76</v>
      </c>
      <c r="F13" s="60" t="s">
        <v>31</v>
      </c>
      <c r="G13" s="47">
        <v>1</v>
      </c>
      <c r="H13" s="133">
        <f>IF(B$17=0,0,G13/B$17)</f>
        <v>8.9285714285714281E-3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</v>
      </c>
      <c r="C14" s="39">
        <f>IF(B$3=0,0,B14/B$3)</f>
        <v>0.19160104986876642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0.35616438356164382</v>
      </c>
      <c r="E16" s="63" t="s">
        <v>79</v>
      </c>
      <c r="F16" s="60" t="s">
        <v>34</v>
      </c>
      <c r="G16" s="47">
        <v>5</v>
      </c>
      <c r="H16" s="133">
        <f>IF(B$17=0,0,G16/B$17)</f>
        <v>4.4642857142857144E-2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 t="shared" si="2"/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112</v>
      </c>
      <c r="C17" s="37">
        <f>IF(B$3=0,0,B17/B$3)</f>
        <v>0.29396325459317585</v>
      </c>
      <c r="E17" s="63" t="s">
        <v>80</v>
      </c>
      <c r="F17" s="60" t="s">
        <v>35</v>
      </c>
      <c r="G17" s="47">
        <v>2</v>
      </c>
      <c r="H17" s="133">
        <f>IF(B$17=0,0,G17/B$17)</f>
        <v>1.7857142857142856E-2</v>
      </c>
      <c r="I17" s="94">
        <v>3</v>
      </c>
      <c r="K17" s="38">
        <v>15</v>
      </c>
      <c r="L17" s="99">
        <v>-146.19999999999999</v>
      </c>
      <c r="N17" s="115" t="s">
        <v>186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47</v>
      </c>
      <c r="C18" s="39">
        <f>IF(B$17=0,0,B18/B$17)</f>
        <v>0.41964285714285715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10.631818181818183</v>
      </c>
      <c r="P18" s="119">
        <v>22</v>
      </c>
      <c r="Q18" s="107">
        <v>233.9</v>
      </c>
    </row>
    <row r="19" spans="1:17" x14ac:dyDescent="0.4">
      <c r="A19" s="55" t="s">
        <v>11</v>
      </c>
      <c r="B19" s="47">
        <v>65</v>
      </c>
      <c r="C19" s="39">
        <f>IF(B$17=0,0,B19/B$17)</f>
        <v>0.5803571428571429</v>
      </c>
      <c r="E19" s="63" t="s">
        <v>82</v>
      </c>
      <c r="F19" s="60" t="s">
        <v>37</v>
      </c>
      <c r="G19" s="47">
        <v>3</v>
      </c>
      <c r="H19" s="133">
        <f>IF(B$17=0,0,G19/B$17)</f>
        <v>2.6785714285714284E-2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61</v>
      </c>
      <c r="C20" s="39">
        <f>IF(B$3=0,0,B20/B$3)</f>
        <v>0.16010498687664043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4.4153846153846121</v>
      </c>
      <c r="P20" s="119">
        <v>13</v>
      </c>
      <c r="Q20" s="107">
        <v>57.399999999999963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5</v>
      </c>
      <c r="H21" s="133">
        <f>IF(B$17=0,0,G21/B$17)</f>
        <v>4.4642857142857144E-2</v>
      </c>
      <c r="I21" s="94">
        <v>6</v>
      </c>
      <c r="K21" s="38">
        <v>19</v>
      </c>
      <c r="L21" s="99">
        <v>-235.6</v>
      </c>
      <c r="N21" s="115" t="s">
        <v>172</v>
      </c>
      <c r="O21" s="125">
        <f t="shared" si="2"/>
        <v>-7.730000000000004</v>
      </c>
      <c r="P21" s="119">
        <v>10</v>
      </c>
      <c r="Q21" s="107">
        <v>-77.30000000000004</v>
      </c>
    </row>
    <row r="22" spans="1:17" x14ac:dyDescent="0.4">
      <c r="A22" s="55" t="s">
        <v>194</v>
      </c>
      <c r="B22" s="47">
        <v>22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-29.850000000000005</v>
      </c>
      <c r="P22" s="119">
        <v>20</v>
      </c>
      <c r="Q22" s="107">
        <v>-597.00000000000011</v>
      </c>
    </row>
    <row r="23" spans="1:17" x14ac:dyDescent="0.4">
      <c r="A23" s="55" t="s">
        <v>5</v>
      </c>
      <c r="B23" s="51">
        <f>IF(B$17=0,0,C23/B$17)</f>
        <v>8838.3928571428569</v>
      </c>
      <c r="C23" s="41">
        <v>989900</v>
      </c>
      <c r="E23" s="63" t="s">
        <v>86</v>
      </c>
      <c r="F23" s="60" t="s">
        <v>41</v>
      </c>
      <c r="G23" s="47">
        <v>2</v>
      </c>
      <c r="H23" s="133">
        <f>IF(B$17=0,0,G23/B$17)</f>
        <v>1.7857142857142856E-2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-7621.311475409836</v>
      </c>
      <c r="C24" s="45">
        <v>-464900</v>
      </c>
      <c r="E24" s="63" t="s">
        <v>87</v>
      </c>
      <c r="F24" s="60" t="s">
        <v>42</v>
      </c>
      <c r="G24" s="47">
        <v>2</v>
      </c>
      <c r="H24" s="133">
        <f>IF(B$17=0,0,G24/B$17)</f>
        <v>1.7857142857142856E-2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7.874015748031496E-3</v>
      </c>
      <c r="E27" s="63" t="s">
        <v>90</v>
      </c>
      <c r="F27" s="60" t="s">
        <v>45</v>
      </c>
      <c r="G27" s="47">
        <v>13</v>
      </c>
      <c r="H27" s="133">
        <f>IF(B$17=0,0,G27/B$17)</f>
        <v>0.11607142857142858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8.9285714285714281E-3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4.4642857142857144E-2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8.9285714285714281E-3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8.9285714285714281E-3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12" x14ac:dyDescent="0.4">
      <c r="E51" s="64" t="s">
        <v>181</v>
      </c>
      <c r="F51" s="61" t="s">
        <v>182</v>
      </c>
      <c r="G51" s="49">
        <v>47</v>
      </c>
      <c r="H51" s="134">
        <f>IF(B$17=0,0,G51/B$17)</f>
        <v>0.41964285714285715</v>
      </c>
      <c r="I51" s="95">
        <v>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C7C3-9624-41CA-8645-C823EEAEDF0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77EE8-AF3A-480B-A62F-DA784E761B62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6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FA9AF-16F8-4BBF-89F8-E69A75F604F1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1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4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B973-011A-4428-B1F2-AC68ABE15893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E32C9-A4A1-46D8-BCFE-4929E709E70D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</v>
      </c>
      <c r="C2" s="147"/>
      <c r="E2" s="62" t="s">
        <v>73</v>
      </c>
      <c r="F2" s="59" t="s">
        <v>28</v>
      </c>
      <c r="G2" s="46">
        <v>5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48">
        <v>17</v>
      </c>
      <c r="C3" s="149"/>
      <c r="E3" s="63" t="s">
        <v>67</v>
      </c>
      <c r="F3" s="60" t="s">
        <v>23</v>
      </c>
      <c r="G3" s="47">
        <v>4</v>
      </c>
      <c r="H3" s="133">
        <f>IF(B$17=0,0,G3/B$17)</f>
        <v>0.8</v>
      </c>
      <c r="I3" s="94">
        <v>5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0">
        <v>-24.7</v>
      </c>
      <c r="C4" s="151"/>
      <c r="E4" s="63" t="s">
        <v>65</v>
      </c>
      <c r="F4" s="60" t="s">
        <v>21</v>
      </c>
      <c r="G4" s="47">
        <v>3</v>
      </c>
      <c r="H4" s="133">
        <f>IF(B$17=0,0,G4/B$17)</f>
        <v>0.6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2">
        <f>IF(B$2=0,0,B$4/B$2)</f>
        <v>-12.35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2.5</v>
      </c>
      <c r="C6" s="143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2</v>
      </c>
      <c r="H7" s="133">
        <f>IF(B$17=0,0,G7/B$17)</f>
        <v>0.4</v>
      </c>
      <c r="I7" s="94">
        <v>1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79</v>
      </c>
      <c r="F8" s="60" t="s">
        <v>34</v>
      </c>
      <c r="G8" s="47">
        <v>1</v>
      </c>
      <c r="H8" s="133">
        <f>IF(B$17=0,0,G8/B$17)</f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84</v>
      </c>
      <c r="F9" s="60" t="s">
        <v>39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181</v>
      </c>
      <c r="F10" s="60" t="s">
        <v>182</v>
      </c>
      <c r="G10" s="47">
        <v>1</v>
      </c>
      <c r="H10" s="133">
        <f>IF(B$17=0,0,G10/B$17)</f>
        <v>0.2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70</v>
      </c>
      <c r="F12" s="60" t="s">
        <v>25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8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6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8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</row>
    <row r="21" spans="1:17" x14ac:dyDescent="0.4">
      <c r="A21" s="55" t="s">
        <v>193</v>
      </c>
      <c r="B21" s="47">
        <v>1</v>
      </c>
      <c r="C21" s="135">
        <v>1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7</v>
      </c>
      <c r="C22" s="135">
        <v>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47300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90463-E9D4-4F54-B586-E4B426072385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BC944-47BA-4346-B964-30BC2BE8F181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447DE-E6BE-41F4-B1A4-C48C4100B371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66B0C-D27F-4F50-A79C-9D446360AC94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30BF0-A030-447F-8EB7-62E22A795A0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5A80-C2DB-4B73-89C9-6D1ED061EA8C}">
  <sheetPr codeName="Sheet20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0D0BA-9D02-4A98-9B14-A28D91D9D786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1A8D-3CA3-4084-A762-9E13F4878089}">
  <sheetPr codeName="Sheet16"/>
  <dimension ref="A1:Q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B78AC-2ABB-42B1-ACE0-8D066F7B562A}">
  <sheetPr codeName="Sheet14"/>
  <dimension ref="A1:Q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1373-4BCA-45A0-9AE6-F03DDA15F41B}">
  <sheetPr codeName="Sheet12"/>
  <dimension ref="A1:Q7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22FB-3CE2-49D5-88E2-5076225D124B}">
  <sheetPr codeName="Sheet10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A857-042E-4367-8664-591F8300E266}">
  <sheetPr codeName="Sheet8"/>
  <dimension ref="A1:Q1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82B1D-4505-4407-B9E5-483651E2F222}">
  <sheetPr codeName="Sheet6"/>
  <dimension ref="A1:Q1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2019-05-28T07:04:38Z</dcterms:modified>
</cp:coreProperties>
</file>