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D386F37-9BDE-4E62-A977-AC8564477AD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8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6" i="4985" l="1"/>
  <c r="O15" i="4981"/>
  <c r="O20" i="4989"/>
  <c r="O19" i="4989"/>
  <c r="O17" i="4977" l="1"/>
  <c r="O17" i="4993"/>
  <c r="O16" i="4993" l="1"/>
  <c r="O15" i="4993"/>
  <c r="O16" i="4983"/>
  <c r="O20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2" i="4989"/>
  <c r="O21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18" i="4979"/>
  <c r="O17" i="4985" l="1"/>
  <c r="O17" i="4983"/>
  <c r="O19" i="4987"/>
  <c r="O17" i="4987"/>
  <c r="O15" i="4985" l="1"/>
  <c r="O15" i="4983"/>
  <c r="O19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19" i="4983"/>
  <c r="O19" i="4979"/>
  <c r="O18" i="4975"/>
  <c r="H3" i="4989" l="1"/>
  <c r="H4" i="4989"/>
  <c r="H40" i="4989"/>
  <c r="H16" i="4989"/>
  <c r="H2" i="4989"/>
  <c r="H7" i="4989"/>
  <c r="H26" i="4989"/>
  <c r="H32" i="4989"/>
  <c r="H48" i="4989"/>
  <c r="C17" i="4989"/>
  <c r="H10" i="4989"/>
  <c r="H44" i="4989"/>
  <c r="H8" i="4989"/>
  <c r="H6" i="4989"/>
  <c r="H12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5" i="4989"/>
  <c r="H29" i="4989"/>
  <c r="H11" i="4989"/>
  <c r="H34" i="4989"/>
  <c r="H38" i="4989"/>
  <c r="H42" i="4989"/>
  <c r="H46" i="4989"/>
  <c r="H50" i="4989"/>
  <c r="H13" i="4989"/>
  <c r="H20" i="4989"/>
  <c r="C19" i="4989"/>
  <c r="H14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19" i="4985"/>
  <c r="O17" i="4979"/>
  <c r="O20" i="4979"/>
  <c r="O20" i="4983"/>
  <c r="O20" i="4985"/>
  <c r="O21" i="4985"/>
  <c r="C27" i="4985"/>
  <c r="B24" i="4985"/>
  <c r="C20" i="4985"/>
  <c r="B17" i="4985"/>
  <c r="H4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2" i="4977"/>
  <c r="O21" i="4975"/>
  <c r="O19" i="4975"/>
  <c r="H4" i="4987" l="1"/>
  <c r="H8" i="4987"/>
  <c r="H2" i="4987"/>
  <c r="H3" i="4987"/>
  <c r="H19" i="4985"/>
  <c r="H22" i="4985"/>
  <c r="H7" i="4985"/>
  <c r="H9" i="4985"/>
  <c r="H2" i="4985"/>
  <c r="H8" i="4985"/>
  <c r="H5" i="4985"/>
  <c r="H16" i="4985"/>
  <c r="H2" i="4983"/>
  <c r="H4" i="4983"/>
  <c r="H3" i="4983"/>
  <c r="H11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10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1" i="4985"/>
  <c r="H32" i="4985"/>
  <c r="H36" i="4985"/>
  <c r="H40" i="4985"/>
  <c r="H44" i="4985"/>
  <c r="H48" i="4985"/>
  <c r="H7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9" i="4983"/>
  <c r="H36" i="4983"/>
  <c r="H40" i="4983"/>
  <c r="H44" i="4983"/>
  <c r="H48" i="4983"/>
  <c r="H17" i="4983"/>
  <c r="H9" i="4983"/>
  <c r="H6" i="4983"/>
  <c r="H12" i="4983"/>
  <c r="H21" i="4983"/>
  <c r="H24" i="4983"/>
  <c r="H18" i="4983"/>
  <c r="H27" i="4983"/>
  <c r="H13" i="4983"/>
  <c r="H10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6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2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1" i="4979"/>
  <c r="H27" i="4979"/>
  <c r="H23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0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9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7" i="4977"/>
  <c r="H27" i="4977"/>
  <c r="H39" i="4977"/>
  <c r="H43" i="4977"/>
  <c r="H47" i="4977"/>
  <c r="H51" i="4977"/>
  <c r="H25" i="4977"/>
  <c r="H36" i="4977"/>
  <c r="H40" i="4977"/>
  <c r="H44" i="4977"/>
  <c r="H48" i="4977"/>
  <c r="H18" i="4977"/>
  <c r="H22" i="4977"/>
  <c r="H15" i="4977"/>
  <c r="H32" i="4977"/>
  <c r="H12" i="4977"/>
  <c r="H8" i="4977"/>
  <c r="H26" i="4977"/>
  <c r="H37" i="4977"/>
  <c r="H41" i="4977"/>
  <c r="H45" i="4977"/>
  <c r="H49" i="4977"/>
  <c r="H2" i="4975"/>
  <c r="H3" i="4975"/>
  <c r="C17" i="4975"/>
  <c r="H14" i="4975"/>
  <c r="H10" i="4975"/>
  <c r="H7" i="4975"/>
  <c r="H13" i="4975"/>
  <c r="H23" i="4975"/>
  <c r="C18" i="4975"/>
  <c r="H8" i="4975"/>
  <c r="H19" i="4975"/>
  <c r="H24" i="4975"/>
  <c r="H6" i="4975"/>
  <c r="H21" i="4975"/>
  <c r="H32" i="4975"/>
  <c r="H17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6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<sst xmlns="http://schemas.openxmlformats.org/spreadsheetml/2006/main" count="2678" uniqueCount="208">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</sst>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-18.518518518518519</c:v>
                </c:pt>
                <c:pt idx="1">
                  <c:v>-11.235955056179776</c:v>
                </c:pt>
                <c:pt idx="2">
                  <c:v>16.064257028112451</c:v>
                </c:pt>
                <c:pt idx="3">
                  <c:v>13.333333333333334</c:v>
                </c:pt>
                <c:pt idx="4">
                  <c:v>-24.154589371980677</c:v>
                </c:pt>
                <c:pt idx="5">
                  <c:v>30.76923076923077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だいち!$L$2:$L$65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3355.5555555555557</c:v>
                </c:pt>
                <c:pt idx="1">
                  <c:v>3511.2903225806454</c:v>
                </c:pt>
                <c:pt idx="2">
                  <c:v>3094.8275862068967</c:v>
                </c:pt>
                <c:pt idx="3">
                  <c:v>5952.9411764705883</c:v>
                </c:pt>
                <c:pt idx="4">
                  <c:v>1089.1304347826087</c:v>
                </c:pt>
                <c:pt idx="5">
                  <c:v>1088.3720930232557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920.3125</c:v>
                </c:pt>
                <c:pt idx="1">
                  <c:v>-1447.6190476190477</c:v>
                </c:pt>
                <c:pt idx="2">
                  <c:v>-1926.2295081967213</c:v>
                </c:pt>
                <c:pt idx="3">
                  <c:v>285.18518518518516</c:v>
                </c:pt>
                <c:pt idx="4">
                  <c:v>1014</c:v>
                </c:pt>
                <c:pt idx="5">
                  <c:v>476.59574468085106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-205.55555555555554</c:v>
                </c:pt>
                <c:pt idx="1">
                  <c:v>852.77777777777783</c:v>
                </c:pt>
                <c:pt idx="2">
                  <c:v>1055.8823529411766</c:v>
                </c:pt>
                <c:pt idx="3">
                  <c:v>-2183.8709677419356</c:v>
                </c:pt>
                <c:pt idx="4">
                  <c:v>-913.79310344827582</c:v>
                </c:pt>
                <c:pt idx="5">
                  <c:v>455.55555555555554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792.85714285714289</c:v>
                </c:pt>
                <c:pt idx="1">
                  <c:v>996.42857142857144</c:v>
                </c:pt>
                <c:pt idx="2">
                  <c:v>1920.8333333333333</c:v>
                </c:pt>
                <c:pt idx="3">
                  <c:v>-18.181818181818183</c:v>
                </c:pt>
                <c:pt idx="4">
                  <c:v>-3804.7619047619046</c:v>
                </c:pt>
                <c:pt idx="5">
                  <c:v>-1142.1052631578948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45045045045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87387387387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6.7766116941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05.6994818652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216216216216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72072072072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7938144329896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755102040816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29385307346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10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10" x14ac:dyDescent="0.4">
      <c r="A19" s="30" t="s">
        <v>205</v>
      </c>
      <c r="B19" s="31">
        <v>43575.082013888888</v>
      </c>
      <c r="C19" s="30" t="s">
        <v>130</v>
      </c>
      <c r="D19" s="30" t="s">
        <v>131</v>
      </c>
      <c r="E19" s="30" t="s">
        <v>170</v>
      </c>
    </row>
    <row r="20" spans="1:10" x14ac:dyDescent="0.4">
      <c r="A20" s="30" t="s">
        <v>206</v>
      </c>
      <c r="B20" s="31">
        <v>43576.05164351852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  <row r="21" spans="1:10" x14ac:dyDescent="0.4">
      <c r="A21" s="30" t="s">
        <v>207</v>
      </c>
      <c r="B21" s="31">
        <v>43577.022303240738</v>
      </c>
      <c r="C21" s="30" t="s">
        <v>130</v>
      </c>
      <c r="D21" s="30" t="s">
        <v>131</v>
      </c>
      <c r="E21" s="30" t="s">
        <v>170</v>
      </c>
      <c r="F21" s="30" t="s">
        <v>175</v>
      </c>
      <c r="G21" s="30" t="s">
        <v>176</v>
      </c>
      <c r="H21" s="30" t="s">
        <v>188</v>
      </c>
      <c r="I21" s="30" t="s">
        <v>189</v>
      </c>
      <c r="J21" s="30" t="s">
        <v>190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  <c r="AJ1" s="156" t="s">
        <v>163</v>
      </c>
      <c r="AK1" s="157"/>
    </row>
    <row r="2" spans="1:37" x14ac:dyDescent="0.4">
      <c r="A2" s="72" t="s">
        <v>161</v>
      </c>
      <c r="B2" s="158"/>
      <c r="C2" s="159"/>
      <c r="D2" s="158"/>
      <c r="E2" s="159"/>
      <c r="F2" s="160">
        <v>0.7312373363537793</v>
      </c>
      <c r="G2" s="161"/>
      <c r="H2" s="160">
        <v>0.70886980563102819</v>
      </c>
      <c r="I2" s="161"/>
      <c r="J2" s="160">
        <v>0.68726012250858526</v>
      </c>
      <c r="K2" s="161"/>
      <c r="L2" s="160">
        <v>0.64962810167092866</v>
      </c>
      <c r="M2" s="161"/>
      <c r="N2" s="160">
        <v>0.44144832064004497</v>
      </c>
      <c r="O2" s="161"/>
      <c r="P2" s="160">
        <v>0.86462459321423168</v>
      </c>
      <c r="Q2" s="161"/>
      <c r="R2" s="160">
        <v>0.13891165150693671</v>
      </c>
      <c r="S2" s="161"/>
      <c r="T2" s="160">
        <v>0.48246640759488774</v>
      </c>
      <c r="U2" s="161"/>
      <c r="V2" s="160">
        <v>0.84382716793570156</v>
      </c>
      <c r="W2" s="161"/>
      <c r="X2" s="160">
        <v>0.98517983420395938</v>
      </c>
      <c r="Y2" s="161"/>
      <c r="Z2" s="160">
        <v>-0.18763784093885666</v>
      </c>
      <c r="AA2" s="161"/>
      <c r="AB2" s="160">
        <v>0.66865600390239421</v>
      </c>
      <c r="AC2" s="161"/>
      <c r="AD2" s="160">
        <v>0.46967385307765958</v>
      </c>
      <c r="AE2" s="161"/>
      <c r="AF2" s="160">
        <v>-0.15304471521814611</v>
      </c>
      <c r="AG2" s="161"/>
      <c r="AH2" s="160">
        <v>0.72311742488419717</v>
      </c>
      <c r="AI2" s="161"/>
      <c r="AJ2" s="160">
        <v>-6.5392642174551874E-2</v>
      </c>
      <c r="AK2" s="161"/>
    </row>
    <row r="3" spans="1:37" x14ac:dyDescent="0.4">
      <c r="A3" s="74">
        <v>1</v>
      </c>
      <c r="B3" s="75" t="s">
        <v>127</v>
      </c>
      <c r="C3" s="76">
        <v>1654.1000000000004</v>
      </c>
      <c r="D3" s="77" t="s">
        <v>127</v>
      </c>
      <c r="E3" s="98">
        <v>26.25555555555556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0.4088176352705411</v>
      </c>
      <c r="N3" s="77" t="s">
        <v>186</v>
      </c>
      <c r="O3" s="80">
        <v>0.10526315789473684</v>
      </c>
      <c r="P3" s="77" t="s">
        <v>203</v>
      </c>
      <c r="Q3" s="81">
        <v>9555.5555555555547</v>
      </c>
      <c r="R3" s="77" t="s">
        <v>186</v>
      </c>
      <c r="S3" s="81">
        <v>-5150</v>
      </c>
      <c r="T3" s="77" t="s">
        <v>186</v>
      </c>
      <c r="U3" s="79">
        <v>0</v>
      </c>
      <c r="V3" s="77" t="s">
        <v>127</v>
      </c>
      <c r="W3" s="79">
        <v>0.22222222222222221</v>
      </c>
      <c r="X3" s="77" t="s">
        <v>127</v>
      </c>
      <c r="Y3" s="80">
        <v>0.33466933867735471</v>
      </c>
      <c r="Z3" s="77" t="s">
        <v>173</v>
      </c>
      <c r="AA3" s="80">
        <v>0.33476394849785407</v>
      </c>
      <c r="AB3" s="77" t="s">
        <v>187</v>
      </c>
      <c r="AC3" s="80">
        <v>0.7142857142857143</v>
      </c>
      <c r="AD3" s="77" t="s">
        <v>127</v>
      </c>
      <c r="AE3" s="80">
        <v>0.55000000000000004</v>
      </c>
      <c r="AF3" s="77" t="s">
        <v>203</v>
      </c>
      <c r="AG3" s="80">
        <v>0.66666666666666663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1.4920634920634921</v>
      </c>
      <c r="H4" s="86" t="s">
        <v>127</v>
      </c>
      <c r="I4" s="88">
        <v>0.63492063492063489</v>
      </c>
      <c r="J4" s="86" t="s">
        <v>203</v>
      </c>
      <c r="K4" s="88">
        <v>0</v>
      </c>
      <c r="L4" s="86" t="s">
        <v>173</v>
      </c>
      <c r="M4" s="89">
        <v>0.34334763948497854</v>
      </c>
      <c r="N4" s="86" t="s">
        <v>127</v>
      </c>
      <c r="O4" s="89">
        <v>0.13827655310621242</v>
      </c>
      <c r="P4" s="86" t="s">
        <v>127</v>
      </c>
      <c r="Q4" s="90">
        <v>9479.4117647058829</v>
      </c>
      <c r="R4" s="86" t="s">
        <v>203</v>
      </c>
      <c r="S4" s="90">
        <v>-5866.666666666667</v>
      </c>
      <c r="T4" s="86" t="s">
        <v>203</v>
      </c>
      <c r="U4" s="88">
        <v>0</v>
      </c>
      <c r="V4" s="86" t="s">
        <v>172</v>
      </c>
      <c r="W4" s="88">
        <v>0.1111111111111111</v>
      </c>
      <c r="X4" s="86" t="s">
        <v>203</v>
      </c>
      <c r="Y4" s="89">
        <v>0.30555555555555558</v>
      </c>
      <c r="Z4" s="86" t="s">
        <v>178</v>
      </c>
      <c r="AA4" s="89">
        <v>0.29203539823008851</v>
      </c>
      <c r="AB4" s="86" t="s">
        <v>127</v>
      </c>
      <c r="AC4" s="89">
        <v>0.6347305389221557</v>
      </c>
      <c r="AD4" s="86" t="s">
        <v>186</v>
      </c>
      <c r="AE4" s="89">
        <v>0.5</v>
      </c>
      <c r="AF4" s="86" t="s">
        <v>129</v>
      </c>
      <c r="AG4" s="89">
        <v>0.51219512195121952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203</v>
      </c>
      <c r="C5" s="85">
        <v>19.399999999999995</v>
      </c>
      <c r="D5" s="86" t="s">
        <v>203</v>
      </c>
      <c r="E5" s="99">
        <v>4.8499999999999988</v>
      </c>
      <c r="F5" s="86" t="s">
        <v>203</v>
      </c>
      <c r="G5" s="87">
        <v>1.75</v>
      </c>
      <c r="H5" s="86" t="s">
        <v>178</v>
      </c>
      <c r="I5" s="88">
        <v>0.33333333333333331</v>
      </c>
      <c r="J5" s="86" t="s">
        <v>127</v>
      </c>
      <c r="K5" s="88">
        <v>0.12698412698412698</v>
      </c>
      <c r="L5" s="86" t="s">
        <v>145</v>
      </c>
      <c r="M5" s="89">
        <v>0.30045045045045043</v>
      </c>
      <c r="N5" s="86" t="s">
        <v>173</v>
      </c>
      <c r="O5" s="89">
        <v>0.14592274678111589</v>
      </c>
      <c r="P5" s="86" t="s">
        <v>128</v>
      </c>
      <c r="Q5" s="90">
        <v>8917.2185430463578</v>
      </c>
      <c r="R5" s="86" t="s">
        <v>172</v>
      </c>
      <c r="S5" s="90">
        <v>-7222.4489795918371</v>
      </c>
      <c r="T5" s="86" t="s">
        <v>172</v>
      </c>
      <c r="U5" s="88">
        <v>2.7777777777777776E-2</v>
      </c>
      <c r="V5" s="86" t="s">
        <v>173</v>
      </c>
      <c r="W5" s="88">
        <v>0.10714285714285714</v>
      </c>
      <c r="X5" s="86" t="s">
        <v>128</v>
      </c>
      <c r="Y5" s="89">
        <v>0.27599243856332706</v>
      </c>
      <c r="Z5" s="86" t="s">
        <v>203</v>
      </c>
      <c r="AA5" s="89">
        <v>0.27777777777777779</v>
      </c>
      <c r="AB5" s="86" t="s">
        <v>128</v>
      </c>
      <c r="AC5" s="89">
        <v>0.63013698630136983</v>
      </c>
      <c r="AD5" s="86" t="s">
        <v>173</v>
      </c>
      <c r="AE5" s="89">
        <v>0.39743589743589741</v>
      </c>
      <c r="AF5" s="86" t="s">
        <v>174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173</v>
      </c>
      <c r="C6" s="85">
        <v>8.3000000000000043</v>
      </c>
      <c r="D6" s="86" t="s">
        <v>173</v>
      </c>
      <c r="E6" s="99">
        <v>0.2964285714285716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0.3125</v>
      </c>
      <c r="L6" s="86" t="s">
        <v>174</v>
      </c>
      <c r="M6" s="89">
        <v>0.28837209302325584</v>
      </c>
      <c r="N6" s="86" t="s">
        <v>172</v>
      </c>
      <c r="O6" s="89">
        <v>0.15960912052117263</v>
      </c>
      <c r="P6" s="86" t="s">
        <v>172</v>
      </c>
      <c r="Q6" s="90">
        <v>8487.8378378378384</v>
      </c>
      <c r="R6" s="86" t="s">
        <v>178</v>
      </c>
      <c r="S6" s="90">
        <v>-7250</v>
      </c>
      <c r="T6" s="86" t="s">
        <v>127</v>
      </c>
      <c r="U6" s="88">
        <v>3.1746031746031744E-2</v>
      </c>
      <c r="V6" s="86" t="s">
        <v>145</v>
      </c>
      <c r="W6" s="88">
        <v>0.1</v>
      </c>
      <c r="X6" s="86" t="s">
        <v>186</v>
      </c>
      <c r="Y6" s="89">
        <v>0.26315789473684209</v>
      </c>
      <c r="Z6" s="86" t="s">
        <v>127</v>
      </c>
      <c r="AA6" s="89">
        <v>0.24048096192384769</v>
      </c>
      <c r="AB6" s="86" t="s">
        <v>186</v>
      </c>
      <c r="AC6" s="89">
        <v>0.6</v>
      </c>
      <c r="AD6" s="86" t="s">
        <v>178</v>
      </c>
      <c r="AE6" s="89">
        <v>0.39393939393939392</v>
      </c>
      <c r="AF6" s="86" t="s">
        <v>187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145</v>
      </c>
      <c r="C7" s="85">
        <v>0</v>
      </c>
      <c r="D7" s="86" t="s">
        <v>145</v>
      </c>
      <c r="E7" s="99">
        <v>0</v>
      </c>
      <c r="F7" s="86" t="s">
        <v>128</v>
      </c>
      <c r="G7" s="87">
        <v>2.0625</v>
      </c>
      <c r="H7" s="86" t="s">
        <v>173</v>
      </c>
      <c r="I7" s="88">
        <v>0.2857142857142857</v>
      </c>
      <c r="J7" s="86" t="s">
        <v>145</v>
      </c>
      <c r="K7" s="88">
        <v>0.33333333333333331</v>
      </c>
      <c r="L7" s="86" t="s">
        <v>128</v>
      </c>
      <c r="M7" s="89">
        <v>0.28544423440453687</v>
      </c>
      <c r="N7" s="86" t="s">
        <v>203</v>
      </c>
      <c r="O7" s="89">
        <v>0.16666666666666666</v>
      </c>
      <c r="P7" s="86" t="s">
        <v>145</v>
      </c>
      <c r="Q7" s="90">
        <v>8346.776611694153</v>
      </c>
      <c r="R7" s="86" t="s">
        <v>128</v>
      </c>
      <c r="S7" s="90">
        <v>-7351.5789473684208</v>
      </c>
      <c r="T7" s="86" t="s">
        <v>173</v>
      </c>
      <c r="U7" s="88">
        <v>7.1428571428571425E-2</v>
      </c>
      <c r="V7" s="86" t="s">
        <v>128</v>
      </c>
      <c r="W7" s="88">
        <v>7.8125E-2</v>
      </c>
      <c r="X7" s="86" t="s">
        <v>145</v>
      </c>
      <c r="Y7" s="89">
        <v>0.26216216216216215</v>
      </c>
      <c r="Z7" s="86" t="s">
        <v>187</v>
      </c>
      <c r="AA7" s="89">
        <v>0.22807017543859648</v>
      </c>
      <c r="AB7" s="86" t="s">
        <v>145</v>
      </c>
      <c r="AC7" s="89">
        <v>0.59793814432989689</v>
      </c>
      <c r="AD7" s="86" t="s">
        <v>187</v>
      </c>
      <c r="AE7" s="89">
        <v>0.38461538461538464</v>
      </c>
      <c r="AF7" s="86" t="s">
        <v>173</v>
      </c>
      <c r="AG7" s="89">
        <v>0.41249999999999998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172</v>
      </c>
      <c r="C8" s="85">
        <v>-130.69999999999999</v>
      </c>
      <c r="D8" s="86" t="s">
        <v>128</v>
      </c>
      <c r="E8" s="99">
        <v>-2.2078125000000006</v>
      </c>
      <c r="F8" s="86" t="s">
        <v>173</v>
      </c>
      <c r="G8" s="87">
        <v>2.0714285714285716</v>
      </c>
      <c r="H8" s="86" t="s">
        <v>128</v>
      </c>
      <c r="I8" s="88">
        <v>0.25</v>
      </c>
      <c r="J8" s="86" t="s">
        <v>173</v>
      </c>
      <c r="K8" s="88">
        <v>0.35714285714285715</v>
      </c>
      <c r="L8" s="86" t="s">
        <v>186</v>
      </c>
      <c r="M8" s="89">
        <v>0.26315789473684209</v>
      </c>
      <c r="N8" s="86" t="s">
        <v>145</v>
      </c>
      <c r="O8" s="89">
        <v>0.17387387387387387</v>
      </c>
      <c r="P8" s="86" t="s">
        <v>186</v>
      </c>
      <c r="Q8" s="90">
        <v>7860</v>
      </c>
      <c r="R8" s="86" t="s">
        <v>127</v>
      </c>
      <c r="S8" s="90">
        <v>-7488.405797101449</v>
      </c>
      <c r="T8" s="86" t="s">
        <v>145</v>
      </c>
      <c r="U8" s="88">
        <v>0.1</v>
      </c>
      <c r="V8" s="86" t="s">
        <v>174</v>
      </c>
      <c r="W8" s="88">
        <v>4.1666666666666664E-2</v>
      </c>
      <c r="X8" s="86" t="s">
        <v>129</v>
      </c>
      <c r="Y8" s="89">
        <v>0.24528301886792453</v>
      </c>
      <c r="Z8" s="86" t="s">
        <v>174</v>
      </c>
      <c r="AA8" s="89">
        <v>0.22790697674418606</v>
      </c>
      <c r="AB8" s="86" t="s">
        <v>173</v>
      </c>
      <c r="AC8" s="89">
        <v>0.57692307692307687</v>
      </c>
      <c r="AD8" s="86" t="s">
        <v>145</v>
      </c>
      <c r="AE8" s="89">
        <v>0.37755102040816324</v>
      </c>
      <c r="AF8" s="86" t="s">
        <v>145</v>
      </c>
      <c r="AG8" s="89">
        <v>0.41229385307346328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128</v>
      </c>
      <c r="C9" s="85">
        <v>-141.30000000000004</v>
      </c>
      <c r="D9" s="86" t="s">
        <v>172</v>
      </c>
      <c r="E9" s="99">
        <v>-3.6305555555555551</v>
      </c>
      <c r="F9" s="86" t="s">
        <v>178</v>
      </c>
      <c r="G9" s="87">
        <v>2.1333333333333333</v>
      </c>
      <c r="H9" s="86" t="s">
        <v>172</v>
      </c>
      <c r="I9" s="88">
        <v>0.25</v>
      </c>
      <c r="J9" s="86" t="s">
        <v>174</v>
      </c>
      <c r="K9" s="88">
        <v>0.375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7680.4878048780483</v>
      </c>
      <c r="R9" s="86" t="s">
        <v>145</v>
      </c>
      <c r="S9" s="90">
        <v>-8005.6994818652847</v>
      </c>
      <c r="T9" s="86" t="s">
        <v>128</v>
      </c>
      <c r="U9" s="88">
        <v>0.125</v>
      </c>
      <c r="V9" s="86" t="s">
        <v>129</v>
      </c>
      <c r="W9" s="88">
        <v>0</v>
      </c>
      <c r="X9" s="86" t="s">
        <v>172</v>
      </c>
      <c r="Y9" s="89">
        <v>0.24429967426710097</v>
      </c>
      <c r="Z9" s="86" t="s">
        <v>145</v>
      </c>
      <c r="AA9" s="89">
        <v>0.22072072072072071</v>
      </c>
      <c r="AB9" s="86" t="s">
        <v>172</v>
      </c>
      <c r="AC9" s="89">
        <v>0.57333333333333336</v>
      </c>
      <c r="AD9" s="86" t="s">
        <v>174</v>
      </c>
      <c r="AE9" s="89">
        <v>0.32653061224489793</v>
      </c>
      <c r="AF9" s="86" t="s">
        <v>128</v>
      </c>
      <c r="AG9" s="89">
        <v>0.39735099337748342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2.1388888888888888</v>
      </c>
      <c r="H10" s="86" t="s">
        <v>203</v>
      </c>
      <c r="I10" s="88">
        <v>0.25</v>
      </c>
      <c r="J10" s="86" t="s">
        <v>172</v>
      </c>
      <c r="K10" s="88">
        <v>0.3888888888888889</v>
      </c>
      <c r="L10" s="86" t="s">
        <v>203</v>
      </c>
      <c r="M10" s="89">
        <v>0.25</v>
      </c>
      <c r="N10" s="86" t="s">
        <v>128</v>
      </c>
      <c r="O10" s="89">
        <v>0.17958412098298676</v>
      </c>
      <c r="P10" s="86" t="s">
        <v>173</v>
      </c>
      <c r="Q10" s="90">
        <v>6993.75</v>
      </c>
      <c r="R10" s="86" t="s">
        <v>174</v>
      </c>
      <c r="S10" s="90">
        <v>-8182.9787234042551</v>
      </c>
      <c r="T10" s="86" t="s">
        <v>174</v>
      </c>
      <c r="U10" s="88">
        <v>0.125</v>
      </c>
      <c r="V10" s="86" t="s">
        <v>178</v>
      </c>
      <c r="W10" s="88">
        <v>0</v>
      </c>
      <c r="X10" s="86" t="s">
        <v>173</v>
      </c>
      <c r="Y10" s="89">
        <v>0.22317596566523606</v>
      </c>
      <c r="Z10" s="86" t="s">
        <v>186</v>
      </c>
      <c r="AA10" s="89">
        <v>0.21052631578947367</v>
      </c>
      <c r="AB10" s="86" t="s">
        <v>174</v>
      </c>
      <c r="AC10" s="89">
        <v>0.55319148936170215</v>
      </c>
      <c r="AD10" s="86" t="s">
        <v>172</v>
      </c>
      <c r="AE10" s="89">
        <v>0.30769230769230771</v>
      </c>
      <c r="AF10" s="86" t="s">
        <v>127</v>
      </c>
      <c r="AG10" s="89">
        <v>0.39215686274509803</v>
      </c>
      <c r="AH10" s="86" t="s">
        <v>203</v>
      </c>
      <c r="AI10" s="94">
        <v>54800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-11.995833333333332</v>
      </c>
      <c r="F11" s="86" t="s">
        <v>174</v>
      </c>
      <c r="G11" s="87">
        <v>2.1666666666666665</v>
      </c>
      <c r="H11" s="86" t="s">
        <v>174</v>
      </c>
      <c r="I11" s="88">
        <v>0.20833333333333334</v>
      </c>
      <c r="J11" s="86" t="s">
        <v>178</v>
      </c>
      <c r="K11" s="88">
        <v>0.46666666666666667</v>
      </c>
      <c r="L11" s="86" t="s">
        <v>172</v>
      </c>
      <c r="M11" s="89">
        <v>0.24104234527687296</v>
      </c>
      <c r="N11" s="86" t="s">
        <v>174</v>
      </c>
      <c r="O11" s="89">
        <v>0.21860465116279071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174</v>
      </c>
      <c r="Y11" s="89">
        <v>0.21860465116279071</v>
      </c>
      <c r="Z11" s="86" t="s">
        <v>128</v>
      </c>
      <c r="AA11" s="89">
        <v>0.19848771266540643</v>
      </c>
      <c r="AB11" s="86" t="s">
        <v>178</v>
      </c>
      <c r="AC11" s="89">
        <v>0.55000000000000004</v>
      </c>
      <c r="AD11" s="86" t="s">
        <v>203</v>
      </c>
      <c r="AE11" s="89">
        <v>0.3</v>
      </c>
      <c r="AF11" s="86" t="s">
        <v>178</v>
      </c>
      <c r="AG11" s="89">
        <v>0.37931034482758619</v>
      </c>
      <c r="AH11" s="86" t="s">
        <v>186</v>
      </c>
      <c r="AI11" s="94">
        <v>53500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-287.89999999999998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187</v>
      </c>
      <c r="I12" s="88">
        <v>0.14285714285714285</v>
      </c>
      <c r="J12" s="86" t="s">
        <v>129</v>
      </c>
      <c r="K12" s="88">
        <v>0.65384615384615385</v>
      </c>
      <c r="L12" s="86" t="s">
        <v>187</v>
      </c>
      <c r="M12" s="89">
        <v>0.21052631578947367</v>
      </c>
      <c r="N12" s="86" t="s">
        <v>129</v>
      </c>
      <c r="O12" s="89">
        <v>0.22641509433962265</v>
      </c>
      <c r="P12" s="86" t="s">
        <v>174</v>
      </c>
      <c r="Q12" s="90">
        <v>6398.3870967741932</v>
      </c>
      <c r="R12" s="86" t="s">
        <v>173</v>
      </c>
      <c r="S12" s="90">
        <v>-8932.3529411764703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0.16938110749185667</v>
      </c>
      <c r="AB12" s="86" t="s">
        <v>203</v>
      </c>
      <c r="AC12" s="89">
        <v>0.54545454545454541</v>
      </c>
      <c r="AD12" s="86" t="s">
        <v>128</v>
      </c>
      <c r="AE12" s="89">
        <v>0.27619047619047621</v>
      </c>
      <c r="AF12" s="86" t="s">
        <v>172</v>
      </c>
      <c r="AG12" s="89">
        <v>0.35135135135135137</v>
      </c>
      <c r="AH12" s="86" t="s">
        <v>129</v>
      </c>
      <c r="AI12" s="94">
        <v>52200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129</v>
      </c>
      <c r="I13" s="88">
        <v>0.11538461538461539</v>
      </c>
      <c r="J13" s="86" t="s">
        <v>187</v>
      </c>
      <c r="K13" s="88">
        <v>0.7142857142857143</v>
      </c>
      <c r="L13" s="86" t="s">
        <v>129</v>
      </c>
      <c r="M13" s="89">
        <v>0.19339622641509435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129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187</v>
      </c>
      <c r="AI13" s="94">
        <v>43600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270</v>
      </c>
      <c r="C2" s="149"/>
      <c r="E2" s="62" t="s">
        <v>67</v>
      </c>
      <c r="F2" s="59" t="s">
        <v>23</v>
      </c>
      <c r="G2" s="46">
        <v>489</v>
      </c>
      <c r="H2" s="134">
        <f>IF(B$17=0,0,G2/B$17)</f>
        <v>0.73313343328335834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-18.518518518518519</v>
      </c>
      <c r="P2" s="120">
        <v>270</v>
      </c>
      <c r="Q2" s="104">
        <v>-5000</v>
      </c>
    </row>
    <row r="3" spans="1:17" x14ac:dyDescent="0.4">
      <c r="A3" s="55" t="s">
        <v>8</v>
      </c>
      <c r="B3" s="150">
        <v>2220</v>
      </c>
      <c r="C3" s="151"/>
      <c r="E3" s="63" t="s">
        <v>73</v>
      </c>
      <c r="F3" s="60" t="s">
        <v>28</v>
      </c>
      <c r="G3" s="47">
        <v>353</v>
      </c>
      <c r="H3" s="135">
        <f>IF(B$17=0,0,G3/B$17)</f>
        <v>0.52923538230884559</v>
      </c>
      <c r="I3" s="96">
        <v>7</v>
      </c>
      <c r="K3" s="38">
        <v>1</v>
      </c>
      <c r="L3" s="101">
        <v>-5.0999999999999996</v>
      </c>
      <c r="N3" s="117" t="s">
        <v>133</v>
      </c>
      <c r="O3" s="124">
        <f t="shared" si="0"/>
        <v>-11.235955056179776</v>
      </c>
      <c r="P3" s="121">
        <v>267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332</v>
      </c>
      <c r="H4" s="135">
        <f>IF(B$17=0,0,G4/B$17)</f>
        <v>0.49775112443778113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16.064257028112451</v>
      </c>
      <c r="P4" s="121">
        <v>249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255</v>
      </c>
      <c r="H5" s="135">
        <f>IF(B$17=0,0,G5/B$17)</f>
        <v>0.3823088455772114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13.333333333333334</v>
      </c>
      <c r="P5" s="121">
        <v>225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24</v>
      </c>
      <c r="G6" s="47">
        <v>189</v>
      </c>
      <c r="H6" s="135">
        <f>IF(B$17=0,0,G6/B$17)</f>
        <v>0.28335832083958024</v>
      </c>
      <c r="I6" s="96">
        <v>6</v>
      </c>
      <c r="K6" s="38">
        <v>4</v>
      </c>
      <c r="L6" s="101">
        <v>2.2000000000000002</v>
      </c>
      <c r="N6" s="117" t="s">
        <v>136</v>
      </c>
      <c r="O6" s="124">
        <f t="shared" si="0"/>
        <v>-24.154589371980677</v>
      </c>
      <c r="P6" s="121">
        <v>207</v>
      </c>
      <c r="Q6" s="105">
        <v>-5000</v>
      </c>
    </row>
    <row r="7" spans="1:17" x14ac:dyDescent="0.4">
      <c r="A7" s="55" t="s">
        <v>2</v>
      </c>
      <c r="B7" s="47">
        <v>90</v>
      </c>
      <c r="C7" s="39">
        <f>IF(B$2=0,0,B7/B$2)</f>
        <v>0.33333333333333331</v>
      </c>
      <c r="E7" s="63" t="s">
        <v>69</v>
      </c>
      <c r="F7" s="60" t="s">
        <v>12</v>
      </c>
      <c r="G7" s="47">
        <v>188</v>
      </c>
      <c r="H7" s="135">
        <f>IF(B$17=0,0,G7/B$17)</f>
        <v>0.2818590704647676</v>
      </c>
      <c r="I7" s="96">
        <v>5</v>
      </c>
      <c r="K7" s="38">
        <v>5</v>
      </c>
      <c r="L7" s="101">
        <v>-37</v>
      </c>
      <c r="N7" s="118" t="s">
        <v>137</v>
      </c>
      <c r="O7" s="125">
        <f t="shared" si="0"/>
        <v>30.76923076923077</v>
      </c>
      <c r="P7" s="122">
        <v>195</v>
      </c>
      <c r="Q7" s="106">
        <v>6000</v>
      </c>
    </row>
    <row r="8" spans="1:17" x14ac:dyDescent="0.4">
      <c r="A8" s="55" t="s">
        <v>3</v>
      </c>
      <c r="B8" s="47">
        <v>90</v>
      </c>
      <c r="C8" s="39">
        <f>IF(B$2=0,0,B8/B$2)</f>
        <v>0.33333333333333331</v>
      </c>
      <c r="E8" s="63" t="s">
        <v>70</v>
      </c>
      <c r="F8" s="60" t="s">
        <v>25</v>
      </c>
      <c r="G8" s="47">
        <v>120</v>
      </c>
      <c r="H8" s="135">
        <f>IF(B$17=0,0,G8/B$17)</f>
        <v>0.17991004497751126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90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92</v>
      </c>
      <c r="H9" s="135">
        <f>IF(B$17=0,0,G9/B$17)</f>
        <v>0.13793103448275862</v>
      </c>
      <c r="I9" s="96">
        <v>6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27</v>
      </c>
      <c r="C10" s="40">
        <f>IF(B$2=0,0,B10/B$2)</f>
        <v>0.1</v>
      </c>
      <c r="E10" s="63" t="s">
        <v>66</v>
      </c>
      <c r="F10" s="60" t="s">
        <v>22</v>
      </c>
      <c r="G10" s="47">
        <v>82</v>
      </c>
      <c r="H10" s="135">
        <f>IF(B$17=0,0,G10/B$17)</f>
        <v>0.12293853073463268</v>
      </c>
      <c r="I10" s="96">
        <v>5</v>
      </c>
      <c r="K10" s="38">
        <v>8</v>
      </c>
      <c r="L10" s="101">
        <v>19.699999999999996</v>
      </c>
      <c r="N10" s="116" t="s">
        <v>165</v>
      </c>
      <c r="O10" s="126">
        <f>IF(P10=0,0,Q10/P10)</f>
        <v>-4.4388888888888891</v>
      </c>
      <c r="P10" s="120">
        <v>90</v>
      </c>
      <c r="Q10" s="108">
        <v>-399.50000000000006</v>
      </c>
    </row>
    <row r="11" spans="1:17" x14ac:dyDescent="0.4">
      <c r="A11" s="56" t="s">
        <v>140</v>
      </c>
      <c r="B11" s="48">
        <v>27</v>
      </c>
      <c r="C11" s="40">
        <f>IF(B$2=0,0,B11/B$2)</f>
        <v>0.1</v>
      </c>
      <c r="E11" s="63" t="s">
        <v>71</v>
      </c>
      <c r="F11" s="60" t="s">
        <v>26</v>
      </c>
      <c r="G11" s="47">
        <v>74</v>
      </c>
      <c r="H11" s="135">
        <f>IF(B$17=0,0,G11/B$17)</f>
        <v>0.11094452773613193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-5.2166666666666677</v>
      </c>
      <c r="P11" s="121">
        <v>90</v>
      </c>
      <c r="Q11" s="109">
        <v>-469.50000000000011</v>
      </c>
    </row>
    <row r="12" spans="1:17" x14ac:dyDescent="0.4">
      <c r="A12" s="57" t="s">
        <v>160</v>
      </c>
      <c r="B12" s="49">
        <v>27</v>
      </c>
      <c r="C12" s="42">
        <f>IF(B$2=0,0,B12/B$2)</f>
        <v>0.1</v>
      </c>
      <c r="E12" s="63" t="s">
        <v>87</v>
      </c>
      <c r="F12" s="60" t="s">
        <v>42</v>
      </c>
      <c r="G12" s="47">
        <v>43</v>
      </c>
      <c r="H12" s="135">
        <f>IF(B$17=0,0,G12/B$17)</f>
        <v>6.4467766116941536E-2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9.655555555555555</v>
      </c>
      <c r="P12" s="122">
        <v>90</v>
      </c>
      <c r="Q12" s="110">
        <v>868.99999999999989</v>
      </c>
    </row>
    <row r="13" spans="1:17" x14ac:dyDescent="0.4">
      <c r="A13" s="58" t="s">
        <v>122</v>
      </c>
      <c r="B13" s="50">
        <v>582</v>
      </c>
      <c r="C13" s="44">
        <f>IF(B$3=0,0,B13/B$3)</f>
        <v>0.26216216216216215</v>
      </c>
      <c r="E13" s="63" t="s">
        <v>72</v>
      </c>
      <c r="F13" s="60" t="s">
        <v>27</v>
      </c>
      <c r="G13" s="47">
        <v>36</v>
      </c>
      <c r="H13" s="135">
        <f>IF(B$17=0,0,G13/B$17)</f>
        <v>5.3973013493253376E-2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490</v>
      </c>
      <c r="C14" s="39">
        <f>IF(B$3=0,0,B14/B$3)</f>
        <v>0.22072072072072071</v>
      </c>
      <c r="E14" s="63" t="s">
        <v>84</v>
      </c>
      <c r="F14" s="60" t="s">
        <v>39</v>
      </c>
      <c r="G14" s="47">
        <v>28</v>
      </c>
      <c r="H14" s="135">
        <f>IF(B$17=0,0,G14/B$17)</f>
        <v>4.1979010494752625E-2</v>
      </c>
      <c r="I14" s="96">
        <v>5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348</v>
      </c>
      <c r="C15" s="37">
        <f>IF(B$13=0,0,B15/B$13)</f>
        <v>0.59793814432989689</v>
      </c>
      <c r="E15" s="63" t="s">
        <v>82</v>
      </c>
      <c r="F15" s="60" t="s">
        <v>37</v>
      </c>
      <c r="G15" s="47">
        <v>17</v>
      </c>
      <c r="H15" s="135">
        <f>IF(B$17=0,0,G15/B$17)</f>
        <v>2.5487256371814093E-2</v>
      </c>
      <c r="I15" s="96">
        <v>4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185</v>
      </c>
      <c r="C16" s="37">
        <f>IF(B$14=0,0,B16/B$14)</f>
        <v>0.37755102040816324</v>
      </c>
      <c r="E16" s="63" t="s">
        <v>92</v>
      </c>
      <c r="F16" s="60" t="s">
        <v>47</v>
      </c>
      <c r="G16" s="47">
        <v>13</v>
      </c>
      <c r="H16" s="135">
        <f>IF(B$17=0,0,G16/B$17)</f>
        <v>1.9490254872563718E-2</v>
      </c>
      <c r="I16" s="96">
        <v>4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667</v>
      </c>
      <c r="C17" s="37">
        <f>IF(B$3=0,0,B17/B$3)</f>
        <v>0.30045045045045043</v>
      </c>
      <c r="E17" s="63" t="s">
        <v>79</v>
      </c>
      <c r="F17" s="60" t="s">
        <v>34</v>
      </c>
      <c r="G17" s="47">
        <v>12</v>
      </c>
      <c r="H17" s="135">
        <f>IF(B$17=0,0,G17/B$17)</f>
        <v>1.7991004497751123E-2</v>
      </c>
      <c r="I17" s="96">
        <v>6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17.993750000000002</v>
      </c>
      <c r="P17" s="121">
        <v>48</v>
      </c>
      <c r="Q17" s="109">
        <v>863.70000000000016</v>
      </c>
    </row>
    <row r="18" spans="1:17" x14ac:dyDescent="0.4">
      <c r="A18" s="55" t="s">
        <v>12</v>
      </c>
      <c r="B18" s="47">
        <v>275</v>
      </c>
      <c r="C18" s="39">
        <f>IF(B$17=0,0,B18/B$17)</f>
        <v>0.41229385307346328</v>
      </c>
      <c r="E18" s="63" t="s">
        <v>181</v>
      </c>
      <c r="F18" s="60" t="s">
        <v>184</v>
      </c>
      <c r="G18" s="47">
        <v>8</v>
      </c>
      <c r="H18" s="135">
        <f>IF(B$17=0,0,G18/B$17)</f>
        <v>1.1994002998500749E-2</v>
      </c>
      <c r="I18" s="96">
        <v>4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392</v>
      </c>
      <c r="C19" s="39">
        <f>IF(B$17=0,0,B19/B$17)</f>
        <v>0.58770614692653678</v>
      </c>
      <c r="E19" s="63" t="s">
        <v>76</v>
      </c>
      <c r="F19" s="60" t="s">
        <v>31</v>
      </c>
      <c r="G19" s="47">
        <v>6</v>
      </c>
      <c r="H19" s="135">
        <f>IF(B$17=0,0,G19/B$17)</f>
        <v>8.9955022488755615E-3</v>
      </c>
      <c r="I19" s="96">
        <v>4</v>
      </c>
      <c r="K19" s="38">
        <v>17</v>
      </c>
      <c r="L19" s="101">
        <v>8.2999999999999972</v>
      </c>
      <c r="N19" s="117" t="s">
        <v>172</v>
      </c>
      <c r="O19" s="127">
        <f>IF(P19=0,0,Q19/P19)</f>
        <v>5.4458333333333364</v>
      </c>
      <c r="P19" s="121">
        <v>72</v>
      </c>
      <c r="Q19" s="109">
        <v>392.10000000000019</v>
      </c>
    </row>
    <row r="20" spans="1:17" x14ac:dyDescent="0.4">
      <c r="A20" s="55" t="s">
        <v>13</v>
      </c>
      <c r="B20" s="47">
        <v>386</v>
      </c>
      <c r="C20" s="39">
        <f>IF(B$3=0,0,B20/B$3)</f>
        <v>0.17387387387387387</v>
      </c>
      <c r="E20" s="63" t="s">
        <v>80</v>
      </c>
      <c r="F20" s="60" t="s">
        <v>35</v>
      </c>
      <c r="G20" s="47">
        <v>6</v>
      </c>
      <c r="H20" s="135">
        <f>IF(B$17=0,0,G20/B$17)</f>
        <v>8.9955022488755615E-3</v>
      </c>
      <c r="I20" s="96">
        <v>4</v>
      </c>
      <c r="K20" s="38">
        <v>18</v>
      </c>
      <c r="L20" s="101">
        <v>-3.5527136788005009E-15</v>
      </c>
      <c r="N20" s="117" t="s">
        <v>128</v>
      </c>
      <c r="O20" s="127">
        <f>IF(P20=0,0,Q20/P20)</f>
        <v>3.3117187499999985</v>
      </c>
      <c r="P20" s="121">
        <v>128</v>
      </c>
      <c r="Q20" s="109">
        <v>423.89999999999981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4</v>
      </c>
      <c r="H21" s="135">
        <f>IF(B$17=0,0,G21/B$17)</f>
        <v>5.9970014992503746E-3</v>
      </c>
      <c r="I21" s="96">
        <v>4</v>
      </c>
      <c r="K21" s="38">
        <v>19</v>
      </c>
      <c r="L21" s="101">
        <v>30.999999999999996</v>
      </c>
      <c r="N21" s="117" t="s">
        <v>173</v>
      </c>
      <c r="O21" s="127">
        <f>IF(P21=0,0,Q21/P21)</f>
        <v>-0.44464285714285889</v>
      </c>
      <c r="P21" s="121">
        <v>56</v>
      </c>
      <c r="Q21" s="109">
        <v>-24.900000000000098</v>
      </c>
    </row>
    <row r="22" spans="1:17" x14ac:dyDescent="0.4">
      <c r="A22" s="55" t="s">
        <v>195</v>
      </c>
      <c r="B22" s="47">
        <v>31</v>
      </c>
      <c r="C22" s="137">
        <v>4</v>
      </c>
      <c r="E22" s="63" t="s">
        <v>93</v>
      </c>
      <c r="F22" s="60" t="s">
        <v>48</v>
      </c>
      <c r="G22" s="47">
        <v>3</v>
      </c>
      <c r="H22" s="135">
        <f>IF(B$17=0,0,G22/B$17)</f>
        <v>4.4977511244377807E-3</v>
      </c>
      <c r="I22" s="96">
        <v>4</v>
      </c>
      <c r="K22" s="38">
        <v>20</v>
      </c>
      <c r="L22" s="101">
        <v>0.79999999999999716</v>
      </c>
      <c r="N22" s="117" t="s">
        <v>203</v>
      </c>
      <c r="O22" s="127">
        <f>IF(P22=0,0,Q22/P22)</f>
        <v>-7.2750000000000021</v>
      </c>
      <c r="P22" s="121">
        <v>8</v>
      </c>
      <c r="Q22" s="109">
        <v>-58.200000000000017</v>
      </c>
    </row>
    <row r="23" spans="1:17" x14ac:dyDescent="0.4">
      <c r="A23" s="55" t="s">
        <v>5</v>
      </c>
      <c r="B23" s="51">
        <f>IF(B$17=0,0,C23/B$17)</f>
        <v>8346.776611694153</v>
      </c>
      <c r="C23" s="41">
        <v>5567300</v>
      </c>
      <c r="E23" s="63" t="s">
        <v>75</v>
      </c>
      <c r="F23" s="60" t="s">
        <v>30</v>
      </c>
      <c r="G23" s="47">
        <v>2</v>
      </c>
      <c r="H23" s="135">
        <f>IF(B$17=0,0,G23/B$17)</f>
        <v>2.9985007496251873E-3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-8005.6994818652847</v>
      </c>
      <c r="C24" s="45">
        <v>-3090200</v>
      </c>
      <c r="E24" s="63" t="s">
        <v>78</v>
      </c>
      <c r="F24" s="60" t="s">
        <v>33</v>
      </c>
      <c r="G24" s="47">
        <v>2</v>
      </c>
      <c r="H24" s="135">
        <f>IF(B$17=0,0,G24/B$17)</f>
        <v>2.9985007496251873E-3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-39.383333333333319</v>
      </c>
      <c r="P24" s="121">
        <v>126</v>
      </c>
      <c r="Q24" s="109">
        <v>-4962.2999999999984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2.9985007496251873E-3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1.4992503748125937E-3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3.6036036036036037E-3</v>
      </c>
      <c r="E27" s="63" t="s">
        <v>86</v>
      </c>
      <c r="F27" s="60" t="s">
        <v>41</v>
      </c>
      <c r="G27" s="47">
        <v>1</v>
      </c>
      <c r="H27" s="135">
        <f>IF(B$17=0,0,G27/B$17)</f>
        <v>1.4992503748125937E-3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1.4992503748125937E-3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1.4992503748125937E-3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1.4992503748125937E-3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1.4992503748125937E-3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  <row r="249" spans="11:12" x14ac:dyDescent="0.4">
      <c r="K249" s="38">
        <v>247</v>
      </c>
      <c r="L249" s="101">
        <v>-61.2</v>
      </c>
    </row>
    <row r="250" spans="11:12" x14ac:dyDescent="0.4">
      <c r="K250" s="38">
        <v>248</v>
      </c>
      <c r="L250" s="101">
        <v>-9</v>
      </c>
    </row>
    <row r="251" spans="11:12" x14ac:dyDescent="0.4">
      <c r="K251" s="38">
        <v>249</v>
      </c>
      <c r="L251" s="101">
        <v>0</v>
      </c>
    </row>
    <row r="252" spans="11:12" x14ac:dyDescent="0.4">
      <c r="K252" s="38">
        <v>250</v>
      </c>
      <c r="L252" s="101">
        <v>-15.6</v>
      </c>
    </row>
    <row r="253" spans="11:12" x14ac:dyDescent="0.4">
      <c r="K253" s="38">
        <v>251</v>
      </c>
      <c r="L253" s="101">
        <v>-74.3</v>
      </c>
    </row>
    <row r="254" spans="11:12" x14ac:dyDescent="0.4">
      <c r="K254" s="38">
        <v>252</v>
      </c>
      <c r="L254" s="101">
        <v>0</v>
      </c>
    </row>
    <row r="255" spans="11:12" x14ac:dyDescent="0.4">
      <c r="K255" s="38">
        <v>253</v>
      </c>
      <c r="L255" s="101">
        <v>7.7</v>
      </c>
    </row>
    <row r="256" spans="11:12" x14ac:dyDescent="0.4">
      <c r="K256" s="38">
        <v>254</v>
      </c>
      <c r="L256" s="101">
        <v>38.5</v>
      </c>
    </row>
    <row r="257" spans="11:12" x14ac:dyDescent="0.4">
      <c r="K257" s="38">
        <v>255</v>
      </c>
      <c r="L257" s="101">
        <v>0</v>
      </c>
    </row>
    <row r="258" spans="11:12" x14ac:dyDescent="0.4">
      <c r="K258" s="38">
        <v>256</v>
      </c>
      <c r="L258" s="101">
        <v>3.4</v>
      </c>
    </row>
    <row r="259" spans="11:12" x14ac:dyDescent="0.4">
      <c r="K259" s="38">
        <v>257</v>
      </c>
      <c r="L259" s="101">
        <v>-28.3</v>
      </c>
    </row>
    <row r="260" spans="11:12" x14ac:dyDescent="0.4">
      <c r="K260" s="38">
        <v>258</v>
      </c>
      <c r="L260" s="101">
        <v>0</v>
      </c>
    </row>
    <row r="261" spans="11:12" x14ac:dyDescent="0.4">
      <c r="K261" s="38">
        <v>259</v>
      </c>
      <c r="L261" s="101">
        <v>-42.3</v>
      </c>
    </row>
    <row r="262" spans="11:12" x14ac:dyDescent="0.4">
      <c r="K262" s="38">
        <v>260</v>
      </c>
      <c r="L262" s="101">
        <v>-2.5</v>
      </c>
    </row>
    <row r="263" spans="11:12" x14ac:dyDescent="0.4">
      <c r="K263" s="38">
        <v>261</v>
      </c>
      <c r="L263" s="101">
        <v>0</v>
      </c>
    </row>
    <row r="264" spans="11:12" x14ac:dyDescent="0.4">
      <c r="K264" s="38">
        <v>262</v>
      </c>
      <c r="L264" s="101">
        <v>-28.8</v>
      </c>
    </row>
    <row r="265" spans="11:12" x14ac:dyDescent="0.4">
      <c r="K265" s="38">
        <v>263</v>
      </c>
      <c r="L265" s="101">
        <v>-36.4</v>
      </c>
    </row>
    <row r="266" spans="11:12" x14ac:dyDescent="0.4">
      <c r="K266" s="38">
        <v>264</v>
      </c>
      <c r="L266" s="101">
        <v>0</v>
      </c>
    </row>
    <row r="267" spans="11:12" x14ac:dyDescent="0.4">
      <c r="K267" s="38">
        <v>265</v>
      </c>
      <c r="L267" s="101">
        <v>-47</v>
      </c>
    </row>
    <row r="268" spans="11:12" x14ac:dyDescent="0.4">
      <c r="K268" s="38">
        <v>266</v>
      </c>
      <c r="L268" s="101">
        <v>-7.5</v>
      </c>
    </row>
    <row r="269" spans="11:12" x14ac:dyDescent="0.4">
      <c r="K269" s="38">
        <v>267</v>
      </c>
      <c r="L269" s="101">
        <v>0</v>
      </c>
    </row>
    <row r="270" spans="11:12" x14ac:dyDescent="0.4">
      <c r="K270" s="38">
        <v>268</v>
      </c>
      <c r="L270" s="101">
        <v>2.9</v>
      </c>
    </row>
    <row r="271" spans="11:12" x14ac:dyDescent="0.4">
      <c r="K271" s="38">
        <v>269</v>
      </c>
      <c r="L271" s="101">
        <v>32.1</v>
      </c>
    </row>
    <row r="272" spans="11:12" x14ac:dyDescent="0.4">
      <c r="K272" s="38">
        <v>270</v>
      </c>
      <c r="L272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63</v>
      </c>
      <c r="C2" s="149"/>
      <c r="E2" s="62" t="s">
        <v>67</v>
      </c>
      <c r="F2" s="59" t="s">
        <v>23</v>
      </c>
      <c r="G2" s="46">
        <v>159</v>
      </c>
      <c r="H2" s="134">
        <f>IF(B$17=0,0,G2/B$17)</f>
        <v>0.77941176470588236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3355.5555555555557</v>
      </c>
      <c r="P2" s="120">
        <v>63</v>
      </c>
      <c r="Q2" s="104">
        <v>211400</v>
      </c>
    </row>
    <row r="3" spans="1:17" x14ac:dyDescent="0.4">
      <c r="A3" s="55" t="s">
        <v>8</v>
      </c>
      <c r="B3" s="150">
        <v>499</v>
      </c>
      <c r="C3" s="151"/>
      <c r="E3" s="63" t="s">
        <v>73</v>
      </c>
      <c r="F3" s="60" t="s">
        <v>28</v>
      </c>
      <c r="G3" s="47">
        <v>110</v>
      </c>
      <c r="H3" s="135">
        <f>IF(B$17=0,0,G3/B$17)</f>
        <v>0.53921568627450978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3511.2903225806454</v>
      </c>
      <c r="P3" s="121">
        <v>62</v>
      </c>
      <c r="Q3" s="105">
        <v>217700</v>
      </c>
    </row>
    <row r="4" spans="1:17" x14ac:dyDescent="0.4">
      <c r="A4" s="55" t="s">
        <v>6</v>
      </c>
      <c r="B4" s="152">
        <v>1654.1000000000004</v>
      </c>
      <c r="C4" s="153"/>
      <c r="E4" s="63" t="s">
        <v>65</v>
      </c>
      <c r="F4" s="60" t="s">
        <v>21</v>
      </c>
      <c r="G4" s="47">
        <v>100</v>
      </c>
      <c r="H4" s="135">
        <f>IF(B$17=0,0,G4/B$17)</f>
        <v>0.49019607843137253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3094.8275862068967</v>
      </c>
      <c r="P4" s="121">
        <v>58</v>
      </c>
      <c r="Q4" s="105">
        <v>179500</v>
      </c>
    </row>
    <row r="5" spans="1:17" x14ac:dyDescent="0.4">
      <c r="A5" s="55" t="s">
        <v>7</v>
      </c>
      <c r="B5" s="154">
        <f>IF(B$2=0,0,B$4/B$2)</f>
        <v>26.25555555555556</v>
      </c>
      <c r="C5" s="155"/>
      <c r="E5" s="63" t="s">
        <v>182</v>
      </c>
      <c r="F5" s="60" t="s">
        <v>183</v>
      </c>
      <c r="G5" s="47">
        <v>87</v>
      </c>
      <c r="H5" s="135">
        <f>IF(B$17=0,0,G5/B$17)</f>
        <v>0.4264705882352941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5952.9411764705883</v>
      </c>
      <c r="P5" s="121">
        <v>51</v>
      </c>
      <c r="Q5" s="105">
        <v>303600</v>
      </c>
    </row>
    <row r="6" spans="1:17" x14ac:dyDescent="0.4">
      <c r="A6" s="55" t="s">
        <v>1</v>
      </c>
      <c r="B6" s="144">
        <f>IF(B$2=0,0,(B$7*1+B$8*2+B$9*3)/B$2)</f>
        <v>1.4920634920634921</v>
      </c>
      <c r="C6" s="145"/>
      <c r="E6" s="63" t="s">
        <v>68</v>
      </c>
      <c r="F6" s="60" t="s">
        <v>24</v>
      </c>
      <c r="G6" s="47">
        <v>66</v>
      </c>
      <c r="H6" s="135">
        <f>IF(B$17=0,0,G6/B$17)</f>
        <v>0.3235294117647059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1089.1304347826087</v>
      </c>
      <c r="P6" s="121">
        <v>46</v>
      </c>
      <c r="Q6" s="105">
        <v>50100</v>
      </c>
    </row>
    <row r="7" spans="1:17" x14ac:dyDescent="0.4">
      <c r="A7" s="55" t="s">
        <v>2</v>
      </c>
      <c r="B7" s="47">
        <v>40</v>
      </c>
      <c r="C7" s="39">
        <f>IF(B$2=0,0,B7/B$2)</f>
        <v>0.63492063492063489</v>
      </c>
      <c r="E7" s="63" t="s">
        <v>69</v>
      </c>
      <c r="F7" s="60" t="s">
        <v>12</v>
      </c>
      <c r="G7" s="47">
        <v>46</v>
      </c>
      <c r="H7" s="135">
        <f>IF(B$17=0,0,G7/B$17)</f>
        <v>0.22549019607843138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1088.3720930232557</v>
      </c>
      <c r="P7" s="122">
        <v>43</v>
      </c>
      <c r="Q7" s="106">
        <v>46800</v>
      </c>
    </row>
    <row r="8" spans="1:17" x14ac:dyDescent="0.4">
      <c r="A8" s="55" t="s">
        <v>3</v>
      </c>
      <c r="B8" s="47">
        <v>15</v>
      </c>
      <c r="C8" s="39">
        <f>IF(B$2=0,0,B8/B$2)</f>
        <v>0.23809523809523808</v>
      </c>
      <c r="E8" s="63" t="s">
        <v>90</v>
      </c>
      <c r="F8" s="60" t="s">
        <v>45</v>
      </c>
      <c r="G8" s="47">
        <v>38</v>
      </c>
      <c r="H8" s="135">
        <f>IF(B$17=0,0,G8/B$17)</f>
        <v>0.18627450980392157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0.12698412698412698</v>
      </c>
      <c r="E9" s="63" t="s">
        <v>70</v>
      </c>
      <c r="F9" s="60" t="s">
        <v>25</v>
      </c>
      <c r="G9" s="47">
        <v>36</v>
      </c>
      <c r="H9" s="135">
        <f>IF(B$17=0,0,G9/B$17)</f>
        <v>0.17647058823529413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3.1746031746031744E-2</v>
      </c>
      <c r="E10" s="63" t="s">
        <v>66</v>
      </c>
      <c r="F10" s="60" t="s">
        <v>22</v>
      </c>
      <c r="G10" s="47">
        <v>29</v>
      </c>
      <c r="H10" s="135">
        <f>IF(B$17=0,0,G10/B$17)</f>
        <v>0.14215686274509803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23.131578947368421</v>
      </c>
      <c r="P10" s="120">
        <v>19</v>
      </c>
      <c r="Q10" s="108">
        <v>439.5</v>
      </c>
    </row>
    <row r="11" spans="1:17" x14ac:dyDescent="0.4">
      <c r="A11" s="56" t="s">
        <v>140</v>
      </c>
      <c r="B11" s="48">
        <v>14</v>
      </c>
      <c r="C11" s="40">
        <f>IF(B$2=0,0,B11/B$2)</f>
        <v>0.22222222222222221</v>
      </c>
      <c r="E11" s="63" t="s">
        <v>71</v>
      </c>
      <c r="F11" s="60" t="s">
        <v>26</v>
      </c>
      <c r="G11" s="47">
        <v>18</v>
      </c>
      <c r="H11" s="135">
        <f>IF(B$17=0,0,G11/B$17)</f>
        <v>8.8235294117647065E-2</v>
      </c>
      <c r="I11" s="96">
        <v>7</v>
      </c>
      <c r="K11" s="38">
        <v>9</v>
      </c>
      <c r="L11" s="101">
        <v>277.90000000000003</v>
      </c>
      <c r="N11" s="117" t="s">
        <v>166</v>
      </c>
      <c r="O11" s="127">
        <f>IF(P11=0,0,Q11/P11)</f>
        <v>19.568421052631578</v>
      </c>
      <c r="P11" s="121">
        <v>19</v>
      </c>
      <c r="Q11" s="109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0.23809523809523808</v>
      </c>
      <c r="E12" s="63" t="s">
        <v>87</v>
      </c>
      <c r="F12" s="60" t="s">
        <v>42</v>
      </c>
      <c r="G12" s="47">
        <v>18</v>
      </c>
      <c r="H12" s="135">
        <f>IF(B$17=0,0,G12/B$17)</f>
        <v>8.8235294117647065E-2</v>
      </c>
      <c r="I12" s="96">
        <v>3</v>
      </c>
      <c r="K12" s="38">
        <v>10</v>
      </c>
      <c r="L12" s="101">
        <v>246.20000000000005</v>
      </c>
      <c r="N12" s="118" t="s">
        <v>167</v>
      </c>
      <c r="O12" s="128">
        <f>IF(P12=0,0,Q12/P12)</f>
        <v>33.712000000000003</v>
      </c>
      <c r="P12" s="122">
        <v>25</v>
      </c>
      <c r="Q12" s="110">
        <v>842.80000000000007</v>
      </c>
    </row>
    <row r="13" spans="1:17" x14ac:dyDescent="0.4">
      <c r="A13" s="58" t="s">
        <v>122</v>
      </c>
      <c r="B13" s="50">
        <v>167</v>
      </c>
      <c r="C13" s="44">
        <f>IF(B$3=0,0,B13/B$3)</f>
        <v>0.33466933867735471</v>
      </c>
      <c r="E13" s="63" t="s">
        <v>72</v>
      </c>
      <c r="F13" s="60" t="s">
        <v>27</v>
      </c>
      <c r="G13" s="47">
        <v>11</v>
      </c>
      <c r="H13" s="135">
        <f>IF(B$17=0,0,G13/B$17)</f>
        <v>5.3921568627450983E-2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120</v>
      </c>
      <c r="C14" s="39">
        <f>IF(B$3=0,0,B14/B$3)</f>
        <v>0.24048096192384769</v>
      </c>
      <c r="E14" s="63" t="s">
        <v>84</v>
      </c>
      <c r="F14" s="60" t="s">
        <v>39</v>
      </c>
      <c r="G14" s="47">
        <v>10</v>
      </c>
      <c r="H14" s="135">
        <f>IF(B$17=0,0,G14/B$17)</f>
        <v>4.9019607843137254E-2</v>
      </c>
      <c r="I14" s="96">
        <v>4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0.6347305389221557</v>
      </c>
      <c r="E15" s="63" t="s">
        <v>82</v>
      </c>
      <c r="F15" s="60" t="s">
        <v>37</v>
      </c>
      <c r="G15" s="47">
        <v>5</v>
      </c>
      <c r="H15" s="135">
        <f>IF(B$17=0,0,G15/B$17)</f>
        <v>2.4509803921568627E-2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66</v>
      </c>
      <c r="C16" s="37">
        <f>IF(B$14=0,0,B16/B$14)</f>
        <v>0.55000000000000004</v>
      </c>
      <c r="E16" s="63" t="s">
        <v>79</v>
      </c>
      <c r="F16" s="60" t="s">
        <v>34</v>
      </c>
      <c r="G16" s="47">
        <v>4</v>
      </c>
      <c r="H16" s="135">
        <f>IF(B$17=0,0,G16/B$17)</f>
        <v>1.9607843137254902E-2</v>
      </c>
      <c r="I16" s="96">
        <v>5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0.4088176352705411</v>
      </c>
      <c r="E17" s="63" t="s">
        <v>92</v>
      </c>
      <c r="F17" s="60" t="s">
        <v>47</v>
      </c>
      <c r="G17" s="47">
        <v>3</v>
      </c>
      <c r="H17" s="135">
        <f>IF(B$17=0,0,G17/B$17)</f>
        <v>1.4705882352941176E-2</v>
      </c>
      <c r="I17" s="96">
        <v>6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80</v>
      </c>
      <c r="C18" s="39">
        <f>IF(B$17=0,0,B18/B$17)</f>
        <v>0.39215686274509803</v>
      </c>
      <c r="E18" s="63" t="s">
        <v>181</v>
      </c>
      <c r="F18" s="60" t="s">
        <v>184</v>
      </c>
      <c r="G18" s="47">
        <v>3</v>
      </c>
      <c r="H18" s="135">
        <f>IF(B$17=0,0,G18/B$17)</f>
        <v>1.4705882352941176E-2</v>
      </c>
      <c r="I18" s="96">
        <v>3</v>
      </c>
      <c r="K18" s="38">
        <v>16</v>
      </c>
      <c r="L18" s="101">
        <v>425.50000000000006</v>
      </c>
      <c r="N18" s="117" t="s">
        <v>174</v>
      </c>
      <c r="O18" s="127">
        <f>IF(P18=0,0,Q18/P18)</f>
        <v>49.41</v>
      </c>
      <c r="P18" s="121">
        <v>10</v>
      </c>
      <c r="Q18" s="109">
        <v>494.09999999999997</v>
      </c>
    </row>
    <row r="19" spans="1:17" x14ac:dyDescent="0.4">
      <c r="A19" s="55" t="s">
        <v>11</v>
      </c>
      <c r="B19" s="47">
        <v>124</v>
      </c>
      <c r="C19" s="39">
        <f>IF(B$17=0,0,B19/B$17)</f>
        <v>0.60784313725490191</v>
      </c>
      <c r="E19" s="63" t="s">
        <v>74</v>
      </c>
      <c r="F19" s="60" t="s">
        <v>29</v>
      </c>
      <c r="G19" s="47">
        <v>2</v>
      </c>
      <c r="H19" s="135">
        <f>IF(B$17=0,0,G19/B$17)</f>
        <v>9.8039215686274508E-3</v>
      </c>
      <c r="I19" s="96">
        <v>2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69</v>
      </c>
      <c r="C20" s="39">
        <f>IF(B$3=0,0,B20/B$3)</f>
        <v>0.13827655310621242</v>
      </c>
      <c r="E20" s="63" t="s">
        <v>76</v>
      </c>
      <c r="F20" s="60" t="s">
        <v>31</v>
      </c>
      <c r="G20" s="47">
        <v>1</v>
      </c>
      <c r="H20" s="135">
        <f>IF(B$17=0,0,G20/B$17)</f>
        <v>4.9019607843137254E-3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48.335714285714289</v>
      </c>
      <c r="P20" s="121">
        <v>14</v>
      </c>
      <c r="Q20" s="109">
        <v>676.7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78</v>
      </c>
      <c r="F21" s="60" t="s">
        <v>33</v>
      </c>
      <c r="G21" s="47">
        <v>1</v>
      </c>
      <c r="H21" s="135">
        <f>IF(B$17=0,0,G21/B$17)</f>
        <v>4.9019607843137254E-3</v>
      </c>
      <c r="I21" s="96">
        <v>2</v>
      </c>
      <c r="K21" s="38">
        <v>19</v>
      </c>
      <c r="L21" s="101">
        <v>405.40000000000003</v>
      </c>
      <c r="N21" s="117" t="s">
        <v>128</v>
      </c>
      <c r="O21" s="127">
        <f>IF(P21=0,0,Q21/P21)</f>
        <v>29.612244897959187</v>
      </c>
      <c r="P21" s="121">
        <v>49</v>
      </c>
      <c r="Q21" s="109">
        <v>1451.0000000000002</v>
      </c>
    </row>
    <row r="22" spans="1:17" x14ac:dyDescent="0.4">
      <c r="A22" s="55" t="s">
        <v>195</v>
      </c>
      <c r="B22" s="47">
        <v>27</v>
      </c>
      <c r="C22" s="137">
        <v>0</v>
      </c>
      <c r="E22" s="63" t="s">
        <v>80</v>
      </c>
      <c r="F22" s="60" t="s">
        <v>35</v>
      </c>
      <c r="G22" s="47">
        <v>1</v>
      </c>
      <c r="H22" s="135">
        <f>IF(B$17=0,0,G22/B$17)</f>
        <v>4.9019607843137254E-3</v>
      </c>
      <c r="I22" s="96">
        <v>5</v>
      </c>
      <c r="K22" s="38">
        <v>20</v>
      </c>
      <c r="L22" s="101">
        <v>469.6</v>
      </c>
      <c r="N22" s="117" t="s">
        <v>172</v>
      </c>
      <c r="O22" s="127">
        <f>IF(P22=0,0,Q22/P22)</f>
        <v>26.11363636363636</v>
      </c>
      <c r="P22" s="121">
        <v>22</v>
      </c>
      <c r="Q22" s="109">
        <v>574.49999999999989</v>
      </c>
    </row>
    <row r="23" spans="1:17" x14ac:dyDescent="0.4">
      <c r="A23" s="55" t="s">
        <v>5</v>
      </c>
      <c r="B23" s="51">
        <f>IF(B$17=0,0,C23/B$17)</f>
        <v>9479.4117647058829</v>
      </c>
      <c r="C23" s="41">
        <v>1933800</v>
      </c>
      <c r="E23" s="63" t="s">
        <v>88</v>
      </c>
      <c r="F23" s="60" t="s">
        <v>43</v>
      </c>
      <c r="G23" s="47">
        <v>1</v>
      </c>
      <c r="H23" s="135">
        <f>IF(B$17=0,0,G23/B$17)</f>
        <v>4.9019607843137254E-3</v>
      </c>
      <c r="I23" s="96">
        <v>1</v>
      </c>
      <c r="K23" s="38">
        <v>21</v>
      </c>
      <c r="L23" s="101">
        <v>468.3</v>
      </c>
      <c r="N23" s="117" t="s">
        <v>203</v>
      </c>
      <c r="O23" s="127">
        <f>IF(P23=0,0,Q23/P23)</f>
        <v>23.1</v>
      </c>
      <c r="P23" s="121">
        <v>1</v>
      </c>
      <c r="Q23" s="109">
        <v>23.1</v>
      </c>
    </row>
    <row r="24" spans="1:17" x14ac:dyDescent="0.4">
      <c r="A24" s="57" t="s">
        <v>14</v>
      </c>
      <c r="B24" s="52">
        <f>IF(B$20=0,0,C24/B$20)</f>
        <v>-7488.405797101449</v>
      </c>
      <c r="C24" s="45">
        <v>-516700</v>
      </c>
      <c r="E24" s="63" t="s">
        <v>91</v>
      </c>
      <c r="F24" s="60" t="s">
        <v>46</v>
      </c>
      <c r="G24" s="47">
        <v>1</v>
      </c>
      <c r="H24" s="135">
        <f>IF(B$17=0,0,G24/B$17)</f>
        <v>4.9019607843137254E-3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4.9019607843137254E-3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4.9019607843137254E-3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4.9019607843137254E-3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  <row r="61" spans="5:12" x14ac:dyDescent="0.4">
      <c r="K61" s="38">
        <v>59</v>
      </c>
      <c r="L61" s="101">
        <v>1518.2000000000003</v>
      </c>
    </row>
    <row r="62" spans="5:12" x14ac:dyDescent="0.4">
      <c r="K62" s="38">
        <v>60</v>
      </c>
      <c r="L62" s="101">
        <v>1549.0000000000002</v>
      </c>
    </row>
    <row r="63" spans="5:12" x14ac:dyDescent="0.4">
      <c r="K63" s="38">
        <v>61</v>
      </c>
      <c r="L63" s="101">
        <v>1585.4000000000003</v>
      </c>
    </row>
    <row r="64" spans="5:12" x14ac:dyDescent="0.4">
      <c r="K64" s="38">
        <v>62</v>
      </c>
      <c r="L64" s="101">
        <v>1624.9000000000003</v>
      </c>
    </row>
    <row r="65" spans="11:12" x14ac:dyDescent="0.4">
      <c r="K65" s="38">
        <v>63</v>
      </c>
      <c r="L65" s="101">
        <v>1654.1000000000004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64</v>
      </c>
      <c r="C2" s="149"/>
      <c r="E2" s="62" t="s">
        <v>67</v>
      </c>
      <c r="F2" s="59" t="s">
        <v>23</v>
      </c>
      <c r="G2" s="46">
        <v>103</v>
      </c>
      <c r="H2" s="134">
        <f>IF(B$17=0,0,G2/B$17)</f>
        <v>0.68211920529801329</v>
      </c>
      <c r="I2" s="95">
        <v>9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920.3125</v>
      </c>
      <c r="P2" s="120">
        <v>64</v>
      </c>
      <c r="Q2" s="104">
        <v>58900</v>
      </c>
    </row>
    <row r="3" spans="1:17" x14ac:dyDescent="0.4">
      <c r="A3" s="55" t="s">
        <v>8</v>
      </c>
      <c r="B3" s="150">
        <v>529</v>
      </c>
      <c r="C3" s="151"/>
      <c r="E3" s="63" t="s">
        <v>65</v>
      </c>
      <c r="F3" s="60" t="s">
        <v>21</v>
      </c>
      <c r="G3" s="47">
        <v>87</v>
      </c>
      <c r="H3" s="135">
        <f>IF(B$17=0,0,G3/B$17)</f>
        <v>0.57615894039735094</v>
      </c>
      <c r="I3" s="96">
        <v>4</v>
      </c>
      <c r="K3" s="38">
        <v>1</v>
      </c>
      <c r="L3" s="101">
        <v>45.5</v>
      </c>
      <c r="N3" s="117" t="s">
        <v>133</v>
      </c>
      <c r="O3" s="124">
        <f t="shared" si="0"/>
        <v>-1447.6190476190477</v>
      </c>
      <c r="P3" s="121">
        <v>63</v>
      </c>
      <c r="Q3" s="105">
        <v>-91200</v>
      </c>
    </row>
    <row r="4" spans="1:17" x14ac:dyDescent="0.4">
      <c r="A4" s="55" t="s">
        <v>6</v>
      </c>
      <c r="B4" s="152">
        <v>-141.30000000000004</v>
      </c>
      <c r="C4" s="153"/>
      <c r="E4" s="63" t="s">
        <v>73</v>
      </c>
      <c r="F4" s="60" t="s">
        <v>28</v>
      </c>
      <c r="G4" s="47">
        <v>67</v>
      </c>
      <c r="H4" s="135">
        <f>IF(B$17=0,0,G4/B$17)</f>
        <v>0.44370860927152317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-1926.2295081967213</v>
      </c>
      <c r="P4" s="121">
        <v>61</v>
      </c>
      <c r="Q4" s="105">
        <v>-117500</v>
      </c>
    </row>
    <row r="5" spans="1:17" x14ac:dyDescent="0.4">
      <c r="A5" s="55" t="s">
        <v>7</v>
      </c>
      <c r="B5" s="154">
        <f>IF(B$2=0,0,B$4/B$2)</f>
        <v>-2.2078125000000006</v>
      </c>
      <c r="C5" s="155"/>
      <c r="E5" s="63" t="s">
        <v>182</v>
      </c>
      <c r="F5" s="60" t="s">
        <v>183</v>
      </c>
      <c r="G5" s="47">
        <v>62</v>
      </c>
      <c r="H5" s="135">
        <f>IF(B$17=0,0,G5/B$17)</f>
        <v>0.41059602649006621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285.18518518518516</v>
      </c>
      <c r="P5" s="121">
        <v>54</v>
      </c>
      <c r="Q5" s="105">
        <v>15400</v>
      </c>
    </row>
    <row r="6" spans="1:17" x14ac:dyDescent="0.4">
      <c r="A6" s="55" t="s">
        <v>1</v>
      </c>
      <c r="B6" s="144">
        <f>IF(B$2=0,0,(B$7*1+B$8*2+B$9*3)/B$2)</f>
        <v>2.0625</v>
      </c>
      <c r="C6" s="145"/>
      <c r="E6" s="63" t="s">
        <v>68</v>
      </c>
      <c r="F6" s="60" t="s">
        <v>24</v>
      </c>
      <c r="G6" s="47">
        <v>53</v>
      </c>
      <c r="H6" s="135">
        <f>IF(B$17=0,0,G6/B$17)</f>
        <v>0.35099337748344372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1014</v>
      </c>
      <c r="P6" s="121">
        <v>50</v>
      </c>
      <c r="Q6" s="105">
        <v>50700</v>
      </c>
    </row>
    <row r="7" spans="1:17" x14ac:dyDescent="0.4">
      <c r="A7" s="55" t="s">
        <v>2</v>
      </c>
      <c r="B7" s="47">
        <v>16</v>
      </c>
      <c r="C7" s="39">
        <f>IF(B$2=0,0,B7/B$2)</f>
        <v>0.25</v>
      </c>
      <c r="E7" s="63" t="s">
        <v>69</v>
      </c>
      <c r="F7" s="60" t="s">
        <v>12</v>
      </c>
      <c r="G7" s="47">
        <v>49</v>
      </c>
      <c r="H7" s="135">
        <f>IF(B$17=0,0,G7/B$17)</f>
        <v>0.32450331125827814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476.59574468085106</v>
      </c>
      <c r="P7" s="122">
        <v>47</v>
      </c>
      <c r="Q7" s="106">
        <v>22400</v>
      </c>
    </row>
    <row r="8" spans="1:17" x14ac:dyDescent="0.4">
      <c r="A8" s="55" t="s">
        <v>3</v>
      </c>
      <c r="B8" s="47">
        <v>28</v>
      </c>
      <c r="C8" s="39">
        <f>IF(B$2=0,0,B8/B$2)</f>
        <v>0.4375</v>
      </c>
      <c r="E8" s="63" t="s">
        <v>70</v>
      </c>
      <c r="F8" s="60" t="s">
        <v>25</v>
      </c>
      <c r="G8" s="47">
        <v>32</v>
      </c>
      <c r="H8" s="135">
        <f>IF(B$17=0,0,G8/B$17)</f>
        <v>0.2119205298013245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20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23</v>
      </c>
      <c r="H9" s="135">
        <f>IF(B$17=0,0,G9/B$17)</f>
        <v>0.15231788079470199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0.125</v>
      </c>
      <c r="E10" s="63" t="s">
        <v>71</v>
      </c>
      <c r="F10" s="60" t="s">
        <v>26</v>
      </c>
      <c r="G10" s="47">
        <v>21</v>
      </c>
      <c r="H10" s="135">
        <f>IF(B$17=0,0,G10/B$17)</f>
        <v>0.13907284768211919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-4.3387096774193559</v>
      </c>
      <c r="P10" s="120">
        <v>31</v>
      </c>
      <c r="Q10" s="108">
        <v>-134.50000000000003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7.8125E-2</v>
      </c>
      <c r="E11" s="63" t="s">
        <v>90</v>
      </c>
      <c r="F11" s="60" t="s">
        <v>45</v>
      </c>
      <c r="G11" s="47">
        <v>16</v>
      </c>
      <c r="H11" s="135">
        <f>IF(B$17=0,0,G11/B$17)</f>
        <v>0.10596026490066225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-9.0833333333333321</v>
      </c>
      <c r="P11" s="121">
        <v>18</v>
      </c>
      <c r="Q11" s="109">
        <v>-163.49999999999997</v>
      </c>
    </row>
    <row r="12" spans="1:17" x14ac:dyDescent="0.4">
      <c r="A12" s="57" t="s">
        <v>160</v>
      </c>
      <c r="B12" s="49">
        <v>4</v>
      </c>
      <c r="C12" s="42">
        <f>IF(B$2=0,0,B12/B$2)</f>
        <v>6.25E-2</v>
      </c>
      <c r="E12" s="63" t="s">
        <v>87</v>
      </c>
      <c r="F12" s="60" t="s">
        <v>42</v>
      </c>
      <c r="G12" s="47">
        <v>9</v>
      </c>
      <c r="H12" s="135">
        <f>IF(B$17=0,0,G12/B$17)</f>
        <v>5.9602649006622516E-2</v>
      </c>
      <c r="I12" s="96">
        <v>6</v>
      </c>
      <c r="K12" s="38">
        <v>10</v>
      </c>
      <c r="L12" s="101">
        <v>-80.900000000000006</v>
      </c>
      <c r="N12" s="118" t="s">
        <v>167</v>
      </c>
      <c r="O12" s="128">
        <f>IF(P12=0,0,Q12/P12)</f>
        <v>10.446666666666667</v>
      </c>
      <c r="P12" s="122">
        <v>15</v>
      </c>
      <c r="Q12" s="110">
        <v>156.70000000000002</v>
      </c>
    </row>
    <row r="13" spans="1:17" x14ac:dyDescent="0.4">
      <c r="A13" s="58" t="s">
        <v>122</v>
      </c>
      <c r="B13" s="50">
        <v>146</v>
      </c>
      <c r="C13" s="44">
        <f>IF(B$3=0,0,B13/B$3)</f>
        <v>0.27599243856332706</v>
      </c>
      <c r="E13" s="63" t="s">
        <v>82</v>
      </c>
      <c r="F13" s="60" t="s">
        <v>37</v>
      </c>
      <c r="G13" s="47">
        <v>7</v>
      </c>
      <c r="H13" s="135">
        <f>IF(B$17=0,0,G13/B$17)</f>
        <v>4.6357615894039736E-2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105</v>
      </c>
      <c r="C14" s="39">
        <f>IF(B$3=0,0,B14/B$3)</f>
        <v>0.19848771266540643</v>
      </c>
      <c r="E14" s="63" t="s">
        <v>72</v>
      </c>
      <c r="F14" s="60" t="s">
        <v>27</v>
      </c>
      <c r="G14" s="47">
        <v>6</v>
      </c>
      <c r="H14" s="135">
        <f>IF(B$17=0,0,G14/B$17)</f>
        <v>3.9735099337748346E-2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92</v>
      </c>
      <c r="C15" s="37">
        <f>IF(B$13=0,0,B15/B$13)</f>
        <v>0.63013698630136983</v>
      </c>
      <c r="E15" s="63" t="s">
        <v>84</v>
      </c>
      <c r="F15" s="60" t="s">
        <v>39</v>
      </c>
      <c r="G15" s="47">
        <v>5</v>
      </c>
      <c r="H15" s="135">
        <f>IF(B$17=0,0,G15/B$17)</f>
        <v>3.3112582781456956E-2</v>
      </c>
      <c r="I15" s="96">
        <v>7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29</v>
      </c>
      <c r="C16" s="37">
        <f>IF(B$14=0,0,B16/B$14)</f>
        <v>0.27619047619047621</v>
      </c>
      <c r="E16" s="63" t="s">
        <v>92</v>
      </c>
      <c r="F16" s="60" t="s">
        <v>47</v>
      </c>
      <c r="G16" s="47">
        <v>5</v>
      </c>
      <c r="H16" s="135">
        <f>IF(B$17=0,0,G16/B$17)</f>
        <v>3.3112582781456956E-2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151</v>
      </c>
      <c r="C17" s="37">
        <f>IF(B$3=0,0,B17/B$3)</f>
        <v>0.28544423440453687</v>
      </c>
      <c r="E17" s="63" t="s">
        <v>181</v>
      </c>
      <c r="F17" s="60" t="s">
        <v>184</v>
      </c>
      <c r="G17" s="47">
        <v>3</v>
      </c>
      <c r="H17" s="135">
        <f>IF(B$17=0,0,G17/B$17)</f>
        <v>1.9867549668874173E-2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16.305555555555564</v>
      </c>
      <c r="P17" s="121">
        <v>18</v>
      </c>
      <c r="Q17" s="109">
        <v>293.50000000000017</v>
      </c>
    </row>
    <row r="18" spans="1:17" x14ac:dyDescent="0.4">
      <c r="A18" s="55" t="s">
        <v>12</v>
      </c>
      <c r="B18" s="47">
        <v>60</v>
      </c>
      <c r="C18" s="39">
        <f>IF(B$17=0,0,B18/B$17)</f>
        <v>0.39735099337748342</v>
      </c>
      <c r="E18" s="63" t="s">
        <v>75</v>
      </c>
      <c r="F18" s="60" t="s">
        <v>30</v>
      </c>
      <c r="G18" s="47">
        <v>2</v>
      </c>
      <c r="H18" s="135">
        <f>IF(B$17=0,0,G18/B$17)</f>
        <v>1.3245033112582781E-2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4.9499999999999984</v>
      </c>
      <c r="P18" s="121">
        <v>14</v>
      </c>
      <c r="Q18" s="109">
        <v>69.299999999999983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0.60264900662251653</v>
      </c>
      <c r="E19" s="63" t="s">
        <v>76</v>
      </c>
      <c r="F19" s="60" t="s">
        <v>31</v>
      </c>
      <c r="G19" s="47">
        <v>2</v>
      </c>
      <c r="H19" s="135">
        <f>IF(B$17=0,0,G19/B$17)</f>
        <v>1.3245033112582781E-2</v>
      </c>
      <c r="I19" s="96">
        <v>3</v>
      </c>
      <c r="K19" s="38">
        <v>17</v>
      </c>
      <c r="L19" s="101">
        <v>94.6</v>
      </c>
      <c r="N19" s="117" t="s">
        <v>178</v>
      </c>
      <c r="O19" s="127">
        <f>IF(P19=0,0,Q19/P19)</f>
        <v>-0.75</v>
      </c>
      <c r="P19" s="121">
        <v>10</v>
      </c>
      <c r="Q19" s="109">
        <v>-7.5</v>
      </c>
    </row>
    <row r="20" spans="1:17" x14ac:dyDescent="0.4">
      <c r="A20" s="55" t="s">
        <v>13</v>
      </c>
      <c r="B20" s="47">
        <v>95</v>
      </c>
      <c r="C20" s="39">
        <f>IF(B$3=0,0,B20/B$3)</f>
        <v>0.17958412098298676</v>
      </c>
      <c r="E20" s="63" t="s">
        <v>80</v>
      </c>
      <c r="F20" s="60" t="s">
        <v>35</v>
      </c>
      <c r="G20" s="47">
        <v>2</v>
      </c>
      <c r="H20" s="135">
        <f>IF(B$17=0,0,G20/B$17)</f>
        <v>1.3245033112582781E-2</v>
      </c>
      <c r="I20" s="96">
        <v>3</v>
      </c>
      <c r="K20" s="38">
        <v>18</v>
      </c>
      <c r="L20" s="101">
        <v>116.69999999999999</v>
      </c>
      <c r="N20" s="117" t="s">
        <v>173</v>
      </c>
      <c r="O20" s="127">
        <f>IF(P20=0,0,Q20/P20)</f>
        <v>-0.75999999999999945</v>
      </c>
      <c r="P20" s="121">
        <v>15</v>
      </c>
      <c r="Q20" s="109">
        <v>-11.399999999999991</v>
      </c>
    </row>
    <row r="21" spans="1:17" x14ac:dyDescent="0.4">
      <c r="A21" s="55" t="s">
        <v>194</v>
      </c>
      <c r="B21" s="47">
        <v>5</v>
      </c>
      <c r="C21" s="137">
        <v>1</v>
      </c>
      <c r="E21" s="63" t="s">
        <v>74</v>
      </c>
      <c r="F21" s="60" t="s">
        <v>29</v>
      </c>
      <c r="G21" s="47">
        <v>1</v>
      </c>
      <c r="H21" s="135">
        <f>IF(B$17=0,0,G21/B$17)</f>
        <v>6.6225165562913907E-3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-29.612244897959187</v>
      </c>
      <c r="P21" s="121">
        <v>49</v>
      </c>
      <c r="Q21" s="109">
        <v>-1451.0000000000002</v>
      </c>
    </row>
    <row r="22" spans="1:17" x14ac:dyDescent="0.4">
      <c r="A22" s="55" t="s">
        <v>195</v>
      </c>
      <c r="B22" s="47">
        <v>24</v>
      </c>
      <c r="C22" s="137">
        <v>1</v>
      </c>
      <c r="E22" s="63" t="s">
        <v>78</v>
      </c>
      <c r="F22" s="60" t="s">
        <v>33</v>
      </c>
      <c r="G22" s="47">
        <v>1</v>
      </c>
      <c r="H22" s="135">
        <f>IF(B$17=0,0,G22/B$17)</f>
        <v>6.6225165562913907E-3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8917.2185430463578</v>
      </c>
      <c r="C23" s="41">
        <v>1346500</v>
      </c>
      <c r="E23" s="63" t="s">
        <v>79</v>
      </c>
      <c r="F23" s="60" t="s">
        <v>34</v>
      </c>
      <c r="G23" s="47">
        <v>1</v>
      </c>
      <c r="H23" s="135">
        <f>IF(B$17=0,0,G23/B$17)</f>
        <v>6.6225165562913907E-3</v>
      </c>
      <c r="I23" s="96">
        <v>7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-7351.5789473684208</v>
      </c>
      <c r="C24" s="45">
        <v>-698400</v>
      </c>
      <c r="E24" s="63" t="s">
        <v>85</v>
      </c>
      <c r="F24" s="60" t="s">
        <v>40</v>
      </c>
      <c r="G24" s="47">
        <v>1</v>
      </c>
      <c r="H24" s="135">
        <f>IF(B$17=0,0,G24/B$17)</f>
        <v>6.6225165562913907E-3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6.6225165562913907E-3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6.6225165562913907E-3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7.5614366729678641E-3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  <row r="62" spans="5:12" x14ac:dyDescent="0.4">
      <c r="K62" s="38">
        <v>60</v>
      </c>
      <c r="L62" s="101">
        <v>-117.90000000000005</v>
      </c>
    </row>
    <row r="63" spans="5:12" x14ac:dyDescent="0.4">
      <c r="K63" s="38">
        <v>61</v>
      </c>
      <c r="L63" s="101">
        <v>-89.600000000000051</v>
      </c>
    </row>
    <row r="64" spans="5:12" x14ac:dyDescent="0.4">
      <c r="K64" s="38">
        <v>62</v>
      </c>
      <c r="L64" s="101">
        <v>-97.200000000000045</v>
      </c>
    </row>
    <row r="65" spans="11:12" x14ac:dyDescent="0.4">
      <c r="K65" s="38">
        <v>63</v>
      </c>
      <c r="L65" s="101">
        <v>-144.20000000000005</v>
      </c>
    </row>
    <row r="66" spans="11:12" x14ac:dyDescent="0.4">
      <c r="K66" s="38">
        <v>64</v>
      </c>
      <c r="L66" s="101">
        <v>-141.30000000000004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4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36</v>
      </c>
      <c r="C2" s="149"/>
      <c r="E2" s="62" t="s">
        <v>67</v>
      </c>
      <c r="F2" s="59" t="s">
        <v>23</v>
      </c>
      <c r="G2" s="46">
        <v>54</v>
      </c>
      <c r="H2" s="134">
        <f>IF(B$17=0,0,G2/B$17)</f>
        <v>0.72972972972972971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-205.55555555555554</v>
      </c>
      <c r="P2" s="120">
        <v>36</v>
      </c>
      <c r="Q2" s="104">
        <v>-7400</v>
      </c>
    </row>
    <row r="3" spans="1:17" x14ac:dyDescent="0.4">
      <c r="A3" s="55" t="s">
        <v>8</v>
      </c>
      <c r="B3" s="150">
        <v>307</v>
      </c>
      <c r="C3" s="151"/>
      <c r="E3" s="63" t="s">
        <v>65</v>
      </c>
      <c r="F3" s="60" t="s">
        <v>21</v>
      </c>
      <c r="G3" s="47">
        <v>40</v>
      </c>
      <c r="H3" s="135">
        <f>IF(B$17=0,0,G3/B$17)</f>
        <v>0.54054054054054057</v>
      </c>
      <c r="I3" s="96">
        <v>5</v>
      </c>
      <c r="K3" s="38">
        <v>1</v>
      </c>
      <c r="L3" s="101">
        <v>-51.2</v>
      </c>
      <c r="N3" s="117" t="s">
        <v>133</v>
      </c>
      <c r="O3" s="124">
        <f t="shared" si="0"/>
        <v>852.77777777777783</v>
      </c>
      <c r="P3" s="121">
        <v>36</v>
      </c>
      <c r="Q3" s="105">
        <v>30700</v>
      </c>
    </row>
    <row r="4" spans="1:17" x14ac:dyDescent="0.4">
      <c r="A4" s="55" t="s">
        <v>6</v>
      </c>
      <c r="B4" s="152">
        <v>-130.69999999999999</v>
      </c>
      <c r="C4" s="153"/>
      <c r="E4" s="63" t="s">
        <v>73</v>
      </c>
      <c r="F4" s="60" t="s">
        <v>28</v>
      </c>
      <c r="G4" s="47">
        <v>37</v>
      </c>
      <c r="H4" s="135">
        <f>IF(B$17=0,0,G4/B$17)</f>
        <v>0.5</v>
      </c>
      <c r="I4" s="96">
        <v>8</v>
      </c>
      <c r="K4" s="38">
        <v>2</v>
      </c>
      <c r="L4" s="101">
        <v>-93.300000000000011</v>
      </c>
      <c r="N4" s="117" t="s">
        <v>134</v>
      </c>
      <c r="O4" s="124">
        <f t="shared" si="0"/>
        <v>1055.8823529411766</v>
      </c>
      <c r="P4" s="121">
        <v>34</v>
      </c>
      <c r="Q4" s="105">
        <v>35900</v>
      </c>
    </row>
    <row r="5" spans="1:17" x14ac:dyDescent="0.4">
      <c r="A5" s="55" t="s">
        <v>7</v>
      </c>
      <c r="B5" s="154">
        <f>IF(B$2=0,0,B$4/B$2)</f>
        <v>-3.6305555555555551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0.29729729729729731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-2183.8709677419356</v>
      </c>
      <c r="P5" s="121">
        <v>31</v>
      </c>
      <c r="Q5" s="105">
        <v>-67700</v>
      </c>
    </row>
    <row r="6" spans="1:17" x14ac:dyDescent="0.4">
      <c r="A6" s="55" t="s">
        <v>1</v>
      </c>
      <c r="B6" s="144">
        <f>IF(B$2=0,0,(B$7*1+B$8*2+B$9*3)/B$2)</f>
        <v>2.1388888888888888</v>
      </c>
      <c r="C6" s="145"/>
      <c r="E6" s="63" t="s">
        <v>69</v>
      </c>
      <c r="F6" s="60" t="s">
        <v>12</v>
      </c>
      <c r="G6" s="47">
        <v>18</v>
      </c>
      <c r="H6" s="135">
        <f>IF(B$17=0,0,G6/B$17)</f>
        <v>0.24324324324324326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-913.79310344827582</v>
      </c>
      <c r="P6" s="121">
        <v>29</v>
      </c>
      <c r="Q6" s="105">
        <v>-26500</v>
      </c>
    </row>
    <row r="7" spans="1:17" x14ac:dyDescent="0.4">
      <c r="A7" s="55" t="s">
        <v>2</v>
      </c>
      <c r="B7" s="47">
        <v>9</v>
      </c>
      <c r="C7" s="39">
        <f>IF(B$2=0,0,B7/B$2)</f>
        <v>0.25</v>
      </c>
      <c r="E7" s="63" t="s">
        <v>68</v>
      </c>
      <c r="F7" s="60" t="s">
        <v>24</v>
      </c>
      <c r="G7" s="47">
        <v>17</v>
      </c>
      <c r="H7" s="135">
        <f>IF(B$17=0,0,G7/B$17)</f>
        <v>0.22972972972972974</v>
      </c>
      <c r="I7" s="96">
        <v>7</v>
      </c>
      <c r="K7" s="38">
        <v>5</v>
      </c>
      <c r="L7" s="101">
        <v>-36.100000000000009</v>
      </c>
      <c r="N7" s="118" t="s">
        <v>137</v>
      </c>
      <c r="O7" s="125">
        <f t="shared" si="0"/>
        <v>455.55555555555554</v>
      </c>
      <c r="P7" s="122">
        <v>27</v>
      </c>
      <c r="Q7" s="106">
        <v>12300</v>
      </c>
    </row>
    <row r="8" spans="1:17" x14ac:dyDescent="0.4">
      <c r="A8" s="55" t="s">
        <v>3</v>
      </c>
      <c r="B8" s="47">
        <v>13</v>
      </c>
      <c r="C8" s="39">
        <f>IF(B$2=0,0,B8/B$2)</f>
        <v>0.3611111111111111</v>
      </c>
      <c r="E8" s="63" t="s">
        <v>70</v>
      </c>
      <c r="F8" s="60" t="s">
        <v>25</v>
      </c>
      <c r="G8" s="47">
        <v>16</v>
      </c>
      <c r="H8" s="135">
        <f>IF(B$17=0,0,G8/B$17)</f>
        <v>0.21621621621621623</v>
      </c>
      <c r="I8" s="96">
        <v>2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13</v>
      </c>
      <c r="H9" s="135">
        <f>IF(B$17=0,0,G9/B$17)</f>
        <v>0.17567567567567569</v>
      </c>
      <c r="I9" s="96">
        <v>1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2.7777777777777776E-2</v>
      </c>
      <c r="E10" s="63" t="s">
        <v>90</v>
      </c>
      <c r="F10" s="60" t="s">
        <v>45</v>
      </c>
      <c r="G10" s="47">
        <v>11</v>
      </c>
      <c r="H10" s="135">
        <f>IF(B$17=0,0,G10/B$17)</f>
        <v>0.14864864864864866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4</v>
      </c>
      <c r="C11" s="40">
        <f>IF(B$2=0,0,B11/B$2)</f>
        <v>0.1111111111111111</v>
      </c>
      <c r="E11" s="63" t="s">
        <v>71</v>
      </c>
      <c r="F11" s="60" t="s">
        <v>26</v>
      </c>
      <c r="G11" s="47">
        <v>10</v>
      </c>
      <c r="H11" s="135">
        <f>IF(B$17=0,0,G11/B$17)</f>
        <v>0.13513513513513514</v>
      </c>
      <c r="I11" s="96">
        <v>3</v>
      </c>
      <c r="K11" s="38">
        <v>9</v>
      </c>
      <c r="L11" s="101">
        <v>-5.8000000000000025</v>
      </c>
      <c r="N11" s="117" t="s">
        <v>166</v>
      </c>
      <c r="O11" s="127">
        <f>IF(P11=0,0,Q11/P11)</f>
        <v>-8.639999999999997</v>
      </c>
      <c r="P11" s="121">
        <v>15</v>
      </c>
      <c r="Q11" s="109">
        <v>-129.59999999999997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6</v>
      </c>
      <c r="H12" s="135">
        <f>IF(B$17=0,0,G12/B$17)</f>
        <v>8.1081081081081086E-2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75</v>
      </c>
      <c r="C13" s="44">
        <f>IF(B$3=0,0,B13/B$3)</f>
        <v>0.24429967426710097</v>
      </c>
      <c r="E13" s="63" t="s">
        <v>87</v>
      </c>
      <c r="F13" s="60" t="s">
        <v>42</v>
      </c>
      <c r="G13" s="47">
        <v>6</v>
      </c>
      <c r="H13" s="135">
        <f>IF(B$17=0,0,G13/B$17)</f>
        <v>8.1081081081081086E-2</v>
      </c>
      <c r="I13" s="96">
        <v>4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52</v>
      </c>
      <c r="C14" s="39">
        <f>IF(B$3=0,0,B14/B$3)</f>
        <v>0.16938110749185667</v>
      </c>
      <c r="E14" s="63" t="s">
        <v>84</v>
      </c>
      <c r="F14" s="60" t="s">
        <v>39</v>
      </c>
      <c r="G14" s="47">
        <v>4</v>
      </c>
      <c r="H14" s="135">
        <f>IF(B$17=0,0,G14/B$17)</f>
        <v>5.4054054054054057E-2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0.57333333333333336</v>
      </c>
      <c r="E15" s="63" t="s">
        <v>79</v>
      </c>
      <c r="F15" s="60" t="s">
        <v>34</v>
      </c>
      <c r="G15" s="47">
        <v>3</v>
      </c>
      <c r="H15" s="135">
        <f>IF(B$17=0,0,G15/B$17)</f>
        <v>4.0540540540540543E-2</v>
      </c>
      <c r="I15" s="96">
        <v>2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0.30769230769230771</v>
      </c>
      <c r="E16" s="63" t="s">
        <v>76</v>
      </c>
      <c r="F16" s="60" t="s">
        <v>31</v>
      </c>
      <c r="G16" s="47">
        <v>2</v>
      </c>
      <c r="H16" s="135">
        <f>IF(B$17=0,0,G16/B$17)</f>
        <v>2.7027027027027029E-2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0.24104234527687296</v>
      </c>
      <c r="E17" s="63" t="s">
        <v>181</v>
      </c>
      <c r="F17" s="60" t="s">
        <v>184</v>
      </c>
      <c r="G17" s="47">
        <v>2</v>
      </c>
      <c r="H17" s="135">
        <f>IF(B$17=0,0,G17/B$17)</f>
        <v>2.7027027027027029E-2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10.618181818181817</v>
      </c>
      <c r="P17" s="121">
        <v>11</v>
      </c>
      <c r="Q17" s="109">
        <v>116.8</v>
      </c>
    </row>
    <row r="18" spans="1:17" x14ac:dyDescent="0.4">
      <c r="A18" s="55" t="s">
        <v>12</v>
      </c>
      <c r="B18" s="47">
        <v>26</v>
      </c>
      <c r="C18" s="39">
        <f>IF(B$17=0,0,B18/B$17)</f>
        <v>0.35135135135135137</v>
      </c>
      <c r="E18" s="63" t="s">
        <v>82</v>
      </c>
      <c r="F18" s="60" t="s">
        <v>37</v>
      </c>
      <c r="G18" s="47">
        <v>1</v>
      </c>
      <c r="H18" s="135">
        <f>IF(B$17=0,0,G18/B$17)</f>
        <v>1.3513513513513514E-2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0.24999999999999928</v>
      </c>
      <c r="P18" s="121">
        <v>10</v>
      </c>
      <c r="Q18" s="109">
        <v>2.4999999999999929</v>
      </c>
    </row>
    <row r="19" spans="1:17" x14ac:dyDescent="0.4">
      <c r="A19" s="55" t="s">
        <v>11</v>
      </c>
      <c r="B19" s="47">
        <v>48</v>
      </c>
      <c r="C19" s="39">
        <f>IF(B$17=0,0,B19/B$17)</f>
        <v>0.64864864864864868</v>
      </c>
      <c r="E19" s="63" t="s">
        <v>93</v>
      </c>
      <c r="F19" s="60" t="s">
        <v>48</v>
      </c>
      <c r="G19" s="47">
        <v>1</v>
      </c>
      <c r="H19" s="135">
        <f>IF(B$17=0,0,G19/B$17)</f>
        <v>1.3513513513513514E-2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49</v>
      </c>
      <c r="C20" s="39">
        <f>IF(B$3=0,0,B20/B$3)</f>
        <v>0.15960912052117263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-16.305555555555564</v>
      </c>
      <c r="P20" s="121">
        <v>18</v>
      </c>
      <c r="Q20" s="109">
        <v>-293.50000000000017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127</v>
      </c>
      <c r="O21" s="127">
        <f>IF(P21=0,0,Q21/P21)</f>
        <v>-26.113636363636363</v>
      </c>
      <c r="P21" s="121">
        <v>22</v>
      </c>
      <c r="Q21" s="109">
        <v>-574.5</v>
      </c>
    </row>
    <row r="22" spans="1:17" x14ac:dyDescent="0.4">
      <c r="A22" s="55" t="s">
        <v>195</v>
      </c>
      <c r="B22" s="47">
        <v>20</v>
      </c>
      <c r="C22" s="137">
        <v>7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203</v>
      </c>
      <c r="O22" s="127">
        <f>IF(P22=0,0,Q22/P22)</f>
        <v>-51.999999999999993</v>
      </c>
      <c r="P22" s="121">
        <v>2</v>
      </c>
      <c r="Q22" s="109">
        <v>-103.99999999999999</v>
      </c>
    </row>
    <row r="23" spans="1:17" x14ac:dyDescent="0.4">
      <c r="A23" s="55" t="s">
        <v>5</v>
      </c>
      <c r="B23" s="51">
        <f>IF(B$17=0,0,C23/B$17)</f>
        <v>8487.8378378378384</v>
      </c>
      <c r="C23" s="41">
        <v>628100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-7222.4489795918371</v>
      </c>
      <c r="C24" s="45">
        <v>-353900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3.2573289902280132E-3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28</v>
      </c>
      <c r="C2" s="149"/>
      <c r="E2" s="62" t="s">
        <v>67</v>
      </c>
      <c r="F2" s="59" t="s">
        <v>23</v>
      </c>
      <c r="G2" s="46">
        <v>57</v>
      </c>
      <c r="H2" s="134">
        <f>IF(B$17=0,0,G2/B$17)</f>
        <v>0.71250000000000002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792.85714285714289</v>
      </c>
      <c r="P2" s="120">
        <v>28</v>
      </c>
      <c r="Q2" s="104">
        <v>22200</v>
      </c>
    </row>
    <row r="3" spans="1:17" x14ac:dyDescent="0.4">
      <c r="A3" s="55" t="s">
        <v>8</v>
      </c>
      <c r="B3" s="150">
        <v>233</v>
      </c>
      <c r="C3" s="151"/>
      <c r="E3" s="63" t="s">
        <v>73</v>
      </c>
      <c r="F3" s="60" t="s">
        <v>28</v>
      </c>
      <c r="G3" s="47">
        <v>56</v>
      </c>
      <c r="H3" s="135">
        <f>IF(B$17=0,0,G3/B$17)</f>
        <v>0.7</v>
      </c>
      <c r="I3" s="96">
        <v>3</v>
      </c>
      <c r="K3" s="38">
        <v>1</v>
      </c>
      <c r="L3" s="101">
        <v>11.1</v>
      </c>
      <c r="N3" s="117" t="s">
        <v>133</v>
      </c>
      <c r="O3" s="124">
        <f t="shared" si="0"/>
        <v>996.42857142857144</v>
      </c>
      <c r="P3" s="121">
        <v>28</v>
      </c>
      <c r="Q3" s="105">
        <v>27900</v>
      </c>
    </row>
    <row r="4" spans="1:17" x14ac:dyDescent="0.4">
      <c r="A4" s="55" t="s">
        <v>6</v>
      </c>
      <c r="B4" s="152">
        <v>8.3000000000000043</v>
      </c>
      <c r="C4" s="153"/>
      <c r="E4" s="63" t="s">
        <v>182</v>
      </c>
      <c r="F4" s="60" t="s">
        <v>183</v>
      </c>
      <c r="G4" s="47">
        <v>31</v>
      </c>
      <c r="H4" s="135">
        <f>IF(B$17=0,0,G4/B$17)</f>
        <v>0.38750000000000001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1920.8333333333333</v>
      </c>
      <c r="P4" s="121">
        <v>24</v>
      </c>
      <c r="Q4" s="105">
        <v>46100</v>
      </c>
    </row>
    <row r="5" spans="1:17" x14ac:dyDescent="0.4">
      <c r="A5" s="55" t="s">
        <v>7</v>
      </c>
      <c r="B5" s="154">
        <f>IF(B$2=0,0,B$4/B$2)</f>
        <v>0.2964285714285716</v>
      </c>
      <c r="C5" s="155"/>
      <c r="E5" s="63" t="s">
        <v>65</v>
      </c>
      <c r="F5" s="60" t="s">
        <v>21</v>
      </c>
      <c r="G5" s="47">
        <v>29</v>
      </c>
      <c r="H5" s="135">
        <f>IF(B$17=0,0,G5/B$17)</f>
        <v>0.36249999999999999</v>
      </c>
      <c r="I5" s="96">
        <v>11</v>
      </c>
      <c r="K5" s="38">
        <v>3</v>
      </c>
      <c r="L5" s="101">
        <v>1.7999999999999989</v>
      </c>
      <c r="N5" s="117" t="s">
        <v>135</v>
      </c>
      <c r="O5" s="124">
        <f t="shared" si="0"/>
        <v>-18.181818181818183</v>
      </c>
      <c r="P5" s="121">
        <v>22</v>
      </c>
      <c r="Q5" s="105">
        <v>-400</v>
      </c>
    </row>
    <row r="6" spans="1:17" x14ac:dyDescent="0.4">
      <c r="A6" s="55" t="s">
        <v>1</v>
      </c>
      <c r="B6" s="144">
        <f>IF(B$2=0,0,(B$7*1+B$8*2+B$9*3)/B$2)</f>
        <v>2.0714285714285716</v>
      </c>
      <c r="C6" s="145"/>
      <c r="E6" s="63" t="s">
        <v>69</v>
      </c>
      <c r="F6" s="60" t="s">
        <v>12</v>
      </c>
      <c r="G6" s="47">
        <v>21</v>
      </c>
      <c r="H6" s="135">
        <f>IF(B$17=0,0,G6/B$17)</f>
        <v>0.26250000000000001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-3804.7619047619046</v>
      </c>
      <c r="P6" s="121">
        <v>21</v>
      </c>
      <c r="Q6" s="105">
        <v>-79900</v>
      </c>
    </row>
    <row r="7" spans="1:17" x14ac:dyDescent="0.4">
      <c r="A7" s="55" t="s">
        <v>2</v>
      </c>
      <c r="B7" s="47">
        <v>8</v>
      </c>
      <c r="C7" s="39">
        <f>IF(B$2=0,0,B7/B$2)</f>
        <v>0.2857142857142857</v>
      </c>
      <c r="E7" s="63" t="s">
        <v>68</v>
      </c>
      <c r="F7" s="60" t="s">
        <v>24</v>
      </c>
      <c r="G7" s="47">
        <v>16</v>
      </c>
      <c r="H7" s="135">
        <f>IF(B$17=0,0,G7/B$17)</f>
        <v>0.2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-1142.1052631578948</v>
      </c>
      <c r="P7" s="122">
        <v>19</v>
      </c>
      <c r="Q7" s="106">
        <v>-21700</v>
      </c>
    </row>
    <row r="8" spans="1:17" x14ac:dyDescent="0.4">
      <c r="A8" s="55" t="s">
        <v>3</v>
      </c>
      <c r="B8" s="47">
        <v>10</v>
      </c>
      <c r="C8" s="39">
        <f>IF(B$2=0,0,B8/B$2)</f>
        <v>0.35714285714285715</v>
      </c>
      <c r="E8" s="63" t="s">
        <v>70</v>
      </c>
      <c r="F8" s="60" t="s">
        <v>25</v>
      </c>
      <c r="G8" s="47">
        <v>11</v>
      </c>
      <c r="H8" s="135">
        <f>IF(B$17=0,0,G8/B$17)</f>
        <v>0.13750000000000001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0.35714285714285715</v>
      </c>
      <c r="E9" s="63" t="s">
        <v>71</v>
      </c>
      <c r="F9" s="60" t="s">
        <v>26</v>
      </c>
      <c r="G9" s="47">
        <v>8</v>
      </c>
      <c r="H9" s="135">
        <f>IF(B$17=0,0,G9/B$17)</f>
        <v>0.1</v>
      </c>
      <c r="I9" s="96">
        <v>6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7.1428571428571425E-2</v>
      </c>
      <c r="E10" s="63" t="s">
        <v>66</v>
      </c>
      <c r="F10" s="60" t="s">
        <v>22</v>
      </c>
      <c r="G10" s="47">
        <v>6</v>
      </c>
      <c r="H10" s="135">
        <f>IF(B$17=0,0,G10/B$17)</f>
        <v>7.4999999999999997E-2</v>
      </c>
      <c r="I10" s="96">
        <v>8</v>
      </c>
      <c r="K10" s="38">
        <v>8</v>
      </c>
      <c r="L10" s="101">
        <v>-29.5</v>
      </c>
      <c r="N10" s="116" t="s">
        <v>165</v>
      </c>
      <c r="O10" s="126">
        <f>IF(P10=0,0,Q10/P10)</f>
        <v>-18.020000000000003</v>
      </c>
      <c r="P10" s="120">
        <v>10</v>
      </c>
      <c r="Q10" s="108">
        <v>-180.20000000000002</v>
      </c>
    </row>
    <row r="11" spans="1:17" x14ac:dyDescent="0.4">
      <c r="A11" s="56" t="s">
        <v>140</v>
      </c>
      <c r="B11" s="48">
        <v>3</v>
      </c>
      <c r="C11" s="40">
        <f>IF(B$2=0,0,B11/B$2)</f>
        <v>0.10714285714285714</v>
      </c>
      <c r="E11" s="63" t="s">
        <v>90</v>
      </c>
      <c r="F11" s="60" t="s">
        <v>45</v>
      </c>
      <c r="G11" s="47">
        <v>5</v>
      </c>
      <c r="H11" s="135">
        <f>IF(B$17=0,0,G11/B$17)</f>
        <v>6.25E-2</v>
      </c>
      <c r="I11" s="96">
        <v>11</v>
      </c>
      <c r="K11" s="38">
        <v>9</v>
      </c>
      <c r="L11" s="101">
        <v>-56.5</v>
      </c>
      <c r="N11" s="117" t="s">
        <v>166</v>
      </c>
      <c r="O11" s="127">
        <f>IF(P11=0,0,Q11/P11)</f>
        <v>18.814285714285713</v>
      </c>
      <c r="P11" s="121">
        <v>7</v>
      </c>
      <c r="Q11" s="109">
        <v>131.69999999999999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84</v>
      </c>
      <c r="F12" s="60" t="s">
        <v>39</v>
      </c>
      <c r="G12" s="47">
        <v>4</v>
      </c>
      <c r="H12" s="135">
        <f>IF(B$17=0,0,G12/B$17)</f>
        <v>0.05</v>
      </c>
      <c r="I12" s="96">
        <v>3</v>
      </c>
      <c r="K12" s="38">
        <v>10</v>
      </c>
      <c r="L12" s="101">
        <v>24.200000000000003</v>
      </c>
      <c r="N12" s="118" t="s">
        <v>167</v>
      </c>
      <c r="O12" s="128">
        <f>IF(P12=0,0,Q12/P12)</f>
        <v>5.163636363636364</v>
      </c>
      <c r="P12" s="122">
        <v>11</v>
      </c>
      <c r="Q12" s="110">
        <v>56.800000000000004</v>
      </c>
    </row>
    <row r="13" spans="1:17" x14ac:dyDescent="0.4">
      <c r="A13" s="58" t="s">
        <v>122</v>
      </c>
      <c r="B13" s="50">
        <v>52</v>
      </c>
      <c r="C13" s="44">
        <f>IF(B$3=0,0,B13/B$3)</f>
        <v>0.22317596566523606</v>
      </c>
      <c r="E13" s="63" t="s">
        <v>82</v>
      </c>
      <c r="F13" s="60" t="s">
        <v>37</v>
      </c>
      <c r="G13" s="47">
        <v>3</v>
      </c>
      <c r="H13" s="135">
        <f>IF(B$17=0,0,G13/B$17)</f>
        <v>3.7499999999999999E-2</v>
      </c>
      <c r="I13" s="96">
        <v>3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78</v>
      </c>
      <c r="C14" s="39">
        <f>IF(B$3=0,0,B14/B$3)</f>
        <v>0.33476394849785407</v>
      </c>
      <c r="E14" s="63" t="s">
        <v>87</v>
      </c>
      <c r="F14" s="60" t="s">
        <v>42</v>
      </c>
      <c r="G14" s="47">
        <v>3</v>
      </c>
      <c r="H14" s="135">
        <f>IF(B$17=0,0,G14/B$17)</f>
        <v>3.7499999999999999E-2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30</v>
      </c>
      <c r="C15" s="37">
        <f>IF(B$13=0,0,B15/B$13)</f>
        <v>0.57692307692307687</v>
      </c>
      <c r="E15" s="63" t="s">
        <v>72</v>
      </c>
      <c r="F15" s="60" t="s">
        <v>27</v>
      </c>
      <c r="G15" s="47">
        <v>2</v>
      </c>
      <c r="H15" s="135">
        <f>IF(B$17=0,0,G15/B$17)</f>
        <v>2.5000000000000001E-2</v>
      </c>
      <c r="I15" s="96">
        <v>9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31</v>
      </c>
      <c r="C16" s="37">
        <f>IF(B$14=0,0,B16/B$14)</f>
        <v>0.39743589743589741</v>
      </c>
      <c r="E16" s="63" t="s">
        <v>79</v>
      </c>
      <c r="F16" s="60" t="s">
        <v>34</v>
      </c>
      <c r="G16" s="47">
        <v>2</v>
      </c>
      <c r="H16" s="135">
        <f>IF(B$17=0,0,G16/B$17)</f>
        <v>2.5000000000000001E-2</v>
      </c>
      <c r="I16" s="96">
        <v>3</v>
      </c>
      <c r="K16" s="38">
        <v>14</v>
      </c>
      <c r="L16" s="101">
        <v>-12.3</v>
      </c>
      <c r="N16" s="117" t="s">
        <v>178</v>
      </c>
      <c r="O16" s="127">
        <f>IF(P16=0,0,Q16/P16)</f>
        <v>34.799999999999997</v>
      </c>
      <c r="P16" s="121">
        <v>2</v>
      </c>
      <c r="Q16" s="109">
        <v>69.599999999999994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0.34334763948497854</v>
      </c>
      <c r="E17" s="63" t="s">
        <v>80</v>
      </c>
      <c r="F17" s="60" t="s">
        <v>35</v>
      </c>
      <c r="G17" s="47">
        <v>2</v>
      </c>
      <c r="H17" s="135">
        <f>IF(B$17=0,0,G17/B$17)</f>
        <v>2.5000000000000001E-2</v>
      </c>
      <c r="I17" s="96">
        <v>1</v>
      </c>
      <c r="K17" s="38">
        <v>15</v>
      </c>
      <c r="L17" s="101">
        <v>-80.3</v>
      </c>
      <c r="N17" s="117" t="s">
        <v>174</v>
      </c>
      <c r="O17" s="127">
        <f>IF(P17=0,0,Q17/P17)</f>
        <v>27.24</v>
      </c>
      <c r="P17" s="121">
        <v>5</v>
      </c>
      <c r="Q17" s="109">
        <v>136.19999999999999</v>
      </c>
    </row>
    <row r="18" spans="1:17" x14ac:dyDescent="0.4">
      <c r="A18" s="55" t="s">
        <v>12</v>
      </c>
      <c r="B18" s="47">
        <v>33</v>
      </c>
      <c r="C18" s="39">
        <f>IF(B$17=0,0,B18/B$17)</f>
        <v>0.41249999999999998</v>
      </c>
      <c r="E18" s="63" t="s">
        <v>92</v>
      </c>
      <c r="F18" s="60" t="s">
        <v>47</v>
      </c>
      <c r="G18" s="47">
        <v>2</v>
      </c>
      <c r="H18" s="135">
        <f>IF(B$17=0,0,G18/B$17)</f>
        <v>2.5000000000000001E-2</v>
      </c>
      <c r="I18" s="96">
        <v>3</v>
      </c>
      <c r="K18" s="38">
        <v>16</v>
      </c>
      <c r="L18" s="101">
        <v>-87.6</v>
      </c>
      <c r="N18" s="117" t="s">
        <v>203</v>
      </c>
      <c r="O18" s="127">
        <f>IF(P18=0,0,Q18/P18)</f>
        <v>16.449999999999996</v>
      </c>
      <c r="P18" s="121">
        <v>4</v>
      </c>
      <c r="Q18" s="109">
        <v>65.799999999999983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0.58750000000000002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128</v>
      </c>
      <c r="O19" s="127">
        <f>IF(P19=0,0,Q19/P19)</f>
        <v>0.7599999999999969</v>
      </c>
      <c r="P19" s="121">
        <v>15</v>
      </c>
      <c r="Q19" s="109">
        <v>11.399999999999954</v>
      </c>
    </row>
    <row r="20" spans="1:17" x14ac:dyDescent="0.4">
      <c r="A20" s="55" t="s">
        <v>13</v>
      </c>
      <c r="B20" s="47">
        <v>34</v>
      </c>
      <c r="C20" s="39">
        <f>IF(B$3=0,0,B20/B$3)</f>
        <v>0.14592274678111589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-0.25000000000000211</v>
      </c>
      <c r="P20" s="121">
        <v>10</v>
      </c>
      <c r="Q20" s="109">
        <v>-2.5000000000000213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-48.335714285714289</v>
      </c>
      <c r="P21" s="121">
        <v>14</v>
      </c>
      <c r="Q21" s="109">
        <v>-676.7</v>
      </c>
    </row>
    <row r="22" spans="1:17" x14ac:dyDescent="0.4">
      <c r="A22" s="55" t="s">
        <v>195</v>
      </c>
      <c r="B22" s="47">
        <v>23</v>
      </c>
      <c r="C22" s="137">
        <v>4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6993.75</v>
      </c>
      <c r="C23" s="41">
        <v>559500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-8932.3529411764703</v>
      </c>
      <c r="C24" s="45">
        <v>-303700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  <c r="K29" s="38">
        <v>27</v>
      </c>
      <c r="L29" s="101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</v>
      </c>
      <c r="C2" s="149"/>
      <c r="E2" s="62" t="s">
        <v>67</v>
      </c>
      <c r="F2" s="59" t="s">
        <v>23</v>
      </c>
      <c r="G2" s="46">
        <v>48</v>
      </c>
      <c r="H2" s="134">
        <f>IF(B$17=0,0,G2/B$17)</f>
        <v>0.77419354838709675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-3575</v>
      </c>
      <c r="P2" s="120">
        <v>24</v>
      </c>
      <c r="Q2" s="104">
        <v>-85800</v>
      </c>
    </row>
    <row r="3" spans="1:17" x14ac:dyDescent="0.4">
      <c r="A3" s="55" t="s">
        <v>8</v>
      </c>
      <c r="B3" s="150">
        <v>215</v>
      </c>
      <c r="C3" s="151"/>
      <c r="E3" s="63" t="s">
        <v>73</v>
      </c>
      <c r="F3" s="60" t="s">
        <v>28</v>
      </c>
      <c r="G3" s="47">
        <v>30</v>
      </c>
      <c r="H3" s="135">
        <f>IF(B$17=0,0,G3/B$17)</f>
        <v>0.4838709677419355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-745.83333333333337</v>
      </c>
      <c r="P3" s="121">
        <v>24</v>
      </c>
      <c r="Q3" s="105">
        <v>-17900</v>
      </c>
    </row>
    <row r="4" spans="1:17" x14ac:dyDescent="0.4">
      <c r="A4" s="55" t="s">
        <v>6</v>
      </c>
      <c r="B4" s="152">
        <v>-287.89999999999998</v>
      </c>
      <c r="C4" s="153"/>
      <c r="E4" s="63" t="s">
        <v>65</v>
      </c>
      <c r="F4" s="60" t="s">
        <v>21</v>
      </c>
      <c r="G4" s="47">
        <v>26</v>
      </c>
      <c r="H4" s="135">
        <f>IF(B$17=0,0,G4/B$17)</f>
        <v>0.41935483870967744</v>
      </c>
      <c r="I4" s="96">
        <v>8</v>
      </c>
      <c r="K4" s="38">
        <v>2</v>
      </c>
      <c r="L4" s="101">
        <v>-122.3</v>
      </c>
      <c r="N4" s="117" t="s">
        <v>134</v>
      </c>
      <c r="O4" s="124">
        <f t="shared" si="0"/>
        <v>-2377.2727272727275</v>
      </c>
      <c r="P4" s="121">
        <v>22</v>
      </c>
      <c r="Q4" s="105">
        <v>-52300</v>
      </c>
    </row>
    <row r="5" spans="1:17" x14ac:dyDescent="0.4">
      <c r="A5" s="55" t="s">
        <v>7</v>
      </c>
      <c r="B5" s="154">
        <f>IF(B$2=0,0,B$4/B$2)</f>
        <v>-11.995833333333332</v>
      </c>
      <c r="C5" s="155"/>
      <c r="E5" s="63" t="s">
        <v>69</v>
      </c>
      <c r="F5" s="60" t="s">
        <v>12</v>
      </c>
      <c r="G5" s="47">
        <v>24</v>
      </c>
      <c r="H5" s="135">
        <f>IF(B$17=0,0,G5/B$17)</f>
        <v>0.38709677419354838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-3452.3809523809523</v>
      </c>
      <c r="P5" s="121">
        <v>21</v>
      </c>
      <c r="Q5" s="105">
        <v>-72500</v>
      </c>
    </row>
    <row r="6" spans="1:17" x14ac:dyDescent="0.4">
      <c r="A6" s="55" t="s">
        <v>1</v>
      </c>
      <c r="B6" s="144">
        <f>IF(B$2=0,0,(B$7*1+B$8*2+B$9*3)/B$2)</f>
        <v>2.1666666666666665</v>
      </c>
      <c r="C6" s="145"/>
      <c r="E6" s="63" t="s">
        <v>182</v>
      </c>
      <c r="F6" s="60" t="s">
        <v>183</v>
      </c>
      <c r="G6" s="47">
        <v>18</v>
      </c>
      <c r="H6" s="135">
        <f>IF(B$17=0,0,G6/B$17)</f>
        <v>0.29032258064516131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1684.2105263157894</v>
      </c>
      <c r="P6" s="121">
        <v>19</v>
      </c>
      <c r="Q6" s="105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5">
        <f>IF(B$17=0,0,G7/B$17)</f>
        <v>0.17741935483870969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-633.33333333333337</v>
      </c>
      <c r="P7" s="122">
        <v>18</v>
      </c>
      <c r="Q7" s="106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5">
        <f>IF(B$17=0,0,G8/B$17)</f>
        <v>0.11290322580645161</v>
      </c>
      <c r="I8" s="96">
        <v>4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5">
        <f>IF(B$17=0,0,G9/B$17)</f>
        <v>0.11290322580645161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5">
        <f>IF(B$17=0,0,G10/B$17)</f>
        <v>9.6774193548387094E-2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-13.285714285714286</v>
      </c>
      <c r="P10" s="120">
        <v>7</v>
      </c>
      <c r="Q10" s="108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5">
        <f>IF(B$17=0,0,G11/B$17)</f>
        <v>6.4516129032258063E-2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-9.8769230769230756</v>
      </c>
      <c r="P11" s="121">
        <v>13</v>
      </c>
      <c r="Q11" s="109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5">
        <f>IF(B$17=0,0,G12/B$17)</f>
        <v>4.8387096774193547E-2</v>
      </c>
      <c r="I12" s="96">
        <v>8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5">
        <f>IF(B$17=0,0,G13/B$17)</f>
        <v>3.2258064516129031E-2</v>
      </c>
      <c r="I13" s="96">
        <v>9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5">
        <f>IF(B$17=0,0,G14/B$17)</f>
        <v>3.2258064516129031E-2</v>
      </c>
      <c r="I14" s="96">
        <v>8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5">
        <f>IF(B$17=0,0,G15/B$17)</f>
        <v>1.6129032258064516E-2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5">
        <f>IF(B$17=0,0,G16/B$17)</f>
        <v>1.6129032258064516E-2</v>
      </c>
      <c r="I16" s="96">
        <v>2</v>
      </c>
      <c r="K16" s="38">
        <v>14</v>
      </c>
      <c r="L16" s="101">
        <v>-269.99999999999994</v>
      </c>
      <c r="N16" s="117" t="s">
        <v>128</v>
      </c>
      <c r="O16" s="127">
        <f>IF(P16=0,0,Q16/P16)</f>
        <v>-4.9499999999999984</v>
      </c>
      <c r="P16" s="121">
        <v>14</v>
      </c>
      <c r="Q16" s="109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5">
        <f>IF(B$17=0,0,G17/B$17)</f>
        <v>1.6129032258064516E-2</v>
      </c>
      <c r="I17" s="96">
        <v>5</v>
      </c>
      <c r="K17" s="38">
        <v>15</v>
      </c>
      <c r="L17" s="101">
        <v>-264.59999999999997</v>
      </c>
      <c r="N17" s="117" t="s">
        <v>172</v>
      </c>
      <c r="O17" s="127">
        <f>IF(P17=0,0,Q17/P17)</f>
        <v>-10.618181818181816</v>
      </c>
      <c r="P17" s="121">
        <v>11</v>
      </c>
      <c r="Q17" s="109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178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173</v>
      </c>
      <c r="O19" s="127">
        <f>IF(P19=0,0,Q19/P19)</f>
        <v>-27.24</v>
      </c>
      <c r="P19" s="121">
        <v>5</v>
      </c>
      <c r="Q19" s="109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203</v>
      </c>
      <c r="O20" s="127">
        <f>IF(P20=0,0,Q20/P20)</f>
        <v>-43.1</v>
      </c>
      <c r="P20" s="121">
        <v>1</v>
      </c>
      <c r="Q20" s="109">
        <v>-43.1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186</v>
      </c>
      <c r="O21" s="127">
        <f>IF(P21=0,0,Q21/P21)</f>
        <v>-45.5</v>
      </c>
      <c r="P21" s="121">
        <v>1</v>
      </c>
      <c r="Q21" s="109">
        <v>-45.5</v>
      </c>
    </row>
    <row r="22" spans="1:17" x14ac:dyDescent="0.4">
      <c r="A22" s="55" t="s">
        <v>195</v>
      </c>
      <c r="B22" s="47">
        <v>14</v>
      </c>
      <c r="C22" s="137">
        <v>5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8</v>
      </c>
      <c r="K22" s="38">
        <v>20</v>
      </c>
      <c r="L22" s="101">
        <v>-182.79999999999993</v>
      </c>
      <c r="N22" s="117" t="s">
        <v>127</v>
      </c>
      <c r="O22" s="127">
        <f>IF(P22=0,0,Q22/P22)</f>
        <v>-49.409999999999989</v>
      </c>
      <c r="P22" s="121">
        <v>10</v>
      </c>
      <c r="Q22" s="109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-262.49999999999994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-259.09999999999997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8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5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1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9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8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8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</v>
      </c>
      <c r="C2" s="149"/>
      <c r="E2" s="62" t="s">
        <v>67</v>
      </c>
      <c r="F2" s="59" t="s">
        <v>23</v>
      </c>
      <c r="G2" s="46">
        <v>7</v>
      </c>
      <c r="H2" s="134">
        <f>IF(B$17=0,0,G2/B$17)</f>
        <v>0.77777777777777779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-6025</v>
      </c>
      <c r="P2" s="120">
        <v>4</v>
      </c>
      <c r="Q2" s="104">
        <v>-24100</v>
      </c>
    </row>
    <row r="3" spans="1:17" x14ac:dyDescent="0.4">
      <c r="A3" s="55" t="s">
        <v>8</v>
      </c>
      <c r="B3" s="150">
        <v>36</v>
      </c>
      <c r="C3" s="151"/>
      <c r="E3" s="63" t="s">
        <v>65</v>
      </c>
      <c r="F3" s="60" t="s">
        <v>21</v>
      </c>
      <c r="G3" s="47">
        <v>6</v>
      </c>
      <c r="H3" s="135">
        <f>IF(B$17=0,0,G3/B$17)</f>
        <v>0.66666666666666663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3450</v>
      </c>
      <c r="P3" s="121">
        <v>4</v>
      </c>
      <c r="Q3" s="105">
        <v>13800</v>
      </c>
    </row>
    <row r="4" spans="1:17" x14ac:dyDescent="0.4">
      <c r="A4" s="55" t="s">
        <v>6</v>
      </c>
      <c r="B4" s="152">
        <v>19.399999999999995</v>
      </c>
      <c r="C4" s="153"/>
      <c r="E4" s="63" t="s">
        <v>73</v>
      </c>
      <c r="F4" s="60" t="s">
        <v>28</v>
      </c>
      <c r="G4" s="47">
        <v>6</v>
      </c>
      <c r="H4" s="135">
        <f>IF(B$17=0,0,G4/B$17)</f>
        <v>0.66666666666666663</v>
      </c>
      <c r="I4" s="96">
        <v>4</v>
      </c>
      <c r="K4" s="38">
        <v>2</v>
      </c>
      <c r="L4" s="101">
        <v>-28.1</v>
      </c>
      <c r="N4" s="117" t="s">
        <v>134</v>
      </c>
      <c r="O4" s="124">
        <f t="shared" si="0"/>
        <v>-3650</v>
      </c>
      <c r="P4" s="121">
        <v>4</v>
      </c>
      <c r="Q4" s="105">
        <v>-14600</v>
      </c>
    </row>
    <row r="5" spans="1:17" x14ac:dyDescent="0.4">
      <c r="A5" s="55" t="s">
        <v>7</v>
      </c>
      <c r="B5" s="154">
        <f>IF(B$2=0,0,B$4/B$2)</f>
        <v>4.8499999999999988</v>
      </c>
      <c r="C5" s="155"/>
      <c r="E5" s="63" t="s">
        <v>68</v>
      </c>
      <c r="F5" s="60" t="s">
        <v>24</v>
      </c>
      <c r="G5" s="47">
        <v>5</v>
      </c>
      <c r="H5" s="135">
        <f>IF(B$17=0,0,G5/B$17)</f>
        <v>0.55555555555555558</v>
      </c>
      <c r="I5" s="96">
        <v>1</v>
      </c>
      <c r="K5" s="38">
        <v>3</v>
      </c>
      <c r="L5" s="101">
        <v>-20.400000000000002</v>
      </c>
      <c r="N5" s="117" t="s">
        <v>135</v>
      </c>
      <c r="O5" s="124">
        <f t="shared" si="0"/>
        <v>-1250</v>
      </c>
      <c r="P5" s="121">
        <v>4</v>
      </c>
      <c r="Q5" s="105">
        <v>-5000</v>
      </c>
    </row>
    <row r="6" spans="1:17" x14ac:dyDescent="0.4">
      <c r="A6" s="55" t="s">
        <v>1</v>
      </c>
      <c r="B6" s="144">
        <f>IF(B$2=0,0,(B$7*1+B$8*2+B$9*3)/B$2)</f>
        <v>1.75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0.55555555555555558</v>
      </c>
      <c r="I6" s="96">
        <v>1</v>
      </c>
      <c r="K6" s="38">
        <v>4</v>
      </c>
      <c r="L6" s="101">
        <v>19.399999999999995</v>
      </c>
      <c r="N6" s="117" t="s">
        <v>136</v>
      </c>
      <c r="O6" s="124">
        <f t="shared" si="0"/>
        <v>11266.666666666666</v>
      </c>
      <c r="P6" s="121">
        <v>3</v>
      </c>
      <c r="Q6" s="105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182</v>
      </c>
      <c r="F7" s="60" t="s">
        <v>183</v>
      </c>
      <c r="G7" s="47">
        <v>5</v>
      </c>
      <c r="H7" s="135">
        <f>IF(B$17=0,0,G7/B$17)</f>
        <v>0.55555555555555558</v>
      </c>
      <c r="I7" s="96">
        <v>1</v>
      </c>
      <c r="N7" s="118" t="s">
        <v>137</v>
      </c>
      <c r="O7" s="125">
        <f t="shared" si="0"/>
        <v>-1500</v>
      </c>
      <c r="P7" s="122">
        <v>3</v>
      </c>
      <c r="Q7" s="106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5">
        <f>IF(B$17=0,0,G8/B$17)</f>
        <v>0.33333333333333331</v>
      </c>
      <c r="I8" s="96">
        <v>1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5">
        <f>IF(B$17=0,0,G9/B$17)</f>
        <v>0.22222222222222221</v>
      </c>
      <c r="I9" s="96">
        <v>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5">
        <f>IF(B$17=0,0,G10/B$17)</f>
        <v>0.1111111111111111</v>
      </c>
      <c r="I10" s="96">
        <v>6</v>
      </c>
      <c r="N10" s="116" t="s">
        <v>165</v>
      </c>
      <c r="O10" s="126">
        <f>IF(P10=0,0,Q10/P10)</f>
        <v>-15.6</v>
      </c>
      <c r="P10" s="120">
        <v>1</v>
      </c>
      <c r="Q10" s="108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5">
        <f>IF(B$17=0,0,G11/B$17)</f>
        <v>0.1111111111111111</v>
      </c>
      <c r="I11" s="96">
        <v>1</v>
      </c>
      <c r="N11" s="117" t="s">
        <v>166</v>
      </c>
      <c r="O11" s="127">
        <f>IF(P11=0,0,Q11/P11)</f>
        <v>7.7</v>
      </c>
      <c r="P11" s="121">
        <v>1</v>
      </c>
      <c r="Q11" s="109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5">
        <f>IF(B$17=0,0,G12/B$17)</f>
        <v>0.1111111111111111</v>
      </c>
      <c r="I12" s="96">
        <v>2</v>
      </c>
      <c r="N12" s="118" t="s">
        <v>167</v>
      </c>
      <c r="O12" s="128">
        <f>IF(P12=0,0,Q12/P12)</f>
        <v>13.649999999999999</v>
      </c>
      <c r="P12" s="122">
        <v>2</v>
      </c>
      <c r="Q12" s="110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172</v>
      </c>
      <c r="O15" s="126">
        <f>IF(P15=0,0,Q15/P15)</f>
        <v>52</v>
      </c>
      <c r="P15" s="120">
        <v>2</v>
      </c>
      <c r="Q15" s="108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43.1</v>
      </c>
      <c r="P16" s="121">
        <v>1</v>
      </c>
      <c r="Q16" s="109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173</v>
      </c>
      <c r="O17" s="127">
        <f>IF(P17=0,0,Q17/P17)</f>
        <v>-16.450000000000006</v>
      </c>
      <c r="P17" s="121">
        <v>4</v>
      </c>
      <c r="Q17" s="109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127</v>
      </c>
      <c r="O18" s="127">
        <f>IF(P18=0,0,Q18/P18)</f>
        <v>-23.1</v>
      </c>
      <c r="P18" s="121">
        <v>1</v>
      </c>
      <c r="Q18" s="109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3</v>
      </c>
      <c r="C21" s="137">
        <v>3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8</v>
      </c>
      <c r="C22" s="137">
        <v>4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4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54800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2019-04-22T04:03:24Z</dcterms:modified>
</cp:coreProperties>
</file>