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185C247B-69FE-43D6-9F20-935F95BD55CF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530" r:id="rId6"/>
    <sheet name="だいち" sheetId="4532" r:id="rId7"/>
    <sheet name="りくと" sheetId="4534" r:id="rId8"/>
    <sheet name="ただ" sheetId="4536" r:id="rId9"/>
    <sheet name="れんたろう" sheetId="4538" r:id="rId10"/>
    <sheet name="たかの" sheetId="4540" r:id="rId11"/>
    <sheet name="ぱぱ" sheetId="4542" r:id="rId12"/>
    <sheet name="まっつん" sheetId="4544" r:id="rId13"/>
    <sheet name="あさひ" sheetId="4546" r:id="rId14"/>
    <sheet name="いっしー" sheetId="4548" r:id="rId15"/>
    <sheet name="いっしー2" sheetId="4549" state="hidden" r:id="rId16"/>
    <sheet name="あさひ2" sheetId="4547" state="hidden" r:id="rId17"/>
    <sheet name="まっつん2" sheetId="4545" state="hidden" r:id="rId18"/>
    <sheet name="ぱぱ2" sheetId="4543" state="hidden" r:id="rId19"/>
    <sheet name="たかの2" sheetId="4541" state="hidden" r:id="rId20"/>
    <sheet name="れんたろう2" sheetId="4539" state="hidden" r:id="rId21"/>
    <sheet name="ただ2" sheetId="4537" state="hidden" r:id="rId22"/>
    <sheet name="りくと2" sheetId="4535" state="hidden" r:id="rId23"/>
    <sheet name="だいち2" sheetId="4533" state="hidden" r:id="rId24"/>
    <sheet name="全体2" sheetId="453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  <sheet name="逆転率" sheetId="3529" state="hidden" r:id="rId4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9" i="4548" l="1"/>
  <c r="O15" i="4548"/>
  <c r="O16" i="4538"/>
  <c r="O19" i="4536"/>
  <c r="O17" i="4546" l="1"/>
  <c r="O19" i="4542"/>
  <c r="O15" i="4546"/>
  <c r="O18" i="4548"/>
  <c r="O16" i="4534"/>
  <c r="O15" i="4544"/>
  <c r="O16" i="4530"/>
  <c r="O16" i="4548"/>
  <c r="O17" i="4548"/>
  <c r="H7" i="4548"/>
  <c r="H52" i="4548"/>
  <c r="H51" i="4548"/>
  <c r="H50" i="4548"/>
  <c r="H49" i="4548"/>
  <c r="H48" i="4548"/>
  <c r="H47" i="4548"/>
  <c r="H46" i="4548"/>
  <c r="H45" i="4548"/>
  <c r="H44" i="4548"/>
  <c r="H43" i="4548"/>
  <c r="H42" i="4548"/>
  <c r="H41" i="4548"/>
  <c r="H40" i="4548"/>
  <c r="H39" i="4548"/>
  <c r="H38" i="4548"/>
  <c r="H37" i="4548"/>
  <c r="H36" i="4548"/>
  <c r="H35" i="4548"/>
  <c r="H34" i="4548"/>
  <c r="H33" i="4548"/>
  <c r="H32" i="4548"/>
  <c r="H31" i="4548"/>
  <c r="H30" i="4548"/>
  <c r="H5" i="4548"/>
  <c r="H29" i="4548"/>
  <c r="H28" i="4548"/>
  <c r="H27" i="4548"/>
  <c r="C25" i="4548"/>
  <c r="H26" i="4548"/>
  <c r="H25" i="4548"/>
  <c r="H24" i="4548"/>
  <c r="B22" i="4548"/>
  <c r="H23" i="4548"/>
  <c r="H22" i="4548"/>
  <c r="C20" i="4548"/>
  <c r="H21" i="4548"/>
  <c r="H20" i="4548"/>
  <c r="H19" i="4548"/>
  <c r="B17" i="4548"/>
  <c r="C18" i="4548" s="1"/>
  <c r="H18" i="4548"/>
  <c r="C16" i="4548"/>
  <c r="H17" i="4548"/>
  <c r="C15" i="4548"/>
  <c r="H16" i="4548"/>
  <c r="C14" i="4548"/>
  <c r="H15" i="4548"/>
  <c r="C13" i="4548"/>
  <c r="O12" i="4548"/>
  <c r="H14" i="4548"/>
  <c r="C12" i="4548"/>
  <c r="O11" i="4548"/>
  <c r="H13" i="4548"/>
  <c r="C11" i="4548"/>
  <c r="O10" i="4548"/>
  <c r="H2" i="4548"/>
  <c r="C10" i="4548"/>
  <c r="H12" i="4548"/>
  <c r="C9" i="4548"/>
  <c r="H11" i="4548"/>
  <c r="C8" i="4548"/>
  <c r="O7" i="4548"/>
  <c r="H6" i="4548"/>
  <c r="C7" i="4548"/>
  <c r="O6" i="4548"/>
  <c r="H10" i="4548"/>
  <c r="B6" i="4548"/>
  <c r="O5" i="4548"/>
  <c r="H9" i="4548"/>
  <c r="B5" i="4548"/>
  <c r="O4" i="4548"/>
  <c r="H4" i="4548"/>
  <c r="O3" i="4548"/>
  <c r="H8" i="4548"/>
  <c r="O2" i="4548"/>
  <c r="H3" i="4548"/>
  <c r="O16" i="4546"/>
  <c r="O18" i="4546"/>
  <c r="H7" i="4546"/>
  <c r="H52" i="4546"/>
  <c r="H51" i="4546"/>
  <c r="H50" i="4546"/>
  <c r="H49" i="4546"/>
  <c r="H48" i="4546"/>
  <c r="H47" i="4546"/>
  <c r="H46" i="4546"/>
  <c r="H45" i="4546"/>
  <c r="H44" i="4546"/>
  <c r="H43" i="4546"/>
  <c r="H42" i="4546"/>
  <c r="H41" i="4546"/>
  <c r="H40" i="4546"/>
  <c r="H39" i="4546"/>
  <c r="H38" i="4546"/>
  <c r="H37" i="4546"/>
  <c r="H36" i="4546"/>
  <c r="H35" i="4546"/>
  <c r="H34" i="4546"/>
  <c r="H33" i="4546"/>
  <c r="H32" i="4546"/>
  <c r="H31" i="4546"/>
  <c r="H30" i="4546"/>
  <c r="H6" i="4546"/>
  <c r="H29" i="4546"/>
  <c r="H28" i="4546"/>
  <c r="H11" i="4546"/>
  <c r="C25" i="4546"/>
  <c r="H27" i="4546"/>
  <c r="H26" i="4546"/>
  <c r="H25" i="4546"/>
  <c r="B22" i="4546"/>
  <c r="H24" i="4546"/>
  <c r="H23" i="4546"/>
  <c r="C20" i="4546"/>
  <c r="H22" i="4546"/>
  <c r="H21" i="4546"/>
  <c r="H20" i="4546"/>
  <c r="B17" i="4546"/>
  <c r="B21" i="4546" s="1"/>
  <c r="H19" i="4546"/>
  <c r="C16" i="4546"/>
  <c r="H18" i="4546"/>
  <c r="C15" i="4546"/>
  <c r="H17" i="4546"/>
  <c r="C14" i="4546"/>
  <c r="H16" i="4546"/>
  <c r="C13" i="4546"/>
  <c r="O12" i="4546"/>
  <c r="H15" i="4546"/>
  <c r="C12" i="4546"/>
  <c r="O11" i="4546"/>
  <c r="H14" i="4546"/>
  <c r="C11" i="4546"/>
  <c r="O10" i="4546"/>
  <c r="H4" i="4546"/>
  <c r="C10" i="4546"/>
  <c r="H10" i="4546"/>
  <c r="C9" i="4546"/>
  <c r="H13" i="4546"/>
  <c r="C8" i="4546"/>
  <c r="O7" i="4546"/>
  <c r="H9" i="4546"/>
  <c r="C7" i="4546"/>
  <c r="O6" i="4546"/>
  <c r="H8" i="4546"/>
  <c r="B6" i="4546"/>
  <c r="O5" i="4546"/>
  <c r="H5" i="4546"/>
  <c r="B5" i="4546"/>
  <c r="O4" i="4546"/>
  <c r="H3" i="4546"/>
  <c r="O3" i="4546"/>
  <c r="H12" i="4546"/>
  <c r="O2" i="4546"/>
  <c r="H2" i="4546"/>
  <c r="O20" i="4544"/>
  <c r="O19" i="4544"/>
  <c r="O17" i="4532"/>
  <c r="O16" i="4532"/>
  <c r="O22" i="4530"/>
  <c r="C17" i="4546" l="1"/>
  <c r="C19" i="4546"/>
  <c r="C19" i="4548"/>
  <c r="B21" i="4548"/>
  <c r="C17" i="4548"/>
  <c r="C18" i="4546"/>
  <c r="O17" i="4544" l="1"/>
  <c r="O17" i="4542"/>
  <c r="O20" i="4542"/>
  <c r="O15" i="4534"/>
  <c r="O16" i="4540" l="1"/>
  <c r="O18" i="4538"/>
  <c r="O16" i="4542"/>
  <c r="O18" i="4542"/>
  <c r="O15" i="4540" l="1"/>
  <c r="O15" i="4538"/>
  <c r="O18" i="4536"/>
  <c r="O20" i="4536"/>
  <c r="O18" i="4544"/>
  <c r="O16" i="4544"/>
  <c r="H7" i="4544"/>
  <c r="H52" i="4544"/>
  <c r="H51" i="4544"/>
  <c r="H50" i="4544"/>
  <c r="H49" i="4544"/>
  <c r="H48" i="4544"/>
  <c r="H47" i="4544"/>
  <c r="H46" i="4544"/>
  <c r="H45" i="4544"/>
  <c r="H44" i="4544"/>
  <c r="H43" i="4544"/>
  <c r="H42" i="4544"/>
  <c r="H41" i="4544"/>
  <c r="H40" i="4544"/>
  <c r="H39" i="4544"/>
  <c r="H38" i="4544"/>
  <c r="H37" i="4544"/>
  <c r="H36" i="4544"/>
  <c r="H35" i="4544"/>
  <c r="H34" i="4544"/>
  <c r="H33" i="4544"/>
  <c r="H32" i="4544"/>
  <c r="H14" i="4544"/>
  <c r="H31" i="4544"/>
  <c r="H10" i="4544"/>
  <c r="H30" i="4544"/>
  <c r="H29" i="4544"/>
  <c r="H28" i="4544"/>
  <c r="C25" i="4544"/>
  <c r="H13" i="4544"/>
  <c r="H27" i="4544"/>
  <c r="H12" i="4544"/>
  <c r="B22" i="4544"/>
  <c r="H26" i="4544"/>
  <c r="H25" i="4544"/>
  <c r="C20" i="4544"/>
  <c r="H24" i="4544"/>
  <c r="H23" i="4544"/>
  <c r="H22" i="4544"/>
  <c r="B17" i="4544"/>
  <c r="C18" i="4544" s="1"/>
  <c r="H21" i="4544"/>
  <c r="C16" i="4544"/>
  <c r="H20" i="4544"/>
  <c r="C15" i="4544"/>
  <c r="H19" i="4544"/>
  <c r="C14" i="4544"/>
  <c r="H11" i="4544"/>
  <c r="C13" i="4544"/>
  <c r="O12" i="4544"/>
  <c r="H18" i="4544"/>
  <c r="C12" i="4544"/>
  <c r="O11" i="4544"/>
  <c r="H17" i="4544"/>
  <c r="C11" i="4544"/>
  <c r="O10" i="4544"/>
  <c r="H3" i="4544"/>
  <c r="C10" i="4544"/>
  <c r="H16" i="4544"/>
  <c r="C9" i="4544"/>
  <c r="H15" i="4544"/>
  <c r="C8" i="4544"/>
  <c r="O7" i="4544"/>
  <c r="H9" i="4544"/>
  <c r="C7" i="4544"/>
  <c r="O6" i="4544"/>
  <c r="H6" i="4544"/>
  <c r="B6" i="4544"/>
  <c r="O5" i="4544"/>
  <c r="H5" i="4544"/>
  <c r="B5" i="4544"/>
  <c r="O4" i="4544"/>
  <c r="H4" i="4544"/>
  <c r="O3" i="4544"/>
  <c r="H8" i="4544"/>
  <c r="O2" i="4544"/>
  <c r="H2" i="4544"/>
  <c r="O17" i="4538"/>
  <c r="O21" i="4534"/>
  <c r="O20" i="4530"/>
  <c r="C19" i="4544" l="1"/>
  <c r="C17" i="4544"/>
  <c r="B21" i="4544"/>
  <c r="O16" i="4536" l="1"/>
  <c r="O21" i="4542"/>
  <c r="O15" i="4542"/>
  <c r="H6" i="4542"/>
  <c r="H52" i="4542"/>
  <c r="H51" i="4542"/>
  <c r="H50" i="4542"/>
  <c r="H49" i="4542"/>
  <c r="H48" i="4542"/>
  <c r="H47" i="4542"/>
  <c r="H46" i="4542"/>
  <c r="H45" i="4542"/>
  <c r="H44" i="4542"/>
  <c r="H43" i="4542"/>
  <c r="H42" i="4542"/>
  <c r="H41" i="4542"/>
  <c r="H40" i="4542"/>
  <c r="H39" i="4542"/>
  <c r="H38" i="4542"/>
  <c r="H37" i="4542"/>
  <c r="H36" i="4542"/>
  <c r="H35" i="4542"/>
  <c r="H34" i="4542"/>
  <c r="H33" i="4542"/>
  <c r="H32" i="4542"/>
  <c r="H31" i="4542"/>
  <c r="H30" i="4542"/>
  <c r="H7" i="4542"/>
  <c r="H29" i="4542"/>
  <c r="H28" i="4542"/>
  <c r="H14" i="4542"/>
  <c r="C25" i="4542"/>
  <c r="H27" i="4542"/>
  <c r="H26" i="4542"/>
  <c r="H12" i="4542"/>
  <c r="B22" i="4542"/>
  <c r="H25" i="4542"/>
  <c r="H24" i="4542"/>
  <c r="C20" i="4542"/>
  <c r="H23" i="4542"/>
  <c r="H22" i="4542"/>
  <c r="H13" i="4542"/>
  <c r="B17" i="4542"/>
  <c r="C18" i="4542" s="1"/>
  <c r="H21" i="4542"/>
  <c r="C16" i="4542"/>
  <c r="H20" i="4542"/>
  <c r="C15" i="4542"/>
  <c r="H19" i="4542"/>
  <c r="C14" i="4542"/>
  <c r="H18" i="4542"/>
  <c r="C13" i="4542"/>
  <c r="O12" i="4542"/>
  <c r="H17" i="4542"/>
  <c r="C12" i="4542"/>
  <c r="O11" i="4542"/>
  <c r="H16" i="4542"/>
  <c r="C11" i="4542"/>
  <c r="O10" i="4542"/>
  <c r="H3" i="4542"/>
  <c r="C10" i="4542"/>
  <c r="H10" i="4542"/>
  <c r="C9" i="4542"/>
  <c r="H8" i="4542"/>
  <c r="C8" i="4542"/>
  <c r="O7" i="4542"/>
  <c r="H9" i="4542"/>
  <c r="C7" i="4542"/>
  <c r="O6" i="4542"/>
  <c r="H4" i="4542"/>
  <c r="B6" i="4542"/>
  <c r="O5" i="4542"/>
  <c r="H11" i="4542"/>
  <c r="B5" i="4542"/>
  <c r="O4" i="4542"/>
  <c r="H2" i="4542"/>
  <c r="O3" i="4542"/>
  <c r="H15" i="4542"/>
  <c r="O2" i="4542"/>
  <c r="H5" i="4542"/>
  <c r="O15" i="4532"/>
  <c r="O17" i="4530"/>
  <c r="O19" i="4540"/>
  <c r="O17" i="4534"/>
  <c r="O18" i="4534"/>
  <c r="O20" i="4538"/>
  <c r="O17" i="4540"/>
  <c r="O18" i="4540"/>
  <c r="H3" i="4540"/>
  <c r="H52" i="4540"/>
  <c r="H51" i="4540"/>
  <c r="H50" i="4540"/>
  <c r="H49" i="4540"/>
  <c r="H48" i="4540"/>
  <c r="H47" i="4540"/>
  <c r="H46" i="4540"/>
  <c r="H45" i="4540"/>
  <c r="H44" i="4540"/>
  <c r="H43" i="4540"/>
  <c r="H42" i="4540"/>
  <c r="H41" i="4540"/>
  <c r="H40" i="4540"/>
  <c r="H39" i="4540"/>
  <c r="H38" i="4540"/>
  <c r="H37" i="4540"/>
  <c r="H36" i="4540"/>
  <c r="H35" i="4540"/>
  <c r="H34" i="4540"/>
  <c r="H33" i="4540"/>
  <c r="H32" i="4540"/>
  <c r="H31" i="4540"/>
  <c r="H30" i="4540"/>
  <c r="H9" i="4540"/>
  <c r="H29" i="4540"/>
  <c r="H28" i="4540"/>
  <c r="H13" i="4540"/>
  <c r="C25" i="4540"/>
  <c r="H27" i="4540"/>
  <c r="H26" i="4540"/>
  <c r="H12" i="4540"/>
  <c r="B22" i="4540"/>
  <c r="H25" i="4540"/>
  <c r="H11" i="4540"/>
  <c r="C20" i="4540"/>
  <c r="H24" i="4540"/>
  <c r="H23" i="4540"/>
  <c r="H22" i="4540"/>
  <c r="B17" i="4540"/>
  <c r="C18" i="4540" s="1"/>
  <c r="H21" i="4540"/>
  <c r="C16" i="4540"/>
  <c r="H20" i="4540"/>
  <c r="C15" i="4540"/>
  <c r="H19" i="4540"/>
  <c r="C14" i="4540"/>
  <c r="H18" i="4540"/>
  <c r="C13" i="4540"/>
  <c r="O12" i="4540"/>
  <c r="H17" i="4540"/>
  <c r="C12" i="4540"/>
  <c r="O11" i="4540"/>
  <c r="H16" i="4540"/>
  <c r="C11" i="4540"/>
  <c r="O10" i="4540"/>
  <c r="H2" i="4540"/>
  <c r="C10" i="4540"/>
  <c r="H15" i="4540"/>
  <c r="C9" i="4540"/>
  <c r="H14" i="4540"/>
  <c r="C8" i="4540"/>
  <c r="O7" i="4540"/>
  <c r="H10" i="4540"/>
  <c r="C7" i="4540"/>
  <c r="O6" i="4540"/>
  <c r="H7" i="4540"/>
  <c r="B6" i="4540"/>
  <c r="O5" i="4540"/>
  <c r="H6" i="4540"/>
  <c r="B5" i="4540"/>
  <c r="O4" i="4540"/>
  <c r="H5" i="4540"/>
  <c r="O3" i="4540"/>
  <c r="H8" i="4540"/>
  <c r="O2" i="4540"/>
  <c r="H4" i="4540"/>
  <c r="O21" i="4538"/>
  <c r="O19" i="4538"/>
  <c r="H5" i="4538"/>
  <c r="H52" i="4538"/>
  <c r="H51" i="4538"/>
  <c r="H50" i="4538"/>
  <c r="H49" i="4538"/>
  <c r="H48" i="4538"/>
  <c r="H47" i="4538"/>
  <c r="H46" i="4538"/>
  <c r="H45" i="4538"/>
  <c r="H44" i="4538"/>
  <c r="H43" i="4538"/>
  <c r="H42" i="4538"/>
  <c r="H41" i="4538"/>
  <c r="H40" i="4538"/>
  <c r="H39" i="4538"/>
  <c r="H38" i="4538"/>
  <c r="H37" i="4538"/>
  <c r="H36" i="4538"/>
  <c r="H35" i="4538"/>
  <c r="H34" i="4538"/>
  <c r="H33" i="4538"/>
  <c r="H17" i="4538"/>
  <c r="H32" i="4538"/>
  <c r="H31" i="4538"/>
  <c r="H9" i="4538"/>
  <c r="H30" i="4538"/>
  <c r="H29" i="4538"/>
  <c r="H14" i="4538"/>
  <c r="C25" i="4538"/>
  <c r="H28" i="4538"/>
  <c r="H27" i="4538"/>
  <c r="H13" i="4538"/>
  <c r="B22" i="4538"/>
  <c r="H26" i="4538"/>
  <c r="H16" i="4538"/>
  <c r="C20" i="4538"/>
  <c r="H25" i="4538"/>
  <c r="H24" i="4538"/>
  <c r="H23" i="4538"/>
  <c r="B17" i="4538"/>
  <c r="C18" i="4538" s="1"/>
  <c r="H22" i="4538"/>
  <c r="C16" i="4538"/>
  <c r="H21" i="4538"/>
  <c r="C15" i="4538"/>
  <c r="H20" i="4538"/>
  <c r="C14" i="4538"/>
  <c r="H15" i="4538"/>
  <c r="C13" i="4538"/>
  <c r="O12" i="4538"/>
  <c r="H19" i="4538"/>
  <c r="C12" i="4538"/>
  <c r="O11" i="4538"/>
  <c r="H18" i="4538"/>
  <c r="C11" i="4538"/>
  <c r="O10" i="4538"/>
  <c r="H3" i="4538"/>
  <c r="C10" i="4538"/>
  <c r="H12" i="4538"/>
  <c r="C9" i="4538"/>
  <c r="H11" i="4538"/>
  <c r="C8" i="4538"/>
  <c r="O7" i="4538"/>
  <c r="H6" i="4538"/>
  <c r="C7" i="4538"/>
  <c r="O6" i="4538"/>
  <c r="H8" i="4538"/>
  <c r="B6" i="4538"/>
  <c r="O5" i="4538"/>
  <c r="H7" i="4538"/>
  <c r="B5" i="4538"/>
  <c r="O4" i="4538"/>
  <c r="H2" i="4538"/>
  <c r="O3" i="4538"/>
  <c r="H10" i="4538"/>
  <c r="O2" i="4538"/>
  <c r="H4" i="4538"/>
  <c r="O20" i="4532"/>
  <c r="O19" i="4532"/>
  <c r="O18" i="4530"/>
  <c r="O19" i="4530"/>
  <c r="C19" i="4542" l="1"/>
  <c r="C19" i="4538"/>
  <c r="C17" i="4542"/>
  <c r="B21" i="4542"/>
  <c r="C19" i="4540"/>
  <c r="C17" i="4540"/>
  <c r="B21" i="4540"/>
  <c r="B21" i="4538"/>
  <c r="C17" i="4538"/>
  <c r="O15" i="4536" l="1"/>
  <c r="O17" i="4536"/>
  <c r="H7" i="4536"/>
  <c r="H52" i="4536"/>
  <c r="H51" i="4536"/>
  <c r="H50" i="4536"/>
  <c r="H49" i="4536"/>
  <c r="H48" i="4536"/>
  <c r="H47" i="4536"/>
  <c r="H46" i="4536"/>
  <c r="H45" i="4536"/>
  <c r="H44" i="4536"/>
  <c r="H43" i="4536"/>
  <c r="H42" i="4536"/>
  <c r="H41" i="4536"/>
  <c r="H40" i="4536"/>
  <c r="H39" i="4536"/>
  <c r="H38" i="4536"/>
  <c r="H37" i="4536"/>
  <c r="H36" i="4536"/>
  <c r="H35" i="4536"/>
  <c r="H34" i="4536"/>
  <c r="H33" i="4536"/>
  <c r="H32" i="4536"/>
  <c r="H31" i="4536"/>
  <c r="H30" i="4536"/>
  <c r="H9" i="4536"/>
  <c r="H29" i="4536"/>
  <c r="H28" i="4536"/>
  <c r="H12" i="4536"/>
  <c r="C25" i="4536"/>
  <c r="H27" i="4536"/>
  <c r="H26" i="4536"/>
  <c r="H15" i="4536"/>
  <c r="B22" i="4536"/>
  <c r="H25" i="4536"/>
  <c r="H24" i="4536"/>
  <c r="C20" i="4536"/>
  <c r="H23" i="4536"/>
  <c r="H22" i="4536"/>
  <c r="H21" i="4536"/>
  <c r="B17" i="4536"/>
  <c r="C18" i="4536" s="1"/>
  <c r="H14" i="4536"/>
  <c r="C16" i="4536"/>
  <c r="H20" i="4536"/>
  <c r="C15" i="4536"/>
  <c r="H19" i="4536"/>
  <c r="C14" i="4536"/>
  <c r="H18" i="4536"/>
  <c r="C13" i="4536"/>
  <c r="O12" i="4536"/>
  <c r="H17" i="4536"/>
  <c r="C12" i="4536"/>
  <c r="O11" i="4536"/>
  <c r="H16" i="4536"/>
  <c r="C11" i="4536"/>
  <c r="O10" i="4536"/>
  <c r="H6" i="4536"/>
  <c r="C10" i="4536"/>
  <c r="H10" i="4536"/>
  <c r="C9" i="4536"/>
  <c r="H8" i="4536"/>
  <c r="C8" i="4536"/>
  <c r="O7" i="4536"/>
  <c r="H11" i="4536"/>
  <c r="C7" i="4536"/>
  <c r="O6" i="4536"/>
  <c r="H5" i="4536"/>
  <c r="B6" i="4536"/>
  <c r="O5" i="4536"/>
  <c r="H4" i="4536"/>
  <c r="B5" i="4536"/>
  <c r="O4" i="4536"/>
  <c r="H2" i="4536"/>
  <c r="O3" i="4536"/>
  <c r="H13" i="4536"/>
  <c r="O2" i="4536"/>
  <c r="H3" i="4536"/>
  <c r="O20" i="4534"/>
  <c r="O19" i="4534"/>
  <c r="H6" i="4534"/>
  <c r="H20" i="4534"/>
  <c r="H52" i="4534"/>
  <c r="H51" i="4534"/>
  <c r="H50" i="4534"/>
  <c r="H49" i="4534"/>
  <c r="H48" i="4534"/>
  <c r="H47" i="4534"/>
  <c r="H46" i="4534"/>
  <c r="H45" i="4534"/>
  <c r="H44" i="4534"/>
  <c r="H43" i="4534"/>
  <c r="H42" i="4534"/>
  <c r="H41" i="4534"/>
  <c r="H40" i="4534"/>
  <c r="H39" i="4534"/>
  <c r="H38" i="4534"/>
  <c r="H37" i="4534"/>
  <c r="H36" i="4534"/>
  <c r="H35" i="4534"/>
  <c r="H34" i="4534"/>
  <c r="H19" i="4534"/>
  <c r="H15" i="4534"/>
  <c r="H33" i="4534"/>
  <c r="H13" i="4534"/>
  <c r="H32" i="4534"/>
  <c r="H31" i="4534"/>
  <c r="H11" i="4534"/>
  <c r="C25" i="4534"/>
  <c r="H30" i="4534"/>
  <c r="H29" i="4534"/>
  <c r="H14" i="4534"/>
  <c r="B22" i="4534"/>
  <c r="H28" i="4534"/>
  <c r="H12" i="4534"/>
  <c r="C20" i="4534"/>
  <c r="H27" i="4534"/>
  <c r="H26" i="4534"/>
  <c r="H25" i="4534"/>
  <c r="B17" i="4534"/>
  <c r="C18" i="4534" s="1"/>
  <c r="H24" i="4534"/>
  <c r="C16" i="4534"/>
  <c r="H23" i="4534"/>
  <c r="C15" i="4534"/>
  <c r="H22" i="4534"/>
  <c r="C14" i="4534"/>
  <c r="H18" i="4534"/>
  <c r="C13" i="4534"/>
  <c r="O12" i="4534"/>
  <c r="H21" i="4534"/>
  <c r="C12" i="4534"/>
  <c r="O11" i="4534"/>
  <c r="H17" i="4534"/>
  <c r="C11" i="4534"/>
  <c r="O10" i="4534"/>
  <c r="H5" i="4534"/>
  <c r="C10" i="4534"/>
  <c r="H16" i="4534"/>
  <c r="C9" i="4534"/>
  <c r="H10" i="4534"/>
  <c r="C8" i="4534"/>
  <c r="O7" i="4534"/>
  <c r="H8" i="4534"/>
  <c r="C7" i="4534"/>
  <c r="O6" i="4534"/>
  <c r="H7" i="4534"/>
  <c r="B6" i="4534"/>
  <c r="O5" i="4534"/>
  <c r="H4" i="4534"/>
  <c r="B5" i="4534"/>
  <c r="O4" i="4534"/>
  <c r="H2" i="4534"/>
  <c r="O3" i="4534"/>
  <c r="H9" i="4534"/>
  <c r="O2" i="4534"/>
  <c r="H3" i="4534"/>
  <c r="O23" i="4530"/>
  <c r="O18" i="4532"/>
  <c r="O21" i="4532"/>
  <c r="H5" i="4532"/>
  <c r="H52" i="4532"/>
  <c r="H51" i="4532"/>
  <c r="H50" i="4532"/>
  <c r="H49" i="4532"/>
  <c r="H48" i="4532"/>
  <c r="H47" i="4532"/>
  <c r="H46" i="4532"/>
  <c r="H45" i="4532"/>
  <c r="H44" i="4532"/>
  <c r="H43" i="4532"/>
  <c r="H42" i="4532"/>
  <c r="H41" i="4532"/>
  <c r="H40" i="4532"/>
  <c r="H39" i="4532"/>
  <c r="H38" i="4532"/>
  <c r="H37" i="4532"/>
  <c r="H36" i="4532"/>
  <c r="H35" i="4532"/>
  <c r="H34" i="4532"/>
  <c r="H33" i="4532"/>
  <c r="H32" i="4532"/>
  <c r="H31" i="4532"/>
  <c r="H17" i="4532"/>
  <c r="H8" i="4532"/>
  <c r="H30" i="4532"/>
  <c r="H29" i="4532"/>
  <c r="H12" i="4532"/>
  <c r="C25" i="4532"/>
  <c r="H28" i="4532"/>
  <c r="H27" i="4532"/>
  <c r="H14" i="4532"/>
  <c r="B22" i="4532"/>
  <c r="H26" i="4532"/>
  <c r="H16" i="4532"/>
  <c r="C20" i="4532"/>
  <c r="H25" i="4532"/>
  <c r="H24" i="4532"/>
  <c r="H23" i="4532"/>
  <c r="B17" i="4532"/>
  <c r="B21" i="4532" s="1"/>
  <c r="H13" i="4532"/>
  <c r="C16" i="4532"/>
  <c r="H22" i="4532"/>
  <c r="C15" i="4532"/>
  <c r="H21" i="4532"/>
  <c r="C14" i="4532"/>
  <c r="H20" i="4532"/>
  <c r="C13" i="4532"/>
  <c r="O12" i="4532"/>
  <c r="H19" i="4532"/>
  <c r="C12" i="4532"/>
  <c r="O11" i="4532"/>
  <c r="H18" i="4532"/>
  <c r="C11" i="4532"/>
  <c r="O10" i="4532"/>
  <c r="H3" i="4532"/>
  <c r="C10" i="4532"/>
  <c r="H15" i="4532"/>
  <c r="C9" i="4532"/>
  <c r="H11" i="4532"/>
  <c r="C8" i="4532"/>
  <c r="O7" i="4532"/>
  <c r="H7" i="4532"/>
  <c r="C7" i="4532"/>
  <c r="O6" i="4532"/>
  <c r="H9" i="4532"/>
  <c r="B6" i="4532"/>
  <c r="O5" i="4532"/>
  <c r="H6" i="4532"/>
  <c r="B5" i="4532"/>
  <c r="O4" i="4532"/>
  <c r="H2" i="4532"/>
  <c r="O3" i="4532"/>
  <c r="H10" i="4532"/>
  <c r="O2" i="4532"/>
  <c r="H4" i="4532"/>
  <c r="O15" i="4530"/>
  <c r="O21" i="4530"/>
  <c r="H5" i="4530"/>
  <c r="H24" i="4530"/>
  <c r="H52" i="4530"/>
  <c r="H51" i="4530"/>
  <c r="H50" i="4530"/>
  <c r="H49" i="4530"/>
  <c r="H48" i="4530"/>
  <c r="H47" i="4530"/>
  <c r="H46" i="4530"/>
  <c r="H45" i="4530"/>
  <c r="H44" i="4530"/>
  <c r="H43" i="4530"/>
  <c r="H42" i="4530"/>
  <c r="H41" i="4530"/>
  <c r="H40" i="4530"/>
  <c r="H39" i="4530"/>
  <c r="H38" i="4530"/>
  <c r="H37" i="4530"/>
  <c r="H36" i="4530"/>
  <c r="H35" i="4530"/>
  <c r="H34" i="4530"/>
  <c r="H19" i="4530"/>
  <c r="H18" i="4530"/>
  <c r="H23" i="4530"/>
  <c r="H9" i="4530"/>
  <c r="H33" i="4530"/>
  <c r="H32" i="4530"/>
  <c r="H12" i="4530"/>
  <c r="C25" i="4530"/>
  <c r="H22" i="4530"/>
  <c r="H31" i="4530"/>
  <c r="H14" i="4530"/>
  <c r="B22" i="4530"/>
  <c r="H30" i="4530"/>
  <c r="H15" i="4530"/>
  <c r="C20" i="4530"/>
  <c r="H29" i="4530"/>
  <c r="H28" i="4530"/>
  <c r="H21" i="4530"/>
  <c r="B17" i="4530"/>
  <c r="B21" i="4530" s="1"/>
  <c r="H16" i="4530"/>
  <c r="C16" i="4530"/>
  <c r="H27" i="4530"/>
  <c r="C15" i="4530"/>
  <c r="H26" i="4530"/>
  <c r="C14" i="4530"/>
  <c r="H17" i="4530"/>
  <c r="C13" i="4530"/>
  <c r="O12" i="4530"/>
  <c r="H25" i="4530"/>
  <c r="C12" i="4530"/>
  <c r="O11" i="4530"/>
  <c r="H20" i="4530"/>
  <c r="C11" i="4530"/>
  <c r="O10" i="4530"/>
  <c r="H3" i="4530"/>
  <c r="C10" i="4530"/>
  <c r="H13" i="4530"/>
  <c r="C9" i="4530"/>
  <c r="H11" i="4530"/>
  <c r="C8" i="4530"/>
  <c r="O7" i="4530"/>
  <c r="H8" i="4530"/>
  <c r="C7" i="4530"/>
  <c r="O6" i="4530"/>
  <c r="H7" i="4530"/>
  <c r="B6" i="4530"/>
  <c r="O5" i="4530"/>
  <c r="H6" i="4530"/>
  <c r="B5" i="4530"/>
  <c r="O4" i="4530"/>
  <c r="H2" i="4530"/>
  <c r="O3" i="4530"/>
  <c r="H10" i="4530"/>
  <c r="O2" i="4530"/>
  <c r="H4" i="4530"/>
  <c r="C19" i="4532" l="1"/>
  <c r="C19" i="4536"/>
  <c r="C18" i="4532"/>
  <c r="B21" i="4536"/>
  <c r="C17" i="4536"/>
  <c r="C19" i="4534"/>
  <c r="C17" i="4534"/>
  <c r="B21" i="4534"/>
  <c r="C18" i="4530"/>
  <c r="C17" i="4532"/>
  <c r="C17" i="4530"/>
  <c r="C19" i="4530"/>
  <c r="H50" i="2228" l="1"/>
  <c r="H51" i="2228"/>
  <c r="H52" i="2228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49" i="2228" l="1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C17" i="2228"/>
  <c r="B17" i="2228"/>
  <c r="H13" i="2228"/>
  <c r="C16" i="2228"/>
  <c r="H12" i="2228"/>
  <c r="C15" i="2228"/>
  <c r="H11" i="2228"/>
  <c r="H10" i="2228"/>
  <c r="H9" i="2228"/>
  <c r="H8" i="2228"/>
  <c r="C9" i="2228"/>
  <c r="H7" i="2228"/>
  <c r="H6" i="2228"/>
  <c r="C7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<sst xmlns="http://schemas.openxmlformats.org/spreadsheetml/2006/main" count="2430" uniqueCount="199">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</sst>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全体!$L$2:$L$107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B-4857-BE7D-ECE1A0A29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-47.61904761904762</c:v>
                </c:pt>
                <c:pt idx="1">
                  <c:v>0</c:v>
                </c:pt>
                <c:pt idx="2">
                  <c:v>50.505050505050505</c:v>
                </c:pt>
                <c:pt idx="3">
                  <c:v>0</c:v>
                </c:pt>
                <c:pt idx="4">
                  <c:v>-55.555555555555557</c:v>
                </c:pt>
                <c:pt idx="5">
                  <c:v>59.523809523809526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AD-4E87-A958-D9D57215D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だいち!$L$2:$L$22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1A-49F4-AF04-7588D5240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820</c:v>
                </c:pt>
                <c:pt idx="1">
                  <c:v>5310</c:v>
                </c:pt>
                <c:pt idx="2">
                  <c:v>3321.0526315789475</c:v>
                </c:pt>
                <c:pt idx="3">
                  <c:v>5466.666666666667</c:v>
                </c:pt>
                <c:pt idx="4">
                  <c:v>993.75</c:v>
                </c:pt>
                <c:pt idx="5">
                  <c:v>306.66666666666669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A6-4CC0-9817-919C0CD9F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りくと!$L$2:$L$23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C-4B71-A539-133B12693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2352.3809523809523</c:v>
                </c:pt>
                <c:pt idx="1">
                  <c:v>-2095.2380952380954</c:v>
                </c:pt>
                <c:pt idx="2">
                  <c:v>-800</c:v>
                </c:pt>
                <c:pt idx="3">
                  <c:v>3257.1428571428573</c:v>
                </c:pt>
                <c:pt idx="4">
                  <c:v>3530</c:v>
                </c:pt>
                <c:pt idx="5">
                  <c:v>868.42105263157896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97-4301-8D67-5F9A6A858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0D-4796-87D1-C7AAEDB1A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-4958.333333333333</c:v>
                </c:pt>
                <c:pt idx="1">
                  <c:v>-3100</c:v>
                </c:pt>
                <c:pt idx="2">
                  <c:v>-4890</c:v>
                </c:pt>
                <c:pt idx="3">
                  <c:v>-6020</c:v>
                </c:pt>
                <c:pt idx="4">
                  <c:v>-1870</c:v>
                </c:pt>
                <c:pt idx="5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5A-427D-B39D-09F0A41A8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れんたろう!$L$2:$L$22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BA-487C-A434-F98E5C462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780</c:v>
                </c:pt>
                <c:pt idx="1">
                  <c:v>1920</c:v>
                </c:pt>
                <c:pt idx="2">
                  <c:v>63.157894736842103</c:v>
                </c:pt>
                <c:pt idx="3">
                  <c:v>-4138.8888888888887</c:v>
                </c:pt>
                <c:pt idx="4">
                  <c:v>500</c:v>
                </c:pt>
                <c:pt idx="5">
                  <c:v>1121.4285714285713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8D-4546-BC2E-0784F618E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たかの!$L$2:$L$10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77-4FD1-9EB6-41D2BCD76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1237.5</c:v>
                </c:pt>
                <c:pt idx="1">
                  <c:v>1362.5</c:v>
                </c:pt>
                <c:pt idx="2">
                  <c:v>-1257.1428571428571</c:v>
                </c:pt>
                <c:pt idx="3">
                  <c:v>2914.2857142857142</c:v>
                </c:pt>
                <c:pt idx="4">
                  <c:v>-4257.1428571428569</c:v>
                </c:pt>
                <c:pt idx="5">
                  <c:v>-2516.6666666666665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F-4247-9C10-47BA1F8D2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B1-480C-BF1A-05FF48537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-3433.3333333333335</c:v>
                </c:pt>
                <c:pt idx="1">
                  <c:v>-3808.3333333333335</c:v>
                </c:pt>
                <c:pt idx="2">
                  <c:v>272.72727272727275</c:v>
                </c:pt>
                <c:pt idx="3">
                  <c:v>-6430</c:v>
                </c:pt>
                <c:pt idx="4">
                  <c:v>-3900</c:v>
                </c:pt>
                <c:pt idx="5">
                  <c:v>-787.5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5-416B-AB87-BDE0115FF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57-4068-854F-5EEB7F033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-1133.3333333333333</c:v>
                </c:pt>
                <c:pt idx="1">
                  <c:v>-2716.6666666666665</c:v>
                </c:pt>
                <c:pt idx="2">
                  <c:v>2133.3333333333335</c:v>
                </c:pt>
                <c:pt idx="3">
                  <c:v>483.33333333333331</c:v>
                </c:pt>
                <c:pt idx="4">
                  <c:v>-2366.6666666666665</c:v>
                </c:pt>
                <c:pt idx="5">
                  <c:v>4250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75-41A9-8BBC-8CF1145F3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FE-411E-AB03-9D3F828BC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5B-4E91-98E7-9AFCA2924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89-44AA-99A9-6CC0A8E44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733.33333333333337</c:v>
                </c:pt>
                <c:pt idx="1">
                  <c:v>-6333.333333333333</c:v>
                </c:pt>
                <c:pt idx="2">
                  <c:v>800</c:v>
                </c:pt>
                <c:pt idx="3">
                  <c:v>-3266.6666666666665</c:v>
                </c:pt>
                <c:pt idx="4">
                  <c:v>-666.66666666666663</c:v>
                </c:pt>
                <c:pt idx="5">
                  <c:v>-4066.6666666666665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9B-4CE5-B841-668C66E7F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いっしー2!$C$3:$C$6</c:f>
              <c:numCache>
                <c:formatCode>\+0.0;\-0.0;\±0</c:formatCode>
                <c:ptCount val="4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いっしー2!$D$3:$D$6</c:f>
              <c:numCache>
                <c:formatCode>0.00\ "位"</c:formatCode>
                <c:ptCount val="4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いっしー2!$E$3:$E$6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いっしー2!$F$3:$F$6</c:f>
              <c:numCache>
                <c:formatCode>0.0%</c:formatCode>
                <c:ptCount val="4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いっしー2!$G$3:$G$6</c:f>
              <c:numCache>
                <c:formatCode>0.0%</c:formatCode>
                <c:ptCount val="4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いっしー2!$H$3:$H$6</c:f>
              <c:numCache>
                <c:formatCode>0</c:formatCode>
                <c:ptCount val="4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いっしー2!$I$3:$I$6</c:f>
              <c:numCache>
                <c:formatCode>0</c:formatCode>
                <c:ptCount val="4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いっしー2!$J$3:$J$6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いっしー2!$K$3:$K$6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いっしー2!$M$3:$M$6</c:f>
              <c:numCache>
                <c:formatCode>0.0%</c:formatCode>
                <c:ptCount val="4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いっしー2!$N$3:$N$6</c:f>
              <c:numCache>
                <c:formatCode>0.0%</c:formatCode>
                <c:ptCount val="4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いっしー2!$O$3:$O$6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いっしー2!$P$3:$P$6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いっしー2!$Q$3:$Q$6</c:f>
              <c:numCache>
                <c:formatCode>0.0%</c:formatCode>
                <c:ptCount val="4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いっしー2!$L$3:$L$6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B59F2D4-6F2C-47E9-97E2-E1333F7A8C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0C9AEF8-1214-4DE8-A8E4-96D3BDFD2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FF73C6B-5CFF-4985-A5E0-C717C722C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B125915-BE4D-4EE7-8F22-F823DACE5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180EC77-0087-4146-9A27-0DFAB5DBC1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78906C7-101B-43E1-A9B8-09322774CD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A39265E-FD5C-4E9E-BEBA-89848223FD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F01B7ED-7C44-4F4D-92CB-13318EBEA9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C525261-C881-4E7B-9752-BD7710470C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E35EDB6-ED98-4514-B094-9A464C5573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4CB8CFD-AD66-4B5B-B52B-CCBAA2F27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60162C-6439-44F0-81BF-A06CE9181B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6A8B9F-FD06-4DD0-A2C2-9BCBCCF88D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896CD40-13DE-43DF-BFB4-DD959EA31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6FBCCAD-ACA4-442C-B442-8A4BAC8B85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5A2796D-4497-4506-B404-3B7A277F3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AAEF70B-5F1E-4860-BBA7-4EAD0F4C69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68DC4E-9ADB-4CEA-B62E-930DDB9E6C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9A8906-D2AA-49D4-ABD9-7F8526CA7F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5EE6C2-958A-43C7-BFA0-0A88FE61AC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51"/>
      <c r="C1" s="152"/>
      <c r="E1" s="133" t="s">
        <v>175</v>
      </c>
      <c r="F1" s="12" t="s">
        <v>118</v>
      </c>
      <c r="G1" s="26" t="s">
        <v>119</v>
      </c>
      <c r="H1" s="134" t="s">
        <v>120</v>
      </c>
      <c r="I1" s="104" t="s">
        <v>159</v>
      </c>
      <c r="K1" s="2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164</v>
      </c>
    </row>
    <row r="2" spans="1:17" x14ac:dyDescent="0.4">
      <c r="A2" s="21" t="s">
        <v>9</v>
      </c>
      <c r="B2" s="147">
        <v>0</v>
      </c>
      <c r="C2" s="148"/>
      <c r="E2" s="62" t="s">
        <v>66</v>
      </c>
      <c r="F2" s="27" t="s">
        <v>21</v>
      </c>
      <c r="G2" s="14">
        <v>0</v>
      </c>
      <c r="H2" s="136">
        <f t="shared" ref="H2:H32" si="0">IF(B$27=0,0,G2/B$27)</f>
        <v>0</v>
      </c>
      <c r="I2" s="97"/>
      <c r="K2" s="3">
        <v>0</v>
      </c>
      <c r="L2" s="102">
        <v>0</v>
      </c>
      <c r="N2" s="118" t="s">
        <v>136</v>
      </c>
      <c r="O2" s="125">
        <f t="shared" ref="O2:O7" si="1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53">
        <v>0</v>
      </c>
      <c r="C3" s="154"/>
      <c r="E3" s="63" t="s">
        <v>67</v>
      </c>
      <c r="F3" s="28" t="s">
        <v>22</v>
      </c>
      <c r="G3" s="15">
        <v>0</v>
      </c>
      <c r="H3" s="137">
        <f t="shared" si="0"/>
        <v>0</v>
      </c>
      <c r="I3" s="98"/>
      <c r="N3" s="119" t="s">
        <v>137</v>
      </c>
      <c r="O3" s="126">
        <f t="shared" si="1"/>
        <v>0</v>
      </c>
      <c r="P3" s="123">
        <v>0</v>
      </c>
      <c r="Q3" s="107">
        <v>0</v>
      </c>
    </row>
    <row r="4" spans="1:17" x14ac:dyDescent="0.4">
      <c r="A4" s="22" t="s">
        <v>6</v>
      </c>
      <c r="B4" s="155">
        <v>0</v>
      </c>
      <c r="C4" s="156"/>
      <c r="E4" s="63" t="s">
        <v>68</v>
      </c>
      <c r="F4" s="28" t="s">
        <v>23</v>
      </c>
      <c r="G4" s="15">
        <v>0</v>
      </c>
      <c r="H4" s="137">
        <f t="shared" si="0"/>
        <v>0</v>
      </c>
      <c r="I4" s="98"/>
      <c r="N4" s="119" t="s">
        <v>138</v>
      </c>
      <c r="O4" s="126">
        <f t="shared" si="1"/>
        <v>0</v>
      </c>
      <c r="P4" s="123">
        <v>0</v>
      </c>
      <c r="Q4" s="107">
        <v>0</v>
      </c>
    </row>
    <row r="5" spans="1:17" x14ac:dyDescent="0.4">
      <c r="A5" s="22" t="s">
        <v>7</v>
      </c>
      <c r="B5" s="157">
        <f>IF(B$2=0,0,B$4/B$2)</f>
        <v>0</v>
      </c>
      <c r="C5" s="158"/>
      <c r="E5" s="63" t="s">
        <v>69</v>
      </c>
      <c r="F5" s="28" t="s">
        <v>24</v>
      </c>
      <c r="G5" s="15">
        <v>0</v>
      </c>
      <c r="H5" s="137">
        <f t="shared" si="0"/>
        <v>0</v>
      </c>
      <c r="I5" s="98"/>
      <c r="N5" s="119" t="s">
        <v>139</v>
      </c>
      <c r="O5" s="126">
        <f t="shared" si="1"/>
        <v>0</v>
      </c>
      <c r="P5" s="123">
        <v>0</v>
      </c>
      <c r="Q5" s="107">
        <v>0</v>
      </c>
    </row>
    <row r="6" spans="1:17" x14ac:dyDescent="0.4">
      <c r="A6" s="22" t="s">
        <v>1</v>
      </c>
      <c r="B6" s="145">
        <f>IF(B$2=0,0,(B$7*1+B$8*2+B$9*3)/B$2)</f>
        <v>0</v>
      </c>
      <c r="C6" s="146"/>
      <c r="E6" s="63" t="s">
        <v>70</v>
      </c>
      <c r="F6" s="28" t="s">
        <v>12</v>
      </c>
      <c r="G6" s="15">
        <v>0</v>
      </c>
      <c r="H6" s="137">
        <f t="shared" si="0"/>
        <v>0</v>
      </c>
      <c r="I6" s="98"/>
      <c r="N6" s="119" t="s">
        <v>140</v>
      </c>
      <c r="O6" s="126">
        <f t="shared" si="1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7">
        <f t="shared" si="0"/>
        <v>0</v>
      </c>
      <c r="I7" s="98"/>
      <c r="N7" s="120" t="s">
        <v>141</v>
      </c>
      <c r="O7" s="127">
        <f t="shared" si="1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7">
        <f t="shared" si="0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7">
        <f t="shared" si="0"/>
        <v>0</v>
      </c>
      <c r="I9" s="98"/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7">
        <f t="shared" si="0"/>
        <v>0</v>
      </c>
      <c r="I10" s="98"/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7">
        <f t="shared" si="0"/>
        <v>0</v>
      </c>
      <c r="I11" s="98"/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7">
        <f t="shared" si="0"/>
        <v>0</v>
      </c>
      <c r="I12" s="98"/>
      <c r="N12" s="120" t="s">
        <v>174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126</v>
      </c>
      <c r="B13" s="17">
        <v>0</v>
      </c>
      <c r="C13" s="11">
        <f>IF(B$26=0,0,B13/B$26)</f>
        <v>0</v>
      </c>
      <c r="E13" s="63" t="s">
        <v>77</v>
      </c>
      <c r="F13" s="28" t="s">
        <v>31</v>
      </c>
      <c r="G13" s="15">
        <v>0</v>
      </c>
      <c r="H13" s="137">
        <f t="shared" si="0"/>
        <v>0</v>
      </c>
      <c r="I13" s="98"/>
      <c r="N13" s="33"/>
      <c r="O13" s="114"/>
      <c r="P13" s="116"/>
      <c r="Q13" s="114"/>
    </row>
    <row r="14" spans="1:17" x14ac:dyDescent="0.4">
      <c r="A14" s="22" t="s">
        <v>121</v>
      </c>
      <c r="B14" s="15">
        <v>0</v>
      </c>
      <c r="C14" s="6">
        <f>IF(B$26=0,0,B14/B$26)</f>
        <v>0</v>
      </c>
      <c r="E14" s="63" t="s">
        <v>78</v>
      </c>
      <c r="F14" s="28" t="s">
        <v>32</v>
      </c>
      <c r="G14" s="15">
        <v>0</v>
      </c>
      <c r="H14" s="137">
        <f t="shared" si="0"/>
        <v>0</v>
      </c>
      <c r="I14" s="98"/>
      <c r="N14" s="117" t="s">
        <v>160</v>
      </c>
      <c r="O14" s="34" t="s">
        <v>161</v>
      </c>
      <c r="P14" s="121" t="s">
        <v>162</v>
      </c>
      <c r="Q14" s="109" t="s">
        <v>163</v>
      </c>
    </row>
    <row r="15" spans="1:17" x14ac:dyDescent="0.4">
      <c r="A15" s="21" t="s">
        <v>128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7">
        <f t="shared" si="0"/>
        <v>0</v>
      </c>
      <c r="I15" s="98"/>
      <c r="N15" s="118"/>
      <c r="O15" s="128"/>
      <c r="P15" s="122"/>
      <c r="Q15" s="110"/>
    </row>
    <row r="16" spans="1:17" x14ac:dyDescent="0.4">
      <c r="A16" s="21" t="s">
        <v>129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7">
        <f t="shared" si="0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7">
        <f t="shared" si="0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7">
        <f t="shared" si="0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7">
        <f t="shared" si="0"/>
        <v>0</v>
      </c>
      <c r="I19" s="98"/>
    </row>
    <row r="20" spans="1:9" x14ac:dyDescent="0.4">
      <c r="A20" s="22" t="s">
        <v>13</v>
      </c>
      <c r="B20" s="15">
        <v>0</v>
      </c>
      <c r="C20" s="6">
        <f>IF(B$3=0,0,B20/B$3)</f>
        <v>0</v>
      </c>
      <c r="E20" s="63" t="s">
        <v>84</v>
      </c>
      <c r="F20" s="28" t="s">
        <v>38</v>
      </c>
      <c r="G20" s="15">
        <v>0</v>
      </c>
      <c r="H20" s="137">
        <f t="shared" si="0"/>
        <v>0</v>
      </c>
      <c r="I20" s="98"/>
    </row>
    <row r="21" spans="1:9" x14ac:dyDescent="0.4">
      <c r="A21" s="22" t="s">
        <v>5</v>
      </c>
      <c r="B21" s="18">
        <f>IF(B$17=0,0,C21/B$17)</f>
        <v>0</v>
      </c>
      <c r="C21" s="8">
        <v>0</v>
      </c>
      <c r="E21" s="63" t="s">
        <v>85</v>
      </c>
      <c r="F21" s="28" t="s">
        <v>39</v>
      </c>
      <c r="G21" s="15">
        <v>0</v>
      </c>
      <c r="H21" s="137">
        <f t="shared" si="0"/>
        <v>0</v>
      </c>
      <c r="I21" s="98"/>
    </row>
    <row r="22" spans="1:9" x14ac:dyDescent="0.4">
      <c r="A22" s="24" t="s">
        <v>14</v>
      </c>
      <c r="B22" s="19">
        <f>IF(B$20=0,0,C22/B$20)</f>
        <v>0</v>
      </c>
      <c r="C22" s="13">
        <v>0</v>
      </c>
      <c r="E22" s="63" t="s">
        <v>86</v>
      </c>
      <c r="F22" s="28" t="s">
        <v>40</v>
      </c>
      <c r="G22" s="15">
        <v>0</v>
      </c>
      <c r="H22" s="137">
        <f t="shared" si="0"/>
        <v>0</v>
      </c>
      <c r="I22" s="98"/>
    </row>
    <row r="23" spans="1:9" x14ac:dyDescent="0.4">
      <c r="A23" s="94" t="s">
        <v>146</v>
      </c>
      <c r="B23" s="143">
        <v>0</v>
      </c>
      <c r="C23" s="144"/>
      <c r="E23" s="63" t="s">
        <v>87</v>
      </c>
      <c r="F23" s="28" t="s">
        <v>41</v>
      </c>
      <c r="G23" s="15">
        <v>0</v>
      </c>
      <c r="H23" s="137">
        <f t="shared" si="0"/>
        <v>0</v>
      </c>
      <c r="I23" s="98"/>
    </row>
    <row r="24" spans="1:9" x14ac:dyDescent="0.4">
      <c r="A24" s="58" t="s">
        <v>157</v>
      </c>
      <c r="B24" s="141">
        <v>0</v>
      </c>
      <c r="C24" s="142"/>
      <c r="E24" s="63" t="s">
        <v>88</v>
      </c>
      <c r="F24" s="28" t="s">
        <v>42</v>
      </c>
      <c r="G24" s="15">
        <v>0</v>
      </c>
      <c r="H24" s="137">
        <f t="shared" si="0"/>
        <v>0</v>
      </c>
      <c r="I24" s="98"/>
    </row>
    <row r="25" spans="1:9" x14ac:dyDescent="0.4">
      <c r="A25" s="24" t="s">
        <v>147</v>
      </c>
      <c r="B25" s="32">
        <v>0</v>
      </c>
      <c r="C25" s="9">
        <f>IF(B$3=0,0,B25/B$3)</f>
        <v>0</v>
      </c>
      <c r="E25" s="63" t="s">
        <v>89</v>
      </c>
      <c r="F25" s="28" t="s">
        <v>43</v>
      </c>
      <c r="G25" s="15">
        <v>0</v>
      </c>
      <c r="H25" s="137">
        <f t="shared" si="0"/>
        <v>0</v>
      </c>
      <c r="I25" s="98"/>
    </row>
    <row r="26" spans="1:9" x14ac:dyDescent="0.4">
      <c r="A26" s="21" t="s">
        <v>124</v>
      </c>
      <c r="B26" s="147">
        <v>0</v>
      </c>
      <c r="C26" s="148"/>
      <c r="E26" s="63" t="s">
        <v>90</v>
      </c>
      <c r="F26" s="28" t="s">
        <v>44</v>
      </c>
      <c r="G26" s="15">
        <v>0</v>
      </c>
      <c r="H26" s="137">
        <f t="shared" si="0"/>
        <v>0</v>
      </c>
      <c r="I26" s="98"/>
    </row>
    <row r="27" spans="1:9" x14ac:dyDescent="0.4">
      <c r="A27" s="24" t="s">
        <v>125</v>
      </c>
      <c r="B27" s="149">
        <v>0</v>
      </c>
      <c r="C27" s="150"/>
      <c r="E27" s="63" t="s">
        <v>91</v>
      </c>
      <c r="F27" s="28" t="s">
        <v>45</v>
      </c>
      <c r="G27" s="15">
        <v>0</v>
      </c>
      <c r="H27" s="137">
        <f t="shared" si="0"/>
        <v>0</v>
      </c>
      <c r="I27" s="98"/>
    </row>
    <row r="28" spans="1:9" x14ac:dyDescent="0.4">
      <c r="E28" s="63" t="s">
        <v>92</v>
      </c>
      <c r="F28" s="28" t="s">
        <v>46</v>
      </c>
      <c r="G28" s="15">
        <v>0</v>
      </c>
      <c r="H28" s="137">
        <f t="shared" si="0"/>
        <v>0</v>
      </c>
      <c r="I28" s="98"/>
    </row>
    <row r="29" spans="1:9" x14ac:dyDescent="0.4">
      <c r="E29" s="63" t="s">
        <v>93</v>
      </c>
      <c r="F29" s="28" t="s">
        <v>47</v>
      </c>
      <c r="G29" s="15">
        <v>0</v>
      </c>
      <c r="H29" s="137">
        <f t="shared" si="0"/>
        <v>0</v>
      </c>
      <c r="I29" s="98"/>
    </row>
    <row r="30" spans="1:9" x14ac:dyDescent="0.4">
      <c r="E30" s="63" t="s">
        <v>94</v>
      </c>
      <c r="F30" s="28" t="s">
        <v>48</v>
      </c>
      <c r="G30" s="15">
        <v>0</v>
      </c>
      <c r="H30" s="137">
        <f t="shared" si="0"/>
        <v>0</v>
      </c>
      <c r="I30" s="98"/>
    </row>
    <row r="31" spans="1:9" x14ac:dyDescent="0.4">
      <c r="E31" s="63" t="s">
        <v>95</v>
      </c>
      <c r="F31" s="28" t="s">
        <v>49</v>
      </c>
      <c r="G31" s="15">
        <v>0</v>
      </c>
      <c r="H31" s="137">
        <f t="shared" si="0"/>
        <v>0</v>
      </c>
      <c r="I31" s="98"/>
    </row>
    <row r="32" spans="1:9" x14ac:dyDescent="0.4">
      <c r="E32" s="63" t="s">
        <v>96</v>
      </c>
      <c r="F32" s="28" t="s">
        <v>50</v>
      </c>
      <c r="G32" s="15">
        <v>0</v>
      </c>
      <c r="H32" s="137">
        <f t="shared" si="0"/>
        <v>0</v>
      </c>
      <c r="I32" s="98"/>
    </row>
    <row r="33" spans="5:9" x14ac:dyDescent="0.4">
      <c r="E33" s="63" t="s">
        <v>97</v>
      </c>
      <c r="F33" s="28" t="s">
        <v>51</v>
      </c>
      <c r="G33" s="15">
        <v>0</v>
      </c>
      <c r="H33" s="137">
        <f t="shared" ref="H33:H50" si="3">IF(B$27=0,0,G33/B$27)</f>
        <v>0</v>
      </c>
      <c r="I33" s="98"/>
    </row>
    <row r="34" spans="5:9" x14ac:dyDescent="0.4">
      <c r="E34" s="63" t="s">
        <v>98</v>
      </c>
      <c r="F34" s="28" t="s">
        <v>52</v>
      </c>
      <c r="G34" s="15">
        <v>0</v>
      </c>
      <c r="H34" s="137">
        <f t="shared" si="3"/>
        <v>0</v>
      </c>
      <c r="I34" s="98"/>
    </row>
    <row r="35" spans="5:9" x14ac:dyDescent="0.4">
      <c r="E35" s="63" t="s">
        <v>99</v>
      </c>
      <c r="F35" s="28" t="s">
        <v>53</v>
      </c>
      <c r="G35" s="15">
        <v>0</v>
      </c>
      <c r="H35" s="137">
        <f t="shared" si="3"/>
        <v>0</v>
      </c>
      <c r="I35" s="98"/>
    </row>
    <row r="36" spans="5:9" x14ac:dyDescent="0.4">
      <c r="E36" s="63" t="s">
        <v>100</v>
      </c>
      <c r="F36" s="28" t="s">
        <v>54</v>
      </c>
      <c r="G36" s="15">
        <v>0</v>
      </c>
      <c r="H36" s="137">
        <f t="shared" si="3"/>
        <v>0</v>
      </c>
      <c r="I36" s="98"/>
    </row>
    <row r="37" spans="5:9" x14ac:dyDescent="0.4">
      <c r="E37" s="63" t="s">
        <v>101</v>
      </c>
      <c r="F37" s="28" t="s">
        <v>55</v>
      </c>
      <c r="G37" s="15">
        <v>0</v>
      </c>
      <c r="H37" s="137">
        <f t="shared" si="3"/>
        <v>0</v>
      </c>
      <c r="I37" s="98"/>
    </row>
    <row r="38" spans="5:9" x14ac:dyDescent="0.4">
      <c r="E38" s="63" t="s">
        <v>102</v>
      </c>
      <c r="F38" s="28" t="s">
        <v>56</v>
      </c>
      <c r="G38" s="15">
        <v>0</v>
      </c>
      <c r="H38" s="137">
        <f t="shared" si="3"/>
        <v>0</v>
      </c>
      <c r="I38" s="98"/>
    </row>
    <row r="39" spans="5:9" x14ac:dyDescent="0.4">
      <c r="E39" s="63" t="s">
        <v>103</v>
      </c>
      <c r="F39" s="28" t="s">
        <v>57</v>
      </c>
      <c r="G39" s="15">
        <v>0</v>
      </c>
      <c r="H39" s="137">
        <f t="shared" si="3"/>
        <v>0</v>
      </c>
      <c r="I39" s="98"/>
    </row>
    <row r="40" spans="5:9" x14ac:dyDescent="0.4">
      <c r="E40" s="63" t="s">
        <v>104</v>
      </c>
      <c r="F40" s="28" t="s">
        <v>58</v>
      </c>
      <c r="G40" s="15">
        <v>0</v>
      </c>
      <c r="H40" s="137">
        <f t="shared" si="3"/>
        <v>0</v>
      </c>
      <c r="I40" s="98"/>
    </row>
    <row r="41" spans="5:9" x14ac:dyDescent="0.4">
      <c r="E41" s="63" t="s">
        <v>105</v>
      </c>
      <c r="F41" s="28" t="s">
        <v>59</v>
      </c>
      <c r="G41" s="15">
        <v>0</v>
      </c>
      <c r="H41" s="137">
        <f t="shared" si="3"/>
        <v>0</v>
      </c>
      <c r="I41" s="98"/>
    </row>
    <row r="42" spans="5:9" x14ac:dyDescent="0.4">
      <c r="E42" s="63" t="s">
        <v>106</v>
      </c>
      <c r="F42" s="28" t="s">
        <v>60</v>
      </c>
      <c r="G42" s="15">
        <v>0</v>
      </c>
      <c r="H42" s="137">
        <f t="shared" si="3"/>
        <v>0</v>
      </c>
      <c r="I42" s="98"/>
    </row>
    <row r="43" spans="5:9" x14ac:dyDescent="0.4">
      <c r="E43" s="63" t="s">
        <v>107</v>
      </c>
      <c r="F43" s="28" t="s">
        <v>61</v>
      </c>
      <c r="G43" s="15">
        <v>0</v>
      </c>
      <c r="H43" s="137">
        <f t="shared" si="3"/>
        <v>0</v>
      </c>
      <c r="I43" s="98"/>
    </row>
    <row r="44" spans="5:9" x14ac:dyDescent="0.4">
      <c r="E44" s="63" t="s">
        <v>108</v>
      </c>
      <c r="F44" s="28" t="s">
        <v>115</v>
      </c>
      <c r="G44" s="15">
        <v>0</v>
      </c>
      <c r="H44" s="137">
        <f t="shared" si="3"/>
        <v>0</v>
      </c>
      <c r="I44" s="98"/>
    </row>
    <row r="45" spans="5:9" x14ac:dyDescent="0.4">
      <c r="E45" s="63" t="s">
        <v>109</v>
      </c>
      <c r="F45" s="28" t="s">
        <v>116</v>
      </c>
      <c r="G45" s="15">
        <v>0</v>
      </c>
      <c r="H45" s="137">
        <f t="shared" si="3"/>
        <v>0</v>
      </c>
      <c r="I45" s="98"/>
    </row>
    <row r="46" spans="5:9" x14ac:dyDescent="0.4">
      <c r="E46" s="63" t="s">
        <v>110</v>
      </c>
      <c r="F46" s="28" t="s">
        <v>117</v>
      </c>
      <c r="G46" s="15">
        <v>0</v>
      </c>
      <c r="H46" s="137">
        <f t="shared" si="3"/>
        <v>0</v>
      </c>
      <c r="I46" s="98"/>
    </row>
    <row r="47" spans="5:9" x14ac:dyDescent="0.4">
      <c r="E47" s="63" t="s">
        <v>111</v>
      </c>
      <c r="F47" s="28" t="s">
        <v>62</v>
      </c>
      <c r="G47" s="15">
        <v>0</v>
      </c>
      <c r="H47" s="137">
        <f t="shared" si="3"/>
        <v>0</v>
      </c>
      <c r="I47" s="98"/>
    </row>
    <row r="48" spans="5:9" x14ac:dyDescent="0.4">
      <c r="E48" s="63" t="s">
        <v>112</v>
      </c>
      <c r="F48" s="28" t="s">
        <v>63</v>
      </c>
      <c r="G48" s="15">
        <v>0</v>
      </c>
      <c r="H48" s="137">
        <f t="shared" si="3"/>
        <v>0</v>
      </c>
      <c r="I48" s="98"/>
    </row>
    <row r="49" spans="5:9" x14ac:dyDescent="0.4">
      <c r="E49" s="63" t="s">
        <v>113</v>
      </c>
      <c r="F49" s="28" t="s">
        <v>64</v>
      </c>
      <c r="G49" s="15">
        <v>0</v>
      </c>
      <c r="H49" s="137">
        <f t="shared" si="3"/>
        <v>0</v>
      </c>
      <c r="I49" s="98"/>
    </row>
    <row r="50" spans="5:9" x14ac:dyDescent="0.4">
      <c r="E50" s="63" t="s">
        <v>114</v>
      </c>
      <c r="F50" s="60" t="s">
        <v>65</v>
      </c>
      <c r="G50" s="47">
        <v>0</v>
      </c>
      <c r="H50" s="137">
        <f t="shared" si="3"/>
        <v>0</v>
      </c>
      <c r="I50" s="98"/>
    </row>
    <row r="51" spans="5:9" x14ac:dyDescent="0.4">
      <c r="E51" s="63" t="s">
        <v>188</v>
      </c>
      <c r="F51" s="60" t="s">
        <v>191</v>
      </c>
      <c r="G51" s="47">
        <v>0</v>
      </c>
      <c r="H51" s="137">
        <f t="shared" ref="H51:H52" si="4">IF(B$27=0,0,G51/B$27)</f>
        <v>0</v>
      </c>
      <c r="I51" s="98"/>
    </row>
    <row r="52" spans="5:9" x14ac:dyDescent="0.4">
      <c r="E52" s="64" t="s">
        <v>189</v>
      </c>
      <c r="F52" s="61" t="s">
        <v>190</v>
      </c>
      <c r="G52" s="49">
        <v>0</v>
      </c>
      <c r="H52" s="138">
        <f t="shared" si="4"/>
        <v>0</v>
      </c>
      <c r="I52" s="99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8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176</v>
      </c>
      <c r="B2" s="31">
        <v>43555.865243055552</v>
      </c>
      <c r="C2" s="30" t="s">
        <v>134</v>
      </c>
      <c r="D2" s="30" t="s">
        <v>135</v>
      </c>
      <c r="E2" s="30" t="s">
        <v>177</v>
      </c>
    </row>
    <row r="3" spans="1:10" x14ac:dyDescent="0.4">
      <c r="A3" s="30" t="s">
        <v>178</v>
      </c>
      <c r="B3" s="31">
        <v>43557.861886574072</v>
      </c>
      <c r="C3" s="30" t="s">
        <v>134</v>
      </c>
      <c r="D3" s="30" t="s">
        <v>135</v>
      </c>
      <c r="E3" s="30" t="s">
        <v>177</v>
      </c>
      <c r="F3" s="30" t="s">
        <v>182</v>
      </c>
      <c r="G3" s="30" t="s">
        <v>183</v>
      </c>
    </row>
    <row r="4" spans="1:10" x14ac:dyDescent="0.4">
      <c r="A4" s="30" t="s">
        <v>184</v>
      </c>
      <c r="B4" s="31">
        <v>43559.023634259262</v>
      </c>
      <c r="C4" s="30" t="s">
        <v>134</v>
      </c>
      <c r="D4" s="30" t="s">
        <v>135</v>
      </c>
      <c r="E4" s="30" t="s">
        <v>177</v>
      </c>
    </row>
    <row r="5" spans="1:10" x14ac:dyDescent="0.4">
      <c r="A5" s="30" t="s">
        <v>186</v>
      </c>
      <c r="B5" s="31">
        <v>43560.077002314814</v>
      </c>
      <c r="C5" s="30" t="s">
        <v>134</v>
      </c>
      <c r="D5" s="30" t="s">
        <v>135</v>
      </c>
      <c r="E5" s="30" t="s">
        <v>177</v>
      </c>
      <c r="F5" s="30" t="s">
        <v>182</v>
      </c>
    </row>
    <row r="6" spans="1:10" x14ac:dyDescent="0.4">
      <c r="A6" s="30" t="s">
        <v>187</v>
      </c>
      <c r="B6" s="31">
        <v>43561.108229166668</v>
      </c>
      <c r="C6" s="30" t="s">
        <v>134</v>
      </c>
      <c r="D6" s="30" t="s">
        <v>135</v>
      </c>
      <c r="E6" s="30" t="s">
        <v>177</v>
      </c>
      <c r="F6" s="30" t="s">
        <v>182</v>
      </c>
      <c r="G6" s="30" t="s">
        <v>183</v>
      </c>
    </row>
    <row r="7" spans="1:10" x14ac:dyDescent="0.4">
      <c r="A7" s="30" t="s">
        <v>192</v>
      </c>
      <c r="B7" s="31">
        <v>43562.38486111111</v>
      </c>
      <c r="C7" s="30" t="s">
        <v>134</v>
      </c>
      <c r="D7" s="30" t="s">
        <v>135</v>
      </c>
      <c r="E7" s="30" t="s">
        <v>177</v>
      </c>
      <c r="F7" s="30" t="s">
        <v>182</v>
      </c>
      <c r="G7" s="30" t="s">
        <v>183</v>
      </c>
      <c r="H7" s="30" t="s">
        <v>195</v>
      </c>
      <c r="I7" s="30" t="s">
        <v>196</v>
      </c>
      <c r="J7" s="30" t="s">
        <v>197</v>
      </c>
    </row>
    <row r="8" spans="1:10" x14ac:dyDescent="0.4">
      <c r="A8" s="30" t="s">
        <v>198</v>
      </c>
      <c r="B8" s="31">
        <v>43563.064872685187</v>
      </c>
      <c r="C8" s="30" t="s">
        <v>134</v>
      </c>
      <c r="D8" s="30" t="s">
        <v>135</v>
      </c>
      <c r="E8" s="30" t="s">
        <v>177</v>
      </c>
      <c r="F8" s="30" t="s">
        <v>182</v>
      </c>
      <c r="G8" s="30" t="s">
        <v>183</v>
      </c>
      <c r="H8" s="30" t="s">
        <v>195</v>
      </c>
      <c r="I8" s="30" t="s">
        <v>196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149</v>
      </c>
    </row>
    <row r="2" spans="1:1" x14ac:dyDescent="0.4">
      <c r="A2" t="s">
        <v>131</v>
      </c>
    </row>
    <row r="3" spans="1:1" x14ac:dyDescent="0.4">
      <c r="A3" t="s">
        <v>132</v>
      </c>
    </row>
    <row r="4" spans="1:1" x14ac:dyDescent="0.4">
      <c r="A4" t="s">
        <v>133</v>
      </c>
    </row>
    <row r="5" spans="1:1" x14ac:dyDescent="0.4">
      <c r="A5" t="s">
        <v>179</v>
      </c>
    </row>
    <row r="6" spans="1:1" x14ac:dyDescent="0.4">
      <c r="A6" t="s">
        <v>180</v>
      </c>
    </row>
    <row r="7" spans="1:1" x14ac:dyDescent="0.4">
      <c r="A7" t="s">
        <v>181</v>
      </c>
    </row>
    <row r="8" spans="1:1" x14ac:dyDescent="0.4">
      <c r="A8" t="s">
        <v>185</v>
      </c>
    </row>
    <row r="9" spans="1:1" x14ac:dyDescent="0.4">
      <c r="A9" t="s">
        <v>193</v>
      </c>
    </row>
    <row r="10" spans="1:1" x14ac:dyDescent="0.4">
      <c r="A10" t="s">
        <v>194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2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59" t="s">
        <v>6</v>
      </c>
      <c r="C1" s="160"/>
      <c r="D1" s="159" t="s">
        <v>7</v>
      </c>
      <c r="E1" s="160"/>
      <c r="F1" s="159" t="s">
        <v>16</v>
      </c>
      <c r="G1" s="160"/>
      <c r="H1" s="159" t="s">
        <v>15</v>
      </c>
      <c r="I1" s="160"/>
      <c r="J1" s="159" t="s">
        <v>169</v>
      </c>
      <c r="K1" s="160"/>
      <c r="L1" s="159" t="s">
        <v>153</v>
      </c>
      <c r="M1" s="160"/>
      <c r="N1" s="159" t="s">
        <v>154</v>
      </c>
      <c r="O1" s="160"/>
      <c r="P1" s="159" t="s">
        <v>5</v>
      </c>
      <c r="Q1" s="160"/>
      <c r="R1" s="159" t="s">
        <v>17</v>
      </c>
      <c r="S1" s="160"/>
      <c r="T1" s="159" t="s">
        <v>18</v>
      </c>
      <c r="U1" s="160"/>
      <c r="V1" s="159" t="s">
        <v>145</v>
      </c>
      <c r="W1" s="160"/>
      <c r="X1" s="159" t="s">
        <v>167</v>
      </c>
      <c r="Y1" s="160"/>
      <c r="Z1" s="159" t="s">
        <v>127</v>
      </c>
      <c r="AA1" s="160"/>
      <c r="AB1" s="159" t="s">
        <v>122</v>
      </c>
      <c r="AC1" s="160"/>
      <c r="AD1" s="159" t="s">
        <v>130</v>
      </c>
      <c r="AE1" s="160"/>
      <c r="AF1" s="159" t="s">
        <v>155</v>
      </c>
      <c r="AG1" s="160"/>
      <c r="AH1" s="159" t="s">
        <v>148</v>
      </c>
      <c r="AI1" s="160"/>
      <c r="AJ1" s="159" t="s">
        <v>156</v>
      </c>
      <c r="AK1" s="160"/>
      <c r="AL1" s="159" t="s">
        <v>158</v>
      </c>
      <c r="AM1" s="160"/>
      <c r="AN1" s="159" t="s">
        <v>170</v>
      </c>
      <c r="AO1" s="160"/>
    </row>
    <row r="2" spans="1:41" x14ac:dyDescent="0.4">
      <c r="A2" s="72" t="s">
        <v>168</v>
      </c>
      <c r="B2" s="161"/>
      <c r="C2" s="162"/>
      <c r="D2" s="161"/>
      <c r="E2" s="162"/>
      <c r="F2" s="163">
        <v>0.9973609168248887</v>
      </c>
      <c r="G2" s="164"/>
      <c r="H2" s="163">
        <v>0.97596220623052776</v>
      </c>
      <c r="I2" s="164"/>
      <c r="J2" s="163">
        <v>0.99203872851308761</v>
      </c>
      <c r="K2" s="164"/>
      <c r="L2" s="163">
        <v>0.83704114492636816</v>
      </c>
      <c r="M2" s="164"/>
      <c r="N2" s="163">
        <v>0.8534929361297412</v>
      </c>
      <c r="O2" s="164"/>
      <c r="P2" s="163">
        <v>0.72834594045512657</v>
      </c>
      <c r="Q2" s="164"/>
      <c r="R2" s="163">
        <v>0.84395670008136392</v>
      </c>
      <c r="S2" s="164"/>
      <c r="T2" s="163">
        <v>0.8752206388293281</v>
      </c>
      <c r="U2" s="164"/>
      <c r="V2" s="163">
        <v>0.98041190571621661</v>
      </c>
      <c r="W2" s="164"/>
      <c r="X2" s="163">
        <v>0.8761552674707942</v>
      </c>
      <c r="Y2" s="164"/>
      <c r="Z2" s="163">
        <v>0.93400522603368619</v>
      </c>
      <c r="AA2" s="164"/>
      <c r="AB2" s="163">
        <v>0.60265036304966746</v>
      </c>
      <c r="AC2" s="164"/>
      <c r="AD2" s="163">
        <v>0.71346718967340872</v>
      </c>
      <c r="AE2" s="164"/>
      <c r="AF2" s="163">
        <v>0.31046642940307734</v>
      </c>
      <c r="AG2" s="164"/>
      <c r="AH2" s="163">
        <v>-0.47836229120837614</v>
      </c>
      <c r="AI2" s="164"/>
      <c r="AJ2" s="163">
        <v>-0.72094007077631383</v>
      </c>
      <c r="AK2" s="164"/>
      <c r="AL2" s="163">
        <v>0.97113290051936674</v>
      </c>
      <c r="AM2" s="164"/>
      <c r="AN2" s="163">
        <v>0.25975881543740825</v>
      </c>
      <c r="AO2" s="164"/>
    </row>
    <row r="3" spans="1:41" x14ac:dyDescent="0.4">
      <c r="A3" s="74">
        <v>1</v>
      </c>
      <c r="B3" s="75" t="s">
        <v>131</v>
      </c>
      <c r="C3" s="76">
        <v>469.6</v>
      </c>
      <c r="D3" s="77" t="s">
        <v>131</v>
      </c>
      <c r="E3" s="100">
        <v>23.48</v>
      </c>
      <c r="F3" s="77" t="s">
        <v>193</v>
      </c>
      <c r="G3" s="78">
        <v>1.3333333333333333</v>
      </c>
      <c r="H3" s="77" t="s">
        <v>193</v>
      </c>
      <c r="I3" s="79">
        <v>0.66666666666666663</v>
      </c>
      <c r="J3" s="77" t="s">
        <v>193</v>
      </c>
      <c r="K3" s="79">
        <v>0</v>
      </c>
      <c r="L3" s="77" t="s">
        <v>131</v>
      </c>
      <c r="M3" s="80">
        <v>0.42514970059880242</v>
      </c>
      <c r="N3" s="77" t="s">
        <v>193</v>
      </c>
      <c r="O3" s="80">
        <v>0.10526315789473684</v>
      </c>
      <c r="P3" s="77" t="s">
        <v>132</v>
      </c>
      <c r="Q3" s="81">
        <v>9035</v>
      </c>
      <c r="R3" s="77" t="s">
        <v>193</v>
      </c>
      <c r="S3" s="81">
        <v>-5150</v>
      </c>
      <c r="T3" s="77" t="s">
        <v>132</v>
      </c>
      <c r="U3" s="79">
        <v>0</v>
      </c>
      <c r="V3" s="77" t="s">
        <v>131</v>
      </c>
      <c r="W3" s="79">
        <v>0.15</v>
      </c>
      <c r="X3" s="77" t="s">
        <v>131</v>
      </c>
      <c r="Y3" s="79">
        <v>0.2</v>
      </c>
      <c r="Z3" s="77" t="s">
        <v>131</v>
      </c>
      <c r="AA3" s="80">
        <v>0.3592814371257485</v>
      </c>
      <c r="AB3" s="77" t="s">
        <v>180</v>
      </c>
      <c r="AC3" s="80">
        <v>0.34426229508196721</v>
      </c>
      <c r="AD3" s="77" t="s">
        <v>194</v>
      </c>
      <c r="AE3" s="80">
        <v>1</v>
      </c>
      <c r="AF3" s="77" t="s">
        <v>194</v>
      </c>
      <c r="AG3" s="80">
        <v>0.75</v>
      </c>
      <c r="AH3" s="77" t="s">
        <v>181</v>
      </c>
      <c r="AI3" s="80">
        <v>0.53125</v>
      </c>
      <c r="AJ3" s="77" t="s">
        <v>133</v>
      </c>
      <c r="AK3" s="82">
        <v>7</v>
      </c>
      <c r="AL3" s="77" t="s">
        <v>131</v>
      </c>
      <c r="AM3" s="95">
        <v>105900</v>
      </c>
      <c r="AN3" s="77" t="s">
        <v>149</v>
      </c>
      <c r="AO3" s="83">
        <v>6</v>
      </c>
    </row>
    <row r="4" spans="1:41" x14ac:dyDescent="0.4">
      <c r="A4" s="84">
        <v>2</v>
      </c>
      <c r="B4" s="85" t="s">
        <v>132</v>
      </c>
      <c r="C4" s="86">
        <v>204.09999999999997</v>
      </c>
      <c r="D4" s="87" t="s">
        <v>193</v>
      </c>
      <c r="E4" s="101">
        <v>20.333333333333332</v>
      </c>
      <c r="F4" s="87" t="s">
        <v>131</v>
      </c>
      <c r="G4" s="88">
        <v>1.6</v>
      </c>
      <c r="H4" s="87" t="s">
        <v>131</v>
      </c>
      <c r="I4" s="89">
        <v>0.55000000000000004</v>
      </c>
      <c r="J4" s="87" t="s">
        <v>131</v>
      </c>
      <c r="K4" s="89">
        <v>0.15</v>
      </c>
      <c r="L4" s="87" t="s">
        <v>132</v>
      </c>
      <c r="M4" s="90">
        <v>0.31413612565445026</v>
      </c>
      <c r="N4" s="87" t="s">
        <v>132</v>
      </c>
      <c r="O4" s="90">
        <v>0.15183246073298429</v>
      </c>
      <c r="P4" s="87" t="s">
        <v>131</v>
      </c>
      <c r="Q4" s="91">
        <v>8195.7746478873232</v>
      </c>
      <c r="R4" s="87" t="s">
        <v>185</v>
      </c>
      <c r="S4" s="91">
        <v>-5400</v>
      </c>
      <c r="T4" s="87" t="s">
        <v>180</v>
      </c>
      <c r="U4" s="89">
        <v>0</v>
      </c>
      <c r="V4" s="87" t="s">
        <v>179</v>
      </c>
      <c r="W4" s="89">
        <v>0.1</v>
      </c>
      <c r="X4" s="87" t="s">
        <v>132</v>
      </c>
      <c r="Y4" s="89">
        <v>0.19047619047619047</v>
      </c>
      <c r="Z4" s="87" t="s">
        <v>132</v>
      </c>
      <c r="AA4" s="90">
        <v>0.34254143646408841</v>
      </c>
      <c r="AB4" s="87" t="s">
        <v>131</v>
      </c>
      <c r="AC4" s="90">
        <v>0.28143712574850299</v>
      </c>
      <c r="AD4" s="87" t="s">
        <v>185</v>
      </c>
      <c r="AE4" s="90">
        <v>0.66666666666666663</v>
      </c>
      <c r="AF4" s="87" t="s">
        <v>131</v>
      </c>
      <c r="AG4" s="90">
        <v>0.55319148936170215</v>
      </c>
      <c r="AH4" s="87" t="s">
        <v>194</v>
      </c>
      <c r="AI4" s="90">
        <v>0.42857142857142855</v>
      </c>
      <c r="AJ4" s="87" t="s">
        <v>149</v>
      </c>
      <c r="AK4" s="92">
        <v>7</v>
      </c>
      <c r="AL4" s="87" t="s">
        <v>149</v>
      </c>
      <c r="AM4" s="96">
        <v>105900</v>
      </c>
      <c r="AN4" s="87" t="s">
        <v>132</v>
      </c>
      <c r="AO4" s="93">
        <v>4</v>
      </c>
    </row>
    <row r="5" spans="1:41" x14ac:dyDescent="0.4">
      <c r="A5" s="84">
        <v>3</v>
      </c>
      <c r="B5" s="85" t="s">
        <v>193</v>
      </c>
      <c r="C5" s="86">
        <v>61</v>
      </c>
      <c r="D5" s="87" t="s">
        <v>132</v>
      </c>
      <c r="E5" s="101">
        <v>9.7190476190476183</v>
      </c>
      <c r="F5" s="87" t="s">
        <v>132</v>
      </c>
      <c r="G5" s="88">
        <v>1.8571428571428572</v>
      </c>
      <c r="H5" s="87" t="s">
        <v>132</v>
      </c>
      <c r="I5" s="89">
        <v>0.42857142857142855</v>
      </c>
      <c r="J5" s="87" t="s">
        <v>180</v>
      </c>
      <c r="K5" s="89">
        <v>0.25</v>
      </c>
      <c r="L5" s="87" t="s">
        <v>185</v>
      </c>
      <c r="M5" s="90">
        <v>0.31111111111111112</v>
      </c>
      <c r="N5" s="87" t="s">
        <v>180</v>
      </c>
      <c r="O5" s="90">
        <v>0.16393442622950818</v>
      </c>
      <c r="P5" s="87" t="s">
        <v>179</v>
      </c>
      <c r="Q5" s="91">
        <v>8008.695652173913</v>
      </c>
      <c r="R5" s="87" t="s">
        <v>180</v>
      </c>
      <c r="S5" s="91">
        <v>-7190</v>
      </c>
      <c r="T5" s="87" t="s">
        <v>185</v>
      </c>
      <c r="U5" s="89">
        <v>0</v>
      </c>
      <c r="V5" s="87" t="s">
        <v>132</v>
      </c>
      <c r="W5" s="89">
        <v>9.5238095238095233E-2</v>
      </c>
      <c r="X5" s="87" t="s">
        <v>185</v>
      </c>
      <c r="Y5" s="89">
        <v>0.16666666666666666</v>
      </c>
      <c r="Z5" s="87" t="s">
        <v>149</v>
      </c>
      <c r="AA5" s="90">
        <v>0.2711864406779661</v>
      </c>
      <c r="AB5" s="87" t="s">
        <v>185</v>
      </c>
      <c r="AC5" s="90">
        <v>0.26666666666666666</v>
      </c>
      <c r="AD5" s="87" t="s">
        <v>180</v>
      </c>
      <c r="AE5" s="90">
        <v>0.63636363636363635</v>
      </c>
      <c r="AF5" s="87" t="s">
        <v>193</v>
      </c>
      <c r="AG5" s="90">
        <v>0.5</v>
      </c>
      <c r="AH5" s="87" t="s">
        <v>131</v>
      </c>
      <c r="AI5" s="90">
        <v>0.38028169014084506</v>
      </c>
      <c r="AJ5" s="87" t="s">
        <v>181</v>
      </c>
      <c r="AK5" s="92">
        <v>6</v>
      </c>
      <c r="AL5" s="87" t="s">
        <v>179</v>
      </c>
      <c r="AM5" s="96">
        <v>91700</v>
      </c>
      <c r="AN5" s="87" t="s">
        <v>179</v>
      </c>
      <c r="AO5" s="93">
        <v>1</v>
      </c>
    </row>
    <row r="6" spans="1:41" x14ac:dyDescent="0.4">
      <c r="A6" s="84">
        <v>4</v>
      </c>
      <c r="B6" s="85" t="s">
        <v>185</v>
      </c>
      <c r="C6" s="86">
        <v>3.8999999999999986</v>
      </c>
      <c r="D6" s="87" t="s">
        <v>185</v>
      </c>
      <c r="E6" s="101">
        <v>0.6499999999999998</v>
      </c>
      <c r="F6" s="87" t="s">
        <v>179</v>
      </c>
      <c r="G6" s="88">
        <v>2</v>
      </c>
      <c r="H6" s="87" t="s">
        <v>179</v>
      </c>
      <c r="I6" s="89">
        <v>0.35</v>
      </c>
      <c r="J6" s="87" t="s">
        <v>132</v>
      </c>
      <c r="K6" s="89">
        <v>0.2857142857142857</v>
      </c>
      <c r="L6" s="87" t="s">
        <v>149</v>
      </c>
      <c r="M6" s="90">
        <v>0.30163934426229511</v>
      </c>
      <c r="N6" s="87" t="s">
        <v>179</v>
      </c>
      <c r="O6" s="90">
        <v>0.17318435754189945</v>
      </c>
      <c r="P6" s="87" t="s">
        <v>193</v>
      </c>
      <c r="Q6" s="91">
        <v>7860</v>
      </c>
      <c r="R6" s="87" t="s">
        <v>194</v>
      </c>
      <c r="S6" s="91">
        <v>-7200</v>
      </c>
      <c r="T6" s="87" t="s">
        <v>193</v>
      </c>
      <c r="U6" s="89">
        <v>0</v>
      </c>
      <c r="V6" s="87" t="s">
        <v>149</v>
      </c>
      <c r="W6" s="89">
        <v>6.6666666666666666E-2</v>
      </c>
      <c r="X6" s="87" t="s">
        <v>149</v>
      </c>
      <c r="Y6" s="89">
        <v>0.11428571428571428</v>
      </c>
      <c r="Z6" s="87" t="s">
        <v>185</v>
      </c>
      <c r="AA6" s="90">
        <v>0.26666666666666666</v>
      </c>
      <c r="AB6" s="87" t="s">
        <v>181</v>
      </c>
      <c r="AC6" s="90">
        <v>0.25242718446601942</v>
      </c>
      <c r="AD6" s="87" t="s">
        <v>132</v>
      </c>
      <c r="AE6" s="90">
        <v>0.61290322580645162</v>
      </c>
      <c r="AF6" s="87" t="s">
        <v>149</v>
      </c>
      <c r="AG6" s="90">
        <v>0.40404040404040403</v>
      </c>
      <c r="AH6" s="87" t="s">
        <v>149</v>
      </c>
      <c r="AI6" s="90">
        <v>0.37681159420289856</v>
      </c>
      <c r="AJ6" s="87" t="s">
        <v>131</v>
      </c>
      <c r="AK6" s="92">
        <v>5</v>
      </c>
      <c r="AL6" s="87" t="s">
        <v>132</v>
      </c>
      <c r="AM6" s="96">
        <v>88600</v>
      </c>
      <c r="AN6" s="87" t="s">
        <v>181</v>
      </c>
      <c r="AO6" s="93">
        <v>1</v>
      </c>
    </row>
    <row r="7" spans="1:41" x14ac:dyDescent="0.4">
      <c r="A7" s="84">
        <v>5</v>
      </c>
      <c r="B7" s="85" t="s">
        <v>149</v>
      </c>
      <c r="C7" s="86">
        <v>1.4210854715202004E-14</v>
      </c>
      <c r="D7" s="87" t="s">
        <v>149</v>
      </c>
      <c r="E7" s="101">
        <v>1.3534147347811433E-16</v>
      </c>
      <c r="F7" s="87" t="s">
        <v>149</v>
      </c>
      <c r="G7" s="88">
        <v>2</v>
      </c>
      <c r="H7" s="87" t="s">
        <v>149</v>
      </c>
      <c r="I7" s="89">
        <v>0.33333333333333331</v>
      </c>
      <c r="J7" s="87" t="s">
        <v>149</v>
      </c>
      <c r="K7" s="89">
        <v>0.33333333333333331</v>
      </c>
      <c r="L7" s="87" t="s">
        <v>181</v>
      </c>
      <c r="M7" s="90">
        <v>0.2831858407079646</v>
      </c>
      <c r="N7" s="87" t="s">
        <v>131</v>
      </c>
      <c r="O7" s="90">
        <v>0.17365269461077845</v>
      </c>
      <c r="P7" s="87" t="s">
        <v>149</v>
      </c>
      <c r="Q7" s="91">
        <v>7593.840579710145</v>
      </c>
      <c r="R7" s="87" t="s">
        <v>132</v>
      </c>
      <c r="S7" s="91">
        <v>-7475.8620689655172</v>
      </c>
      <c r="T7" s="87" t="s">
        <v>194</v>
      </c>
      <c r="U7" s="89">
        <v>0</v>
      </c>
      <c r="V7" s="87" t="s">
        <v>133</v>
      </c>
      <c r="W7" s="89">
        <v>0</v>
      </c>
      <c r="X7" s="87" t="s">
        <v>179</v>
      </c>
      <c r="Y7" s="89">
        <v>0.1</v>
      </c>
      <c r="Z7" s="87" t="s">
        <v>193</v>
      </c>
      <c r="AA7" s="90">
        <v>0.26315789473684209</v>
      </c>
      <c r="AB7" s="87" t="s">
        <v>179</v>
      </c>
      <c r="AC7" s="90">
        <v>0.22485207100591717</v>
      </c>
      <c r="AD7" s="87" t="s">
        <v>193</v>
      </c>
      <c r="AE7" s="90">
        <v>0.6</v>
      </c>
      <c r="AF7" s="87" t="s">
        <v>133</v>
      </c>
      <c r="AG7" s="90">
        <v>0.4</v>
      </c>
      <c r="AH7" s="87" t="s">
        <v>133</v>
      </c>
      <c r="AI7" s="90">
        <v>0.375</v>
      </c>
      <c r="AJ7" s="87" t="s">
        <v>132</v>
      </c>
      <c r="AK7" s="92">
        <v>5</v>
      </c>
      <c r="AL7" s="87" t="s">
        <v>185</v>
      </c>
      <c r="AM7" s="96">
        <v>65000</v>
      </c>
      <c r="AN7" s="87" t="s">
        <v>131</v>
      </c>
      <c r="AO7" s="93">
        <v>0</v>
      </c>
    </row>
    <row r="8" spans="1:41" x14ac:dyDescent="0.4">
      <c r="A8" s="84">
        <v>6</v>
      </c>
      <c r="B8" s="85" t="s">
        <v>179</v>
      </c>
      <c r="C8" s="86">
        <v>-3.5999999999999917</v>
      </c>
      <c r="D8" s="87" t="s">
        <v>179</v>
      </c>
      <c r="E8" s="101">
        <v>-0.17999999999999958</v>
      </c>
      <c r="F8" s="87" t="s">
        <v>185</v>
      </c>
      <c r="G8" s="88">
        <v>2</v>
      </c>
      <c r="H8" s="87" t="s">
        <v>185</v>
      </c>
      <c r="I8" s="89">
        <v>0.33333333333333331</v>
      </c>
      <c r="J8" s="87" t="s">
        <v>185</v>
      </c>
      <c r="K8" s="89">
        <v>0.33333333333333331</v>
      </c>
      <c r="L8" s="87" t="s">
        <v>180</v>
      </c>
      <c r="M8" s="90">
        <v>0.27868852459016391</v>
      </c>
      <c r="N8" s="87" t="s">
        <v>149</v>
      </c>
      <c r="O8" s="90">
        <v>0.18579234972677597</v>
      </c>
      <c r="P8" s="87" t="s">
        <v>133</v>
      </c>
      <c r="Q8" s="91">
        <v>7287.5</v>
      </c>
      <c r="R8" s="87" t="s">
        <v>179</v>
      </c>
      <c r="S8" s="91">
        <v>-7629.0322580645161</v>
      </c>
      <c r="T8" s="87" t="s">
        <v>131</v>
      </c>
      <c r="U8" s="89">
        <v>0.05</v>
      </c>
      <c r="V8" s="87" t="s">
        <v>181</v>
      </c>
      <c r="W8" s="89">
        <v>0</v>
      </c>
      <c r="X8" s="87" t="s">
        <v>133</v>
      </c>
      <c r="Y8" s="89">
        <v>8.3333333333333329E-2</v>
      </c>
      <c r="Z8" s="87" t="s">
        <v>179</v>
      </c>
      <c r="AA8" s="90">
        <v>0.26035502958579881</v>
      </c>
      <c r="AB8" s="87" t="s">
        <v>149</v>
      </c>
      <c r="AC8" s="90">
        <v>0.22372881355932203</v>
      </c>
      <c r="AD8" s="87" t="s">
        <v>149</v>
      </c>
      <c r="AE8" s="90">
        <v>0.5625</v>
      </c>
      <c r="AF8" s="87" t="s">
        <v>181</v>
      </c>
      <c r="AG8" s="90">
        <v>0.38461538461538464</v>
      </c>
      <c r="AH8" s="87" t="s">
        <v>132</v>
      </c>
      <c r="AI8" s="90">
        <v>0.36666666666666664</v>
      </c>
      <c r="AJ8" s="87" t="s">
        <v>179</v>
      </c>
      <c r="AK8" s="92">
        <v>4</v>
      </c>
      <c r="AL8" s="87" t="s">
        <v>193</v>
      </c>
      <c r="AM8" s="96">
        <v>53500</v>
      </c>
      <c r="AN8" s="87" t="s">
        <v>133</v>
      </c>
      <c r="AO8" s="93">
        <v>0</v>
      </c>
    </row>
    <row r="9" spans="1:41" x14ac:dyDescent="0.4">
      <c r="A9" s="84">
        <v>7</v>
      </c>
      <c r="B9" s="85" t="s">
        <v>180</v>
      </c>
      <c r="C9" s="86">
        <v>-29.5</v>
      </c>
      <c r="D9" s="87" t="s">
        <v>180</v>
      </c>
      <c r="E9" s="101">
        <v>-3.6875</v>
      </c>
      <c r="F9" s="87" t="s">
        <v>180</v>
      </c>
      <c r="G9" s="88">
        <v>2.125</v>
      </c>
      <c r="H9" s="87" t="s">
        <v>133</v>
      </c>
      <c r="I9" s="89">
        <v>0.16666666666666666</v>
      </c>
      <c r="J9" s="87" t="s">
        <v>179</v>
      </c>
      <c r="K9" s="89">
        <v>0.35</v>
      </c>
      <c r="L9" s="87" t="s">
        <v>193</v>
      </c>
      <c r="M9" s="90">
        <v>0.26315789473684209</v>
      </c>
      <c r="N9" s="87" t="s">
        <v>185</v>
      </c>
      <c r="O9" s="90">
        <v>0.2</v>
      </c>
      <c r="P9" s="87" t="s">
        <v>185</v>
      </c>
      <c r="Q9" s="91">
        <v>6414.2857142857147</v>
      </c>
      <c r="R9" s="87" t="s">
        <v>131</v>
      </c>
      <c r="S9" s="91">
        <v>-7658.6206896551721</v>
      </c>
      <c r="T9" s="87" t="s">
        <v>179</v>
      </c>
      <c r="U9" s="89">
        <v>0.05</v>
      </c>
      <c r="V9" s="87" t="s">
        <v>180</v>
      </c>
      <c r="W9" s="89">
        <v>0</v>
      </c>
      <c r="X9" s="87" t="s">
        <v>181</v>
      </c>
      <c r="Y9" s="89">
        <v>0</v>
      </c>
      <c r="Z9" s="87" t="s">
        <v>133</v>
      </c>
      <c r="AA9" s="90">
        <v>0.22321428571428573</v>
      </c>
      <c r="AB9" s="87" t="s">
        <v>193</v>
      </c>
      <c r="AC9" s="90">
        <v>0.21052631578947367</v>
      </c>
      <c r="AD9" s="87" t="s">
        <v>131</v>
      </c>
      <c r="AE9" s="90">
        <v>0.55000000000000004</v>
      </c>
      <c r="AF9" s="87" t="s">
        <v>179</v>
      </c>
      <c r="AG9" s="90">
        <v>0.36842105263157893</v>
      </c>
      <c r="AH9" s="87" t="s">
        <v>180</v>
      </c>
      <c r="AI9" s="90">
        <v>0.35294117647058826</v>
      </c>
      <c r="AJ9" s="87" t="s">
        <v>185</v>
      </c>
      <c r="AK9" s="92">
        <v>4</v>
      </c>
      <c r="AL9" s="87" t="s">
        <v>133</v>
      </c>
      <c r="AM9" s="96">
        <v>52200</v>
      </c>
      <c r="AN9" s="87" t="s">
        <v>180</v>
      </c>
      <c r="AO9" s="93">
        <v>0</v>
      </c>
    </row>
    <row r="10" spans="1:41" x14ac:dyDescent="0.4">
      <c r="A10" s="84">
        <v>8</v>
      </c>
      <c r="B10" s="85" t="s">
        <v>194</v>
      </c>
      <c r="C10" s="86">
        <v>-78.400000000000006</v>
      </c>
      <c r="D10" s="87" t="s">
        <v>181</v>
      </c>
      <c r="E10" s="101">
        <v>-24.133333333333329</v>
      </c>
      <c r="F10" s="87" t="s">
        <v>133</v>
      </c>
      <c r="G10" s="88">
        <v>2.4166666666666665</v>
      </c>
      <c r="H10" s="87" t="s">
        <v>180</v>
      </c>
      <c r="I10" s="89">
        <v>0.125</v>
      </c>
      <c r="J10" s="87" t="s">
        <v>181</v>
      </c>
      <c r="K10" s="89">
        <v>0.5</v>
      </c>
      <c r="L10" s="87" t="s">
        <v>179</v>
      </c>
      <c r="M10" s="90">
        <v>0.25698324022346369</v>
      </c>
      <c r="N10" s="87" t="s">
        <v>133</v>
      </c>
      <c r="O10" s="90">
        <v>0.22321428571428573</v>
      </c>
      <c r="P10" s="87" t="s">
        <v>180</v>
      </c>
      <c r="Q10" s="91">
        <v>5858.8235294117649</v>
      </c>
      <c r="R10" s="87" t="s">
        <v>149</v>
      </c>
      <c r="S10" s="91">
        <v>-7870</v>
      </c>
      <c r="T10" s="87" t="s">
        <v>149</v>
      </c>
      <c r="U10" s="89">
        <v>6.6666666666666666E-2</v>
      </c>
      <c r="V10" s="87" t="s">
        <v>185</v>
      </c>
      <c r="W10" s="89">
        <v>0</v>
      </c>
      <c r="X10" s="87" t="s">
        <v>180</v>
      </c>
      <c r="Y10" s="89">
        <v>0</v>
      </c>
      <c r="Z10" s="87" t="s">
        <v>180</v>
      </c>
      <c r="AA10" s="90">
        <v>0.18032786885245902</v>
      </c>
      <c r="AB10" s="87" t="s">
        <v>132</v>
      </c>
      <c r="AC10" s="90">
        <v>0.19889502762430938</v>
      </c>
      <c r="AD10" s="87" t="s">
        <v>179</v>
      </c>
      <c r="AE10" s="90">
        <v>0.5</v>
      </c>
      <c r="AF10" s="87" t="s">
        <v>180</v>
      </c>
      <c r="AG10" s="90">
        <v>0.33333333333333331</v>
      </c>
      <c r="AH10" s="87" t="s">
        <v>179</v>
      </c>
      <c r="AI10" s="90">
        <v>0.32608695652173914</v>
      </c>
      <c r="AJ10" s="87" t="s">
        <v>180</v>
      </c>
      <c r="AK10" s="92">
        <v>3</v>
      </c>
      <c r="AL10" s="87" t="s">
        <v>181</v>
      </c>
      <c r="AM10" s="96">
        <v>50800</v>
      </c>
      <c r="AN10" s="87" t="s">
        <v>185</v>
      </c>
      <c r="AO10" s="93">
        <v>0</v>
      </c>
    </row>
    <row r="11" spans="1:41" x14ac:dyDescent="0.4">
      <c r="A11" s="84">
        <v>9</v>
      </c>
      <c r="B11" s="85" t="s">
        <v>181</v>
      </c>
      <c r="C11" s="86">
        <v>-289.59999999999997</v>
      </c>
      <c r="D11" s="87" t="s">
        <v>194</v>
      </c>
      <c r="E11" s="101">
        <v>-26.133333333333336</v>
      </c>
      <c r="F11" s="87" t="s">
        <v>181</v>
      </c>
      <c r="G11" s="88">
        <v>2.4166666666666665</v>
      </c>
      <c r="H11" s="87" t="s">
        <v>181</v>
      </c>
      <c r="I11" s="89">
        <v>8.3333333333333329E-2</v>
      </c>
      <c r="J11" s="87" t="s">
        <v>133</v>
      </c>
      <c r="K11" s="89">
        <v>0.58333333333333337</v>
      </c>
      <c r="L11" s="87" t="s">
        <v>194</v>
      </c>
      <c r="M11" s="90">
        <v>0.25</v>
      </c>
      <c r="N11" s="87" t="s">
        <v>181</v>
      </c>
      <c r="O11" s="90">
        <v>0.24778761061946902</v>
      </c>
      <c r="P11" s="87" t="s">
        <v>181</v>
      </c>
      <c r="Q11" s="91">
        <v>5150</v>
      </c>
      <c r="R11" s="87" t="s">
        <v>181</v>
      </c>
      <c r="S11" s="91">
        <v>-8521.4285714285706</v>
      </c>
      <c r="T11" s="87" t="s">
        <v>181</v>
      </c>
      <c r="U11" s="89">
        <v>0.16666666666666666</v>
      </c>
      <c r="V11" s="87" t="s">
        <v>193</v>
      </c>
      <c r="W11" s="89">
        <v>0</v>
      </c>
      <c r="X11" s="87" t="s">
        <v>193</v>
      </c>
      <c r="Y11" s="89">
        <v>0</v>
      </c>
      <c r="Z11" s="87" t="s">
        <v>181</v>
      </c>
      <c r="AA11" s="90">
        <v>0.17475728155339806</v>
      </c>
      <c r="AB11" s="87" t="s">
        <v>194</v>
      </c>
      <c r="AC11" s="90">
        <v>0.14285714285714285</v>
      </c>
      <c r="AD11" s="87" t="s">
        <v>181</v>
      </c>
      <c r="AE11" s="90">
        <v>0.5</v>
      </c>
      <c r="AF11" s="87" t="s">
        <v>185</v>
      </c>
      <c r="AG11" s="90">
        <v>0.33333333333333331</v>
      </c>
      <c r="AH11" s="87" t="s">
        <v>185</v>
      </c>
      <c r="AI11" s="90">
        <v>0.2857142857142857</v>
      </c>
      <c r="AJ11" s="87" t="s">
        <v>193</v>
      </c>
      <c r="AK11" s="92">
        <v>3</v>
      </c>
      <c r="AL11" s="87" t="s">
        <v>180</v>
      </c>
      <c r="AM11" s="96">
        <v>48100</v>
      </c>
      <c r="AN11" s="87" t="s">
        <v>193</v>
      </c>
      <c r="AO11" s="93">
        <v>0</v>
      </c>
    </row>
    <row r="12" spans="1:41" x14ac:dyDescent="0.4">
      <c r="A12" s="84">
        <v>10</v>
      </c>
      <c r="B12" s="85" t="s">
        <v>133</v>
      </c>
      <c r="C12" s="86">
        <v>-337.5</v>
      </c>
      <c r="D12" s="87" t="s">
        <v>133</v>
      </c>
      <c r="E12" s="101">
        <v>-28.125</v>
      </c>
      <c r="F12" s="87" t="s">
        <v>194</v>
      </c>
      <c r="G12" s="88">
        <v>2.6666666666666665</v>
      </c>
      <c r="H12" s="87" t="s">
        <v>194</v>
      </c>
      <c r="I12" s="89">
        <v>0</v>
      </c>
      <c r="J12" s="87" t="s">
        <v>194</v>
      </c>
      <c r="K12" s="89">
        <v>0.66666666666666663</v>
      </c>
      <c r="L12" s="87" t="s">
        <v>133</v>
      </c>
      <c r="M12" s="90">
        <v>0.21428571428571427</v>
      </c>
      <c r="N12" s="87" t="s">
        <v>194</v>
      </c>
      <c r="O12" s="90">
        <v>0.25</v>
      </c>
      <c r="P12" s="87" t="s">
        <v>194</v>
      </c>
      <c r="Q12" s="91">
        <v>5014.2857142857147</v>
      </c>
      <c r="R12" s="87" t="s">
        <v>133</v>
      </c>
      <c r="S12" s="91">
        <v>-9708</v>
      </c>
      <c r="T12" s="87" t="s">
        <v>133</v>
      </c>
      <c r="U12" s="89">
        <v>0.25</v>
      </c>
      <c r="V12" s="87" t="s">
        <v>194</v>
      </c>
      <c r="W12" s="89">
        <v>0</v>
      </c>
      <c r="X12" s="87" t="s">
        <v>194</v>
      </c>
      <c r="Y12" s="89">
        <v>0</v>
      </c>
      <c r="Z12" s="87" t="s">
        <v>194</v>
      </c>
      <c r="AA12" s="90">
        <v>0.10714285714285714</v>
      </c>
      <c r="AB12" s="87" t="s">
        <v>133</v>
      </c>
      <c r="AC12" s="90">
        <v>8.9285714285714288E-2</v>
      </c>
      <c r="AD12" s="87" t="s">
        <v>133</v>
      </c>
      <c r="AE12" s="90">
        <v>0.48</v>
      </c>
      <c r="AF12" s="87" t="s">
        <v>132</v>
      </c>
      <c r="AG12" s="90">
        <v>0.27777777777777779</v>
      </c>
      <c r="AH12" s="87" t="s">
        <v>193</v>
      </c>
      <c r="AI12" s="90">
        <v>0.2</v>
      </c>
      <c r="AJ12" s="87" t="s">
        <v>194</v>
      </c>
      <c r="AK12" s="92">
        <v>3</v>
      </c>
      <c r="AL12" s="87" t="s">
        <v>194</v>
      </c>
      <c r="AM12" s="96">
        <v>32800</v>
      </c>
      <c r="AN12" s="87" t="s">
        <v>194</v>
      </c>
      <c r="AO12" s="93">
        <v>0</v>
      </c>
    </row>
  </sheetData>
  <sortState ref="AN3:AO42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316F9-A070-40B8-AB57-7333C1038CBC}">
  <sheetPr codeName="Sheet4"/>
  <dimension ref="A1:Q107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149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105</v>
      </c>
      <c r="C2" s="148"/>
      <c r="E2" s="62" t="s">
        <v>68</v>
      </c>
      <c r="F2" s="59" t="s">
        <v>23</v>
      </c>
      <c r="G2" s="46">
        <v>195</v>
      </c>
      <c r="H2" s="136">
        <f>IF(B$27=0,0,G2/B$27)</f>
        <v>0.72761194029850751</v>
      </c>
      <c r="I2" s="97">
        <v>4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-47.61904761904762</v>
      </c>
      <c r="P2" s="122">
        <v>105</v>
      </c>
      <c r="Q2" s="106">
        <v>-5000</v>
      </c>
    </row>
    <row r="3" spans="1:17" x14ac:dyDescent="0.4">
      <c r="A3" s="55" t="s">
        <v>8</v>
      </c>
      <c r="B3" s="153">
        <v>915</v>
      </c>
      <c r="C3" s="154"/>
      <c r="E3" s="63" t="s">
        <v>74</v>
      </c>
      <c r="F3" s="60" t="s">
        <v>28</v>
      </c>
      <c r="G3" s="47">
        <v>146</v>
      </c>
      <c r="H3" s="137">
        <f>IF(B$27=0,0,G3/B$27)</f>
        <v>0.54477611940298509</v>
      </c>
      <c r="I3" s="98">
        <v>6</v>
      </c>
      <c r="K3" s="38">
        <v>1</v>
      </c>
      <c r="L3" s="103">
        <v>-5.0999999999999996</v>
      </c>
      <c r="N3" s="119" t="s">
        <v>137</v>
      </c>
      <c r="O3" s="126">
        <f t="shared" si="0"/>
        <v>0</v>
      </c>
      <c r="P3" s="123">
        <v>105</v>
      </c>
      <c r="Q3" s="107">
        <v>0</v>
      </c>
    </row>
    <row r="4" spans="1:17" x14ac:dyDescent="0.4">
      <c r="A4" s="55" t="s">
        <v>6</v>
      </c>
      <c r="B4" s="155">
        <v>1.4210854715202004E-14</v>
      </c>
      <c r="C4" s="156"/>
      <c r="E4" s="63" t="s">
        <v>66</v>
      </c>
      <c r="F4" s="60" t="s">
        <v>21</v>
      </c>
      <c r="G4" s="47">
        <v>132</v>
      </c>
      <c r="H4" s="137">
        <f>IF(B$27=0,0,G4/B$27)</f>
        <v>0.4925373134328358</v>
      </c>
      <c r="I4" s="98">
        <v>4</v>
      </c>
      <c r="K4" s="38">
        <v>2</v>
      </c>
      <c r="L4" s="103">
        <v>40.4</v>
      </c>
      <c r="N4" s="119" t="s">
        <v>138</v>
      </c>
      <c r="O4" s="126">
        <f t="shared" si="0"/>
        <v>50.505050505050505</v>
      </c>
      <c r="P4" s="123">
        <v>99</v>
      </c>
      <c r="Q4" s="107">
        <v>5000</v>
      </c>
    </row>
    <row r="5" spans="1:17" x14ac:dyDescent="0.4">
      <c r="A5" s="55" t="s">
        <v>7</v>
      </c>
      <c r="B5" s="157">
        <f>IF(B$2=0,0,B$4/B$2)</f>
        <v>1.3534147347811433E-16</v>
      </c>
      <c r="C5" s="158"/>
      <c r="E5" s="63" t="s">
        <v>189</v>
      </c>
      <c r="F5" s="60" t="s">
        <v>190</v>
      </c>
      <c r="G5" s="47">
        <v>99</v>
      </c>
      <c r="H5" s="137">
        <f>IF(B$27=0,0,G5/B$27)</f>
        <v>0.36940298507462688</v>
      </c>
      <c r="I5" s="98">
        <v>5</v>
      </c>
      <c r="K5" s="38">
        <v>3</v>
      </c>
      <c r="L5" s="103">
        <v>0</v>
      </c>
      <c r="N5" s="119" t="s">
        <v>139</v>
      </c>
      <c r="O5" s="126">
        <f t="shared" si="0"/>
        <v>0</v>
      </c>
      <c r="P5" s="123">
        <v>96</v>
      </c>
      <c r="Q5" s="107">
        <v>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69</v>
      </c>
      <c r="F6" s="60" t="s">
        <v>24</v>
      </c>
      <c r="G6" s="47">
        <v>69</v>
      </c>
      <c r="H6" s="137">
        <f>IF(B$27=0,0,G6/B$27)</f>
        <v>0.2574626865671642</v>
      </c>
      <c r="I6" s="98">
        <v>5</v>
      </c>
      <c r="K6" s="38">
        <v>4</v>
      </c>
      <c r="L6" s="103">
        <v>2.2000000000000002</v>
      </c>
      <c r="N6" s="119" t="s">
        <v>140</v>
      </c>
      <c r="O6" s="126">
        <f t="shared" si="0"/>
        <v>-55.555555555555557</v>
      </c>
      <c r="P6" s="123">
        <v>90</v>
      </c>
      <c r="Q6" s="107">
        <v>-5000</v>
      </c>
    </row>
    <row r="7" spans="1:17" x14ac:dyDescent="0.4">
      <c r="A7" s="55" t="s">
        <v>2</v>
      </c>
      <c r="B7" s="47">
        <v>35</v>
      </c>
      <c r="C7" s="39">
        <f>IF(B$2=0,0,B7/B$2)</f>
        <v>0.33333333333333331</v>
      </c>
      <c r="E7" s="63" t="s">
        <v>70</v>
      </c>
      <c r="F7" s="60" t="s">
        <v>12</v>
      </c>
      <c r="G7" s="47">
        <v>66</v>
      </c>
      <c r="H7" s="137">
        <f>IF(B$27=0,0,G7/B$27)</f>
        <v>0.2462686567164179</v>
      </c>
      <c r="I7" s="98">
        <v>4</v>
      </c>
      <c r="K7" s="38">
        <v>5</v>
      </c>
      <c r="L7" s="103">
        <v>-37</v>
      </c>
      <c r="N7" s="120" t="s">
        <v>141</v>
      </c>
      <c r="O7" s="127">
        <f t="shared" si="0"/>
        <v>59.523809523809526</v>
      </c>
      <c r="P7" s="124">
        <v>84</v>
      </c>
      <c r="Q7" s="108">
        <v>5000</v>
      </c>
    </row>
    <row r="8" spans="1:17" x14ac:dyDescent="0.4">
      <c r="A8" s="55" t="s">
        <v>3</v>
      </c>
      <c r="B8" s="47">
        <v>35</v>
      </c>
      <c r="C8" s="39">
        <f>IF(B$2=0,0,B8/B$2)</f>
        <v>0.33333333333333331</v>
      </c>
      <c r="E8" s="63" t="s">
        <v>71</v>
      </c>
      <c r="F8" s="60" t="s">
        <v>25</v>
      </c>
      <c r="G8" s="47">
        <v>49</v>
      </c>
      <c r="H8" s="137">
        <f>IF(B$27=0,0,G8/B$27)</f>
        <v>0.18283582089552239</v>
      </c>
      <c r="I8" s="98">
        <v>6</v>
      </c>
      <c r="K8" s="38">
        <v>6</v>
      </c>
      <c r="L8" s="103">
        <v>0</v>
      </c>
      <c r="N8" s="43"/>
      <c r="O8" s="131"/>
      <c r="P8" s="115"/>
      <c r="Q8" s="113"/>
    </row>
    <row r="9" spans="1:17" x14ac:dyDescent="0.4">
      <c r="A9" s="56" t="s">
        <v>4</v>
      </c>
      <c r="B9" s="48">
        <v>35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43</v>
      </c>
      <c r="H9" s="137">
        <f>IF(B$27=0,0,G9/B$27)</f>
        <v>0.16044776119402984</v>
      </c>
      <c r="I9" s="98">
        <v>7</v>
      </c>
      <c r="K9" s="38">
        <v>7</v>
      </c>
      <c r="L9" s="103">
        <v>73.3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7</v>
      </c>
      <c r="C10" s="40">
        <f>IF(B$2=0,0,B10/B$2)</f>
        <v>6.6666666666666666E-2</v>
      </c>
      <c r="E10" s="63" t="s">
        <v>67</v>
      </c>
      <c r="F10" s="60" t="s">
        <v>22</v>
      </c>
      <c r="G10" s="47">
        <v>30</v>
      </c>
      <c r="H10" s="137">
        <f>IF(B$27=0,0,G10/B$27)</f>
        <v>0.11194029850746269</v>
      </c>
      <c r="I10" s="98">
        <v>6</v>
      </c>
      <c r="K10" s="38">
        <v>8</v>
      </c>
      <c r="L10" s="103">
        <v>19.699999999999996</v>
      </c>
      <c r="N10" s="118" t="s">
        <v>172</v>
      </c>
      <c r="O10" s="128">
        <f>IF(P10=0,0,Q10/P10)</f>
        <v>4.3199999999999994</v>
      </c>
      <c r="P10" s="122">
        <v>35</v>
      </c>
      <c r="Q10" s="110">
        <v>151.19999999999999</v>
      </c>
    </row>
    <row r="11" spans="1:17" x14ac:dyDescent="0.4">
      <c r="A11" s="56" t="s">
        <v>144</v>
      </c>
      <c r="B11" s="48">
        <v>7</v>
      </c>
      <c r="C11" s="40">
        <f>IF(B$2=0,0,B11/B$2)</f>
        <v>6.6666666666666666E-2</v>
      </c>
      <c r="E11" s="63" t="s">
        <v>72</v>
      </c>
      <c r="F11" s="60" t="s">
        <v>26</v>
      </c>
      <c r="G11" s="47">
        <v>24</v>
      </c>
      <c r="H11" s="137">
        <f>IF(B$27=0,0,G11/B$27)</f>
        <v>8.9552238805970144E-2</v>
      </c>
      <c r="I11" s="98">
        <v>5</v>
      </c>
      <c r="K11" s="38">
        <v>9</v>
      </c>
      <c r="L11" s="103">
        <v>-3.5527136788005009E-15</v>
      </c>
      <c r="N11" s="119" t="s">
        <v>173</v>
      </c>
      <c r="O11" s="129">
        <f>IF(P11=0,0,Q11/P11)</f>
        <v>-10.139999999999997</v>
      </c>
      <c r="P11" s="123">
        <v>35</v>
      </c>
      <c r="Q11" s="111">
        <v>-354.89999999999992</v>
      </c>
    </row>
    <row r="12" spans="1:17" x14ac:dyDescent="0.4">
      <c r="A12" s="57" t="s">
        <v>165</v>
      </c>
      <c r="B12" s="49">
        <v>12</v>
      </c>
      <c r="C12" s="42">
        <f>IF(B$2=0,0,B12/B$2)</f>
        <v>0.11428571428571428</v>
      </c>
      <c r="E12" s="63" t="s">
        <v>89</v>
      </c>
      <c r="F12" s="60" t="s">
        <v>43</v>
      </c>
      <c r="G12" s="47">
        <v>16</v>
      </c>
      <c r="H12" s="137">
        <f>IF(B$27=0,0,G12/B$27)</f>
        <v>5.9701492537313432E-2</v>
      </c>
      <c r="I12" s="98">
        <v>4</v>
      </c>
      <c r="K12" s="38">
        <v>10</v>
      </c>
      <c r="L12" s="103">
        <v>40.099999999999994</v>
      </c>
      <c r="N12" s="120" t="s">
        <v>174</v>
      </c>
      <c r="O12" s="130">
        <f>IF(P12=0,0,Q12/P12)</f>
        <v>5.8200000000000012</v>
      </c>
      <c r="P12" s="124">
        <v>35</v>
      </c>
      <c r="Q12" s="112">
        <v>203.70000000000005</v>
      </c>
    </row>
    <row r="13" spans="1:17" x14ac:dyDescent="0.4">
      <c r="A13" s="58" t="s">
        <v>126</v>
      </c>
      <c r="B13" s="50">
        <v>240</v>
      </c>
      <c r="C13" s="44">
        <f>IF(B$26=0,0,B13/B$26)</f>
        <v>0.2711864406779661</v>
      </c>
      <c r="E13" s="63" t="s">
        <v>73</v>
      </c>
      <c r="F13" s="60" t="s">
        <v>27</v>
      </c>
      <c r="G13" s="47">
        <v>15</v>
      </c>
      <c r="H13" s="137">
        <f>IF(B$27=0,0,G13/B$27)</f>
        <v>5.5970149253731345E-2</v>
      </c>
      <c r="I13" s="98">
        <v>5</v>
      </c>
      <c r="K13" s="38">
        <v>11</v>
      </c>
      <c r="L13" s="103">
        <v>-11.100000000000009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198</v>
      </c>
      <c r="C14" s="39">
        <f>IF(B$26=0,0,B14/B$26)</f>
        <v>0.22372881355932203</v>
      </c>
      <c r="E14" s="63" t="s">
        <v>86</v>
      </c>
      <c r="F14" s="60" t="s">
        <v>40</v>
      </c>
      <c r="G14" s="47">
        <v>14</v>
      </c>
      <c r="H14" s="137">
        <f>IF(B$27=0,0,G14/B$27)</f>
        <v>5.2238805970149252E-2</v>
      </c>
      <c r="I14" s="98">
        <v>5</v>
      </c>
      <c r="K14" s="38">
        <v>12</v>
      </c>
      <c r="L14" s="103">
        <v>-8.8817841970012523E-15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135</v>
      </c>
      <c r="C15" s="37">
        <f>IF(B$13=0,0,B15/B$13)</f>
        <v>0.5625</v>
      </c>
      <c r="E15" s="63" t="s">
        <v>84</v>
      </c>
      <c r="F15" s="60" t="s">
        <v>38</v>
      </c>
      <c r="G15" s="47">
        <v>6</v>
      </c>
      <c r="H15" s="137">
        <f>IF(B$27=0,0,G15/B$27)</f>
        <v>2.2388059701492536E-2</v>
      </c>
      <c r="I15" s="98">
        <v>3</v>
      </c>
      <c r="K15" s="38">
        <v>13</v>
      </c>
      <c r="L15" s="103">
        <v>-42.100000000000009</v>
      </c>
      <c r="N15" s="118" t="s">
        <v>133</v>
      </c>
      <c r="O15" s="128">
        <f>IF(P15=0,0,Q15/P15)</f>
        <v>42.1875</v>
      </c>
      <c r="P15" s="122">
        <v>24</v>
      </c>
      <c r="Q15" s="110">
        <v>1012.5</v>
      </c>
    </row>
    <row r="16" spans="1:17" x14ac:dyDescent="0.4">
      <c r="A16" s="54" t="s">
        <v>129</v>
      </c>
      <c r="B16" s="46">
        <v>80</v>
      </c>
      <c r="C16" s="37">
        <f>IF(B$14=0,0,B16/B$14)</f>
        <v>0.40404040404040403</v>
      </c>
      <c r="E16" s="63" t="s">
        <v>80</v>
      </c>
      <c r="F16" s="60" t="s">
        <v>34</v>
      </c>
      <c r="G16" s="47">
        <v>4</v>
      </c>
      <c r="H16" s="137">
        <f>IF(B$27=0,0,G16/B$27)</f>
        <v>1.4925373134328358E-2</v>
      </c>
      <c r="I16" s="98">
        <v>3</v>
      </c>
      <c r="K16" s="38">
        <v>14</v>
      </c>
      <c r="L16" s="103">
        <v>18.79999999999999</v>
      </c>
      <c r="N16" s="119" t="s">
        <v>194</v>
      </c>
      <c r="O16" s="129">
        <f>IF(P16=0,0,Q16/P16)</f>
        <v>39.199999999999996</v>
      </c>
      <c r="P16" s="123">
        <v>6</v>
      </c>
      <c r="Q16" s="111">
        <v>235.2</v>
      </c>
    </row>
    <row r="17" spans="1:17" x14ac:dyDescent="0.4">
      <c r="A17" s="54" t="s">
        <v>10</v>
      </c>
      <c r="B17" s="46">
        <f>B19+B18</f>
        <v>276</v>
      </c>
      <c r="C17" s="37">
        <f>IF(B$3=0,0,B17/B$3)</f>
        <v>0.30163934426229511</v>
      </c>
      <c r="E17" s="63" t="s">
        <v>77</v>
      </c>
      <c r="F17" s="60" t="s">
        <v>31</v>
      </c>
      <c r="G17" s="47">
        <v>3</v>
      </c>
      <c r="H17" s="137">
        <f>IF(B$27=0,0,G17/B$27)</f>
        <v>1.1194029850746268E-2</v>
      </c>
      <c r="I17" s="98">
        <v>4</v>
      </c>
      <c r="K17" s="38">
        <v>15</v>
      </c>
      <c r="L17" s="103">
        <v>-1.0658141036401503E-14</v>
      </c>
      <c r="N17" s="119" t="s">
        <v>181</v>
      </c>
      <c r="O17" s="129">
        <f>IF(P17=0,0,Q17/P17)</f>
        <v>36.199999999999996</v>
      </c>
      <c r="P17" s="123">
        <v>24</v>
      </c>
      <c r="Q17" s="111">
        <v>868.8</v>
      </c>
    </row>
    <row r="18" spans="1:17" x14ac:dyDescent="0.4">
      <c r="A18" s="55" t="s">
        <v>12</v>
      </c>
      <c r="B18" s="47">
        <v>104</v>
      </c>
      <c r="C18" s="39">
        <f>IF(B$17=0,0,B18/B$17)</f>
        <v>0.37681159420289856</v>
      </c>
      <c r="E18" s="63" t="s">
        <v>94</v>
      </c>
      <c r="F18" s="60" t="s">
        <v>48</v>
      </c>
      <c r="G18" s="47">
        <v>3</v>
      </c>
      <c r="H18" s="137">
        <f>IF(B$27=0,0,G18/B$27)</f>
        <v>1.1194029850746268E-2</v>
      </c>
      <c r="I18" s="98">
        <v>3</v>
      </c>
      <c r="K18" s="38">
        <v>16</v>
      </c>
      <c r="L18" s="103">
        <v>90.899999999999991</v>
      </c>
      <c r="N18" s="119" t="s">
        <v>180</v>
      </c>
      <c r="O18" s="129">
        <f>IF(P18=0,0,Q18/P18)</f>
        <v>5.5312499999999973</v>
      </c>
      <c r="P18" s="123">
        <v>16</v>
      </c>
      <c r="Q18" s="111">
        <v>88.499999999999957</v>
      </c>
    </row>
    <row r="19" spans="1:17" x14ac:dyDescent="0.4">
      <c r="A19" s="55" t="s">
        <v>11</v>
      </c>
      <c r="B19" s="47">
        <v>172</v>
      </c>
      <c r="C19" s="39">
        <f>IF(B$17=0,0,B19/B$17)</f>
        <v>0.62318840579710144</v>
      </c>
      <c r="E19" s="63" t="s">
        <v>95</v>
      </c>
      <c r="F19" s="60" t="s">
        <v>49</v>
      </c>
      <c r="G19" s="47">
        <v>2</v>
      </c>
      <c r="H19" s="137">
        <f>IF(B$27=0,0,G19/B$27)</f>
        <v>7.462686567164179E-3</v>
      </c>
      <c r="I19" s="98">
        <v>3</v>
      </c>
      <c r="K19" s="38">
        <v>17</v>
      </c>
      <c r="L19" s="103">
        <v>8.2999999999999972</v>
      </c>
      <c r="N19" s="119" t="s">
        <v>179</v>
      </c>
      <c r="O19" s="129">
        <f>IF(P19=0,0,Q19/P19)</f>
        <v>0.27000000000000063</v>
      </c>
      <c r="P19" s="123">
        <v>40</v>
      </c>
      <c r="Q19" s="111">
        <v>10.800000000000026</v>
      </c>
    </row>
    <row r="20" spans="1:17" x14ac:dyDescent="0.4">
      <c r="A20" s="55" t="s">
        <v>13</v>
      </c>
      <c r="B20" s="47">
        <v>170</v>
      </c>
      <c r="C20" s="39">
        <f>IF(B$3=0,0,B20/B$3)</f>
        <v>0.18579234972677597</v>
      </c>
      <c r="E20" s="63" t="s">
        <v>75</v>
      </c>
      <c r="F20" s="60" t="s">
        <v>29</v>
      </c>
      <c r="G20" s="47">
        <v>1</v>
      </c>
      <c r="H20" s="137">
        <f>IF(B$27=0,0,G20/B$27)</f>
        <v>3.7313432835820895E-3</v>
      </c>
      <c r="I20" s="98">
        <v>2</v>
      </c>
      <c r="K20" s="38">
        <v>18</v>
      </c>
      <c r="L20" s="103">
        <v>-3.5527136788005009E-15</v>
      </c>
      <c r="N20" s="119" t="s">
        <v>185</v>
      </c>
      <c r="O20" s="129">
        <f>IF(P20=0,0,Q20/P20)</f>
        <v>-0.97500000000000142</v>
      </c>
      <c r="P20" s="123">
        <v>12</v>
      </c>
      <c r="Q20" s="111">
        <v>-11.700000000000017</v>
      </c>
    </row>
    <row r="21" spans="1:17" x14ac:dyDescent="0.4">
      <c r="A21" s="55" t="s">
        <v>5</v>
      </c>
      <c r="B21" s="51">
        <f>IF(B$17=0,0,C21/B$17)</f>
        <v>7593.840579710145</v>
      </c>
      <c r="C21" s="41">
        <v>2095900</v>
      </c>
      <c r="E21" s="63" t="s">
        <v>81</v>
      </c>
      <c r="F21" s="60" t="s">
        <v>35</v>
      </c>
      <c r="G21" s="47">
        <v>1</v>
      </c>
      <c r="H21" s="137">
        <f>IF(B$27=0,0,G21/B$27)</f>
        <v>3.7313432835820895E-3</v>
      </c>
      <c r="I21" s="98">
        <v>2</v>
      </c>
      <c r="K21" s="38">
        <v>19</v>
      </c>
      <c r="L21" s="103">
        <v>30.999999999999996</v>
      </c>
      <c r="N21" s="119" t="s">
        <v>132</v>
      </c>
      <c r="O21" s="129">
        <f>IF(P21=0,0,Q21/P21)</f>
        <v>-14.578571428571427</v>
      </c>
      <c r="P21" s="123">
        <v>42</v>
      </c>
      <c r="Q21" s="111">
        <v>-612.29999999999995</v>
      </c>
    </row>
    <row r="22" spans="1:17" x14ac:dyDescent="0.4">
      <c r="A22" s="57" t="s">
        <v>14</v>
      </c>
      <c r="B22" s="52">
        <f>IF(B$20=0,0,C22/B$20)</f>
        <v>-7870</v>
      </c>
      <c r="C22" s="45">
        <v>-1337900</v>
      </c>
      <c r="E22" s="63" t="s">
        <v>88</v>
      </c>
      <c r="F22" s="60" t="s">
        <v>42</v>
      </c>
      <c r="G22" s="47">
        <v>1</v>
      </c>
      <c r="H22" s="137">
        <f>IF(B$27=0,0,G22/B$27)</f>
        <v>3.7313432835820895E-3</v>
      </c>
      <c r="I22" s="98">
        <v>2</v>
      </c>
      <c r="K22" s="38">
        <v>20</v>
      </c>
      <c r="L22" s="103">
        <v>0.79999999999999716</v>
      </c>
      <c r="N22" s="119" t="s">
        <v>193</v>
      </c>
      <c r="O22" s="129">
        <f>IF(P22=0,0,Q22/P22)</f>
        <v>-30.5</v>
      </c>
      <c r="P22" s="123">
        <v>6</v>
      </c>
      <c r="Q22" s="111">
        <v>-183</v>
      </c>
    </row>
    <row r="23" spans="1:17" x14ac:dyDescent="0.4">
      <c r="A23" s="94" t="s">
        <v>146</v>
      </c>
      <c r="B23" s="143">
        <v>7</v>
      </c>
      <c r="C23" s="144"/>
      <c r="E23" s="63" t="s">
        <v>93</v>
      </c>
      <c r="F23" s="60" t="s">
        <v>47</v>
      </c>
      <c r="G23" s="47">
        <v>1</v>
      </c>
      <c r="H23" s="137">
        <f>IF(B$27=0,0,G23/B$27)</f>
        <v>3.7313432835820895E-3</v>
      </c>
      <c r="I23" s="98">
        <v>2</v>
      </c>
      <c r="K23" s="38">
        <v>21</v>
      </c>
      <c r="L23" s="103">
        <v>-2.886579864025407E-15</v>
      </c>
      <c r="N23" s="119" t="s">
        <v>131</v>
      </c>
      <c r="O23" s="129">
        <f>IF(P23=0,0,Q23/P23)</f>
        <v>-35.220000000000006</v>
      </c>
      <c r="P23" s="123">
        <v>40</v>
      </c>
      <c r="Q23" s="111">
        <v>-1408.8000000000002</v>
      </c>
    </row>
    <row r="24" spans="1:17" x14ac:dyDescent="0.4">
      <c r="A24" s="58" t="s">
        <v>157</v>
      </c>
      <c r="B24" s="141">
        <v>105900</v>
      </c>
      <c r="C24" s="142"/>
      <c r="E24" s="63" t="s">
        <v>188</v>
      </c>
      <c r="F24" s="60" t="s">
        <v>191</v>
      </c>
      <c r="G24" s="47">
        <v>1</v>
      </c>
      <c r="H24" s="137">
        <f>IF(B$27=0,0,G24/B$27)</f>
        <v>3.7313432835820895E-3</v>
      </c>
      <c r="I24" s="98">
        <v>2</v>
      </c>
      <c r="K24" s="38">
        <v>22</v>
      </c>
      <c r="L24" s="103">
        <v>23.699999999999996</v>
      </c>
    </row>
    <row r="25" spans="1:17" x14ac:dyDescent="0.4">
      <c r="A25" s="57" t="s">
        <v>147</v>
      </c>
      <c r="B25" s="65">
        <v>6</v>
      </c>
      <c r="C25" s="42">
        <f>IF(B$3=0,0,B25/B$3)</f>
        <v>6.5573770491803279E-3</v>
      </c>
      <c r="E25" s="63" t="s">
        <v>76</v>
      </c>
      <c r="F25" s="60" t="s">
        <v>30</v>
      </c>
      <c r="G25" s="47">
        <v>0</v>
      </c>
      <c r="H25" s="137">
        <f>IF(B$27=0,0,G25/B$27)</f>
        <v>0</v>
      </c>
      <c r="I25" s="98">
        <v>1</v>
      </c>
      <c r="K25" s="38">
        <v>23</v>
      </c>
      <c r="L25" s="103">
        <v>26.299999999999997</v>
      </c>
    </row>
    <row r="26" spans="1:17" x14ac:dyDescent="0.4">
      <c r="A26" s="54" t="s">
        <v>124</v>
      </c>
      <c r="B26" s="147">
        <v>885</v>
      </c>
      <c r="C26" s="148"/>
      <c r="E26" s="63" t="s">
        <v>78</v>
      </c>
      <c r="F26" s="60" t="s">
        <v>32</v>
      </c>
      <c r="G26" s="47">
        <v>0</v>
      </c>
      <c r="H26" s="137">
        <f>IF(B$27=0,0,G26/B$27)</f>
        <v>0</v>
      </c>
      <c r="I26" s="98">
        <v>1</v>
      </c>
      <c r="K26" s="38">
        <v>24</v>
      </c>
      <c r="L26" s="103">
        <v>-3.5527136788005009E-15</v>
      </c>
    </row>
    <row r="27" spans="1:17" x14ac:dyDescent="0.4">
      <c r="A27" s="57" t="s">
        <v>125</v>
      </c>
      <c r="B27" s="149">
        <v>268</v>
      </c>
      <c r="C27" s="150"/>
      <c r="E27" s="63" t="s">
        <v>79</v>
      </c>
      <c r="F27" s="60" t="s">
        <v>33</v>
      </c>
      <c r="G27" s="47">
        <v>0</v>
      </c>
      <c r="H27" s="137">
        <f>IF(B$27=0,0,G27/B$27)</f>
        <v>0</v>
      </c>
      <c r="I27" s="98">
        <v>1</v>
      </c>
      <c r="K27" s="38">
        <v>25</v>
      </c>
      <c r="L27" s="103">
        <v>-31.300000000000004</v>
      </c>
    </row>
    <row r="28" spans="1:17" x14ac:dyDescent="0.4">
      <c r="E28" s="63" t="s">
        <v>82</v>
      </c>
      <c r="F28" s="60" t="s">
        <v>36</v>
      </c>
      <c r="G28" s="47">
        <v>0</v>
      </c>
      <c r="H28" s="137">
        <f>IF(B$27=0,0,G28/B$27)</f>
        <v>0</v>
      </c>
      <c r="I28" s="98">
        <v>1</v>
      </c>
      <c r="K28" s="38">
        <v>26</v>
      </c>
      <c r="L28" s="103">
        <v>1.8999999999999986</v>
      </c>
    </row>
    <row r="29" spans="1:17" x14ac:dyDescent="0.4">
      <c r="E29" s="63" t="s">
        <v>83</v>
      </c>
      <c r="F29" s="60" t="s">
        <v>37</v>
      </c>
      <c r="G29" s="47">
        <v>0</v>
      </c>
      <c r="H29" s="137">
        <f>IF(B$27=0,0,G29/B$27)</f>
        <v>0</v>
      </c>
      <c r="I29" s="98">
        <v>1</v>
      </c>
      <c r="K29" s="38">
        <v>27</v>
      </c>
      <c r="L29" s="103">
        <v>-1.3322676295501878E-15</v>
      </c>
    </row>
    <row r="30" spans="1:17" x14ac:dyDescent="0.4">
      <c r="E30" s="63" t="s">
        <v>85</v>
      </c>
      <c r="F30" s="60" t="s">
        <v>39</v>
      </c>
      <c r="G30" s="47">
        <v>0</v>
      </c>
      <c r="H30" s="137">
        <f>IF(B$27=0,0,G30/B$27)</f>
        <v>0</v>
      </c>
      <c r="I30" s="98">
        <v>1</v>
      </c>
      <c r="K30" s="38">
        <v>28</v>
      </c>
      <c r="L30" s="103">
        <v>-58.3</v>
      </c>
    </row>
    <row r="31" spans="1:17" x14ac:dyDescent="0.4">
      <c r="E31" s="63" t="s">
        <v>87</v>
      </c>
      <c r="F31" s="60" t="s">
        <v>41</v>
      </c>
      <c r="G31" s="47">
        <v>0</v>
      </c>
      <c r="H31" s="137">
        <f>IF(B$27=0,0,G31/B$27)</f>
        <v>0</v>
      </c>
      <c r="I31" s="98">
        <v>1</v>
      </c>
      <c r="K31" s="38">
        <v>29</v>
      </c>
      <c r="L31" s="103">
        <v>-9.5</v>
      </c>
    </row>
    <row r="32" spans="1:17" x14ac:dyDescent="0.4">
      <c r="E32" s="63" t="s">
        <v>90</v>
      </c>
      <c r="F32" s="60" t="s">
        <v>44</v>
      </c>
      <c r="G32" s="47">
        <v>0</v>
      </c>
      <c r="H32" s="137">
        <f>IF(B$27=0,0,G32/B$27)</f>
        <v>0</v>
      </c>
      <c r="I32" s="98">
        <v>1</v>
      </c>
      <c r="K32" s="38">
        <v>30</v>
      </c>
      <c r="L32" s="103">
        <v>0</v>
      </c>
    </row>
    <row r="33" spans="5:12" x14ac:dyDescent="0.4">
      <c r="E33" s="63" t="s">
        <v>91</v>
      </c>
      <c r="F33" s="60" t="s">
        <v>45</v>
      </c>
      <c r="G33" s="47">
        <v>0</v>
      </c>
      <c r="H33" s="137">
        <f>IF(B$27=0,0,G33/B$27)</f>
        <v>0</v>
      </c>
      <c r="I33" s="98">
        <v>1</v>
      </c>
      <c r="K33" s="38">
        <v>31</v>
      </c>
      <c r="L33" s="103">
        <v>29.1</v>
      </c>
    </row>
    <row r="34" spans="5:12" x14ac:dyDescent="0.4">
      <c r="E34" s="63" t="s">
        <v>96</v>
      </c>
      <c r="F34" s="60" t="s">
        <v>50</v>
      </c>
      <c r="G34" s="47">
        <v>0</v>
      </c>
      <c r="H34" s="137">
        <f>IF(B$27=0,0,G34/B$27)</f>
        <v>0</v>
      </c>
      <c r="I34" s="98">
        <v>1</v>
      </c>
      <c r="K34" s="38">
        <v>32</v>
      </c>
      <c r="L34" s="103">
        <v>4.3000000000000007</v>
      </c>
    </row>
    <row r="35" spans="5:12" x14ac:dyDescent="0.4">
      <c r="E35" s="63" t="s">
        <v>97</v>
      </c>
      <c r="F35" s="60" t="s">
        <v>51</v>
      </c>
      <c r="G35" s="47">
        <v>0</v>
      </c>
      <c r="H35" s="137">
        <f>IF(B$27=0,0,G35/B$27)</f>
        <v>0</v>
      </c>
      <c r="I35" s="98">
        <v>1</v>
      </c>
      <c r="K35" s="38">
        <v>33</v>
      </c>
      <c r="L35" s="103">
        <v>8.8817841970012523E-16</v>
      </c>
    </row>
    <row r="36" spans="5:12" x14ac:dyDescent="0.4">
      <c r="E36" s="63" t="s">
        <v>98</v>
      </c>
      <c r="F36" s="60" t="s">
        <v>52</v>
      </c>
      <c r="G36" s="47">
        <v>0</v>
      </c>
      <c r="H36" s="137">
        <f>IF(B$27=0,0,G36/B$27)</f>
        <v>0</v>
      </c>
      <c r="I36" s="98">
        <v>1</v>
      </c>
      <c r="K36" s="38">
        <v>34</v>
      </c>
      <c r="L36" s="103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7">
        <f>IF(B$27=0,0,G37/B$27)</f>
        <v>0</v>
      </c>
      <c r="I37" s="98">
        <v>1</v>
      </c>
      <c r="K37" s="38">
        <v>35</v>
      </c>
      <c r="L37" s="103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7">
        <f>IF(B$27=0,0,G38/B$27)</f>
        <v>0</v>
      </c>
      <c r="I38" s="98">
        <v>1</v>
      </c>
      <c r="K38" s="38">
        <v>36</v>
      </c>
      <c r="L38" s="103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7">
        <f>IF(B$27=0,0,G39/B$27)</f>
        <v>0</v>
      </c>
      <c r="I39" s="98">
        <v>1</v>
      </c>
      <c r="K39" s="38">
        <v>37</v>
      </c>
      <c r="L39" s="103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7">
        <f>IF(B$27=0,0,G40/B$27)</f>
        <v>0</v>
      </c>
      <c r="I40" s="98">
        <v>1</v>
      </c>
      <c r="K40" s="38">
        <v>38</v>
      </c>
      <c r="L40" s="103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7">
        <f>IF(B$27=0,0,G41/B$27)</f>
        <v>0</v>
      </c>
      <c r="I41" s="98">
        <v>1</v>
      </c>
      <c r="K41" s="38">
        <v>39</v>
      </c>
      <c r="L41" s="103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7">
        <f>IF(B$27=0,0,G42/B$27)</f>
        <v>0</v>
      </c>
      <c r="I42" s="98">
        <v>1</v>
      </c>
      <c r="K42" s="38">
        <v>40</v>
      </c>
      <c r="L42" s="103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7">
        <f>IF(B$27=0,0,G43/B$27)</f>
        <v>0</v>
      </c>
      <c r="I43" s="98">
        <v>1</v>
      </c>
      <c r="K43" s="38">
        <v>41</v>
      </c>
      <c r="L43" s="103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7">
        <f>IF(B$27=0,0,G44/B$27)</f>
        <v>0</v>
      </c>
      <c r="I44" s="98">
        <v>1</v>
      </c>
      <c r="K44" s="38">
        <v>42</v>
      </c>
      <c r="L44" s="103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7">
        <f>IF(B$27=0,0,G45/B$27)</f>
        <v>0</v>
      </c>
      <c r="I45" s="98">
        <v>1</v>
      </c>
      <c r="K45" s="38">
        <v>43</v>
      </c>
      <c r="L45" s="103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7">
        <f>IF(B$27=0,0,G46/B$27)</f>
        <v>0</v>
      </c>
      <c r="I46" s="98">
        <v>1</v>
      </c>
      <c r="K46" s="38">
        <v>44</v>
      </c>
      <c r="L46" s="103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7">
        <f>IF(B$27=0,0,G47/B$27)</f>
        <v>0</v>
      </c>
      <c r="I47" s="98">
        <v>1</v>
      </c>
      <c r="K47" s="38">
        <v>45</v>
      </c>
      <c r="L47" s="103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7">
        <f>IF(B$27=0,0,G48/B$27)</f>
        <v>0</v>
      </c>
      <c r="I48" s="98">
        <v>1</v>
      </c>
      <c r="K48" s="38">
        <v>46</v>
      </c>
      <c r="L48" s="103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7">
        <f>IF(B$27=0,0,G49/B$27)</f>
        <v>0</v>
      </c>
      <c r="I49" s="98">
        <v>1</v>
      </c>
      <c r="K49" s="38">
        <v>47</v>
      </c>
      <c r="L49" s="103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7">
        <f>IF(B$27=0,0,G50/B$27)</f>
        <v>0</v>
      </c>
      <c r="I50" s="98">
        <v>1</v>
      </c>
      <c r="K50" s="38">
        <v>48</v>
      </c>
      <c r="L50" s="103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7">
        <f>IF(B$27=0,0,G51/B$27)</f>
        <v>0</v>
      </c>
      <c r="I51" s="98">
        <v>1</v>
      </c>
      <c r="K51" s="38">
        <v>49</v>
      </c>
      <c r="L51" s="103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8">
        <f>IF(B$27=0,0,G52/B$27)</f>
        <v>0</v>
      </c>
      <c r="I52" s="99">
        <v>1</v>
      </c>
      <c r="K52" s="38">
        <v>50</v>
      </c>
      <c r="L52" s="103">
        <v>4.0999999999999943</v>
      </c>
    </row>
    <row r="53" spans="5:12" x14ac:dyDescent="0.4">
      <c r="K53" s="38">
        <v>51</v>
      </c>
      <c r="L53" s="103">
        <v>-5.3290705182007514E-15</v>
      </c>
    </row>
    <row r="54" spans="5:12" x14ac:dyDescent="0.4">
      <c r="K54" s="38">
        <v>52</v>
      </c>
      <c r="L54" s="103">
        <v>27.799999999999997</v>
      </c>
    </row>
    <row r="55" spans="5:12" x14ac:dyDescent="0.4">
      <c r="K55" s="38">
        <v>53</v>
      </c>
      <c r="L55" s="103">
        <v>25.099999999999998</v>
      </c>
    </row>
    <row r="56" spans="5:12" x14ac:dyDescent="0.4">
      <c r="K56" s="38">
        <v>54</v>
      </c>
      <c r="L56" s="103">
        <v>-3.5527136788005009E-15</v>
      </c>
    </row>
    <row r="57" spans="5:12" x14ac:dyDescent="0.4">
      <c r="K57" s="38">
        <v>55</v>
      </c>
      <c r="L57" s="103">
        <v>47.2</v>
      </c>
    </row>
    <row r="58" spans="5:12" x14ac:dyDescent="0.4">
      <c r="K58" s="38">
        <v>56</v>
      </c>
      <c r="L58" s="103">
        <v>-3.5</v>
      </c>
    </row>
    <row r="59" spans="5:12" x14ac:dyDescent="0.4">
      <c r="K59" s="38">
        <v>57</v>
      </c>
      <c r="L59" s="103">
        <v>0</v>
      </c>
    </row>
    <row r="60" spans="5:12" x14ac:dyDescent="0.4">
      <c r="K60" s="38">
        <v>58</v>
      </c>
      <c r="L60" s="103">
        <v>-28.5</v>
      </c>
    </row>
    <row r="61" spans="5:12" x14ac:dyDescent="0.4">
      <c r="K61" s="38">
        <v>59</v>
      </c>
      <c r="L61" s="103">
        <v>-31.9</v>
      </c>
    </row>
    <row r="62" spans="5:12" x14ac:dyDescent="0.4">
      <c r="K62" s="38">
        <v>60</v>
      </c>
      <c r="L62" s="103">
        <v>0</v>
      </c>
    </row>
    <row r="63" spans="5:12" x14ac:dyDescent="0.4">
      <c r="K63" s="38">
        <v>61</v>
      </c>
      <c r="L63" s="103">
        <v>28.9</v>
      </c>
    </row>
    <row r="64" spans="5:12" x14ac:dyDescent="0.4">
      <c r="K64" s="38">
        <v>62</v>
      </c>
      <c r="L64" s="103">
        <v>3.5</v>
      </c>
    </row>
    <row r="65" spans="11:12" x14ac:dyDescent="0.4">
      <c r="K65" s="38">
        <v>63</v>
      </c>
      <c r="L65" s="103">
        <v>0</v>
      </c>
    </row>
    <row r="66" spans="11:12" x14ac:dyDescent="0.4">
      <c r="K66" s="38">
        <v>64</v>
      </c>
      <c r="L66" s="103">
        <v>-15.3</v>
      </c>
    </row>
    <row r="67" spans="11:12" x14ac:dyDescent="0.4">
      <c r="K67" s="38">
        <v>65</v>
      </c>
      <c r="L67" s="103">
        <v>41</v>
      </c>
    </row>
    <row r="68" spans="11:12" x14ac:dyDescent="0.4">
      <c r="K68" s="38">
        <v>66</v>
      </c>
      <c r="L68" s="103">
        <v>0</v>
      </c>
    </row>
    <row r="69" spans="11:12" x14ac:dyDescent="0.4">
      <c r="K69" s="38">
        <v>67</v>
      </c>
      <c r="L69" s="103">
        <v>-15.8</v>
      </c>
    </row>
    <row r="70" spans="11:12" x14ac:dyDescent="0.4">
      <c r="K70" s="38">
        <v>68</v>
      </c>
      <c r="L70" s="103">
        <v>57.8</v>
      </c>
    </row>
    <row r="71" spans="11:12" x14ac:dyDescent="0.4">
      <c r="K71" s="38">
        <v>69</v>
      </c>
      <c r="L71" s="103">
        <v>0</v>
      </c>
    </row>
    <row r="72" spans="11:12" x14ac:dyDescent="0.4">
      <c r="K72" s="38">
        <v>70</v>
      </c>
      <c r="L72" s="103">
        <v>54.6</v>
      </c>
    </row>
    <row r="73" spans="11:12" x14ac:dyDescent="0.4">
      <c r="K73" s="38">
        <v>71</v>
      </c>
      <c r="L73" s="103">
        <v>14.600000000000001</v>
      </c>
    </row>
    <row r="74" spans="11:12" x14ac:dyDescent="0.4">
      <c r="K74" s="38">
        <v>72</v>
      </c>
      <c r="L74" s="103">
        <v>1.7763568394002505E-15</v>
      </c>
    </row>
    <row r="75" spans="11:12" x14ac:dyDescent="0.4">
      <c r="K75" s="38">
        <v>73</v>
      </c>
      <c r="L75" s="103">
        <v>-43.7</v>
      </c>
    </row>
    <row r="76" spans="11:12" x14ac:dyDescent="0.4">
      <c r="K76" s="38">
        <v>74</v>
      </c>
      <c r="L76" s="103">
        <v>6.2999999999999972</v>
      </c>
    </row>
    <row r="77" spans="11:12" x14ac:dyDescent="0.4">
      <c r="K77" s="38">
        <v>75</v>
      </c>
      <c r="L77" s="103">
        <v>-2.6645352591003757E-15</v>
      </c>
    </row>
    <row r="78" spans="11:12" x14ac:dyDescent="0.4">
      <c r="K78" s="38">
        <v>76</v>
      </c>
      <c r="L78" s="103">
        <v>-32.5</v>
      </c>
    </row>
    <row r="79" spans="11:12" x14ac:dyDescent="0.4">
      <c r="K79" s="38">
        <v>77</v>
      </c>
      <c r="L79" s="103">
        <v>-37.1</v>
      </c>
    </row>
    <row r="80" spans="11:12" x14ac:dyDescent="0.4">
      <c r="K80" s="38">
        <v>78</v>
      </c>
      <c r="L80" s="103">
        <v>0</v>
      </c>
    </row>
    <row r="81" spans="11:12" x14ac:dyDescent="0.4">
      <c r="K81" s="38">
        <v>79</v>
      </c>
      <c r="L81" s="103">
        <v>8</v>
      </c>
    </row>
    <row r="82" spans="11:12" x14ac:dyDescent="0.4">
      <c r="K82" s="38">
        <v>80</v>
      </c>
      <c r="L82" s="103">
        <v>-29.299999999999997</v>
      </c>
    </row>
    <row r="83" spans="11:12" x14ac:dyDescent="0.4">
      <c r="K83" s="38">
        <v>81</v>
      </c>
      <c r="L83" s="103">
        <v>3.5527136788005009E-15</v>
      </c>
    </row>
    <row r="84" spans="11:12" x14ac:dyDescent="0.4">
      <c r="K84" s="38">
        <v>82</v>
      </c>
      <c r="L84" s="103">
        <v>-6.9999999999999964</v>
      </c>
    </row>
    <row r="85" spans="11:12" x14ac:dyDescent="0.4">
      <c r="K85" s="38">
        <v>83</v>
      </c>
      <c r="L85" s="103">
        <v>-38.5</v>
      </c>
    </row>
    <row r="86" spans="11:12" x14ac:dyDescent="0.4">
      <c r="K86" s="38">
        <v>84</v>
      </c>
      <c r="L86" s="103">
        <v>0</v>
      </c>
    </row>
    <row r="87" spans="11:12" x14ac:dyDescent="0.4">
      <c r="K87" s="38">
        <v>85</v>
      </c>
      <c r="L87" s="103">
        <v>52.9</v>
      </c>
    </row>
    <row r="88" spans="11:12" x14ac:dyDescent="0.4">
      <c r="K88" s="38">
        <v>86</v>
      </c>
      <c r="L88" s="103">
        <v>-3.1000000000000014</v>
      </c>
    </row>
    <row r="89" spans="11:12" x14ac:dyDescent="0.4">
      <c r="K89" s="38">
        <v>87</v>
      </c>
      <c r="L89" s="103">
        <v>-1.3322676295501878E-15</v>
      </c>
    </row>
    <row r="90" spans="11:12" x14ac:dyDescent="0.4">
      <c r="K90" s="38">
        <v>88</v>
      </c>
      <c r="L90" s="103">
        <v>22.1</v>
      </c>
    </row>
    <row r="91" spans="11:12" x14ac:dyDescent="0.4">
      <c r="K91" s="38">
        <v>89</v>
      </c>
      <c r="L91" s="103">
        <v>24</v>
      </c>
    </row>
    <row r="92" spans="11:12" x14ac:dyDescent="0.4">
      <c r="K92" s="38">
        <v>90</v>
      </c>
      <c r="L92" s="103">
        <v>0</v>
      </c>
    </row>
    <row r="93" spans="11:12" x14ac:dyDescent="0.4">
      <c r="K93" s="38">
        <v>91</v>
      </c>
      <c r="L93" s="103">
        <v>22.1</v>
      </c>
    </row>
    <row r="94" spans="11:12" x14ac:dyDescent="0.4">
      <c r="K94" s="38">
        <v>92</v>
      </c>
      <c r="L94" s="103">
        <v>24</v>
      </c>
    </row>
    <row r="95" spans="11:12" x14ac:dyDescent="0.4">
      <c r="K95" s="38">
        <v>93</v>
      </c>
      <c r="L95" s="103">
        <v>0</v>
      </c>
    </row>
    <row r="96" spans="11:12" x14ac:dyDescent="0.4">
      <c r="K96" s="38">
        <v>94</v>
      </c>
      <c r="L96" s="103">
        <v>25.7</v>
      </c>
    </row>
    <row r="97" spans="11:12" x14ac:dyDescent="0.4">
      <c r="K97" s="38">
        <v>95</v>
      </c>
      <c r="L97" s="103">
        <v>1.8000000000000007</v>
      </c>
    </row>
    <row r="98" spans="11:12" x14ac:dyDescent="0.4">
      <c r="K98" s="38">
        <v>96</v>
      </c>
      <c r="L98" s="103">
        <v>6.6613381477509392E-16</v>
      </c>
    </row>
    <row r="99" spans="11:12" x14ac:dyDescent="0.4">
      <c r="K99" s="38">
        <v>97</v>
      </c>
      <c r="L99" s="103">
        <v>39.6</v>
      </c>
    </row>
    <row r="100" spans="11:12" x14ac:dyDescent="0.4">
      <c r="K100" s="38">
        <v>98</v>
      </c>
      <c r="L100" s="103">
        <v>-64.199999999999989</v>
      </c>
    </row>
    <row r="101" spans="11:12" x14ac:dyDescent="0.4">
      <c r="K101" s="38">
        <v>99</v>
      </c>
      <c r="L101" s="103">
        <v>1.4210854715202004E-14</v>
      </c>
    </row>
    <row r="102" spans="11:12" x14ac:dyDescent="0.4">
      <c r="K102" s="38">
        <v>100</v>
      </c>
      <c r="L102" s="103">
        <v>-74.499999999999986</v>
      </c>
    </row>
    <row r="103" spans="11:12" x14ac:dyDescent="0.4">
      <c r="K103" s="38">
        <v>101</v>
      </c>
      <c r="L103" s="103">
        <v>2.2000000000000171</v>
      </c>
    </row>
    <row r="104" spans="11:12" x14ac:dyDescent="0.4">
      <c r="K104" s="38">
        <v>102</v>
      </c>
      <c r="L104" s="103">
        <v>1.6875389974302379E-14</v>
      </c>
    </row>
    <row r="105" spans="11:12" x14ac:dyDescent="0.4">
      <c r="K105" s="38">
        <v>103</v>
      </c>
      <c r="L105" s="103">
        <v>-31.599999999999984</v>
      </c>
    </row>
    <row r="106" spans="11:12" x14ac:dyDescent="0.4">
      <c r="K106" s="38">
        <v>104</v>
      </c>
      <c r="L106" s="103">
        <v>-35.799999999999983</v>
      </c>
    </row>
    <row r="107" spans="11:12" x14ac:dyDescent="0.4">
      <c r="K107" s="38">
        <v>105</v>
      </c>
      <c r="L107" s="103">
        <v>1.4210854715202004E-14</v>
      </c>
    </row>
  </sheetData>
  <sortState ref="N15:Q23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7C55-EDE6-4B37-B197-707762238C73}">
  <sheetPr codeName="Sheet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131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20</v>
      </c>
      <c r="C2" s="148"/>
      <c r="E2" s="62" t="s">
        <v>68</v>
      </c>
      <c r="F2" s="59" t="s">
        <v>23</v>
      </c>
      <c r="G2" s="46">
        <v>50</v>
      </c>
      <c r="H2" s="136">
        <f>IF(B$27=0,0,G2/B$27)</f>
        <v>0.70422535211267601</v>
      </c>
      <c r="I2" s="97">
        <v>5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820</v>
      </c>
      <c r="P2" s="122">
        <v>20</v>
      </c>
      <c r="Q2" s="106">
        <v>16400</v>
      </c>
    </row>
    <row r="3" spans="1:17" x14ac:dyDescent="0.4">
      <c r="A3" s="55" t="s">
        <v>8</v>
      </c>
      <c r="B3" s="153">
        <v>167</v>
      </c>
      <c r="C3" s="154"/>
      <c r="E3" s="63" t="s">
        <v>74</v>
      </c>
      <c r="F3" s="60" t="s">
        <v>28</v>
      </c>
      <c r="G3" s="47">
        <v>44</v>
      </c>
      <c r="H3" s="137">
        <f>IF(B$27=0,0,G3/B$27)</f>
        <v>0.61971830985915488</v>
      </c>
      <c r="I3" s="98">
        <v>3</v>
      </c>
      <c r="K3" s="38">
        <v>1</v>
      </c>
      <c r="L3" s="103">
        <v>-5.0999999999999996</v>
      </c>
      <c r="N3" s="119" t="s">
        <v>137</v>
      </c>
      <c r="O3" s="126">
        <f t="shared" si="0"/>
        <v>5310</v>
      </c>
      <c r="P3" s="123">
        <v>20</v>
      </c>
      <c r="Q3" s="107">
        <v>106200</v>
      </c>
    </row>
    <row r="4" spans="1:17" x14ac:dyDescent="0.4">
      <c r="A4" s="55" t="s">
        <v>6</v>
      </c>
      <c r="B4" s="155">
        <v>469.6</v>
      </c>
      <c r="C4" s="156"/>
      <c r="E4" s="63" t="s">
        <v>66</v>
      </c>
      <c r="F4" s="60" t="s">
        <v>21</v>
      </c>
      <c r="G4" s="47">
        <v>33</v>
      </c>
      <c r="H4" s="137">
        <f>IF(B$27=0,0,G4/B$27)</f>
        <v>0.46478873239436619</v>
      </c>
      <c r="I4" s="98">
        <v>5</v>
      </c>
      <c r="K4" s="38">
        <v>2</v>
      </c>
      <c r="L4" s="103">
        <v>-2.8999999999999995</v>
      </c>
      <c r="N4" s="119" t="s">
        <v>138</v>
      </c>
      <c r="O4" s="126">
        <f t="shared" si="0"/>
        <v>3321.0526315789475</v>
      </c>
      <c r="P4" s="123">
        <v>19</v>
      </c>
      <c r="Q4" s="107">
        <v>63100</v>
      </c>
    </row>
    <row r="5" spans="1:17" x14ac:dyDescent="0.4">
      <c r="A5" s="55" t="s">
        <v>7</v>
      </c>
      <c r="B5" s="157">
        <f>IF(B$2=0,0,B$4/B$2)</f>
        <v>23.48</v>
      </c>
      <c r="C5" s="158"/>
      <c r="E5" s="63" t="s">
        <v>189</v>
      </c>
      <c r="F5" s="60" t="s">
        <v>190</v>
      </c>
      <c r="G5" s="47">
        <v>32</v>
      </c>
      <c r="H5" s="137">
        <f>IF(B$27=0,0,G5/B$27)</f>
        <v>0.45070422535211269</v>
      </c>
      <c r="I5" s="98">
        <v>2</v>
      </c>
      <c r="K5" s="38">
        <v>3</v>
      </c>
      <c r="L5" s="103">
        <v>70.399999999999991</v>
      </c>
      <c r="N5" s="119" t="s">
        <v>139</v>
      </c>
      <c r="O5" s="126">
        <f t="shared" si="0"/>
        <v>5466.666666666667</v>
      </c>
      <c r="P5" s="123">
        <v>18</v>
      </c>
      <c r="Q5" s="107">
        <v>98400</v>
      </c>
    </row>
    <row r="6" spans="1:17" x14ac:dyDescent="0.4">
      <c r="A6" s="55" t="s">
        <v>1</v>
      </c>
      <c r="B6" s="145">
        <f>IF(B$2=0,0,(B$7*1+B$8*2+B$9*3)/B$2)</f>
        <v>1.6</v>
      </c>
      <c r="C6" s="146"/>
      <c r="E6" s="63" t="s">
        <v>69</v>
      </c>
      <c r="F6" s="60" t="s">
        <v>24</v>
      </c>
      <c r="G6" s="47">
        <v>17</v>
      </c>
      <c r="H6" s="137">
        <f>IF(B$27=0,0,G6/B$27)</f>
        <v>0.23943661971830985</v>
      </c>
      <c r="I6" s="98">
        <v>6</v>
      </c>
      <c r="K6" s="38">
        <v>4</v>
      </c>
      <c r="L6" s="103">
        <v>110.5</v>
      </c>
      <c r="N6" s="119" t="s">
        <v>140</v>
      </c>
      <c r="O6" s="126">
        <f t="shared" si="0"/>
        <v>993.75</v>
      </c>
      <c r="P6" s="123">
        <v>16</v>
      </c>
      <c r="Q6" s="107">
        <v>15900</v>
      </c>
    </row>
    <row r="7" spans="1:17" x14ac:dyDescent="0.4">
      <c r="A7" s="55" t="s">
        <v>2</v>
      </c>
      <c r="B7" s="47">
        <v>11</v>
      </c>
      <c r="C7" s="39">
        <f>IF(B$2=0,0,B7/B$2)</f>
        <v>0.55000000000000004</v>
      </c>
      <c r="E7" s="63" t="s">
        <v>71</v>
      </c>
      <c r="F7" s="60" t="s">
        <v>25</v>
      </c>
      <c r="G7" s="47">
        <v>15</v>
      </c>
      <c r="H7" s="137">
        <f>IF(B$27=0,0,G7/B$27)</f>
        <v>0.21126760563380281</v>
      </c>
      <c r="I7" s="98">
        <v>4</v>
      </c>
      <c r="K7" s="38">
        <v>5</v>
      </c>
      <c r="L7" s="103">
        <v>201.4</v>
      </c>
      <c r="N7" s="120" t="s">
        <v>141</v>
      </c>
      <c r="O7" s="127">
        <f t="shared" si="0"/>
        <v>306.66666666666669</v>
      </c>
      <c r="P7" s="124">
        <v>15</v>
      </c>
      <c r="Q7" s="108">
        <v>4600</v>
      </c>
    </row>
    <row r="8" spans="1:17" x14ac:dyDescent="0.4">
      <c r="A8" s="55" t="s">
        <v>3</v>
      </c>
      <c r="B8" s="47">
        <v>6</v>
      </c>
      <c r="C8" s="39">
        <f>IF(B$2=0,0,B8/B$2)</f>
        <v>0.3</v>
      </c>
      <c r="E8" s="63" t="s">
        <v>92</v>
      </c>
      <c r="F8" s="60" t="s">
        <v>46</v>
      </c>
      <c r="G8" s="47">
        <v>14</v>
      </c>
      <c r="H8" s="137">
        <f>IF(B$27=0,0,G8/B$27)</f>
        <v>0.19718309859154928</v>
      </c>
      <c r="I8" s="98">
        <v>3</v>
      </c>
      <c r="K8" s="38">
        <v>6</v>
      </c>
      <c r="L8" s="103">
        <v>232.4</v>
      </c>
      <c r="N8" s="43"/>
      <c r="O8" s="131"/>
      <c r="P8" s="115"/>
      <c r="Q8" s="113"/>
    </row>
    <row r="9" spans="1:17" x14ac:dyDescent="0.4">
      <c r="A9" s="56" t="s">
        <v>4</v>
      </c>
      <c r="B9" s="48">
        <v>3</v>
      </c>
      <c r="C9" s="40">
        <f t="shared" ref="C9" si="1">IF(B$2=0,0,B9/B$2)</f>
        <v>0.15</v>
      </c>
      <c r="E9" s="63" t="s">
        <v>70</v>
      </c>
      <c r="F9" s="60" t="s">
        <v>12</v>
      </c>
      <c r="G9" s="47">
        <v>13</v>
      </c>
      <c r="H9" s="137">
        <f>IF(B$27=0,0,G9/B$27)</f>
        <v>0.18309859154929578</v>
      </c>
      <c r="I9" s="98">
        <v>7</v>
      </c>
      <c r="K9" s="38">
        <v>7</v>
      </c>
      <c r="L9" s="103">
        <v>256.10000000000002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0.05</v>
      </c>
      <c r="E10" s="63" t="s">
        <v>67</v>
      </c>
      <c r="F10" s="60" t="s">
        <v>22</v>
      </c>
      <c r="G10" s="47">
        <v>10</v>
      </c>
      <c r="H10" s="137">
        <f>IF(B$27=0,0,G10/B$27)</f>
        <v>0.14084507042253522</v>
      </c>
      <c r="I10" s="98">
        <v>3</v>
      </c>
      <c r="K10" s="38">
        <v>8</v>
      </c>
      <c r="L10" s="103">
        <v>285.20000000000005</v>
      </c>
      <c r="N10" s="118" t="s">
        <v>172</v>
      </c>
      <c r="O10" s="128">
        <f>IF(P10=0,0,Q10/P10)</f>
        <v>24.628571428571426</v>
      </c>
      <c r="P10" s="122">
        <v>7</v>
      </c>
      <c r="Q10" s="110">
        <v>172.39999999999998</v>
      </c>
    </row>
    <row r="11" spans="1:17" x14ac:dyDescent="0.4">
      <c r="A11" s="56" t="s">
        <v>144</v>
      </c>
      <c r="B11" s="48">
        <v>3</v>
      </c>
      <c r="C11" s="40">
        <f>IF(B$2=0,0,B11/B$2)</f>
        <v>0.15</v>
      </c>
      <c r="E11" s="63" t="s">
        <v>72</v>
      </c>
      <c r="F11" s="60" t="s">
        <v>26</v>
      </c>
      <c r="G11" s="47">
        <v>4</v>
      </c>
      <c r="H11" s="137">
        <f>IF(B$27=0,0,G11/B$27)</f>
        <v>5.6338028169014086E-2</v>
      </c>
      <c r="I11" s="98">
        <v>6</v>
      </c>
      <c r="K11" s="38">
        <v>9</v>
      </c>
      <c r="L11" s="103">
        <v>277.90000000000003</v>
      </c>
      <c r="N11" s="119" t="s">
        <v>173</v>
      </c>
      <c r="O11" s="129">
        <f>IF(P11=0,0,Q11/P11)</f>
        <v>9.5500000000000025</v>
      </c>
      <c r="P11" s="123">
        <v>6</v>
      </c>
      <c r="Q11" s="111">
        <v>57.300000000000011</v>
      </c>
    </row>
    <row r="12" spans="1:17" x14ac:dyDescent="0.4">
      <c r="A12" s="57" t="s">
        <v>165</v>
      </c>
      <c r="B12" s="49">
        <v>4</v>
      </c>
      <c r="C12" s="42">
        <f>IF(B$2=0,0,B12/B$2)</f>
        <v>0.2</v>
      </c>
      <c r="E12" s="63" t="s">
        <v>89</v>
      </c>
      <c r="F12" s="60" t="s">
        <v>43</v>
      </c>
      <c r="G12" s="47">
        <v>4</v>
      </c>
      <c r="H12" s="137">
        <f>IF(B$27=0,0,G12/B$27)</f>
        <v>5.6338028169014086E-2</v>
      </c>
      <c r="I12" s="98">
        <v>6</v>
      </c>
      <c r="K12" s="38">
        <v>10</v>
      </c>
      <c r="L12" s="103">
        <v>246.20000000000005</v>
      </c>
      <c r="N12" s="120" t="s">
        <v>174</v>
      </c>
      <c r="O12" s="130">
        <f>IF(P12=0,0,Q12/P12)</f>
        <v>34.271428571428579</v>
      </c>
      <c r="P12" s="124">
        <v>7</v>
      </c>
      <c r="Q12" s="112">
        <v>239.90000000000003</v>
      </c>
    </row>
    <row r="13" spans="1:17" x14ac:dyDescent="0.4">
      <c r="A13" s="58" t="s">
        <v>126</v>
      </c>
      <c r="B13" s="50">
        <v>60</v>
      </c>
      <c r="C13" s="44">
        <f>IF(B$26=0,0,B13/B$26)</f>
        <v>0.3592814371257485</v>
      </c>
      <c r="E13" s="63" t="s">
        <v>80</v>
      </c>
      <c r="F13" s="60" t="s">
        <v>34</v>
      </c>
      <c r="G13" s="47">
        <v>3</v>
      </c>
      <c r="H13" s="137">
        <f>IF(B$27=0,0,G13/B$27)</f>
        <v>4.2253521126760563E-2</v>
      </c>
      <c r="I13" s="98">
        <v>1</v>
      </c>
      <c r="K13" s="38">
        <v>11</v>
      </c>
      <c r="L13" s="103">
        <v>333.30000000000007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47</v>
      </c>
      <c r="C14" s="39">
        <f>IF(B$26=0,0,B14/B$26)</f>
        <v>0.28143712574850299</v>
      </c>
      <c r="E14" s="63" t="s">
        <v>86</v>
      </c>
      <c r="F14" s="60" t="s">
        <v>40</v>
      </c>
      <c r="G14" s="47">
        <v>3</v>
      </c>
      <c r="H14" s="137">
        <f>IF(B$27=0,0,G14/B$27)</f>
        <v>4.2253521126760563E-2</v>
      </c>
      <c r="I14" s="98">
        <v>6</v>
      </c>
      <c r="K14" s="38">
        <v>12</v>
      </c>
      <c r="L14" s="103">
        <v>371.70000000000005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33</v>
      </c>
      <c r="C15" s="37">
        <f>IF(B$13=0,0,B15/B$13)</f>
        <v>0.55000000000000004</v>
      </c>
      <c r="E15" s="63" t="s">
        <v>73</v>
      </c>
      <c r="F15" s="60" t="s">
        <v>27</v>
      </c>
      <c r="G15" s="47">
        <v>2</v>
      </c>
      <c r="H15" s="137">
        <f>IF(B$27=0,0,G15/B$27)</f>
        <v>2.8169014084507043E-2</v>
      </c>
      <c r="I15" s="98">
        <v>6</v>
      </c>
      <c r="K15" s="38">
        <v>13</v>
      </c>
      <c r="L15" s="103">
        <v>418.90000000000003</v>
      </c>
      <c r="N15" s="118" t="s">
        <v>181</v>
      </c>
      <c r="O15" s="128">
        <f>IF(P15=0,0,Q15/P15)</f>
        <v>120</v>
      </c>
      <c r="P15" s="122">
        <v>3</v>
      </c>
      <c r="Q15" s="110">
        <v>360</v>
      </c>
    </row>
    <row r="16" spans="1:17" x14ac:dyDescent="0.4">
      <c r="A16" s="54" t="s">
        <v>129</v>
      </c>
      <c r="B16" s="46">
        <v>26</v>
      </c>
      <c r="C16" s="37">
        <f>IF(B$14=0,0,B16/B$14)</f>
        <v>0.55319148936170215</v>
      </c>
      <c r="E16" s="63" t="s">
        <v>84</v>
      </c>
      <c r="F16" s="60" t="s">
        <v>38</v>
      </c>
      <c r="G16" s="47">
        <v>1</v>
      </c>
      <c r="H16" s="137">
        <f>IF(B$27=0,0,G16/B$27)</f>
        <v>1.4084507042253521E-2</v>
      </c>
      <c r="I16" s="98">
        <v>5</v>
      </c>
      <c r="K16" s="38">
        <v>14</v>
      </c>
      <c r="L16" s="103">
        <v>473.50000000000006</v>
      </c>
      <c r="N16" s="119" t="s">
        <v>185</v>
      </c>
      <c r="O16" s="129">
        <f>IF(P16=0,0,Q16/P16)</f>
        <v>94.6</v>
      </c>
      <c r="P16" s="123">
        <v>1</v>
      </c>
      <c r="Q16" s="111">
        <v>94.6</v>
      </c>
    </row>
    <row r="17" spans="1:17" x14ac:dyDescent="0.4">
      <c r="A17" s="54" t="s">
        <v>10</v>
      </c>
      <c r="B17" s="46">
        <f>B19+B18</f>
        <v>71</v>
      </c>
      <c r="C17" s="37">
        <f>IF(B$3=0,0,B17/B$3)</f>
        <v>0.42514970059880242</v>
      </c>
      <c r="E17" s="63" t="s">
        <v>93</v>
      </c>
      <c r="F17" s="60" t="s">
        <v>47</v>
      </c>
      <c r="G17" s="47">
        <v>1</v>
      </c>
      <c r="H17" s="137">
        <f>IF(B$27=0,0,G17/B$27)</f>
        <v>1.4084507042253521E-2</v>
      </c>
      <c r="I17" s="98">
        <v>1</v>
      </c>
      <c r="K17" s="38">
        <v>15</v>
      </c>
      <c r="L17" s="103">
        <v>481.50000000000006</v>
      </c>
      <c r="N17" s="119" t="s">
        <v>193</v>
      </c>
      <c r="O17" s="129">
        <f>IF(P17=0,0,Q17/P17)</f>
        <v>69.2</v>
      </c>
      <c r="P17" s="123">
        <v>1</v>
      </c>
      <c r="Q17" s="111">
        <v>69.2</v>
      </c>
    </row>
    <row r="18" spans="1:17" x14ac:dyDescent="0.4">
      <c r="A18" s="55" t="s">
        <v>12</v>
      </c>
      <c r="B18" s="47">
        <v>27</v>
      </c>
      <c r="C18" s="39">
        <f>IF(B$17=0,0,B18/B$17)</f>
        <v>0.38028169014084506</v>
      </c>
      <c r="E18" s="63" t="s">
        <v>75</v>
      </c>
      <c r="F18" s="60" t="s">
        <v>29</v>
      </c>
      <c r="G18" s="47">
        <v>0</v>
      </c>
      <c r="H18" s="137">
        <f>IF(B$27=0,0,G18/B$27)</f>
        <v>0</v>
      </c>
      <c r="I18" s="98">
        <v>3</v>
      </c>
      <c r="K18" s="38">
        <v>16</v>
      </c>
      <c r="L18" s="103">
        <v>425.50000000000006</v>
      </c>
      <c r="N18" s="119" t="s">
        <v>133</v>
      </c>
      <c r="O18" s="129">
        <f>IF(P18=0,0,Q18/P18)</f>
        <v>49.75</v>
      </c>
      <c r="P18" s="123">
        <v>8</v>
      </c>
      <c r="Q18" s="111">
        <v>398</v>
      </c>
    </row>
    <row r="19" spans="1:17" x14ac:dyDescent="0.4">
      <c r="A19" s="55" t="s">
        <v>11</v>
      </c>
      <c r="B19" s="47">
        <v>44</v>
      </c>
      <c r="C19" s="39">
        <f>IF(B$17=0,0,B19/B$17)</f>
        <v>0.61971830985915488</v>
      </c>
      <c r="E19" s="63" t="s">
        <v>76</v>
      </c>
      <c r="F19" s="60" t="s">
        <v>30</v>
      </c>
      <c r="G19" s="47">
        <v>0</v>
      </c>
      <c r="H19" s="137">
        <f>IF(B$27=0,0,G19/B$27)</f>
        <v>0</v>
      </c>
      <c r="I19" s="98">
        <v>1</v>
      </c>
      <c r="K19" s="38">
        <v>17</v>
      </c>
      <c r="L19" s="103">
        <v>427.40000000000003</v>
      </c>
      <c r="N19" s="119" t="s">
        <v>179</v>
      </c>
      <c r="O19" s="129">
        <f>IF(P19=0,0,Q19/P19)</f>
        <v>38.239999999999995</v>
      </c>
      <c r="P19" s="123">
        <v>10</v>
      </c>
      <c r="Q19" s="111">
        <v>382.39999999999992</v>
      </c>
    </row>
    <row r="20" spans="1:17" x14ac:dyDescent="0.4">
      <c r="A20" s="55" t="s">
        <v>13</v>
      </c>
      <c r="B20" s="47">
        <v>29</v>
      </c>
      <c r="C20" s="39">
        <f>IF(B$3=0,0,B20/B$3)</f>
        <v>0.17365269461077845</v>
      </c>
      <c r="E20" s="63" t="s">
        <v>77</v>
      </c>
      <c r="F20" s="60" t="s">
        <v>31</v>
      </c>
      <c r="G20" s="47">
        <v>0</v>
      </c>
      <c r="H20" s="137">
        <f>IF(B$27=0,0,G20/B$27)</f>
        <v>0</v>
      </c>
      <c r="I20" s="98">
        <v>5</v>
      </c>
      <c r="K20" s="38">
        <v>18</v>
      </c>
      <c r="L20" s="103">
        <v>429.3</v>
      </c>
      <c r="N20" s="119" t="s">
        <v>180</v>
      </c>
      <c r="O20" s="129">
        <f>IF(P20=0,0,Q20/P20)</f>
        <v>13.3</v>
      </c>
      <c r="P20" s="123">
        <v>4</v>
      </c>
      <c r="Q20" s="111">
        <v>53.2</v>
      </c>
    </row>
    <row r="21" spans="1:17" x14ac:dyDescent="0.4">
      <c r="A21" s="55" t="s">
        <v>5</v>
      </c>
      <c r="B21" s="51">
        <f>IF(B$17=0,0,C21/B$17)</f>
        <v>8195.7746478873232</v>
      </c>
      <c r="C21" s="41">
        <v>581900</v>
      </c>
      <c r="E21" s="63" t="s">
        <v>78</v>
      </c>
      <c r="F21" s="60" t="s">
        <v>32</v>
      </c>
      <c r="G21" s="47">
        <v>0</v>
      </c>
      <c r="H21" s="137">
        <f>IF(B$27=0,0,G21/B$27)</f>
        <v>0</v>
      </c>
      <c r="I21" s="98">
        <v>1</v>
      </c>
      <c r="K21" s="38">
        <v>19</v>
      </c>
      <c r="L21" s="103">
        <v>405.40000000000003</v>
      </c>
      <c r="N21" s="119" t="s">
        <v>132</v>
      </c>
      <c r="O21" s="129">
        <f>IF(P21=0,0,Q21/P21)</f>
        <v>3.9538461538461549</v>
      </c>
      <c r="P21" s="123">
        <v>13</v>
      </c>
      <c r="Q21" s="111">
        <v>51.400000000000013</v>
      </c>
    </row>
    <row r="22" spans="1:17" x14ac:dyDescent="0.4">
      <c r="A22" s="57" t="s">
        <v>14</v>
      </c>
      <c r="B22" s="52">
        <f>IF(B$20=0,0,C22/B$20)</f>
        <v>-7658.6206896551721</v>
      </c>
      <c r="C22" s="45">
        <v>-222100</v>
      </c>
      <c r="E22" s="63" t="s">
        <v>79</v>
      </c>
      <c r="F22" s="60" t="s">
        <v>33</v>
      </c>
      <c r="G22" s="47">
        <v>0</v>
      </c>
      <c r="H22" s="137">
        <f>IF(B$27=0,0,G22/B$27)</f>
        <v>0</v>
      </c>
      <c r="I22" s="98">
        <v>1</v>
      </c>
      <c r="K22" s="38">
        <v>20</v>
      </c>
      <c r="L22" s="103">
        <v>469.6</v>
      </c>
    </row>
    <row r="23" spans="1:17" x14ac:dyDescent="0.4">
      <c r="A23" s="94" t="s">
        <v>146</v>
      </c>
      <c r="B23" s="143">
        <v>5</v>
      </c>
      <c r="C23" s="144"/>
      <c r="E23" s="63" t="s">
        <v>81</v>
      </c>
      <c r="F23" s="60" t="s">
        <v>35</v>
      </c>
      <c r="G23" s="47">
        <v>0</v>
      </c>
      <c r="H23" s="137">
        <f>IF(B$27=0,0,G23/B$27)</f>
        <v>0</v>
      </c>
      <c r="I23" s="98">
        <v>3</v>
      </c>
    </row>
    <row r="24" spans="1:17" x14ac:dyDescent="0.4">
      <c r="A24" s="58" t="s">
        <v>157</v>
      </c>
      <c r="B24" s="141">
        <v>105900</v>
      </c>
      <c r="C24" s="142"/>
      <c r="E24" s="63" t="s">
        <v>82</v>
      </c>
      <c r="F24" s="60" t="s">
        <v>36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83</v>
      </c>
      <c r="F25" s="60" t="s">
        <v>37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167</v>
      </c>
      <c r="C26" s="148"/>
      <c r="E26" s="63" t="s">
        <v>85</v>
      </c>
      <c r="F26" s="60" t="s">
        <v>39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71</v>
      </c>
      <c r="C27" s="150"/>
      <c r="E27" s="63" t="s">
        <v>87</v>
      </c>
      <c r="F27" s="60" t="s">
        <v>41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7">
        <f>IF(B$27=0,0,G28/B$27)</f>
        <v>0</v>
      </c>
      <c r="I28" s="98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5409C-3F5E-4C57-AED3-502080D2F6AD}">
  <sheetPr codeName="Sheet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132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21</v>
      </c>
      <c r="C2" s="148"/>
      <c r="E2" s="62" t="s">
        <v>68</v>
      </c>
      <c r="F2" s="59" t="s">
        <v>23</v>
      </c>
      <c r="G2" s="46">
        <v>44</v>
      </c>
      <c r="H2" s="136">
        <f>IF(B$27=0,0,G2/B$27)</f>
        <v>0.81481481481481477</v>
      </c>
      <c r="I2" s="97">
        <v>3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2352.3809523809523</v>
      </c>
      <c r="P2" s="122">
        <v>21</v>
      </c>
      <c r="Q2" s="106">
        <v>49400</v>
      </c>
    </row>
    <row r="3" spans="1:17" x14ac:dyDescent="0.4">
      <c r="A3" s="55" t="s">
        <v>8</v>
      </c>
      <c r="B3" s="153">
        <v>191</v>
      </c>
      <c r="C3" s="154"/>
      <c r="E3" s="63" t="s">
        <v>66</v>
      </c>
      <c r="F3" s="60" t="s">
        <v>21</v>
      </c>
      <c r="G3" s="47">
        <v>37</v>
      </c>
      <c r="H3" s="137">
        <f>IF(B$27=0,0,G3/B$27)</f>
        <v>0.68518518518518523</v>
      </c>
      <c r="I3" s="98">
        <v>1</v>
      </c>
      <c r="K3" s="38">
        <v>1</v>
      </c>
      <c r="L3" s="103">
        <v>45.5</v>
      </c>
      <c r="N3" s="119" t="s">
        <v>137</v>
      </c>
      <c r="O3" s="126">
        <f t="shared" si="0"/>
        <v>-2095.2380952380954</v>
      </c>
      <c r="P3" s="123">
        <v>21</v>
      </c>
      <c r="Q3" s="107">
        <v>-44000</v>
      </c>
    </row>
    <row r="4" spans="1:17" x14ac:dyDescent="0.4">
      <c r="A4" s="55" t="s">
        <v>6</v>
      </c>
      <c r="B4" s="155">
        <v>204.09999999999997</v>
      </c>
      <c r="C4" s="156"/>
      <c r="E4" s="63" t="s">
        <v>69</v>
      </c>
      <c r="F4" s="60" t="s">
        <v>24</v>
      </c>
      <c r="G4" s="47">
        <v>25</v>
      </c>
      <c r="H4" s="137">
        <f>IF(B$27=0,0,G4/B$27)</f>
        <v>0.46296296296296297</v>
      </c>
      <c r="I4" s="98">
        <v>1</v>
      </c>
      <c r="K4" s="38">
        <v>2</v>
      </c>
      <c r="L4" s="103">
        <v>6.2999999999999972</v>
      </c>
      <c r="N4" s="119" t="s">
        <v>138</v>
      </c>
      <c r="O4" s="126">
        <f t="shared" si="0"/>
        <v>-800</v>
      </c>
      <c r="P4" s="123">
        <v>21</v>
      </c>
      <c r="Q4" s="107">
        <v>-16800</v>
      </c>
    </row>
    <row r="5" spans="1:17" x14ac:dyDescent="0.4">
      <c r="A5" s="55" t="s">
        <v>7</v>
      </c>
      <c r="B5" s="157">
        <f>IF(B$2=0,0,B$4/B$2)</f>
        <v>9.7190476190476183</v>
      </c>
      <c r="C5" s="158"/>
      <c r="E5" s="63" t="s">
        <v>74</v>
      </c>
      <c r="F5" s="60" t="s">
        <v>28</v>
      </c>
      <c r="G5" s="47">
        <v>25</v>
      </c>
      <c r="H5" s="137">
        <f>IF(B$27=0,0,G5/B$27)</f>
        <v>0.46296296296296297</v>
      </c>
      <c r="I5" s="98">
        <v>9</v>
      </c>
      <c r="K5" s="38">
        <v>3</v>
      </c>
      <c r="L5" s="103">
        <v>-47.300000000000004</v>
      </c>
      <c r="N5" s="119" t="s">
        <v>139</v>
      </c>
      <c r="O5" s="126">
        <f t="shared" si="0"/>
        <v>3257.1428571428573</v>
      </c>
      <c r="P5" s="123">
        <v>21</v>
      </c>
      <c r="Q5" s="107">
        <v>68400</v>
      </c>
    </row>
    <row r="6" spans="1:17" x14ac:dyDescent="0.4">
      <c r="A6" s="55" t="s">
        <v>1</v>
      </c>
      <c r="B6" s="145">
        <f>IF(B$2=0,0,(B$7*1+B$8*2+B$9*3)/B$2)</f>
        <v>1.8571428571428572</v>
      </c>
      <c r="C6" s="146"/>
      <c r="E6" s="63" t="s">
        <v>189</v>
      </c>
      <c r="F6" s="60" t="s">
        <v>190</v>
      </c>
      <c r="G6" s="47">
        <v>24</v>
      </c>
      <c r="H6" s="137">
        <f>IF(B$27=0,0,G6/B$27)</f>
        <v>0.44444444444444442</v>
      </c>
      <c r="I6" s="98">
        <v>3</v>
      </c>
      <c r="K6" s="38">
        <v>4</v>
      </c>
      <c r="L6" s="103">
        <v>13.599999999999994</v>
      </c>
      <c r="N6" s="119" t="s">
        <v>140</v>
      </c>
      <c r="O6" s="126">
        <f t="shared" si="0"/>
        <v>3530</v>
      </c>
      <c r="P6" s="123">
        <v>20</v>
      </c>
      <c r="Q6" s="107">
        <v>70600</v>
      </c>
    </row>
    <row r="7" spans="1:17" x14ac:dyDescent="0.4">
      <c r="A7" s="55" t="s">
        <v>2</v>
      </c>
      <c r="B7" s="47">
        <v>9</v>
      </c>
      <c r="C7" s="39">
        <f>IF(B$2=0,0,B7/B$2)</f>
        <v>0.42857142857142855</v>
      </c>
      <c r="E7" s="63" t="s">
        <v>70</v>
      </c>
      <c r="F7" s="60" t="s">
        <v>12</v>
      </c>
      <c r="G7" s="47">
        <v>19</v>
      </c>
      <c r="H7" s="137">
        <f>IF(B$27=0,0,G7/B$27)</f>
        <v>0.35185185185185186</v>
      </c>
      <c r="I7" s="98">
        <v>2</v>
      </c>
      <c r="K7" s="38">
        <v>5</v>
      </c>
      <c r="L7" s="103">
        <v>-16.600000000000005</v>
      </c>
      <c r="N7" s="120" t="s">
        <v>141</v>
      </c>
      <c r="O7" s="127">
        <f t="shared" si="0"/>
        <v>868.42105263157896</v>
      </c>
      <c r="P7" s="124">
        <v>19</v>
      </c>
      <c r="Q7" s="108">
        <v>16500</v>
      </c>
    </row>
    <row r="8" spans="1:17" x14ac:dyDescent="0.4">
      <c r="A8" s="55" t="s">
        <v>3</v>
      </c>
      <c r="B8" s="47">
        <v>6</v>
      </c>
      <c r="C8" s="39">
        <f>IF(B$2=0,0,B8/B$2)</f>
        <v>0.2857142857142857</v>
      </c>
      <c r="E8" s="63" t="s">
        <v>71</v>
      </c>
      <c r="F8" s="60" t="s">
        <v>25</v>
      </c>
      <c r="G8" s="47">
        <v>12</v>
      </c>
      <c r="H8" s="137">
        <f>IF(B$27=0,0,G8/B$27)</f>
        <v>0.22222222222222221</v>
      </c>
      <c r="I8" s="98">
        <v>3</v>
      </c>
      <c r="K8" s="38">
        <v>6</v>
      </c>
      <c r="L8" s="103">
        <v>-14.000000000000005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0.2857142857142857</v>
      </c>
      <c r="E9" s="63" t="s">
        <v>67</v>
      </c>
      <c r="F9" s="60" t="s">
        <v>22</v>
      </c>
      <c r="G9" s="47">
        <v>9</v>
      </c>
      <c r="H9" s="137">
        <f>IF(B$27=0,0,G9/B$27)</f>
        <v>0.16666666666666666</v>
      </c>
      <c r="I9" s="98">
        <v>1</v>
      </c>
      <c r="K9" s="38">
        <v>7</v>
      </c>
      <c r="L9" s="103">
        <v>-45.300000000000004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26</v>
      </c>
      <c r="G10" s="47">
        <v>6</v>
      </c>
      <c r="H10" s="137">
        <f>IF(B$27=0,0,G10/B$27)</f>
        <v>0.1111111111111111</v>
      </c>
      <c r="I10" s="98">
        <v>4</v>
      </c>
      <c r="K10" s="38">
        <v>8</v>
      </c>
      <c r="L10" s="103">
        <v>-49.6</v>
      </c>
      <c r="N10" s="118" t="s">
        <v>172</v>
      </c>
      <c r="O10" s="128">
        <f>IF(P10=0,0,Q10/P10)</f>
        <v>20.43</v>
      </c>
      <c r="P10" s="122">
        <v>10</v>
      </c>
      <c r="Q10" s="110">
        <v>204.29999999999998</v>
      </c>
    </row>
    <row r="11" spans="1:17" x14ac:dyDescent="0.4">
      <c r="A11" s="56" t="s">
        <v>144</v>
      </c>
      <c r="B11" s="48">
        <v>2</v>
      </c>
      <c r="C11" s="40">
        <f>IF(B$2=0,0,B11/B$2)</f>
        <v>9.5238095238095233E-2</v>
      </c>
      <c r="E11" s="63" t="s">
        <v>89</v>
      </c>
      <c r="F11" s="60" t="s">
        <v>43</v>
      </c>
      <c r="G11" s="47">
        <v>5</v>
      </c>
      <c r="H11" s="137">
        <f>IF(B$27=0,0,G11/B$27)</f>
        <v>9.2592592592592587E-2</v>
      </c>
      <c r="I11" s="98">
        <v>2</v>
      </c>
      <c r="K11" s="38">
        <v>9</v>
      </c>
      <c r="L11" s="103">
        <v>-79.5</v>
      </c>
      <c r="N11" s="119" t="s">
        <v>173</v>
      </c>
      <c r="O11" s="129">
        <f>IF(P11=0,0,Q11/P11)</f>
        <v>-5.4999999999999982</v>
      </c>
      <c r="P11" s="123">
        <v>8</v>
      </c>
      <c r="Q11" s="111">
        <v>-43.999999999999986</v>
      </c>
    </row>
    <row r="12" spans="1:17" x14ac:dyDescent="0.4">
      <c r="A12" s="57" t="s">
        <v>165</v>
      </c>
      <c r="B12" s="49">
        <v>4</v>
      </c>
      <c r="C12" s="42">
        <f>IF(B$2=0,0,B12/B$2)</f>
        <v>0.19047619047619047</v>
      </c>
      <c r="E12" s="63" t="s">
        <v>84</v>
      </c>
      <c r="F12" s="60" t="s">
        <v>38</v>
      </c>
      <c r="G12" s="47">
        <v>3</v>
      </c>
      <c r="H12" s="137">
        <f>IF(B$27=0,0,G12/B$27)</f>
        <v>5.5555555555555552E-2</v>
      </c>
      <c r="I12" s="98">
        <v>2</v>
      </c>
      <c r="K12" s="38">
        <v>10</v>
      </c>
      <c r="L12" s="103">
        <v>-80.900000000000006</v>
      </c>
      <c r="N12" s="120" t="s">
        <v>174</v>
      </c>
      <c r="O12" s="130">
        <f>IF(P12=0,0,Q12/P12)</f>
        <v>14.600000000000001</v>
      </c>
      <c r="P12" s="124">
        <v>3</v>
      </c>
      <c r="Q12" s="112">
        <v>43.800000000000004</v>
      </c>
    </row>
    <row r="13" spans="1:17" x14ac:dyDescent="0.4">
      <c r="A13" s="58" t="s">
        <v>126</v>
      </c>
      <c r="B13" s="50">
        <v>62</v>
      </c>
      <c r="C13" s="44">
        <f>IF(B$26=0,0,B13/B$26)</f>
        <v>0.34254143646408841</v>
      </c>
      <c r="E13" s="63" t="s">
        <v>92</v>
      </c>
      <c r="F13" s="60" t="s">
        <v>46</v>
      </c>
      <c r="G13" s="47">
        <v>3</v>
      </c>
      <c r="H13" s="137">
        <f>IF(B$27=0,0,G13/B$27)</f>
        <v>5.5555555555555552E-2</v>
      </c>
      <c r="I13" s="98">
        <v>10</v>
      </c>
      <c r="K13" s="38">
        <v>11</v>
      </c>
      <c r="L13" s="103">
        <v>-53.100000000000009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36</v>
      </c>
      <c r="C14" s="39">
        <f>IF(B$26=0,0,B14/B$26)</f>
        <v>0.19889502762430938</v>
      </c>
      <c r="E14" s="63" t="s">
        <v>86</v>
      </c>
      <c r="F14" s="60" t="s">
        <v>40</v>
      </c>
      <c r="G14" s="47">
        <v>2</v>
      </c>
      <c r="H14" s="137">
        <f>IF(B$27=0,0,G14/B$27)</f>
        <v>3.7037037037037035E-2</v>
      </c>
      <c r="I14" s="98">
        <v>8</v>
      </c>
      <c r="K14" s="38">
        <v>12</v>
      </c>
      <c r="L14" s="103">
        <v>-56.500000000000007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38</v>
      </c>
      <c r="C15" s="37">
        <f>IF(B$13=0,0,B15/B$13)</f>
        <v>0.61290322580645162</v>
      </c>
      <c r="E15" s="63" t="s">
        <v>94</v>
      </c>
      <c r="F15" s="60" t="s">
        <v>48</v>
      </c>
      <c r="G15" s="47">
        <v>2</v>
      </c>
      <c r="H15" s="137">
        <f>IF(B$27=0,0,G15/B$27)</f>
        <v>3.7037037037037035E-2</v>
      </c>
      <c r="I15" s="98">
        <v>2</v>
      </c>
      <c r="K15" s="38">
        <v>13</v>
      </c>
      <c r="L15" s="103">
        <v>-81.900000000000006</v>
      </c>
      <c r="N15" s="118" t="s">
        <v>181</v>
      </c>
      <c r="O15" s="128">
        <f>IF(P15=0,0,Q15/P15)</f>
        <v>52.48</v>
      </c>
      <c r="P15" s="122">
        <v>5</v>
      </c>
      <c r="Q15" s="110">
        <v>262.39999999999998</v>
      </c>
    </row>
    <row r="16" spans="1:17" x14ac:dyDescent="0.4">
      <c r="A16" s="54" t="s">
        <v>129</v>
      </c>
      <c r="B16" s="46">
        <v>10</v>
      </c>
      <c r="C16" s="37">
        <f>IF(B$14=0,0,B16/B$14)</f>
        <v>0.27777777777777779</v>
      </c>
      <c r="E16" s="63" t="s">
        <v>73</v>
      </c>
      <c r="F16" s="60" t="s">
        <v>27</v>
      </c>
      <c r="G16" s="47">
        <v>1</v>
      </c>
      <c r="H16" s="137">
        <f>IF(B$27=0,0,G16/B$27)</f>
        <v>1.8518518518518517E-2</v>
      </c>
      <c r="I16" s="98">
        <v>7</v>
      </c>
      <c r="K16" s="38">
        <v>14</v>
      </c>
      <c r="L16" s="103">
        <v>-25.600000000000009</v>
      </c>
      <c r="N16" s="119" t="s">
        <v>194</v>
      </c>
      <c r="O16" s="129">
        <f>IF(P16=0,0,Q16/P16)</f>
        <v>37.400000000000006</v>
      </c>
      <c r="P16" s="123">
        <v>1</v>
      </c>
      <c r="Q16" s="111">
        <v>37.400000000000006</v>
      </c>
    </row>
    <row r="17" spans="1:17" x14ac:dyDescent="0.4">
      <c r="A17" s="54" t="s">
        <v>10</v>
      </c>
      <c r="B17" s="46">
        <f>B19+B18</f>
        <v>60</v>
      </c>
      <c r="C17" s="37">
        <f>IF(B$3=0,0,B17/B$3)</f>
        <v>0.31413612565445026</v>
      </c>
      <c r="E17" s="63" t="s">
        <v>75</v>
      </c>
      <c r="F17" s="60" t="s">
        <v>29</v>
      </c>
      <c r="G17" s="47">
        <v>1</v>
      </c>
      <c r="H17" s="137">
        <f>IF(B$27=0,0,G17/B$27)</f>
        <v>1.8518518518518517E-2</v>
      </c>
      <c r="I17" s="98">
        <v>1</v>
      </c>
      <c r="K17" s="38">
        <v>15</v>
      </c>
      <c r="L17" s="103">
        <v>47.999999999999986</v>
      </c>
      <c r="N17" s="119" t="s">
        <v>179</v>
      </c>
      <c r="O17" s="129">
        <f>IF(P17=0,0,Q17/P17)</f>
        <v>33.520000000000003</v>
      </c>
      <c r="P17" s="123">
        <v>10</v>
      </c>
      <c r="Q17" s="111">
        <v>335.20000000000005</v>
      </c>
    </row>
    <row r="18" spans="1:17" x14ac:dyDescent="0.4">
      <c r="A18" s="55" t="s">
        <v>12</v>
      </c>
      <c r="B18" s="47">
        <v>22</v>
      </c>
      <c r="C18" s="39">
        <f>IF(B$17=0,0,B18/B$17)</f>
        <v>0.36666666666666664</v>
      </c>
      <c r="E18" s="63" t="s">
        <v>77</v>
      </c>
      <c r="F18" s="60" t="s">
        <v>31</v>
      </c>
      <c r="G18" s="47">
        <v>1</v>
      </c>
      <c r="H18" s="137">
        <f>IF(B$27=0,0,G18/B$27)</f>
        <v>1.8518518518518517E-2</v>
      </c>
      <c r="I18" s="98">
        <v>3</v>
      </c>
      <c r="K18" s="38">
        <v>16</v>
      </c>
      <c r="L18" s="103">
        <v>41.699999999999989</v>
      </c>
      <c r="N18" s="119" t="s">
        <v>180</v>
      </c>
      <c r="O18" s="129">
        <f>IF(P18=0,0,Q18/P18)</f>
        <v>32.699999999999996</v>
      </c>
      <c r="P18" s="123">
        <v>3</v>
      </c>
      <c r="Q18" s="111">
        <v>98.1</v>
      </c>
    </row>
    <row r="19" spans="1:17" x14ac:dyDescent="0.4">
      <c r="A19" s="55" t="s">
        <v>11</v>
      </c>
      <c r="B19" s="47">
        <v>38</v>
      </c>
      <c r="C19" s="39">
        <f>IF(B$17=0,0,B19/B$17)</f>
        <v>0.6333333333333333</v>
      </c>
      <c r="E19" s="63" t="s">
        <v>95</v>
      </c>
      <c r="F19" s="60" t="s">
        <v>49</v>
      </c>
      <c r="G19" s="47">
        <v>1</v>
      </c>
      <c r="H19" s="137">
        <f>IF(B$27=0,0,G19/B$27)</f>
        <v>1.8518518518518517E-2</v>
      </c>
      <c r="I19" s="98">
        <v>2</v>
      </c>
      <c r="K19" s="38">
        <v>17</v>
      </c>
      <c r="L19" s="103">
        <v>94.6</v>
      </c>
      <c r="N19" s="119" t="s">
        <v>133</v>
      </c>
      <c r="O19" s="129">
        <f>IF(P19=0,0,Q19/P19)</f>
        <v>7.3714285714285719</v>
      </c>
      <c r="P19" s="123">
        <v>7</v>
      </c>
      <c r="Q19" s="111">
        <v>51.6</v>
      </c>
    </row>
    <row r="20" spans="1:17" x14ac:dyDescent="0.4">
      <c r="A20" s="55" t="s">
        <v>13</v>
      </c>
      <c r="B20" s="47">
        <v>29</v>
      </c>
      <c r="C20" s="39">
        <f>IF(B$3=0,0,B20/B$3)</f>
        <v>0.15183246073298429</v>
      </c>
      <c r="E20" s="63" t="s">
        <v>188</v>
      </c>
      <c r="F20" s="60" t="s">
        <v>191</v>
      </c>
      <c r="G20" s="47">
        <v>1</v>
      </c>
      <c r="H20" s="137">
        <f>IF(B$27=0,0,G20/B$27)</f>
        <v>1.8518518518518517E-2</v>
      </c>
      <c r="I20" s="98">
        <v>1</v>
      </c>
      <c r="K20" s="38">
        <v>18</v>
      </c>
      <c r="L20" s="103">
        <v>116.69999999999999</v>
      </c>
      <c r="N20" s="119" t="s">
        <v>131</v>
      </c>
      <c r="O20" s="129">
        <f>IF(P20=0,0,Q20/P20)</f>
        <v>-3.9538461538461545</v>
      </c>
      <c r="P20" s="123">
        <v>13</v>
      </c>
      <c r="Q20" s="111">
        <v>-51.400000000000006</v>
      </c>
    </row>
    <row r="21" spans="1:17" x14ac:dyDescent="0.4">
      <c r="A21" s="55" t="s">
        <v>5</v>
      </c>
      <c r="B21" s="51">
        <f>IF(B$17=0,0,C21/B$17)</f>
        <v>9035</v>
      </c>
      <c r="C21" s="41">
        <v>542100</v>
      </c>
      <c r="E21" s="63" t="s">
        <v>76</v>
      </c>
      <c r="F21" s="60" t="s">
        <v>30</v>
      </c>
      <c r="G21" s="47">
        <v>0</v>
      </c>
      <c r="H21" s="137">
        <f>IF(B$27=0,0,G21/B$27)</f>
        <v>0</v>
      </c>
      <c r="I21" s="98">
        <v>1</v>
      </c>
      <c r="K21" s="38">
        <v>19</v>
      </c>
      <c r="L21" s="103">
        <v>138.79999999999998</v>
      </c>
      <c r="N21" s="119" t="s">
        <v>185</v>
      </c>
      <c r="O21" s="129">
        <f>IF(P21=0,0,Q21/P21)</f>
        <v>-40.333333333333336</v>
      </c>
      <c r="P21" s="123">
        <v>3</v>
      </c>
      <c r="Q21" s="111">
        <v>-121</v>
      </c>
    </row>
    <row r="22" spans="1:17" x14ac:dyDescent="0.4">
      <c r="A22" s="57" t="s">
        <v>14</v>
      </c>
      <c r="B22" s="52">
        <f>IF(B$20=0,0,C22/B$20)</f>
        <v>-7475.8620689655172</v>
      </c>
      <c r="C22" s="45">
        <v>-216800</v>
      </c>
      <c r="E22" s="63" t="s">
        <v>78</v>
      </c>
      <c r="F22" s="60" t="s">
        <v>32</v>
      </c>
      <c r="G22" s="47">
        <v>0</v>
      </c>
      <c r="H22" s="137">
        <f>IF(B$27=0,0,G22/B$27)</f>
        <v>0</v>
      </c>
      <c r="I22" s="98">
        <v>1</v>
      </c>
      <c r="K22" s="38">
        <v>20</v>
      </c>
      <c r="L22" s="103">
        <v>164.49999999999997</v>
      </c>
    </row>
    <row r="23" spans="1:17" x14ac:dyDescent="0.4">
      <c r="A23" s="94" t="s">
        <v>146</v>
      </c>
      <c r="B23" s="143">
        <v>5</v>
      </c>
      <c r="C23" s="144"/>
      <c r="E23" s="63" t="s">
        <v>79</v>
      </c>
      <c r="F23" s="60" t="s">
        <v>33</v>
      </c>
      <c r="G23" s="47">
        <v>0</v>
      </c>
      <c r="H23" s="137">
        <f>IF(B$27=0,0,G23/B$27)</f>
        <v>0</v>
      </c>
      <c r="I23" s="98">
        <v>1</v>
      </c>
      <c r="K23" s="38">
        <v>21</v>
      </c>
      <c r="L23" s="103">
        <v>204.09999999999997</v>
      </c>
    </row>
    <row r="24" spans="1:17" x14ac:dyDescent="0.4">
      <c r="A24" s="58" t="s">
        <v>157</v>
      </c>
      <c r="B24" s="141">
        <v>88600</v>
      </c>
      <c r="C24" s="142"/>
      <c r="E24" s="63" t="s">
        <v>80</v>
      </c>
      <c r="F24" s="60" t="s">
        <v>34</v>
      </c>
      <c r="G24" s="47">
        <v>0</v>
      </c>
      <c r="H24" s="137">
        <f>IF(B$27=0,0,G24/B$27)</f>
        <v>0</v>
      </c>
      <c r="I24" s="98">
        <v>4</v>
      </c>
    </row>
    <row r="25" spans="1:17" x14ac:dyDescent="0.4">
      <c r="A25" s="57" t="s">
        <v>147</v>
      </c>
      <c r="B25" s="65">
        <v>4</v>
      </c>
      <c r="C25" s="42">
        <f>IF(B$3=0,0,B25/B$3)</f>
        <v>2.0942408376963352E-2</v>
      </c>
      <c r="E25" s="63" t="s">
        <v>81</v>
      </c>
      <c r="F25" s="60" t="s">
        <v>35</v>
      </c>
      <c r="G25" s="47">
        <v>0</v>
      </c>
      <c r="H25" s="137">
        <f>IF(B$27=0,0,G25/B$27)</f>
        <v>0</v>
      </c>
      <c r="I25" s="98">
        <v>3</v>
      </c>
    </row>
    <row r="26" spans="1:17" x14ac:dyDescent="0.4">
      <c r="A26" s="54" t="s">
        <v>124</v>
      </c>
      <c r="B26" s="147">
        <v>181</v>
      </c>
      <c r="C26" s="148"/>
      <c r="E26" s="63" t="s">
        <v>82</v>
      </c>
      <c r="F26" s="60" t="s">
        <v>36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54</v>
      </c>
      <c r="C27" s="150"/>
      <c r="E27" s="63" t="s">
        <v>83</v>
      </c>
      <c r="F27" s="60" t="s">
        <v>37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85</v>
      </c>
      <c r="F28" s="60" t="s">
        <v>39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87</v>
      </c>
      <c r="F29" s="60" t="s">
        <v>41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88</v>
      </c>
      <c r="F30" s="60" t="s">
        <v>42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90</v>
      </c>
      <c r="F31" s="60" t="s">
        <v>44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91</v>
      </c>
      <c r="F32" s="60" t="s">
        <v>45</v>
      </c>
      <c r="G32" s="47">
        <v>0</v>
      </c>
      <c r="H32" s="137">
        <f>IF(B$27=0,0,G32/B$27)</f>
        <v>0</v>
      </c>
      <c r="I32" s="98">
        <v>1</v>
      </c>
    </row>
    <row r="33" spans="5:9" x14ac:dyDescent="0.4">
      <c r="E33" s="63" t="s">
        <v>93</v>
      </c>
      <c r="F33" s="60" t="s">
        <v>47</v>
      </c>
      <c r="G33" s="47">
        <v>0</v>
      </c>
      <c r="H33" s="137">
        <f>IF(B$27=0,0,G33/B$27)</f>
        <v>0</v>
      </c>
      <c r="I33" s="98">
        <v>3</v>
      </c>
    </row>
    <row r="34" spans="5:9" x14ac:dyDescent="0.4">
      <c r="E34" s="63" t="s">
        <v>96</v>
      </c>
      <c r="F34" s="60" t="s">
        <v>50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98</v>
      </c>
      <c r="F36" s="60" t="s">
        <v>52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99</v>
      </c>
      <c r="F37" s="60" t="s">
        <v>53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100</v>
      </c>
      <c r="F38" s="60" t="s">
        <v>54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101</v>
      </c>
      <c r="F39" s="60" t="s">
        <v>55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102</v>
      </c>
      <c r="F40" s="60" t="s">
        <v>56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103</v>
      </c>
      <c r="F41" s="60" t="s">
        <v>57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104</v>
      </c>
      <c r="F42" s="60" t="s">
        <v>58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105</v>
      </c>
      <c r="F43" s="60" t="s">
        <v>59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106</v>
      </c>
      <c r="F44" s="60" t="s">
        <v>60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107</v>
      </c>
      <c r="F45" s="60" t="s">
        <v>61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109</v>
      </c>
      <c r="F47" s="60" t="s">
        <v>116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110</v>
      </c>
      <c r="F48" s="60" t="s">
        <v>117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8">
        <f>IF(B$27=0,0,G52/B$27)</f>
        <v>0</v>
      </c>
      <c r="I52" s="99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649A0-D07C-4769-94DC-AAECC0010F7F}">
  <sheetPr codeName="Sheet1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133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12</v>
      </c>
      <c r="C2" s="148"/>
      <c r="E2" s="62" t="s">
        <v>68</v>
      </c>
      <c r="F2" s="59" t="s">
        <v>23</v>
      </c>
      <c r="G2" s="46">
        <v>29</v>
      </c>
      <c r="H2" s="136">
        <f>IF(B$27=0,0,G2/B$27)</f>
        <v>1.2083333333333333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-4958.333333333333</v>
      </c>
      <c r="P2" s="122">
        <v>12</v>
      </c>
      <c r="Q2" s="106">
        <v>-59500</v>
      </c>
    </row>
    <row r="3" spans="1:17" x14ac:dyDescent="0.4">
      <c r="A3" s="55" t="s">
        <v>8</v>
      </c>
      <c r="B3" s="153">
        <v>112</v>
      </c>
      <c r="C3" s="154"/>
      <c r="E3" s="63" t="s">
        <v>66</v>
      </c>
      <c r="F3" s="60" t="s">
        <v>21</v>
      </c>
      <c r="G3" s="47">
        <v>11</v>
      </c>
      <c r="H3" s="137">
        <f>IF(B$27=0,0,G3/B$27)</f>
        <v>0.45833333333333331</v>
      </c>
      <c r="I3" s="98">
        <v>6</v>
      </c>
      <c r="K3" s="38">
        <v>1</v>
      </c>
      <c r="L3" s="103">
        <v>-40.4</v>
      </c>
      <c r="N3" s="119" t="s">
        <v>137</v>
      </c>
      <c r="O3" s="126">
        <f t="shared" si="0"/>
        <v>-3100</v>
      </c>
      <c r="P3" s="123">
        <v>12</v>
      </c>
      <c r="Q3" s="107">
        <v>-37200</v>
      </c>
    </row>
    <row r="4" spans="1:17" x14ac:dyDescent="0.4">
      <c r="A4" s="55" t="s">
        <v>6</v>
      </c>
      <c r="B4" s="155">
        <v>-337.5</v>
      </c>
      <c r="C4" s="156"/>
      <c r="E4" s="63" t="s">
        <v>69</v>
      </c>
      <c r="F4" s="60" t="s">
        <v>24</v>
      </c>
      <c r="G4" s="47">
        <v>7</v>
      </c>
      <c r="H4" s="137">
        <f>IF(B$27=0,0,G4/B$27)</f>
        <v>0.29166666666666669</v>
      </c>
      <c r="I4" s="98">
        <v>4</v>
      </c>
      <c r="K4" s="38">
        <v>2</v>
      </c>
      <c r="L4" s="103">
        <v>-3.3999999999999986</v>
      </c>
      <c r="N4" s="119" t="s">
        <v>138</v>
      </c>
      <c r="O4" s="126">
        <f t="shared" si="0"/>
        <v>-4890</v>
      </c>
      <c r="P4" s="123">
        <v>10</v>
      </c>
      <c r="Q4" s="107">
        <v>-48900</v>
      </c>
    </row>
    <row r="5" spans="1:17" x14ac:dyDescent="0.4">
      <c r="A5" s="55" t="s">
        <v>7</v>
      </c>
      <c r="B5" s="157">
        <f>IF(B$2=0,0,B$4/B$2)</f>
        <v>-28.125</v>
      </c>
      <c r="C5" s="158"/>
      <c r="E5" s="63" t="s">
        <v>70</v>
      </c>
      <c r="F5" s="60" t="s">
        <v>12</v>
      </c>
      <c r="G5" s="47">
        <v>7</v>
      </c>
      <c r="H5" s="137">
        <f>IF(B$27=0,0,G5/B$27)</f>
        <v>0.29166666666666669</v>
      </c>
      <c r="I5" s="98">
        <v>3</v>
      </c>
      <c r="K5" s="38">
        <v>3</v>
      </c>
      <c r="L5" s="103">
        <v>-23.099999999999998</v>
      </c>
      <c r="N5" s="119" t="s">
        <v>139</v>
      </c>
      <c r="O5" s="126">
        <f t="shared" si="0"/>
        <v>-6020</v>
      </c>
      <c r="P5" s="123">
        <v>10</v>
      </c>
      <c r="Q5" s="107">
        <v>-60200</v>
      </c>
    </row>
    <row r="6" spans="1:17" x14ac:dyDescent="0.4">
      <c r="A6" s="55" t="s">
        <v>1</v>
      </c>
      <c r="B6" s="145">
        <f>IF(B$2=0,0,(B$7*1+B$8*2+B$9*3)/B$2)</f>
        <v>2.4166666666666665</v>
      </c>
      <c r="C6" s="146"/>
      <c r="E6" s="63" t="s">
        <v>74</v>
      </c>
      <c r="F6" s="60" t="s">
        <v>28</v>
      </c>
      <c r="G6" s="47">
        <v>7</v>
      </c>
      <c r="H6" s="137">
        <f>IF(B$27=0,0,G6/B$27)</f>
        <v>0.29166666666666669</v>
      </c>
      <c r="I6" s="98">
        <v>10</v>
      </c>
      <c r="K6" s="38">
        <v>4</v>
      </c>
      <c r="L6" s="103">
        <v>-31.4</v>
      </c>
      <c r="N6" s="119" t="s">
        <v>140</v>
      </c>
      <c r="O6" s="126">
        <f t="shared" si="0"/>
        <v>-1870</v>
      </c>
      <c r="P6" s="123">
        <v>10</v>
      </c>
      <c r="Q6" s="107">
        <v>-18700</v>
      </c>
    </row>
    <row r="7" spans="1:17" x14ac:dyDescent="0.4">
      <c r="A7" s="55" t="s">
        <v>2</v>
      </c>
      <c r="B7" s="47">
        <v>2</v>
      </c>
      <c r="C7" s="39">
        <f>IF(B$2=0,0,B7/B$2)</f>
        <v>0.16666666666666666</v>
      </c>
      <c r="E7" s="63" t="s">
        <v>189</v>
      </c>
      <c r="F7" s="60" t="s">
        <v>190</v>
      </c>
      <c r="G7" s="47">
        <v>6</v>
      </c>
      <c r="H7" s="137">
        <f>IF(B$27=0,0,G7/B$27)</f>
        <v>0.25</v>
      </c>
      <c r="I7" s="98">
        <v>8</v>
      </c>
      <c r="K7" s="38">
        <v>5</v>
      </c>
      <c r="L7" s="103">
        <v>-32.199999999999996</v>
      </c>
      <c r="N7" s="120" t="s">
        <v>141</v>
      </c>
      <c r="O7" s="127">
        <f t="shared" si="0"/>
        <v>-1300</v>
      </c>
      <c r="P7" s="124">
        <v>10</v>
      </c>
      <c r="Q7" s="108">
        <v>-13000</v>
      </c>
    </row>
    <row r="8" spans="1:17" x14ac:dyDescent="0.4">
      <c r="A8" s="55" t="s">
        <v>3</v>
      </c>
      <c r="B8" s="47">
        <v>3</v>
      </c>
      <c r="C8" s="39">
        <f>IF(B$2=0,0,B8/B$2)</f>
        <v>0.25</v>
      </c>
      <c r="E8" s="63" t="s">
        <v>72</v>
      </c>
      <c r="F8" s="60" t="s">
        <v>26</v>
      </c>
      <c r="G8" s="47">
        <v>4</v>
      </c>
      <c r="H8" s="137">
        <f>IF(B$27=0,0,G8/B$27)</f>
        <v>0.16666666666666666</v>
      </c>
      <c r="I8" s="98">
        <v>1</v>
      </c>
      <c r="K8" s="38">
        <v>6</v>
      </c>
      <c r="L8" s="103">
        <v>-58.5</v>
      </c>
      <c r="N8" s="43"/>
      <c r="O8" s="131"/>
      <c r="P8" s="115"/>
      <c r="Q8" s="113"/>
    </row>
    <row r="9" spans="1:17" x14ac:dyDescent="0.4">
      <c r="A9" s="56" t="s">
        <v>4</v>
      </c>
      <c r="B9" s="48">
        <v>7</v>
      </c>
      <c r="C9" s="40">
        <f t="shared" ref="C9" si="1">IF(B$2=0,0,B9/B$2)</f>
        <v>0.58333333333333337</v>
      </c>
      <c r="E9" s="63" t="s">
        <v>92</v>
      </c>
      <c r="F9" s="60" t="s">
        <v>46</v>
      </c>
      <c r="G9" s="47">
        <v>4</v>
      </c>
      <c r="H9" s="137">
        <f>IF(B$27=0,0,G9/B$27)</f>
        <v>0.16666666666666666</v>
      </c>
      <c r="I9" s="98">
        <v>5</v>
      </c>
      <c r="K9" s="38">
        <v>7</v>
      </c>
      <c r="L9" s="103">
        <v>-116.8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3</v>
      </c>
      <c r="C10" s="40">
        <f>IF(B$2=0,0,B10/B$2)</f>
        <v>0.25</v>
      </c>
      <c r="E10" s="63" t="s">
        <v>73</v>
      </c>
      <c r="F10" s="60" t="s">
        <v>27</v>
      </c>
      <c r="G10" s="47">
        <v>3</v>
      </c>
      <c r="H10" s="137">
        <f>IF(B$27=0,0,G10/B$27)</f>
        <v>0.125</v>
      </c>
      <c r="I10" s="98">
        <v>2</v>
      </c>
      <c r="K10" s="38">
        <v>8</v>
      </c>
      <c r="L10" s="103">
        <v>-79.599999999999994</v>
      </c>
      <c r="N10" s="118" t="s">
        <v>172</v>
      </c>
      <c r="O10" s="128">
        <f>IF(P10=0,0,Q10/P10)</f>
        <v>-30.75</v>
      </c>
      <c r="P10" s="122">
        <v>4</v>
      </c>
      <c r="Q10" s="110">
        <v>-123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71</v>
      </c>
      <c r="F11" s="60" t="s">
        <v>25</v>
      </c>
      <c r="G11" s="47">
        <v>2</v>
      </c>
      <c r="H11" s="137">
        <f>IF(B$27=0,0,G11/B$27)</f>
        <v>8.3333333333333329E-2</v>
      </c>
      <c r="I11" s="98">
        <v>9</v>
      </c>
      <c r="K11" s="38">
        <v>9</v>
      </c>
      <c r="L11" s="103">
        <v>-127.6</v>
      </c>
      <c r="N11" s="119" t="s">
        <v>173</v>
      </c>
      <c r="O11" s="129">
        <f>IF(P11=0,0,Q11/P11)</f>
        <v>-38.975000000000001</v>
      </c>
      <c r="P11" s="123">
        <v>4</v>
      </c>
      <c r="Q11" s="111">
        <v>-155.9</v>
      </c>
    </row>
    <row r="12" spans="1:17" x14ac:dyDescent="0.4">
      <c r="A12" s="57" t="s">
        <v>165</v>
      </c>
      <c r="B12" s="49">
        <v>1</v>
      </c>
      <c r="C12" s="42">
        <f>IF(B$2=0,0,B12/B$2)</f>
        <v>8.3333333333333329E-2</v>
      </c>
      <c r="E12" s="63" t="s">
        <v>89</v>
      </c>
      <c r="F12" s="60" t="s">
        <v>43</v>
      </c>
      <c r="G12" s="47">
        <v>2</v>
      </c>
      <c r="H12" s="137">
        <f>IF(B$27=0,0,G12/B$27)</f>
        <v>8.3333333333333329E-2</v>
      </c>
      <c r="I12" s="98">
        <v>3</v>
      </c>
      <c r="K12" s="38">
        <v>10</v>
      </c>
      <c r="L12" s="103">
        <v>-231.39999999999998</v>
      </c>
      <c r="N12" s="120" t="s">
        <v>174</v>
      </c>
      <c r="O12" s="130">
        <f>IF(P12=0,0,Q12/P12)</f>
        <v>-14.649999999999999</v>
      </c>
      <c r="P12" s="124">
        <v>4</v>
      </c>
      <c r="Q12" s="112">
        <v>-58.599999999999994</v>
      </c>
    </row>
    <row r="13" spans="1:17" x14ac:dyDescent="0.4">
      <c r="A13" s="58" t="s">
        <v>126</v>
      </c>
      <c r="B13" s="50">
        <v>25</v>
      </c>
      <c r="C13" s="44">
        <f>IF(B$26=0,0,B13/B$26)</f>
        <v>0.22321428571428573</v>
      </c>
      <c r="E13" s="63" t="s">
        <v>67</v>
      </c>
      <c r="F13" s="60" t="s">
        <v>22</v>
      </c>
      <c r="G13" s="47">
        <v>1</v>
      </c>
      <c r="H13" s="137">
        <f>IF(B$27=0,0,G13/B$27)</f>
        <v>4.1666666666666664E-2</v>
      </c>
      <c r="I13" s="98">
        <v>7</v>
      </c>
      <c r="K13" s="38">
        <v>11</v>
      </c>
      <c r="L13" s="103">
        <v>-305.89999999999998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10</v>
      </c>
      <c r="C14" s="39">
        <f>IF(B$26=0,0,B14/B$26)</f>
        <v>8.9285714285714288E-2</v>
      </c>
      <c r="E14" s="63" t="s">
        <v>80</v>
      </c>
      <c r="F14" s="60" t="s">
        <v>34</v>
      </c>
      <c r="G14" s="47">
        <v>1</v>
      </c>
      <c r="H14" s="137">
        <f>IF(B$27=0,0,G14/B$27)</f>
        <v>4.1666666666666664E-2</v>
      </c>
      <c r="I14" s="98">
        <v>2</v>
      </c>
      <c r="K14" s="38">
        <v>12</v>
      </c>
      <c r="L14" s="103">
        <v>-337.5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12</v>
      </c>
      <c r="C15" s="37">
        <f>IF(B$13=0,0,B15/B$13)</f>
        <v>0.48</v>
      </c>
      <c r="E15" s="63" t="s">
        <v>86</v>
      </c>
      <c r="F15" s="60" t="s">
        <v>40</v>
      </c>
      <c r="G15" s="47">
        <v>1</v>
      </c>
      <c r="H15" s="137">
        <f>IF(B$27=0,0,G15/B$27)</f>
        <v>4.1666666666666664E-2</v>
      </c>
      <c r="I15" s="98">
        <v>7</v>
      </c>
      <c r="N15" s="118" t="s">
        <v>132</v>
      </c>
      <c r="O15" s="128">
        <f>IF(P15=0,0,Q15/P15)</f>
        <v>-7.3714285714285737</v>
      </c>
      <c r="P15" s="122">
        <v>7</v>
      </c>
      <c r="Q15" s="110">
        <v>-51.600000000000016</v>
      </c>
    </row>
    <row r="16" spans="1:17" x14ac:dyDescent="0.4">
      <c r="A16" s="54" t="s">
        <v>129</v>
      </c>
      <c r="B16" s="46">
        <v>4</v>
      </c>
      <c r="C16" s="37">
        <f>IF(B$14=0,0,B16/B$14)</f>
        <v>0.4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3</v>
      </c>
      <c r="N16" s="119" t="s">
        <v>181</v>
      </c>
      <c r="O16" s="129">
        <f>IF(P16=0,0,Q16/P16)</f>
        <v>-13.166666666666666</v>
      </c>
      <c r="P16" s="123">
        <v>3</v>
      </c>
      <c r="Q16" s="111">
        <v>-39.5</v>
      </c>
    </row>
    <row r="17" spans="1:17" x14ac:dyDescent="0.4">
      <c r="A17" s="54" t="s">
        <v>10</v>
      </c>
      <c r="B17" s="46">
        <f>B19+B18</f>
        <v>24</v>
      </c>
      <c r="C17" s="37">
        <f>IF(B$3=0,0,B17/B$3)</f>
        <v>0.21428571428571427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1</v>
      </c>
      <c r="N17" s="119" t="s">
        <v>131</v>
      </c>
      <c r="O17" s="129">
        <f>IF(P17=0,0,Q17/P17)</f>
        <v>-49.75</v>
      </c>
      <c r="P17" s="123">
        <v>8</v>
      </c>
      <c r="Q17" s="111">
        <v>-398</v>
      </c>
    </row>
    <row r="18" spans="1:17" x14ac:dyDescent="0.4">
      <c r="A18" s="55" t="s">
        <v>12</v>
      </c>
      <c r="B18" s="47">
        <v>9</v>
      </c>
      <c r="C18" s="39">
        <f>IF(B$17=0,0,B18/B$17)</f>
        <v>0.375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180</v>
      </c>
      <c r="O18" s="129">
        <f>IF(P18=0,0,Q18/P18)</f>
        <v>-67.8</v>
      </c>
      <c r="P18" s="123">
        <v>1</v>
      </c>
      <c r="Q18" s="111">
        <v>-67.8</v>
      </c>
    </row>
    <row r="19" spans="1:17" x14ac:dyDescent="0.4">
      <c r="A19" s="55" t="s">
        <v>11</v>
      </c>
      <c r="B19" s="47">
        <v>15</v>
      </c>
      <c r="C19" s="39">
        <f>IF(B$17=0,0,B19/B$17)</f>
        <v>0.625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194</v>
      </c>
      <c r="O19" s="129">
        <f>IF(P19=0,0,Q19/P19)</f>
        <v>-72.3</v>
      </c>
      <c r="P19" s="123">
        <v>1</v>
      </c>
      <c r="Q19" s="111">
        <v>-72.3</v>
      </c>
    </row>
    <row r="20" spans="1:17" x14ac:dyDescent="0.4">
      <c r="A20" s="55" t="s">
        <v>13</v>
      </c>
      <c r="B20" s="47">
        <v>25</v>
      </c>
      <c r="C20" s="39">
        <f>IF(B$3=0,0,B20/B$3)</f>
        <v>0.22321428571428573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  <c r="N20" s="119" t="s">
        <v>179</v>
      </c>
      <c r="O20" s="129">
        <f>IF(P20=0,0,Q20/P20)</f>
        <v>-95.825000000000003</v>
      </c>
      <c r="P20" s="123">
        <v>4</v>
      </c>
      <c r="Q20" s="111">
        <v>-383.3</v>
      </c>
    </row>
    <row r="21" spans="1:17" x14ac:dyDescent="0.4">
      <c r="A21" s="55" t="s">
        <v>5</v>
      </c>
      <c r="B21" s="51">
        <f>IF(B$17=0,0,C21/B$17)</f>
        <v>7287.5</v>
      </c>
      <c r="C21" s="41">
        <v>174900</v>
      </c>
      <c r="E21" s="63" t="s">
        <v>81</v>
      </c>
      <c r="F21" s="60" t="s">
        <v>35</v>
      </c>
      <c r="G21" s="47">
        <v>0</v>
      </c>
      <c r="H21" s="137">
        <f>IF(B$27=0,0,G21/B$27)</f>
        <v>0</v>
      </c>
      <c r="I21" s="98">
        <v>3</v>
      </c>
    </row>
    <row r="22" spans="1:17" x14ac:dyDescent="0.4">
      <c r="A22" s="57" t="s">
        <v>14</v>
      </c>
      <c r="B22" s="52">
        <f>IF(B$20=0,0,C22/B$20)</f>
        <v>-9708</v>
      </c>
      <c r="C22" s="45">
        <v>-242700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7</v>
      </c>
      <c r="C23" s="144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52200</v>
      </c>
      <c r="C24" s="142"/>
      <c r="E24" s="63" t="s">
        <v>84</v>
      </c>
      <c r="F24" s="60" t="s">
        <v>38</v>
      </c>
      <c r="G24" s="47">
        <v>0</v>
      </c>
      <c r="H24" s="137">
        <f>IF(B$27=0,0,G24/B$27)</f>
        <v>0</v>
      </c>
      <c r="I24" s="98">
        <v>6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112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24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EF5C9-B1F9-49AB-B161-E4EFAD3A5F64}">
  <sheetPr codeName="Sheet1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179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20</v>
      </c>
      <c r="C2" s="148"/>
      <c r="E2" s="62" t="s">
        <v>68</v>
      </c>
      <c r="F2" s="59" t="s">
        <v>23</v>
      </c>
      <c r="G2" s="46">
        <v>29</v>
      </c>
      <c r="H2" s="136">
        <f>IF(B$27=0,0,G2/B$27)</f>
        <v>0.63043478260869568</v>
      </c>
      <c r="I2" s="97">
        <v>6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780</v>
      </c>
      <c r="P2" s="122">
        <v>20</v>
      </c>
      <c r="Q2" s="106">
        <v>15600</v>
      </c>
    </row>
    <row r="3" spans="1:17" x14ac:dyDescent="0.4">
      <c r="A3" s="55" t="s">
        <v>8</v>
      </c>
      <c r="B3" s="153">
        <v>179</v>
      </c>
      <c r="C3" s="154"/>
      <c r="E3" s="63" t="s">
        <v>74</v>
      </c>
      <c r="F3" s="60" t="s">
        <v>28</v>
      </c>
      <c r="G3" s="47">
        <v>28</v>
      </c>
      <c r="H3" s="137">
        <f>IF(B$27=0,0,G3/B$27)</f>
        <v>0.60869565217391308</v>
      </c>
      <c r="I3" s="98">
        <v>4</v>
      </c>
      <c r="K3" s="38">
        <v>1</v>
      </c>
      <c r="L3" s="103">
        <v>-51.2</v>
      </c>
      <c r="N3" s="119" t="s">
        <v>137</v>
      </c>
      <c r="O3" s="126">
        <f t="shared" si="0"/>
        <v>1920</v>
      </c>
      <c r="P3" s="123">
        <v>20</v>
      </c>
      <c r="Q3" s="107">
        <v>38400</v>
      </c>
    </row>
    <row r="4" spans="1:17" x14ac:dyDescent="0.4">
      <c r="A4" s="55" t="s">
        <v>6</v>
      </c>
      <c r="B4" s="155">
        <v>-3.5999999999999917</v>
      </c>
      <c r="C4" s="156"/>
      <c r="E4" s="63" t="s">
        <v>66</v>
      </c>
      <c r="F4" s="60" t="s">
        <v>21</v>
      </c>
      <c r="G4" s="47">
        <v>21</v>
      </c>
      <c r="H4" s="137">
        <f>IF(B$27=0,0,G4/B$27)</f>
        <v>0.45652173913043476</v>
      </c>
      <c r="I4" s="98">
        <v>7</v>
      </c>
      <c r="K4" s="38">
        <v>2</v>
      </c>
      <c r="L4" s="103">
        <v>-93.300000000000011</v>
      </c>
      <c r="N4" s="119" t="s">
        <v>138</v>
      </c>
      <c r="O4" s="126">
        <f t="shared" si="0"/>
        <v>63.157894736842103</v>
      </c>
      <c r="P4" s="123">
        <v>19</v>
      </c>
      <c r="Q4" s="107">
        <v>1200</v>
      </c>
    </row>
    <row r="5" spans="1:17" x14ac:dyDescent="0.4">
      <c r="A5" s="55" t="s">
        <v>7</v>
      </c>
      <c r="B5" s="157">
        <f>IF(B$2=0,0,B$4/B$2)</f>
        <v>-0.17999999999999958</v>
      </c>
      <c r="C5" s="158"/>
      <c r="E5" s="63" t="s">
        <v>189</v>
      </c>
      <c r="F5" s="60" t="s">
        <v>190</v>
      </c>
      <c r="G5" s="47">
        <v>15</v>
      </c>
      <c r="H5" s="137">
        <f>IF(B$27=0,0,G5/B$27)</f>
        <v>0.32608695652173914</v>
      </c>
      <c r="I5" s="98">
        <v>6</v>
      </c>
      <c r="K5" s="38">
        <v>3</v>
      </c>
      <c r="L5" s="103">
        <v>-60.100000000000009</v>
      </c>
      <c r="N5" s="119" t="s">
        <v>139</v>
      </c>
      <c r="O5" s="126">
        <f t="shared" si="0"/>
        <v>-4138.8888888888887</v>
      </c>
      <c r="P5" s="123">
        <v>18</v>
      </c>
      <c r="Q5" s="107">
        <v>-74500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71</v>
      </c>
      <c r="F6" s="60" t="s">
        <v>25</v>
      </c>
      <c r="G6" s="47">
        <v>11</v>
      </c>
      <c r="H6" s="137">
        <f>IF(B$27=0,0,G6/B$27)</f>
        <v>0.2391304347826087</v>
      </c>
      <c r="I6" s="98">
        <v>2</v>
      </c>
      <c r="K6" s="38">
        <v>4</v>
      </c>
      <c r="L6" s="103">
        <v>-11.300000000000011</v>
      </c>
      <c r="N6" s="119" t="s">
        <v>140</v>
      </c>
      <c r="O6" s="126">
        <f t="shared" si="0"/>
        <v>500</v>
      </c>
      <c r="P6" s="123">
        <v>16</v>
      </c>
      <c r="Q6" s="107">
        <v>8000</v>
      </c>
    </row>
    <row r="7" spans="1:17" x14ac:dyDescent="0.4">
      <c r="A7" s="55" t="s">
        <v>2</v>
      </c>
      <c r="B7" s="47">
        <v>7</v>
      </c>
      <c r="C7" s="39">
        <f>IF(B$2=0,0,B7/B$2)</f>
        <v>0.35</v>
      </c>
      <c r="E7" s="63" t="s">
        <v>69</v>
      </c>
      <c r="F7" s="60" t="s">
        <v>24</v>
      </c>
      <c r="G7" s="47">
        <v>8</v>
      </c>
      <c r="H7" s="137">
        <f>IF(B$27=0,0,G7/B$27)</f>
        <v>0.17391304347826086</v>
      </c>
      <c r="I7" s="98">
        <v>8</v>
      </c>
      <c r="K7" s="38">
        <v>5</v>
      </c>
      <c r="L7" s="103">
        <v>-36.100000000000009</v>
      </c>
      <c r="N7" s="120" t="s">
        <v>141</v>
      </c>
      <c r="O7" s="127">
        <f t="shared" si="0"/>
        <v>1121.4285714285713</v>
      </c>
      <c r="P7" s="124">
        <v>14</v>
      </c>
      <c r="Q7" s="108">
        <v>15700</v>
      </c>
    </row>
    <row r="8" spans="1:17" x14ac:dyDescent="0.4">
      <c r="A8" s="55" t="s">
        <v>3</v>
      </c>
      <c r="B8" s="47">
        <v>6</v>
      </c>
      <c r="C8" s="39">
        <f>IF(B$2=0,0,B8/B$2)</f>
        <v>0.3</v>
      </c>
      <c r="E8" s="63" t="s">
        <v>70</v>
      </c>
      <c r="F8" s="60" t="s">
        <v>12</v>
      </c>
      <c r="G8" s="47">
        <v>8</v>
      </c>
      <c r="H8" s="137">
        <f>IF(B$27=0,0,G8/B$27)</f>
        <v>0.17391304347826086</v>
      </c>
      <c r="I8" s="98">
        <v>9</v>
      </c>
      <c r="K8" s="38">
        <v>6</v>
      </c>
      <c r="L8" s="103">
        <v>9.0999999999999943</v>
      </c>
      <c r="N8" s="43"/>
      <c r="O8" s="131"/>
      <c r="P8" s="115"/>
      <c r="Q8" s="113"/>
    </row>
    <row r="9" spans="1:17" x14ac:dyDescent="0.4">
      <c r="A9" s="56" t="s">
        <v>4</v>
      </c>
      <c r="B9" s="48">
        <v>7</v>
      </c>
      <c r="C9" s="40">
        <f t="shared" ref="C9" si="1">IF(B$2=0,0,B9/B$2)</f>
        <v>0.35</v>
      </c>
      <c r="E9" s="63" t="s">
        <v>92</v>
      </c>
      <c r="F9" s="60" t="s">
        <v>46</v>
      </c>
      <c r="G9" s="47">
        <v>8</v>
      </c>
      <c r="H9" s="137">
        <f>IF(B$27=0,0,G9/B$27)</f>
        <v>0.17391304347826086</v>
      </c>
      <c r="I9" s="98">
        <v>4</v>
      </c>
      <c r="K9" s="38">
        <v>7</v>
      </c>
      <c r="L9" s="103">
        <v>-51.300000000000004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0.05</v>
      </c>
      <c r="E10" s="63" t="s">
        <v>67</v>
      </c>
      <c r="F10" s="60" t="s">
        <v>22</v>
      </c>
      <c r="G10" s="47">
        <v>6</v>
      </c>
      <c r="H10" s="137">
        <f>IF(B$27=0,0,G10/B$27)</f>
        <v>0.13043478260869565</v>
      </c>
      <c r="I10" s="98">
        <v>4</v>
      </c>
      <c r="K10" s="38">
        <v>8</v>
      </c>
      <c r="L10" s="103">
        <v>-1.7000000000000028</v>
      </c>
      <c r="N10" s="118" t="s">
        <v>172</v>
      </c>
      <c r="O10" s="128">
        <f>IF(P10=0,0,Q10/P10)</f>
        <v>1.2285714285714278</v>
      </c>
      <c r="P10" s="122">
        <v>7</v>
      </c>
      <c r="Q10" s="110">
        <v>8.5999999999999943</v>
      </c>
    </row>
    <row r="11" spans="1:17" x14ac:dyDescent="0.4">
      <c r="A11" s="56" t="s">
        <v>144</v>
      </c>
      <c r="B11" s="48">
        <v>2</v>
      </c>
      <c r="C11" s="40">
        <f>IF(B$2=0,0,B11/B$2)</f>
        <v>0.1</v>
      </c>
      <c r="E11" s="63" t="s">
        <v>72</v>
      </c>
      <c r="F11" s="60" t="s">
        <v>26</v>
      </c>
      <c r="G11" s="47">
        <v>6</v>
      </c>
      <c r="H11" s="137">
        <f>IF(B$27=0,0,G11/B$27)</f>
        <v>0.13043478260869565</v>
      </c>
      <c r="I11" s="98">
        <v>3</v>
      </c>
      <c r="K11" s="38">
        <v>9</v>
      </c>
      <c r="L11" s="103">
        <v>-5.8000000000000025</v>
      </c>
      <c r="N11" s="119" t="s">
        <v>173</v>
      </c>
      <c r="O11" s="129">
        <f>IF(P11=0,0,Q11/P11)</f>
        <v>16.566666666666666</v>
      </c>
      <c r="P11" s="123">
        <v>3</v>
      </c>
      <c r="Q11" s="111">
        <v>49.7</v>
      </c>
    </row>
    <row r="12" spans="1:17" x14ac:dyDescent="0.4">
      <c r="A12" s="57" t="s">
        <v>165</v>
      </c>
      <c r="B12" s="49">
        <v>2</v>
      </c>
      <c r="C12" s="42">
        <f>IF(B$2=0,0,B12/B$2)</f>
        <v>0.1</v>
      </c>
      <c r="E12" s="63" t="s">
        <v>73</v>
      </c>
      <c r="F12" s="60" t="s">
        <v>27</v>
      </c>
      <c r="G12" s="47">
        <v>5</v>
      </c>
      <c r="H12" s="137">
        <f>IF(B$27=0,0,G12/B$27)</f>
        <v>0.10869565217391304</v>
      </c>
      <c r="I12" s="98">
        <v>3</v>
      </c>
      <c r="K12" s="38">
        <v>10</v>
      </c>
      <c r="L12" s="103">
        <v>-56.500000000000007</v>
      </c>
      <c r="N12" s="120" t="s">
        <v>174</v>
      </c>
      <c r="O12" s="130">
        <f>IF(P12=0,0,Q12/P12)</f>
        <v>-6.1899999999999995</v>
      </c>
      <c r="P12" s="124">
        <v>10</v>
      </c>
      <c r="Q12" s="112">
        <v>-61.9</v>
      </c>
    </row>
    <row r="13" spans="1:17" x14ac:dyDescent="0.4">
      <c r="A13" s="58" t="s">
        <v>126</v>
      </c>
      <c r="B13" s="50">
        <v>44</v>
      </c>
      <c r="C13" s="44">
        <f>IF(B$26=0,0,B13/B$26)</f>
        <v>0.26035502958579881</v>
      </c>
      <c r="E13" s="63" t="s">
        <v>86</v>
      </c>
      <c r="F13" s="60" t="s">
        <v>40</v>
      </c>
      <c r="G13" s="47">
        <v>4</v>
      </c>
      <c r="H13" s="137">
        <f>IF(B$27=0,0,G13/B$27)</f>
        <v>8.6956521739130432E-2</v>
      </c>
      <c r="I13" s="98">
        <v>1</v>
      </c>
      <c r="K13" s="38">
        <v>11</v>
      </c>
      <c r="L13" s="103">
        <v>-27.600000000000009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38</v>
      </c>
      <c r="C14" s="39">
        <f>IF(B$26=0,0,B14/B$26)</f>
        <v>0.22485207100591717</v>
      </c>
      <c r="E14" s="63" t="s">
        <v>89</v>
      </c>
      <c r="F14" s="60" t="s">
        <v>43</v>
      </c>
      <c r="G14" s="47">
        <v>2</v>
      </c>
      <c r="H14" s="137">
        <f>IF(B$27=0,0,G14/B$27)</f>
        <v>4.3478260869565216E-2</v>
      </c>
      <c r="I14" s="98">
        <v>7</v>
      </c>
      <c r="K14" s="38">
        <v>12</v>
      </c>
      <c r="L14" s="103">
        <v>-42.900000000000006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22</v>
      </c>
      <c r="C15" s="37">
        <f>IF(B$13=0,0,B15/B$13)</f>
        <v>0.5</v>
      </c>
      <c r="E15" s="63" t="s">
        <v>77</v>
      </c>
      <c r="F15" s="60" t="s">
        <v>31</v>
      </c>
      <c r="G15" s="47">
        <v>1</v>
      </c>
      <c r="H15" s="137">
        <f>IF(B$27=0,0,G15/B$27)</f>
        <v>2.1739130434782608E-2</v>
      </c>
      <c r="I15" s="98">
        <v>2</v>
      </c>
      <c r="K15" s="38">
        <v>13</v>
      </c>
      <c r="L15" s="103">
        <v>-58.7</v>
      </c>
      <c r="N15" s="118" t="s">
        <v>133</v>
      </c>
      <c r="O15" s="128">
        <f>IF(P15=0,0,Q15/P15)</f>
        <v>95.825000000000003</v>
      </c>
      <c r="P15" s="122">
        <v>4</v>
      </c>
      <c r="Q15" s="110">
        <v>383.3</v>
      </c>
    </row>
    <row r="16" spans="1:17" x14ac:dyDescent="0.4">
      <c r="A16" s="54" t="s">
        <v>129</v>
      </c>
      <c r="B16" s="46">
        <v>14</v>
      </c>
      <c r="C16" s="37">
        <f>IF(B$14=0,0,B16/B$14)</f>
        <v>0.36842105263157893</v>
      </c>
      <c r="E16" s="63" t="s">
        <v>84</v>
      </c>
      <c r="F16" s="60" t="s">
        <v>38</v>
      </c>
      <c r="G16" s="47">
        <v>1</v>
      </c>
      <c r="H16" s="137">
        <f>IF(B$27=0,0,G16/B$27)</f>
        <v>2.1739130434782608E-2</v>
      </c>
      <c r="I16" s="98">
        <v>4</v>
      </c>
      <c r="K16" s="38">
        <v>14</v>
      </c>
      <c r="L16" s="103">
        <v>-29.400000000000002</v>
      </c>
      <c r="N16" s="119" t="s">
        <v>194</v>
      </c>
      <c r="O16" s="129">
        <f>IF(P16=0,0,Q16/P16)</f>
        <v>78.900000000000006</v>
      </c>
      <c r="P16" s="123">
        <v>1</v>
      </c>
      <c r="Q16" s="111">
        <v>78.900000000000006</v>
      </c>
    </row>
    <row r="17" spans="1:17" x14ac:dyDescent="0.4">
      <c r="A17" s="54" t="s">
        <v>10</v>
      </c>
      <c r="B17" s="46">
        <f>B19+B18</f>
        <v>46</v>
      </c>
      <c r="C17" s="37">
        <f>IF(B$3=0,0,B17/B$3)</f>
        <v>0.25698324022346369</v>
      </c>
      <c r="E17" s="63" t="s">
        <v>95</v>
      </c>
      <c r="F17" s="60" t="s">
        <v>49</v>
      </c>
      <c r="G17" s="47">
        <v>1</v>
      </c>
      <c r="H17" s="137">
        <f>IF(B$27=0,0,G17/B$27)</f>
        <v>2.1739130434782608E-2</v>
      </c>
      <c r="I17" s="98">
        <v>1</v>
      </c>
      <c r="K17" s="38">
        <v>15</v>
      </c>
      <c r="L17" s="103">
        <v>-26.3</v>
      </c>
      <c r="N17" s="119" t="s">
        <v>185</v>
      </c>
      <c r="O17" s="129">
        <f>IF(P17=0,0,Q17/P17)</f>
        <v>35.1</v>
      </c>
      <c r="P17" s="123">
        <v>1</v>
      </c>
      <c r="Q17" s="111">
        <v>35.1</v>
      </c>
    </row>
    <row r="18" spans="1:17" x14ac:dyDescent="0.4">
      <c r="A18" s="55" t="s">
        <v>12</v>
      </c>
      <c r="B18" s="47">
        <v>15</v>
      </c>
      <c r="C18" s="39">
        <f>IF(B$17=0,0,B18/B$17)</f>
        <v>0.32608695652173914</v>
      </c>
      <c r="E18" s="63" t="s">
        <v>75</v>
      </c>
      <c r="F18" s="60" t="s">
        <v>29</v>
      </c>
      <c r="G18" s="47">
        <v>0</v>
      </c>
      <c r="H18" s="137">
        <f>IF(B$27=0,0,G18/B$27)</f>
        <v>0</v>
      </c>
      <c r="I18" s="98">
        <v>3</v>
      </c>
      <c r="K18" s="38">
        <v>16</v>
      </c>
      <c r="L18" s="103">
        <v>-50.3</v>
      </c>
      <c r="N18" s="119" t="s">
        <v>181</v>
      </c>
      <c r="O18" s="129">
        <f>IF(P18=0,0,Q18/P18)</f>
        <v>24.087499999999999</v>
      </c>
      <c r="P18" s="123">
        <v>8</v>
      </c>
      <c r="Q18" s="111">
        <v>192.7</v>
      </c>
    </row>
    <row r="19" spans="1:17" x14ac:dyDescent="0.4">
      <c r="A19" s="55" t="s">
        <v>11</v>
      </c>
      <c r="B19" s="47">
        <v>31</v>
      </c>
      <c r="C19" s="39">
        <f>IF(B$17=0,0,B19/B$17)</f>
        <v>0.67391304347826086</v>
      </c>
      <c r="E19" s="63" t="s">
        <v>76</v>
      </c>
      <c r="F19" s="60" t="s">
        <v>30</v>
      </c>
      <c r="G19" s="47">
        <v>0</v>
      </c>
      <c r="H19" s="137">
        <f>IF(B$27=0,0,G19/B$27)</f>
        <v>0</v>
      </c>
      <c r="I19" s="98">
        <v>1</v>
      </c>
      <c r="K19" s="38">
        <v>17</v>
      </c>
      <c r="L19" s="103">
        <v>-74.3</v>
      </c>
      <c r="N19" s="119" t="s">
        <v>180</v>
      </c>
      <c r="O19" s="129">
        <f>IF(P19=0,0,Q19/P19)</f>
        <v>2.7999999999999976</v>
      </c>
      <c r="P19" s="123">
        <v>6</v>
      </c>
      <c r="Q19" s="111">
        <v>16.799999999999986</v>
      </c>
    </row>
    <row r="20" spans="1:17" x14ac:dyDescent="0.4">
      <c r="A20" s="55" t="s">
        <v>13</v>
      </c>
      <c r="B20" s="47">
        <v>31</v>
      </c>
      <c r="C20" s="39">
        <f>IF(B$3=0,0,B20/B$3)</f>
        <v>0.17318435754189945</v>
      </c>
      <c r="E20" s="63" t="s">
        <v>78</v>
      </c>
      <c r="F20" s="60" t="s">
        <v>32</v>
      </c>
      <c r="G20" s="47">
        <v>0</v>
      </c>
      <c r="H20" s="137">
        <f>IF(B$27=0,0,G20/B$27)</f>
        <v>0</v>
      </c>
      <c r="I20" s="98">
        <v>1</v>
      </c>
      <c r="K20" s="38">
        <v>18</v>
      </c>
      <c r="L20" s="103">
        <v>-76.099999999999994</v>
      </c>
      <c r="N20" s="119" t="s">
        <v>132</v>
      </c>
      <c r="O20" s="129">
        <f>IF(P20=0,0,Q20/P20)</f>
        <v>-33.520000000000003</v>
      </c>
      <c r="P20" s="123">
        <v>10</v>
      </c>
      <c r="Q20" s="111">
        <v>-335.20000000000005</v>
      </c>
    </row>
    <row r="21" spans="1:17" x14ac:dyDescent="0.4">
      <c r="A21" s="55" t="s">
        <v>5</v>
      </c>
      <c r="B21" s="51">
        <f>IF(B$17=0,0,C21/B$17)</f>
        <v>8008.695652173913</v>
      </c>
      <c r="C21" s="41">
        <v>368400</v>
      </c>
      <c r="E21" s="63" t="s">
        <v>79</v>
      </c>
      <c r="F21" s="60" t="s">
        <v>33</v>
      </c>
      <c r="G21" s="47">
        <v>0</v>
      </c>
      <c r="H21" s="137">
        <f>IF(B$27=0,0,G21/B$27)</f>
        <v>0</v>
      </c>
      <c r="I21" s="98">
        <v>1</v>
      </c>
      <c r="K21" s="38">
        <v>19</v>
      </c>
      <c r="L21" s="103">
        <v>0.60000000000000853</v>
      </c>
      <c r="N21" s="119" t="s">
        <v>131</v>
      </c>
      <c r="O21" s="129">
        <f>IF(P21=0,0,Q21/P21)</f>
        <v>-38.239999999999995</v>
      </c>
      <c r="P21" s="123">
        <v>10</v>
      </c>
      <c r="Q21" s="111">
        <v>-382.4</v>
      </c>
    </row>
    <row r="22" spans="1:17" x14ac:dyDescent="0.4">
      <c r="A22" s="57" t="s">
        <v>14</v>
      </c>
      <c r="B22" s="52">
        <f>IF(B$20=0,0,C22/B$20)</f>
        <v>-7629.0322580645161</v>
      </c>
      <c r="C22" s="45">
        <v>-236500</v>
      </c>
      <c r="E22" s="63" t="s">
        <v>80</v>
      </c>
      <c r="F22" s="60" t="s">
        <v>34</v>
      </c>
      <c r="G22" s="47">
        <v>0</v>
      </c>
      <c r="H22" s="137">
        <f>IF(B$27=0,0,G22/B$27)</f>
        <v>0</v>
      </c>
      <c r="I22" s="98">
        <v>4</v>
      </c>
      <c r="K22" s="38">
        <v>20</v>
      </c>
      <c r="L22" s="103">
        <v>-3.5999999999999917</v>
      </c>
    </row>
    <row r="23" spans="1:17" x14ac:dyDescent="0.4">
      <c r="A23" s="94" t="s">
        <v>146</v>
      </c>
      <c r="B23" s="143">
        <v>4</v>
      </c>
      <c r="C23" s="144"/>
      <c r="E23" s="63" t="s">
        <v>81</v>
      </c>
      <c r="F23" s="60" t="s">
        <v>35</v>
      </c>
      <c r="G23" s="47">
        <v>0</v>
      </c>
      <c r="H23" s="137">
        <f>IF(B$27=0,0,G23/B$27)</f>
        <v>0</v>
      </c>
      <c r="I23" s="98">
        <v>3</v>
      </c>
    </row>
    <row r="24" spans="1:17" x14ac:dyDescent="0.4">
      <c r="A24" s="58" t="s">
        <v>157</v>
      </c>
      <c r="B24" s="141">
        <v>91700</v>
      </c>
      <c r="C24" s="142"/>
      <c r="E24" s="63" t="s">
        <v>82</v>
      </c>
      <c r="F24" s="60" t="s">
        <v>36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1</v>
      </c>
      <c r="C25" s="42">
        <f>IF(B$3=0,0,B25/B$3)</f>
        <v>5.5865921787709499E-3</v>
      </c>
      <c r="E25" s="63" t="s">
        <v>83</v>
      </c>
      <c r="F25" s="60" t="s">
        <v>37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169</v>
      </c>
      <c r="C26" s="148"/>
      <c r="E26" s="63" t="s">
        <v>85</v>
      </c>
      <c r="F26" s="60" t="s">
        <v>39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46</v>
      </c>
      <c r="C27" s="150"/>
      <c r="E27" s="63" t="s">
        <v>87</v>
      </c>
      <c r="F27" s="60" t="s">
        <v>41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7">
        <f>IF(B$27=0,0,G28/B$27)</f>
        <v>0</v>
      </c>
      <c r="I28" s="98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3</v>
      </c>
    </row>
    <row r="32" spans="1:17" x14ac:dyDescent="0.4">
      <c r="E32" s="63" t="s">
        <v>94</v>
      </c>
      <c r="F32" s="60" t="s">
        <v>48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EF494-43E3-4219-A0FC-213124ED3B22}">
  <sheetPr codeName="Sheet15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180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8</v>
      </c>
      <c r="C2" s="148"/>
      <c r="E2" s="62" t="s">
        <v>74</v>
      </c>
      <c r="F2" s="59" t="s">
        <v>28</v>
      </c>
      <c r="G2" s="46">
        <v>12</v>
      </c>
      <c r="H2" s="136">
        <f>IF(B$27=0,0,G2/B$27)</f>
        <v>0.70588235294117652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1237.5</v>
      </c>
      <c r="P2" s="122">
        <v>8</v>
      </c>
      <c r="Q2" s="106">
        <v>9900</v>
      </c>
    </row>
    <row r="3" spans="1:17" x14ac:dyDescent="0.4">
      <c r="A3" s="55" t="s">
        <v>8</v>
      </c>
      <c r="B3" s="153">
        <v>61</v>
      </c>
      <c r="C3" s="154"/>
      <c r="E3" s="63" t="s">
        <v>189</v>
      </c>
      <c r="F3" s="60" t="s">
        <v>190</v>
      </c>
      <c r="G3" s="47">
        <v>8</v>
      </c>
      <c r="H3" s="137">
        <f>IF(B$27=0,0,G3/B$27)</f>
        <v>0.47058823529411764</v>
      </c>
      <c r="I3" s="98">
        <v>1</v>
      </c>
      <c r="K3" s="38">
        <v>1</v>
      </c>
      <c r="L3" s="103">
        <v>11.1</v>
      </c>
      <c r="N3" s="119" t="s">
        <v>137</v>
      </c>
      <c r="O3" s="126">
        <f t="shared" si="0"/>
        <v>1362.5</v>
      </c>
      <c r="P3" s="123">
        <v>8</v>
      </c>
      <c r="Q3" s="107">
        <v>10900</v>
      </c>
    </row>
    <row r="4" spans="1:17" x14ac:dyDescent="0.4">
      <c r="A4" s="55" t="s">
        <v>6</v>
      </c>
      <c r="B4" s="155">
        <v>-29.5</v>
      </c>
      <c r="C4" s="156"/>
      <c r="E4" s="63" t="s">
        <v>66</v>
      </c>
      <c r="F4" s="60" t="s">
        <v>21</v>
      </c>
      <c r="G4" s="47">
        <v>7</v>
      </c>
      <c r="H4" s="137">
        <f>IF(B$27=0,0,G4/B$27)</f>
        <v>0.41176470588235292</v>
      </c>
      <c r="I4" s="98">
        <v>9</v>
      </c>
      <c r="K4" s="38">
        <v>2</v>
      </c>
      <c r="L4" s="103">
        <v>-7.7000000000000011</v>
      </c>
      <c r="N4" s="119" t="s">
        <v>138</v>
      </c>
      <c r="O4" s="126">
        <f t="shared" si="0"/>
        <v>-1257.1428571428571</v>
      </c>
      <c r="P4" s="123">
        <v>7</v>
      </c>
      <c r="Q4" s="107">
        <v>-8800</v>
      </c>
    </row>
    <row r="5" spans="1:17" x14ac:dyDescent="0.4">
      <c r="A5" s="55" t="s">
        <v>7</v>
      </c>
      <c r="B5" s="157">
        <f>IF(B$2=0,0,B$4/B$2)</f>
        <v>-3.6875</v>
      </c>
      <c r="C5" s="158"/>
      <c r="E5" s="63" t="s">
        <v>68</v>
      </c>
      <c r="F5" s="60" t="s">
        <v>23</v>
      </c>
      <c r="G5" s="47">
        <v>7</v>
      </c>
      <c r="H5" s="137">
        <f>IF(B$27=0,0,G5/B$27)</f>
        <v>0.41176470588235292</v>
      </c>
      <c r="I5" s="98">
        <v>9</v>
      </c>
      <c r="K5" s="38">
        <v>3</v>
      </c>
      <c r="L5" s="103">
        <v>1.7999999999999989</v>
      </c>
      <c r="N5" s="119" t="s">
        <v>139</v>
      </c>
      <c r="O5" s="126">
        <f t="shared" si="0"/>
        <v>2914.2857142857142</v>
      </c>
      <c r="P5" s="123">
        <v>7</v>
      </c>
      <c r="Q5" s="107">
        <v>20400</v>
      </c>
    </row>
    <row r="6" spans="1:17" x14ac:dyDescent="0.4">
      <c r="A6" s="55" t="s">
        <v>1</v>
      </c>
      <c r="B6" s="145">
        <f>IF(B$2=0,0,(B$7*1+B$8*2+B$9*3)/B$2)</f>
        <v>2.125</v>
      </c>
      <c r="C6" s="146"/>
      <c r="E6" s="63" t="s">
        <v>69</v>
      </c>
      <c r="F6" s="60" t="s">
        <v>24</v>
      </c>
      <c r="G6" s="47">
        <v>5</v>
      </c>
      <c r="H6" s="137">
        <f>IF(B$27=0,0,G6/B$27)</f>
        <v>0.29411764705882354</v>
      </c>
      <c r="I6" s="98">
        <v>3</v>
      </c>
      <c r="K6" s="38">
        <v>4</v>
      </c>
      <c r="L6" s="103">
        <v>34.9</v>
      </c>
      <c r="N6" s="119" t="s">
        <v>140</v>
      </c>
      <c r="O6" s="126">
        <f t="shared" si="0"/>
        <v>-4257.1428571428569</v>
      </c>
      <c r="P6" s="123">
        <v>7</v>
      </c>
      <c r="Q6" s="107">
        <v>-29800</v>
      </c>
    </row>
    <row r="7" spans="1:17" x14ac:dyDescent="0.4">
      <c r="A7" s="55" t="s">
        <v>2</v>
      </c>
      <c r="B7" s="47">
        <v>1</v>
      </c>
      <c r="C7" s="39">
        <f>IF(B$2=0,0,B7/B$2)</f>
        <v>0.125</v>
      </c>
      <c r="E7" s="63" t="s">
        <v>70</v>
      </c>
      <c r="F7" s="60" t="s">
        <v>12</v>
      </c>
      <c r="G7" s="47">
        <v>3</v>
      </c>
      <c r="H7" s="137">
        <f>IF(B$27=0,0,G7/B$27)</f>
        <v>0.17647058823529413</v>
      </c>
      <c r="I7" s="98">
        <v>8</v>
      </c>
      <c r="K7" s="38">
        <v>5</v>
      </c>
      <c r="L7" s="103">
        <v>29.4</v>
      </c>
      <c r="N7" s="120" t="s">
        <v>141</v>
      </c>
      <c r="O7" s="127">
        <f t="shared" si="0"/>
        <v>-2516.6666666666665</v>
      </c>
      <c r="P7" s="124">
        <v>6</v>
      </c>
      <c r="Q7" s="108">
        <v>-15100</v>
      </c>
    </row>
    <row r="8" spans="1:17" x14ac:dyDescent="0.4">
      <c r="A8" s="55" t="s">
        <v>3</v>
      </c>
      <c r="B8" s="47">
        <v>5</v>
      </c>
      <c r="C8" s="39">
        <f>IF(B$2=0,0,B8/B$2)</f>
        <v>0.625</v>
      </c>
      <c r="E8" s="63" t="s">
        <v>67</v>
      </c>
      <c r="F8" s="60" t="s">
        <v>22</v>
      </c>
      <c r="G8" s="47">
        <v>2</v>
      </c>
      <c r="H8" s="137">
        <f>IF(B$27=0,0,G8/B$27)</f>
        <v>0.11764705882352941</v>
      </c>
      <c r="I8" s="98">
        <v>5</v>
      </c>
      <c r="K8" s="38">
        <v>6</v>
      </c>
      <c r="L8" s="103">
        <v>4.2999999999999972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0.25</v>
      </c>
      <c r="E9" s="63" t="s">
        <v>92</v>
      </c>
      <c r="F9" s="60" t="s">
        <v>46</v>
      </c>
      <c r="G9" s="47">
        <v>2</v>
      </c>
      <c r="H9" s="137">
        <f>IF(B$27=0,0,G9/B$27)</f>
        <v>0.11764705882352941</v>
      </c>
      <c r="I9" s="98">
        <v>9</v>
      </c>
      <c r="K9" s="38">
        <v>7</v>
      </c>
      <c r="L9" s="103">
        <v>7.7999999999999972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25</v>
      </c>
      <c r="G10" s="47">
        <v>1</v>
      </c>
      <c r="H10" s="137">
        <f>IF(B$27=0,0,G10/B$27)</f>
        <v>5.8823529411764705E-2</v>
      </c>
      <c r="I10" s="98">
        <v>10</v>
      </c>
      <c r="K10" s="38">
        <v>8</v>
      </c>
      <c r="L10" s="103">
        <v>-29.5</v>
      </c>
      <c r="N10" s="118" t="s">
        <v>172</v>
      </c>
      <c r="O10" s="128">
        <f>IF(P10=0,0,Q10/P10)</f>
        <v>-37.299999999999997</v>
      </c>
      <c r="P10" s="122">
        <v>1</v>
      </c>
      <c r="Q10" s="110">
        <v>-37.299999999999997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84</v>
      </c>
      <c r="F11" s="60" t="s">
        <v>38</v>
      </c>
      <c r="G11" s="47">
        <v>1</v>
      </c>
      <c r="H11" s="137">
        <f>IF(B$27=0,0,G11/B$27)</f>
        <v>5.8823529411764705E-2</v>
      </c>
      <c r="I11" s="98">
        <v>1</v>
      </c>
      <c r="N11" s="119" t="s">
        <v>173</v>
      </c>
      <c r="O11" s="129">
        <f>IF(P11=0,0,Q11/P11)</f>
        <v>8.0333333333333332</v>
      </c>
      <c r="P11" s="123">
        <v>3</v>
      </c>
      <c r="Q11" s="111">
        <v>24.1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1</v>
      </c>
      <c r="H12" s="137">
        <f>IF(B$27=0,0,G12/B$27)</f>
        <v>5.8823529411764705E-2</v>
      </c>
      <c r="I12" s="98">
        <v>4</v>
      </c>
      <c r="N12" s="120" t="s">
        <v>174</v>
      </c>
      <c r="O12" s="130">
        <f>IF(P12=0,0,Q12/P12)</f>
        <v>-4.0750000000000002</v>
      </c>
      <c r="P12" s="124">
        <v>4</v>
      </c>
      <c r="Q12" s="112">
        <v>-16.3</v>
      </c>
    </row>
    <row r="13" spans="1:17" x14ac:dyDescent="0.4">
      <c r="A13" s="58" t="s">
        <v>126</v>
      </c>
      <c r="B13" s="50">
        <v>11</v>
      </c>
      <c r="C13" s="44">
        <f>IF(B$26=0,0,B13/B$26)</f>
        <v>0.18032786885245902</v>
      </c>
      <c r="E13" s="63" t="s">
        <v>89</v>
      </c>
      <c r="F13" s="60" t="s">
        <v>43</v>
      </c>
      <c r="G13" s="47">
        <v>1</v>
      </c>
      <c r="H13" s="137">
        <f>IF(B$27=0,0,G13/B$27)</f>
        <v>5.8823529411764705E-2</v>
      </c>
      <c r="I13" s="98">
        <v>5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21</v>
      </c>
      <c r="C14" s="39">
        <f>IF(B$26=0,0,B14/B$26)</f>
        <v>0.34426229508196721</v>
      </c>
      <c r="E14" s="63" t="s">
        <v>72</v>
      </c>
      <c r="F14" s="60" t="s">
        <v>26</v>
      </c>
      <c r="G14" s="47">
        <v>0</v>
      </c>
      <c r="H14" s="137">
        <f>IF(B$27=0,0,G14/B$27)</f>
        <v>0</v>
      </c>
      <c r="I14" s="98">
        <v>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7</v>
      </c>
      <c r="C15" s="37">
        <f>IF(B$13=0,0,B15/B$13)</f>
        <v>0.63636363636363635</v>
      </c>
      <c r="E15" s="63" t="s">
        <v>73</v>
      </c>
      <c r="F15" s="60" t="s">
        <v>27</v>
      </c>
      <c r="G15" s="47">
        <v>0</v>
      </c>
      <c r="H15" s="137">
        <f>IF(B$27=0,0,G15/B$27)</f>
        <v>0</v>
      </c>
      <c r="I15" s="98">
        <v>8</v>
      </c>
      <c r="N15" s="118" t="s">
        <v>133</v>
      </c>
      <c r="O15" s="128">
        <f>IF(P15=0,0,Q15/P15)</f>
        <v>67.8</v>
      </c>
      <c r="P15" s="122">
        <v>1</v>
      </c>
      <c r="Q15" s="110">
        <v>67.8</v>
      </c>
    </row>
    <row r="16" spans="1:17" x14ac:dyDescent="0.4">
      <c r="A16" s="54" t="s">
        <v>129</v>
      </c>
      <c r="B16" s="46">
        <v>7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3</v>
      </c>
      <c r="N16" s="119" t="s">
        <v>181</v>
      </c>
      <c r="O16" s="129">
        <f>IF(P16=0,0,Q16/P16)</f>
        <v>5.9</v>
      </c>
      <c r="P16" s="123">
        <v>2</v>
      </c>
      <c r="Q16" s="111">
        <v>11.8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0.27868852459016391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1</v>
      </c>
      <c r="N17" s="119" t="s">
        <v>179</v>
      </c>
      <c r="O17" s="129">
        <f>IF(P17=0,0,Q17/P17)</f>
        <v>-2.8000000000000003</v>
      </c>
      <c r="P17" s="123">
        <v>6</v>
      </c>
      <c r="Q17" s="111">
        <v>-16.8</v>
      </c>
    </row>
    <row r="18" spans="1:17" x14ac:dyDescent="0.4">
      <c r="A18" s="55" t="s">
        <v>12</v>
      </c>
      <c r="B18" s="47">
        <v>6</v>
      </c>
      <c r="C18" s="39">
        <f>IF(B$17=0,0,B18/B$17)</f>
        <v>0.35294117647058826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131</v>
      </c>
      <c r="O18" s="129">
        <f>IF(P18=0,0,Q18/P18)</f>
        <v>-13.3</v>
      </c>
      <c r="P18" s="123">
        <v>4</v>
      </c>
      <c r="Q18" s="111">
        <v>-53.2</v>
      </c>
    </row>
    <row r="19" spans="1:17" x14ac:dyDescent="0.4">
      <c r="A19" s="55" t="s">
        <v>11</v>
      </c>
      <c r="B19" s="47">
        <v>11</v>
      </c>
      <c r="C19" s="39">
        <f>IF(B$17=0,0,B19/B$17)</f>
        <v>0.6470588235294118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132</v>
      </c>
      <c r="O19" s="129">
        <f>IF(P19=0,0,Q19/P19)</f>
        <v>-32.700000000000003</v>
      </c>
      <c r="P19" s="123">
        <v>3</v>
      </c>
      <c r="Q19" s="111">
        <v>-98.100000000000009</v>
      </c>
    </row>
    <row r="20" spans="1:17" x14ac:dyDescent="0.4">
      <c r="A20" s="55" t="s">
        <v>13</v>
      </c>
      <c r="B20" s="47">
        <v>10</v>
      </c>
      <c r="C20" s="39">
        <f>IF(B$3=0,0,B20/B$3)</f>
        <v>0.16393442622950818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5858.8235294117649</v>
      </c>
      <c r="C21" s="41">
        <v>99600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-7190</v>
      </c>
      <c r="C22" s="45">
        <v>-71900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3</v>
      </c>
    </row>
    <row r="23" spans="1:17" x14ac:dyDescent="0.4">
      <c r="A23" s="94" t="s">
        <v>146</v>
      </c>
      <c r="B23" s="143">
        <v>3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48100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61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17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4DE0F-0005-41F2-813F-D7E1A5A725C7}">
  <sheetPr codeName="Sheet1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181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12</v>
      </c>
      <c r="C2" s="148"/>
      <c r="E2" s="62" t="s">
        <v>68</v>
      </c>
      <c r="F2" s="59" t="s">
        <v>23</v>
      </c>
      <c r="G2" s="46">
        <v>25</v>
      </c>
      <c r="H2" s="136">
        <f>IF(B$27=0,0,G2/B$27)</f>
        <v>0.83333333333333337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-3433.3333333333335</v>
      </c>
      <c r="P2" s="122">
        <v>12</v>
      </c>
      <c r="Q2" s="106">
        <v>-41200</v>
      </c>
    </row>
    <row r="3" spans="1:17" x14ac:dyDescent="0.4">
      <c r="A3" s="55" t="s">
        <v>8</v>
      </c>
      <c r="B3" s="153">
        <v>113</v>
      </c>
      <c r="C3" s="154"/>
      <c r="E3" s="63" t="s">
        <v>74</v>
      </c>
      <c r="F3" s="60" t="s">
        <v>28</v>
      </c>
      <c r="G3" s="47">
        <v>15</v>
      </c>
      <c r="H3" s="137">
        <f>IF(B$27=0,0,G3/B$27)</f>
        <v>0.5</v>
      </c>
      <c r="I3" s="98">
        <v>7</v>
      </c>
      <c r="K3" s="38">
        <v>1</v>
      </c>
      <c r="L3" s="103">
        <v>-82.6</v>
      </c>
      <c r="N3" s="119" t="s">
        <v>137</v>
      </c>
      <c r="O3" s="126">
        <f t="shared" si="0"/>
        <v>-3808.3333333333335</v>
      </c>
      <c r="P3" s="123">
        <v>12</v>
      </c>
      <c r="Q3" s="107">
        <v>-45700</v>
      </c>
    </row>
    <row r="4" spans="1:17" x14ac:dyDescent="0.4">
      <c r="A4" s="55" t="s">
        <v>6</v>
      </c>
      <c r="B4" s="155">
        <v>-289.59999999999997</v>
      </c>
      <c r="C4" s="156"/>
      <c r="E4" s="63" t="s">
        <v>70</v>
      </c>
      <c r="F4" s="60" t="s">
        <v>12</v>
      </c>
      <c r="G4" s="47">
        <v>12</v>
      </c>
      <c r="H4" s="137">
        <f>IF(B$27=0,0,G4/B$27)</f>
        <v>0.4</v>
      </c>
      <c r="I4" s="98">
        <v>1</v>
      </c>
      <c r="K4" s="38">
        <v>2</v>
      </c>
      <c r="L4" s="103">
        <v>-122.3</v>
      </c>
      <c r="N4" s="119" t="s">
        <v>138</v>
      </c>
      <c r="O4" s="126">
        <f t="shared" si="0"/>
        <v>272.72727272727275</v>
      </c>
      <c r="P4" s="123">
        <v>11</v>
      </c>
      <c r="Q4" s="107">
        <v>3000</v>
      </c>
    </row>
    <row r="5" spans="1:17" x14ac:dyDescent="0.4">
      <c r="A5" s="55" t="s">
        <v>7</v>
      </c>
      <c r="B5" s="157">
        <f>IF(B$2=0,0,B$4/B$2)</f>
        <v>-24.133333333333329</v>
      </c>
      <c r="C5" s="158"/>
      <c r="E5" s="63" t="s">
        <v>66</v>
      </c>
      <c r="F5" s="60" t="s">
        <v>21</v>
      </c>
      <c r="G5" s="47">
        <v>9</v>
      </c>
      <c r="H5" s="137">
        <f>IF(B$27=0,0,G5/B$27)</f>
        <v>0.3</v>
      </c>
      <c r="I5" s="98">
        <v>10</v>
      </c>
      <c r="K5" s="38">
        <v>3</v>
      </c>
      <c r="L5" s="103">
        <v>-149</v>
      </c>
      <c r="N5" s="119" t="s">
        <v>139</v>
      </c>
      <c r="O5" s="126">
        <f t="shared" si="0"/>
        <v>-6430</v>
      </c>
      <c r="P5" s="123">
        <v>10</v>
      </c>
      <c r="Q5" s="107">
        <v>-64300</v>
      </c>
    </row>
    <row r="6" spans="1:17" x14ac:dyDescent="0.4">
      <c r="A6" s="55" t="s">
        <v>1</v>
      </c>
      <c r="B6" s="145">
        <f>IF(B$2=0,0,(B$7*1+B$8*2+B$9*3)/B$2)</f>
        <v>2.4166666666666665</v>
      </c>
      <c r="C6" s="146"/>
      <c r="E6" s="63" t="s">
        <v>189</v>
      </c>
      <c r="F6" s="60" t="s">
        <v>190</v>
      </c>
      <c r="G6" s="47">
        <v>7</v>
      </c>
      <c r="H6" s="137">
        <f>IF(B$27=0,0,G6/B$27)</f>
        <v>0.23333333333333334</v>
      </c>
      <c r="I6" s="98">
        <v>9</v>
      </c>
      <c r="K6" s="38">
        <v>4</v>
      </c>
      <c r="L6" s="103">
        <v>-150.6</v>
      </c>
      <c r="N6" s="119" t="s">
        <v>140</v>
      </c>
      <c r="O6" s="126">
        <f t="shared" si="0"/>
        <v>-3900</v>
      </c>
      <c r="P6" s="123">
        <v>9</v>
      </c>
      <c r="Q6" s="107">
        <v>-35100</v>
      </c>
    </row>
    <row r="7" spans="1:17" x14ac:dyDescent="0.4">
      <c r="A7" s="55" t="s">
        <v>2</v>
      </c>
      <c r="B7" s="47">
        <v>1</v>
      </c>
      <c r="C7" s="39">
        <f>IF(B$2=0,0,B7/B$2)</f>
        <v>8.3333333333333329E-2</v>
      </c>
      <c r="E7" s="63" t="s">
        <v>92</v>
      </c>
      <c r="F7" s="60" t="s">
        <v>46</v>
      </c>
      <c r="G7" s="47">
        <v>5</v>
      </c>
      <c r="H7" s="137">
        <f>IF(B$27=0,0,G7/B$27)</f>
        <v>0.16666666666666666</v>
      </c>
      <c r="I7" s="98">
        <v>5</v>
      </c>
      <c r="K7" s="38">
        <v>5</v>
      </c>
      <c r="L7" s="103">
        <v>-184.89999999999998</v>
      </c>
      <c r="N7" s="120" t="s">
        <v>141</v>
      </c>
      <c r="O7" s="127">
        <f t="shared" si="0"/>
        <v>-787.5</v>
      </c>
      <c r="P7" s="124">
        <v>8</v>
      </c>
      <c r="Q7" s="108">
        <v>-6300</v>
      </c>
    </row>
    <row r="8" spans="1:17" x14ac:dyDescent="0.4">
      <c r="A8" s="55" t="s">
        <v>3</v>
      </c>
      <c r="B8" s="47">
        <v>5</v>
      </c>
      <c r="C8" s="39">
        <f>IF(B$2=0,0,B8/B$2)</f>
        <v>0.41666666666666669</v>
      </c>
      <c r="E8" s="63" t="s">
        <v>72</v>
      </c>
      <c r="F8" s="60" t="s">
        <v>26</v>
      </c>
      <c r="G8" s="47">
        <v>4</v>
      </c>
      <c r="H8" s="137">
        <f>IF(B$27=0,0,G8/B$27)</f>
        <v>0.13333333333333333</v>
      </c>
      <c r="I8" s="98">
        <v>2</v>
      </c>
      <c r="K8" s="38">
        <v>6</v>
      </c>
      <c r="L8" s="103">
        <v>-187.59999999999997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71</v>
      </c>
      <c r="F9" s="60" t="s">
        <v>25</v>
      </c>
      <c r="G9" s="47">
        <v>3</v>
      </c>
      <c r="H9" s="137">
        <f>IF(B$27=0,0,G9/B$27)</f>
        <v>0.1</v>
      </c>
      <c r="I9" s="98">
        <v>8</v>
      </c>
      <c r="K9" s="38">
        <v>7</v>
      </c>
      <c r="L9" s="103">
        <v>-216.09999999999997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27</v>
      </c>
      <c r="G10" s="47">
        <v>3</v>
      </c>
      <c r="H10" s="137">
        <f>IF(B$27=0,0,G10/B$27)</f>
        <v>0.1</v>
      </c>
      <c r="I10" s="98">
        <v>4</v>
      </c>
      <c r="K10" s="38">
        <v>8</v>
      </c>
      <c r="L10" s="103">
        <v>-219.59999999999997</v>
      </c>
      <c r="N10" s="118" t="s">
        <v>172</v>
      </c>
      <c r="O10" s="128">
        <f>IF(P10=0,0,Q10/P10)</f>
        <v>-9.8500000000000014</v>
      </c>
      <c r="P10" s="122">
        <v>4</v>
      </c>
      <c r="Q10" s="110">
        <v>-39.400000000000006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69</v>
      </c>
      <c r="F11" s="60" t="s">
        <v>24</v>
      </c>
      <c r="G11" s="47">
        <v>2</v>
      </c>
      <c r="H11" s="137">
        <f>IF(B$27=0,0,G11/B$27)</f>
        <v>6.6666666666666666E-2</v>
      </c>
      <c r="I11" s="98">
        <v>9</v>
      </c>
      <c r="K11" s="38">
        <v>9</v>
      </c>
      <c r="L11" s="103">
        <v>-260.59999999999997</v>
      </c>
      <c r="N11" s="119" t="s">
        <v>173</v>
      </c>
      <c r="O11" s="129">
        <f>IF(P11=0,0,Q11/P11)</f>
        <v>-27.349999999999998</v>
      </c>
      <c r="P11" s="123">
        <v>6</v>
      </c>
      <c r="Q11" s="111">
        <v>-164.1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2</v>
      </c>
      <c r="H12" s="137">
        <f>IF(B$27=0,0,G12/B$27)</f>
        <v>6.6666666666666666E-2</v>
      </c>
      <c r="I12" s="98">
        <v>3</v>
      </c>
      <c r="K12" s="38">
        <v>10</v>
      </c>
      <c r="L12" s="103">
        <v>-318.39999999999998</v>
      </c>
      <c r="N12" s="120" t="s">
        <v>174</v>
      </c>
      <c r="O12" s="130">
        <f>IF(P12=0,0,Q12/P12)</f>
        <v>-43.05</v>
      </c>
      <c r="P12" s="124">
        <v>2</v>
      </c>
      <c r="Q12" s="112">
        <v>-86.1</v>
      </c>
    </row>
    <row r="13" spans="1:17" x14ac:dyDescent="0.4">
      <c r="A13" s="58" t="s">
        <v>126</v>
      </c>
      <c r="B13" s="50">
        <v>18</v>
      </c>
      <c r="C13" s="44">
        <f>IF(B$26=0,0,B13/B$26)</f>
        <v>0.17475728155339806</v>
      </c>
      <c r="E13" s="63" t="s">
        <v>81</v>
      </c>
      <c r="F13" s="60" t="s">
        <v>35</v>
      </c>
      <c r="G13" s="47">
        <v>1</v>
      </c>
      <c r="H13" s="137">
        <f>IF(B$27=0,0,G13/B$27)</f>
        <v>3.3333333333333333E-2</v>
      </c>
      <c r="I13" s="98">
        <v>1</v>
      </c>
      <c r="K13" s="38">
        <v>11</v>
      </c>
      <c r="L13" s="103">
        <v>-325.39999999999998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26</v>
      </c>
      <c r="C14" s="39">
        <f>IF(B$26=0,0,B14/B$26)</f>
        <v>0.25242718446601942</v>
      </c>
      <c r="E14" s="63" t="s">
        <v>89</v>
      </c>
      <c r="F14" s="60" t="s">
        <v>43</v>
      </c>
      <c r="G14" s="47">
        <v>1</v>
      </c>
      <c r="H14" s="137">
        <f>IF(B$27=0,0,G14/B$27)</f>
        <v>3.3333333333333333E-2</v>
      </c>
      <c r="I14" s="98">
        <v>8</v>
      </c>
      <c r="K14" s="38">
        <v>12</v>
      </c>
      <c r="L14" s="103">
        <v>-289.59999999999997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9</v>
      </c>
      <c r="C15" s="37">
        <f>IF(B$13=0,0,B15/B$13)</f>
        <v>0.5</v>
      </c>
      <c r="E15" s="63" t="s">
        <v>67</v>
      </c>
      <c r="F15" s="60" t="s">
        <v>22</v>
      </c>
      <c r="G15" s="47">
        <v>0</v>
      </c>
      <c r="H15" s="137">
        <f>IF(B$27=0,0,G15/B$27)</f>
        <v>0</v>
      </c>
      <c r="I15" s="98">
        <v>8</v>
      </c>
      <c r="N15" s="118" t="s">
        <v>133</v>
      </c>
      <c r="O15" s="128">
        <f>IF(P15=0,0,Q15/P15)</f>
        <v>13.16666666666667</v>
      </c>
      <c r="P15" s="122">
        <v>3</v>
      </c>
      <c r="Q15" s="110">
        <v>39.500000000000007</v>
      </c>
    </row>
    <row r="16" spans="1:17" x14ac:dyDescent="0.4">
      <c r="A16" s="54" t="s">
        <v>129</v>
      </c>
      <c r="B16" s="46">
        <v>10</v>
      </c>
      <c r="C16" s="37">
        <f>IF(B$14=0,0,B16/B$14)</f>
        <v>0.38461538461538464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3</v>
      </c>
      <c r="N16" s="119" t="s">
        <v>180</v>
      </c>
      <c r="O16" s="129">
        <f>IF(P16=0,0,Q16/P16)</f>
        <v>-5.9000000000000021</v>
      </c>
      <c r="P16" s="123">
        <v>2</v>
      </c>
      <c r="Q16" s="111">
        <v>-11.800000000000004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0.2831858407079646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1</v>
      </c>
      <c r="N17" s="119" t="s">
        <v>185</v>
      </c>
      <c r="O17" s="129">
        <f>IF(P17=0,0,Q17/P17)</f>
        <v>-17.950000000000003</v>
      </c>
      <c r="P17" s="123">
        <v>2</v>
      </c>
      <c r="Q17" s="111">
        <v>-35.900000000000006</v>
      </c>
    </row>
    <row r="18" spans="1:17" x14ac:dyDescent="0.4">
      <c r="A18" s="55" t="s">
        <v>12</v>
      </c>
      <c r="B18" s="47">
        <v>17</v>
      </c>
      <c r="C18" s="39">
        <f>IF(B$17=0,0,B18/B$17)</f>
        <v>0.53125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179</v>
      </c>
      <c r="O18" s="129">
        <f>IF(P18=0,0,Q18/P18)</f>
        <v>-24.087499999999999</v>
      </c>
      <c r="P18" s="123">
        <v>8</v>
      </c>
      <c r="Q18" s="111">
        <v>-192.7</v>
      </c>
    </row>
    <row r="19" spans="1:17" x14ac:dyDescent="0.4">
      <c r="A19" s="55" t="s">
        <v>11</v>
      </c>
      <c r="B19" s="47">
        <v>15</v>
      </c>
      <c r="C19" s="39">
        <f>IF(B$17=0,0,B19/B$17)</f>
        <v>0.46875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193</v>
      </c>
      <c r="O19" s="129">
        <f>IF(P19=0,0,Q19/P19)</f>
        <v>-45.5</v>
      </c>
      <c r="P19" s="123">
        <v>1</v>
      </c>
      <c r="Q19" s="111">
        <v>-45.5</v>
      </c>
    </row>
    <row r="20" spans="1:17" x14ac:dyDescent="0.4">
      <c r="A20" s="55" t="s">
        <v>13</v>
      </c>
      <c r="B20" s="47">
        <v>28</v>
      </c>
      <c r="C20" s="39">
        <f>IF(B$3=0,0,B20/B$3)</f>
        <v>0.24778761061946902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  <c r="N20" s="119" t="s">
        <v>132</v>
      </c>
      <c r="O20" s="129">
        <f>IF(P20=0,0,Q20/P20)</f>
        <v>-52.48</v>
      </c>
      <c r="P20" s="123">
        <v>5</v>
      </c>
      <c r="Q20" s="111">
        <v>-262.39999999999998</v>
      </c>
    </row>
    <row r="21" spans="1:17" x14ac:dyDescent="0.4">
      <c r="A21" s="55" t="s">
        <v>5</v>
      </c>
      <c r="B21" s="51">
        <f>IF(B$17=0,0,C21/B$17)</f>
        <v>5150</v>
      </c>
      <c r="C21" s="41">
        <v>164800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  <c r="N21" s="119" t="s">
        <v>131</v>
      </c>
      <c r="O21" s="129">
        <f>IF(P21=0,0,Q21/P21)</f>
        <v>-119.99999999999999</v>
      </c>
      <c r="P21" s="123">
        <v>3</v>
      </c>
      <c r="Q21" s="111">
        <v>-359.99999999999994</v>
      </c>
    </row>
    <row r="22" spans="1:17" x14ac:dyDescent="0.4">
      <c r="A22" s="57" t="s">
        <v>14</v>
      </c>
      <c r="B22" s="52">
        <f>IF(B$20=0,0,C22/B$20)</f>
        <v>-8521.4285714285706</v>
      </c>
      <c r="C22" s="45">
        <v>-238600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6</v>
      </c>
      <c r="C23" s="144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50800</v>
      </c>
      <c r="C24" s="142"/>
      <c r="E24" s="63" t="s">
        <v>84</v>
      </c>
      <c r="F24" s="60" t="s">
        <v>38</v>
      </c>
      <c r="G24" s="47">
        <v>0</v>
      </c>
      <c r="H24" s="137">
        <f>IF(B$27=0,0,G24/B$27)</f>
        <v>0</v>
      </c>
      <c r="I24" s="98">
        <v>6</v>
      </c>
    </row>
    <row r="25" spans="1:17" x14ac:dyDescent="0.4">
      <c r="A25" s="57" t="s">
        <v>147</v>
      </c>
      <c r="B25" s="65">
        <v>1</v>
      </c>
      <c r="C25" s="42">
        <f>IF(B$3=0,0,B25/B$3)</f>
        <v>8.8495575221238937E-3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103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30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3680-DD44-46AC-A39D-1880648AC58F}">
  <sheetPr codeName="Sheet1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185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6</v>
      </c>
      <c r="C2" s="148"/>
      <c r="E2" s="62" t="s">
        <v>66</v>
      </c>
      <c r="F2" s="59" t="s">
        <v>21</v>
      </c>
      <c r="G2" s="46">
        <v>8</v>
      </c>
      <c r="H2" s="136">
        <f>IF(B$27=0,0,G2/B$27)</f>
        <v>0.5714285714285714</v>
      </c>
      <c r="I2" s="97">
        <v>3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-1133.3333333333333</v>
      </c>
      <c r="P2" s="122">
        <v>6</v>
      </c>
      <c r="Q2" s="106">
        <v>-6800</v>
      </c>
    </row>
    <row r="3" spans="1:17" x14ac:dyDescent="0.4">
      <c r="A3" s="55" t="s">
        <v>8</v>
      </c>
      <c r="B3" s="153">
        <v>45</v>
      </c>
      <c r="C3" s="154"/>
      <c r="E3" s="63" t="s">
        <v>74</v>
      </c>
      <c r="F3" s="60" t="s">
        <v>28</v>
      </c>
      <c r="G3" s="47">
        <v>7</v>
      </c>
      <c r="H3" s="137">
        <f>IF(B$27=0,0,G3/B$27)</f>
        <v>0.5</v>
      </c>
      <c r="I3" s="98">
        <v>7</v>
      </c>
      <c r="K3" s="38">
        <v>1</v>
      </c>
      <c r="L3" s="103">
        <v>-1.9</v>
      </c>
      <c r="N3" s="119" t="s">
        <v>137</v>
      </c>
      <c r="O3" s="126">
        <f t="shared" si="0"/>
        <v>-2716.6666666666665</v>
      </c>
      <c r="P3" s="123">
        <v>6</v>
      </c>
      <c r="Q3" s="107">
        <v>-16300</v>
      </c>
    </row>
    <row r="4" spans="1:17" x14ac:dyDescent="0.4">
      <c r="A4" s="55" t="s">
        <v>6</v>
      </c>
      <c r="B4" s="155">
        <v>3.8999999999999986</v>
      </c>
      <c r="C4" s="156"/>
      <c r="E4" s="63" t="s">
        <v>68</v>
      </c>
      <c r="F4" s="60" t="s">
        <v>23</v>
      </c>
      <c r="G4" s="47">
        <v>5</v>
      </c>
      <c r="H4" s="137">
        <f>IF(B$27=0,0,G4/B$27)</f>
        <v>0.35714285714285715</v>
      </c>
      <c r="I4" s="98">
        <v>10</v>
      </c>
      <c r="K4" s="38">
        <v>2</v>
      </c>
      <c r="L4" s="103">
        <v>30</v>
      </c>
      <c r="N4" s="119" t="s">
        <v>138</v>
      </c>
      <c r="O4" s="126">
        <f t="shared" si="0"/>
        <v>2133.3333333333335</v>
      </c>
      <c r="P4" s="123">
        <v>6</v>
      </c>
      <c r="Q4" s="107">
        <v>12800</v>
      </c>
    </row>
    <row r="5" spans="1:17" x14ac:dyDescent="0.4">
      <c r="A5" s="55" t="s">
        <v>7</v>
      </c>
      <c r="B5" s="157">
        <f>IF(B$2=0,0,B$4/B$2)</f>
        <v>0.6499999999999998</v>
      </c>
      <c r="C5" s="158"/>
      <c r="E5" s="63" t="s">
        <v>69</v>
      </c>
      <c r="F5" s="60" t="s">
        <v>24</v>
      </c>
      <c r="G5" s="47">
        <v>3</v>
      </c>
      <c r="H5" s="137">
        <f>IF(B$27=0,0,G5/B$27)</f>
        <v>0.21428571428571427</v>
      </c>
      <c r="I5" s="98">
        <v>7</v>
      </c>
      <c r="K5" s="38">
        <v>3</v>
      </c>
      <c r="L5" s="103">
        <v>-10</v>
      </c>
      <c r="N5" s="119" t="s">
        <v>139</v>
      </c>
      <c r="O5" s="126">
        <f t="shared" si="0"/>
        <v>483.33333333333331</v>
      </c>
      <c r="P5" s="123">
        <v>6</v>
      </c>
      <c r="Q5" s="107">
        <v>2900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70</v>
      </c>
      <c r="F6" s="60" t="s">
        <v>12</v>
      </c>
      <c r="G6" s="47">
        <v>3</v>
      </c>
      <c r="H6" s="137">
        <f>IF(B$27=0,0,G6/B$27)</f>
        <v>0.21428571428571427</v>
      </c>
      <c r="I6" s="98">
        <v>5</v>
      </c>
      <c r="K6" s="38">
        <v>4</v>
      </c>
      <c r="L6" s="103">
        <v>40</v>
      </c>
      <c r="N6" s="119" t="s">
        <v>140</v>
      </c>
      <c r="O6" s="126">
        <f t="shared" si="0"/>
        <v>-2366.6666666666665</v>
      </c>
      <c r="P6" s="123">
        <v>6</v>
      </c>
      <c r="Q6" s="107">
        <v>-14200</v>
      </c>
    </row>
    <row r="7" spans="1:17" x14ac:dyDescent="0.4">
      <c r="A7" s="55" t="s">
        <v>2</v>
      </c>
      <c r="B7" s="47">
        <v>2</v>
      </c>
      <c r="C7" s="39">
        <f>IF(B$2=0,0,B7/B$2)</f>
        <v>0.33333333333333331</v>
      </c>
      <c r="E7" s="63" t="s">
        <v>189</v>
      </c>
      <c r="F7" s="60" t="s">
        <v>190</v>
      </c>
      <c r="G7" s="47">
        <v>3</v>
      </c>
      <c r="H7" s="137">
        <f>IF(B$27=0,0,G7/B$27)</f>
        <v>0.21428571428571427</v>
      </c>
      <c r="I7" s="98">
        <v>10</v>
      </c>
      <c r="K7" s="38">
        <v>5</v>
      </c>
      <c r="L7" s="103">
        <v>35.4</v>
      </c>
      <c r="N7" s="120" t="s">
        <v>141</v>
      </c>
      <c r="O7" s="127">
        <f t="shared" si="0"/>
        <v>4250</v>
      </c>
      <c r="P7" s="124">
        <v>6</v>
      </c>
      <c r="Q7" s="108">
        <v>25500</v>
      </c>
    </row>
    <row r="8" spans="1:17" x14ac:dyDescent="0.4">
      <c r="A8" s="55" t="s">
        <v>3</v>
      </c>
      <c r="B8" s="47">
        <v>2</v>
      </c>
      <c r="C8" s="39">
        <f>IF(B$2=0,0,B8/B$2)</f>
        <v>0.33333333333333331</v>
      </c>
      <c r="E8" s="63" t="s">
        <v>67</v>
      </c>
      <c r="F8" s="60" t="s">
        <v>22</v>
      </c>
      <c r="G8" s="47">
        <v>2</v>
      </c>
      <c r="H8" s="137">
        <f>IF(B$27=0,0,G8/B$27)</f>
        <v>0.14285714285714285</v>
      </c>
      <c r="I8" s="98">
        <v>2</v>
      </c>
      <c r="K8" s="38">
        <v>6</v>
      </c>
      <c r="L8" s="103">
        <v>3.8999999999999986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71</v>
      </c>
      <c r="F9" s="60" t="s">
        <v>25</v>
      </c>
      <c r="G9" s="47">
        <v>2</v>
      </c>
      <c r="H9" s="137">
        <f>IF(B$27=0,0,G9/B$27)</f>
        <v>0.14285714285714285</v>
      </c>
      <c r="I9" s="98">
        <v>7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92</v>
      </c>
      <c r="F10" s="60" t="s">
        <v>46</v>
      </c>
      <c r="G10" s="47">
        <v>2</v>
      </c>
      <c r="H10" s="137">
        <f>IF(B$27=0,0,G10/B$27)</f>
        <v>0.14285714285714285</v>
      </c>
      <c r="I10" s="98">
        <v>8</v>
      </c>
      <c r="N10" s="118" t="s">
        <v>172</v>
      </c>
      <c r="O10" s="128">
        <f>IF(P10=0,0,Q10/P10)</f>
        <v>-1.9</v>
      </c>
      <c r="P10" s="122">
        <v>1</v>
      </c>
      <c r="Q10" s="110">
        <v>-1.9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7">
        <f>IF(B$27=0,0,G11/B$27)</f>
        <v>7.1428571428571425E-2</v>
      </c>
      <c r="I11" s="98">
        <v>1</v>
      </c>
      <c r="N11" s="119" t="s">
        <v>173</v>
      </c>
      <c r="O11" s="129">
        <f>IF(P11=0,0,Q11/P11)</f>
        <v>-25.366666666666664</v>
      </c>
      <c r="P11" s="123">
        <v>3</v>
      </c>
      <c r="Q11" s="111">
        <v>-76.099999999999994</v>
      </c>
    </row>
    <row r="12" spans="1:17" x14ac:dyDescent="0.4">
      <c r="A12" s="57" t="s">
        <v>165</v>
      </c>
      <c r="B12" s="49">
        <v>1</v>
      </c>
      <c r="C12" s="42">
        <f>IF(B$2=0,0,B12/B$2)</f>
        <v>0.16666666666666666</v>
      </c>
      <c r="E12" s="63" t="s">
        <v>86</v>
      </c>
      <c r="F12" s="60" t="s">
        <v>40</v>
      </c>
      <c r="G12" s="47">
        <v>1</v>
      </c>
      <c r="H12" s="137">
        <f>IF(B$27=0,0,G12/B$27)</f>
        <v>7.1428571428571425E-2</v>
      </c>
      <c r="I12" s="98">
        <v>2</v>
      </c>
      <c r="N12" s="120" t="s">
        <v>174</v>
      </c>
      <c r="O12" s="130">
        <f>IF(P12=0,0,Q12/P12)</f>
        <v>40.950000000000003</v>
      </c>
      <c r="P12" s="124">
        <v>2</v>
      </c>
      <c r="Q12" s="112">
        <v>81.900000000000006</v>
      </c>
    </row>
    <row r="13" spans="1:17" x14ac:dyDescent="0.4">
      <c r="A13" s="58" t="s">
        <v>126</v>
      </c>
      <c r="B13" s="50">
        <v>12</v>
      </c>
      <c r="C13" s="44">
        <f>IF(B$26=0,0,B13/B$26)</f>
        <v>0.26666666666666666</v>
      </c>
      <c r="E13" s="63" t="s">
        <v>88</v>
      </c>
      <c r="F13" s="60" t="s">
        <v>42</v>
      </c>
      <c r="G13" s="47">
        <v>1</v>
      </c>
      <c r="H13" s="137">
        <f>IF(B$27=0,0,G13/B$27)</f>
        <v>7.1428571428571425E-2</v>
      </c>
      <c r="I13" s="98">
        <v>1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12</v>
      </c>
      <c r="C14" s="39">
        <f>IF(B$26=0,0,B14/B$26)</f>
        <v>0.26666666666666666</v>
      </c>
      <c r="E14" s="63" t="s">
        <v>94</v>
      </c>
      <c r="F14" s="60" t="s">
        <v>48</v>
      </c>
      <c r="G14" s="47">
        <v>1</v>
      </c>
      <c r="H14" s="137">
        <f>IF(B$27=0,0,G14/B$27)</f>
        <v>7.1428571428571425E-2</v>
      </c>
      <c r="I14" s="98">
        <v>1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8</v>
      </c>
      <c r="C15" s="37">
        <f>IF(B$13=0,0,B15/B$13)</f>
        <v>0.66666666666666663</v>
      </c>
      <c r="E15" s="63" t="s">
        <v>72</v>
      </c>
      <c r="F15" s="60" t="s">
        <v>26</v>
      </c>
      <c r="G15" s="47">
        <v>0</v>
      </c>
      <c r="H15" s="137">
        <f>IF(B$27=0,0,G15/B$27)</f>
        <v>0</v>
      </c>
      <c r="I15" s="98">
        <v>7</v>
      </c>
      <c r="N15" s="118" t="s">
        <v>194</v>
      </c>
      <c r="O15" s="128">
        <f>IF(P15=0,0,Q15/P15)</f>
        <v>60.800000000000004</v>
      </c>
      <c r="P15" s="122">
        <v>2</v>
      </c>
      <c r="Q15" s="110">
        <v>121.60000000000001</v>
      </c>
    </row>
    <row r="16" spans="1:17" x14ac:dyDescent="0.4">
      <c r="A16" s="54" t="s">
        <v>129</v>
      </c>
      <c r="B16" s="46">
        <v>4</v>
      </c>
      <c r="C16" s="37">
        <f>IF(B$14=0,0,B16/B$14)</f>
        <v>0.33333333333333331</v>
      </c>
      <c r="E16" s="63" t="s">
        <v>73</v>
      </c>
      <c r="F16" s="60" t="s">
        <v>27</v>
      </c>
      <c r="G16" s="47">
        <v>0</v>
      </c>
      <c r="H16" s="137">
        <f>IF(B$27=0,0,G16/B$27)</f>
        <v>0</v>
      </c>
      <c r="I16" s="98">
        <v>8</v>
      </c>
      <c r="N16" s="119" t="s">
        <v>132</v>
      </c>
      <c r="O16" s="129">
        <f>IF(P16=0,0,Q16/P16)</f>
        <v>40.333333333333336</v>
      </c>
      <c r="P16" s="123">
        <v>3</v>
      </c>
      <c r="Q16" s="111">
        <v>121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0.31111111111111112</v>
      </c>
      <c r="E17" s="63" t="s">
        <v>75</v>
      </c>
      <c r="F17" s="60" t="s">
        <v>29</v>
      </c>
      <c r="G17" s="47">
        <v>0</v>
      </c>
      <c r="H17" s="137">
        <f>IF(B$27=0,0,G17/B$27)</f>
        <v>0</v>
      </c>
      <c r="I17" s="98">
        <v>3</v>
      </c>
      <c r="N17" s="119" t="s">
        <v>181</v>
      </c>
      <c r="O17" s="129">
        <f>IF(P17=0,0,Q17/P17)</f>
        <v>17.95</v>
      </c>
      <c r="P17" s="123">
        <v>2</v>
      </c>
      <c r="Q17" s="111">
        <v>35.9</v>
      </c>
    </row>
    <row r="18" spans="1:17" x14ac:dyDescent="0.4">
      <c r="A18" s="55" t="s">
        <v>12</v>
      </c>
      <c r="B18" s="47">
        <v>4</v>
      </c>
      <c r="C18" s="39">
        <f>IF(B$17=0,0,B18/B$17)</f>
        <v>0.2857142857142857</v>
      </c>
      <c r="E18" s="63" t="s">
        <v>76</v>
      </c>
      <c r="F18" s="60" t="s">
        <v>30</v>
      </c>
      <c r="G18" s="47">
        <v>0</v>
      </c>
      <c r="H18" s="137">
        <f>IF(B$27=0,0,G18/B$27)</f>
        <v>0</v>
      </c>
      <c r="I18" s="98">
        <v>1</v>
      </c>
      <c r="N18" s="119" t="s">
        <v>179</v>
      </c>
      <c r="O18" s="129">
        <f>IF(P18=0,0,Q18/P18)</f>
        <v>-35.1</v>
      </c>
      <c r="P18" s="123">
        <v>1</v>
      </c>
      <c r="Q18" s="111">
        <v>-35.1</v>
      </c>
    </row>
    <row r="19" spans="1:17" x14ac:dyDescent="0.4">
      <c r="A19" s="55" t="s">
        <v>11</v>
      </c>
      <c r="B19" s="47">
        <v>10</v>
      </c>
      <c r="C19" s="39">
        <f>IF(B$17=0,0,B19/B$17)</f>
        <v>0.7142857142857143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193</v>
      </c>
      <c r="O19" s="129">
        <f>IF(P19=0,0,Q19/P19)</f>
        <v>-45.699999999999996</v>
      </c>
      <c r="P19" s="123">
        <v>3</v>
      </c>
      <c r="Q19" s="111">
        <v>-137.1</v>
      </c>
    </row>
    <row r="20" spans="1:17" x14ac:dyDescent="0.4">
      <c r="A20" s="55" t="s">
        <v>13</v>
      </c>
      <c r="B20" s="47">
        <v>9</v>
      </c>
      <c r="C20" s="39">
        <f>IF(B$3=0,0,B20/B$3)</f>
        <v>0.2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  <c r="N20" s="119" t="s">
        <v>131</v>
      </c>
      <c r="O20" s="129">
        <f>IF(P20=0,0,Q20/P20)</f>
        <v>-94.6</v>
      </c>
      <c r="P20" s="123">
        <v>1</v>
      </c>
      <c r="Q20" s="111">
        <v>-94.6</v>
      </c>
    </row>
    <row r="21" spans="1:17" x14ac:dyDescent="0.4">
      <c r="A21" s="55" t="s">
        <v>5</v>
      </c>
      <c r="B21" s="51">
        <f>IF(B$17=0,0,C21/B$17)</f>
        <v>6414.2857142857147</v>
      </c>
      <c r="C21" s="41">
        <v>89800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-5400</v>
      </c>
      <c r="C22" s="45">
        <v>-48600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3</v>
      </c>
    </row>
    <row r="23" spans="1:17" x14ac:dyDescent="0.4">
      <c r="A23" s="94" t="s">
        <v>146</v>
      </c>
      <c r="B23" s="143">
        <v>4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65000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84</v>
      </c>
      <c r="F25" s="60" t="s">
        <v>38</v>
      </c>
      <c r="G25" s="47">
        <v>0</v>
      </c>
      <c r="H25" s="137">
        <f>IF(B$27=0,0,G25/B$27)</f>
        <v>0</v>
      </c>
      <c r="I25" s="98">
        <v>6</v>
      </c>
    </row>
    <row r="26" spans="1:17" x14ac:dyDescent="0.4">
      <c r="A26" s="54" t="s">
        <v>124</v>
      </c>
      <c r="B26" s="147">
        <v>45</v>
      </c>
      <c r="C26" s="148"/>
      <c r="E26" s="63" t="s">
        <v>85</v>
      </c>
      <c r="F26" s="60" t="s">
        <v>39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14</v>
      </c>
      <c r="C27" s="150"/>
      <c r="E27" s="63" t="s">
        <v>87</v>
      </c>
      <c r="F27" s="60" t="s">
        <v>41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IF(B$27=0,0,G28/B$27)</f>
        <v>0</v>
      </c>
      <c r="I28" s="98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9F0D6-E750-484C-A2AB-1EE4DF5438AC}">
  <sheetPr codeName="Sheet2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193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3</v>
      </c>
      <c r="C2" s="148"/>
      <c r="E2" s="62" t="s">
        <v>66</v>
      </c>
      <c r="F2" s="59" t="s">
        <v>21</v>
      </c>
      <c r="G2" s="46">
        <v>3</v>
      </c>
      <c r="H2" s="136">
        <f>IF(B$27=0,0,G2/B$27)</f>
        <v>0.6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3000</v>
      </c>
      <c r="P2" s="122">
        <v>3</v>
      </c>
      <c r="Q2" s="106">
        <v>9000</v>
      </c>
    </row>
    <row r="3" spans="1:17" x14ac:dyDescent="0.4">
      <c r="A3" s="55" t="s">
        <v>8</v>
      </c>
      <c r="B3" s="153">
        <v>19</v>
      </c>
      <c r="C3" s="154"/>
      <c r="E3" s="63" t="s">
        <v>68</v>
      </c>
      <c r="F3" s="60" t="s">
        <v>23</v>
      </c>
      <c r="G3" s="47">
        <v>3</v>
      </c>
      <c r="H3" s="137">
        <f>IF(B$27=0,0,G3/B$27)</f>
        <v>0.6</v>
      </c>
      <c r="I3" s="98">
        <v>7</v>
      </c>
      <c r="K3" s="38">
        <v>1</v>
      </c>
      <c r="L3" s="103">
        <v>-14.6</v>
      </c>
      <c r="N3" s="119" t="s">
        <v>137</v>
      </c>
      <c r="O3" s="126">
        <f t="shared" si="0"/>
        <v>2233.3333333333335</v>
      </c>
      <c r="P3" s="123">
        <v>3</v>
      </c>
      <c r="Q3" s="107">
        <v>6700</v>
      </c>
    </row>
    <row r="4" spans="1:17" x14ac:dyDescent="0.4">
      <c r="A4" s="55" t="s">
        <v>6</v>
      </c>
      <c r="B4" s="155">
        <v>61</v>
      </c>
      <c r="C4" s="156"/>
      <c r="E4" s="63" t="s">
        <v>74</v>
      </c>
      <c r="F4" s="60" t="s">
        <v>28</v>
      </c>
      <c r="G4" s="47">
        <v>3</v>
      </c>
      <c r="H4" s="137">
        <f>IF(B$27=0,0,G4/B$27)</f>
        <v>0.6</v>
      </c>
      <c r="I4" s="98">
        <v>5</v>
      </c>
      <c r="K4" s="38">
        <v>2</v>
      </c>
      <c r="L4" s="103">
        <v>22.5</v>
      </c>
      <c r="N4" s="119" t="s">
        <v>138</v>
      </c>
      <c r="O4" s="126">
        <f t="shared" si="0"/>
        <v>-1000</v>
      </c>
      <c r="P4" s="123">
        <v>3</v>
      </c>
      <c r="Q4" s="107">
        <v>-3000</v>
      </c>
    </row>
    <row r="5" spans="1:17" x14ac:dyDescent="0.4">
      <c r="A5" s="55" t="s">
        <v>7</v>
      </c>
      <c r="B5" s="157">
        <f>IF(B$2=0,0,B$4/B$2)</f>
        <v>20.333333333333332</v>
      </c>
      <c r="C5" s="158"/>
      <c r="E5" s="63" t="s">
        <v>69</v>
      </c>
      <c r="F5" s="60" t="s">
        <v>24</v>
      </c>
      <c r="G5" s="47">
        <v>2</v>
      </c>
      <c r="H5" s="137">
        <f>IF(B$27=0,0,G5/B$27)</f>
        <v>0.4</v>
      </c>
      <c r="I5" s="98">
        <v>2</v>
      </c>
      <c r="K5" s="38">
        <v>3</v>
      </c>
      <c r="L5" s="103">
        <v>61</v>
      </c>
      <c r="N5" s="119" t="s">
        <v>139</v>
      </c>
      <c r="O5" s="126">
        <f t="shared" si="0"/>
        <v>6233.333333333333</v>
      </c>
      <c r="P5" s="123">
        <v>3</v>
      </c>
      <c r="Q5" s="107">
        <v>18700</v>
      </c>
    </row>
    <row r="6" spans="1:17" x14ac:dyDescent="0.4">
      <c r="A6" s="55" t="s">
        <v>1</v>
      </c>
      <c r="B6" s="145">
        <f>IF(B$2=0,0,(B$7*1+B$8*2+B$9*3)/B$2)</f>
        <v>1.3333333333333333</v>
      </c>
      <c r="C6" s="146"/>
      <c r="E6" s="63" t="s">
        <v>92</v>
      </c>
      <c r="F6" s="60" t="s">
        <v>46</v>
      </c>
      <c r="G6" s="47">
        <v>2</v>
      </c>
      <c r="H6" s="137">
        <f>IF(B$27=0,0,G6/B$27)</f>
        <v>0.4</v>
      </c>
      <c r="I6" s="98">
        <v>2</v>
      </c>
      <c r="N6" s="119" t="s">
        <v>140</v>
      </c>
      <c r="O6" s="126">
        <f t="shared" si="0"/>
        <v>100</v>
      </c>
      <c r="P6" s="123">
        <v>3</v>
      </c>
      <c r="Q6" s="107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189</v>
      </c>
      <c r="F7" s="60" t="s">
        <v>190</v>
      </c>
      <c r="G7" s="47">
        <v>2</v>
      </c>
      <c r="H7" s="137">
        <f>IF(B$27=0,0,G7/B$27)</f>
        <v>0.4</v>
      </c>
      <c r="I7" s="98">
        <v>4</v>
      </c>
      <c r="N7" s="120" t="s">
        <v>141</v>
      </c>
      <c r="O7" s="127">
        <f t="shared" si="0"/>
        <v>-3566.6666666666665</v>
      </c>
      <c r="P7" s="124">
        <v>3</v>
      </c>
      <c r="Q7" s="108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7">
        <f>IF(B$27=0,0,G8/B$27)</f>
        <v>0.2</v>
      </c>
      <c r="I8" s="98">
        <v>6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7">
        <f>IF(B$27=0,0,G9/B$27)</f>
        <v>0.2</v>
      </c>
      <c r="I9" s="98">
        <v>5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7">
        <f>IF(B$27=0,0,G10/B$27)</f>
        <v>0.2</v>
      </c>
      <c r="I10" s="98">
        <v>1</v>
      </c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7">
        <f>IF(B$27=0,0,G11/B$27)</f>
        <v>0.2</v>
      </c>
      <c r="I11" s="98">
        <v>1</v>
      </c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7">
        <f>IF(B$27=0,0,G12/B$27)</f>
        <v>0</v>
      </c>
      <c r="I12" s="98">
        <v>8</v>
      </c>
      <c r="N12" s="120" t="s">
        <v>174</v>
      </c>
      <c r="O12" s="130">
        <f>IF(P12=0,0,Q12/P12)</f>
        <v>20.333333333333332</v>
      </c>
      <c r="P12" s="124">
        <v>3</v>
      </c>
      <c r="Q12" s="112">
        <v>61</v>
      </c>
    </row>
    <row r="13" spans="1:17" x14ac:dyDescent="0.4">
      <c r="A13" s="58" t="s">
        <v>126</v>
      </c>
      <c r="B13" s="50">
        <v>5</v>
      </c>
      <c r="C13" s="44">
        <f>IF(B$26=0,0,B13/B$26)</f>
        <v>0.26315789473684209</v>
      </c>
      <c r="E13" s="63" t="s">
        <v>72</v>
      </c>
      <c r="F13" s="60" t="s">
        <v>26</v>
      </c>
      <c r="G13" s="47">
        <v>0</v>
      </c>
      <c r="H13" s="137">
        <f>IF(B$27=0,0,G13/B$27)</f>
        <v>0</v>
      </c>
      <c r="I13" s="98">
        <v>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</v>
      </c>
      <c r="C14" s="39">
        <f>IF(B$26=0,0,B14/B$26)</f>
        <v>0.21052631578947367</v>
      </c>
      <c r="E14" s="63" t="s">
        <v>75</v>
      </c>
      <c r="F14" s="60" t="s">
        <v>29</v>
      </c>
      <c r="G14" s="47">
        <v>0</v>
      </c>
      <c r="H14" s="137">
        <f>IF(B$27=0,0,G14/B$27)</f>
        <v>0</v>
      </c>
      <c r="I14" s="98">
        <v>3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7">
        <f>IF(B$27=0,0,G15/B$27)</f>
        <v>0</v>
      </c>
      <c r="I15" s="98">
        <v>1</v>
      </c>
      <c r="N15" s="118" t="s">
        <v>194</v>
      </c>
      <c r="O15" s="128">
        <f>IF(P15=0,0,Q15/P15)</f>
        <v>69.599999999999994</v>
      </c>
      <c r="P15" s="122">
        <v>1</v>
      </c>
      <c r="Q15" s="110">
        <v>69.599999999999994</v>
      </c>
    </row>
    <row r="16" spans="1:17" x14ac:dyDescent="0.4">
      <c r="A16" s="54" t="s">
        <v>129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7">
        <f>IF(B$27=0,0,G16/B$27)</f>
        <v>0</v>
      </c>
      <c r="I16" s="98">
        <v>5</v>
      </c>
      <c r="N16" s="119" t="s">
        <v>185</v>
      </c>
      <c r="O16" s="129">
        <f>IF(P16=0,0,Q16/P16)</f>
        <v>45.699999999999996</v>
      </c>
      <c r="P16" s="123">
        <v>3</v>
      </c>
      <c r="Q16" s="111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7">
        <f>IF(B$27=0,0,G17/B$27)</f>
        <v>0</v>
      </c>
      <c r="I17" s="98">
        <v>1</v>
      </c>
      <c r="N17" s="119" t="s">
        <v>181</v>
      </c>
      <c r="O17" s="129">
        <f>IF(P17=0,0,Q17/P17)</f>
        <v>45.5</v>
      </c>
      <c r="P17" s="123">
        <v>1</v>
      </c>
      <c r="Q17" s="111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7">
        <f>IF(B$27=0,0,G18/B$27)</f>
        <v>0</v>
      </c>
      <c r="I18" s="98">
        <v>1</v>
      </c>
      <c r="N18" s="119" t="s">
        <v>131</v>
      </c>
      <c r="O18" s="129">
        <f>IF(P18=0,0,Q18/P18)</f>
        <v>-69.2</v>
      </c>
      <c r="P18" s="123">
        <v>1</v>
      </c>
      <c r="Q18" s="111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7">
        <f>IF(B$27=0,0,G19/B$27)</f>
        <v>0</v>
      </c>
      <c r="I19" s="98">
        <v>4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7">
        <f>IF(B$27=0,0,G20/B$27)</f>
        <v>0</v>
      </c>
      <c r="I20" s="98">
        <v>3</v>
      </c>
    </row>
    <row r="21" spans="1:17" x14ac:dyDescent="0.4">
      <c r="A21" s="55" t="s">
        <v>5</v>
      </c>
      <c r="B21" s="51">
        <f>IF(B$17=0,0,C21/B$17)</f>
        <v>7860</v>
      </c>
      <c r="C21" s="41">
        <v>39300</v>
      </c>
      <c r="E21" s="63" t="s">
        <v>82</v>
      </c>
      <c r="F21" s="60" t="s">
        <v>36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-5150</v>
      </c>
      <c r="C22" s="45">
        <v>-10300</v>
      </c>
      <c r="E22" s="63" t="s">
        <v>83</v>
      </c>
      <c r="F22" s="60" t="s">
        <v>37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3</v>
      </c>
      <c r="C23" s="144"/>
      <c r="E23" s="63" t="s">
        <v>84</v>
      </c>
      <c r="F23" s="60" t="s">
        <v>38</v>
      </c>
      <c r="G23" s="47">
        <v>0</v>
      </c>
      <c r="H23" s="137">
        <f>IF(B$27=0,0,G23/B$27)</f>
        <v>0</v>
      </c>
      <c r="I23" s="98">
        <v>6</v>
      </c>
    </row>
    <row r="24" spans="1:17" x14ac:dyDescent="0.4">
      <c r="A24" s="58" t="s">
        <v>157</v>
      </c>
      <c r="B24" s="141">
        <v>53500</v>
      </c>
      <c r="C24" s="142"/>
      <c r="E24" s="63" t="s">
        <v>85</v>
      </c>
      <c r="F24" s="60" t="s">
        <v>39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86</v>
      </c>
      <c r="F25" s="60" t="s">
        <v>40</v>
      </c>
      <c r="G25" s="47">
        <v>0</v>
      </c>
      <c r="H25" s="137">
        <f>IF(B$27=0,0,G25/B$27)</f>
        <v>0</v>
      </c>
      <c r="I25" s="98">
        <v>9</v>
      </c>
    </row>
    <row r="26" spans="1:17" x14ac:dyDescent="0.4">
      <c r="A26" s="54" t="s">
        <v>124</v>
      </c>
      <c r="B26" s="147">
        <v>19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5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133CB-8D15-4A66-B6C1-ACF0560DD573}">
  <sheetPr codeName="Sheet2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194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3</v>
      </c>
      <c r="C2" s="148"/>
      <c r="E2" s="62" t="s">
        <v>74</v>
      </c>
      <c r="F2" s="59" t="s">
        <v>28</v>
      </c>
      <c r="G2" s="46">
        <v>5</v>
      </c>
      <c r="H2" s="136">
        <f>IF(B$27=0,0,G2/B$27)</f>
        <v>0.7142857142857143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733.33333333333337</v>
      </c>
      <c r="P2" s="122">
        <v>3</v>
      </c>
      <c r="Q2" s="106">
        <v>2200</v>
      </c>
    </row>
    <row r="3" spans="1:17" x14ac:dyDescent="0.4">
      <c r="A3" s="55" t="s">
        <v>8</v>
      </c>
      <c r="B3" s="153">
        <v>28</v>
      </c>
      <c r="C3" s="154"/>
      <c r="E3" s="63" t="s">
        <v>66</v>
      </c>
      <c r="F3" s="60" t="s">
        <v>21</v>
      </c>
      <c r="G3" s="47">
        <v>3</v>
      </c>
      <c r="H3" s="137">
        <f>IF(B$27=0,0,G3/B$27)</f>
        <v>0.42857142857142855</v>
      </c>
      <c r="I3" s="98">
        <v>8</v>
      </c>
      <c r="K3" s="38">
        <v>1</v>
      </c>
      <c r="L3" s="103">
        <v>-43.7</v>
      </c>
      <c r="N3" s="119" t="s">
        <v>137</v>
      </c>
      <c r="O3" s="126">
        <f t="shared" si="0"/>
        <v>-6333.333333333333</v>
      </c>
      <c r="P3" s="123">
        <v>3</v>
      </c>
      <c r="Q3" s="107">
        <v>-19000</v>
      </c>
    </row>
    <row r="4" spans="1:17" x14ac:dyDescent="0.4">
      <c r="A4" s="55" t="s">
        <v>6</v>
      </c>
      <c r="B4" s="155">
        <v>-78.400000000000006</v>
      </c>
      <c r="C4" s="156"/>
      <c r="E4" s="63" t="s">
        <v>68</v>
      </c>
      <c r="F4" s="60" t="s">
        <v>23</v>
      </c>
      <c r="G4" s="47">
        <v>3</v>
      </c>
      <c r="H4" s="137">
        <f>IF(B$27=0,0,G4/B$27)</f>
        <v>0.42857142857142855</v>
      </c>
      <c r="I4" s="98">
        <v>8</v>
      </c>
      <c r="K4" s="38">
        <v>2</v>
      </c>
      <c r="L4" s="103">
        <v>-76.2</v>
      </c>
      <c r="N4" s="119" t="s">
        <v>138</v>
      </c>
      <c r="O4" s="126">
        <f t="shared" si="0"/>
        <v>800</v>
      </c>
      <c r="P4" s="123">
        <v>3</v>
      </c>
      <c r="Q4" s="107">
        <v>2400</v>
      </c>
    </row>
    <row r="5" spans="1:17" x14ac:dyDescent="0.4">
      <c r="A5" s="55" t="s">
        <v>7</v>
      </c>
      <c r="B5" s="157">
        <f>IF(B$2=0,0,B$4/B$2)</f>
        <v>-26.133333333333336</v>
      </c>
      <c r="C5" s="158"/>
      <c r="E5" s="63" t="s">
        <v>92</v>
      </c>
      <c r="F5" s="60" t="s">
        <v>46</v>
      </c>
      <c r="G5" s="47">
        <v>3</v>
      </c>
      <c r="H5" s="137">
        <f>IF(B$27=0,0,G5/B$27)</f>
        <v>0.42857142857142855</v>
      </c>
      <c r="I5" s="98">
        <v>1</v>
      </c>
      <c r="K5" s="38">
        <v>3</v>
      </c>
      <c r="L5" s="103">
        <v>-78.400000000000006</v>
      </c>
      <c r="N5" s="119" t="s">
        <v>139</v>
      </c>
      <c r="O5" s="126">
        <f t="shared" si="0"/>
        <v>-3266.6666666666665</v>
      </c>
      <c r="P5" s="123">
        <v>3</v>
      </c>
      <c r="Q5" s="107">
        <v>-9800</v>
      </c>
    </row>
    <row r="6" spans="1:17" x14ac:dyDescent="0.4">
      <c r="A6" s="55" t="s">
        <v>1</v>
      </c>
      <c r="B6" s="145">
        <f>IF(B$2=0,0,(B$7*1+B$8*2+B$9*3)/B$2)</f>
        <v>2.6666666666666665</v>
      </c>
      <c r="C6" s="146"/>
      <c r="E6" s="63" t="s">
        <v>71</v>
      </c>
      <c r="F6" s="60" t="s">
        <v>25</v>
      </c>
      <c r="G6" s="47">
        <v>2</v>
      </c>
      <c r="H6" s="137">
        <f>IF(B$27=0,0,G6/B$27)</f>
        <v>0.2857142857142857</v>
      </c>
      <c r="I6" s="98">
        <v>1</v>
      </c>
      <c r="N6" s="119" t="s">
        <v>140</v>
      </c>
      <c r="O6" s="126">
        <f t="shared" si="0"/>
        <v>-666.66666666666663</v>
      </c>
      <c r="P6" s="123">
        <v>3</v>
      </c>
      <c r="Q6" s="107">
        <v>-2000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189</v>
      </c>
      <c r="F7" s="60" t="s">
        <v>190</v>
      </c>
      <c r="G7" s="47">
        <v>2</v>
      </c>
      <c r="H7" s="137">
        <f>IF(B$27=0,0,G7/B$27)</f>
        <v>0.2857142857142857</v>
      </c>
      <c r="I7" s="98">
        <v>7</v>
      </c>
      <c r="N7" s="120" t="s">
        <v>141</v>
      </c>
      <c r="O7" s="127">
        <f t="shared" si="0"/>
        <v>-4066.6666666666665</v>
      </c>
      <c r="P7" s="124">
        <v>3</v>
      </c>
      <c r="Q7" s="108">
        <v>-12200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67</v>
      </c>
      <c r="F8" s="60" t="s">
        <v>22</v>
      </c>
      <c r="G8" s="47">
        <v>0</v>
      </c>
      <c r="H8" s="137">
        <f>IF(B$27=0,0,G8/B$27)</f>
        <v>0</v>
      </c>
      <c r="I8" s="98">
        <v>8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0.66666666666666663</v>
      </c>
      <c r="E9" s="63" t="s">
        <v>69</v>
      </c>
      <c r="F9" s="60" t="s">
        <v>24</v>
      </c>
      <c r="G9" s="47">
        <v>0</v>
      </c>
      <c r="H9" s="137">
        <f>IF(B$27=0,0,G9/B$27)</f>
        <v>0</v>
      </c>
      <c r="I9" s="98">
        <v>10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70</v>
      </c>
      <c r="F10" s="60" t="s">
        <v>12</v>
      </c>
      <c r="G10" s="47">
        <v>0</v>
      </c>
      <c r="H10" s="137">
        <f>IF(B$27=0,0,G10/B$27)</f>
        <v>0</v>
      </c>
      <c r="I10" s="98">
        <v>10</v>
      </c>
      <c r="N10" s="118" t="s">
        <v>172</v>
      </c>
      <c r="O10" s="128">
        <f>IF(P10=0,0,Q10/P10)</f>
        <v>-32.5</v>
      </c>
      <c r="P10" s="122">
        <v>1</v>
      </c>
      <c r="Q10" s="110">
        <v>-32.5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72</v>
      </c>
      <c r="F11" s="60" t="s">
        <v>26</v>
      </c>
      <c r="G11" s="47">
        <v>0</v>
      </c>
      <c r="H11" s="137">
        <f>IF(B$27=0,0,G11/B$27)</f>
        <v>0</v>
      </c>
      <c r="I11" s="98">
        <v>7</v>
      </c>
      <c r="N11" s="119" t="s">
        <v>173</v>
      </c>
      <c r="O11" s="129">
        <f>IF(P11=0,0,Q11/P11)</f>
        <v>-22.950000000000003</v>
      </c>
      <c r="P11" s="123">
        <v>2</v>
      </c>
      <c r="Q11" s="111">
        <v>-45.900000000000006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73</v>
      </c>
      <c r="F12" s="60" t="s">
        <v>27</v>
      </c>
      <c r="G12" s="47">
        <v>0</v>
      </c>
      <c r="H12" s="137">
        <f>IF(B$27=0,0,G12/B$27)</f>
        <v>0</v>
      </c>
      <c r="I12" s="98">
        <v>8</v>
      </c>
      <c r="N12" s="120" t="s">
        <v>174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58" t="s">
        <v>126</v>
      </c>
      <c r="B13" s="50">
        <v>3</v>
      </c>
      <c r="C13" s="44">
        <f>IF(B$26=0,0,B13/B$26)</f>
        <v>0.10714285714285714</v>
      </c>
      <c r="E13" s="63" t="s">
        <v>75</v>
      </c>
      <c r="F13" s="60" t="s">
        <v>29</v>
      </c>
      <c r="G13" s="47">
        <v>0</v>
      </c>
      <c r="H13" s="137">
        <f>IF(B$27=0,0,G13/B$27)</f>
        <v>0</v>
      </c>
      <c r="I13" s="98">
        <v>3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</v>
      </c>
      <c r="C14" s="39">
        <f>IF(B$26=0,0,B14/B$26)</f>
        <v>0.14285714285714285</v>
      </c>
      <c r="E14" s="63" t="s">
        <v>76</v>
      </c>
      <c r="F14" s="60" t="s">
        <v>30</v>
      </c>
      <c r="G14" s="47">
        <v>0</v>
      </c>
      <c r="H14" s="137">
        <f>IF(B$27=0,0,G14/B$27)</f>
        <v>0</v>
      </c>
      <c r="I14" s="98">
        <v>1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</v>
      </c>
      <c r="C15" s="37">
        <f>IF(B$13=0,0,B15/B$13)</f>
        <v>1</v>
      </c>
      <c r="E15" s="63" t="s">
        <v>77</v>
      </c>
      <c r="F15" s="60" t="s">
        <v>31</v>
      </c>
      <c r="G15" s="47">
        <v>0</v>
      </c>
      <c r="H15" s="137">
        <f>IF(B$27=0,0,G15/B$27)</f>
        <v>0</v>
      </c>
      <c r="I15" s="98">
        <v>5</v>
      </c>
      <c r="N15" s="118" t="s">
        <v>133</v>
      </c>
      <c r="O15" s="128">
        <f>IF(P15=0,0,Q15/P15)</f>
        <v>72.3</v>
      </c>
      <c r="P15" s="122">
        <v>1</v>
      </c>
      <c r="Q15" s="110">
        <v>72.3</v>
      </c>
    </row>
    <row r="16" spans="1:17" x14ac:dyDescent="0.4">
      <c r="A16" s="54" t="s">
        <v>129</v>
      </c>
      <c r="B16" s="46">
        <v>3</v>
      </c>
      <c r="C16" s="37">
        <f>IF(B$14=0,0,B16/B$14)</f>
        <v>0.75</v>
      </c>
      <c r="E16" s="63" t="s">
        <v>78</v>
      </c>
      <c r="F16" s="60" t="s">
        <v>32</v>
      </c>
      <c r="G16" s="47">
        <v>0</v>
      </c>
      <c r="H16" s="137">
        <f>IF(B$27=0,0,G16/B$27)</f>
        <v>0</v>
      </c>
      <c r="I16" s="98">
        <v>1</v>
      </c>
      <c r="N16" s="119" t="s">
        <v>132</v>
      </c>
      <c r="O16" s="129">
        <f>IF(P16=0,0,Q16/P16)</f>
        <v>-37.400000000000006</v>
      </c>
      <c r="P16" s="123">
        <v>1</v>
      </c>
      <c r="Q16" s="111">
        <v>-37.400000000000006</v>
      </c>
    </row>
    <row r="17" spans="1:17" x14ac:dyDescent="0.4">
      <c r="A17" s="54" t="s">
        <v>10</v>
      </c>
      <c r="B17" s="46">
        <f>B19+B18</f>
        <v>7</v>
      </c>
      <c r="C17" s="37">
        <f>IF(B$3=0,0,B17/B$3)</f>
        <v>0.25</v>
      </c>
      <c r="E17" s="63" t="s">
        <v>79</v>
      </c>
      <c r="F17" s="60" t="s">
        <v>33</v>
      </c>
      <c r="G17" s="47">
        <v>0</v>
      </c>
      <c r="H17" s="137">
        <f>IF(B$27=0,0,G17/B$27)</f>
        <v>0</v>
      </c>
      <c r="I17" s="98">
        <v>1</v>
      </c>
      <c r="N17" s="119" t="s">
        <v>185</v>
      </c>
      <c r="O17" s="129">
        <f>IF(P17=0,0,Q17/P17)</f>
        <v>-60.800000000000004</v>
      </c>
      <c r="P17" s="123">
        <v>2</v>
      </c>
      <c r="Q17" s="111">
        <v>-121.60000000000001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0.42857142857142855</v>
      </c>
      <c r="E18" s="63" t="s">
        <v>80</v>
      </c>
      <c r="F18" s="60" t="s">
        <v>34</v>
      </c>
      <c r="G18" s="47">
        <v>0</v>
      </c>
      <c r="H18" s="137">
        <f>IF(B$27=0,0,G18/B$27)</f>
        <v>0</v>
      </c>
      <c r="I18" s="98">
        <v>4</v>
      </c>
      <c r="N18" s="119" t="s">
        <v>193</v>
      </c>
      <c r="O18" s="129">
        <f>IF(P18=0,0,Q18/P18)</f>
        <v>-69.599999999999994</v>
      </c>
      <c r="P18" s="123">
        <v>1</v>
      </c>
      <c r="Q18" s="111">
        <v>-69.599999999999994</v>
      </c>
    </row>
    <row r="19" spans="1:17" x14ac:dyDescent="0.4">
      <c r="A19" s="55" t="s">
        <v>11</v>
      </c>
      <c r="B19" s="47">
        <v>4</v>
      </c>
      <c r="C19" s="39">
        <f>IF(B$17=0,0,B19/B$17)</f>
        <v>0.5714285714285714</v>
      </c>
      <c r="E19" s="63" t="s">
        <v>81</v>
      </c>
      <c r="F19" s="60" t="s">
        <v>35</v>
      </c>
      <c r="G19" s="47">
        <v>0</v>
      </c>
      <c r="H19" s="137">
        <f>IF(B$27=0,0,G19/B$27)</f>
        <v>0</v>
      </c>
      <c r="I19" s="98">
        <v>3</v>
      </c>
      <c r="N19" s="119" t="s">
        <v>179</v>
      </c>
      <c r="O19" s="129">
        <f>IF(P19=0,0,Q19/P19)</f>
        <v>-78.900000000000006</v>
      </c>
      <c r="P19" s="123">
        <v>1</v>
      </c>
      <c r="Q19" s="111">
        <v>-78.900000000000006</v>
      </c>
    </row>
    <row r="20" spans="1:17" x14ac:dyDescent="0.4">
      <c r="A20" s="55" t="s">
        <v>13</v>
      </c>
      <c r="B20" s="47">
        <v>7</v>
      </c>
      <c r="C20" s="39">
        <f>IF(B$3=0,0,B20/B$3)</f>
        <v>0.25</v>
      </c>
      <c r="E20" s="63" t="s">
        <v>82</v>
      </c>
      <c r="F20" s="60" t="s">
        <v>36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5014.2857142857147</v>
      </c>
      <c r="C21" s="41">
        <v>35100</v>
      </c>
      <c r="E21" s="63" t="s">
        <v>83</v>
      </c>
      <c r="F21" s="60" t="s">
        <v>37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-7200</v>
      </c>
      <c r="C22" s="45">
        <v>-50400</v>
      </c>
      <c r="E22" s="63" t="s">
        <v>84</v>
      </c>
      <c r="F22" s="60" t="s">
        <v>38</v>
      </c>
      <c r="G22" s="47">
        <v>0</v>
      </c>
      <c r="H22" s="137">
        <f>IF(B$27=0,0,G22/B$27)</f>
        <v>0</v>
      </c>
      <c r="I22" s="98">
        <v>6</v>
      </c>
    </row>
    <row r="23" spans="1:17" x14ac:dyDescent="0.4">
      <c r="A23" s="94" t="s">
        <v>146</v>
      </c>
      <c r="B23" s="143">
        <v>3</v>
      </c>
      <c r="C23" s="144"/>
      <c r="E23" s="63" t="s">
        <v>85</v>
      </c>
      <c r="F23" s="60" t="s">
        <v>39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32800</v>
      </c>
      <c r="C24" s="142"/>
      <c r="E24" s="63" t="s">
        <v>86</v>
      </c>
      <c r="F24" s="60" t="s">
        <v>40</v>
      </c>
      <c r="G24" s="47">
        <v>0</v>
      </c>
      <c r="H24" s="137">
        <f>IF(B$27=0,0,G24/B$27)</f>
        <v>0</v>
      </c>
      <c r="I24" s="98">
        <v>9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87</v>
      </c>
      <c r="F25" s="60" t="s">
        <v>41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28</v>
      </c>
      <c r="C26" s="148"/>
      <c r="E26" s="63" t="s">
        <v>88</v>
      </c>
      <c r="F26" s="60" t="s">
        <v>42</v>
      </c>
      <c r="G26" s="47">
        <v>0</v>
      </c>
      <c r="H26" s="137">
        <f>IF(B$27=0,0,G26/B$27)</f>
        <v>0</v>
      </c>
      <c r="I26" s="98">
        <v>3</v>
      </c>
    </row>
    <row r="27" spans="1:17" x14ac:dyDescent="0.4">
      <c r="A27" s="57" t="s">
        <v>125</v>
      </c>
      <c r="B27" s="149">
        <v>7</v>
      </c>
      <c r="C27" s="150"/>
      <c r="E27" s="63" t="s">
        <v>89</v>
      </c>
      <c r="F27" s="60" t="s">
        <v>43</v>
      </c>
      <c r="G27" s="47">
        <v>0</v>
      </c>
      <c r="H27" s="137">
        <f>IF(B$27=0,0,G27/B$27)</f>
        <v>0</v>
      </c>
      <c r="I27" s="98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ABB26-1353-4F9C-BF72-45D4A9CBDD7C}">
  <sheetPr codeName="Sheet24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194</v>
      </c>
      <c r="B1" s="70" t="s">
        <v>194</v>
      </c>
      <c r="C1" s="70" t="s">
        <v>194</v>
      </c>
      <c r="D1" s="71" t="s">
        <v>194</v>
      </c>
      <c r="E1" s="70" t="s">
        <v>194</v>
      </c>
      <c r="F1" s="70" t="s">
        <v>194</v>
      </c>
      <c r="G1" s="70" t="s">
        <v>194</v>
      </c>
      <c r="H1" s="70" t="s">
        <v>194</v>
      </c>
      <c r="I1" s="70" t="s">
        <v>194</v>
      </c>
      <c r="J1" s="70" t="s">
        <v>194</v>
      </c>
      <c r="K1" s="70" t="s">
        <v>194</v>
      </c>
      <c r="L1" s="70" t="s">
        <v>194</v>
      </c>
      <c r="M1" s="70" t="s">
        <v>194</v>
      </c>
      <c r="N1" s="70" t="s">
        <v>194</v>
      </c>
      <c r="O1" s="70" t="s">
        <v>194</v>
      </c>
      <c r="P1" s="70" t="s">
        <v>194</v>
      </c>
      <c r="Q1" s="70" t="s">
        <v>194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CE867-737A-455D-B572-F1C76EAD9DA4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193</v>
      </c>
      <c r="B1" s="70" t="s">
        <v>193</v>
      </c>
      <c r="C1" s="70" t="s">
        <v>193</v>
      </c>
      <c r="D1" s="71" t="s">
        <v>193</v>
      </c>
      <c r="E1" s="70" t="s">
        <v>193</v>
      </c>
      <c r="F1" s="70" t="s">
        <v>193</v>
      </c>
      <c r="G1" s="70" t="s">
        <v>193</v>
      </c>
      <c r="H1" s="70" t="s">
        <v>193</v>
      </c>
      <c r="I1" s="70" t="s">
        <v>193</v>
      </c>
      <c r="J1" s="70" t="s">
        <v>193</v>
      </c>
      <c r="K1" s="70" t="s">
        <v>193</v>
      </c>
      <c r="L1" s="70" t="s">
        <v>193</v>
      </c>
      <c r="M1" s="70" t="s">
        <v>193</v>
      </c>
      <c r="N1" s="70" t="s">
        <v>193</v>
      </c>
      <c r="O1" s="70" t="s">
        <v>193</v>
      </c>
      <c r="P1" s="70" t="s">
        <v>193</v>
      </c>
      <c r="Q1" s="70" t="s">
        <v>193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2A641-3E01-475E-B41D-2CDAC6E00AE1}">
  <sheetPr codeName="Sheet2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0.5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0.33333333333333331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0.25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0.16666666666666666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4088-59DD-4F3B-9A35-DFFF28661692}">
  <sheetPr codeName="Sheet18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181</v>
      </c>
      <c r="B1" s="70" t="s">
        <v>181</v>
      </c>
      <c r="C1" s="70" t="s">
        <v>181</v>
      </c>
      <c r="D1" s="71" t="s">
        <v>181</v>
      </c>
      <c r="E1" s="70" t="s">
        <v>181</v>
      </c>
      <c r="F1" s="70" t="s">
        <v>181</v>
      </c>
      <c r="G1" s="70" t="s">
        <v>181</v>
      </c>
      <c r="H1" s="70" t="s">
        <v>181</v>
      </c>
      <c r="I1" s="70" t="s">
        <v>181</v>
      </c>
      <c r="J1" s="70" t="s">
        <v>181</v>
      </c>
      <c r="K1" s="70" t="s">
        <v>181</v>
      </c>
      <c r="L1" s="70" t="s">
        <v>181</v>
      </c>
      <c r="M1" s="70" t="s">
        <v>181</v>
      </c>
      <c r="N1" s="70" t="s">
        <v>181</v>
      </c>
      <c r="O1" s="70" t="s">
        <v>181</v>
      </c>
      <c r="P1" s="70" t="s">
        <v>181</v>
      </c>
      <c r="Q1" s="70" t="s">
        <v>181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L12" s="67">
        <v>0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</v>
      </c>
      <c r="M13" s="67">
        <v>0.16091954022988506</v>
      </c>
      <c r="N13" s="67">
        <v>0.28735632183908044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</v>
      </c>
      <c r="M14" s="67">
        <v>0.15053763440860216</v>
      </c>
      <c r="N14" s="67">
        <v>0.27956989247311825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</v>
      </c>
      <c r="M15" s="67">
        <v>0.17475728155339806</v>
      </c>
      <c r="N15" s="67">
        <v>0.25242718446601942</v>
      </c>
      <c r="O15" s="67">
        <v>0.5</v>
      </c>
      <c r="P15" s="67">
        <v>0.38461538461538464</v>
      </c>
      <c r="Q15" s="67">
        <v>0.53125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CF0DA-8337-4284-BFC7-32507B7BE6E1}">
  <sheetPr codeName="Sheet16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B6E5F-4ED7-456B-A954-08E624D962D4}">
  <sheetPr codeName="Sheet14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L15" s="67">
        <v>8.3333333333333329E-2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7.6923076923076927E-2</v>
      </c>
      <c r="M16" s="67">
        <v>0.24074074074074073</v>
      </c>
      <c r="N16" s="67">
        <v>0.25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0.14285714285714285</v>
      </c>
      <c r="M17" s="67">
        <v>0.24561403508771928</v>
      </c>
      <c r="N17" s="67">
        <v>0.25438596491228072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0.13333333333333333</v>
      </c>
      <c r="M18" s="67">
        <v>0.24369747899159663</v>
      </c>
      <c r="N18" s="67">
        <v>0.25210084033613445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0.125</v>
      </c>
      <c r="M19" s="67">
        <v>0.24409448818897639</v>
      </c>
      <c r="N19" s="67">
        <v>0.24409448818897639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0.11764705882352941</v>
      </c>
      <c r="M20" s="67">
        <v>0.24444444444444444</v>
      </c>
      <c r="N20" s="67">
        <v>0.23703703703703705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0.1111111111111111</v>
      </c>
      <c r="M21" s="67">
        <v>0.27397260273972601</v>
      </c>
      <c r="N21" s="67">
        <v>0.23287671232876711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0.10526315789473684</v>
      </c>
      <c r="M22" s="67">
        <v>0.27044025157232704</v>
      </c>
      <c r="N22" s="67">
        <v>0.23270440251572327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0.1</v>
      </c>
      <c r="M23" s="67">
        <v>0.26035502958579881</v>
      </c>
      <c r="N23" s="67">
        <v>0.22485207100591717</v>
      </c>
      <c r="O23" s="67">
        <v>0.5</v>
      </c>
      <c r="P23" s="67">
        <v>0.36842105263157893</v>
      </c>
      <c r="Q23" s="67">
        <v>0.32608695652173914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73B16-4CF7-49EC-893B-F07504BD90B8}">
  <sheetPr codeName="Sheet12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133</v>
      </c>
      <c r="B1" s="70" t="s">
        <v>133</v>
      </c>
      <c r="C1" s="70" t="s">
        <v>133</v>
      </c>
      <c r="D1" s="71" t="s">
        <v>133</v>
      </c>
      <c r="E1" s="70" t="s">
        <v>133</v>
      </c>
      <c r="F1" s="70" t="s">
        <v>133</v>
      </c>
      <c r="G1" s="70" t="s">
        <v>133</v>
      </c>
      <c r="H1" s="70" t="s">
        <v>133</v>
      </c>
      <c r="I1" s="70" t="s">
        <v>133</v>
      </c>
      <c r="J1" s="70" t="s">
        <v>133</v>
      </c>
      <c r="K1" s="70" t="s">
        <v>133</v>
      </c>
      <c r="L1" s="70" t="s">
        <v>133</v>
      </c>
      <c r="M1" s="70" t="s">
        <v>133</v>
      </c>
      <c r="N1" s="70" t="s">
        <v>133</v>
      </c>
      <c r="O1" s="70" t="s">
        <v>133</v>
      </c>
      <c r="P1" s="70" t="s">
        <v>133</v>
      </c>
      <c r="Q1" s="70" t="s">
        <v>133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0.5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0.33333333333333331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0.25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0.2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0.16666666666666666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0.14285714285714285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0.125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0.1111111111111111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0.1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9.0909090909090912E-2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8.3333333333333329E-2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61FCE-D671-4C94-A28A-5EB794042BCB}">
  <sheetPr codeName="Sheet10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132</v>
      </c>
      <c r="B1" s="70" t="s">
        <v>132</v>
      </c>
      <c r="C1" s="70" t="s">
        <v>132</v>
      </c>
      <c r="D1" s="71" t="s">
        <v>132</v>
      </c>
      <c r="E1" s="70" t="s">
        <v>132</v>
      </c>
      <c r="F1" s="70" t="s">
        <v>132</v>
      </c>
      <c r="G1" s="70" t="s">
        <v>132</v>
      </c>
      <c r="H1" s="70" t="s">
        <v>132</v>
      </c>
      <c r="I1" s="70" t="s">
        <v>132</v>
      </c>
      <c r="J1" s="70" t="s">
        <v>132</v>
      </c>
      <c r="K1" s="70" t="s">
        <v>132</v>
      </c>
      <c r="L1" s="70" t="s">
        <v>132</v>
      </c>
      <c r="M1" s="70" t="s">
        <v>132</v>
      </c>
      <c r="N1" s="70" t="s">
        <v>132</v>
      </c>
      <c r="O1" s="70" t="s">
        <v>132</v>
      </c>
      <c r="P1" s="70" t="s">
        <v>132</v>
      </c>
      <c r="Q1" s="70" t="s">
        <v>132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1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0.5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0.33333333333333331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0.25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0.16666666666666666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0.14285714285714285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0.125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0.1111111111111111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0.1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9.0909090909090912E-2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8.3333333333333329E-2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7.6923076923076927E-2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L17" s="67">
        <v>7.1428571428571425E-2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6.6666666666666666E-2</v>
      </c>
      <c r="M18" s="67">
        <v>0.36507936507936506</v>
      </c>
      <c r="N18" s="67">
        <v>0.23015873015873015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6.25E-2</v>
      </c>
      <c r="M19" s="67">
        <v>0.34814814814814815</v>
      </c>
      <c r="N19" s="67">
        <v>0.22962962962962963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5.8823529411764705E-2</v>
      </c>
      <c r="M20" s="67">
        <v>0.35714285714285715</v>
      </c>
      <c r="N20" s="67">
        <v>0.22142857142857142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0.1111111111111111</v>
      </c>
      <c r="M21" s="67">
        <v>0.35135135135135137</v>
      </c>
      <c r="N21" s="67">
        <v>0.20945945945945946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0.15789473684210525</v>
      </c>
      <c r="M22" s="67">
        <v>0.34615384615384615</v>
      </c>
      <c r="N22" s="67">
        <v>0.19871794871794871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0.2</v>
      </c>
      <c r="M23" s="67">
        <v>0.3413173652694611</v>
      </c>
      <c r="N23" s="67">
        <v>0.19161676646706588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0.19047619047619047</v>
      </c>
      <c r="M24" s="67">
        <v>0.34254143646408841</v>
      </c>
      <c r="N24" s="67">
        <v>0.19889502762430938</v>
      </c>
      <c r="O24" s="67">
        <v>0.61290322580645162</v>
      </c>
      <c r="P24" s="67">
        <v>0.27777777777777779</v>
      </c>
      <c r="Q24" s="67">
        <v>0.36666666666666664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EC0A-61B2-43AB-ADAA-6B498F9BDA95}">
  <sheetPr codeName="Sheet8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0.33333333333333331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0.42857142857142855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0.44444444444444442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0.4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0.36363636363636365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0.33333333333333331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0.30769230769230771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0.2857142857142857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0.26666666666666666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0.23529411764705882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0.22222222222222221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0.21052631578947367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0.2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B6AE-3F32-4959-9416-D872695D62B8}">
  <sheetPr codeName="Sheet6"/>
  <dimension ref="A1:Q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149</v>
      </c>
      <c r="B1" s="70" t="s">
        <v>149</v>
      </c>
      <c r="C1" s="70" t="s">
        <v>149</v>
      </c>
      <c r="D1" s="71" t="s">
        <v>149</v>
      </c>
      <c r="E1" s="70" t="s">
        <v>149</v>
      </c>
      <c r="F1" s="70" t="s">
        <v>149</v>
      </c>
      <c r="G1" s="70" t="s">
        <v>149</v>
      </c>
      <c r="H1" s="70" t="s">
        <v>149</v>
      </c>
      <c r="I1" s="70" t="s">
        <v>149</v>
      </c>
      <c r="J1" s="70" t="s">
        <v>149</v>
      </c>
      <c r="K1" s="70" t="s">
        <v>149</v>
      </c>
      <c r="L1" s="70" t="s">
        <v>149</v>
      </c>
      <c r="M1" s="70" t="s">
        <v>149</v>
      </c>
      <c r="N1" s="70" t="s">
        <v>149</v>
      </c>
      <c r="O1" s="70" t="s">
        <v>149</v>
      </c>
      <c r="P1" s="70" t="s">
        <v>149</v>
      </c>
      <c r="Q1" s="70" t="s">
        <v>149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0.22222222222222221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0.16666666666666666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0.13333333333333333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0.16666666666666666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0.19047619047619047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0.20833333333333334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0.18518518518518517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0.21212121212121213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0.19444444444444445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0.17948717948717949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0.16666666666666666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0.15555555555555556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0.14583333333333334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0.13725490196078433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0.12962962962962962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0.12280701754385964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0.13333333333333333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0.12698412698412698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L25" s="67">
        <v>0.12121212121212122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0.11594202898550725</v>
      </c>
      <c r="M26" s="67">
        <v>0.26909722222222221</v>
      </c>
      <c r="N26" s="67">
        <v>0.24131944444444445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0.1111111111111111</v>
      </c>
      <c r="M27" s="67">
        <v>0.27303182579564489</v>
      </c>
      <c r="N27" s="67">
        <v>0.24120603015075376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0.10666666666666667</v>
      </c>
      <c r="M28" s="67">
        <v>0.27083333333333331</v>
      </c>
      <c r="N28" s="67">
        <v>0.24038461538461539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0.10256410256410256</v>
      </c>
      <c r="M29" s="67">
        <v>0.26947040498442365</v>
      </c>
      <c r="N29" s="67">
        <v>0.23987538940809969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0.1111111111111111</v>
      </c>
      <c r="M30" s="67">
        <v>0.26818181818181819</v>
      </c>
      <c r="N30" s="67">
        <v>0.24242424242424243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0.10714285714285714</v>
      </c>
      <c r="M31" s="67">
        <v>0.26548672566371684</v>
      </c>
      <c r="N31" s="67">
        <v>0.24188790560471976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0.10344827586206896</v>
      </c>
      <c r="M32" s="67">
        <v>0.26695526695526695</v>
      </c>
      <c r="N32" s="67">
        <v>0.24242424242424243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0.1111111111111111</v>
      </c>
      <c r="M33" s="67">
        <v>0.26778242677824265</v>
      </c>
      <c r="N33" s="67">
        <v>0.2384937238493724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0.11827956989247312</v>
      </c>
      <c r="M34" s="67">
        <v>0.26855600539811064</v>
      </c>
      <c r="N34" s="67">
        <v>0.23481781376518218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0.125</v>
      </c>
      <c r="M35" s="67">
        <v>0.27648578811369506</v>
      </c>
      <c r="N35" s="67">
        <v>0.23255813953488372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0.12121212121212122</v>
      </c>
      <c r="M36" s="67">
        <v>0.27818627450980393</v>
      </c>
      <c r="N36" s="67">
        <v>0.23284313725490197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0.11764705882352941</v>
      </c>
      <c r="M37" s="67">
        <v>0.27251461988304093</v>
      </c>
      <c r="N37" s="67">
        <v>0.2304093567251462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0.11428571428571428</v>
      </c>
      <c r="M38" s="67">
        <v>0.2711864406779661</v>
      </c>
      <c r="N38" s="67">
        <v>0.22372881355932203</v>
      </c>
      <c r="O38" s="67">
        <v>0.5625</v>
      </c>
      <c r="P38" s="67">
        <v>0.40404040404040403</v>
      </c>
      <c r="Q38" s="67">
        <v>0.37681159420289856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</vt:vector>
  </HeadingPairs>
  <TitlesOfParts>
    <vt:vector size="4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2019-04-07T16:39:47Z</dcterms:modified>
</cp:coreProperties>
</file>