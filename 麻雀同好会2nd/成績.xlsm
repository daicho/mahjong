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2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3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4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5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6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7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8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0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2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3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4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5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6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A34E721D-70FC-46F8-ABE2-A916404EAE80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402" r:id="rId6"/>
    <sheet name="だいち" sheetId="4404" r:id="rId7"/>
    <sheet name="りくと" sheetId="4406" r:id="rId8"/>
    <sheet name="ただ" sheetId="4408" r:id="rId9"/>
    <sheet name="れんたろう" sheetId="4410" r:id="rId10"/>
    <sheet name="たかの" sheetId="4412" r:id="rId11"/>
    <sheet name="ぱぱ" sheetId="4414" r:id="rId12"/>
    <sheet name="まっつん" sheetId="4416" r:id="rId13"/>
    <sheet name="まっつん2" sheetId="4417" state="hidden" r:id="rId14"/>
    <sheet name="ぱぱ2" sheetId="4415" state="hidden" r:id="rId15"/>
    <sheet name="たかの2" sheetId="4413" state="hidden" r:id="rId16"/>
    <sheet name="れんたろう2" sheetId="4411" state="hidden" r:id="rId17"/>
    <sheet name="ただ2" sheetId="4409" state="hidden" r:id="rId18"/>
    <sheet name="りくと2" sheetId="4407" state="hidden" r:id="rId19"/>
    <sheet name="だいち2" sheetId="4405" state="hidden" r:id="rId20"/>
    <sheet name="全体2" sheetId="4403" state="hidden" r:id="rId21"/>
    <sheet name="通算スコア" sheetId="3331" state="hidden" r:id="rId22"/>
    <sheet name="平均スコア" sheetId="3493" state="hidden" r:id="rId23"/>
    <sheet name="平均順位" sheetId="3183" state="hidden" r:id="rId24"/>
    <sheet name="トップ率" sheetId="3185" state="hidden" r:id="rId25"/>
    <sheet name="アガリ率" sheetId="3189" state="hidden" r:id="rId26"/>
    <sheet name="放銃率" sheetId="3190" state="hidden" r:id="rId27"/>
    <sheet name="平均アガリ点" sheetId="3520" state="hidden" r:id="rId28"/>
    <sheet name="平均放銃点" sheetId="3521" state="hidden" r:id="rId29"/>
    <sheet name="ふっとび率" sheetId="3522" state="hidden" r:id="rId30"/>
    <sheet name="ふっとばし率" sheetId="3523" state="hidden" r:id="rId31"/>
    <sheet name="リーチ率" sheetId="3524" state="hidden" r:id="rId32"/>
    <sheet name="副露率" sheetId="3525" state="hidden" r:id="rId33"/>
    <sheet name="リーチ成功率" sheetId="3526" state="hidden" r:id="rId34"/>
    <sheet name="副露成功率" sheetId="3527" state="hidden" r:id="rId35"/>
    <sheet name="ツモ率" sheetId="3528" state="hidden" r:id="rId36"/>
    <sheet name="逆転率" sheetId="3529" state="hidden" r:id="rId3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4416" l="1"/>
  <c r="O19" i="4414"/>
  <c r="O17" i="4414"/>
  <c r="O16" i="4406"/>
  <c r="O17" i="4412" l="1"/>
  <c r="O17" i="4410"/>
  <c r="O15" i="4414"/>
  <c r="O18" i="4414"/>
  <c r="O15" i="4412" l="1"/>
  <c r="O15" i="4410"/>
  <c r="O18" i="4408"/>
  <c r="O19" i="4408"/>
  <c r="O17" i="4416"/>
  <c r="O16" i="4416"/>
  <c r="H51" i="4416"/>
  <c r="H50" i="4416"/>
  <c r="H49" i="4416"/>
  <c r="H48" i="4416"/>
  <c r="H47" i="4416"/>
  <c r="H46" i="4416"/>
  <c r="H45" i="4416"/>
  <c r="H44" i="4416"/>
  <c r="H43" i="4416"/>
  <c r="H42" i="4416"/>
  <c r="H41" i="4416"/>
  <c r="H40" i="4416"/>
  <c r="H39" i="4416"/>
  <c r="H38" i="4416"/>
  <c r="H37" i="4416"/>
  <c r="H36" i="4416"/>
  <c r="H35" i="4416"/>
  <c r="H34" i="4416"/>
  <c r="H33" i="4416"/>
  <c r="H32" i="4416"/>
  <c r="H11" i="4416"/>
  <c r="H31" i="4416"/>
  <c r="H10" i="4416"/>
  <c r="H30" i="4416"/>
  <c r="H29" i="4416"/>
  <c r="H28" i="4416"/>
  <c r="H27" i="4416"/>
  <c r="C25" i="4416"/>
  <c r="H26" i="4416"/>
  <c r="H25" i="4416"/>
  <c r="H24" i="4416"/>
  <c r="B22" i="4416"/>
  <c r="H23" i="4416"/>
  <c r="H22" i="4416"/>
  <c r="C20" i="4416"/>
  <c r="H21" i="4416"/>
  <c r="H20" i="4416"/>
  <c r="H19" i="4416"/>
  <c r="B17" i="4416"/>
  <c r="B21" i="4416" s="1"/>
  <c r="H18" i="4416"/>
  <c r="C16" i="4416"/>
  <c r="H17" i="4416"/>
  <c r="C15" i="4416"/>
  <c r="H9" i="4416"/>
  <c r="C14" i="4416"/>
  <c r="H16" i="4416"/>
  <c r="C13" i="4416"/>
  <c r="O12" i="4416"/>
  <c r="H15" i="4416"/>
  <c r="C12" i="4416"/>
  <c r="O11" i="4416"/>
  <c r="H8" i="4416"/>
  <c r="C11" i="4416"/>
  <c r="O10" i="4416"/>
  <c r="H14" i="4416"/>
  <c r="C10" i="4416"/>
  <c r="H13" i="4416"/>
  <c r="C9" i="4416"/>
  <c r="H7" i="4416"/>
  <c r="C8" i="4416"/>
  <c r="O7" i="4416"/>
  <c r="H5" i="4416"/>
  <c r="C7" i="4416"/>
  <c r="O6" i="4416"/>
  <c r="H12" i="4416"/>
  <c r="B6" i="4416"/>
  <c r="O5" i="4416"/>
  <c r="H4" i="4416"/>
  <c r="B5" i="4416"/>
  <c r="O4" i="4416"/>
  <c r="H3" i="4416"/>
  <c r="O3" i="4416"/>
  <c r="H6" i="4416"/>
  <c r="O2" i="4416"/>
  <c r="H2" i="4416"/>
  <c r="O16" i="4410"/>
  <c r="O20" i="4406"/>
  <c r="O20" i="4402"/>
  <c r="C18" i="4416" l="1"/>
  <c r="C19" i="4416"/>
  <c r="C17" i="4416"/>
  <c r="O16" i="4408" l="1"/>
  <c r="O20" i="4414"/>
  <c r="O16" i="4414"/>
  <c r="H51" i="4414"/>
  <c r="H50" i="4414"/>
  <c r="H49" i="4414"/>
  <c r="H48" i="4414"/>
  <c r="H47" i="4414"/>
  <c r="H46" i="4414"/>
  <c r="H45" i="4414"/>
  <c r="H44" i="4414"/>
  <c r="H43" i="4414"/>
  <c r="H42" i="4414"/>
  <c r="H41" i="4414"/>
  <c r="H40" i="4414"/>
  <c r="H39" i="4414"/>
  <c r="H38" i="4414"/>
  <c r="H37" i="4414"/>
  <c r="H36" i="4414"/>
  <c r="H35" i="4414"/>
  <c r="H34" i="4414"/>
  <c r="H33" i="4414"/>
  <c r="H32" i="4414"/>
  <c r="H31" i="4414"/>
  <c r="H30" i="4414"/>
  <c r="H9" i="4414"/>
  <c r="H29" i="4414"/>
  <c r="H28" i="4414"/>
  <c r="H27" i="4414"/>
  <c r="H26" i="4414"/>
  <c r="C25" i="4414"/>
  <c r="H25" i="4414"/>
  <c r="H8" i="4414"/>
  <c r="H24" i="4414"/>
  <c r="B22" i="4414"/>
  <c r="H23" i="4414"/>
  <c r="H22" i="4414"/>
  <c r="C20" i="4414"/>
  <c r="H21" i="4414"/>
  <c r="C19" i="4414"/>
  <c r="H20" i="4414"/>
  <c r="H19" i="4414"/>
  <c r="B17" i="4414"/>
  <c r="B21" i="4414" s="1"/>
  <c r="H18" i="4414"/>
  <c r="C16" i="4414"/>
  <c r="H17" i="4414"/>
  <c r="C15" i="4414"/>
  <c r="H16" i="4414"/>
  <c r="C14" i="4414"/>
  <c r="H15" i="4414"/>
  <c r="C13" i="4414"/>
  <c r="O12" i="4414"/>
  <c r="H14" i="4414"/>
  <c r="C12" i="4414"/>
  <c r="O11" i="4414"/>
  <c r="H4" i="4414"/>
  <c r="C11" i="4414"/>
  <c r="O10" i="4414"/>
  <c r="H13" i="4414"/>
  <c r="C10" i="4414"/>
  <c r="H7" i="4414"/>
  <c r="C9" i="4414"/>
  <c r="H6" i="4414"/>
  <c r="C8" i="4414"/>
  <c r="O7" i="4414"/>
  <c r="H2" i="4414"/>
  <c r="C7" i="4414"/>
  <c r="O6" i="4414"/>
  <c r="H12" i="4414"/>
  <c r="B6" i="4414"/>
  <c r="O5" i="4414"/>
  <c r="H11" i="4414"/>
  <c r="B5" i="4414"/>
  <c r="O4" i="4414"/>
  <c r="H3" i="4414"/>
  <c r="O3" i="4414"/>
  <c r="H10" i="4414"/>
  <c r="O2" i="4414"/>
  <c r="H5" i="4414"/>
  <c r="O15" i="4404"/>
  <c r="O15" i="4402"/>
  <c r="O19" i="4412"/>
  <c r="O17" i="4406"/>
  <c r="O15" i="4406"/>
  <c r="O19" i="4410"/>
  <c r="O16" i="4412"/>
  <c r="O18" i="4412"/>
  <c r="H51" i="4412"/>
  <c r="H50" i="4412"/>
  <c r="H49" i="4412"/>
  <c r="H48" i="4412"/>
  <c r="H47" i="4412"/>
  <c r="H46" i="4412"/>
  <c r="H45" i="4412"/>
  <c r="H44" i="4412"/>
  <c r="H43" i="4412"/>
  <c r="H42" i="4412"/>
  <c r="H41" i="4412"/>
  <c r="H40" i="4412"/>
  <c r="H39" i="4412"/>
  <c r="H38" i="4412"/>
  <c r="H37" i="4412"/>
  <c r="H36" i="4412"/>
  <c r="H35" i="4412"/>
  <c r="H34" i="4412"/>
  <c r="H33" i="4412"/>
  <c r="H32" i="4412"/>
  <c r="H31" i="4412"/>
  <c r="H30" i="4412"/>
  <c r="H8" i="4412"/>
  <c r="H29" i="4412"/>
  <c r="H28" i="4412"/>
  <c r="H12" i="4412"/>
  <c r="H27" i="4412"/>
  <c r="C25" i="4412"/>
  <c r="H26" i="4412"/>
  <c r="H11" i="4412"/>
  <c r="H25" i="4412"/>
  <c r="B22" i="4412"/>
  <c r="H10" i="4412"/>
  <c r="H24" i="4412"/>
  <c r="C20" i="4412"/>
  <c r="H23" i="4412"/>
  <c r="H22" i="4412"/>
  <c r="H21" i="4412"/>
  <c r="B17" i="4412"/>
  <c r="B21" i="4412" s="1"/>
  <c r="H20" i="4412"/>
  <c r="C16" i="4412"/>
  <c r="H19" i="4412"/>
  <c r="C15" i="4412"/>
  <c r="H18" i="4412"/>
  <c r="C14" i="4412"/>
  <c r="H17" i="4412"/>
  <c r="C13" i="4412"/>
  <c r="O12" i="4412"/>
  <c r="H16" i="4412"/>
  <c r="C12" i="4412"/>
  <c r="O11" i="4412"/>
  <c r="H2" i="4412"/>
  <c r="C11" i="4412"/>
  <c r="O10" i="4412"/>
  <c r="H15" i="4412"/>
  <c r="C10" i="4412"/>
  <c r="H14" i="4412"/>
  <c r="C9" i="4412"/>
  <c r="H9" i="4412"/>
  <c r="C8" i="4412"/>
  <c r="O7" i="4412"/>
  <c r="H6" i="4412"/>
  <c r="C7" i="4412"/>
  <c r="O6" i="4412"/>
  <c r="H13" i="4412"/>
  <c r="B6" i="4412"/>
  <c r="O5" i="4412"/>
  <c r="H5" i="4412"/>
  <c r="B5" i="4412"/>
  <c r="O4" i="4412"/>
  <c r="H4" i="4412"/>
  <c r="O3" i="4412"/>
  <c r="H7" i="4412"/>
  <c r="O2" i="4412"/>
  <c r="H3" i="4412"/>
  <c r="O20" i="4410"/>
  <c r="O18" i="4410"/>
  <c r="H51" i="4410"/>
  <c r="H50" i="4410"/>
  <c r="H49" i="4410"/>
  <c r="H48" i="4410"/>
  <c r="H47" i="4410"/>
  <c r="H46" i="4410"/>
  <c r="H45" i="4410"/>
  <c r="H44" i="4410"/>
  <c r="H43" i="4410"/>
  <c r="H42" i="4410"/>
  <c r="H41" i="4410"/>
  <c r="H40" i="4410"/>
  <c r="H39" i="4410"/>
  <c r="H38" i="4410"/>
  <c r="H37" i="4410"/>
  <c r="H36" i="4410"/>
  <c r="H35" i="4410"/>
  <c r="H34" i="4410"/>
  <c r="H33" i="4410"/>
  <c r="H13" i="4410"/>
  <c r="H32" i="4410"/>
  <c r="H31" i="4410"/>
  <c r="H9" i="4410"/>
  <c r="H30" i="4410"/>
  <c r="H29" i="4410"/>
  <c r="H28" i="4410"/>
  <c r="H27" i="4410"/>
  <c r="C25" i="4410"/>
  <c r="H26" i="4410"/>
  <c r="H12" i="4410"/>
  <c r="H25" i="4410"/>
  <c r="B22" i="4410"/>
  <c r="H24" i="4410"/>
  <c r="H23" i="4410"/>
  <c r="C20" i="4410"/>
  <c r="H22" i="4410"/>
  <c r="H21" i="4410"/>
  <c r="H20" i="4410"/>
  <c r="B17" i="4410"/>
  <c r="B21" i="4410" s="1"/>
  <c r="H19" i="4410"/>
  <c r="C16" i="4410"/>
  <c r="H18" i="4410"/>
  <c r="C15" i="4410"/>
  <c r="H11" i="4410"/>
  <c r="C14" i="4410"/>
  <c r="H17" i="4410"/>
  <c r="C13" i="4410"/>
  <c r="O12" i="4410"/>
  <c r="H16" i="4410"/>
  <c r="C12" i="4410"/>
  <c r="O11" i="4410"/>
  <c r="H3" i="4410"/>
  <c r="C11" i="4410"/>
  <c r="O10" i="4410"/>
  <c r="H15" i="4410"/>
  <c r="C10" i="4410"/>
  <c r="H8" i="4410"/>
  <c r="C9" i="4410"/>
  <c r="H5" i="4410"/>
  <c r="C8" i="4410"/>
  <c r="O7" i="4410"/>
  <c r="H6" i="4410"/>
  <c r="C7" i="4410"/>
  <c r="O6" i="4410"/>
  <c r="H14" i="4410"/>
  <c r="B6" i="4410"/>
  <c r="O5" i="4410"/>
  <c r="H10" i="4410"/>
  <c r="B5" i="4410"/>
  <c r="O4" i="4410"/>
  <c r="H2" i="4410"/>
  <c r="O3" i="4410"/>
  <c r="H7" i="4410"/>
  <c r="O2" i="4410"/>
  <c r="H4" i="4410"/>
  <c r="O19" i="4404"/>
  <c r="O16" i="4404"/>
  <c r="O19" i="4402"/>
  <c r="O17" i="4402"/>
  <c r="C18" i="4414" l="1"/>
  <c r="C18" i="4410"/>
  <c r="C19" i="4410"/>
  <c r="C17" i="4414"/>
  <c r="C18" i="4412"/>
  <c r="C19" i="4412"/>
  <c r="C17" i="4412"/>
  <c r="C17" i="4410"/>
  <c r="O15" i="4408" l="1"/>
  <c r="O17" i="4408"/>
  <c r="H51" i="4408"/>
  <c r="H50" i="4408"/>
  <c r="H49" i="4408"/>
  <c r="H48" i="4408"/>
  <c r="H47" i="4408"/>
  <c r="H46" i="4408"/>
  <c r="H45" i="4408"/>
  <c r="H44" i="4408"/>
  <c r="H43" i="4408"/>
  <c r="H42" i="4408"/>
  <c r="H41" i="4408"/>
  <c r="H40" i="4408"/>
  <c r="H39" i="4408"/>
  <c r="H38" i="4408"/>
  <c r="H37" i="4408"/>
  <c r="H36" i="4408"/>
  <c r="H35" i="4408"/>
  <c r="H34" i="4408"/>
  <c r="H33" i="4408"/>
  <c r="H32" i="4408"/>
  <c r="H31" i="4408"/>
  <c r="H30" i="4408"/>
  <c r="H8" i="4408"/>
  <c r="H29" i="4408"/>
  <c r="H28" i="4408"/>
  <c r="H11" i="4408"/>
  <c r="H27" i="4408"/>
  <c r="C25" i="4408"/>
  <c r="H26" i="4408"/>
  <c r="H14" i="4408"/>
  <c r="H25" i="4408"/>
  <c r="B22" i="4408"/>
  <c r="H24" i="4408"/>
  <c r="H23" i="4408"/>
  <c r="C20" i="4408"/>
  <c r="H22" i="4408"/>
  <c r="H21" i="4408"/>
  <c r="H13" i="4408"/>
  <c r="B17" i="4408"/>
  <c r="C19" i="4408" s="1"/>
  <c r="H20" i="4408"/>
  <c r="C16" i="4408"/>
  <c r="H19" i="4408"/>
  <c r="C15" i="4408"/>
  <c r="H18" i="4408"/>
  <c r="C14" i="4408"/>
  <c r="H17" i="4408"/>
  <c r="C13" i="4408"/>
  <c r="O12" i="4408"/>
  <c r="H16" i="4408"/>
  <c r="C12" i="4408"/>
  <c r="O11" i="4408"/>
  <c r="H5" i="4408"/>
  <c r="C11" i="4408"/>
  <c r="O10" i="4408"/>
  <c r="H7" i="4408"/>
  <c r="C10" i="4408"/>
  <c r="H10" i="4408"/>
  <c r="C9" i="4408"/>
  <c r="H9" i="4408"/>
  <c r="C8" i="4408"/>
  <c r="O7" i="4408"/>
  <c r="H6" i="4408"/>
  <c r="C7" i="4408"/>
  <c r="O6" i="4408"/>
  <c r="H15" i="4408"/>
  <c r="B6" i="4408"/>
  <c r="O5" i="4408"/>
  <c r="H4" i="4408"/>
  <c r="B5" i="4408"/>
  <c r="O4" i="4408"/>
  <c r="H2" i="4408"/>
  <c r="O3" i="4408"/>
  <c r="H12" i="4408"/>
  <c r="O2" i="4408"/>
  <c r="H3" i="4408"/>
  <c r="O19" i="4406"/>
  <c r="O18" i="4406"/>
  <c r="H51" i="4406"/>
  <c r="H50" i="4406"/>
  <c r="H49" i="4406"/>
  <c r="H48" i="4406"/>
  <c r="H47" i="4406"/>
  <c r="H46" i="4406"/>
  <c r="H45" i="4406"/>
  <c r="H44" i="4406"/>
  <c r="H43" i="4406"/>
  <c r="H42" i="4406"/>
  <c r="H41" i="4406"/>
  <c r="H40" i="4406"/>
  <c r="H39" i="4406"/>
  <c r="H38" i="4406"/>
  <c r="H37" i="4406"/>
  <c r="H36" i="4406"/>
  <c r="H35" i="4406"/>
  <c r="H34" i="4406"/>
  <c r="H33" i="4406"/>
  <c r="H32" i="4406"/>
  <c r="H16" i="4406"/>
  <c r="H31" i="4406"/>
  <c r="H11" i="4406"/>
  <c r="H30" i="4406"/>
  <c r="H29" i="4406"/>
  <c r="H10" i="4406"/>
  <c r="H28" i="4406"/>
  <c r="C25" i="4406"/>
  <c r="H27" i="4406"/>
  <c r="H26" i="4406"/>
  <c r="H25" i="4406"/>
  <c r="B22" i="4406"/>
  <c r="H15" i="4406"/>
  <c r="H24" i="4406"/>
  <c r="C20" i="4406"/>
  <c r="H23" i="4406"/>
  <c r="H22" i="4406"/>
  <c r="H21" i="4406"/>
  <c r="B17" i="4406"/>
  <c r="C17" i="4406" s="1"/>
  <c r="H20" i="4406"/>
  <c r="C16" i="4406"/>
  <c r="H19" i="4406"/>
  <c r="C15" i="4406"/>
  <c r="H14" i="4406"/>
  <c r="C14" i="4406"/>
  <c r="H18" i="4406"/>
  <c r="C13" i="4406"/>
  <c r="O12" i="4406"/>
  <c r="H13" i="4406"/>
  <c r="C12" i="4406"/>
  <c r="O11" i="4406"/>
  <c r="H7" i="4406"/>
  <c r="C11" i="4406"/>
  <c r="O10" i="4406"/>
  <c r="H12" i="4406"/>
  <c r="C10" i="4406"/>
  <c r="H9" i="4406"/>
  <c r="C9" i="4406"/>
  <c r="H6" i="4406"/>
  <c r="C8" i="4406"/>
  <c r="O7" i="4406"/>
  <c r="H5" i="4406"/>
  <c r="C7" i="4406"/>
  <c r="O6" i="4406"/>
  <c r="H17" i="4406"/>
  <c r="B6" i="4406"/>
  <c r="O5" i="4406"/>
  <c r="H4" i="4406"/>
  <c r="B5" i="4406"/>
  <c r="O4" i="4406"/>
  <c r="H3" i="4406"/>
  <c r="O3" i="4406"/>
  <c r="H8" i="4406"/>
  <c r="O2" i="4406"/>
  <c r="H2" i="4406"/>
  <c r="O21" i="4402"/>
  <c r="O17" i="4404"/>
  <c r="O18" i="4404"/>
  <c r="H51" i="4404"/>
  <c r="H50" i="4404"/>
  <c r="H49" i="4404"/>
  <c r="H48" i="4404"/>
  <c r="H47" i="4404"/>
  <c r="H46" i="4404"/>
  <c r="H45" i="4404"/>
  <c r="H44" i="4404"/>
  <c r="H43" i="4404"/>
  <c r="H42" i="4404"/>
  <c r="H41" i="4404"/>
  <c r="H40" i="4404"/>
  <c r="H39" i="4404"/>
  <c r="H38" i="4404"/>
  <c r="H37" i="4404"/>
  <c r="H36" i="4404"/>
  <c r="H35" i="4404"/>
  <c r="H34" i="4404"/>
  <c r="H33" i="4404"/>
  <c r="H32" i="4404"/>
  <c r="H31" i="4404"/>
  <c r="H30" i="4404"/>
  <c r="H6" i="4404"/>
  <c r="H29" i="4404"/>
  <c r="H28" i="4404"/>
  <c r="H10" i="4404"/>
  <c r="H27" i="4404"/>
  <c r="C25" i="4404"/>
  <c r="H26" i="4404"/>
  <c r="H13" i="4404"/>
  <c r="H25" i="4404"/>
  <c r="B22" i="4404"/>
  <c r="H15" i="4404"/>
  <c r="H24" i="4404"/>
  <c r="C20" i="4404"/>
  <c r="H23" i="4404"/>
  <c r="H22" i="4404"/>
  <c r="H12" i="4404"/>
  <c r="B17" i="4404"/>
  <c r="B21" i="4404" s="1"/>
  <c r="H21" i="4404"/>
  <c r="C16" i="4404"/>
  <c r="H20" i="4404"/>
  <c r="C15" i="4404"/>
  <c r="H19" i="4404"/>
  <c r="C14" i="4404"/>
  <c r="H18" i="4404"/>
  <c r="C13" i="4404"/>
  <c r="O12" i="4404"/>
  <c r="H17" i="4404"/>
  <c r="C12" i="4404"/>
  <c r="O11" i="4404"/>
  <c r="H2" i="4404"/>
  <c r="C11" i="4404"/>
  <c r="O10" i="4404"/>
  <c r="H14" i="4404"/>
  <c r="C10" i="4404"/>
  <c r="H11" i="4404"/>
  <c r="C9" i="4404"/>
  <c r="H5" i="4404"/>
  <c r="C8" i="4404"/>
  <c r="O7" i="4404"/>
  <c r="H7" i="4404"/>
  <c r="C7" i="4404"/>
  <c r="O6" i="4404"/>
  <c r="H16" i="4404"/>
  <c r="B6" i="4404"/>
  <c r="O5" i="4404"/>
  <c r="H8" i="4404"/>
  <c r="B5" i="4404"/>
  <c r="O4" i="4404"/>
  <c r="H3" i="4404"/>
  <c r="O3" i="4404"/>
  <c r="H9" i="4404"/>
  <c r="O2" i="4404"/>
  <c r="H4" i="4404"/>
  <c r="O16" i="4402"/>
  <c r="O18" i="4402"/>
  <c r="H51" i="4402"/>
  <c r="H50" i="4402"/>
  <c r="H49" i="4402"/>
  <c r="H48" i="4402"/>
  <c r="H47" i="4402"/>
  <c r="H46" i="4402"/>
  <c r="H45" i="4402"/>
  <c r="H44" i="4402"/>
  <c r="H43" i="4402"/>
  <c r="H42" i="4402"/>
  <c r="H41" i="4402"/>
  <c r="H40" i="4402"/>
  <c r="H39" i="4402"/>
  <c r="H38" i="4402"/>
  <c r="H37" i="4402"/>
  <c r="H36" i="4402"/>
  <c r="H35" i="4402"/>
  <c r="H34" i="4402"/>
  <c r="H33" i="4402"/>
  <c r="H19" i="4402"/>
  <c r="H17" i="4402"/>
  <c r="H32" i="4402"/>
  <c r="H8" i="4402"/>
  <c r="H31" i="4402"/>
  <c r="H30" i="4402"/>
  <c r="H11" i="4402"/>
  <c r="H29" i="4402"/>
  <c r="C25" i="4402"/>
  <c r="H28" i="4402"/>
  <c r="H12" i="4402"/>
  <c r="H27" i="4402"/>
  <c r="B22" i="4402"/>
  <c r="H16" i="4402"/>
  <c r="H26" i="4402"/>
  <c r="C20" i="4402"/>
  <c r="H25" i="4402"/>
  <c r="H24" i="4402"/>
  <c r="H15" i="4402"/>
  <c r="B17" i="4402"/>
  <c r="C19" i="4402" s="1"/>
  <c r="H23" i="4402"/>
  <c r="C16" i="4402"/>
  <c r="H22" i="4402"/>
  <c r="C15" i="4402"/>
  <c r="H14" i="4402"/>
  <c r="C14" i="4402"/>
  <c r="H21" i="4402"/>
  <c r="C13" i="4402"/>
  <c r="O12" i="4402"/>
  <c r="H18" i="4402"/>
  <c r="C12" i="4402"/>
  <c r="O11" i="4402"/>
  <c r="H3" i="4402"/>
  <c r="C11" i="4402"/>
  <c r="O10" i="4402"/>
  <c r="H13" i="4402"/>
  <c r="C10" i="4402"/>
  <c r="H10" i="4402"/>
  <c r="C9" i="4402"/>
  <c r="H7" i="4402"/>
  <c r="C8" i="4402"/>
  <c r="O7" i="4402"/>
  <c r="H5" i="4402"/>
  <c r="C7" i="4402"/>
  <c r="O6" i="4402"/>
  <c r="H20" i="4402"/>
  <c r="B6" i="4402"/>
  <c r="O5" i="4402"/>
  <c r="H6" i="4402"/>
  <c r="B5" i="4402"/>
  <c r="O4" i="4402"/>
  <c r="H2" i="4402"/>
  <c r="O3" i="4402"/>
  <c r="H9" i="4402"/>
  <c r="O2" i="4402"/>
  <c r="H4" i="4402"/>
  <c r="C18" i="4406" l="1"/>
  <c r="C19" i="4406"/>
  <c r="C18" i="4404"/>
  <c r="C19" i="4404"/>
  <c r="C17" i="4408"/>
  <c r="B21" i="4408"/>
  <c r="C18" i="4408"/>
  <c r="B21" i="4406"/>
  <c r="C17" i="4404"/>
  <c r="C17" i="4402"/>
  <c r="B21" i="4402"/>
  <c r="C18" i="4402"/>
  <c r="O12" i="2228" l="1"/>
  <c r="O11" i="2228"/>
  <c r="O10" i="2228"/>
  <c r="O6" i="2228"/>
  <c r="H2" i="2228" l="1"/>
  <c r="C12" i="2228"/>
  <c r="C11" i="2228"/>
  <c r="C10" i="2228"/>
  <c r="C8" i="2228"/>
  <c r="O2" i="2228" l="1"/>
  <c r="O7" i="2228"/>
  <c r="O5" i="2228"/>
  <c r="O4" i="2228"/>
  <c r="O3" i="2228"/>
  <c r="C25" i="2228" l="1"/>
  <c r="C14" i="2228" l="1"/>
  <c r="C13" i="2228"/>
  <c r="C20" i="2228" l="1"/>
  <c r="B22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7" i="2228"/>
  <c r="B17" i="2228"/>
  <c r="H14" i="2228"/>
  <c r="C16" i="2228"/>
  <c r="H13" i="2228"/>
  <c r="C15" i="2228"/>
  <c r="H12" i="2228"/>
  <c r="H11" i="2228"/>
  <c r="H10" i="2228"/>
  <c r="H9" i="2228"/>
  <c r="C9" i="2228"/>
  <c r="H8" i="2228"/>
  <c r="H7" i="2228"/>
  <c r="C7" i="2228"/>
  <c r="H6" i="2228"/>
  <c r="B6" i="2228"/>
  <c r="H5" i="2228"/>
  <c r="B5" i="2228"/>
  <c r="H4" i="2228"/>
  <c r="H3" i="2228"/>
  <c r="B21" i="2228" l="1"/>
  <c r="C18" i="2228"/>
  <c r="C19" i="2228"/>
</calcChain>
</file>

<file path=xl/sharedStrings.xml><?xml version="1.0" encoding="utf-8"?>
<sst xmlns="http://schemas.openxmlformats.org/spreadsheetml/2006/main" count="1949" uniqueCount="190">
  <si>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</si>
  <si>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</si>
  <si>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</si>
  <si>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</si>
  <si>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</si>
  <si>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</si>
  <si>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</si>
  <si>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</si>
  <si>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</si>
  <si>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</si>
  <si>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</si>
  <si>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</si>
  <si>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</si>
  <si>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</si>
  <si>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</si>
  <si>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</si>
  <si>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</si>
  <si>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</si>
  <si>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</si>
  <si>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</si>
  <si>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</si>
  <si>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</si>
  <si>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</si>
  <si>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</si>
  <si>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</si>
  <si>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</si>
  <si>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</si>
  <si>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</si>
  <si>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</si>
  <si>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</si>
  <si>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</si>
  <si>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</si>
  <si>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</si>
  <si>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</si>
  <si>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</si>
  <si>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</si>
  <si>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</si>
  <si>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</si>
  <si>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</si>
  <si>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</si>
  <si>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</si>
  <si>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</si>
  <si>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</si>
  <si>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</si>
  <si>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</si>
  <si>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</si>
  <si>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</si>
  <si>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</si>
  <si>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</si>
  <si>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</si>
  <si>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</si>
  <si>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</si>
  <si>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</si>
  <si>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</si>
  <si>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</si>
  <si>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</si>
  <si>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</si>
  <si>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</si>
  <si>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</si>
  <si>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</si>
  <si>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</si>
  <si>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</si>
  <si>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</si>
  <si>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</si>
  <si>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</si>
  <si>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</si>
  <si>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</si>
  <si>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</si>
  <si>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</si>
  <si>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</si>
  <si>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</si>
  <si>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</si>
  <si>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</si>
  <si>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</si>
  <si>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</si>
  <si>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</si>
  <si>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</si>
  <si>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</si>
  <si>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</si>
  <si>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</si>
  <si>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</si>
  <si>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</si>
  <si>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</si>
  <si>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</si>
  <si>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</si>
  <si>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</si>
  <si>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</si>
  <si>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</si>
  <si>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</si>
  <si>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</si>
  <si>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</si>
  <si>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</si>
  <si>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</si>
  <si>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</si>
  <si>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</si>
  <si>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</si>
  <si>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</si>
  <si>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</si>
  <si>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</si>
  <si>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</si>
  <si>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</si>
  <si>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</si>
  <si>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</si>
  <si>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</si>
  <si>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</si>
  <si>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</si>
  <si>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</si>
  <si>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</si>
  <si>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</si>
  <si>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</si>
  <si>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</si>
  <si>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</si>
  <si>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</si>
  <si>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</si>
  <si>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</si>
  <si>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</si>
  <si>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</si>
  <si>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</si>
  <si>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</si>
  <si>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</si>
  <si>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</si>
  <si>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</si>
  <si>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</si>
  <si>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</si>
  <si>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</si>
  <si>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</si>
  <si>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</si>
  <si>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</si>
  <si>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</si>
  <si>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</si>
  <si>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</si>
  <si>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</si>
  <si>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</si>
  <si>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</si>
  <si>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</si>
  <si>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</si>
  <si>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</si>
  <si>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</si>
  <si>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</si>
  <si>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</si>
  <si>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</si>
  <si>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</si>
  <si>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</si>
  <si>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</si>
  <si>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</si>
  <si>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</si>
  <si>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</si>
  <si>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</si>
  <si>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</si>
  <si>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</si>
  <si>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</si>
  <si>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</si>
  <si>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</si>
  <si>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</si>
  <si>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</si>
  <si>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</si>
  <si>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</si>
  <si>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</si>
  <si>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</si>
  <si>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</si>
  <si>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</si>
  <si>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</si>
  <si>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</si>
  <si>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</si>
  <si>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</si>
  <si>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</si>
  <si>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</si>
  <si>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</si>
  <si>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逆転率</t>
    <rPh sb="0" eb="2">
      <t>ギャクテン</t>
    </rPh>
    <rPh sb="2" eb="3">
      <t>リツ</t>
    </rPh>
    <phoneticPr fontId="1"/>
  </si>
  <si>
    <t>逆転率</t>
    <rPh sb="0" eb="2">
      <t>ギャクテン</t>
    </rPh>
    <rPh sb="2" eb="3">
      <t>リツ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</si>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</sst>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7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2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3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2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3" xfId="0" applyNumberFormat="1" applyBorder="1" applyAlignment="1">
      <alignment horizontal="center" vertical="center" shrinkToFit="1"/>
    </xf>
    <xf numFmtId="185" fontId="0" fillId="0" borderId="3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9" xfId="0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1" fontId="2" fillId="0" borderId="52" xfId="0" applyNumberFormat="1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0" fontId="3" fillId="0" borderId="52" xfId="0" applyFont="1" applyBorder="1" applyAlignment="1">
      <alignment horizontal="center" vertical="center" shrinkToFit="1"/>
    </xf>
    <xf numFmtId="1" fontId="2" fillId="0" borderId="41" xfId="0" applyNumberFormat="1" applyFont="1" applyBorder="1" applyAlignment="1">
      <alignment horizontal="center" vertical="center" shrinkToFit="1"/>
    </xf>
    <xf numFmtId="0" fontId="0" fillId="0" borderId="41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76" fontId="5" fillId="0" borderId="44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1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5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0" fontId="0" fillId="0" borderId="4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1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40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5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3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4.xml"/><Relationship Id="rId33" Type="http://schemas.openxmlformats.org/officeDocument/2006/relationships/chartsheet" Target="chartsheets/sheet12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8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3.xml"/><Relationship Id="rId32" Type="http://schemas.openxmlformats.org/officeDocument/2006/relationships/chartsheet" Target="chartsheets/sheet11.xml"/><Relationship Id="rId37" Type="http://schemas.openxmlformats.org/officeDocument/2006/relationships/chartsheet" Target="chartsheets/sheet16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hartsheet" Target="chartsheets/sheet2.xml"/><Relationship Id="rId28" Type="http://schemas.openxmlformats.org/officeDocument/2006/relationships/chartsheet" Target="chartsheets/sheet7.xml"/><Relationship Id="rId36" Type="http://schemas.openxmlformats.org/officeDocument/2006/relationships/chartsheet" Target="chartsheets/sheet1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hartsheet" Target="chartsheets/sheet1.xml"/><Relationship Id="rId27" Type="http://schemas.openxmlformats.org/officeDocument/2006/relationships/chartsheet" Target="chartsheets/sheet6.xml"/><Relationship Id="rId30" Type="http://schemas.openxmlformats.org/officeDocument/2006/relationships/chartsheet" Target="chartsheets/sheet9.xml"/><Relationship Id="rId35" Type="http://schemas.openxmlformats.org/officeDocument/2006/relationships/chartsheet" Target="chart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全体!$K$2:$K$62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</c:numCache>
            </c:numRef>
          </c:xVal>
          <c:yVal>
            <c:numRef>
              <c:f>全体!$L$2:$L$62</c:f>
              <c:numCache>
                <c:formatCode>\+0.0;\-0.0;\±0</c:formatCode>
                <c:ptCount val="61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FE-4F16-A32C-EC99C098A4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-50</c:v>
                </c:pt>
                <c:pt idx="1">
                  <c:v>-33.333333333333336</c:v>
                </c:pt>
                <c:pt idx="2">
                  <c:v>92.592592592592595</c:v>
                </c:pt>
                <c:pt idx="3">
                  <c:v>0</c:v>
                </c:pt>
                <c:pt idx="4">
                  <c:v>-20.833333333333332</c:v>
                </c:pt>
                <c:pt idx="5">
                  <c:v>22.222222222222221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57-4E89-A2F0-418055230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だいち!$L$2:$L$15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8F-47F6-94E1-050A035AF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2553.8461538461538</c:v>
                </c:pt>
                <c:pt idx="1">
                  <c:v>4823.0769230769229</c:v>
                </c:pt>
                <c:pt idx="2">
                  <c:v>4391.666666666667</c:v>
                </c:pt>
                <c:pt idx="3">
                  <c:v>7872.727272727273</c:v>
                </c:pt>
                <c:pt idx="4">
                  <c:v>1180</c:v>
                </c:pt>
                <c:pt idx="5">
                  <c:v>766.66666666666663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C3-4A41-89F9-C3A1002D0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りくと!$L$2:$L$14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41-44BD-A301-D2FF6F37A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-3500</c:v>
                </c:pt>
                <c:pt idx="1">
                  <c:v>-541.66666666666663</c:v>
                </c:pt>
                <c:pt idx="2">
                  <c:v>-1383.3333333333333</c:v>
                </c:pt>
                <c:pt idx="3">
                  <c:v>916.66666666666663</c:v>
                </c:pt>
                <c:pt idx="4">
                  <c:v>3191.6666666666665</c:v>
                </c:pt>
                <c:pt idx="5">
                  <c:v>-58.333333333333336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52-483F-8B8E-3BD95671F0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ただ!$L$2:$L$11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AA-4885-87CF-116F47FCA4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1255.5555555555557</c:v>
                </c:pt>
                <c:pt idx="1">
                  <c:v>-3022.2222222222222</c:v>
                </c:pt>
                <c:pt idx="2">
                  <c:v>-2914.2857142857142</c:v>
                </c:pt>
                <c:pt idx="3">
                  <c:v>-5114.2857142857147</c:v>
                </c:pt>
                <c:pt idx="4">
                  <c:v>-1571.4285714285713</c:v>
                </c:pt>
                <c:pt idx="5">
                  <c:v>-642.85714285714289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9C-4F2A-952F-50615D72C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れんたろう!$L$2:$L$12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DE-4EB1-98C6-C641E96242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-2080</c:v>
                </c:pt>
                <c:pt idx="1">
                  <c:v>3070</c:v>
                </c:pt>
                <c:pt idx="2">
                  <c:v>188.88888888888889</c:v>
                </c:pt>
                <c:pt idx="3">
                  <c:v>-6600</c:v>
                </c:pt>
                <c:pt idx="4">
                  <c:v>2114.2857142857142</c:v>
                </c:pt>
                <c:pt idx="5">
                  <c:v>-350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98-4528-8A11-A7A2EFE14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たかの!$L$2:$L$9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A-4CB8-B203-D97D77670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2700</c:v>
                </c:pt>
                <c:pt idx="1">
                  <c:v>1842.8571428571429</c:v>
                </c:pt>
                <c:pt idx="2">
                  <c:v>-1466.6666666666667</c:v>
                </c:pt>
                <c:pt idx="3">
                  <c:v>4200</c:v>
                </c:pt>
                <c:pt idx="4">
                  <c:v>-4716.666666666667</c:v>
                </c:pt>
                <c:pt idx="5">
                  <c:v>-3020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A1-4099-9B81-5ABEC0ED07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ぱぱ!$L$2:$L$9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14-4CB4-9890-857A107B63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-271.42857142857144</c:v>
                </c:pt>
                <c:pt idx="1">
                  <c:v>-9800</c:v>
                </c:pt>
                <c:pt idx="2">
                  <c:v>-283.33333333333331</c:v>
                </c:pt>
                <c:pt idx="3">
                  <c:v>-6560</c:v>
                </c:pt>
                <c:pt idx="4">
                  <c:v>-4400</c:v>
                </c:pt>
                <c:pt idx="5">
                  <c:v>-3375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2C-4B24-A9C8-45A9D32DF7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まっつん!$L$2:$L$4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22-4ED7-9C4D-FA68614973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-850</c:v>
                </c:pt>
                <c:pt idx="1">
                  <c:v>-3000</c:v>
                </c:pt>
                <c:pt idx="2">
                  <c:v>-950</c:v>
                </c:pt>
                <c:pt idx="3">
                  <c:v>-700</c:v>
                </c:pt>
                <c:pt idx="4">
                  <c:v>-4500</c:v>
                </c:pt>
                <c:pt idx="5">
                  <c:v>15000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1D-45BB-BE53-911134EAE7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まっつん2!$B$3:$B$5</c:f>
              <c:numCache>
                <c:formatCode>\+0.0;\-0.0;\±0</c:formatCode>
                <c:ptCount val="3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まっつん2!$C$3:$C$5</c:f>
              <c:numCache>
                <c:formatCode>\+0.0;\-0.0;\±0</c:formatCode>
                <c:ptCount val="3"/>
                <c:pt idx="1">
                  <c:v>-1.9</c:v>
                </c:pt>
                <c:pt idx="2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まっつん2!$D$3:$D$5</c:f>
              <c:numCache>
                <c:formatCode>0.00\ "位"</c:formatCode>
                <c:ptCount val="3"/>
                <c:pt idx="1">
                  <c:v>2</c:v>
                </c:pt>
                <c:pt idx="2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まっつん2!$E$3:$E$5</c:f>
              <c:numCache>
                <c:formatCode>0.0%</c:formatCode>
                <c:ptCount val="3"/>
                <c:pt idx="1">
                  <c:v>0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まっつん2!$F$3:$F$5</c:f>
              <c:numCache>
                <c:formatCode>0.0%</c:formatCode>
                <c:ptCount val="3"/>
                <c:pt idx="1">
                  <c:v>0.2857142857142857</c:v>
                </c:pt>
                <c:pt idx="2">
                  <c:v>0.29411764705882354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まっつん2!$G$3:$G$5</c:f>
              <c:numCache>
                <c:formatCode>0.0%</c:formatCode>
                <c:ptCount val="3"/>
                <c:pt idx="1">
                  <c:v>0.14285714285714285</c:v>
                </c:pt>
                <c:pt idx="2">
                  <c:v>0.17647058823529413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まっつん2!$H$3:$H$5</c:f>
              <c:numCache>
                <c:formatCode>0</c:formatCode>
                <c:ptCount val="3"/>
                <c:pt idx="1">
                  <c:v>7050</c:v>
                </c:pt>
                <c:pt idx="2">
                  <c:v>8800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まっつん2!$I$3:$I$5</c:f>
              <c:numCache>
                <c:formatCode>0</c:formatCode>
                <c:ptCount val="3"/>
                <c:pt idx="1">
                  <c:v>-3900</c:v>
                </c:pt>
                <c:pt idx="2">
                  <c:v>-2933.3333333333335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まっつん2!$J$3:$J$5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まっつん2!$K$3:$K$5</c:f>
              <c:numCache>
                <c:formatCode>0.0%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まっつん2!$M$3:$M$5</c:f>
              <c:numCache>
                <c:formatCode>0.0%</c:formatCode>
                <c:ptCount val="3"/>
                <c:pt idx="1">
                  <c:v>0</c:v>
                </c:pt>
                <c:pt idx="2">
                  <c:v>0.11764705882352941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まっつん2!$N$3:$N$5</c:f>
              <c:numCache>
                <c:formatCode>0.0%</c:formatCode>
                <c:ptCount val="3"/>
                <c:pt idx="1">
                  <c:v>0.14285714285714285</c:v>
                </c:pt>
                <c:pt idx="2">
                  <c:v>0.17647058823529413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まっつん2!$O$3:$O$5</c:f>
              <c:numCache>
                <c:formatCode>0.0%</c:formatCode>
                <c:ptCount val="3"/>
                <c:pt idx="1">
                  <c:v>0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まっつん2!$P$3:$P$5</c:f>
              <c:numCache>
                <c:formatCode>0.0%</c:formatCode>
                <c:ptCount val="3"/>
                <c:pt idx="1">
                  <c:v>0</c:v>
                </c:pt>
                <c:pt idx="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まっつん2!$Q$3:$Q$5</c:f>
              <c:numCache>
                <c:formatCode>0.0%</c:formatCode>
                <c:ptCount val="3"/>
                <c:pt idx="1">
                  <c:v>0.5</c:v>
                </c:pt>
                <c:pt idx="2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逆転率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</c:f>
              <c:numCache>
                <c:formatCode>0\ "回"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まっつん2!$L$3:$L$5</c:f>
              <c:numCache>
                <c:formatCode>0.0%</c:formatCode>
                <c:ptCount val="3"/>
                <c:pt idx="1">
                  <c:v>0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1BF95DF-B22F-4508-9511-64244E1149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B9C7D63-6942-4926-97E4-7E941254AC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971934D-980D-4EBA-97C8-C27F9B9E38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06886FA-6DF9-4E8F-BE66-F11B09D047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383E0A6-8D40-4573-AC43-12563AE5AE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3425AD9-B3FA-4C5A-8738-9410A26762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125ABBD-4FC8-4A03-8235-58476BA79E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4AAB9AC-88EE-4B18-8DF4-338A7F6126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476DF19-B306-4F3B-AE74-D2A2784D1A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C6B7A5C-DB96-4161-9085-D3832D8852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EC1CB6C-12C1-4822-BB5B-C19DE6B601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4CAE7C2-5905-44D2-B732-535332CA50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928E178-C282-45BF-8D06-D702136B3E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D025D0F-35CF-45DC-BF9E-8455ACEAF5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ED27635-A6BB-4B32-8390-316BF58AC7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F06E383-D93F-49D2-9C74-D9944B587D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4" bestFit="1" customWidth="1"/>
    <col min="6" max="6" width="11" style="10" bestFit="1" customWidth="1"/>
    <col min="7" max="8" width="9" style="1" customWidth="1"/>
    <col min="9" max="9" width="9" style="35" customWidth="1"/>
    <col min="10" max="10" width="3.625" style="1" customWidth="1"/>
    <col min="11" max="11" width="3.5" style="5" customWidth="1"/>
    <col min="12" max="12" width="9" style="105" customWidth="1"/>
    <col min="13" max="13" width="3.625" style="1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1"/>
  </cols>
  <sheetData>
    <row r="1" spans="1:17" x14ac:dyDescent="0.4">
      <c r="A1" s="21" t="s">
        <v>0</v>
      </c>
      <c r="B1" s="143"/>
      <c r="C1" s="144"/>
      <c r="E1" s="135" t="s">
        <v>177</v>
      </c>
      <c r="F1" s="12" t="s">
        <v>120</v>
      </c>
      <c r="G1" s="27" t="s">
        <v>121</v>
      </c>
      <c r="H1" s="136" t="s">
        <v>122</v>
      </c>
      <c r="I1" s="106" t="s">
        <v>161</v>
      </c>
      <c r="K1" s="2" t="s">
        <v>20</v>
      </c>
      <c r="L1" s="37" t="s">
        <v>125</v>
      </c>
      <c r="M1" s="137"/>
      <c r="N1" s="119" t="s">
        <v>144</v>
      </c>
      <c r="O1" s="36" t="s">
        <v>145</v>
      </c>
      <c r="P1" s="123" t="s">
        <v>121</v>
      </c>
      <c r="Q1" s="107" t="s">
        <v>166</v>
      </c>
    </row>
    <row r="2" spans="1:17" x14ac:dyDescent="0.4">
      <c r="A2" s="22" t="s">
        <v>9</v>
      </c>
      <c r="B2" s="145">
        <v>0</v>
      </c>
      <c r="C2" s="146"/>
      <c r="E2" s="64" t="s">
        <v>67</v>
      </c>
      <c r="F2" s="28" t="s">
        <v>21</v>
      </c>
      <c r="G2" s="14">
        <v>0</v>
      </c>
      <c r="H2" s="138">
        <f t="shared" ref="H2:H33" si="0">IF(B$27=0,0,G2/B$27)</f>
        <v>0</v>
      </c>
      <c r="I2" s="99"/>
      <c r="K2" s="3">
        <v>0</v>
      </c>
      <c r="L2" s="104">
        <v>0</v>
      </c>
      <c r="N2" s="120" t="s">
        <v>138</v>
      </c>
      <c r="O2" s="127">
        <f t="shared" ref="O2:O7" si="1">IF(P2=0,0,Q2/P2)</f>
        <v>0</v>
      </c>
      <c r="P2" s="124">
        <v>0</v>
      </c>
      <c r="Q2" s="108">
        <v>0</v>
      </c>
    </row>
    <row r="3" spans="1:17" x14ac:dyDescent="0.4">
      <c r="A3" s="23" t="s">
        <v>8</v>
      </c>
      <c r="B3" s="147">
        <v>0</v>
      </c>
      <c r="C3" s="148"/>
      <c r="E3" s="65" t="s">
        <v>68</v>
      </c>
      <c r="F3" s="29" t="s">
        <v>22</v>
      </c>
      <c r="G3" s="15">
        <v>0</v>
      </c>
      <c r="H3" s="139">
        <f t="shared" si="0"/>
        <v>0</v>
      </c>
      <c r="I3" s="100"/>
      <c r="N3" s="121" t="s">
        <v>139</v>
      </c>
      <c r="O3" s="128">
        <f t="shared" si="1"/>
        <v>0</v>
      </c>
      <c r="P3" s="125">
        <v>0</v>
      </c>
      <c r="Q3" s="109">
        <v>0</v>
      </c>
    </row>
    <row r="4" spans="1:17" x14ac:dyDescent="0.4">
      <c r="A4" s="23" t="s">
        <v>6</v>
      </c>
      <c r="B4" s="149">
        <v>0</v>
      </c>
      <c r="C4" s="150"/>
      <c r="E4" s="65" t="s">
        <v>69</v>
      </c>
      <c r="F4" s="29" t="s">
        <v>23</v>
      </c>
      <c r="G4" s="15">
        <v>0</v>
      </c>
      <c r="H4" s="139">
        <f t="shared" si="0"/>
        <v>0</v>
      </c>
      <c r="I4" s="100"/>
      <c r="N4" s="121" t="s">
        <v>140</v>
      </c>
      <c r="O4" s="128">
        <f t="shared" si="1"/>
        <v>0</v>
      </c>
      <c r="P4" s="125">
        <v>0</v>
      </c>
      <c r="Q4" s="109">
        <v>0</v>
      </c>
    </row>
    <row r="5" spans="1:17" x14ac:dyDescent="0.4">
      <c r="A5" s="23" t="s">
        <v>7</v>
      </c>
      <c r="B5" s="151">
        <f>IF(B$2=0,0,B$4/B$2)</f>
        <v>0</v>
      </c>
      <c r="C5" s="152"/>
      <c r="E5" s="65" t="s">
        <v>70</v>
      </c>
      <c r="F5" s="29" t="s">
        <v>24</v>
      </c>
      <c r="G5" s="15">
        <v>0</v>
      </c>
      <c r="H5" s="139">
        <f t="shared" si="0"/>
        <v>0</v>
      </c>
      <c r="I5" s="100"/>
      <c r="N5" s="121" t="s">
        <v>141</v>
      </c>
      <c r="O5" s="128">
        <f t="shared" si="1"/>
        <v>0</v>
      </c>
      <c r="P5" s="125">
        <v>0</v>
      </c>
      <c r="Q5" s="109">
        <v>0</v>
      </c>
    </row>
    <row r="6" spans="1:17" x14ac:dyDescent="0.4">
      <c r="A6" s="23" t="s">
        <v>1</v>
      </c>
      <c r="B6" s="157">
        <f>IF(B$2=0,0,(B$7*1+B$8*2+B$9*3)/B$2)</f>
        <v>0</v>
      </c>
      <c r="C6" s="158"/>
      <c r="E6" s="65" t="s">
        <v>71</v>
      </c>
      <c r="F6" s="29" t="s">
        <v>25</v>
      </c>
      <c r="G6" s="15">
        <v>0</v>
      </c>
      <c r="H6" s="139">
        <f t="shared" si="0"/>
        <v>0</v>
      </c>
      <c r="I6" s="100"/>
      <c r="N6" s="121" t="s">
        <v>142</v>
      </c>
      <c r="O6" s="128">
        <f t="shared" si="1"/>
        <v>0</v>
      </c>
      <c r="P6" s="125">
        <v>0</v>
      </c>
      <c r="Q6" s="109">
        <v>0</v>
      </c>
    </row>
    <row r="7" spans="1:17" x14ac:dyDescent="0.4">
      <c r="A7" s="23" t="s">
        <v>2</v>
      </c>
      <c r="B7" s="15">
        <v>0</v>
      </c>
      <c r="C7" s="6">
        <f>IF(B$2=0,0,B7/B$2)</f>
        <v>0</v>
      </c>
      <c r="E7" s="65" t="s">
        <v>72</v>
      </c>
      <c r="F7" s="29" t="s">
        <v>12</v>
      </c>
      <c r="G7" s="15">
        <v>0</v>
      </c>
      <c r="H7" s="139">
        <f t="shared" si="0"/>
        <v>0</v>
      </c>
      <c r="I7" s="100"/>
      <c r="N7" s="122" t="s">
        <v>143</v>
      </c>
      <c r="O7" s="129">
        <f t="shared" si="1"/>
        <v>0</v>
      </c>
      <c r="P7" s="126">
        <v>0</v>
      </c>
      <c r="Q7" s="110">
        <v>0</v>
      </c>
    </row>
    <row r="8" spans="1:17" x14ac:dyDescent="0.4">
      <c r="A8" s="23" t="s">
        <v>3</v>
      </c>
      <c r="B8" s="15">
        <v>0</v>
      </c>
      <c r="C8" s="6">
        <f>IF(B$2=0,0,B8/B$2)</f>
        <v>0</v>
      </c>
      <c r="E8" s="65" t="s">
        <v>73</v>
      </c>
      <c r="F8" s="29" t="s">
        <v>26</v>
      </c>
      <c r="G8" s="15">
        <v>0</v>
      </c>
      <c r="H8" s="139">
        <f t="shared" si="0"/>
        <v>0</v>
      </c>
      <c r="I8" s="100"/>
      <c r="N8" s="45"/>
      <c r="O8" s="133"/>
      <c r="P8" s="117"/>
      <c r="Q8" s="115"/>
    </row>
    <row r="9" spans="1:17" x14ac:dyDescent="0.4">
      <c r="A9" s="24" t="s">
        <v>4</v>
      </c>
      <c r="B9" s="16">
        <v>0</v>
      </c>
      <c r="C9" s="7">
        <f t="shared" ref="C9" si="2">IF(B$2=0,0,B9/B$2)</f>
        <v>0</v>
      </c>
      <c r="E9" s="65" t="s">
        <v>74</v>
      </c>
      <c r="F9" s="29" t="s">
        <v>27</v>
      </c>
      <c r="G9" s="15">
        <v>0</v>
      </c>
      <c r="H9" s="139">
        <f t="shared" si="0"/>
        <v>0</v>
      </c>
      <c r="I9" s="100"/>
      <c r="N9" s="119" t="s">
        <v>173</v>
      </c>
      <c r="O9" s="36" t="s">
        <v>125</v>
      </c>
      <c r="P9" s="123" t="s">
        <v>121</v>
      </c>
      <c r="Q9" s="111" t="s">
        <v>165</v>
      </c>
    </row>
    <row r="10" spans="1:17" x14ac:dyDescent="0.4">
      <c r="A10" s="24" t="s">
        <v>19</v>
      </c>
      <c r="B10" s="16">
        <v>0</v>
      </c>
      <c r="C10" s="7">
        <f>IF(B$2=0,0,B10/B$2)</f>
        <v>0</v>
      </c>
      <c r="E10" s="65" t="s">
        <v>75</v>
      </c>
      <c r="F10" s="29" t="s">
        <v>28</v>
      </c>
      <c r="G10" s="15">
        <v>0</v>
      </c>
      <c r="H10" s="139">
        <f t="shared" si="0"/>
        <v>0</v>
      </c>
      <c r="I10" s="100"/>
      <c r="N10" s="120" t="s">
        <v>174</v>
      </c>
      <c r="O10" s="130">
        <f>IF(P10=0,0,Q10/P10)</f>
        <v>0</v>
      </c>
      <c r="P10" s="124">
        <v>0</v>
      </c>
      <c r="Q10" s="112">
        <v>0</v>
      </c>
    </row>
    <row r="11" spans="1:17" x14ac:dyDescent="0.4">
      <c r="A11" s="58" t="s">
        <v>146</v>
      </c>
      <c r="B11" s="50">
        <v>0</v>
      </c>
      <c r="C11" s="42">
        <f>IF(B$2=0,0,B11/B$2)</f>
        <v>0</v>
      </c>
      <c r="E11" s="65" t="s">
        <v>76</v>
      </c>
      <c r="F11" s="29" t="s">
        <v>29</v>
      </c>
      <c r="G11" s="15">
        <v>0</v>
      </c>
      <c r="H11" s="139">
        <f t="shared" si="0"/>
        <v>0</v>
      </c>
      <c r="I11" s="100"/>
      <c r="N11" s="121" t="s">
        <v>175</v>
      </c>
      <c r="O11" s="131">
        <f>IF(P11=0,0,Q11/P11)</f>
        <v>0</v>
      </c>
      <c r="P11" s="125">
        <v>0</v>
      </c>
      <c r="Q11" s="113">
        <v>0</v>
      </c>
    </row>
    <row r="12" spans="1:17" x14ac:dyDescent="0.4">
      <c r="A12" s="59" t="s">
        <v>167</v>
      </c>
      <c r="B12" s="51">
        <v>0</v>
      </c>
      <c r="C12" s="44">
        <f>IF(B$2=0,0,B12/B$2)</f>
        <v>0</v>
      </c>
      <c r="E12" s="65" t="s">
        <v>77</v>
      </c>
      <c r="F12" s="29" t="s">
        <v>30</v>
      </c>
      <c r="G12" s="15">
        <v>0</v>
      </c>
      <c r="H12" s="139">
        <f t="shared" si="0"/>
        <v>0</v>
      </c>
      <c r="I12" s="100"/>
      <c r="N12" s="122" t="s">
        <v>176</v>
      </c>
      <c r="O12" s="132">
        <f>IF(P12=0,0,Q12/P12)</f>
        <v>0</v>
      </c>
      <c r="P12" s="126">
        <v>0</v>
      </c>
      <c r="Q12" s="114">
        <v>0</v>
      </c>
    </row>
    <row r="13" spans="1:17" x14ac:dyDescent="0.4">
      <c r="A13" s="26" t="s">
        <v>128</v>
      </c>
      <c r="B13" s="18">
        <v>0</v>
      </c>
      <c r="C13" s="11">
        <f>IF(B$26=0,0,B13/B$26)</f>
        <v>0</v>
      </c>
      <c r="E13" s="65" t="s">
        <v>78</v>
      </c>
      <c r="F13" s="29" t="s">
        <v>31</v>
      </c>
      <c r="G13" s="15">
        <v>0</v>
      </c>
      <c r="H13" s="139">
        <f t="shared" si="0"/>
        <v>0</v>
      </c>
      <c r="I13" s="100"/>
      <c r="N13" s="35"/>
      <c r="O13" s="116"/>
      <c r="P13" s="118"/>
      <c r="Q13" s="116"/>
    </row>
    <row r="14" spans="1:17" x14ac:dyDescent="0.4">
      <c r="A14" s="23" t="s">
        <v>123</v>
      </c>
      <c r="B14" s="15">
        <v>0</v>
      </c>
      <c r="C14" s="6">
        <f>IF(B$26=0,0,B14/B$26)</f>
        <v>0</v>
      </c>
      <c r="E14" s="65" t="s">
        <v>79</v>
      </c>
      <c r="F14" s="29" t="s">
        <v>32</v>
      </c>
      <c r="G14" s="15">
        <v>0</v>
      </c>
      <c r="H14" s="139">
        <f t="shared" si="0"/>
        <v>0</v>
      </c>
      <c r="I14" s="100"/>
      <c r="N14" s="119" t="s">
        <v>162</v>
      </c>
      <c r="O14" s="36" t="s">
        <v>163</v>
      </c>
      <c r="P14" s="123" t="s">
        <v>164</v>
      </c>
      <c r="Q14" s="111" t="s">
        <v>165</v>
      </c>
    </row>
    <row r="15" spans="1:17" x14ac:dyDescent="0.4">
      <c r="A15" s="22" t="s">
        <v>130</v>
      </c>
      <c r="B15" s="14">
        <v>0</v>
      </c>
      <c r="C15" s="4">
        <f>IF(B$13=0,0,B15/B$13)</f>
        <v>0</v>
      </c>
      <c r="E15" s="65" t="s">
        <v>80</v>
      </c>
      <c r="F15" s="29" t="s">
        <v>33</v>
      </c>
      <c r="G15" s="15">
        <v>0</v>
      </c>
      <c r="H15" s="139">
        <f t="shared" si="0"/>
        <v>0</v>
      </c>
      <c r="I15" s="100"/>
      <c r="N15" s="120"/>
      <c r="O15" s="130"/>
      <c r="P15" s="124"/>
      <c r="Q15" s="112"/>
    </row>
    <row r="16" spans="1:17" x14ac:dyDescent="0.4">
      <c r="A16" s="22" t="s">
        <v>131</v>
      </c>
      <c r="B16" s="14">
        <v>0</v>
      </c>
      <c r="C16" s="4">
        <f>IF(B$14=0,0,B16/B$14)</f>
        <v>0</v>
      </c>
      <c r="E16" s="65" t="s">
        <v>81</v>
      </c>
      <c r="F16" s="29" t="s">
        <v>34</v>
      </c>
      <c r="G16" s="15">
        <v>0</v>
      </c>
      <c r="H16" s="139">
        <f t="shared" si="0"/>
        <v>0</v>
      </c>
      <c r="I16" s="100"/>
    </row>
    <row r="17" spans="1:9" x14ac:dyDescent="0.4">
      <c r="A17" s="22" t="s">
        <v>10</v>
      </c>
      <c r="B17" s="14">
        <f>B19+B18</f>
        <v>0</v>
      </c>
      <c r="C17" s="4">
        <f>IF(B$3=0,0,B17/B$3)</f>
        <v>0</v>
      </c>
      <c r="E17" s="65" t="s">
        <v>82</v>
      </c>
      <c r="F17" s="29" t="s">
        <v>35</v>
      </c>
      <c r="G17" s="15">
        <v>0</v>
      </c>
      <c r="H17" s="139">
        <f t="shared" si="0"/>
        <v>0</v>
      </c>
      <c r="I17" s="100"/>
    </row>
    <row r="18" spans="1:9" x14ac:dyDescent="0.4">
      <c r="A18" s="23" t="s">
        <v>12</v>
      </c>
      <c r="B18" s="15">
        <v>0</v>
      </c>
      <c r="C18" s="6">
        <f>IF(B$17=0,0,B18/B$17)</f>
        <v>0</v>
      </c>
      <c r="E18" s="65" t="s">
        <v>83</v>
      </c>
      <c r="F18" s="29" t="s">
        <v>36</v>
      </c>
      <c r="G18" s="15">
        <v>0</v>
      </c>
      <c r="H18" s="139">
        <f t="shared" si="0"/>
        <v>0</v>
      </c>
      <c r="I18" s="100"/>
    </row>
    <row r="19" spans="1:9" x14ac:dyDescent="0.4">
      <c r="A19" s="23" t="s">
        <v>11</v>
      </c>
      <c r="B19" s="15">
        <v>0</v>
      </c>
      <c r="C19" s="6">
        <f>IF(B$17=0,0,B19/B$17)</f>
        <v>0</v>
      </c>
      <c r="E19" s="65" t="s">
        <v>84</v>
      </c>
      <c r="F19" s="29" t="s">
        <v>37</v>
      </c>
      <c r="G19" s="15">
        <v>0</v>
      </c>
      <c r="H19" s="139">
        <f t="shared" si="0"/>
        <v>0</v>
      </c>
      <c r="I19" s="100"/>
    </row>
    <row r="20" spans="1:9" x14ac:dyDescent="0.4">
      <c r="A20" s="23" t="s">
        <v>13</v>
      </c>
      <c r="B20" s="15">
        <v>0</v>
      </c>
      <c r="C20" s="6">
        <f>IF(B$3=0,0,B20/B$3)</f>
        <v>0</v>
      </c>
      <c r="E20" s="65" t="s">
        <v>85</v>
      </c>
      <c r="F20" s="29" t="s">
        <v>38</v>
      </c>
      <c r="G20" s="15">
        <v>0</v>
      </c>
      <c r="H20" s="139">
        <f t="shared" si="0"/>
        <v>0</v>
      </c>
      <c r="I20" s="100"/>
    </row>
    <row r="21" spans="1:9" x14ac:dyDescent="0.4">
      <c r="A21" s="23" t="s">
        <v>5</v>
      </c>
      <c r="B21" s="19">
        <f>IF(B$17=0,0,C21/B$17)</f>
        <v>0</v>
      </c>
      <c r="C21" s="8">
        <v>0</v>
      </c>
      <c r="E21" s="65" t="s">
        <v>86</v>
      </c>
      <c r="F21" s="29" t="s">
        <v>39</v>
      </c>
      <c r="G21" s="15">
        <v>0</v>
      </c>
      <c r="H21" s="139">
        <f t="shared" si="0"/>
        <v>0</v>
      </c>
      <c r="I21" s="100"/>
    </row>
    <row r="22" spans="1:9" x14ac:dyDescent="0.4">
      <c r="A22" s="25" t="s">
        <v>14</v>
      </c>
      <c r="B22" s="20">
        <f>IF(B$20=0,0,C22/B$20)</f>
        <v>0</v>
      </c>
      <c r="C22" s="13">
        <v>0</v>
      </c>
      <c r="E22" s="65" t="s">
        <v>87</v>
      </c>
      <c r="F22" s="29" t="s">
        <v>40</v>
      </c>
      <c r="G22" s="15">
        <v>0</v>
      </c>
      <c r="H22" s="139">
        <f t="shared" si="0"/>
        <v>0</v>
      </c>
      <c r="I22" s="100"/>
    </row>
    <row r="23" spans="1:9" x14ac:dyDescent="0.4">
      <c r="A23" s="96" t="s">
        <v>148</v>
      </c>
      <c r="B23" s="155">
        <v>0</v>
      </c>
      <c r="C23" s="156"/>
      <c r="E23" s="65" t="s">
        <v>88</v>
      </c>
      <c r="F23" s="29" t="s">
        <v>41</v>
      </c>
      <c r="G23" s="15">
        <v>0</v>
      </c>
      <c r="H23" s="139">
        <f t="shared" si="0"/>
        <v>0</v>
      </c>
      <c r="I23" s="100"/>
    </row>
    <row r="24" spans="1:9" x14ac:dyDescent="0.4">
      <c r="A24" s="60" t="s">
        <v>159</v>
      </c>
      <c r="B24" s="153">
        <v>0</v>
      </c>
      <c r="C24" s="154"/>
      <c r="E24" s="65" t="s">
        <v>89</v>
      </c>
      <c r="F24" s="29" t="s">
        <v>42</v>
      </c>
      <c r="G24" s="15">
        <v>0</v>
      </c>
      <c r="H24" s="139">
        <f t="shared" si="0"/>
        <v>0</v>
      </c>
      <c r="I24" s="100"/>
    </row>
    <row r="25" spans="1:9" x14ac:dyDescent="0.4">
      <c r="A25" s="25" t="s">
        <v>149</v>
      </c>
      <c r="B25" s="34">
        <v>0</v>
      </c>
      <c r="C25" s="9">
        <f>IF(B$3=0,0,B25/B$3)</f>
        <v>0</v>
      </c>
      <c r="E25" s="65" t="s">
        <v>90</v>
      </c>
      <c r="F25" s="29" t="s">
        <v>43</v>
      </c>
      <c r="G25" s="15">
        <v>0</v>
      </c>
      <c r="H25" s="139">
        <f t="shared" si="0"/>
        <v>0</v>
      </c>
      <c r="I25" s="100"/>
    </row>
    <row r="26" spans="1:9" x14ac:dyDescent="0.4">
      <c r="A26" s="22" t="s">
        <v>126</v>
      </c>
      <c r="B26" s="145">
        <v>0</v>
      </c>
      <c r="C26" s="146"/>
      <c r="E26" s="65" t="s">
        <v>91</v>
      </c>
      <c r="F26" s="29" t="s">
        <v>44</v>
      </c>
      <c r="G26" s="15">
        <v>0</v>
      </c>
      <c r="H26" s="139">
        <f t="shared" si="0"/>
        <v>0</v>
      </c>
      <c r="I26" s="100"/>
    </row>
    <row r="27" spans="1:9" x14ac:dyDescent="0.4">
      <c r="A27" s="25" t="s">
        <v>127</v>
      </c>
      <c r="B27" s="159">
        <v>0</v>
      </c>
      <c r="C27" s="160"/>
      <c r="E27" s="65" t="s">
        <v>92</v>
      </c>
      <c r="F27" s="29" t="s">
        <v>45</v>
      </c>
      <c r="G27" s="15">
        <v>0</v>
      </c>
      <c r="H27" s="139">
        <f t="shared" si="0"/>
        <v>0</v>
      </c>
      <c r="I27" s="100"/>
    </row>
    <row r="28" spans="1:9" x14ac:dyDescent="0.4">
      <c r="E28" s="65" t="s">
        <v>93</v>
      </c>
      <c r="F28" s="29" t="s">
        <v>46</v>
      </c>
      <c r="G28" s="15">
        <v>0</v>
      </c>
      <c r="H28" s="139">
        <f t="shared" si="0"/>
        <v>0</v>
      </c>
      <c r="I28" s="100"/>
    </row>
    <row r="29" spans="1:9" x14ac:dyDescent="0.4">
      <c r="E29" s="65" t="s">
        <v>94</v>
      </c>
      <c r="F29" s="29" t="s">
        <v>47</v>
      </c>
      <c r="G29" s="15">
        <v>0</v>
      </c>
      <c r="H29" s="139">
        <f t="shared" si="0"/>
        <v>0</v>
      </c>
      <c r="I29" s="100"/>
    </row>
    <row r="30" spans="1:9" x14ac:dyDescent="0.4">
      <c r="E30" s="65" t="s">
        <v>95</v>
      </c>
      <c r="F30" s="29" t="s">
        <v>48</v>
      </c>
      <c r="G30" s="15">
        <v>0</v>
      </c>
      <c r="H30" s="139">
        <f t="shared" si="0"/>
        <v>0</v>
      </c>
      <c r="I30" s="100"/>
    </row>
    <row r="31" spans="1:9" x14ac:dyDescent="0.4">
      <c r="E31" s="65" t="s">
        <v>96</v>
      </c>
      <c r="F31" s="29" t="s">
        <v>49</v>
      </c>
      <c r="G31" s="15">
        <v>0</v>
      </c>
      <c r="H31" s="139">
        <f t="shared" si="0"/>
        <v>0</v>
      </c>
      <c r="I31" s="100"/>
    </row>
    <row r="32" spans="1:9" x14ac:dyDescent="0.4">
      <c r="E32" s="65" t="s">
        <v>97</v>
      </c>
      <c r="F32" s="29" t="s">
        <v>50</v>
      </c>
      <c r="G32" s="15">
        <v>0</v>
      </c>
      <c r="H32" s="139">
        <f t="shared" si="0"/>
        <v>0</v>
      </c>
      <c r="I32" s="100"/>
    </row>
    <row r="33" spans="5:9" x14ac:dyDescent="0.4">
      <c r="E33" s="65" t="s">
        <v>98</v>
      </c>
      <c r="F33" s="29" t="s">
        <v>51</v>
      </c>
      <c r="G33" s="15">
        <v>0</v>
      </c>
      <c r="H33" s="139">
        <f t="shared" si="0"/>
        <v>0</v>
      </c>
      <c r="I33" s="100"/>
    </row>
    <row r="34" spans="5:9" x14ac:dyDescent="0.4">
      <c r="E34" s="65" t="s">
        <v>99</v>
      </c>
      <c r="F34" s="29" t="s">
        <v>52</v>
      </c>
      <c r="G34" s="15">
        <v>0</v>
      </c>
      <c r="H34" s="139">
        <f t="shared" ref="H34:H51" si="3">IF(B$27=0,0,G34/B$27)</f>
        <v>0</v>
      </c>
      <c r="I34" s="100"/>
    </row>
    <row r="35" spans="5:9" x14ac:dyDescent="0.4">
      <c r="E35" s="65" t="s">
        <v>100</v>
      </c>
      <c r="F35" s="29" t="s">
        <v>53</v>
      </c>
      <c r="G35" s="15">
        <v>0</v>
      </c>
      <c r="H35" s="139">
        <f t="shared" si="3"/>
        <v>0</v>
      </c>
      <c r="I35" s="100"/>
    </row>
    <row r="36" spans="5:9" x14ac:dyDescent="0.4">
      <c r="E36" s="65" t="s">
        <v>101</v>
      </c>
      <c r="F36" s="29" t="s">
        <v>54</v>
      </c>
      <c r="G36" s="15">
        <v>0</v>
      </c>
      <c r="H36" s="139">
        <f t="shared" si="3"/>
        <v>0</v>
      </c>
      <c r="I36" s="100"/>
    </row>
    <row r="37" spans="5:9" x14ac:dyDescent="0.4">
      <c r="E37" s="65" t="s">
        <v>102</v>
      </c>
      <c r="F37" s="29" t="s">
        <v>55</v>
      </c>
      <c r="G37" s="15">
        <v>0</v>
      </c>
      <c r="H37" s="139">
        <f t="shared" si="3"/>
        <v>0</v>
      </c>
      <c r="I37" s="100"/>
    </row>
    <row r="38" spans="5:9" x14ac:dyDescent="0.4">
      <c r="E38" s="65" t="s">
        <v>103</v>
      </c>
      <c r="F38" s="29" t="s">
        <v>56</v>
      </c>
      <c r="G38" s="15">
        <v>0</v>
      </c>
      <c r="H38" s="139">
        <f t="shared" si="3"/>
        <v>0</v>
      </c>
      <c r="I38" s="100"/>
    </row>
    <row r="39" spans="5:9" x14ac:dyDescent="0.4">
      <c r="E39" s="65" t="s">
        <v>104</v>
      </c>
      <c r="F39" s="29" t="s">
        <v>57</v>
      </c>
      <c r="G39" s="15">
        <v>0</v>
      </c>
      <c r="H39" s="139">
        <f t="shared" si="3"/>
        <v>0</v>
      </c>
      <c r="I39" s="100"/>
    </row>
    <row r="40" spans="5:9" x14ac:dyDescent="0.4">
      <c r="E40" s="65" t="s">
        <v>105</v>
      </c>
      <c r="F40" s="29" t="s">
        <v>58</v>
      </c>
      <c r="G40" s="15">
        <v>0</v>
      </c>
      <c r="H40" s="139">
        <f t="shared" si="3"/>
        <v>0</v>
      </c>
      <c r="I40" s="100"/>
    </row>
    <row r="41" spans="5:9" x14ac:dyDescent="0.4">
      <c r="E41" s="65" t="s">
        <v>106</v>
      </c>
      <c r="F41" s="29" t="s">
        <v>59</v>
      </c>
      <c r="G41" s="15">
        <v>0</v>
      </c>
      <c r="H41" s="139">
        <f t="shared" si="3"/>
        <v>0</v>
      </c>
      <c r="I41" s="100"/>
    </row>
    <row r="42" spans="5:9" x14ac:dyDescent="0.4">
      <c r="E42" s="65" t="s">
        <v>107</v>
      </c>
      <c r="F42" s="29" t="s">
        <v>60</v>
      </c>
      <c r="G42" s="15">
        <v>0</v>
      </c>
      <c r="H42" s="139">
        <f t="shared" si="3"/>
        <v>0</v>
      </c>
      <c r="I42" s="100"/>
    </row>
    <row r="43" spans="5:9" x14ac:dyDescent="0.4">
      <c r="E43" s="65" t="s">
        <v>108</v>
      </c>
      <c r="F43" s="29" t="s">
        <v>61</v>
      </c>
      <c r="G43" s="15">
        <v>0</v>
      </c>
      <c r="H43" s="139">
        <f t="shared" si="3"/>
        <v>0</v>
      </c>
      <c r="I43" s="100"/>
    </row>
    <row r="44" spans="5:9" x14ac:dyDescent="0.4">
      <c r="E44" s="65" t="s">
        <v>109</v>
      </c>
      <c r="F44" s="29" t="s">
        <v>62</v>
      </c>
      <c r="G44" s="15">
        <v>0</v>
      </c>
      <c r="H44" s="139">
        <f t="shared" si="3"/>
        <v>0</v>
      </c>
      <c r="I44" s="100"/>
    </row>
    <row r="45" spans="5:9" x14ac:dyDescent="0.4">
      <c r="E45" s="65" t="s">
        <v>110</v>
      </c>
      <c r="F45" s="29" t="s">
        <v>117</v>
      </c>
      <c r="G45" s="15">
        <v>0</v>
      </c>
      <c r="H45" s="139">
        <f t="shared" si="3"/>
        <v>0</v>
      </c>
      <c r="I45" s="100"/>
    </row>
    <row r="46" spans="5:9" x14ac:dyDescent="0.4">
      <c r="E46" s="65" t="s">
        <v>111</v>
      </c>
      <c r="F46" s="29" t="s">
        <v>118</v>
      </c>
      <c r="G46" s="15">
        <v>0</v>
      </c>
      <c r="H46" s="139">
        <f t="shared" si="3"/>
        <v>0</v>
      </c>
      <c r="I46" s="100"/>
    </row>
    <row r="47" spans="5:9" x14ac:dyDescent="0.4">
      <c r="E47" s="65" t="s">
        <v>112</v>
      </c>
      <c r="F47" s="29" t="s">
        <v>119</v>
      </c>
      <c r="G47" s="15">
        <v>0</v>
      </c>
      <c r="H47" s="139">
        <f t="shared" si="3"/>
        <v>0</v>
      </c>
      <c r="I47" s="100"/>
    </row>
    <row r="48" spans="5:9" x14ac:dyDescent="0.4">
      <c r="E48" s="65" t="s">
        <v>113</v>
      </c>
      <c r="F48" s="29" t="s">
        <v>63</v>
      </c>
      <c r="G48" s="15">
        <v>0</v>
      </c>
      <c r="H48" s="139">
        <f t="shared" si="3"/>
        <v>0</v>
      </c>
      <c r="I48" s="100"/>
    </row>
    <row r="49" spans="5:9" x14ac:dyDescent="0.4">
      <c r="E49" s="65" t="s">
        <v>114</v>
      </c>
      <c r="F49" s="29" t="s">
        <v>64</v>
      </c>
      <c r="G49" s="15">
        <v>0</v>
      </c>
      <c r="H49" s="139">
        <f t="shared" si="3"/>
        <v>0</v>
      </c>
      <c r="I49" s="100"/>
    </row>
    <row r="50" spans="5:9" x14ac:dyDescent="0.4">
      <c r="E50" s="65" t="s">
        <v>115</v>
      </c>
      <c r="F50" s="29" t="s">
        <v>65</v>
      </c>
      <c r="G50" s="15">
        <v>0</v>
      </c>
      <c r="H50" s="139">
        <f t="shared" si="3"/>
        <v>0</v>
      </c>
      <c r="I50" s="100"/>
    </row>
    <row r="51" spans="5:9" x14ac:dyDescent="0.4">
      <c r="E51" s="66" t="s">
        <v>116</v>
      </c>
      <c r="F51" s="30" t="s">
        <v>66</v>
      </c>
      <c r="G51" s="17">
        <v>0</v>
      </c>
      <c r="H51" s="140">
        <f t="shared" si="3"/>
        <v>0</v>
      </c>
      <c r="I51" s="101"/>
    </row>
  </sheetData>
  <mergeCells count="10">
    <mergeCell ref="B24:C24"/>
    <mergeCell ref="B23:C23"/>
    <mergeCell ref="B6:C6"/>
    <mergeCell ref="B26:C26"/>
    <mergeCell ref="B27:C27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G6"/>
  <sheetViews>
    <sheetView workbookViewId="0"/>
  </sheetViews>
  <sheetFormatPr defaultColWidth="9" defaultRowHeight="18.75" x14ac:dyDescent="0.4"/>
  <cols>
    <col min="1" max="1" width="16.375" style="32" bestFit="1" customWidth="1"/>
    <col min="2" max="2" width="16.875" style="33" bestFit="1" customWidth="1"/>
    <col min="3" max="16384" width="9" style="32"/>
  </cols>
  <sheetData>
    <row r="1" spans="1:7" x14ac:dyDescent="0.4">
      <c r="A1" s="31">
        <v>32874</v>
      </c>
      <c r="B1" s="31">
        <v>2958465</v>
      </c>
    </row>
    <row r="2" spans="1:7" x14ac:dyDescent="0.4">
      <c r="A2" s="32" t="s">
        <v>178</v>
      </c>
      <c r="B2" s="33">
        <v>43555.865243055552</v>
      </c>
      <c r="C2" s="32" t="s">
        <v>136</v>
      </c>
      <c r="D2" s="32" t="s">
        <v>137</v>
      </c>
      <c r="E2" s="32" t="s">
        <v>179</v>
      </c>
    </row>
    <row r="3" spans="1:7" x14ac:dyDescent="0.4">
      <c r="A3" s="32" t="s">
        <v>180</v>
      </c>
      <c r="B3" s="33">
        <v>43557.861886574072</v>
      </c>
      <c r="C3" s="32" t="s">
        <v>136</v>
      </c>
      <c r="D3" s="32" t="s">
        <v>137</v>
      </c>
      <c r="E3" s="32" t="s">
        <v>179</v>
      </c>
      <c r="F3" s="32" t="s">
        <v>184</v>
      </c>
      <c r="G3" s="32" t="s">
        <v>185</v>
      </c>
    </row>
    <row r="4" spans="1:7" x14ac:dyDescent="0.4">
      <c r="A4" s="32" t="s">
        <v>186</v>
      </c>
      <c r="B4" s="33">
        <v>43559.023634259262</v>
      </c>
      <c r="C4" s="32" t="s">
        <v>136</v>
      </c>
      <c r="D4" s="32" t="s">
        <v>137</v>
      </c>
      <c r="E4" s="32" t="s">
        <v>179</v>
      </c>
    </row>
    <row r="5" spans="1:7" x14ac:dyDescent="0.4">
      <c r="A5" s="32" t="s">
        <v>188</v>
      </c>
      <c r="B5" s="33">
        <v>43560.077002314814</v>
      </c>
      <c r="C5" s="32" t="s">
        <v>136</v>
      </c>
      <c r="D5" s="32" t="s">
        <v>137</v>
      </c>
      <c r="E5" s="32" t="s">
        <v>179</v>
      </c>
      <c r="F5" s="32" t="s">
        <v>184</v>
      </c>
    </row>
    <row r="6" spans="1:7" x14ac:dyDescent="0.4">
      <c r="A6" s="32" t="s">
        <v>189</v>
      </c>
      <c r="B6" s="33">
        <v>43561.108229166668</v>
      </c>
      <c r="C6" s="32" t="s">
        <v>136</v>
      </c>
      <c r="D6" s="32" t="s">
        <v>137</v>
      </c>
      <c r="E6" s="32" t="s">
        <v>179</v>
      </c>
      <c r="F6" s="32" t="s">
        <v>184</v>
      </c>
      <c r="G6" s="32" t="s">
        <v>185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/>
      <c r="B1" s="72"/>
      <c r="C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153</v>
      </c>
      <c r="G2" s="72" t="s">
        <v>152</v>
      </c>
      <c r="H2" s="72" t="s">
        <v>5</v>
      </c>
      <c r="I2" s="72" t="s">
        <v>17</v>
      </c>
      <c r="J2" s="72" t="s">
        <v>18</v>
      </c>
      <c r="K2" s="72" t="s">
        <v>147</v>
      </c>
      <c r="L2" s="72" t="s">
        <v>168</v>
      </c>
      <c r="M2" s="72" t="s">
        <v>129</v>
      </c>
      <c r="N2" s="72" t="s">
        <v>124</v>
      </c>
      <c r="O2" s="72" t="s">
        <v>132</v>
      </c>
      <c r="P2" s="72" t="s">
        <v>154</v>
      </c>
      <c r="Q2" s="72" t="s">
        <v>150</v>
      </c>
    </row>
    <row r="3" spans="1:17" x14ac:dyDescent="0.4">
      <c r="A3" s="71">
        <v>0</v>
      </c>
      <c r="B3" s="68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8"/>
  <sheetViews>
    <sheetView workbookViewId="0"/>
  </sheetViews>
  <sheetFormatPr defaultRowHeight="18.75" x14ac:dyDescent="0.4"/>
  <sheetData>
    <row r="1" spans="1:1" x14ac:dyDescent="0.4">
      <c r="A1" t="s">
        <v>151</v>
      </c>
    </row>
    <row r="2" spans="1:1" x14ac:dyDescent="0.4">
      <c r="A2" t="s">
        <v>133</v>
      </c>
    </row>
    <row r="3" spans="1:1" x14ac:dyDescent="0.4">
      <c r="A3" t="s">
        <v>134</v>
      </c>
    </row>
    <row r="4" spans="1:1" x14ac:dyDescent="0.4">
      <c r="A4" t="s">
        <v>135</v>
      </c>
    </row>
    <row r="5" spans="1:1" x14ac:dyDescent="0.4">
      <c r="A5" t="s">
        <v>181</v>
      </c>
    </row>
    <row r="6" spans="1:1" x14ac:dyDescent="0.4">
      <c r="A6" t="s">
        <v>182</v>
      </c>
    </row>
    <row r="7" spans="1:1" x14ac:dyDescent="0.4">
      <c r="A7" t="s">
        <v>183</v>
      </c>
    </row>
    <row r="8" spans="1:1" x14ac:dyDescent="0.4">
      <c r="A8" t="s">
        <v>187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O10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86" customWidth="1"/>
    <col min="2" max="2" width="10.75" style="87" customWidth="1"/>
    <col min="3" max="3" width="10.75" style="88" customWidth="1"/>
    <col min="4" max="4" width="10.75" style="89" customWidth="1"/>
    <col min="5" max="5" width="10.75" style="103" customWidth="1"/>
    <col min="6" max="6" width="10.75" style="89" customWidth="1"/>
    <col min="7" max="7" width="10.75" style="90" customWidth="1"/>
    <col min="8" max="8" width="10.75" style="89" customWidth="1"/>
    <col min="9" max="9" width="10.75" style="91" customWidth="1"/>
    <col min="10" max="10" width="10.75" style="89" customWidth="1"/>
    <col min="11" max="11" width="10.75" style="91" customWidth="1"/>
    <col min="12" max="12" width="10.75" style="89" customWidth="1"/>
    <col min="13" max="13" width="10.75" style="92" customWidth="1"/>
    <col min="14" max="14" width="10.75" style="89" customWidth="1"/>
    <col min="15" max="15" width="10.75" style="92" customWidth="1"/>
    <col min="16" max="16" width="10.75" style="89" customWidth="1"/>
    <col min="17" max="17" width="10.75" style="93" customWidth="1"/>
    <col min="18" max="18" width="10.75" style="89" customWidth="1"/>
    <col min="19" max="19" width="10.75" style="93" customWidth="1"/>
    <col min="20" max="20" width="10.75" style="89" customWidth="1"/>
    <col min="21" max="21" width="10.75" style="91" customWidth="1"/>
    <col min="22" max="22" width="10.75" style="89" customWidth="1"/>
    <col min="23" max="23" width="10.75" style="91" customWidth="1"/>
    <col min="24" max="24" width="10.75" style="89" customWidth="1"/>
    <col min="25" max="25" width="10.75" style="91" customWidth="1"/>
    <col min="26" max="26" width="10.75" style="89" customWidth="1"/>
    <col min="27" max="27" width="10.75" style="92" customWidth="1"/>
    <col min="28" max="28" width="10.75" style="89" customWidth="1"/>
    <col min="29" max="29" width="10.75" style="92" customWidth="1"/>
    <col min="30" max="30" width="10.75" style="89" customWidth="1"/>
    <col min="31" max="31" width="10.75" style="92" customWidth="1"/>
    <col min="32" max="32" width="10.75" style="89" customWidth="1"/>
    <col min="33" max="33" width="10.75" style="92" customWidth="1"/>
    <col min="34" max="34" width="10.75" style="89" customWidth="1"/>
    <col min="35" max="35" width="10.75" style="92" customWidth="1"/>
    <col min="36" max="36" width="10.75" style="89" customWidth="1"/>
    <col min="37" max="37" width="10.75" style="94" customWidth="1"/>
    <col min="38" max="38" width="10.75" style="89" customWidth="1"/>
    <col min="39" max="39" width="10.75" style="98" customWidth="1"/>
    <col min="40" max="40" width="10.75" style="89" customWidth="1"/>
    <col min="41" max="41" width="10.75" style="95" customWidth="1"/>
    <col min="42" max="16384" width="9" style="75"/>
  </cols>
  <sheetData>
    <row r="1" spans="1:41" x14ac:dyDescent="0.4">
      <c r="A1" s="74"/>
      <c r="B1" s="165" t="s">
        <v>6</v>
      </c>
      <c r="C1" s="166"/>
      <c r="D1" s="165" t="s">
        <v>7</v>
      </c>
      <c r="E1" s="166"/>
      <c r="F1" s="165" t="s">
        <v>16</v>
      </c>
      <c r="G1" s="166"/>
      <c r="H1" s="165" t="s">
        <v>15</v>
      </c>
      <c r="I1" s="166"/>
      <c r="J1" s="165" t="s">
        <v>171</v>
      </c>
      <c r="K1" s="166"/>
      <c r="L1" s="165" t="s">
        <v>155</v>
      </c>
      <c r="M1" s="166"/>
      <c r="N1" s="165" t="s">
        <v>156</v>
      </c>
      <c r="O1" s="166"/>
      <c r="P1" s="165" t="s">
        <v>5</v>
      </c>
      <c r="Q1" s="166"/>
      <c r="R1" s="165" t="s">
        <v>17</v>
      </c>
      <c r="S1" s="166"/>
      <c r="T1" s="165" t="s">
        <v>18</v>
      </c>
      <c r="U1" s="166"/>
      <c r="V1" s="165" t="s">
        <v>147</v>
      </c>
      <c r="W1" s="166"/>
      <c r="X1" s="165" t="s">
        <v>169</v>
      </c>
      <c r="Y1" s="166"/>
      <c r="Z1" s="165" t="s">
        <v>129</v>
      </c>
      <c r="AA1" s="166"/>
      <c r="AB1" s="165" t="s">
        <v>124</v>
      </c>
      <c r="AC1" s="166"/>
      <c r="AD1" s="165" t="s">
        <v>132</v>
      </c>
      <c r="AE1" s="166"/>
      <c r="AF1" s="165" t="s">
        <v>157</v>
      </c>
      <c r="AG1" s="166"/>
      <c r="AH1" s="165" t="s">
        <v>150</v>
      </c>
      <c r="AI1" s="166"/>
      <c r="AJ1" s="165" t="s">
        <v>158</v>
      </c>
      <c r="AK1" s="166"/>
      <c r="AL1" s="165" t="s">
        <v>160</v>
      </c>
      <c r="AM1" s="166"/>
      <c r="AN1" s="165" t="s">
        <v>172</v>
      </c>
      <c r="AO1" s="166"/>
    </row>
    <row r="2" spans="1:41" x14ac:dyDescent="0.4">
      <c r="A2" s="74" t="s">
        <v>170</v>
      </c>
      <c r="B2" s="163"/>
      <c r="C2" s="164"/>
      <c r="D2" s="163"/>
      <c r="E2" s="164"/>
      <c r="F2" s="161">
        <v>1</v>
      </c>
      <c r="G2" s="162"/>
      <c r="H2" s="161">
        <v>1</v>
      </c>
      <c r="I2" s="162"/>
      <c r="J2" s="161">
        <v>1</v>
      </c>
      <c r="K2" s="162"/>
      <c r="L2" s="161">
        <v>1</v>
      </c>
      <c r="M2" s="162"/>
      <c r="N2" s="161">
        <v>1</v>
      </c>
      <c r="O2" s="162"/>
      <c r="P2" s="161">
        <v>1</v>
      </c>
      <c r="Q2" s="162"/>
      <c r="R2" s="161">
        <v>0.99999999999999989</v>
      </c>
      <c r="S2" s="162"/>
      <c r="T2" s="161" t="e">
        <v>#DIV/0!</v>
      </c>
      <c r="U2" s="162"/>
      <c r="V2" s="161">
        <v>1</v>
      </c>
      <c r="W2" s="162"/>
      <c r="X2" s="161">
        <v>1.0000000000000002</v>
      </c>
      <c r="Y2" s="162"/>
      <c r="Z2" s="161">
        <v>1</v>
      </c>
      <c r="AA2" s="162"/>
      <c r="AB2" s="161">
        <v>1</v>
      </c>
      <c r="AC2" s="162"/>
      <c r="AD2" s="161">
        <v>-1</v>
      </c>
      <c r="AE2" s="162"/>
      <c r="AF2" s="161">
        <v>1</v>
      </c>
      <c r="AG2" s="162"/>
      <c r="AH2" s="161">
        <v>-1</v>
      </c>
      <c r="AI2" s="162"/>
      <c r="AJ2" s="161" t="e">
        <v>#DIV/0!</v>
      </c>
      <c r="AK2" s="162"/>
      <c r="AL2" s="161">
        <v>1</v>
      </c>
      <c r="AM2" s="162"/>
      <c r="AN2" s="161">
        <v>-1</v>
      </c>
      <c r="AO2" s="162"/>
    </row>
    <row r="3" spans="1:41" x14ac:dyDescent="0.4">
      <c r="A3" s="76">
        <v>1</v>
      </c>
      <c r="B3" s="77" t="s">
        <v>133</v>
      </c>
      <c r="C3" s="78">
        <v>418.90000000000003</v>
      </c>
      <c r="D3" s="79" t="s">
        <v>133</v>
      </c>
      <c r="E3" s="102">
        <v>32.223076923076924</v>
      </c>
      <c r="F3" s="79" t="s">
        <v>133</v>
      </c>
      <c r="G3" s="80">
        <v>1.3846153846153846</v>
      </c>
      <c r="H3" s="79" t="s">
        <v>133</v>
      </c>
      <c r="I3" s="81">
        <v>0.69230769230769229</v>
      </c>
      <c r="J3" s="79" t="s">
        <v>187</v>
      </c>
      <c r="K3" s="81">
        <v>0</v>
      </c>
      <c r="L3" s="79" t="s">
        <v>133</v>
      </c>
      <c r="M3" s="82">
        <v>0.44444444444444442</v>
      </c>
      <c r="N3" s="79" t="s">
        <v>133</v>
      </c>
      <c r="O3" s="82">
        <v>0.1388888888888889</v>
      </c>
      <c r="P3" s="79" t="s">
        <v>187</v>
      </c>
      <c r="Q3" s="83">
        <v>8800</v>
      </c>
      <c r="R3" s="79" t="s">
        <v>187</v>
      </c>
      <c r="S3" s="83">
        <v>-2933.3333333333335</v>
      </c>
      <c r="T3" s="79" t="s">
        <v>133</v>
      </c>
      <c r="U3" s="81">
        <v>0</v>
      </c>
      <c r="V3" s="79" t="s">
        <v>133</v>
      </c>
      <c r="W3" s="81">
        <v>0.15384615384615385</v>
      </c>
      <c r="X3" s="79" t="s">
        <v>187</v>
      </c>
      <c r="Y3" s="81">
        <v>0.5</v>
      </c>
      <c r="Z3" s="79" t="s">
        <v>133</v>
      </c>
      <c r="AA3" s="82">
        <v>0.3611111111111111</v>
      </c>
      <c r="AB3" s="79" t="s">
        <v>182</v>
      </c>
      <c r="AC3" s="82">
        <v>0.34545454545454546</v>
      </c>
      <c r="AD3" s="79" t="s">
        <v>187</v>
      </c>
      <c r="AE3" s="82">
        <v>1</v>
      </c>
      <c r="AF3" s="79" t="s">
        <v>133</v>
      </c>
      <c r="AG3" s="82">
        <v>0.6428571428571429</v>
      </c>
      <c r="AH3" s="79" t="s">
        <v>183</v>
      </c>
      <c r="AI3" s="82">
        <v>0.61538461538461542</v>
      </c>
      <c r="AJ3" s="79" t="s">
        <v>151</v>
      </c>
      <c r="AK3" s="84">
        <v>7</v>
      </c>
      <c r="AL3" s="79" t="s">
        <v>133</v>
      </c>
      <c r="AM3" s="97">
        <v>105900</v>
      </c>
      <c r="AN3" s="79" t="s">
        <v>151</v>
      </c>
      <c r="AO3" s="85">
        <v>3</v>
      </c>
    </row>
    <row r="4" spans="1:41" x14ac:dyDescent="0.4">
      <c r="A4" s="86">
        <v>2</v>
      </c>
      <c r="B4" s="87" t="s">
        <v>187</v>
      </c>
      <c r="C4" s="88">
        <v>30</v>
      </c>
      <c r="D4" s="89" t="s">
        <v>187</v>
      </c>
      <c r="E4" s="103">
        <v>15</v>
      </c>
      <c r="F4" s="89" t="s">
        <v>187</v>
      </c>
      <c r="G4" s="90">
        <v>1.5</v>
      </c>
      <c r="H4" s="89" t="s">
        <v>187</v>
      </c>
      <c r="I4" s="91">
        <v>0.5</v>
      </c>
      <c r="J4" s="89" t="s">
        <v>133</v>
      </c>
      <c r="K4" s="91">
        <v>7.6923076923076927E-2</v>
      </c>
      <c r="L4" s="89" t="s">
        <v>182</v>
      </c>
      <c r="M4" s="92">
        <v>0.30909090909090908</v>
      </c>
      <c r="N4" s="89" t="s">
        <v>182</v>
      </c>
      <c r="O4" s="92">
        <v>0.16363636363636364</v>
      </c>
      <c r="P4" s="89" t="s">
        <v>181</v>
      </c>
      <c r="Q4" s="93">
        <v>7890.909090909091</v>
      </c>
      <c r="R4" s="89" t="s">
        <v>181</v>
      </c>
      <c r="S4" s="93">
        <v>-6633.333333333333</v>
      </c>
      <c r="T4" s="89" t="s">
        <v>134</v>
      </c>
      <c r="U4" s="91">
        <v>0</v>
      </c>
      <c r="V4" s="89" t="s">
        <v>181</v>
      </c>
      <c r="W4" s="91">
        <v>0.1</v>
      </c>
      <c r="X4" s="89" t="s">
        <v>133</v>
      </c>
      <c r="Y4" s="91">
        <v>0.30769230769230771</v>
      </c>
      <c r="Z4" s="89" t="s">
        <v>134</v>
      </c>
      <c r="AA4" s="92">
        <v>0.31067961165048541</v>
      </c>
      <c r="AB4" s="89" t="s">
        <v>133</v>
      </c>
      <c r="AC4" s="92">
        <v>0.25925925925925924</v>
      </c>
      <c r="AD4" s="89" t="s">
        <v>182</v>
      </c>
      <c r="AE4" s="92">
        <v>0.7</v>
      </c>
      <c r="AF4" s="89" t="s">
        <v>151</v>
      </c>
      <c r="AG4" s="92">
        <v>0.40540540540540543</v>
      </c>
      <c r="AH4" s="89" t="s">
        <v>187</v>
      </c>
      <c r="AI4" s="92">
        <v>0.4</v>
      </c>
      <c r="AJ4" s="89" t="s">
        <v>135</v>
      </c>
      <c r="AK4" s="94">
        <v>7</v>
      </c>
      <c r="AL4" s="89" t="s">
        <v>151</v>
      </c>
      <c r="AM4" s="98">
        <v>105900</v>
      </c>
      <c r="AN4" s="89" t="s">
        <v>134</v>
      </c>
      <c r="AO4" s="95">
        <v>2</v>
      </c>
    </row>
    <row r="5" spans="1:41" x14ac:dyDescent="0.4">
      <c r="A5" s="86">
        <v>3</v>
      </c>
      <c r="B5" s="87" t="s">
        <v>182</v>
      </c>
      <c r="C5" s="88">
        <v>7.7999999999999972</v>
      </c>
      <c r="D5" s="89" t="s">
        <v>182</v>
      </c>
      <c r="E5" s="103">
        <v>1.1142857142857139</v>
      </c>
      <c r="F5" s="89" t="s">
        <v>151</v>
      </c>
      <c r="G5" s="90">
        <v>2</v>
      </c>
      <c r="H5" s="89" t="s">
        <v>181</v>
      </c>
      <c r="I5" s="91">
        <v>0.4</v>
      </c>
      <c r="J5" s="89" t="s">
        <v>182</v>
      </c>
      <c r="K5" s="91">
        <v>0.14285714285714285</v>
      </c>
      <c r="L5" s="89" t="s">
        <v>151</v>
      </c>
      <c r="M5" s="92">
        <v>0.3057199211045365</v>
      </c>
      <c r="N5" s="89" t="s">
        <v>134</v>
      </c>
      <c r="O5" s="92">
        <v>0.17475728155339806</v>
      </c>
      <c r="P5" s="89" t="s">
        <v>133</v>
      </c>
      <c r="Q5" s="93">
        <v>7870.833333333333</v>
      </c>
      <c r="R5" s="89" t="s">
        <v>182</v>
      </c>
      <c r="S5" s="93">
        <v>-7100</v>
      </c>
      <c r="T5" s="89" t="s">
        <v>182</v>
      </c>
      <c r="U5" s="91">
        <v>0</v>
      </c>
      <c r="V5" s="89" t="s">
        <v>151</v>
      </c>
      <c r="W5" s="91">
        <v>0.05</v>
      </c>
      <c r="X5" s="89" t="s">
        <v>151</v>
      </c>
      <c r="Y5" s="91">
        <v>0.13333333333333333</v>
      </c>
      <c r="Z5" s="89" t="s">
        <v>151</v>
      </c>
      <c r="AA5" s="92">
        <v>0.25641025641025639</v>
      </c>
      <c r="AB5" s="89" t="s">
        <v>134</v>
      </c>
      <c r="AC5" s="92">
        <v>0.22330097087378642</v>
      </c>
      <c r="AD5" s="89" t="s">
        <v>134</v>
      </c>
      <c r="AE5" s="92">
        <v>0.59375</v>
      </c>
      <c r="AF5" s="89" t="s">
        <v>135</v>
      </c>
      <c r="AG5" s="92">
        <v>0.375</v>
      </c>
      <c r="AH5" s="89" t="s">
        <v>134</v>
      </c>
      <c r="AI5" s="92">
        <v>0.38709677419354838</v>
      </c>
      <c r="AJ5" s="89" t="s">
        <v>133</v>
      </c>
      <c r="AK5" s="94">
        <v>4</v>
      </c>
      <c r="AL5" s="89" t="s">
        <v>134</v>
      </c>
      <c r="AM5" s="98">
        <v>75900</v>
      </c>
      <c r="AN5" s="89" t="s">
        <v>181</v>
      </c>
      <c r="AO5" s="95">
        <v>1</v>
      </c>
    </row>
    <row r="6" spans="1:41" x14ac:dyDescent="0.4">
      <c r="A6" s="86">
        <v>4</v>
      </c>
      <c r="B6" s="87" t="s">
        <v>151</v>
      </c>
      <c r="C6" s="88">
        <v>0</v>
      </c>
      <c r="D6" s="89" t="s">
        <v>151</v>
      </c>
      <c r="E6" s="103">
        <v>0</v>
      </c>
      <c r="F6" s="89" t="s">
        <v>182</v>
      </c>
      <c r="G6" s="90">
        <v>2</v>
      </c>
      <c r="H6" s="89" t="s">
        <v>151</v>
      </c>
      <c r="I6" s="91">
        <v>0.33333333333333331</v>
      </c>
      <c r="J6" s="89" t="s">
        <v>151</v>
      </c>
      <c r="K6" s="91">
        <v>0.33333333333333331</v>
      </c>
      <c r="L6" s="89" t="s">
        <v>134</v>
      </c>
      <c r="M6" s="92">
        <v>0.30097087378640774</v>
      </c>
      <c r="N6" s="89" t="s">
        <v>187</v>
      </c>
      <c r="O6" s="92">
        <v>0.17647058823529413</v>
      </c>
      <c r="P6" s="89" t="s">
        <v>134</v>
      </c>
      <c r="Q6" s="93">
        <v>7809.677419354839</v>
      </c>
      <c r="R6" s="89" t="s">
        <v>133</v>
      </c>
      <c r="S6" s="93">
        <v>-7546.666666666667</v>
      </c>
      <c r="T6" s="89" t="s">
        <v>187</v>
      </c>
      <c r="U6" s="91">
        <v>0</v>
      </c>
      <c r="V6" s="89" t="s">
        <v>134</v>
      </c>
      <c r="W6" s="91">
        <v>0</v>
      </c>
      <c r="X6" s="89" t="s">
        <v>135</v>
      </c>
      <c r="Y6" s="91">
        <v>0.1111111111111111</v>
      </c>
      <c r="Z6" s="89" t="s">
        <v>135</v>
      </c>
      <c r="AA6" s="92">
        <v>0.24</v>
      </c>
      <c r="AB6" s="89" t="s">
        <v>151</v>
      </c>
      <c r="AC6" s="92">
        <v>0.21893491124260356</v>
      </c>
      <c r="AD6" s="89" t="s">
        <v>135</v>
      </c>
      <c r="AE6" s="92">
        <v>0.55555555555555558</v>
      </c>
      <c r="AF6" s="89" t="s">
        <v>182</v>
      </c>
      <c r="AG6" s="92">
        <v>0.36842105263157893</v>
      </c>
      <c r="AH6" s="89" t="s">
        <v>151</v>
      </c>
      <c r="AI6" s="92">
        <v>0.36774193548387096</v>
      </c>
      <c r="AJ6" s="89" t="s">
        <v>134</v>
      </c>
      <c r="AK6" s="94">
        <v>4</v>
      </c>
      <c r="AL6" s="89" t="s">
        <v>181</v>
      </c>
      <c r="AM6" s="98">
        <v>64600</v>
      </c>
      <c r="AN6" s="89" t="s">
        <v>133</v>
      </c>
      <c r="AO6" s="95">
        <v>0</v>
      </c>
    </row>
    <row r="7" spans="1:41" x14ac:dyDescent="0.4">
      <c r="A7" s="86">
        <v>5</v>
      </c>
      <c r="B7" s="87" t="s">
        <v>134</v>
      </c>
      <c r="C7" s="88">
        <v>-56.500000000000007</v>
      </c>
      <c r="D7" s="89" t="s">
        <v>134</v>
      </c>
      <c r="E7" s="103">
        <v>-4.7083333333333339</v>
      </c>
      <c r="F7" s="89" t="s">
        <v>181</v>
      </c>
      <c r="G7" s="90">
        <v>2.1</v>
      </c>
      <c r="H7" s="89" t="s">
        <v>134</v>
      </c>
      <c r="I7" s="91">
        <v>0.25</v>
      </c>
      <c r="J7" s="89" t="s">
        <v>134</v>
      </c>
      <c r="K7" s="91">
        <v>0.41666666666666669</v>
      </c>
      <c r="L7" s="89" t="s">
        <v>187</v>
      </c>
      <c r="M7" s="92">
        <v>0.29411764705882354</v>
      </c>
      <c r="N7" s="89" t="s">
        <v>151</v>
      </c>
      <c r="O7" s="92">
        <v>0.19132149901380671</v>
      </c>
      <c r="P7" s="89" t="s">
        <v>135</v>
      </c>
      <c r="Q7" s="93">
        <v>7710.5263157894733</v>
      </c>
      <c r="R7" s="89" t="s">
        <v>151</v>
      </c>
      <c r="S7" s="93">
        <v>-7809.2783505154639</v>
      </c>
      <c r="T7" s="89" t="s">
        <v>151</v>
      </c>
      <c r="U7" s="91">
        <v>0.05</v>
      </c>
      <c r="V7" s="89" t="s">
        <v>135</v>
      </c>
      <c r="W7" s="91">
        <v>0</v>
      </c>
      <c r="X7" s="89" t="s">
        <v>181</v>
      </c>
      <c r="Y7" s="91">
        <v>0.1</v>
      </c>
      <c r="Z7" s="89" t="s">
        <v>181</v>
      </c>
      <c r="AA7" s="92">
        <v>0.23529411764705882</v>
      </c>
      <c r="AB7" s="89" t="s">
        <v>181</v>
      </c>
      <c r="AC7" s="92">
        <v>0.21176470588235294</v>
      </c>
      <c r="AD7" s="89" t="s">
        <v>151</v>
      </c>
      <c r="AE7" s="92">
        <v>0.55384615384615388</v>
      </c>
      <c r="AF7" s="89" t="s">
        <v>181</v>
      </c>
      <c r="AG7" s="92">
        <v>0.33333333333333331</v>
      </c>
      <c r="AH7" s="89" t="s">
        <v>181</v>
      </c>
      <c r="AI7" s="92">
        <v>0.36363636363636365</v>
      </c>
      <c r="AJ7" s="89" t="s">
        <v>181</v>
      </c>
      <c r="AK7" s="94">
        <v>4</v>
      </c>
      <c r="AL7" s="89" t="s">
        <v>135</v>
      </c>
      <c r="AM7" s="98">
        <v>52200</v>
      </c>
      <c r="AN7" s="89" t="s">
        <v>135</v>
      </c>
      <c r="AO7" s="95">
        <v>0</v>
      </c>
    </row>
    <row r="8" spans="1:41" x14ac:dyDescent="0.4">
      <c r="A8" s="86">
        <v>6</v>
      </c>
      <c r="B8" s="87" t="s">
        <v>181</v>
      </c>
      <c r="C8" s="88">
        <v>-56.500000000000007</v>
      </c>
      <c r="D8" s="89" t="s">
        <v>181</v>
      </c>
      <c r="E8" s="103">
        <v>-5.65</v>
      </c>
      <c r="F8" s="89" t="s">
        <v>134</v>
      </c>
      <c r="G8" s="90">
        <v>2.1666666666666665</v>
      </c>
      <c r="H8" s="89" t="s">
        <v>135</v>
      </c>
      <c r="I8" s="91">
        <v>0.22222222222222221</v>
      </c>
      <c r="J8" s="89" t="s">
        <v>135</v>
      </c>
      <c r="K8" s="91">
        <v>0.44444444444444442</v>
      </c>
      <c r="L8" s="89" t="s">
        <v>181</v>
      </c>
      <c r="M8" s="92">
        <v>0.25882352941176473</v>
      </c>
      <c r="N8" s="89" t="s">
        <v>183</v>
      </c>
      <c r="O8" s="92">
        <v>0.203125</v>
      </c>
      <c r="P8" s="89" t="s">
        <v>151</v>
      </c>
      <c r="Q8" s="93">
        <v>7353.5483870967746</v>
      </c>
      <c r="R8" s="89" t="s">
        <v>134</v>
      </c>
      <c r="S8" s="93">
        <v>-8222.2222222222226</v>
      </c>
      <c r="T8" s="89" t="s">
        <v>181</v>
      </c>
      <c r="U8" s="91">
        <v>0.1</v>
      </c>
      <c r="V8" s="89" t="s">
        <v>182</v>
      </c>
      <c r="W8" s="91">
        <v>0</v>
      </c>
      <c r="X8" s="89" t="s">
        <v>134</v>
      </c>
      <c r="Y8" s="91">
        <v>8.3333333333333329E-2</v>
      </c>
      <c r="Z8" s="89" t="s">
        <v>182</v>
      </c>
      <c r="AA8" s="92">
        <v>0.18181818181818182</v>
      </c>
      <c r="AB8" s="89" t="s">
        <v>183</v>
      </c>
      <c r="AC8" s="92">
        <v>0.1875</v>
      </c>
      <c r="AD8" s="89" t="s">
        <v>133</v>
      </c>
      <c r="AE8" s="92">
        <v>0.51282051282051277</v>
      </c>
      <c r="AF8" s="89" t="s">
        <v>183</v>
      </c>
      <c r="AG8" s="92">
        <v>0.33333333333333331</v>
      </c>
      <c r="AH8" s="89" t="s">
        <v>182</v>
      </c>
      <c r="AI8" s="92">
        <v>0.35294117647058826</v>
      </c>
      <c r="AJ8" s="89" t="s">
        <v>187</v>
      </c>
      <c r="AK8" s="94">
        <v>4</v>
      </c>
      <c r="AL8" s="89" t="s">
        <v>182</v>
      </c>
      <c r="AM8" s="98">
        <v>48100</v>
      </c>
      <c r="AN8" s="89" t="s">
        <v>182</v>
      </c>
      <c r="AO8" s="95">
        <v>0</v>
      </c>
    </row>
    <row r="9" spans="1:41" x14ac:dyDescent="0.4">
      <c r="A9" s="86">
        <v>7</v>
      </c>
      <c r="B9" s="87" t="s">
        <v>135</v>
      </c>
      <c r="C9" s="88">
        <v>-127.6</v>
      </c>
      <c r="D9" s="89" t="s">
        <v>135</v>
      </c>
      <c r="E9" s="103">
        <v>-14.177777777777777</v>
      </c>
      <c r="F9" s="89" t="s">
        <v>135</v>
      </c>
      <c r="G9" s="90">
        <v>2.2222222222222223</v>
      </c>
      <c r="H9" s="89" t="s">
        <v>182</v>
      </c>
      <c r="I9" s="91">
        <v>0.14285714285714285</v>
      </c>
      <c r="J9" s="89" t="s">
        <v>181</v>
      </c>
      <c r="K9" s="91">
        <v>0.5</v>
      </c>
      <c r="L9" s="89" t="s">
        <v>135</v>
      </c>
      <c r="M9" s="92">
        <v>0.25333333333333335</v>
      </c>
      <c r="N9" s="89" t="s">
        <v>135</v>
      </c>
      <c r="O9" s="92">
        <v>0.24</v>
      </c>
      <c r="P9" s="89" t="s">
        <v>182</v>
      </c>
      <c r="Q9" s="93">
        <v>5858.8235294117649</v>
      </c>
      <c r="R9" s="89" t="s">
        <v>183</v>
      </c>
      <c r="S9" s="93">
        <v>-9069.2307692307695</v>
      </c>
      <c r="T9" s="89" t="s">
        <v>135</v>
      </c>
      <c r="U9" s="91">
        <v>0.1111111111111111</v>
      </c>
      <c r="V9" s="89" t="s">
        <v>183</v>
      </c>
      <c r="W9" s="91">
        <v>0</v>
      </c>
      <c r="X9" s="89" t="s">
        <v>182</v>
      </c>
      <c r="Y9" s="91">
        <v>0</v>
      </c>
      <c r="Z9" s="89" t="s">
        <v>183</v>
      </c>
      <c r="AA9" s="92">
        <v>0.140625</v>
      </c>
      <c r="AB9" s="89" t="s">
        <v>187</v>
      </c>
      <c r="AC9" s="92">
        <v>0.17647058823529413</v>
      </c>
      <c r="AD9" s="89" t="s">
        <v>181</v>
      </c>
      <c r="AE9" s="92">
        <v>0.5</v>
      </c>
      <c r="AF9" s="89" t="s">
        <v>187</v>
      </c>
      <c r="AG9" s="92">
        <v>0.33333333333333331</v>
      </c>
      <c r="AH9" s="89" t="s">
        <v>135</v>
      </c>
      <c r="AI9" s="92">
        <v>0.31578947368421051</v>
      </c>
      <c r="AJ9" s="89" t="s">
        <v>182</v>
      </c>
      <c r="AK9" s="94">
        <v>3</v>
      </c>
      <c r="AL9" s="89" t="s">
        <v>187</v>
      </c>
      <c r="AM9" s="98">
        <v>46900</v>
      </c>
      <c r="AN9" s="89" t="s">
        <v>183</v>
      </c>
      <c r="AO9" s="95">
        <v>0</v>
      </c>
    </row>
    <row r="10" spans="1:41" x14ac:dyDescent="0.4">
      <c r="A10" s="86">
        <v>8</v>
      </c>
      <c r="B10" s="87" t="s">
        <v>183</v>
      </c>
      <c r="C10" s="88">
        <v>-216.09999999999997</v>
      </c>
      <c r="D10" s="89" t="s">
        <v>183</v>
      </c>
      <c r="E10" s="103">
        <v>-30.871428571428567</v>
      </c>
      <c r="F10" s="89" t="s">
        <v>183</v>
      </c>
      <c r="G10" s="90">
        <v>2.5714285714285716</v>
      </c>
      <c r="H10" s="89" t="s">
        <v>183</v>
      </c>
      <c r="I10" s="91">
        <v>0</v>
      </c>
      <c r="J10" s="89" t="s">
        <v>183</v>
      </c>
      <c r="K10" s="91">
        <v>0.5714285714285714</v>
      </c>
      <c r="L10" s="89" t="s">
        <v>183</v>
      </c>
      <c r="M10" s="92">
        <v>0.203125</v>
      </c>
      <c r="N10" s="89" t="s">
        <v>181</v>
      </c>
      <c r="O10" s="92">
        <v>0.24705882352941178</v>
      </c>
      <c r="P10" s="89" t="s">
        <v>183</v>
      </c>
      <c r="Q10" s="93">
        <v>4323.0769230769229</v>
      </c>
      <c r="R10" s="89" t="s">
        <v>135</v>
      </c>
      <c r="S10" s="93">
        <v>-9244.4444444444453</v>
      </c>
      <c r="T10" s="89" t="s">
        <v>183</v>
      </c>
      <c r="U10" s="91">
        <v>0.14285714285714285</v>
      </c>
      <c r="V10" s="89" t="s">
        <v>187</v>
      </c>
      <c r="W10" s="91">
        <v>0</v>
      </c>
      <c r="X10" s="89" t="s">
        <v>183</v>
      </c>
      <c r="Y10" s="91">
        <v>0</v>
      </c>
      <c r="Z10" s="89" t="s">
        <v>187</v>
      </c>
      <c r="AA10" s="92">
        <v>0.11764705882352941</v>
      </c>
      <c r="AB10" s="89" t="s">
        <v>135</v>
      </c>
      <c r="AC10" s="92">
        <v>0.10666666666666667</v>
      </c>
      <c r="AD10" s="89" t="s">
        <v>183</v>
      </c>
      <c r="AE10" s="92">
        <v>0.44444444444444442</v>
      </c>
      <c r="AF10" s="89" t="s">
        <v>134</v>
      </c>
      <c r="AG10" s="92">
        <v>0.2608695652173913</v>
      </c>
      <c r="AH10" s="89" t="s">
        <v>133</v>
      </c>
      <c r="AI10" s="92">
        <v>0.3125</v>
      </c>
      <c r="AJ10" s="89" t="s">
        <v>183</v>
      </c>
      <c r="AK10" s="94">
        <v>2</v>
      </c>
      <c r="AL10" s="89" t="s">
        <v>183</v>
      </c>
      <c r="AM10" s="98">
        <v>33400</v>
      </c>
      <c r="AN10" s="89" t="s">
        <v>187</v>
      </c>
      <c r="AO10" s="95">
        <v>0</v>
      </c>
    </row>
  </sheetData>
  <sortState ref="AN3:AO38">
    <sortCondition descending="1" ref="AO1"/>
  </sortState>
  <mergeCells count="40">
    <mergeCell ref="N1:O1"/>
    <mergeCell ref="AL1:AM1"/>
    <mergeCell ref="B1:C1"/>
    <mergeCell ref="D1:E1"/>
    <mergeCell ref="F1:G1"/>
    <mergeCell ref="H1:I1"/>
    <mergeCell ref="L1:M1"/>
    <mergeCell ref="X1:Y1"/>
    <mergeCell ref="J1:K1"/>
    <mergeCell ref="AN1:AO1"/>
    <mergeCell ref="P1:Q1"/>
    <mergeCell ref="R1:S1"/>
    <mergeCell ref="T1:U1"/>
    <mergeCell ref="V1:W1"/>
    <mergeCell ref="Z1:AA1"/>
    <mergeCell ref="AB1:AC1"/>
    <mergeCell ref="AD1:AE1"/>
    <mergeCell ref="AF1:AG1"/>
    <mergeCell ref="AH1:AI1"/>
    <mergeCell ref="AJ1:AK1"/>
    <mergeCell ref="B2:C2"/>
    <mergeCell ref="D2:E2"/>
    <mergeCell ref="F2:G2"/>
    <mergeCell ref="H2:I2"/>
    <mergeCell ref="L2:M2"/>
    <mergeCell ref="J2:K2"/>
    <mergeCell ref="N2:O2"/>
    <mergeCell ref="P2:Q2"/>
    <mergeCell ref="R2:S2"/>
    <mergeCell ref="T2:U2"/>
    <mergeCell ref="V2:W2"/>
    <mergeCell ref="AH2:AI2"/>
    <mergeCell ref="AJ2:AK2"/>
    <mergeCell ref="AL2:AM2"/>
    <mergeCell ref="AN2:AO2"/>
    <mergeCell ref="X2:Y2"/>
    <mergeCell ref="Z2:AA2"/>
    <mergeCell ref="AB2:AC2"/>
    <mergeCell ref="AD2:AE2"/>
    <mergeCell ref="AF2:AG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5976B-4D3E-46AA-AEBD-ACCAA8D5D72E}">
  <sheetPr codeName="Sheet4"/>
  <dimension ref="A1:Q62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151</v>
      </c>
      <c r="C1" s="144"/>
      <c r="E1" s="135" t="s">
        <v>177</v>
      </c>
      <c r="F1" s="142" t="s">
        <v>120</v>
      </c>
      <c r="G1" s="141" t="s">
        <v>121</v>
      </c>
      <c r="H1" s="136" t="s">
        <v>122</v>
      </c>
      <c r="I1" s="142" t="s">
        <v>161</v>
      </c>
      <c r="K1" s="36" t="s">
        <v>20</v>
      </c>
      <c r="L1" s="37" t="s">
        <v>125</v>
      </c>
      <c r="M1" s="137"/>
      <c r="N1" s="119" t="s">
        <v>144</v>
      </c>
      <c r="O1" s="36" t="s">
        <v>145</v>
      </c>
      <c r="P1" s="123" t="s">
        <v>121</v>
      </c>
      <c r="Q1" s="107" t="s">
        <v>165</v>
      </c>
    </row>
    <row r="2" spans="1:17" x14ac:dyDescent="0.4">
      <c r="A2" s="56" t="s">
        <v>9</v>
      </c>
      <c r="B2" s="145">
        <v>60</v>
      </c>
      <c r="C2" s="146"/>
      <c r="E2" s="64" t="s">
        <v>69</v>
      </c>
      <c r="F2" s="61" t="s">
        <v>23</v>
      </c>
      <c r="G2" s="48">
        <v>104</v>
      </c>
      <c r="H2" s="138">
        <f>IF(B$27=0,0,G2/B$27)</f>
        <v>0.67096774193548392</v>
      </c>
      <c r="I2" s="99">
        <v>3</v>
      </c>
      <c r="K2" s="38">
        <v>0</v>
      </c>
      <c r="L2" s="104">
        <v>0</v>
      </c>
      <c r="N2" s="120" t="s">
        <v>138</v>
      </c>
      <c r="O2" s="127">
        <f t="shared" ref="O2:O7" si="0">IF(P2=0,0,Q2/P2)</f>
        <v>-50</v>
      </c>
      <c r="P2" s="124">
        <v>60</v>
      </c>
      <c r="Q2" s="108">
        <v>-3000</v>
      </c>
    </row>
    <row r="3" spans="1:17" x14ac:dyDescent="0.4">
      <c r="A3" s="57" t="s">
        <v>8</v>
      </c>
      <c r="B3" s="147">
        <v>507</v>
      </c>
      <c r="C3" s="148"/>
      <c r="E3" s="65" t="s">
        <v>76</v>
      </c>
      <c r="F3" s="62" t="s">
        <v>29</v>
      </c>
      <c r="G3" s="49">
        <v>80</v>
      </c>
      <c r="H3" s="139">
        <f>IF(B$27=0,0,G3/B$27)</f>
        <v>0.5161290322580645</v>
      </c>
      <c r="I3" s="100">
        <v>4</v>
      </c>
      <c r="K3" s="40">
        <v>1</v>
      </c>
      <c r="L3" s="105">
        <v>-5.0999999999999996</v>
      </c>
      <c r="N3" s="121" t="s">
        <v>139</v>
      </c>
      <c r="O3" s="128">
        <f t="shared" si="0"/>
        <v>-33.333333333333336</v>
      </c>
      <c r="P3" s="125">
        <v>60</v>
      </c>
      <c r="Q3" s="109">
        <v>-2000</v>
      </c>
    </row>
    <row r="4" spans="1:17" x14ac:dyDescent="0.4">
      <c r="A4" s="57" t="s">
        <v>6</v>
      </c>
      <c r="B4" s="149">
        <v>0</v>
      </c>
      <c r="C4" s="150"/>
      <c r="E4" s="65" t="s">
        <v>67</v>
      </c>
      <c r="F4" s="62" t="s">
        <v>21</v>
      </c>
      <c r="G4" s="49">
        <v>69</v>
      </c>
      <c r="H4" s="139">
        <f>IF(B$27=0,0,G4/B$27)</f>
        <v>0.44516129032258067</v>
      </c>
      <c r="I4" s="100">
        <v>4</v>
      </c>
      <c r="K4" s="40">
        <v>2</v>
      </c>
      <c r="L4" s="105">
        <v>40.4</v>
      </c>
      <c r="N4" s="121" t="s">
        <v>140</v>
      </c>
      <c r="O4" s="128">
        <f t="shared" si="0"/>
        <v>92.592592592592595</v>
      </c>
      <c r="P4" s="125">
        <v>54</v>
      </c>
      <c r="Q4" s="109">
        <v>5000</v>
      </c>
    </row>
    <row r="5" spans="1:17" x14ac:dyDescent="0.4">
      <c r="A5" s="57" t="s">
        <v>7</v>
      </c>
      <c r="B5" s="151">
        <f>IF(B$2=0,0,B$4/B$2)</f>
        <v>0</v>
      </c>
      <c r="C5" s="152"/>
      <c r="E5" s="65" t="s">
        <v>72</v>
      </c>
      <c r="F5" s="62" t="s">
        <v>12</v>
      </c>
      <c r="G5" s="49">
        <v>42</v>
      </c>
      <c r="H5" s="139">
        <f>IF(B$27=0,0,G5/B$27)</f>
        <v>0.2709677419354839</v>
      </c>
      <c r="I5" s="100">
        <v>4</v>
      </c>
      <c r="K5" s="40">
        <v>3</v>
      </c>
      <c r="L5" s="105">
        <v>0</v>
      </c>
      <c r="N5" s="121" t="s">
        <v>141</v>
      </c>
      <c r="O5" s="128">
        <f t="shared" si="0"/>
        <v>0</v>
      </c>
      <c r="P5" s="125">
        <v>51</v>
      </c>
      <c r="Q5" s="109">
        <v>0</v>
      </c>
    </row>
    <row r="6" spans="1:17" x14ac:dyDescent="0.4">
      <c r="A6" s="57" t="s">
        <v>1</v>
      </c>
      <c r="B6" s="157">
        <f>IF(B$2=0,0,(B$7*1+B$8*2+B$9*3)/B$2)</f>
        <v>2</v>
      </c>
      <c r="C6" s="158"/>
      <c r="E6" s="65" t="s">
        <v>70</v>
      </c>
      <c r="F6" s="62" t="s">
        <v>24</v>
      </c>
      <c r="G6" s="49">
        <v>36</v>
      </c>
      <c r="H6" s="139">
        <f>IF(B$27=0,0,G6/B$27)</f>
        <v>0.23225806451612904</v>
      </c>
      <c r="I6" s="100">
        <v>5</v>
      </c>
      <c r="K6" s="40">
        <v>4</v>
      </c>
      <c r="L6" s="105">
        <v>2.2000000000000002</v>
      </c>
      <c r="N6" s="121" t="s">
        <v>142</v>
      </c>
      <c r="O6" s="128">
        <f t="shared" si="0"/>
        <v>-20.833333333333332</v>
      </c>
      <c r="P6" s="125">
        <v>48</v>
      </c>
      <c r="Q6" s="109">
        <v>-1000</v>
      </c>
    </row>
    <row r="7" spans="1:17" x14ac:dyDescent="0.4">
      <c r="A7" s="57" t="s">
        <v>2</v>
      </c>
      <c r="B7" s="49">
        <v>20</v>
      </c>
      <c r="C7" s="41">
        <f>IF(B$2=0,0,B7/B$2)</f>
        <v>0.33333333333333331</v>
      </c>
      <c r="E7" s="65" t="s">
        <v>73</v>
      </c>
      <c r="F7" s="62" t="s">
        <v>26</v>
      </c>
      <c r="G7" s="49">
        <v>32</v>
      </c>
      <c r="H7" s="139">
        <f>IF(B$27=0,0,G7/B$27)</f>
        <v>0.20645161290322581</v>
      </c>
      <c r="I7" s="100">
        <v>4</v>
      </c>
      <c r="K7" s="40">
        <v>5</v>
      </c>
      <c r="L7" s="105">
        <v>-37</v>
      </c>
      <c r="N7" s="122" t="s">
        <v>143</v>
      </c>
      <c r="O7" s="129">
        <f t="shared" si="0"/>
        <v>22.222222222222221</v>
      </c>
      <c r="P7" s="126">
        <v>45</v>
      </c>
      <c r="Q7" s="110">
        <v>1000</v>
      </c>
    </row>
    <row r="8" spans="1:17" x14ac:dyDescent="0.4">
      <c r="A8" s="57" t="s">
        <v>3</v>
      </c>
      <c r="B8" s="49">
        <v>20</v>
      </c>
      <c r="C8" s="41">
        <f>IF(B$2=0,0,B8/B$2)</f>
        <v>0.33333333333333331</v>
      </c>
      <c r="E8" s="65" t="s">
        <v>94</v>
      </c>
      <c r="F8" s="62" t="s">
        <v>47</v>
      </c>
      <c r="G8" s="49">
        <v>21</v>
      </c>
      <c r="H8" s="139">
        <f>IF(B$27=0,0,G8/B$27)</f>
        <v>0.13548387096774195</v>
      </c>
      <c r="I8" s="100">
        <v>4</v>
      </c>
      <c r="K8" s="40">
        <v>6</v>
      </c>
      <c r="L8" s="105">
        <v>0</v>
      </c>
      <c r="N8" s="45"/>
      <c r="O8" s="133"/>
      <c r="P8" s="117"/>
      <c r="Q8" s="115"/>
    </row>
    <row r="9" spans="1:17" x14ac:dyDescent="0.4">
      <c r="A9" s="58" t="s">
        <v>4</v>
      </c>
      <c r="B9" s="50">
        <v>20</v>
      </c>
      <c r="C9" s="42">
        <f t="shared" ref="C9" si="1">IF(B$2=0,0,B9/B$2)</f>
        <v>0.33333333333333331</v>
      </c>
      <c r="E9" s="65" t="s">
        <v>68</v>
      </c>
      <c r="F9" s="62" t="s">
        <v>22</v>
      </c>
      <c r="G9" s="49">
        <v>18</v>
      </c>
      <c r="H9" s="139">
        <f>IF(B$27=0,0,G9/B$27)</f>
        <v>0.11612903225806452</v>
      </c>
      <c r="I9" s="100">
        <v>5</v>
      </c>
      <c r="K9" s="40">
        <v>7</v>
      </c>
      <c r="L9" s="105">
        <v>73.3</v>
      </c>
      <c r="N9" s="119" t="s">
        <v>173</v>
      </c>
      <c r="O9" s="36" t="s">
        <v>125</v>
      </c>
      <c r="P9" s="123" t="s">
        <v>121</v>
      </c>
      <c r="Q9" s="111" t="s">
        <v>165</v>
      </c>
    </row>
    <row r="10" spans="1:17" x14ac:dyDescent="0.4">
      <c r="A10" s="58" t="s">
        <v>19</v>
      </c>
      <c r="B10" s="50">
        <v>3</v>
      </c>
      <c r="C10" s="42">
        <f>IF(B$2=0,0,B10/B$2)</f>
        <v>0.05</v>
      </c>
      <c r="E10" s="65" t="s">
        <v>74</v>
      </c>
      <c r="F10" s="62" t="s">
        <v>27</v>
      </c>
      <c r="G10" s="49">
        <v>12</v>
      </c>
      <c r="H10" s="139">
        <f>IF(B$27=0,0,G10/B$27)</f>
        <v>7.7419354838709681E-2</v>
      </c>
      <c r="I10" s="100">
        <v>5</v>
      </c>
      <c r="K10" s="40">
        <v>8</v>
      </c>
      <c r="L10" s="105">
        <v>19.699999999999996</v>
      </c>
      <c r="N10" s="120" t="s">
        <v>174</v>
      </c>
      <c r="O10" s="130">
        <f>IF(P10=0,0,Q10/P10)</f>
        <v>-11.324999999999999</v>
      </c>
      <c r="P10" s="124">
        <v>20</v>
      </c>
      <c r="Q10" s="112">
        <v>-226.5</v>
      </c>
    </row>
    <row r="11" spans="1:17" x14ac:dyDescent="0.4">
      <c r="A11" s="58" t="s">
        <v>146</v>
      </c>
      <c r="B11" s="50">
        <v>3</v>
      </c>
      <c r="C11" s="42">
        <f>IF(B$2=0,0,B11/B$2)</f>
        <v>0.05</v>
      </c>
      <c r="E11" s="65" t="s">
        <v>91</v>
      </c>
      <c r="F11" s="62" t="s">
        <v>44</v>
      </c>
      <c r="G11" s="49">
        <v>9</v>
      </c>
      <c r="H11" s="139">
        <f>IF(B$27=0,0,G11/B$27)</f>
        <v>5.8064516129032261E-2</v>
      </c>
      <c r="I11" s="100">
        <v>5</v>
      </c>
      <c r="K11" s="40">
        <v>9</v>
      </c>
      <c r="L11" s="105">
        <v>-3.5527136788005009E-15</v>
      </c>
      <c r="N11" s="121" t="s">
        <v>175</v>
      </c>
      <c r="O11" s="131">
        <f>IF(P11=0,0,Q11/P11)</f>
        <v>1.1950000000000012</v>
      </c>
      <c r="P11" s="125">
        <v>20</v>
      </c>
      <c r="Q11" s="113">
        <v>23.900000000000023</v>
      </c>
    </row>
    <row r="12" spans="1:17" x14ac:dyDescent="0.4">
      <c r="A12" s="59" t="s">
        <v>167</v>
      </c>
      <c r="B12" s="51">
        <v>8</v>
      </c>
      <c r="C12" s="44">
        <f>IF(B$2=0,0,B12/B$2)</f>
        <v>0.13333333333333333</v>
      </c>
      <c r="E12" s="65" t="s">
        <v>88</v>
      </c>
      <c r="F12" s="62" t="s">
        <v>41</v>
      </c>
      <c r="G12" s="49">
        <v>6</v>
      </c>
      <c r="H12" s="139">
        <f>IF(B$27=0,0,G12/B$27)</f>
        <v>3.870967741935484E-2</v>
      </c>
      <c r="I12" s="100">
        <v>6</v>
      </c>
      <c r="K12" s="40">
        <v>10</v>
      </c>
      <c r="L12" s="105">
        <v>40.099999999999994</v>
      </c>
      <c r="N12" s="122" t="s">
        <v>176</v>
      </c>
      <c r="O12" s="132">
        <f>IF(P12=0,0,Q12/P12)</f>
        <v>10.130000000000003</v>
      </c>
      <c r="P12" s="126">
        <v>20</v>
      </c>
      <c r="Q12" s="114">
        <v>202.60000000000005</v>
      </c>
    </row>
    <row r="13" spans="1:17" x14ac:dyDescent="0.4">
      <c r="A13" s="60" t="s">
        <v>128</v>
      </c>
      <c r="B13" s="52">
        <v>130</v>
      </c>
      <c r="C13" s="46">
        <f>IF(B$26=0,0,B13/B$26)</f>
        <v>0.25641025641025639</v>
      </c>
      <c r="E13" s="65" t="s">
        <v>75</v>
      </c>
      <c r="F13" s="62" t="s">
        <v>28</v>
      </c>
      <c r="G13" s="49">
        <v>5</v>
      </c>
      <c r="H13" s="139">
        <f>IF(B$27=0,0,G13/B$27)</f>
        <v>3.2258064516129031E-2</v>
      </c>
      <c r="I13" s="100">
        <v>2</v>
      </c>
      <c r="K13" s="40">
        <v>11</v>
      </c>
      <c r="L13" s="105">
        <v>-11.100000000000009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111</v>
      </c>
      <c r="C14" s="41">
        <f>IF(B$26=0,0,B14/B$26)</f>
        <v>0.21893491124260356</v>
      </c>
      <c r="E14" s="65" t="s">
        <v>79</v>
      </c>
      <c r="F14" s="62" t="s">
        <v>32</v>
      </c>
      <c r="G14" s="49">
        <v>3</v>
      </c>
      <c r="H14" s="139">
        <f>IF(B$27=0,0,G14/B$27)</f>
        <v>1.935483870967742E-2</v>
      </c>
      <c r="I14" s="100">
        <v>4</v>
      </c>
      <c r="K14" s="40">
        <v>12</v>
      </c>
      <c r="L14" s="105">
        <v>-8.8817841970012523E-15</v>
      </c>
      <c r="N14" s="119" t="s">
        <v>162</v>
      </c>
      <c r="O14" s="36" t="s">
        <v>125</v>
      </c>
      <c r="P14" s="123" t="s">
        <v>121</v>
      </c>
      <c r="Q14" s="111" t="s">
        <v>165</v>
      </c>
    </row>
    <row r="15" spans="1:17" x14ac:dyDescent="0.4">
      <c r="A15" s="56" t="s">
        <v>130</v>
      </c>
      <c r="B15" s="48">
        <v>72</v>
      </c>
      <c r="C15" s="39">
        <f>IF(B$13=0,0,B15/B$13)</f>
        <v>0.55384615384615388</v>
      </c>
      <c r="E15" s="65" t="s">
        <v>82</v>
      </c>
      <c r="F15" s="62" t="s">
        <v>35</v>
      </c>
      <c r="G15" s="49">
        <v>3</v>
      </c>
      <c r="H15" s="139">
        <f>IF(B$27=0,0,G15/B$27)</f>
        <v>1.935483870967742E-2</v>
      </c>
      <c r="I15" s="100">
        <v>3</v>
      </c>
      <c r="K15" s="40">
        <v>13</v>
      </c>
      <c r="L15" s="105">
        <v>-42.100000000000009</v>
      </c>
      <c r="N15" s="120" t="s">
        <v>183</v>
      </c>
      <c r="O15" s="130">
        <f>IF(P15=0,0,Q15/P15)</f>
        <v>46.307142857142857</v>
      </c>
      <c r="P15" s="124">
        <v>14</v>
      </c>
      <c r="Q15" s="112">
        <v>648.29999999999995</v>
      </c>
    </row>
    <row r="16" spans="1:17" x14ac:dyDescent="0.4">
      <c r="A16" s="56" t="s">
        <v>131</v>
      </c>
      <c r="B16" s="48">
        <v>45</v>
      </c>
      <c r="C16" s="39">
        <f>IF(B$14=0,0,B16/B$14)</f>
        <v>0.40540540540540543</v>
      </c>
      <c r="E16" s="65" t="s">
        <v>86</v>
      </c>
      <c r="F16" s="62" t="s">
        <v>39</v>
      </c>
      <c r="G16" s="49">
        <v>3</v>
      </c>
      <c r="H16" s="139">
        <f>IF(B$27=0,0,G16/B$27)</f>
        <v>1.935483870967742E-2</v>
      </c>
      <c r="I16" s="100">
        <v>4</v>
      </c>
      <c r="K16" s="40">
        <v>14</v>
      </c>
      <c r="L16" s="105">
        <v>18.79999999999999</v>
      </c>
      <c r="N16" s="121" t="s">
        <v>135</v>
      </c>
      <c r="O16" s="131">
        <f>IF(P16=0,0,Q16/P16)</f>
        <v>21.266666666666669</v>
      </c>
      <c r="P16" s="125">
        <v>18</v>
      </c>
      <c r="Q16" s="113">
        <v>382.80000000000007</v>
      </c>
    </row>
    <row r="17" spans="1:17" x14ac:dyDescent="0.4">
      <c r="A17" s="56" t="s">
        <v>10</v>
      </c>
      <c r="B17" s="48">
        <f>B19+B18</f>
        <v>155</v>
      </c>
      <c r="C17" s="39">
        <f>IF(B$3=0,0,B17/B$3)</f>
        <v>0.3057199211045365</v>
      </c>
      <c r="E17" s="65" t="s">
        <v>96</v>
      </c>
      <c r="F17" s="62" t="s">
        <v>49</v>
      </c>
      <c r="G17" s="49">
        <v>2</v>
      </c>
      <c r="H17" s="139">
        <f>IF(B$27=0,0,G17/B$27)</f>
        <v>1.2903225806451613E-2</v>
      </c>
      <c r="I17" s="100">
        <v>3</v>
      </c>
      <c r="K17" s="40">
        <v>15</v>
      </c>
      <c r="L17" s="105">
        <v>-1.0658141036401503E-14</v>
      </c>
      <c r="N17" s="121" t="s">
        <v>181</v>
      </c>
      <c r="O17" s="131">
        <f>IF(P17=0,0,Q17/P17)</f>
        <v>8.4749999999999996</v>
      </c>
      <c r="P17" s="125">
        <v>20</v>
      </c>
      <c r="Q17" s="113">
        <v>169.5</v>
      </c>
    </row>
    <row r="18" spans="1:17" x14ac:dyDescent="0.4">
      <c r="A18" s="57" t="s">
        <v>12</v>
      </c>
      <c r="B18" s="49">
        <v>57</v>
      </c>
      <c r="C18" s="41">
        <f>IF(B$17=0,0,B18/B$17)</f>
        <v>0.36774193548387096</v>
      </c>
      <c r="E18" s="65" t="s">
        <v>77</v>
      </c>
      <c r="F18" s="62" t="s">
        <v>30</v>
      </c>
      <c r="G18" s="49">
        <v>1</v>
      </c>
      <c r="H18" s="139">
        <f>IF(B$27=0,0,G18/B$27)</f>
        <v>6.4516129032258064E-3</v>
      </c>
      <c r="I18" s="100">
        <v>2</v>
      </c>
      <c r="K18" s="40">
        <v>16</v>
      </c>
      <c r="L18" s="105">
        <v>90.899999999999991</v>
      </c>
      <c r="N18" s="121" t="s">
        <v>134</v>
      </c>
      <c r="O18" s="131">
        <f>IF(P18=0,0,Q18/P18)</f>
        <v>7.0625000000000027</v>
      </c>
      <c r="P18" s="125">
        <v>24</v>
      </c>
      <c r="Q18" s="113">
        <v>169.50000000000006</v>
      </c>
    </row>
    <row r="19" spans="1:17" x14ac:dyDescent="0.4">
      <c r="A19" s="57" t="s">
        <v>11</v>
      </c>
      <c r="B19" s="49">
        <v>98</v>
      </c>
      <c r="C19" s="41">
        <f>IF(B$17=0,0,B19/B$17)</f>
        <v>0.63225806451612898</v>
      </c>
      <c r="E19" s="65" t="s">
        <v>97</v>
      </c>
      <c r="F19" s="62" t="s">
        <v>50</v>
      </c>
      <c r="G19" s="49">
        <v>1</v>
      </c>
      <c r="H19" s="139">
        <f>IF(B$27=0,0,G19/B$27)</f>
        <v>6.4516129032258064E-3</v>
      </c>
      <c r="I19" s="100">
        <v>2</v>
      </c>
      <c r="K19" s="40">
        <v>17</v>
      </c>
      <c r="L19" s="105">
        <v>8.2999999999999972</v>
      </c>
      <c r="N19" s="121" t="s">
        <v>182</v>
      </c>
      <c r="O19" s="131">
        <f>IF(P19=0,0,Q19/P19)</f>
        <v>-1.6714285714285739</v>
      </c>
      <c r="P19" s="125">
        <v>14</v>
      </c>
      <c r="Q19" s="113">
        <v>-23.400000000000034</v>
      </c>
    </row>
    <row r="20" spans="1:17" x14ac:dyDescent="0.4">
      <c r="A20" s="57" t="s">
        <v>13</v>
      </c>
      <c r="B20" s="49">
        <v>97</v>
      </c>
      <c r="C20" s="41">
        <f>IF(B$3=0,0,B20/B$3)</f>
        <v>0.19132149901380671</v>
      </c>
      <c r="E20" s="65" t="s">
        <v>71</v>
      </c>
      <c r="F20" s="62" t="s">
        <v>25</v>
      </c>
      <c r="G20" s="49">
        <v>0</v>
      </c>
      <c r="H20" s="139">
        <f>IF(B$27=0,0,G20/B$27)</f>
        <v>0</v>
      </c>
      <c r="I20" s="100">
        <v>1</v>
      </c>
      <c r="K20" s="40">
        <v>18</v>
      </c>
      <c r="L20" s="105">
        <v>-3.5527136788005009E-15</v>
      </c>
      <c r="N20" s="121" t="s">
        <v>187</v>
      </c>
      <c r="O20" s="131">
        <f>IF(P20=0,0,Q20/P20)</f>
        <v>-22.5</v>
      </c>
      <c r="P20" s="125">
        <v>4</v>
      </c>
      <c r="Q20" s="113">
        <v>-90</v>
      </c>
    </row>
    <row r="21" spans="1:17" x14ac:dyDescent="0.4">
      <c r="A21" s="57" t="s">
        <v>5</v>
      </c>
      <c r="B21" s="53">
        <f>IF(B$17=0,0,C21/B$17)</f>
        <v>7353.5483870967746</v>
      </c>
      <c r="C21" s="43">
        <v>1139800</v>
      </c>
      <c r="E21" s="65" t="s">
        <v>78</v>
      </c>
      <c r="F21" s="62" t="s">
        <v>31</v>
      </c>
      <c r="G21" s="49">
        <v>0</v>
      </c>
      <c r="H21" s="139">
        <f>IF(B$27=0,0,G21/B$27)</f>
        <v>0</v>
      </c>
      <c r="I21" s="100">
        <v>1</v>
      </c>
      <c r="K21" s="40">
        <v>19</v>
      </c>
      <c r="L21" s="105">
        <v>30.999999999999996</v>
      </c>
      <c r="N21" s="121" t="s">
        <v>133</v>
      </c>
      <c r="O21" s="131">
        <f>IF(P21=0,0,Q21/P21)</f>
        <v>-48.33461538461539</v>
      </c>
      <c r="P21" s="125">
        <v>26</v>
      </c>
      <c r="Q21" s="113">
        <v>-1256.7</v>
      </c>
    </row>
    <row r="22" spans="1:17" x14ac:dyDescent="0.4">
      <c r="A22" s="59" t="s">
        <v>14</v>
      </c>
      <c r="B22" s="54">
        <f>IF(B$20=0,0,C22/B$20)</f>
        <v>-7809.2783505154639</v>
      </c>
      <c r="C22" s="47">
        <v>-757500</v>
      </c>
      <c r="E22" s="65" t="s">
        <v>80</v>
      </c>
      <c r="F22" s="62" t="s">
        <v>33</v>
      </c>
      <c r="G22" s="49">
        <v>0</v>
      </c>
      <c r="H22" s="139">
        <f>IF(B$27=0,0,G22/B$27)</f>
        <v>0</v>
      </c>
      <c r="I22" s="100">
        <v>1</v>
      </c>
      <c r="K22" s="40">
        <v>20</v>
      </c>
      <c r="L22" s="105">
        <v>0.79999999999999716</v>
      </c>
    </row>
    <row r="23" spans="1:17" x14ac:dyDescent="0.4">
      <c r="A23" s="96" t="s">
        <v>148</v>
      </c>
      <c r="B23" s="155">
        <v>7</v>
      </c>
      <c r="C23" s="156"/>
      <c r="E23" s="65" t="s">
        <v>81</v>
      </c>
      <c r="F23" s="62" t="s">
        <v>34</v>
      </c>
      <c r="G23" s="49">
        <v>0</v>
      </c>
      <c r="H23" s="139">
        <f>IF(B$27=0,0,G23/B$27)</f>
        <v>0</v>
      </c>
      <c r="I23" s="100">
        <v>1</v>
      </c>
      <c r="K23" s="40">
        <v>21</v>
      </c>
      <c r="L23" s="105">
        <v>-2.886579864025407E-15</v>
      </c>
    </row>
    <row r="24" spans="1:17" x14ac:dyDescent="0.4">
      <c r="A24" s="60" t="s">
        <v>159</v>
      </c>
      <c r="B24" s="153">
        <v>105900</v>
      </c>
      <c r="C24" s="154"/>
      <c r="E24" s="65" t="s">
        <v>83</v>
      </c>
      <c r="F24" s="62" t="s">
        <v>36</v>
      </c>
      <c r="G24" s="49">
        <v>0</v>
      </c>
      <c r="H24" s="139">
        <f>IF(B$27=0,0,G24/B$27)</f>
        <v>0</v>
      </c>
      <c r="I24" s="100">
        <v>1</v>
      </c>
      <c r="K24" s="40">
        <v>22</v>
      </c>
      <c r="L24" s="105">
        <v>23.699999999999996</v>
      </c>
    </row>
    <row r="25" spans="1:17" x14ac:dyDescent="0.4">
      <c r="A25" s="59" t="s">
        <v>149</v>
      </c>
      <c r="B25" s="67">
        <v>3</v>
      </c>
      <c r="C25" s="44">
        <f>IF(B$3=0,0,B25/B$3)</f>
        <v>5.9171597633136093E-3</v>
      </c>
      <c r="E25" s="65" t="s">
        <v>84</v>
      </c>
      <c r="F25" s="62" t="s">
        <v>37</v>
      </c>
      <c r="G25" s="49">
        <v>0</v>
      </c>
      <c r="H25" s="139">
        <f>IF(B$27=0,0,G25/B$27)</f>
        <v>0</v>
      </c>
      <c r="I25" s="100">
        <v>1</v>
      </c>
      <c r="K25" s="40">
        <v>23</v>
      </c>
      <c r="L25" s="105">
        <v>26.299999999999997</v>
      </c>
    </row>
    <row r="26" spans="1:17" x14ac:dyDescent="0.4">
      <c r="A26" s="56" t="s">
        <v>126</v>
      </c>
      <c r="B26" s="145">
        <v>507</v>
      </c>
      <c r="C26" s="146"/>
      <c r="E26" s="65" t="s">
        <v>85</v>
      </c>
      <c r="F26" s="62" t="s">
        <v>38</v>
      </c>
      <c r="G26" s="49">
        <v>0</v>
      </c>
      <c r="H26" s="139">
        <f>IF(B$27=0,0,G26/B$27)</f>
        <v>0</v>
      </c>
      <c r="I26" s="100">
        <v>1</v>
      </c>
      <c r="K26" s="40">
        <v>24</v>
      </c>
      <c r="L26" s="105">
        <v>-3.5527136788005009E-15</v>
      </c>
    </row>
    <row r="27" spans="1:17" x14ac:dyDescent="0.4">
      <c r="A27" s="59" t="s">
        <v>127</v>
      </c>
      <c r="B27" s="159">
        <v>155</v>
      </c>
      <c r="C27" s="160"/>
      <c r="E27" s="65" t="s">
        <v>87</v>
      </c>
      <c r="F27" s="62" t="s">
        <v>40</v>
      </c>
      <c r="G27" s="49">
        <v>0</v>
      </c>
      <c r="H27" s="139">
        <f>IF(B$27=0,0,G27/B$27)</f>
        <v>0</v>
      </c>
      <c r="I27" s="100">
        <v>1</v>
      </c>
      <c r="K27" s="40">
        <v>25</v>
      </c>
      <c r="L27" s="105">
        <v>-31.300000000000004</v>
      </c>
    </row>
    <row r="28" spans="1:17" x14ac:dyDescent="0.4">
      <c r="E28" s="65" t="s">
        <v>89</v>
      </c>
      <c r="F28" s="62" t="s">
        <v>42</v>
      </c>
      <c r="G28" s="49">
        <v>0</v>
      </c>
      <c r="H28" s="139">
        <f>IF(B$27=0,0,G28/B$27)</f>
        <v>0</v>
      </c>
      <c r="I28" s="100">
        <v>1</v>
      </c>
      <c r="K28" s="40">
        <v>26</v>
      </c>
      <c r="L28" s="105">
        <v>1.8999999999999986</v>
      </c>
    </row>
    <row r="29" spans="1:17" x14ac:dyDescent="0.4">
      <c r="E29" s="65" t="s">
        <v>90</v>
      </c>
      <c r="F29" s="62" t="s">
        <v>43</v>
      </c>
      <c r="G29" s="49">
        <v>0</v>
      </c>
      <c r="H29" s="139">
        <f>IF(B$27=0,0,G29/B$27)</f>
        <v>0</v>
      </c>
      <c r="I29" s="100">
        <v>1</v>
      </c>
      <c r="K29" s="40">
        <v>27</v>
      </c>
      <c r="L29" s="105">
        <v>-1.3322676295501878E-15</v>
      </c>
    </row>
    <row r="30" spans="1:17" x14ac:dyDescent="0.4">
      <c r="E30" s="65" t="s">
        <v>92</v>
      </c>
      <c r="F30" s="62" t="s">
        <v>45</v>
      </c>
      <c r="G30" s="49">
        <v>0</v>
      </c>
      <c r="H30" s="139">
        <f>IF(B$27=0,0,G30/B$27)</f>
        <v>0</v>
      </c>
      <c r="I30" s="100">
        <v>1</v>
      </c>
      <c r="K30" s="40">
        <v>28</v>
      </c>
      <c r="L30" s="105">
        <v>-58.3</v>
      </c>
    </row>
    <row r="31" spans="1:17" x14ac:dyDescent="0.4">
      <c r="E31" s="65" t="s">
        <v>93</v>
      </c>
      <c r="F31" s="62" t="s">
        <v>46</v>
      </c>
      <c r="G31" s="49">
        <v>0</v>
      </c>
      <c r="H31" s="139">
        <f>IF(B$27=0,0,G31/B$27)</f>
        <v>0</v>
      </c>
      <c r="I31" s="100">
        <v>1</v>
      </c>
      <c r="K31" s="40">
        <v>29</v>
      </c>
      <c r="L31" s="105">
        <v>-9.5</v>
      </c>
    </row>
    <row r="32" spans="1:17" x14ac:dyDescent="0.4">
      <c r="E32" s="65" t="s">
        <v>95</v>
      </c>
      <c r="F32" s="62" t="s">
        <v>48</v>
      </c>
      <c r="G32" s="49">
        <v>0</v>
      </c>
      <c r="H32" s="139">
        <f>IF(B$27=0,0,G32/B$27)</f>
        <v>0</v>
      </c>
      <c r="I32" s="100">
        <v>1</v>
      </c>
      <c r="K32" s="40">
        <v>30</v>
      </c>
      <c r="L32" s="105">
        <v>0</v>
      </c>
    </row>
    <row r="33" spans="5:12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1</v>
      </c>
      <c r="K33" s="40">
        <v>31</v>
      </c>
      <c r="L33" s="105">
        <v>29.1</v>
      </c>
    </row>
    <row r="34" spans="5:12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  <c r="K34" s="40">
        <v>32</v>
      </c>
      <c r="L34" s="105">
        <v>4.3000000000000007</v>
      </c>
    </row>
    <row r="35" spans="5:12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1</v>
      </c>
      <c r="K35" s="40">
        <v>33</v>
      </c>
      <c r="L35" s="105">
        <v>8.8817841970012523E-16</v>
      </c>
    </row>
    <row r="36" spans="5:12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  <c r="K36" s="40">
        <v>34</v>
      </c>
      <c r="L36" s="105">
        <v>-7.2999999999999989</v>
      </c>
    </row>
    <row r="37" spans="5:12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  <c r="K37" s="40">
        <v>35</v>
      </c>
      <c r="L37" s="105">
        <v>-37.199999999999996</v>
      </c>
    </row>
    <row r="38" spans="5:12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  <c r="K38" s="40">
        <v>36</v>
      </c>
      <c r="L38" s="105">
        <v>7.1054273576010019E-15</v>
      </c>
    </row>
    <row r="39" spans="5:12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  <c r="K39" s="40">
        <v>37</v>
      </c>
      <c r="L39" s="105">
        <v>-31.699999999999992</v>
      </c>
    </row>
    <row r="40" spans="5:12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  <c r="K40" s="40">
        <v>38</v>
      </c>
      <c r="L40" s="105">
        <v>-33.099999999999994</v>
      </c>
    </row>
    <row r="41" spans="5:12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  <c r="K41" s="40">
        <v>39</v>
      </c>
      <c r="L41" s="105">
        <v>7.1054273576010019E-15</v>
      </c>
    </row>
    <row r="42" spans="5:12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  <c r="K42" s="40">
        <v>40</v>
      </c>
      <c r="L42" s="105">
        <v>-39.699999999999996</v>
      </c>
    </row>
    <row r="43" spans="5:12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  <c r="K43" s="40">
        <v>41</v>
      </c>
      <c r="L43" s="105">
        <v>5.5000000000000071</v>
      </c>
    </row>
    <row r="44" spans="5:12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  <c r="K44" s="40">
        <v>42</v>
      </c>
      <c r="L44" s="105">
        <v>7.1054273576010019E-15</v>
      </c>
    </row>
    <row r="45" spans="5:12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  <c r="K45" s="40">
        <v>43</v>
      </c>
      <c r="L45" s="105">
        <v>87.1</v>
      </c>
    </row>
    <row r="46" spans="5:12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1</v>
      </c>
      <c r="K46" s="40">
        <v>44</v>
      </c>
      <c r="L46" s="105">
        <v>60.399999999999991</v>
      </c>
    </row>
    <row r="47" spans="5:12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  <c r="K47" s="40">
        <v>45</v>
      </c>
      <c r="L47" s="105">
        <v>-7.1054273576010019E-15</v>
      </c>
    </row>
    <row r="48" spans="5:12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  <c r="K48" s="40">
        <v>46</v>
      </c>
      <c r="L48" s="105">
        <v>-48.000000000000007</v>
      </c>
    </row>
    <row r="49" spans="5:12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  <c r="K49" s="40">
        <v>47</v>
      </c>
      <c r="L49" s="105">
        <v>-49.600000000000009</v>
      </c>
    </row>
    <row r="50" spans="5:12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  <c r="K50" s="40">
        <v>48</v>
      </c>
      <c r="L50" s="105">
        <v>-7.1054273576010019E-15</v>
      </c>
    </row>
    <row r="51" spans="5:12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  <c r="K51" s="40">
        <v>49</v>
      </c>
      <c r="L51" s="105">
        <v>38.399999999999991</v>
      </c>
    </row>
    <row r="52" spans="5:12" x14ac:dyDescent="0.4">
      <c r="K52" s="40">
        <v>50</v>
      </c>
      <c r="L52" s="105">
        <v>4.0999999999999943</v>
      </c>
    </row>
    <row r="53" spans="5:12" x14ac:dyDescent="0.4">
      <c r="K53" s="40">
        <v>51</v>
      </c>
      <c r="L53" s="105">
        <v>-5.3290705182007514E-15</v>
      </c>
    </row>
    <row r="54" spans="5:12" x14ac:dyDescent="0.4">
      <c r="K54" s="40">
        <v>52</v>
      </c>
      <c r="L54" s="105">
        <v>27.799999999999997</v>
      </c>
    </row>
    <row r="55" spans="5:12" x14ac:dyDescent="0.4">
      <c r="K55" s="40">
        <v>53</v>
      </c>
      <c r="L55" s="105">
        <v>25.099999999999998</v>
      </c>
    </row>
    <row r="56" spans="5:12" x14ac:dyDescent="0.4">
      <c r="K56" s="40">
        <v>54</v>
      </c>
      <c r="L56" s="105">
        <v>-3.5527136788005009E-15</v>
      </c>
    </row>
    <row r="57" spans="5:12" x14ac:dyDescent="0.4">
      <c r="K57" s="40">
        <v>55</v>
      </c>
      <c r="L57" s="105">
        <v>47.2</v>
      </c>
    </row>
    <row r="58" spans="5:12" x14ac:dyDescent="0.4">
      <c r="K58" s="40">
        <v>56</v>
      </c>
      <c r="L58" s="105">
        <v>-3.5</v>
      </c>
    </row>
    <row r="59" spans="5:12" x14ac:dyDescent="0.4">
      <c r="K59" s="40">
        <v>57</v>
      </c>
      <c r="L59" s="105">
        <v>0</v>
      </c>
    </row>
    <row r="60" spans="5:12" x14ac:dyDescent="0.4">
      <c r="K60" s="40">
        <v>58</v>
      </c>
      <c r="L60" s="105">
        <v>-28.5</v>
      </c>
    </row>
    <row r="61" spans="5:12" x14ac:dyDescent="0.4">
      <c r="K61" s="40">
        <v>59</v>
      </c>
      <c r="L61" s="105">
        <v>-31.9</v>
      </c>
    </row>
    <row r="62" spans="5:12" x14ac:dyDescent="0.4">
      <c r="K62" s="40">
        <v>60</v>
      </c>
      <c r="L62" s="105">
        <v>0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35366-9C9A-474F-A7EE-D3699F97633C}">
  <sheetPr codeName="Sheet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133</v>
      </c>
      <c r="C1" s="144"/>
      <c r="E1" s="135" t="s">
        <v>177</v>
      </c>
      <c r="F1" s="142" t="s">
        <v>120</v>
      </c>
      <c r="G1" s="141" t="s">
        <v>121</v>
      </c>
      <c r="H1" s="136" t="s">
        <v>122</v>
      </c>
      <c r="I1" s="142" t="s">
        <v>161</v>
      </c>
      <c r="K1" s="36" t="s">
        <v>20</v>
      </c>
      <c r="L1" s="37" t="s">
        <v>125</v>
      </c>
      <c r="M1" s="137"/>
      <c r="N1" s="119" t="s">
        <v>144</v>
      </c>
      <c r="O1" s="36" t="s">
        <v>145</v>
      </c>
      <c r="P1" s="123" t="s">
        <v>121</v>
      </c>
      <c r="Q1" s="107" t="s">
        <v>165</v>
      </c>
    </row>
    <row r="2" spans="1:17" x14ac:dyDescent="0.4">
      <c r="A2" s="56" t="s">
        <v>9</v>
      </c>
      <c r="B2" s="145">
        <v>13</v>
      </c>
      <c r="C2" s="146"/>
      <c r="E2" s="64" t="s">
        <v>76</v>
      </c>
      <c r="F2" s="61" t="s">
        <v>29</v>
      </c>
      <c r="G2" s="48">
        <v>34</v>
      </c>
      <c r="H2" s="138">
        <f>IF(B$27=0,0,G2/B$27)</f>
        <v>0.70833333333333337</v>
      </c>
      <c r="I2" s="99">
        <v>1</v>
      </c>
      <c r="K2" s="38">
        <v>0</v>
      </c>
      <c r="L2" s="104">
        <v>0</v>
      </c>
      <c r="N2" s="120" t="s">
        <v>138</v>
      </c>
      <c r="O2" s="127">
        <f t="shared" ref="O2:O7" si="0">IF(P2=0,0,Q2/P2)</f>
        <v>2553.8461538461538</v>
      </c>
      <c r="P2" s="124">
        <v>13</v>
      </c>
      <c r="Q2" s="108">
        <v>33200</v>
      </c>
    </row>
    <row r="3" spans="1:17" x14ac:dyDescent="0.4">
      <c r="A3" s="57" t="s">
        <v>8</v>
      </c>
      <c r="B3" s="147">
        <v>108</v>
      </c>
      <c r="C3" s="148"/>
      <c r="E3" s="65" t="s">
        <v>69</v>
      </c>
      <c r="F3" s="62" t="s">
        <v>23</v>
      </c>
      <c r="G3" s="49">
        <v>27</v>
      </c>
      <c r="H3" s="139">
        <f>IF(B$27=0,0,G3/B$27)</f>
        <v>0.5625</v>
      </c>
      <c r="I3" s="100">
        <v>5</v>
      </c>
      <c r="K3" s="40">
        <v>1</v>
      </c>
      <c r="L3" s="105">
        <v>-5.0999999999999996</v>
      </c>
      <c r="N3" s="121" t="s">
        <v>139</v>
      </c>
      <c r="O3" s="128">
        <f t="shared" si="0"/>
        <v>4823.0769230769229</v>
      </c>
      <c r="P3" s="125">
        <v>13</v>
      </c>
      <c r="Q3" s="109">
        <v>62700</v>
      </c>
    </row>
    <row r="4" spans="1:17" x14ac:dyDescent="0.4">
      <c r="A4" s="57" t="s">
        <v>6</v>
      </c>
      <c r="B4" s="149">
        <v>418.90000000000003</v>
      </c>
      <c r="C4" s="150"/>
      <c r="E4" s="65" t="s">
        <v>67</v>
      </c>
      <c r="F4" s="62" t="s">
        <v>21</v>
      </c>
      <c r="G4" s="49">
        <v>19</v>
      </c>
      <c r="H4" s="139">
        <f>IF(B$27=0,0,G4/B$27)</f>
        <v>0.39583333333333331</v>
      </c>
      <c r="I4" s="100">
        <v>7</v>
      </c>
      <c r="K4" s="40">
        <v>2</v>
      </c>
      <c r="L4" s="105">
        <v>-2.8999999999999995</v>
      </c>
      <c r="N4" s="121" t="s">
        <v>140</v>
      </c>
      <c r="O4" s="128">
        <f t="shared" si="0"/>
        <v>4391.666666666667</v>
      </c>
      <c r="P4" s="125">
        <v>12</v>
      </c>
      <c r="Q4" s="109">
        <v>52700</v>
      </c>
    </row>
    <row r="5" spans="1:17" x14ac:dyDescent="0.4">
      <c r="A5" s="57" t="s">
        <v>7</v>
      </c>
      <c r="B5" s="151">
        <f>IF(B$2=0,0,B$4/B$2)</f>
        <v>32.223076923076924</v>
      </c>
      <c r="C5" s="152"/>
      <c r="E5" s="65" t="s">
        <v>73</v>
      </c>
      <c r="F5" s="62" t="s">
        <v>26</v>
      </c>
      <c r="G5" s="49">
        <v>10</v>
      </c>
      <c r="H5" s="139">
        <f>IF(B$27=0,0,G5/B$27)</f>
        <v>0.20833333333333334</v>
      </c>
      <c r="I5" s="100">
        <v>3</v>
      </c>
      <c r="K5" s="40">
        <v>3</v>
      </c>
      <c r="L5" s="105">
        <v>70.399999999999991</v>
      </c>
      <c r="N5" s="121" t="s">
        <v>141</v>
      </c>
      <c r="O5" s="128">
        <f t="shared" si="0"/>
        <v>7872.727272727273</v>
      </c>
      <c r="P5" s="125">
        <v>11</v>
      </c>
      <c r="Q5" s="109">
        <v>86600</v>
      </c>
    </row>
    <row r="6" spans="1:17" x14ac:dyDescent="0.4">
      <c r="A6" s="57" t="s">
        <v>1</v>
      </c>
      <c r="B6" s="157">
        <f>IF(B$2=0,0,(B$7*1+B$8*2+B$9*3)/B$2)</f>
        <v>1.3846153846153846</v>
      </c>
      <c r="C6" s="158"/>
      <c r="E6" s="65" t="s">
        <v>94</v>
      </c>
      <c r="F6" s="62" t="s">
        <v>47</v>
      </c>
      <c r="G6" s="49">
        <v>10</v>
      </c>
      <c r="H6" s="139">
        <f>IF(B$27=0,0,G6/B$27)</f>
        <v>0.20833333333333334</v>
      </c>
      <c r="I6" s="100">
        <v>1</v>
      </c>
      <c r="K6" s="40">
        <v>4</v>
      </c>
      <c r="L6" s="105">
        <v>110.5</v>
      </c>
      <c r="N6" s="121" t="s">
        <v>142</v>
      </c>
      <c r="O6" s="128">
        <f t="shared" si="0"/>
        <v>1180</v>
      </c>
      <c r="P6" s="125">
        <v>10</v>
      </c>
      <c r="Q6" s="109">
        <v>11800</v>
      </c>
    </row>
    <row r="7" spans="1:17" x14ac:dyDescent="0.4">
      <c r="A7" s="57" t="s">
        <v>2</v>
      </c>
      <c r="B7" s="49">
        <v>9</v>
      </c>
      <c r="C7" s="41">
        <f>IF(B$2=0,0,B7/B$2)</f>
        <v>0.69230769230769229</v>
      </c>
      <c r="E7" s="65" t="s">
        <v>72</v>
      </c>
      <c r="F7" s="62" t="s">
        <v>12</v>
      </c>
      <c r="G7" s="49">
        <v>9</v>
      </c>
      <c r="H7" s="139">
        <f>IF(B$27=0,0,G7/B$27)</f>
        <v>0.1875</v>
      </c>
      <c r="I7" s="100">
        <v>6</v>
      </c>
      <c r="K7" s="40">
        <v>5</v>
      </c>
      <c r="L7" s="105">
        <v>201.4</v>
      </c>
      <c r="N7" s="122" t="s">
        <v>143</v>
      </c>
      <c r="O7" s="129">
        <f t="shared" si="0"/>
        <v>766.66666666666663</v>
      </c>
      <c r="P7" s="126">
        <v>9</v>
      </c>
      <c r="Q7" s="110">
        <v>6900</v>
      </c>
    </row>
    <row r="8" spans="1:17" x14ac:dyDescent="0.4">
      <c r="A8" s="57" t="s">
        <v>3</v>
      </c>
      <c r="B8" s="49">
        <v>3</v>
      </c>
      <c r="C8" s="41">
        <f>IF(B$2=0,0,B8/B$2)</f>
        <v>0.23076923076923078</v>
      </c>
      <c r="E8" s="65" t="s">
        <v>70</v>
      </c>
      <c r="F8" s="62" t="s">
        <v>24</v>
      </c>
      <c r="G8" s="49">
        <v>7</v>
      </c>
      <c r="H8" s="139">
        <f>IF(B$27=0,0,G8/B$27)</f>
        <v>0.14583333333333334</v>
      </c>
      <c r="I8" s="100">
        <v>6</v>
      </c>
      <c r="K8" s="40">
        <v>6</v>
      </c>
      <c r="L8" s="105">
        <v>232.4</v>
      </c>
      <c r="N8" s="45"/>
      <c r="O8" s="133"/>
      <c r="P8" s="117"/>
      <c r="Q8" s="115"/>
    </row>
    <row r="9" spans="1:17" x14ac:dyDescent="0.4">
      <c r="A9" s="58" t="s">
        <v>4</v>
      </c>
      <c r="B9" s="50">
        <v>1</v>
      </c>
      <c r="C9" s="42">
        <f t="shared" ref="C9" si="1">IF(B$2=0,0,B9/B$2)</f>
        <v>7.6923076923076927E-2</v>
      </c>
      <c r="E9" s="65" t="s">
        <v>68</v>
      </c>
      <c r="F9" s="62" t="s">
        <v>22</v>
      </c>
      <c r="G9" s="49">
        <v>5</v>
      </c>
      <c r="H9" s="139">
        <f>IF(B$27=0,0,G9/B$27)</f>
        <v>0.10416666666666667</v>
      </c>
      <c r="I9" s="100">
        <v>6</v>
      </c>
      <c r="K9" s="40">
        <v>7</v>
      </c>
      <c r="L9" s="105">
        <v>256.10000000000002</v>
      </c>
      <c r="N9" s="119" t="s">
        <v>173</v>
      </c>
      <c r="O9" s="36" t="s">
        <v>125</v>
      </c>
      <c r="P9" s="123" t="s">
        <v>121</v>
      </c>
      <c r="Q9" s="111" t="s">
        <v>165</v>
      </c>
    </row>
    <row r="10" spans="1:17" x14ac:dyDescent="0.4">
      <c r="A10" s="58" t="s">
        <v>19</v>
      </c>
      <c r="B10" s="50">
        <v>0</v>
      </c>
      <c r="C10" s="42">
        <f>IF(B$2=0,0,B10/B$2)</f>
        <v>0</v>
      </c>
      <c r="E10" s="65" t="s">
        <v>91</v>
      </c>
      <c r="F10" s="62" t="s">
        <v>44</v>
      </c>
      <c r="G10" s="49">
        <v>4</v>
      </c>
      <c r="H10" s="139">
        <f>IF(B$27=0,0,G10/B$27)</f>
        <v>8.3333333333333329E-2</v>
      </c>
      <c r="I10" s="100">
        <v>2</v>
      </c>
      <c r="K10" s="40">
        <v>8</v>
      </c>
      <c r="L10" s="105">
        <v>285.20000000000005</v>
      </c>
      <c r="N10" s="120" t="s">
        <v>174</v>
      </c>
      <c r="O10" s="130">
        <f>IF(P10=0,0,Q10/P10)</f>
        <v>19.633333333333329</v>
      </c>
      <c r="P10" s="124">
        <v>6</v>
      </c>
      <c r="Q10" s="112">
        <v>117.79999999999998</v>
      </c>
    </row>
    <row r="11" spans="1:17" x14ac:dyDescent="0.4">
      <c r="A11" s="58" t="s">
        <v>146</v>
      </c>
      <c r="B11" s="50">
        <v>2</v>
      </c>
      <c r="C11" s="42">
        <f>IF(B$2=0,0,B11/B$2)</f>
        <v>0.15384615384615385</v>
      </c>
      <c r="E11" s="65" t="s">
        <v>74</v>
      </c>
      <c r="F11" s="62" t="s">
        <v>27</v>
      </c>
      <c r="G11" s="49">
        <v>2</v>
      </c>
      <c r="H11" s="139">
        <f>IF(B$27=0,0,G11/B$27)</f>
        <v>4.1666666666666664E-2</v>
      </c>
      <c r="I11" s="100">
        <v>6</v>
      </c>
      <c r="K11" s="40">
        <v>9</v>
      </c>
      <c r="L11" s="105">
        <v>277.90000000000003</v>
      </c>
      <c r="N11" s="121" t="s">
        <v>175</v>
      </c>
      <c r="O11" s="131">
        <f>IF(P11=0,0,Q11/P11)</f>
        <v>36.500000000000007</v>
      </c>
      <c r="P11" s="125">
        <v>3</v>
      </c>
      <c r="Q11" s="113">
        <v>109.50000000000001</v>
      </c>
    </row>
    <row r="12" spans="1:17" x14ac:dyDescent="0.4">
      <c r="A12" s="59" t="s">
        <v>167</v>
      </c>
      <c r="B12" s="51">
        <v>4</v>
      </c>
      <c r="C12" s="44">
        <f>IF(B$2=0,0,B12/B$2)</f>
        <v>0.30769230769230771</v>
      </c>
      <c r="E12" s="65" t="s">
        <v>82</v>
      </c>
      <c r="F12" s="62" t="s">
        <v>35</v>
      </c>
      <c r="G12" s="49">
        <v>2</v>
      </c>
      <c r="H12" s="139">
        <f>IF(B$27=0,0,G12/B$27)</f>
        <v>4.1666666666666664E-2</v>
      </c>
      <c r="I12" s="100">
        <v>2</v>
      </c>
      <c r="K12" s="40">
        <v>10</v>
      </c>
      <c r="L12" s="105">
        <v>246.20000000000005</v>
      </c>
      <c r="N12" s="122" t="s">
        <v>176</v>
      </c>
      <c r="O12" s="132">
        <f>IF(P12=0,0,Q12/P12)</f>
        <v>47.900000000000006</v>
      </c>
      <c r="P12" s="126">
        <v>4</v>
      </c>
      <c r="Q12" s="114">
        <v>191.60000000000002</v>
      </c>
    </row>
    <row r="13" spans="1:17" x14ac:dyDescent="0.4">
      <c r="A13" s="60" t="s">
        <v>128</v>
      </c>
      <c r="B13" s="52">
        <v>39</v>
      </c>
      <c r="C13" s="46">
        <f>IF(B$26=0,0,B13/B$26)</f>
        <v>0.3611111111111111</v>
      </c>
      <c r="E13" s="65" t="s">
        <v>88</v>
      </c>
      <c r="F13" s="62" t="s">
        <v>41</v>
      </c>
      <c r="G13" s="49">
        <v>2</v>
      </c>
      <c r="H13" s="139">
        <f>IF(B$27=0,0,G13/B$27)</f>
        <v>4.1666666666666664E-2</v>
      </c>
      <c r="I13" s="100">
        <v>5</v>
      </c>
      <c r="K13" s="40">
        <v>11</v>
      </c>
      <c r="L13" s="105">
        <v>333.30000000000007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28</v>
      </c>
      <c r="C14" s="41">
        <f>IF(B$26=0,0,B14/B$26)</f>
        <v>0.25925925925925924</v>
      </c>
      <c r="E14" s="65" t="s">
        <v>75</v>
      </c>
      <c r="F14" s="62" t="s">
        <v>28</v>
      </c>
      <c r="G14" s="49">
        <v>1</v>
      </c>
      <c r="H14" s="139">
        <f>IF(B$27=0,0,G14/B$27)</f>
        <v>2.0833333333333332E-2</v>
      </c>
      <c r="I14" s="100">
        <v>4</v>
      </c>
      <c r="K14" s="40">
        <v>12</v>
      </c>
      <c r="L14" s="105">
        <v>371.70000000000005</v>
      </c>
      <c r="N14" s="119" t="s">
        <v>162</v>
      </c>
      <c r="O14" s="36" t="s">
        <v>125</v>
      </c>
      <c r="P14" s="123" t="s">
        <v>121</v>
      </c>
      <c r="Q14" s="111" t="s">
        <v>165</v>
      </c>
    </row>
    <row r="15" spans="1:17" x14ac:dyDescent="0.4">
      <c r="A15" s="56" t="s">
        <v>130</v>
      </c>
      <c r="B15" s="48">
        <v>20</v>
      </c>
      <c r="C15" s="39">
        <f>IF(B$13=0,0,B15/B$13)</f>
        <v>0.51282051282051277</v>
      </c>
      <c r="E15" s="65" t="s">
        <v>86</v>
      </c>
      <c r="F15" s="62" t="s">
        <v>39</v>
      </c>
      <c r="G15" s="49">
        <v>1</v>
      </c>
      <c r="H15" s="139">
        <f>IF(B$27=0,0,G15/B$27)</f>
        <v>2.0833333333333332E-2</v>
      </c>
      <c r="I15" s="100">
        <v>3</v>
      </c>
      <c r="K15" s="40">
        <v>13</v>
      </c>
      <c r="L15" s="105">
        <v>418.90000000000003</v>
      </c>
      <c r="N15" s="120" t="s">
        <v>183</v>
      </c>
      <c r="O15" s="130">
        <f>IF(P15=0,0,Q15/P15)</f>
        <v>120</v>
      </c>
      <c r="P15" s="124">
        <v>3</v>
      </c>
      <c r="Q15" s="112">
        <v>360</v>
      </c>
    </row>
    <row r="16" spans="1:17" x14ac:dyDescent="0.4">
      <c r="A16" s="56" t="s">
        <v>131</v>
      </c>
      <c r="B16" s="48">
        <v>18</v>
      </c>
      <c r="C16" s="39">
        <f>IF(B$14=0,0,B16/B$14)</f>
        <v>0.6428571428571429</v>
      </c>
      <c r="E16" s="65" t="s">
        <v>71</v>
      </c>
      <c r="F16" s="62" t="s">
        <v>25</v>
      </c>
      <c r="G16" s="49">
        <v>0</v>
      </c>
      <c r="H16" s="139">
        <f>IF(B$27=0,0,G16/B$27)</f>
        <v>0</v>
      </c>
      <c r="I16" s="100">
        <v>1</v>
      </c>
      <c r="N16" s="121" t="s">
        <v>181</v>
      </c>
      <c r="O16" s="131">
        <f>IF(P16=0,0,Q16/P16)</f>
        <v>86.61999999999999</v>
      </c>
      <c r="P16" s="125">
        <v>5</v>
      </c>
      <c r="Q16" s="113">
        <v>433.09999999999997</v>
      </c>
    </row>
    <row r="17" spans="1:17" x14ac:dyDescent="0.4">
      <c r="A17" s="56" t="s">
        <v>10</v>
      </c>
      <c r="B17" s="48">
        <f>B19+B18</f>
        <v>48</v>
      </c>
      <c r="C17" s="39">
        <f>IF(B$3=0,0,B17/B$3)</f>
        <v>0.44444444444444442</v>
      </c>
      <c r="E17" s="65" t="s">
        <v>77</v>
      </c>
      <c r="F17" s="62" t="s">
        <v>30</v>
      </c>
      <c r="G17" s="49">
        <v>0</v>
      </c>
      <c r="H17" s="139">
        <f>IF(B$27=0,0,G17/B$27)</f>
        <v>0</v>
      </c>
      <c r="I17" s="100">
        <v>3</v>
      </c>
      <c r="N17" s="121" t="s">
        <v>135</v>
      </c>
      <c r="O17" s="131">
        <f>IF(P17=0,0,Q17/P17)</f>
        <v>32.857142857142854</v>
      </c>
      <c r="P17" s="125">
        <v>7</v>
      </c>
      <c r="Q17" s="113">
        <v>230</v>
      </c>
    </row>
    <row r="18" spans="1:17" x14ac:dyDescent="0.4">
      <c r="A18" s="57" t="s">
        <v>12</v>
      </c>
      <c r="B18" s="49">
        <v>15</v>
      </c>
      <c r="C18" s="41">
        <f>IF(B$17=0,0,B18/B$17)</f>
        <v>0.3125</v>
      </c>
      <c r="E18" s="65" t="s">
        <v>78</v>
      </c>
      <c r="F18" s="62" t="s">
        <v>31</v>
      </c>
      <c r="G18" s="49">
        <v>0</v>
      </c>
      <c r="H18" s="139">
        <f>IF(B$27=0,0,G18/B$27)</f>
        <v>0</v>
      </c>
      <c r="I18" s="100">
        <v>1</v>
      </c>
      <c r="N18" s="121" t="s">
        <v>134</v>
      </c>
      <c r="O18" s="131">
        <f>IF(P18=0,0,Q18/P18)</f>
        <v>28.212499999999999</v>
      </c>
      <c r="P18" s="125">
        <v>8</v>
      </c>
      <c r="Q18" s="113">
        <v>225.7</v>
      </c>
    </row>
    <row r="19" spans="1:17" x14ac:dyDescent="0.4">
      <c r="A19" s="57" t="s">
        <v>11</v>
      </c>
      <c r="B19" s="49">
        <v>33</v>
      </c>
      <c r="C19" s="41">
        <f>IF(B$17=0,0,B19/B$17)</f>
        <v>0.6875</v>
      </c>
      <c r="E19" s="65" t="s">
        <v>79</v>
      </c>
      <c r="F19" s="62" t="s">
        <v>32</v>
      </c>
      <c r="G19" s="49">
        <v>0</v>
      </c>
      <c r="H19" s="139">
        <f>IF(B$27=0,0,G19/B$27)</f>
        <v>0</v>
      </c>
      <c r="I19" s="100">
        <v>5</v>
      </c>
      <c r="N19" s="121" t="s">
        <v>182</v>
      </c>
      <c r="O19" s="131">
        <f>IF(P19=0,0,Q19/P19)</f>
        <v>2.6333333333333351</v>
      </c>
      <c r="P19" s="125">
        <v>3</v>
      </c>
      <c r="Q19" s="113">
        <v>7.9000000000000057</v>
      </c>
    </row>
    <row r="20" spans="1:17" x14ac:dyDescent="0.4">
      <c r="A20" s="57" t="s">
        <v>13</v>
      </c>
      <c r="B20" s="49">
        <v>15</v>
      </c>
      <c r="C20" s="41">
        <f>IF(B$3=0,0,B20/B$3)</f>
        <v>0.1388888888888889</v>
      </c>
      <c r="E20" s="65" t="s">
        <v>80</v>
      </c>
      <c r="F20" s="62" t="s">
        <v>33</v>
      </c>
      <c r="G20" s="49">
        <v>0</v>
      </c>
      <c r="H20" s="139">
        <f>IF(B$27=0,0,G20/B$27)</f>
        <v>0</v>
      </c>
      <c r="I20" s="100">
        <v>1</v>
      </c>
    </row>
    <row r="21" spans="1:17" x14ac:dyDescent="0.4">
      <c r="A21" s="57" t="s">
        <v>5</v>
      </c>
      <c r="B21" s="53">
        <f>IF(B$17=0,0,C21/B$17)</f>
        <v>7870.833333333333</v>
      </c>
      <c r="C21" s="43">
        <v>377800</v>
      </c>
      <c r="E21" s="65" t="s">
        <v>81</v>
      </c>
      <c r="F21" s="62" t="s">
        <v>34</v>
      </c>
      <c r="G21" s="49">
        <v>0</v>
      </c>
      <c r="H21" s="139">
        <f>IF(B$27=0,0,G21/B$27)</f>
        <v>0</v>
      </c>
      <c r="I21" s="100">
        <v>1</v>
      </c>
    </row>
    <row r="22" spans="1:17" x14ac:dyDescent="0.4">
      <c r="A22" s="59" t="s">
        <v>14</v>
      </c>
      <c r="B22" s="54">
        <f>IF(B$20=0,0,C22/B$20)</f>
        <v>-7546.666666666667</v>
      </c>
      <c r="C22" s="47">
        <v>-113200</v>
      </c>
      <c r="E22" s="65" t="s">
        <v>83</v>
      </c>
      <c r="F22" s="62" t="s">
        <v>36</v>
      </c>
      <c r="G22" s="49">
        <v>0</v>
      </c>
      <c r="H22" s="139">
        <f>IF(B$27=0,0,G22/B$27)</f>
        <v>0</v>
      </c>
      <c r="I22" s="100">
        <v>1</v>
      </c>
    </row>
    <row r="23" spans="1:17" x14ac:dyDescent="0.4">
      <c r="A23" s="96" t="s">
        <v>148</v>
      </c>
      <c r="B23" s="155">
        <v>4</v>
      </c>
      <c r="C23" s="156"/>
      <c r="E23" s="65" t="s">
        <v>84</v>
      </c>
      <c r="F23" s="62" t="s">
        <v>37</v>
      </c>
      <c r="G23" s="49">
        <v>0</v>
      </c>
      <c r="H23" s="139">
        <f>IF(B$27=0,0,G23/B$27)</f>
        <v>0</v>
      </c>
      <c r="I23" s="100">
        <v>1</v>
      </c>
    </row>
    <row r="24" spans="1:17" x14ac:dyDescent="0.4">
      <c r="A24" s="60" t="s">
        <v>159</v>
      </c>
      <c r="B24" s="153">
        <v>105900</v>
      </c>
      <c r="C24" s="154"/>
      <c r="E24" s="65" t="s">
        <v>85</v>
      </c>
      <c r="F24" s="62" t="s">
        <v>38</v>
      </c>
      <c r="G24" s="49">
        <v>0</v>
      </c>
      <c r="H24" s="139">
        <f>IF(B$27=0,0,G24/B$27)</f>
        <v>0</v>
      </c>
      <c r="I24" s="100">
        <v>1</v>
      </c>
    </row>
    <row r="25" spans="1:17" x14ac:dyDescent="0.4">
      <c r="A25" s="59" t="s">
        <v>149</v>
      </c>
      <c r="B25" s="67">
        <v>0</v>
      </c>
      <c r="C25" s="44">
        <f>IF(B$3=0,0,B25/B$3)</f>
        <v>0</v>
      </c>
      <c r="E25" s="65" t="s">
        <v>87</v>
      </c>
      <c r="F25" s="62" t="s">
        <v>40</v>
      </c>
      <c r="G25" s="49">
        <v>0</v>
      </c>
      <c r="H25" s="139">
        <f>IF(B$27=0,0,G25/B$27)</f>
        <v>0</v>
      </c>
      <c r="I25" s="100">
        <v>1</v>
      </c>
    </row>
    <row r="26" spans="1:17" x14ac:dyDescent="0.4">
      <c r="A26" s="56" t="s">
        <v>126</v>
      </c>
      <c r="B26" s="145">
        <v>108</v>
      </c>
      <c r="C26" s="146"/>
      <c r="E26" s="65" t="s">
        <v>89</v>
      </c>
      <c r="F26" s="62" t="s">
        <v>42</v>
      </c>
      <c r="G26" s="49">
        <v>0</v>
      </c>
      <c r="H26" s="139">
        <f>IF(B$27=0,0,G26/B$27)</f>
        <v>0</v>
      </c>
      <c r="I26" s="100">
        <v>1</v>
      </c>
    </row>
    <row r="27" spans="1:17" x14ac:dyDescent="0.4">
      <c r="A27" s="59" t="s">
        <v>127</v>
      </c>
      <c r="B27" s="159">
        <v>48</v>
      </c>
      <c r="C27" s="160"/>
      <c r="E27" s="65" t="s">
        <v>90</v>
      </c>
      <c r="F27" s="62" t="s">
        <v>43</v>
      </c>
      <c r="G27" s="49">
        <v>0</v>
      </c>
      <c r="H27" s="139">
        <f>IF(B$27=0,0,G27/B$27)</f>
        <v>0</v>
      </c>
      <c r="I27" s="100">
        <v>1</v>
      </c>
    </row>
    <row r="28" spans="1:17" x14ac:dyDescent="0.4">
      <c r="E28" s="65" t="s">
        <v>92</v>
      </c>
      <c r="F28" s="62" t="s">
        <v>45</v>
      </c>
      <c r="G28" s="49">
        <v>0</v>
      </c>
      <c r="H28" s="139">
        <f>IF(B$27=0,0,G28/B$27)</f>
        <v>0</v>
      </c>
      <c r="I28" s="100">
        <v>1</v>
      </c>
    </row>
    <row r="29" spans="1:17" x14ac:dyDescent="0.4">
      <c r="E29" s="65" t="s">
        <v>93</v>
      </c>
      <c r="F29" s="62" t="s">
        <v>46</v>
      </c>
      <c r="G29" s="49">
        <v>0</v>
      </c>
      <c r="H29" s="139">
        <f>IF(B$27=0,0,G29/B$27)</f>
        <v>0</v>
      </c>
      <c r="I29" s="100">
        <v>1</v>
      </c>
    </row>
    <row r="30" spans="1:17" x14ac:dyDescent="0.4">
      <c r="E30" s="65" t="s">
        <v>95</v>
      </c>
      <c r="F30" s="62" t="s">
        <v>48</v>
      </c>
      <c r="G30" s="49">
        <v>0</v>
      </c>
      <c r="H30" s="139">
        <f>IF(B$27=0,0,G30/B$27)</f>
        <v>0</v>
      </c>
      <c r="I30" s="100">
        <v>1</v>
      </c>
    </row>
    <row r="31" spans="1:17" x14ac:dyDescent="0.4">
      <c r="E31" s="65" t="s">
        <v>96</v>
      </c>
      <c r="F31" s="62" t="s">
        <v>49</v>
      </c>
      <c r="G31" s="49">
        <v>0</v>
      </c>
      <c r="H31" s="139">
        <f>IF(B$27=0,0,G31/B$27)</f>
        <v>0</v>
      </c>
      <c r="I31" s="100">
        <v>4</v>
      </c>
    </row>
    <row r="32" spans="1:17" x14ac:dyDescent="0.4">
      <c r="E32" s="65" t="s">
        <v>97</v>
      </c>
      <c r="F32" s="62" t="s">
        <v>50</v>
      </c>
      <c r="G32" s="49">
        <v>0</v>
      </c>
      <c r="H32" s="139">
        <f>IF(B$27=0,0,G32/B$27)</f>
        <v>0</v>
      </c>
      <c r="I32" s="100">
        <v>3</v>
      </c>
    </row>
    <row r="33" spans="5:9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1</v>
      </c>
    </row>
    <row r="34" spans="5:9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1</v>
      </c>
    </row>
    <row r="36" spans="5:9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1</v>
      </c>
    </row>
    <row r="47" spans="5:9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5D66B-8555-4D12-804F-E4F32FE675CA}">
  <sheetPr codeName="Sheet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134</v>
      </c>
      <c r="C1" s="144"/>
      <c r="E1" s="135" t="s">
        <v>177</v>
      </c>
      <c r="F1" s="142" t="s">
        <v>120</v>
      </c>
      <c r="G1" s="141" t="s">
        <v>121</v>
      </c>
      <c r="H1" s="136" t="s">
        <v>122</v>
      </c>
      <c r="I1" s="142" t="s">
        <v>161</v>
      </c>
      <c r="K1" s="36" t="s">
        <v>20</v>
      </c>
      <c r="L1" s="37" t="s">
        <v>125</v>
      </c>
      <c r="M1" s="137"/>
      <c r="N1" s="119" t="s">
        <v>144</v>
      </c>
      <c r="O1" s="36" t="s">
        <v>145</v>
      </c>
      <c r="P1" s="123" t="s">
        <v>121</v>
      </c>
      <c r="Q1" s="107" t="s">
        <v>165</v>
      </c>
    </row>
    <row r="2" spans="1:17" x14ac:dyDescent="0.4">
      <c r="A2" s="56" t="s">
        <v>9</v>
      </c>
      <c r="B2" s="145">
        <v>12</v>
      </c>
      <c r="C2" s="146"/>
      <c r="E2" s="64" t="s">
        <v>67</v>
      </c>
      <c r="F2" s="61" t="s">
        <v>21</v>
      </c>
      <c r="G2" s="48">
        <v>19</v>
      </c>
      <c r="H2" s="138">
        <f>IF(B$27=0,0,G2/B$27)</f>
        <v>0.61290322580645162</v>
      </c>
      <c r="I2" s="99">
        <v>1</v>
      </c>
      <c r="K2" s="38">
        <v>0</v>
      </c>
      <c r="L2" s="104">
        <v>0</v>
      </c>
      <c r="N2" s="120" t="s">
        <v>138</v>
      </c>
      <c r="O2" s="127">
        <f t="shared" ref="O2:O7" si="0">IF(P2=0,0,Q2/P2)</f>
        <v>-3500</v>
      </c>
      <c r="P2" s="124">
        <v>12</v>
      </c>
      <c r="Q2" s="108">
        <v>-42000</v>
      </c>
    </row>
    <row r="3" spans="1:17" x14ac:dyDescent="0.4">
      <c r="A3" s="57" t="s">
        <v>8</v>
      </c>
      <c r="B3" s="147">
        <v>103</v>
      </c>
      <c r="C3" s="148"/>
      <c r="E3" s="65" t="s">
        <v>69</v>
      </c>
      <c r="F3" s="62" t="s">
        <v>23</v>
      </c>
      <c r="G3" s="49">
        <v>18</v>
      </c>
      <c r="H3" s="139">
        <f>IF(B$27=0,0,G3/B$27)</f>
        <v>0.58064516129032262</v>
      </c>
      <c r="I3" s="100">
        <v>4</v>
      </c>
      <c r="K3" s="40">
        <v>1</v>
      </c>
      <c r="L3" s="105">
        <v>45.5</v>
      </c>
      <c r="N3" s="121" t="s">
        <v>139</v>
      </c>
      <c r="O3" s="128">
        <f t="shared" si="0"/>
        <v>-541.66666666666663</v>
      </c>
      <c r="P3" s="125">
        <v>12</v>
      </c>
      <c r="Q3" s="109">
        <v>-6500</v>
      </c>
    </row>
    <row r="4" spans="1:17" x14ac:dyDescent="0.4">
      <c r="A4" s="57" t="s">
        <v>6</v>
      </c>
      <c r="B4" s="149">
        <v>-56.500000000000007</v>
      </c>
      <c r="C4" s="150"/>
      <c r="E4" s="65" t="s">
        <v>70</v>
      </c>
      <c r="F4" s="62" t="s">
        <v>24</v>
      </c>
      <c r="G4" s="49">
        <v>14</v>
      </c>
      <c r="H4" s="139">
        <f>IF(B$27=0,0,G4/B$27)</f>
        <v>0.45161290322580644</v>
      </c>
      <c r="I4" s="100">
        <v>1</v>
      </c>
      <c r="K4" s="40">
        <v>2</v>
      </c>
      <c r="L4" s="105">
        <v>6.2999999999999972</v>
      </c>
      <c r="N4" s="121" t="s">
        <v>140</v>
      </c>
      <c r="O4" s="128">
        <f t="shared" si="0"/>
        <v>-1383.3333333333333</v>
      </c>
      <c r="P4" s="125">
        <v>12</v>
      </c>
      <c r="Q4" s="109">
        <v>-16600</v>
      </c>
    </row>
    <row r="5" spans="1:17" x14ac:dyDescent="0.4">
      <c r="A5" s="57" t="s">
        <v>7</v>
      </c>
      <c r="B5" s="151">
        <f>IF(B$2=0,0,B$4/B$2)</f>
        <v>-4.7083333333333339</v>
      </c>
      <c r="C5" s="152"/>
      <c r="E5" s="65" t="s">
        <v>72</v>
      </c>
      <c r="F5" s="62" t="s">
        <v>12</v>
      </c>
      <c r="G5" s="49">
        <v>11</v>
      </c>
      <c r="H5" s="139">
        <f>IF(B$27=0,0,G5/B$27)</f>
        <v>0.35483870967741937</v>
      </c>
      <c r="I5" s="100">
        <v>3</v>
      </c>
      <c r="K5" s="40">
        <v>3</v>
      </c>
      <c r="L5" s="105">
        <v>-47.300000000000004</v>
      </c>
      <c r="N5" s="121" t="s">
        <v>141</v>
      </c>
      <c r="O5" s="128">
        <f t="shared" si="0"/>
        <v>916.66666666666663</v>
      </c>
      <c r="P5" s="125">
        <v>12</v>
      </c>
      <c r="Q5" s="109">
        <v>11000</v>
      </c>
    </row>
    <row r="6" spans="1:17" x14ac:dyDescent="0.4">
      <c r="A6" s="57" t="s">
        <v>1</v>
      </c>
      <c r="B6" s="157">
        <f>IF(B$2=0,0,(B$7*1+B$8*2+B$9*3)/B$2)</f>
        <v>2.1666666666666665</v>
      </c>
      <c r="C6" s="158"/>
      <c r="E6" s="65" t="s">
        <v>73</v>
      </c>
      <c r="F6" s="62" t="s">
        <v>26</v>
      </c>
      <c r="G6" s="49">
        <v>9</v>
      </c>
      <c r="H6" s="139">
        <f>IF(B$27=0,0,G6/B$27)</f>
        <v>0.29032258064516131</v>
      </c>
      <c r="I6" s="100">
        <v>2</v>
      </c>
      <c r="K6" s="40">
        <v>4</v>
      </c>
      <c r="L6" s="105">
        <v>13.599999999999994</v>
      </c>
      <c r="N6" s="121" t="s">
        <v>142</v>
      </c>
      <c r="O6" s="128">
        <f t="shared" si="0"/>
        <v>3191.6666666666665</v>
      </c>
      <c r="P6" s="125">
        <v>12</v>
      </c>
      <c r="Q6" s="109">
        <v>38300</v>
      </c>
    </row>
    <row r="7" spans="1:17" x14ac:dyDescent="0.4">
      <c r="A7" s="57" t="s">
        <v>2</v>
      </c>
      <c r="B7" s="49">
        <v>3</v>
      </c>
      <c r="C7" s="41">
        <f>IF(B$2=0,0,B7/B$2)</f>
        <v>0.25</v>
      </c>
      <c r="E7" s="65" t="s">
        <v>76</v>
      </c>
      <c r="F7" s="62" t="s">
        <v>29</v>
      </c>
      <c r="G7" s="49">
        <v>8</v>
      </c>
      <c r="H7" s="139">
        <f>IF(B$27=0,0,G7/B$27)</f>
        <v>0.25806451612903225</v>
      </c>
      <c r="I7" s="100">
        <v>7</v>
      </c>
      <c r="K7" s="40">
        <v>5</v>
      </c>
      <c r="L7" s="105">
        <v>-16.600000000000005</v>
      </c>
      <c r="N7" s="122" t="s">
        <v>143</v>
      </c>
      <c r="O7" s="129">
        <f t="shared" si="0"/>
        <v>-58.333333333333336</v>
      </c>
      <c r="P7" s="126">
        <v>12</v>
      </c>
      <c r="Q7" s="110">
        <v>-700</v>
      </c>
    </row>
    <row r="8" spans="1:17" x14ac:dyDescent="0.4">
      <c r="A8" s="57" t="s">
        <v>3</v>
      </c>
      <c r="B8" s="49">
        <v>4</v>
      </c>
      <c r="C8" s="41">
        <f>IF(B$2=0,0,B8/B$2)</f>
        <v>0.33333333333333331</v>
      </c>
      <c r="E8" s="65" t="s">
        <v>68</v>
      </c>
      <c r="F8" s="62" t="s">
        <v>22</v>
      </c>
      <c r="G8" s="49">
        <v>6</v>
      </c>
      <c r="H8" s="139">
        <f>IF(B$27=0,0,G8/B$27)</f>
        <v>0.19354838709677419</v>
      </c>
      <c r="I8" s="100">
        <v>2</v>
      </c>
      <c r="K8" s="40">
        <v>6</v>
      </c>
      <c r="L8" s="105">
        <v>-14.000000000000005</v>
      </c>
      <c r="N8" s="45"/>
      <c r="O8" s="133"/>
      <c r="P8" s="117"/>
      <c r="Q8" s="115"/>
    </row>
    <row r="9" spans="1:17" x14ac:dyDescent="0.4">
      <c r="A9" s="58" t="s">
        <v>4</v>
      </c>
      <c r="B9" s="50">
        <v>5</v>
      </c>
      <c r="C9" s="42">
        <f t="shared" ref="C9" si="1">IF(B$2=0,0,B9/B$2)</f>
        <v>0.41666666666666669</v>
      </c>
      <c r="E9" s="65" t="s">
        <v>74</v>
      </c>
      <c r="F9" s="62" t="s">
        <v>27</v>
      </c>
      <c r="G9" s="49">
        <v>3</v>
      </c>
      <c r="H9" s="139">
        <f>IF(B$27=0,0,G9/B$27)</f>
        <v>9.6774193548387094E-2</v>
      </c>
      <c r="I9" s="100">
        <v>4</v>
      </c>
      <c r="K9" s="40">
        <v>7</v>
      </c>
      <c r="L9" s="105">
        <v>-45.300000000000004</v>
      </c>
      <c r="N9" s="119" t="s">
        <v>173</v>
      </c>
      <c r="O9" s="36" t="s">
        <v>125</v>
      </c>
      <c r="P9" s="123" t="s">
        <v>121</v>
      </c>
      <c r="Q9" s="111" t="s">
        <v>165</v>
      </c>
    </row>
    <row r="10" spans="1:17" x14ac:dyDescent="0.4">
      <c r="A10" s="58" t="s">
        <v>19</v>
      </c>
      <c r="B10" s="50">
        <v>0</v>
      </c>
      <c r="C10" s="42">
        <f>IF(B$2=0,0,B10/B$2)</f>
        <v>0</v>
      </c>
      <c r="E10" s="65" t="s">
        <v>91</v>
      </c>
      <c r="F10" s="62" t="s">
        <v>44</v>
      </c>
      <c r="G10" s="49">
        <v>2</v>
      </c>
      <c r="H10" s="139">
        <f>IF(B$27=0,0,G10/B$27)</f>
        <v>6.4516129032258063E-2</v>
      </c>
      <c r="I10" s="100">
        <v>3</v>
      </c>
      <c r="K10" s="40">
        <v>8</v>
      </c>
      <c r="L10" s="105">
        <v>-49.6</v>
      </c>
      <c r="N10" s="120" t="s">
        <v>174</v>
      </c>
      <c r="O10" s="130">
        <f>IF(P10=0,0,Q10/P10)</f>
        <v>-18.666666666666668</v>
      </c>
      <c r="P10" s="124">
        <v>3</v>
      </c>
      <c r="Q10" s="112">
        <v>-56</v>
      </c>
    </row>
    <row r="11" spans="1:17" x14ac:dyDescent="0.4">
      <c r="A11" s="58" t="s">
        <v>146</v>
      </c>
      <c r="B11" s="50">
        <v>0</v>
      </c>
      <c r="C11" s="42">
        <f>IF(B$2=0,0,B11/B$2)</f>
        <v>0</v>
      </c>
      <c r="E11" s="65" t="s">
        <v>94</v>
      </c>
      <c r="F11" s="62" t="s">
        <v>47</v>
      </c>
      <c r="G11" s="49">
        <v>2</v>
      </c>
      <c r="H11" s="139">
        <f>IF(B$27=0,0,G11/B$27)</f>
        <v>6.4516129032258063E-2</v>
      </c>
      <c r="I11" s="100">
        <v>8</v>
      </c>
      <c r="K11" s="40">
        <v>9</v>
      </c>
      <c r="L11" s="105">
        <v>-79.5</v>
      </c>
      <c r="N11" s="121" t="s">
        <v>175</v>
      </c>
      <c r="O11" s="131">
        <f>IF(P11=0,0,Q11/P11)</f>
        <v>-7.3833333333333329</v>
      </c>
      <c r="P11" s="125">
        <v>6</v>
      </c>
      <c r="Q11" s="113">
        <v>-44.3</v>
      </c>
    </row>
    <row r="12" spans="1:17" x14ac:dyDescent="0.4">
      <c r="A12" s="59" t="s">
        <v>167</v>
      </c>
      <c r="B12" s="51">
        <v>1</v>
      </c>
      <c r="C12" s="44">
        <f>IF(B$2=0,0,B12/B$2)</f>
        <v>8.3333333333333329E-2</v>
      </c>
      <c r="E12" s="65" t="s">
        <v>75</v>
      </c>
      <c r="F12" s="62" t="s">
        <v>28</v>
      </c>
      <c r="G12" s="49">
        <v>1</v>
      </c>
      <c r="H12" s="139">
        <f>IF(B$27=0,0,G12/B$27)</f>
        <v>3.2258064516129031E-2</v>
      </c>
      <c r="I12" s="100">
        <v>2</v>
      </c>
      <c r="K12" s="40">
        <v>10</v>
      </c>
      <c r="L12" s="105">
        <v>-80.900000000000006</v>
      </c>
      <c r="N12" s="122" t="s">
        <v>176</v>
      </c>
      <c r="O12" s="132">
        <f>IF(P12=0,0,Q12/P12)</f>
        <v>14.600000000000001</v>
      </c>
      <c r="P12" s="126">
        <v>3</v>
      </c>
      <c r="Q12" s="114">
        <v>43.800000000000004</v>
      </c>
    </row>
    <row r="13" spans="1:17" x14ac:dyDescent="0.4">
      <c r="A13" s="60" t="s">
        <v>128</v>
      </c>
      <c r="B13" s="52">
        <v>32</v>
      </c>
      <c r="C13" s="46">
        <f>IF(B$26=0,0,B13/B$26)</f>
        <v>0.31067961165048541</v>
      </c>
      <c r="E13" s="65" t="s">
        <v>77</v>
      </c>
      <c r="F13" s="62" t="s">
        <v>30</v>
      </c>
      <c r="G13" s="49">
        <v>1</v>
      </c>
      <c r="H13" s="139">
        <f>IF(B$27=0,0,G13/B$27)</f>
        <v>3.2258064516129031E-2</v>
      </c>
      <c r="I13" s="100">
        <v>1</v>
      </c>
      <c r="K13" s="40">
        <v>11</v>
      </c>
      <c r="L13" s="105">
        <v>-53.100000000000009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23</v>
      </c>
      <c r="C14" s="41">
        <f>IF(B$26=0,0,B14/B$26)</f>
        <v>0.22330097087378642</v>
      </c>
      <c r="E14" s="65" t="s">
        <v>79</v>
      </c>
      <c r="F14" s="62" t="s">
        <v>32</v>
      </c>
      <c r="G14" s="49">
        <v>1</v>
      </c>
      <c r="H14" s="139">
        <f>IF(B$27=0,0,G14/B$27)</f>
        <v>3.2258064516129031E-2</v>
      </c>
      <c r="I14" s="100">
        <v>3</v>
      </c>
      <c r="K14" s="40">
        <v>12</v>
      </c>
      <c r="L14" s="105">
        <v>-56.500000000000007</v>
      </c>
      <c r="N14" s="119" t="s">
        <v>162</v>
      </c>
      <c r="O14" s="36" t="s">
        <v>125</v>
      </c>
      <c r="P14" s="123" t="s">
        <v>121</v>
      </c>
      <c r="Q14" s="111" t="s">
        <v>165</v>
      </c>
    </row>
    <row r="15" spans="1:17" x14ac:dyDescent="0.4">
      <c r="A15" s="56" t="s">
        <v>130</v>
      </c>
      <c r="B15" s="48">
        <v>19</v>
      </c>
      <c r="C15" s="39">
        <f>IF(B$13=0,0,B15/B$13)</f>
        <v>0.59375</v>
      </c>
      <c r="E15" s="65" t="s">
        <v>86</v>
      </c>
      <c r="F15" s="62" t="s">
        <v>39</v>
      </c>
      <c r="G15" s="49">
        <v>1</v>
      </c>
      <c r="H15" s="139">
        <f>IF(B$27=0,0,G15/B$27)</f>
        <v>3.2258064516129031E-2</v>
      </c>
      <c r="I15" s="100">
        <v>2</v>
      </c>
      <c r="N15" s="120" t="s">
        <v>182</v>
      </c>
      <c r="O15" s="130">
        <f>IF(P15=0,0,Q15/P15)</f>
        <v>32.699999999999996</v>
      </c>
      <c r="P15" s="124">
        <v>3</v>
      </c>
      <c r="Q15" s="112">
        <v>98.1</v>
      </c>
    </row>
    <row r="16" spans="1:17" x14ac:dyDescent="0.4">
      <c r="A16" s="56" t="s">
        <v>131</v>
      </c>
      <c r="B16" s="48">
        <v>6</v>
      </c>
      <c r="C16" s="39">
        <f>IF(B$14=0,0,B16/B$14)</f>
        <v>0.2608695652173913</v>
      </c>
      <c r="E16" s="65" t="s">
        <v>96</v>
      </c>
      <c r="F16" s="62" t="s">
        <v>49</v>
      </c>
      <c r="G16" s="49">
        <v>1</v>
      </c>
      <c r="H16" s="139">
        <f>IF(B$27=0,0,G16/B$27)</f>
        <v>3.2258064516129031E-2</v>
      </c>
      <c r="I16" s="100">
        <v>2</v>
      </c>
      <c r="N16" s="121" t="s">
        <v>183</v>
      </c>
      <c r="O16" s="131">
        <f>IF(P16=0,0,Q16/P16)</f>
        <v>27.8</v>
      </c>
      <c r="P16" s="125">
        <v>2</v>
      </c>
      <c r="Q16" s="113">
        <v>55.6</v>
      </c>
    </row>
    <row r="17" spans="1:17" x14ac:dyDescent="0.4">
      <c r="A17" s="56" t="s">
        <v>10</v>
      </c>
      <c r="B17" s="48">
        <f>B19+B18</f>
        <v>31</v>
      </c>
      <c r="C17" s="39">
        <f>IF(B$3=0,0,B17/B$3)</f>
        <v>0.30097087378640774</v>
      </c>
      <c r="E17" s="65" t="s">
        <v>71</v>
      </c>
      <c r="F17" s="62" t="s">
        <v>25</v>
      </c>
      <c r="G17" s="49">
        <v>0</v>
      </c>
      <c r="H17" s="139">
        <f>IF(B$27=0,0,G17/B$27)</f>
        <v>0</v>
      </c>
      <c r="I17" s="100">
        <v>1</v>
      </c>
      <c r="N17" s="121" t="s">
        <v>181</v>
      </c>
      <c r="O17" s="131">
        <f>IF(P17=0,0,Q17/P17)</f>
        <v>19.666666666666668</v>
      </c>
      <c r="P17" s="125">
        <v>3</v>
      </c>
      <c r="Q17" s="113">
        <v>59</v>
      </c>
    </row>
    <row r="18" spans="1:17" x14ac:dyDescent="0.4">
      <c r="A18" s="57" t="s">
        <v>12</v>
      </c>
      <c r="B18" s="49">
        <v>12</v>
      </c>
      <c r="C18" s="41">
        <f>IF(B$17=0,0,B18/B$17)</f>
        <v>0.38709677419354838</v>
      </c>
      <c r="E18" s="65" t="s">
        <v>78</v>
      </c>
      <c r="F18" s="62" t="s">
        <v>31</v>
      </c>
      <c r="G18" s="49">
        <v>0</v>
      </c>
      <c r="H18" s="139">
        <f>IF(B$27=0,0,G18/B$27)</f>
        <v>0</v>
      </c>
      <c r="I18" s="100">
        <v>1</v>
      </c>
      <c r="N18" s="121" t="s">
        <v>135</v>
      </c>
      <c r="O18" s="131">
        <f>IF(P18=0,0,Q18/P18)</f>
        <v>-15.299999999999999</v>
      </c>
      <c r="P18" s="125">
        <v>6</v>
      </c>
      <c r="Q18" s="113">
        <v>-91.8</v>
      </c>
    </row>
    <row r="19" spans="1:17" x14ac:dyDescent="0.4">
      <c r="A19" s="57" t="s">
        <v>11</v>
      </c>
      <c r="B19" s="49">
        <v>19</v>
      </c>
      <c r="C19" s="41">
        <f>IF(B$17=0,0,B19/B$17)</f>
        <v>0.61290322580645162</v>
      </c>
      <c r="E19" s="65" t="s">
        <v>80</v>
      </c>
      <c r="F19" s="62" t="s">
        <v>33</v>
      </c>
      <c r="G19" s="49">
        <v>0</v>
      </c>
      <c r="H19" s="139">
        <f>IF(B$27=0,0,G19/B$27)</f>
        <v>0</v>
      </c>
      <c r="I19" s="100">
        <v>1</v>
      </c>
      <c r="N19" s="121" t="s">
        <v>133</v>
      </c>
      <c r="O19" s="131">
        <f>IF(P19=0,0,Q19/P19)</f>
        <v>-28.212499999999999</v>
      </c>
      <c r="P19" s="125">
        <v>8</v>
      </c>
      <c r="Q19" s="113">
        <v>-225.7</v>
      </c>
    </row>
    <row r="20" spans="1:17" x14ac:dyDescent="0.4">
      <c r="A20" s="57" t="s">
        <v>13</v>
      </c>
      <c r="B20" s="49">
        <v>18</v>
      </c>
      <c r="C20" s="41">
        <f>IF(B$3=0,0,B20/B$3)</f>
        <v>0.17475728155339806</v>
      </c>
      <c r="E20" s="65" t="s">
        <v>81</v>
      </c>
      <c r="F20" s="62" t="s">
        <v>34</v>
      </c>
      <c r="G20" s="49">
        <v>0</v>
      </c>
      <c r="H20" s="139">
        <f>IF(B$27=0,0,G20/B$27)</f>
        <v>0</v>
      </c>
      <c r="I20" s="100">
        <v>1</v>
      </c>
      <c r="N20" s="121" t="s">
        <v>187</v>
      </c>
      <c r="O20" s="131">
        <f>IF(P20=0,0,Q20/P20)</f>
        <v>-32.35</v>
      </c>
      <c r="P20" s="125">
        <v>2</v>
      </c>
      <c r="Q20" s="113">
        <v>-64.7</v>
      </c>
    </row>
    <row r="21" spans="1:17" x14ac:dyDescent="0.4">
      <c r="A21" s="57" t="s">
        <v>5</v>
      </c>
      <c r="B21" s="53">
        <f>IF(B$17=0,0,C21/B$17)</f>
        <v>7809.677419354839</v>
      </c>
      <c r="C21" s="43">
        <v>242100</v>
      </c>
      <c r="E21" s="65" t="s">
        <v>82</v>
      </c>
      <c r="F21" s="62" t="s">
        <v>35</v>
      </c>
      <c r="G21" s="49">
        <v>0</v>
      </c>
      <c r="H21" s="139">
        <f>IF(B$27=0,0,G21/B$27)</f>
        <v>0</v>
      </c>
      <c r="I21" s="100">
        <v>4</v>
      </c>
    </row>
    <row r="22" spans="1:17" x14ac:dyDescent="0.4">
      <c r="A22" s="59" t="s">
        <v>14</v>
      </c>
      <c r="B22" s="54">
        <f>IF(B$20=0,0,C22/B$20)</f>
        <v>-8222.2222222222226</v>
      </c>
      <c r="C22" s="47">
        <v>-148000</v>
      </c>
      <c r="E22" s="65" t="s">
        <v>83</v>
      </c>
      <c r="F22" s="62" t="s">
        <v>36</v>
      </c>
      <c r="G22" s="49">
        <v>0</v>
      </c>
      <c r="H22" s="139">
        <f>IF(B$27=0,0,G22/B$27)</f>
        <v>0</v>
      </c>
      <c r="I22" s="100">
        <v>1</v>
      </c>
    </row>
    <row r="23" spans="1:17" x14ac:dyDescent="0.4">
      <c r="A23" s="96" t="s">
        <v>148</v>
      </c>
      <c r="B23" s="155">
        <v>4</v>
      </c>
      <c r="C23" s="156"/>
      <c r="E23" s="65" t="s">
        <v>84</v>
      </c>
      <c r="F23" s="62" t="s">
        <v>37</v>
      </c>
      <c r="G23" s="49">
        <v>0</v>
      </c>
      <c r="H23" s="139">
        <f>IF(B$27=0,0,G23/B$27)</f>
        <v>0</v>
      </c>
      <c r="I23" s="100">
        <v>1</v>
      </c>
    </row>
    <row r="24" spans="1:17" x14ac:dyDescent="0.4">
      <c r="A24" s="60" t="s">
        <v>159</v>
      </c>
      <c r="B24" s="153">
        <v>75900</v>
      </c>
      <c r="C24" s="154"/>
      <c r="E24" s="65" t="s">
        <v>85</v>
      </c>
      <c r="F24" s="62" t="s">
        <v>38</v>
      </c>
      <c r="G24" s="49">
        <v>0</v>
      </c>
      <c r="H24" s="139">
        <f>IF(B$27=0,0,G24/B$27)</f>
        <v>0</v>
      </c>
      <c r="I24" s="100">
        <v>1</v>
      </c>
    </row>
    <row r="25" spans="1:17" x14ac:dyDescent="0.4">
      <c r="A25" s="59" t="s">
        <v>149</v>
      </c>
      <c r="B25" s="67">
        <v>2</v>
      </c>
      <c r="C25" s="44">
        <f>IF(B$3=0,0,B25/B$3)</f>
        <v>1.9417475728155338E-2</v>
      </c>
      <c r="E25" s="65" t="s">
        <v>87</v>
      </c>
      <c r="F25" s="62" t="s">
        <v>40</v>
      </c>
      <c r="G25" s="49">
        <v>0</v>
      </c>
      <c r="H25" s="139">
        <f>IF(B$27=0,0,G25/B$27)</f>
        <v>0</v>
      </c>
      <c r="I25" s="100">
        <v>1</v>
      </c>
    </row>
    <row r="26" spans="1:17" x14ac:dyDescent="0.4">
      <c r="A26" s="56" t="s">
        <v>126</v>
      </c>
      <c r="B26" s="145">
        <v>103</v>
      </c>
      <c r="C26" s="146"/>
      <c r="E26" s="65" t="s">
        <v>88</v>
      </c>
      <c r="F26" s="62" t="s">
        <v>41</v>
      </c>
      <c r="G26" s="49">
        <v>0</v>
      </c>
      <c r="H26" s="139">
        <f>IF(B$27=0,0,G26/B$27)</f>
        <v>0</v>
      </c>
      <c r="I26" s="100">
        <v>7</v>
      </c>
    </row>
    <row r="27" spans="1:17" x14ac:dyDescent="0.4">
      <c r="A27" s="59" t="s">
        <v>127</v>
      </c>
      <c r="B27" s="159">
        <v>31</v>
      </c>
      <c r="C27" s="160"/>
      <c r="E27" s="65" t="s">
        <v>89</v>
      </c>
      <c r="F27" s="62" t="s">
        <v>42</v>
      </c>
      <c r="G27" s="49">
        <v>0</v>
      </c>
      <c r="H27" s="139">
        <f>IF(B$27=0,0,G27/B$27)</f>
        <v>0</v>
      </c>
      <c r="I27" s="100">
        <v>1</v>
      </c>
    </row>
    <row r="28" spans="1:17" x14ac:dyDescent="0.4">
      <c r="E28" s="65" t="s">
        <v>90</v>
      </c>
      <c r="F28" s="62" t="s">
        <v>43</v>
      </c>
      <c r="G28" s="49">
        <v>0</v>
      </c>
      <c r="H28" s="139">
        <f>IF(B$27=0,0,G28/B$27)</f>
        <v>0</v>
      </c>
      <c r="I28" s="100">
        <v>1</v>
      </c>
    </row>
    <row r="29" spans="1:17" x14ac:dyDescent="0.4">
      <c r="E29" s="65" t="s">
        <v>92</v>
      </c>
      <c r="F29" s="62" t="s">
        <v>45</v>
      </c>
      <c r="G29" s="49">
        <v>0</v>
      </c>
      <c r="H29" s="139">
        <f>IF(B$27=0,0,G29/B$27)</f>
        <v>0</v>
      </c>
      <c r="I29" s="100">
        <v>1</v>
      </c>
    </row>
    <row r="30" spans="1:17" x14ac:dyDescent="0.4">
      <c r="E30" s="65" t="s">
        <v>93</v>
      </c>
      <c r="F30" s="62" t="s">
        <v>46</v>
      </c>
      <c r="G30" s="49">
        <v>0</v>
      </c>
      <c r="H30" s="139">
        <f>IF(B$27=0,0,G30/B$27)</f>
        <v>0</v>
      </c>
      <c r="I30" s="100">
        <v>1</v>
      </c>
    </row>
    <row r="31" spans="1:17" x14ac:dyDescent="0.4">
      <c r="E31" s="65" t="s">
        <v>95</v>
      </c>
      <c r="F31" s="62" t="s">
        <v>48</v>
      </c>
      <c r="G31" s="49">
        <v>0</v>
      </c>
      <c r="H31" s="139">
        <f>IF(B$27=0,0,G31/B$27)</f>
        <v>0</v>
      </c>
      <c r="I31" s="100">
        <v>1</v>
      </c>
    </row>
    <row r="32" spans="1:17" x14ac:dyDescent="0.4">
      <c r="E32" s="65" t="s">
        <v>97</v>
      </c>
      <c r="F32" s="62" t="s">
        <v>50</v>
      </c>
      <c r="G32" s="49">
        <v>0</v>
      </c>
      <c r="H32" s="139">
        <f>IF(B$27=0,0,G32/B$27)</f>
        <v>0</v>
      </c>
      <c r="I32" s="100">
        <v>3</v>
      </c>
    </row>
    <row r="33" spans="5:9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1</v>
      </c>
    </row>
    <row r="34" spans="5:9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1</v>
      </c>
    </row>
    <row r="36" spans="5:9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1</v>
      </c>
    </row>
    <row r="47" spans="5:9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20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3E316-5D35-4669-9705-2594A49D7E9F}">
  <sheetPr codeName="Sheet11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135</v>
      </c>
      <c r="C1" s="144"/>
      <c r="E1" s="135" t="s">
        <v>177</v>
      </c>
      <c r="F1" s="142" t="s">
        <v>120</v>
      </c>
      <c r="G1" s="141" t="s">
        <v>121</v>
      </c>
      <c r="H1" s="136" t="s">
        <v>122</v>
      </c>
      <c r="I1" s="142" t="s">
        <v>161</v>
      </c>
      <c r="K1" s="36" t="s">
        <v>20</v>
      </c>
      <c r="L1" s="37" t="s">
        <v>125</v>
      </c>
      <c r="M1" s="137"/>
      <c r="N1" s="119" t="s">
        <v>144</v>
      </c>
      <c r="O1" s="36" t="s">
        <v>145</v>
      </c>
      <c r="P1" s="123" t="s">
        <v>121</v>
      </c>
      <c r="Q1" s="107" t="s">
        <v>165</v>
      </c>
    </row>
    <row r="2" spans="1:17" x14ac:dyDescent="0.4">
      <c r="A2" s="56" t="s">
        <v>9</v>
      </c>
      <c r="B2" s="145">
        <v>9</v>
      </c>
      <c r="C2" s="146"/>
      <c r="E2" s="64" t="s">
        <v>69</v>
      </c>
      <c r="F2" s="61" t="s">
        <v>23</v>
      </c>
      <c r="G2" s="48">
        <v>24</v>
      </c>
      <c r="H2" s="138">
        <f>IF(B$27=0,0,G2/B$27)</f>
        <v>1.263157894736842</v>
      </c>
      <c r="I2" s="99">
        <v>1</v>
      </c>
      <c r="K2" s="38">
        <v>0</v>
      </c>
      <c r="L2" s="104">
        <v>0</v>
      </c>
      <c r="N2" s="120" t="s">
        <v>138</v>
      </c>
      <c r="O2" s="127">
        <f t="shared" ref="O2:O7" si="0">IF(P2=0,0,Q2/P2)</f>
        <v>1255.5555555555557</v>
      </c>
      <c r="P2" s="124">
        <v>9</v>
      </c>
      <c r="Q2" s="108">
        <v>11300</v>
      </c>
    </row>
    <row r="3" spans="1:17" x14ac:dyDescent="0.4">
      <c r="A3" s="57" t="s">
        <v>8</v>
      </c>
      <c r="B3" s="147">
        <v>75</v>
      </c>
      <c r="C3" s="148"/>
      <c r="E3" s="65" t="s">
        <v>67</v>
      </c>
      <c r="F3" s="62" t="s">
        <v>21</v>
      </c>
      <c r="G3" s="49">
        <v>9</v>
      </c>
      <c r="H3" s="139">
        <f>IF(B$27=0,0,G3/B$27)</f>
        <v>0.47368421052631576</v>
      </c>
      <c r="I3" s="100">
        <v>2</v>
      </c>
      <c r="K3" s="40">
        <v>1</v>
      </c>
      <c r="L3" s="105">
        <v>-40.4</v>
      </c>
      <c r="N3" s="121" t="s">
        <v>139</v>
      </c>
      <c r="O3" s="128">
        <f t="shared" si="0"/>
        <v>-3022.2222222222222</v>
      </c>
      <c r="P3" s="125">
        <v>9</v>
      </c>
      <c r="Q3" s="109">
        <v>-27200</v>
      </c>
    </row>
    <row r="4" spans="1:17" x14ac:dyDescent="0.4">
      <c r="A4" s="57" t="s">
        <v>6</v>
      </c>
      <c r="B4" s="149">
        <v>-127.6</v>
      </c>
      <c r="C4" s="150"/>
      <c r="E4" s="65" t="s">
        <v>70</v>
      </c>
      <c r="F4" s="62" t="s">
        <v>24</v>
      </c>
      <c r="G4" s="49">
        <v>7</v>
      </c>
      <c r="H4" s="139">
        <f>IF(B$27=0,0,G4/B$27)</f>
        <v>0.36842105263157893</v>
      </c>
      <c r="I4" s="100">
        <v>3</v>
      </c>
      <c r="K4" s="40">
        <v>2</v>
      </c>
      <c r="L4" s="105">
        <v>-3.3999999999999986</v>
      </c>
      <c r="N4" s="121" t="s">
        <v>140</v>
      </c>
      <c r="O4" s="128">
        <f t="shared" si="0"/>
        <v>-2914.2857142857142</v>
      </c>
      <c r="P4" s="125">
        <v>7</v>
      </c>
      <c r="Q4" s="109">
        <v>-20400</v>
      </c>
    </row>
    <row r="5" spans="1:17" x14ac:dyDescent="0.4">
      <c r="A5" s="57" t="s">
        <v>7</v>
      </c>
      <c r="B5" s="151">
        <f>IF(B$2=0,0,B$4/B$2)</f>
        <v>-14.177777777777777</v>
      </c>
      <c r="C5" s="152"/>
      <c r="E5" s="65" t="s">
        <v>76</v>
      </c>
      <c r="F5" s="62" t="s">
        <v>29</v>
      </c>
      <c r="G5" s="49">
        <v>6</v>
      </c>
      <c r="H5" s="139">
        <f>IF(B$27=0,0,G5/B$27)</f>
        <v>0.31578947368421051</v>
      </c>
      <c r="I5" s="100">
        <v>6</v>
      </c>
      <c r="K5" s="40">
        <v>3</v>
      </c>
      <c r="L5" s="105">
        <v>-23.099999999999998</v>
      </c>
      <c r="N5" s="121" t="s">
        <v>141</v>
      </c>
      <c r="O5" s="128">
        <f t="shared" si="0"/>
        <v>-5114.2857142857147</v>
      </c>
      <c r="P5" s="125">
        <v>7</v>
      </c>
      <c r="Q5" s="109">
        <v>-35800</v>
      </c>
    </row>
    <row r="6" spans="1:17" x14ac:dyDescent="0.4">
      <c r="A6" s="57" t="s">
        <v>1</v>
      </c>
      <c r="B6" s="157">
        <f>IF(B$2=0,0,(B$7*1+B$8*2+B$9*3)/B$2)</f>
        <v>2.2222222222222223</v>
      </c>
      <c r="C6" s="158"/>
      <c r="E6" s="65" t="s">
        <v>72</v>
      </c>
      <c r="F6" s="62" t="s">
        <v>12</v>
      </c>
      <c r="G6" s="49">
        <v>5</v>
      </c>
      <c r="H6" s="139">
        <f>IF(B$27=0,0,G6/B$27)</f>
        <v>0.26315789473684209</v>
      </c>
      <c r="I6" s="100">
        <v>5</v>
      </c>
      <c r="K6" s="40">
        <v>4</v>
      </c>
      <c r="L6" s="105">
        <v>-31.4</v>
      </c>
      <c r="N6" s="121" t="s">
        <v>142</v>
      </c>
      <c r="O6" s="128">
        <f t="shared" si="0"/>
        <v>-1571.4285714285713</v>
      </c>
      <c r="P6" s="125">
        <v>7</v>
      </c>
      <c r="Q6" s="109">
        <v>-11000</v>
      </c>
    </row>
    <row r="7" spans="1:17" x14ac:dyDescent="0.4">
      <c r="A7" s="57" t="s">
        <v>2</v>
      </c>
      <c r="B7" s="49">
        <v>2</v>
      </c>
      <c r="C7" s="41">
        <f>IF(B$2=0,0,B7/B$2)</f>
        <v>0.22222222222222221</v>
      </c>
      <c r="E7" s="65" t="s">
        <v>75</v>
      </c>
      <c r="F7" s="62" t="s">
        <v>28</v>
      </c>
      <c r="G7" s="49">
        <v>3</v>
      </c>
      <c r="H7" s="139">
        <f>IF(B$27=0,0,G7/B$27)</f>
        <v>0.15789473684210525</v>
      </c>
      <c r="I7" s="100">
        <v>1</v>
      </c>
      <c r="K7" s="40">
        <v>5</v>
      </c>
      <c r="L7" s="105">
        <v>-32.199999999999996</v>
      </c>
      <c r="N7" s="122" t="s">
        <v>143</v>
      </c>
      <c r="O7" s="129">
        <f t="shared" si="0"/>
        <v>-642.85714285714289</v>
      </c>
      <c r="P7" s="126">
        <v>7</v>
      </c>
      <c r="Q7" s="110">
        <v>-4500</v>
      </c>
    </row>
    <row r="8" spans="1:17" x14ac:dyDescent="0.4">
      <c r="A8" s="57" t="s">
        <v>3</v>
      </c>
      <c r="B8" s="49">
        <v>3</v>
      </c>
      <c r="C8" s="41">
        <f>IF(B$2=0,0,B8/B$2)</f>
        <v>0.33333333333333331</v>
      </c>
      <c r="E8" s="65" t="s">
        <v>94</v>
      </c>
      <c r="F8" s="62" t="s">
        <v>47</v>
      </c>
      <c r="G8" s="49">
        <v>3</v>
      </c>
      <c r="H8" s="139">
        <f>IF(B$27=0,0,G8/B$27)</f>
        <v>0.15789473684210525</v>
      </c>
      <c r="I8" s="100">
        <v>3</v>
      </c>
      <c r="K8" s="40">
        <v>6</v>
      </c>
      <c r="L8" s="105">
        <v>-58.5</v>
      </c>
      <c r="N8" s="45"/>
      <c r="O8" s="133"/>
      <c r="P8" s="117"/>
      <c r="Q8" s="115"/>
    </row>
    <row r="9" spans="1:17" x14ac:dyDescent="0.4">
      <c r="A9" s="58" t="s">
        <v>4</v>
      </c>
      <c r="B9" s="50">
        <v>4</v>
      </c>
      <c r="C9" s="42">
        <f t="shared" ref="C9" si="1">IF(B$2=0,0,B9/B$2)</f>
        <v>0.44444444444444442</v>
      </c>
      <c r="E9" s="65" t="s">
        <v>73</v>
      </c>
      <c r="F9" s="62" t="s">
        <v>26</v>
      </c>
      <c r="G9" s="49">
        <v>2</v>
      </c>
      <c r="H9" s="139">
        <f>IF(B$27=0,0,G9/B$27)</f>
        <v>0.10526315789473684</v>
      </c>
      <c r="I9" s="100">
        <v>7</v>
      </c>
      <c r="K9" s="40">
        <v>7</v>
      </c>
      <c r="L9" s="105">
        <v>-116.8</v>
      </c>
      <c r="N9" s="119" t="s">
        <v>173</v>
      </c>
      <c r="O9" s="36" t="s">
        <v>125</v>
      </c>
      <c r="P9" s="123" t="s">
        <v>121</v>
      </c>
      <c r="Q9" s="111" t="s">
        <v>165</v>
      </c>
    </row>
    <row r="10" spans="1:17" x14ac:dyDescent="0.4">
      <c r="A10" s="58" t="s">
        <v>19</v>
      </c>
      <c r="B10" s="50">
        <v>1</v>
      </c>
      <c r="C10" s="42">
        <f>IF(B$2=0,0,B10/B$2)</f>
        <v>0.1111111111111111</v>
      </c>
      <c r="E10" s="65" t="s">
        <v>74</v>
      </c>
      <c r="F10" s="62" t="s">
        <v>27</v>
      </c>
      <c r="G10" s="49">
        <v>2</v>
      </c>
      <c r="H10" s="139">
        <f>IF(B$27=0,0,G10/B$27)</f>
        <v>0.10526315789473684</v>
      </c>
      <c r="I10" s="100">
        <v>3</v>
      </c>
      <c r="K10" s="40">
        <v>8</v>
      </c>
      <c r="L10" s="105">
        <v>-79.599999999999994</v>
      </c>
      <c r="N10" s="120" t="s">
        <v>174</v>
      </c>
      <c r="O10" s="130">
        <f>IF(P10=0,0,Q10/P10)</f>
        <v>-30.75</v>
      </c>
      <c r="P10" s="124">
        <v>4</v>
      </c>
      <c r="Q10" s="112">
        <v>-123</v>
      </c>
    </row>
    <row r="11" spans="1:17" x14ac:dyDescent="0.4">
      <c r="A11" s="58" t="s">
        <v>146</v>
      </c>
      <c r="B11" s="50">
        <v>0</v>
      </c>
      <c r="C11" s="42">
        <f>IF(B$2=0,0,B11/B$2)</f>
        <v>0</v>
      </c>
      <c r="E11" s="65" t="s">
        <v>91</v>
      </c>
      <c r="F11" s="62" t="s">
        <v>44</v>
      </c>
      <c r="G11" s="49">
        <v>2</v>
      </c>
      <c r="H11" s="139">
        <f>IF(B$27=0,0,G11/B$27)</f>
        <v>0.10526315789473684</v>
      </c>
      <c r="I11" s="100">
        <v>1</v>
      </c>
      <c r="K11" s="40">
        <v>9</v>
      </c>
      <c r="L11" s="105">
        <v>-127.6</v>
      </c>
      <c r="N11" s="121" t="s">
        <v>175</v>
      </c>
      <c r="O11" s="131">
        <f>IF(P11=0,0,Q11/P11)</f>
        <v>-10.25</v>
      </c>
      <c r="P11" s="125">
        <v>2</v>
      </c>
      <c r="Q11" s="113">
        <v>-20.5</v>
      </c>
    </row>
    <row r="12" spans="1:17" x14ac:dyDescent="0.4">
      <c r="A12" s="59" t="s">
        <v>167</v>
      </c>
      <c r="B12" s="51">
        <v>1</v>
      </c>
      <c r="C12" s="44">
        <f>IF(B$2=0,0,B12/B$2)</f>
        <v>0.1111111111111111</v>
      </c>
      <c r="E12" s="65" t="s">
        <v>68</v>
      </c>
      <c r="F12" s="62" t="s">
        <v>22</v>
      </c>
      <c r="G12" s="49">
        <v>1</v>
      </c>
      <c r="H12" s="139">
        <f>IF(B$27=0,0,G12/B$27)</f>
        <v>5.2631578947368418E-2</v>
      </c>
      <c r="I12" s="100">
        <v>7</v>
      </c>
      <c r="N12" s="122" t="s">
        <v>176</v>
      </c>
      <c r="O12" s="132">
        <f>IF(P12=0,0,Q12/P12)</f>
        <v>5.3000000000000016</v>
      </c>
      <c r="P12" s="126">
        <v>3</v>
      </c>
      <c r="Q12" s="114">
        <v>15.900000000000006</v>
      </c>
    </row>
    <row r="13" spans="1:17" x14ac:dyDescent="0.4">
      <c r="A13" s="60" t="s">
        <v>128</v>
      </c>
      <c r="B13" s="52">
        <v>18</v>
      </c>
      <c r="C13" s="46">
        <f>IF(B$26=0,0,B13/B$26)</f>
        <v>0.24</v>
      </c>
      <c r="E13" s="65" t="s">
        <v>82</v>
      </c>
      <c r="F13" s="62" t="s">
        <v>35</v>
      </c>
      <c r="G13" s="49">
        <v>1</v>
      </c>
      <c r="H13" s="139">
        <f>IF(B$27=0,0,G13/B$27)</f>
        <v>5.2631578947368418E-2</v>
      </c>
      <c r="I13" s="100">
        <v>1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8</v>
      </c>
      <c r="C14" s="41">
        <f>IF(B$26=0,0,B14/B$26)</f>
        <v>0.10666666666666667</v>
      </c>
      <c r="E14" s="65" t="s">
        <v>88</v>
      </c>
      <c r="F14" s="62" t="s">
        <v>41</v>
      </c>
      <c r="G14" s="49">
        <v>1</v>
      </c>
      <c r="H14" s="139">
        <f>IF(B$27=0,0,G14/B$27)</f>
        <v>5.2631578947368418E-2</v>
      </c>
      <c r="I14" s="100">
        <v>3</v>
      </c>
      <c r="N14" s="119" t="s">
        <v>162</v>
      </c>
      <c r="O14" s="36" t="s">
        <v>125</v>
      </c>
      <c r="P14" s="123" t="s">
        <v>121</v>
      </c>
      <c r="Q14" s="111" t="s">
        <v>165</v>
      </c>
    </row>
    <row r="15" spans="1:17" x14ac:dyDescent="0.4">
      <c r="A15" s="56" t="s">
        <v>130</v>
      </c>
      <c r="B15" s="48">
        <v>10</v>
      </c>
      <c r="C15" s="39">
        <f>IF(B$13=0,0,B15/B$13)</f>
        <v>0.55555555555555558</v>
      </c>
      <c r="E15" s="65" t="s">
        <v>71</v>
      </c>
      <c r="F15" s="62" t="s">
        <v>25</v>
      </c>
      <c r="G15" s="49">
        <v>0</v>
      </c>
      <c r="H15" s="139">
        <f>IF(B$27=0,0,G15/B$27)</f>
        <v>0</v>
      </c>
      <c r="I15" s="100">
        <v>1</v>
      </c>
      <c r="N15" s="120" t="s">
        <v>134</v>
      </c>
      <c r="O15" s="130">
        <f>IF(P15=0,0,Q15/P15)</f>
        <v>15.299999999999997</v>
      </c>
      <c r="P15" s="124">
        <v>6</v>
      </c>
      <c r="Q15" s="112">
        <v>91.799999999999983</v>
      </c>
    </row>
    <row r="16" spans="1:17" x14ac:dyDescent="0.4">
      <c r="A16" s="56" t="s">
        <v>131</v>
      </c>
      <c r="B16" s="48">
        <v>3</v>
      </c>
      <c r="C16" s="39">
        <f>IF(B$14=0,0,B16/B$14)</f>
        <v>0.375</v>
      </c>
      <c r="E16" s="65" t="s">
        <v>77</v>
      </c>
      <c r="F16" s="62" t="s">
        <v>30</v>
      </c>
      <c r="G16" s="49">
        <v>0</v>
      </c>
      <c r="H16" s="139">
        <f>IF(B$27=0,0,G16/B$27)</f>
        <v>0</v>
      </c>
      <c r="I16" s="100">
        <v>3</v>
      </c>
      <c r="N16" s="121" t="s">
        <v>183</v>
      </c>
      <c r="O16" s="131">
        <f>IF(P16=0,0,Q16/P16)</f>
        <v>13.95</v>
      </c>
      <c r="P16" s="125">
        <v>2</v>
      </c>
      <c r="Q16" s="113">
        <v>27.9</v>
      </c>
    </row>
    <row r="17" spans="1:17" x14ac:dyDescent="0.4">
      <c r="A17" s="56" t="s">
        <v>10</v>
      </c>
      <c r="B17" s="48">
        <f>B19+B18</f>
        <v>19</v>
      </c>
      <c r="C17" s="39">
        <f>IF(B$3=0,0,B17/B$3)</f>
        <v>0.25333333333333335</v>
      </c>
      <c r="E17" s="65" t="s">
        <v>78</v>
      </c>
      <c r="F17" s="62" t="s">
        <v>31</v>
      </c>
      <c r="G17" s="49">
        <v>0</v>
      </c>
      <c r="H17" s="139">
        <f>IF(B$27=0,0,G17/B$27)</f>
        <v>0</v>
      </c>
      <c r="I17" s="100">
        <v>1</v>
      </c>
      <c r="N17" s="121" t="s">
        <v>133</v>
      </c>
      <c r="O17" s="131">
        <f>IF(P17=0,0,Q17/P17)</f>
        <v>-32.857142857142854</v>
      </c>
      <c r="P17" s="125">
        <v>7</v>
      </c>
      <c r="Q17" s="113">
        <v>-230</v>
      </c>
    </row>
    <row r="18" spans="1:17" x14ac:dyDescent="0.4">
      <c r="A18" s="57" t="s">
        <v>12</v>
      </c>
      <c r="B18" s="49">
        <v>6</v>
      </c>
      <c r="C18" s="41">
        <f>IF(B$17=0,0,B18/B$17)</f>
        <v>0.31578947368421051</v>
      </c>
      <c r="E18" s="65" t="s">
        <v>79</v>
      </c>
      <c r="F18" s="62" t="s">
        <v>32</v>
      </c>
      <c r="G18" s="49">
        <v>0</v>
      </c>
      <c r="H18" s="139">
        <f>IF(B$27=0,0,G18/B$27)</f>
        <v>0</v>
      </c>
      <c r="I18" s="100">
        <v>5</v>
      </c>
      <c r="N18" s="121" t="s">
        <v>182</v>
      </c>
      <c r="O18" s="131">
        <f>IF(P18=0,0,Q18/P18)</f>
        <v>-67.8</v>
      </c>
      <c r="P18" s="125">
        <v>1</v>
      </c>
      <c r="Q18" s="113">
        <v>-67.8</v>
      </c>
    </row>
    <row r="19" spans="1:17" x14ac:dyDescent="0.4">
      <c r="A19" s="57" t="s">
        <v>11</v>
      </c>
      <c r="B19" s="49">
        <v>13</v>
      </c>
      <c r="C19" s="41">
        <f>IF(B$17=0,0,B19/B$17)</f>
        <v>0.68421052631578949</v>
      </c>
      <c r="E19" s="65" t="s">
        <v>80</v>
      </c>
      <c r="F19" s="62" t="s">
        <v>33</v>
      </c>
      <c r="G19" s="49">
        <v>0</v>
      </c>
      <c r="H19" s="139">
        <f>IF(B$27=0,0,G19/B$27)</f>
        <v>0</v>
      </c>
      <c r="I19" s="100">
        <v>1</v>
      </c>
      <c r="N19" s="121" t="s">
        <v>181</v>
      </c>
      <c r="O19" s="131">
        <f>IF(P19=0,0,Q19/P19)</f>
        <v>-102.35</v>
      </c>
      <c r="P19" s="125">
        <v>2</v>
      </c>
      <c r="Q19" s="113">
        <v>-204.7</v>
      </c>
    </row>
    <row r="20" spans="1:17" x14ac:dyDescent="0.4">
      <c r="A20" s="57" t="s">
        <v>13</v>
      </c>
      <c r="B20" s="49">
        <v>18</v>
      </c>
      <c r="C20" s="41">
        <f>IF(B$3=0,0,B20/B$3)</f>
        <v>0.24</v>
      </c>
      <c r="E20" s="65" t="s">
        <v>81</v>
      </c>
      <c r="F20" s="62" t="s">
        <v>34</v>
      </c>
      <c r="G20" s="49">
        <v>0</v>
      </c>
      <c r="H20" s="139">
        <f>IF(B$27=0,0,G20/B$27)</f>
        <v>0</v>
      </c>
      <c r="I20" s="100">
        <v>1</v>
      </c>
    </row>
    <row r="21" spans="1:17" x14ac:dyDescent="0.4">
      <c r="A21" s="57" t="s">
        <v>5</v>
      </c>
      <c r="B21" s="53">
        <f>IF(B$17=0,0,C21/B$17)</f>
        <v>7710.5263157894733</v>
      </c>
      <c r="C21" s="43">
        <v>146500</v>
      </c>
      <c r="E21" s="65" t="s">
        <v>83</v>
      </c>
      <c r="F21" s="62" t="s">
        <v>36</v>
      </c>
      <c r="G21" s="49">
        <v>0</v>
      </c>
      <c r="H21" s="139">
        <f>IF(B$27=0,0,G21/B$27)</f>
        <v>0</v>
      </c>
      <c r="I21" s="100">
        <v>1</v>
      </c>
    </row>
    <row r="22" spans="1:17" x14ac:dyDescent="0.4">
      <c r="A22" s="59" t="s">
        <v>14</v>
      </c>
      <c r="B22" s="54">
        <f>IF(B$20=0,0,C22/B$20)</f>
        <v>-9244.4444444444453</v>
      </c>
      <c r="C22" s="47">
        <v>-166400</v>
      </c>
      <c r="E22" s="65" t="s">
        <v>84</v>
      </c>
      <c r="F22" s="62" t="s">
        <v>37</v>
      </c>
      <c r="G22" s="49">
        <v>0</v>
      </c>
      <c r="H22" s="139">
        <f>IF(B$27=0,0,G22/B$27)</f>
        <v>0</v>
      </c>
      <c r="I22" s="100">
        <v>1</v>
      </c>
    </row>
    <row r="23" spans="1:17" x14ac:dyDescent="0.4">
      <c r="A23" s="96" t="s">
        <v>148</v>
      </c>
      <c r="B23" s="155">
        <v>7</v>
      </c>
      <c r="C23" s="156"/>
      <c r="E23" s="65" t="s">
        <v>85</v>
      </c>
      <c r="F23" s="62" t="s">
        <v>38</v>
      </c>
      <c r="G23" s="49">
        <v>0</v>
      </c>
      <c r="H23" s="139">
        <f>IF(B$27=0,0,G23/B$27)</f>
        <v>0</v>
      </c>
      <c r="I23" s="100">
        <v>1</v>
      </c>
    </row>
    <row r="24" spans="1:17" x14ac:dyDescent="0.4">
      <c r="A24" s="60" t="s">
        <v>159</v>
      </c>
      <c r="B24" s="153">
        <v>52200</v>
      </c>
      <c r="C24" s="154"/>
      <c r="E24" s="65" t="s">
        <v>86</v>
      </c>
      <c r="F24" s="62" t="s">
        <v>39</v>
      </c>
      <c r="G24" s="49">
        <v>0</v>
      </c>
      <c r="H24" s="139">
        <f>IF(B$27=0,0,G24/B$27)</f>
        <v>0</v>
      </c>
      <c r="I24" s="100">
        <v>5</v>
      </c>
    </row>
    <row r="25" spans="1:17" x14ac:dyDescent="0.4">
      <c r="A25" s="59" t="s">
        <v>149</v>
      </c>
      <c r="B25" s="67">
        <v>0</v>
      </c>
      <c r="C25" s="44">
        <f>IF(B$3=0,0,B25/B$3)</f>
        <v>0</v>
      </c>
      <c r="E25" s="65" t="s">
        <v>87</v>
      </c>
      <c r="F25" s="62" t="s">
        <v>40</v>
      </c>
      <c r="G25" s="49">
        <v>0</v>
      </c>
      <c r="H25" s="139">
        <f>IF(B$27=0,0,G25/B$27)</f>
        <v>0</v>
      </c>
      <c r="I25" s="100">
        <v>1</v>
      </c>
    </row>
    <row r="26" spans="1:17" x14ac:dyDescent="0.4">
      <c r="A26" s="56" t="s">
        <v>126</v>
      </c>
      <c r="B26" s="145">
        <v>75</v>
      </c>
      <c r="C26" s="146"/>
      <c r="E26" s="65" t="s">
        <v>89</v>
      </c>
      <c r="F26" s="62" t="s">
        <v>42</v>
      </c>
      <c r="G26" s="49">
        <v>0</v>
      </c>
      <c r="H26" s="139">
        <f>IF(B$27=0,0,G26/B$27)</f>
        <v>0</v>
      </c>
      <c r="I26" s="100">
        <v>1</v>
      </c>
    </row>
    <row r="27" spans="1:17" x14ac:dyDescent="0.4">
      <c r="A27" s="59" t="s">
        <v>127</v>
      </c>
      <c r="B27" s="159">
        <v>19</v>
      </c>
      <c r="C27" s="160"/>
      <c r="E27" s="65" t="s">
        <v>90</v>
      </c>
      <c r="F27" s="62" t="s">
        <v>43</v>
      </c>
      <c r="G27" s="49">
        <v>0</v>
      </c>
      <c r="H27" s="139">
        <f>IF(B$27=0,0,G27/B$27)</f>
        <v>0</v>
      </c>
      <c r="I27" s="100">
        <v>1</v>
      </c>
    </row>
    <row r="28" spans="1:17" x14ac:dyDescent="0.4">
      <c r="E28" s="65" t="s">
        <v>92</v>
      </c>
      <c r="F28" s="62" t="s">
        <v>45</v>
      </c>
      <c r="G28" s="49">
        <v>0</v>
      </c>
      <c r="H28" s="139">
        <f>IF(B$27=0,0,G28/B$27)</f>
        <v>0</v>
      </c>
      <c r="I28" s="100">
        <v>1</v>
      </c>
    </row>
    <row r="29" spans="1:17" x14ac:dyDescent="0.4">
      <c r="E29" s="65" t="s">
        <v>93</v>
      </c>
      <c r="F29" s="62" t="s">
        <v>46</v>
      </c>
      <c r="G29" s="49">
        <v>0</v>
      </c>
      <c r="H29" s="139">
        <f>IF(B$27=0,0,G29/B$27)</f>
        <v>0</v>
      </c>
      <c r="I29" s="100">
        <v>1</v>
      </c>
    </row>
    <row r="30" spans="1:17" x14ac:dyDescent="0.4">
      <c r="E30" s="65" t="s">
        <v>95</v>
      </c>
      <c r="F30" s="62" t="s">
        <v>48</v>
      </c>
      <c r="G30" s="49">
        <v>0</v>
      </c>
      <c r="H30" s="139">
        <f>IF(B$27=0,0,G30/B$27)</f>
        <v>0</v>
      </c>
      <c r="I30" s="100">
        <v>1</v>
      </c>
    </row>
    <row r="31" spans="1:17" x14ac:dyDescent="0.4">
      <c r="E31" s="65" t="s">
        <v>96</v>
      </c>
      <c r="F31" s="62" t="s">
        <v>49</v>
      </c>
      <c r="G31" s="49">
        <v>0</v>
      </c>
      <c r="H31" s="139">
        <f>IF(B$27=0,0,G31/B$27)</f>
        <v>0</v>
      </c>
      <c r="I31" s="100">
        <v>4</v>
      </c>
    </row>
    <row r="32" spans="1:17" x14ac:dyDescent="0.4">
      <c r="E32" s="65" t="s">
        <v>97</v>
      </c>
      <c r="F32" s="62" t="s">
        <v>50</v>
      </c>
      <c r="G32" s="49">
        <v>0</v>
      </c>
      <c r="H32" s="139">
        <f>IF(B$27=0,0,G32/B$27)</f>
        <v>0</v>
      </c>
      <c r="I32" s="100">
        <v>3</v>
      </c>
    </row>
    <row r="33" spans="5:9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1</v>
      </c>
    </row>
    <row r="34" spans="5:9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1</v>
      </c>
    </row>
    <row r="36" spans="5:9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1</v>
      </c>
    </row>
    <row r="47" spans="5:9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5BA97-726B-43CB-81DC-B7F4CEA59F3D}">
  <sheetPr codeName="Sheet13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181</v>
      </c>
      <c r="C1" s="144"/>
      <c r="E1" s="135" t="s">
        <v>177</v>
      </c>
      <c r="F1" s="142" t="s">
        <v>120</v>
      </c>
      <c r="G1" s="141" t="s">
        <v>121</v>
      </c>
      <c r="H1" s="136" t="s">
        <v>122</v>
      </c>
      <c r="I1" s="142" t="s">
        <v>161</v>
      </c>
      <c r="K1" s="36" t="s">
        <v>20</v>
      </c>
      <c r="L1" s="37" t="s">
        <v>125</v>
      </c>
      <c r="M1" s="137"/>
      <c r="N1" s="119" t="s">
        <v>144</v>
      </c>
      <c r="O1" s="36" t="s">
        <v>145</v>
      </c>
      <c r="P1" s="123" t="s">
        <v>121</v>
      </c>
      <c r="Q1" s="107" t="s">
        <v>165</v>
      </c>
    </row>
    <row r="2" spans="1:17" x14ac:dyDescent="0.4">
      <c r="A2" s="56" t="s">
        <v>9</v>
      </c>
      <c r="B2" s="145">
        <v>10</v>
      </c>
      <c r="C2" s="146"/>
      <c r="E2" s="64" t="s">
        <v>69</v>
      </c>
      <c r="F2" s="61" t="s">
        <v>23</v>
      </c>
      <c r="G2" s="48">
        <v>19</v>
      </c>
      <c r="H2" s="138">
        <f>IF(B$27=0,0,G2/B$27)</f>
        <v>0.86363636363636365</v>
      </c>
      <c r="I2" s="99">
        <v>2</v>
      </c>
      <c r="K2" s="38">
        <v>0</v>
      </c>
      <c r="L2" s="104">
        <v>0</v>
      </c>
      <c r="N2" s="120" t="s">
        <v>138</v>
      </c>
      <c r="O2" s="127">
        <f t="shared" ref="O2:O7" si="0">IF(P2=0,0,Q2/P2)</f>
        <v>-2080</v>
      </c>
      <c r="P2" s="124">
        <v>10</v>
      </c>
      <c r="Q2" s="108">
        <v>-20800</v>
      </c>
    </row>
    <row r="3" spans="1:17" x14ac:dyDescent="0.4">
      <c r="A3" s="57" t="s">
        <v>8</v>
      </c>
      <c r="B3" s="147">
        <v>85</v>
      </c>
      <c r="C3" s="148"/>
      <c r="E3" s="65" t="s">
        <v>76</v>
      </c>
      <c r="F3" s="62" t="s">
        <v>29</v>
      </c>
      <c r="G3" s="49">
        <v>13</v>
      </c>
      <c r="H3" s="139">
        <f>IF(B$27=0,0,G3/B$27)</f>
        <v>0.59090909090909094</v>
      </c>
      <c r="I3" s="100">
        <v>3</v>
      </c>
      <c r="K3" s="40">
        <v>1</v>
      </c>
      <c r="L3" s="105">
        <v>-51.2</v>
      </c>
      <c r="N3" s="121" t="s">
        <v>139</v>
      </c>
      <c r="O3" s="128">
        <f t="shared" si="0"/>
        <v>3070</v>
      </c>
      <c r="P3" s="125">
        <v>10</v>
      </c>
      <c r="Q3" s="109">
        <v>30700</v>
      </c>
    </row>
    <row r="4" spans="1:17" x14ac:dyDescent="0.4">
      <c r="A4" s="57" t="s">
        <v>6</v>
      </c>
      <c r="B4" s="149">
        <v>-56.500000000000007</v>
      </c>
      <c r="C4" s="150"/>
      <c r="E4" s="65" t="s">
        <v>67</v>
      </c>
      <c r="F4" s="62" t="s">
        <v>21</v>
      </c>
      <c r="G4" s="49">
        <v>10</v>
      </c>
      <c r="H4" s="139">
        <f>IF(B$27=0,0,G4/B$27)</f>
        <v>0.45454545454545453</v>
      </c>
      <c r="I4" s="100">
        <v>3</v>
      </c>
      <c r="K4" s="40">
        <v>2</v>
      </c>
      <c r="L4" s="105">
        <v>-93.300000000000011</v>
      </c>
      <c r="N4" s="121" t="s">
        <v>140</v>
      </c>
      <c r="O4" s="128">
        <f t="shared" si="0"/>
        <v>188.88888888888889</v>
      </c>
      <c r="P4" s="125">
        <v>9</v>
      </c>
      <c r="Q4" s="109">
        <v>1700</v>
      </c>
    </row>
    <row r="5" spans="1:17" x14ac:dyDescent="0.4">
      <c r="A5" s="57" t="s">
        <v>7</v>
      </c>
      <c r="B5" s="151">
        <f>IF(B$2=0,0,B$4/B$2)</f>
        <v>-5.65</v>
      </c>
      <c r="C5" s="152"/>
      <c r="E5" s="65" t="s">
        <v>73</v>
      </c>
      <c r="F5" s="62" t="s">
        <v>26</v>
      </c>
      <c r="G5" s="49">
        <v>7</v>
      </c>
      <c r="H5" s="139">
        <f>IF(B$27=0,0,G5/B$27)</f>
        <v>0.31818181818181818</v>
      </c>
      <c r="I5" s="100">
        <v>1</v>
      </c>
      <c r="K5" s="40">
        <v>3</v>
      </c>
      <c r="L5" s="105">
        <v>-60.100000000000009</v>
      </c>
      <c r="N5" s="121" t="s">
        <v>141</v>
      </c>
      <c r="O5" s="128">
        <f t="shared" si="0"/>
        <v>-6600</v>
      </c>
      <c r="P5" s="125">
        <v>8</v>
      </c>
      <c r="Q5" s="109">
        <v>-52800</v>
      </c>
    </row>
    <row r="6" spans="1:17" x14ac:dyDescent="0.4">
      <c r="A6" s="57" t="s">
        <v>1</v>
      </c>
      <c r="B6" s="157">
        <f>IF(B$2=0,0,(B$7*1+B$8*2+B$9*3)/B$2)</f>
        <v>2.1</v>
      </c>
      <c r="C6" s="158"/>
      <c r="E6" s="65" t="s">
        <v>72</v>
      </c>
      <c r="F6" s="62" t="s">
        <v>12</v>
      </c>
      <c r="G6" s="49">
        <v>4</v>
      </c>
      <c r="H6" s="139">
        <f>IF(B$27=0,0,G6/B$27)</f>
        <v>0.18181818181818182</v>
      </c>
      <c r="I6" s="100">
        <v>7</v>
      </c>
      <c r="K6" s="40">
        <v>4</v>
      </c>
      <c r="L6" s="105">
        <v>-11.300000000000011</v>
      </c>
      <c r="N6" s="121" t="s">
        <v>142</v>
      </c>
      <c r="O6" s="128">
        <f t="shared" si="0"/>
        <v>2114.2857142857142</v>
      </c>
      <c r="P6" s="125">
        <v>7</v>
      </c>
      <c r="Q6" s="109">
        <v>14800</v>
      </c>
    </row>
    <row r="7" spans="1:17" x14ac:dyDescent="0.4">
      <c r="A7" s="57" t="s">
        <v>2</v>
      </c>
      <c r="B7" s="49">
        <v>4</v>
      </c>
      <c r="C7" s="41">
        <f>IF(B$2=0,0,B7/B$2)</f>
        <v>0.4</v>
      </c>
      <c r="E7" s="65" t="s">
        <v>68</v>
      </c>
      <c r="F7" s="62" t="s">
        <v>22</v>
      </c>
      <c r="G7" s="49">
        <v>3</v>
      </c>
      <c r="H7" s="139">
        <f>IF(B$27=0,0,G7/B$27)</f>
        <v>0.13636363636363635</v>
      </c>
      <c r="I7" s="100">
        <v>3</v>
      </c>
      <c r="K7" s="40">
        <v>5</v>
      </c>
      <c r="L7" s="105">
        <v>-36.100000000000009</v>
      </c>
      <c r="N7" s="122" t="s">
        <v>143</v>
      </c>
      <c r="O7" s="129">
        <f t="shared" si="0"/>
        <v>-350</v>
      </c>
      <c r="P7" s="126">
        <v>6</v>
      </c>
      <c r="Q7" s="110">
        <v>-2100</v>
      </c>
    </row>
    <row r="8" spans="1:17" x14ac:dyDescent="0.4">
      <c r="A8" s="57" t="s">
        <v>3</v>
      </c>
      <c r="B8" s="49">
        <v>1</v>
      </c>
      <c r="C8" s="41">
        <f>IF(B$2=0,0,B8/B$2)</f>
        <v>0.1</v>
      </c>
      <c r="E8" s="65" t="s">
        <v>74</v>
      </c>
      <c r="F8" s="62" t="s">
        <v>27</v>
      </c>
      <c r="G8" s="49">
        <v>3</v>
      </c>
      <c r="H8" s="139">
        <f>IF(B$27=0,0,G8/B$27)</f>
        <v>0.13636363636363635</v>
      </c>
      <c r="I8" s="100">
        <v>2</v>
      </c>
      <c r="K8" s="40">
        <v>6</v>
      </c>
      <c r="L8" s="105">
        <v>9.0999999999999943</v>
      </c>
      <c r="N8" s="45"/>
      <c r="O8" s="133"/>
      <c r="P8" s="117"/>
      <c r="Q8" s="115"/>
    </row>
    <row r="9" spans="1:17" x14ac:dyDescent="0.4">
      <c r="A9" s="58" t="s">
        <v>4</v>
      </c>
      <c r="B9" s="50">
        <v>5</v>
      </c>
      <c r="C9" s="42">
        <f t="shared" ref="C9" si="1">IF(B$2=0,0,B9/B$2)</f>
        <v>0.5</v>
      </c>
      <c r="E9" s="65" t="s">
        <v>94</v>
      </c>
      <c r="F9" s="62" t="s">
        <v>47</v>
      </c>
      <c r="G9" s="49">
        <v>2</v>
      </c>
      <c r="H9" s="139">
        <f>IF(B$27=0,0,G9/B$27)</f>
        <v>9.0909090909090912E-2</v>
      </c>
      <c r="I9" s="100">
        <v>6</v>
      </c>
      <c r="K9" s="40">
        <v>7</v>
      </c>
      <c r="L9" s="105">
        <v>-51.300000000000004</v>
      </c>
      <c r="N9" s="119" t="s">
        <v>173</v>
      </c>
      <c r="O9" s="36" t="s">
        <v>125</v>
      </c>
      <c r="P9" s="123" t="s">
        <v>121</v>
      </c>
      <c r="Q9" s="111" t="s">
        <v>165</v>
      </c>
    </row>
    <row r="10" spans="1:17" x14ac:dyDescent="0.4">
      <c r="A10" s="58" t="s">
        <v>19</v>
      </c>
      <c r="B10" s="50">
        <v>1</v>
      </c>
      <c r="C10" s="42">
        <f>IF(B$2=0,0,B10/B$2)</f>
        <v>0.1</v>
      </c>
      <c r="E10" s="65" t="s">
        <v>70</v>
      </c>
      <c r="F10" s="62" t="s">
        <v>24</v>
      </c>
      <c r="G10" s="49">
        <v>1</v>
      </c>
      <c r="H10" s="139">
        <f>IF(B$27=0,0,G10/B$27)</f>
        <v>4.5454545454545456E-2</v>
      </c>
      <c r="I10" s="100">
        <v>7</v>
      </c>
      <c r="K10" s="40">
        <v>8</v>
      </c>
      <c r="L10" s="105">
        <v>-1.7000000000000028</v>
      </c>
      <c r="N10" s="120" t="s">
        <v>174</v>
      </c>
      <c r="O10" s="130">
        <f>IF(P10=0,0,Q10/P10)</f>
        <v>-23.800000000000004</v>
      </c>
      <c r="P10" s="124">
        <v>4</v>
      </c>
      <c r="Q10" s="112">
        <v>-95.200000000000017</v>
      </c>
    </row>
    <row r="11" spans="1:17" x14ac:dyDescent="0.4">
      <c r="A11" s="58" t="s">
        <v>146</v>
      </c>
      <c r="B11" s="50">
        <v>1</v>
      </c>
      <c r="C11" s="42">
        <f>IF(B$2=0,0,B11/B$2)</f>
        <v>0.1</v>
      </c>
      <c r="E11" s="65" t="s">
        <v>79</v>
      </c>
      <c r="F11" s="62" t="s">
        <v>32</v>
      </c>
      <c r="G11" s="49">
        <v>1</v>
      </c>
      <c r="H11" s="139">
        <f>IF(B$27=0,0,G11/B$27)</f>
        <v>4.5454545454545456E-2</v>
      </c>
      <c r="I11" s="100">
        <v>2</v>
      </c>
      <c r="K11" s="40">
        <v>9</v>
      </c>
      <c r="L11" s="105">
        <v>-5.8000000000000025</v>
      </c>
      <c r="N11" s="121" t="s">
        <v>175</v>
      </c>
      <c r="O11" s="131">
        <f>IF(P11=0,0,Q11/P11)</f>
        <v>10.200000000000001</v>
      </c>
      <c r="P11" s="125">
        <v>2</v>
      </c>
      <c r="Q11" s="113">
        <v>20.400000000000002</v>
      </c>
    </row>
    <row r="12" spans="1:17" x14ac:dyDescent="0.4">
      <c r="A12" s="59" t="s">
        <v>167</v>
      </c>
      <c r="B12" s="51">
        <v>1</v>
      </c>
      <c r="C12" s="44">
        <f>IF(B$2=0,0,B12/B$2)</f>
        <v>0.1</v>
      </c>
      <c r="E12" s="65" t="s">
        <v>88</v>
      </c>
      <c r="F12" s="62" t="s">
        <v>41</v>
      </c>
      <c r="G12" s="49">
        <v>1</v>
      </c>
      <c r="H12" s="139">
        <f>IF(B$27=0,0,G12/B$27)</f>
        <v>4.5454545454545456E-2</v>
      </c>
      <c r="I12" s="100">
        <v>4</v>
      </c>
      <c r="K12" s="40">
        <v>10</v>
      </c>
      <c r="L12" s="105">
        <v>-56.500000000000007</v>
      </c>
      <c r="N12" s="122" t="s">
        <v>176</v>
      </c>
      <c r="O12" s="132">
        <f>IF(P12=0,0,Q12/P12)</f>
        <v>4.5750000000000011</v>
      </c>
      <c r="P12" s="126">
        <v>4</v>
      </c>
      <c r="Q12" s="114">
        <v>18.300000000000004</v>
      </c>
    </row>
    <row r="13" spans="1:17" x14ac:dyDescent="0.4">
      <c r="A13" s="60" t="s">
        <v>128</v>
      </c>
      <c r="B13" s="52">
        <v>20</v>
      </c>
      <c r="C13" s="46">
        <f>IF(B$26=0,0,B13/B$26)</f>
        <v>0.23529411764705882</v>
      </c>
      <c r="E13" s="65" t="s">
        <v>97</v>
      </c>
      <c r="F13" s="62" t="s">
        <v>50</v>
      </c>
      <c r="G13" s="49">
        <v>1</v>
      </c>
      <c r="H13" s="139">
        <f>IF(B$27=0,0,G13/B$27)</f>
        <v>4.5454545454545456E-2</v>
      </c>
      <c r="I13" s="100">
        <v>1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18</v>
      </c>
      <c r="C14" s="41">
        <f>IF(B$26=0,0,B14/B$26)</f>
        <v>0.21176470588235294</v>
      </c>
      <c r="E14" s="65" t="s">
        <v>71</v>
      </c>
      <c r="F14" s="62" t="s">
        <v>25</v>
      </c>
      <c r="G14" s="49">
        <v>0</v>
      </c>
      <c r="H14" s="139">
        <f>IF(B$27=0,0,G14/B$27)</f>
        <v>0</v>
      </c>
      <c r="I14" s="100">
        <v>1</v>
      </c>
      <c r="N14" s="119" t="s">
        <v>162</v>
      </c>
      <c r="O14" s="36" t="s">
        <v>125</v>
      </c>
      <c r="P14" s="123" t="s">
        <v>121</v>
      </c>
      <c r="Q14" s="111" t="s">
        <v>165</v>
      </c>
    </row>
    <row r="15" spans="1:17" x14ac:dyDescent="0.4">
      <c r="A15" s="56" t="s">
        <v>130</v>
      </c>
      <c r="B15" s="48">
        <v>10</v>
      </c>
      <c r="C15" s="39">
        <f>IF(B$13=0,0,B15/B$13)</f>
        <v>0.5</v>
      </c>
      <c r="E15" s="65" t="s">
        <v>75</v>
      </c>
      <c r="F15" s="62" t="s">
        <v>28</v>
      </c>
      <c r="G15" s="49">
        <v>0</v>
      </c>
      <c r="H15" s="139">
        <f>IF(B$27=0,0,G15/B$27)</f>
        <v>0</v>
      </c>
      <c r="I15" s="100">
        <v>5</v>
      </c>
      <c r="N15" s="120" t="s">
        <v>135</v>
      </c>
      <c r="O15" s="130">
        <f>IF(P15=0,0,Q15/P15)</f>
        <v>102.35</v>
      </c>
      <c r="P15" s="124">
        <v>2</v>
      </c>
      <c r="Q15" s="112">
        <v>204.7</v>
      </c>
    </row>
    <row r="16" spans="1:17" x14ac:dyDescent="0.4">
      <c r="A16" s="56" t="s">
        <v>131</v>
      </c>
      <c r="B16" s="48">
        <v>6</v>
      </c>
      <c r="C16" s="39">
        <f>IF(B$14=0,0,B16/B$14)</f>
        <v>0.33333333333333331</v>
      </c>
      <c r="E16" s="65" t="s">
        <v>77</v>
      </c>
      <c r="F16" s="62" t="s">
        <v>30</v>
      </c>
      <c r="G16" s="49">
        <v>0</v>
      </c>
      <c r="H16" s="139">
        <f>IF(B$27=0,0,G16/B$27)</f>
        <v>0</v>
      </c>
      <c r="I16" s="100">
        <v>3</v>
      </c>
      <c r="N16" s="121" t="s">
        <v>187</v>
      </c>
      <c r="O16" s="131">
        <f>IF(P16=0,0,Q16/P16)</f>
        <v>35.1</v>
      </c>
      <c r="P16" s="125">
        <v>1</v>
      </c>
      <c r="Q16" s="113">
        <v>35.1</v>
      </c>
    </row>
    <row r="17" spans="1:17" x14ac:dyDescent="0.4">
      <c r="A17" s="56" t="s">
        <v>10</v>
      </c>
      <c r="B17" s="48">
        <f>B19+B18</f>
        <v>22</v>
      </c>
      <c r="C17" s="39">
        <f>IF(B$3=0,0,B17/B$3)</f>
        <v>0.25882352941176473</v>
      </c>
      <c r="E17" s="65" t="s">
        <v>78</v>
      </c>
      <c r="F17" s="62" t="s">
        <v>31</v>
      </c>
      <c r="G17" s="49">
        <v>0</v>
      </c>
      <c r="H17" s="139">
        <f>IF(B$27=0,0,G17/B$27)</f>
        <v>0</v>
      </c>
      <c r="I17" s="100">
        <v>1</v>
      </c>
      <c r="N17" s="121" t="s">
        <v>183</v>
      </c>
      <c r="O17" s="131">
        <f>IF(P17=0,0,Q17/P17)</f>
        <v>33.150000000000006</v>
      </c>
      <c r="P17" s="125">
        <v>4</v>
      </c>
      <c r="Q17" s="113">
        <v>132.60000000000002</v>
      </c>
    </row>
    <row r="18" spans="1:17" x14ac:dyDescent="0.4">
      <c r="A18" s="57" t="s">
        <v>12</v>
      </c>
      <c r="B18" s="49">
        <v>8</v>
      </c>
      <c r="C18" s="41">
        <f>IF(B$17=0,0,B18/B$17)</f>
        <v>0.36363636363636365</v>
      </c>
      <c r="E18" s="65" t="s">
        <v>80</v>
      </c>
      <c r="F18" s="62" t="s">
        <v>33</v>
      </c>
      <c r="G18" s="49">
        <v>0</v>
      </c>
      <c r="H18" s="139">
        <f>IF(B$27=0,0,G18/B$27)</f>
        <v>0</v>
      </c>
      <c r="I18" s="100">
        <v>1</v>
      </c>
      <c r="N18" s="121" t="s">
        <v>182</v>
      </c>
      <c r="O18" s="131">
        <f>IF(P18=0,0,Q18/P18)</f>
        <v>-9.9600000000000026</v>
      </c>
      <c r="P18" s="125">
        <v>5</v>
      </c>
      <c r="Q18" s="113">
        <v>-49.800000000000011</v>
      </c>
    </row>
    <row r="19" spans="1:17" x14ac:dyDescent="0.4">
      <c r="A19" s="57" t="s">
        <v>11</v>
      </c>
      <c r="B19" s="49">
        <v>14</v>
      </c>
      <c r="C19" s="41">
        <f>IF(B$17=0,0,B19/B$17)</f>
        <v>0.63636363636363635</v>
      </c>
      <c r="E19" s="65" t="s">
        <v>81</v>
      </c>
      <c r="F19" s="62" t="s">
        <v>34</v>
      </c>
      <c r="G19" s="49">
        <v>0</v>
      </c>
      <c r="H19" s="139">
        <f>IF(B$27=0,0,G19/B$27)</f>
        <v>0</v>
      </c>
      <c r="I19" s="100">
        <v>1</v>
      </c>
      <c r="N19" s="121" t="s">
        <v>134</v>
      </c>
      <c r="O19" s="131">
        <f>IF(P19=0,0,Q19/P19)</f>
        <v>-19.666666666666668</v>
      </c>
      <c r="P19" s="125">
        <v>3</v>
      </c>
      <c r="Q19" s="113">
        <v>-59</v>
      </c>
    </row>
    <row r="20" spans="1:17" x14ac:dyDescent="0.4">
      <c r="A20" s="57" t="s">
        <v>13</v>
      </c>
      <c r="B20" s="49">
        <v>21</v>
      </c>
      <c r="C20" s="41">
        <f>IF(B$3=0,0,B20/B$3)</f>
        <v>0.24705882352941178</v>
      </c>
      <c r="E20" s="65" t="s">
        <v>82</v>
      </c>
      <c r="F20" s="62" t="s">
        <v>35</v>
      </c>
      <c r="G20" s="49">
        <v>0</v>
      </c>
      <c r="H20" s="139">
        <f>IF(B$27=0,0,G20/B$27)</f>
        <v>0</v>
      </c>
      <c r="I20" s="100">
        <v>4</v>
      </c>
      <c r="N20" s="121" t="s">
        <v>133</v>
      </c>
      <c r="O20" s="131">
        <f>IF(P20=0,0,Q20/P20)</f>
        <v>-86.62</v>
      </c>
      <c r="P20" s="125">
        <v>5</v>
      </c>
      <c r="Q20" s="113">
        <v>-433.1</v>
      </c>
    </row>
    <row r="21" spans="1:17" x14ac:dyDescent="0.4">
      <c r="A21" s="57" t="s">
        <v>5</v>
      </c>
      <c r="B21" s="53">
        <f>IF(B$17=0,0,C21/B$17)</f>
        <v>7890.909090909091</v>
      </c>
      <c r="C21" s="43">
        <v>173600</v>
      </c>
      <c r="E21" s="65" t="s">
        <v>83</v>
      </c>
      <c r="F21" s="62" t="s">
        <v>36</v>
      </c>
      <c r="G21" s="49">
        <v>0</v>
      </c>
      <c r="H21" s="139">
        <f>IF(B$27=0,0,G21/B$27)</f>
        <v>0</v>
      </c>
      <c r="I21" s="100">
        <v>1</v>
      </c>
    </row>
    <row r="22" spans="1:17" x14ac:dyDescent="0.4">
      <c r="A22" s="59" t="s">
        <v>14</v>
      </c>
      <c r="B22" s="54">
        <f>IF(B$20=0,0,C22/B$20)</f>
        <v>-6633.333333333333</v>
      </c>
      <c r="C22" s="47">
        <v>-139300</v>
      </c>
      <c r="E22" s="65" t="s">
        <v>84</v>
      </c>
      <c r="F22" s="62" t="s">
        <v>37</v>
      </c>
      <c r="G22" s="49">
        <v>0</v>
      </c>
      <c r="H22" s="139">
        <f>IF(B$27=0,0,G22/B$27)</f>
        <v>0</v>
      </c>
      <c r="I22" s="100">
        <v>1</v>
      </c>
    </row>
    <row r="23" spans="1:17" x14ac:dyDescent="0.4">
      <c r="A23" s="96" t="s">
        <v>148</v>
      </c>
      <c r="B23" s="155">
        <v>4</v>
      </c>
      <c r="C23" s="156"/>
      <c r="E23" s="65" t="s">
        <v>85</v>
      </c>
      <c r="F23" s="62" t="s">
        <v>38</v>
      </c>
      <c r="G23" s="49">
        <v>0</v>
      </c>
      <c r="H23" s="139">
        <f>IF(B$27=0,0,G23/B$27)</f>
        <v>0</v>
      </c>
      <c r="I23" s="100">
        <v>1</v>
      </c>
    </row>
    <row r="24" spans="1:17" x14ac:dyDescent="0.4">
      <c r="A24" s="60" t="s">
        <v>159</v>
      </c>
      <c r="B24" s="153">
        <v>64600</v>
      </c>
      <c r="C24" s="154"/>
      <c r="E24" s="65" t="s">
        <v>86</v>
      </c>
      <c r="F24" s="62" t="s">
        <v>39</v>
      </c>
      <c r="G24" s="49">
        <v>0</v>
      </c>
      <c r="H24" s="139">
        <f>IF(B$27=0,0,G24/B$27)</f>
        <v>0</v>
      </c>
      <c r="I24" s="100">
        <v>5</v>
      </c>
    </row>
    <row r="25" spans="1:17" x14ac:dyDescent="0.4">
      <c r="A25" s="59" t="s">
        <v>149</v>
      </c>
      <c r="B25" s="67">
        <v>1</v>
      </c>
      <c r="C25" s="44">
        <f>IF(B$3=0,0,B25/B$3)</f>
        <v>1.1764705882352941E-2</v>
      </c>
      <c r="E25" s="65" t="s">
        <v>87</v>
      </c>
      <c r="F25" s="62" t="s">
        <v>40</v>
      </c>
      <c r="G25" s="49">
        <v>0</v>
      </c>
      <c r="H25" s="139">
        <f>IF(B$27=0,0,G25/B$27)</f>
        <v>0</v>
      </c>
      <c r="I25" s="100">
        <v>1</v>
      </c>
    </row>
    <row r="26" spans="1:17" x14ac:dyDescent="0.4">
      <c r="A26" s="56" t="s">
        <v>126</v>
      </c>
      <c r="B26" s="145">
        <v>85</v>
      </c>
      <c r="C26" s="146"/>
      <c r="E26" s="65" t="s">
        <v>89</v>
      </c>
      <c r="F26" s="62" t="s">
        <v>42</v>
      </c>
      <c r="G26" s="49">
        <v>0</v>
      </c>
      <c r="H26" s="139">
        <f>IF(B$27=0,0,G26/B$27)</f>
        <v>0</v>
      </c>
      <c r="I26" s="100">
        <v>1</v>
      </c>
    </row>
    <row r="27" spans="1:17" x14ac:dyDescent="0.4">
      <c r="A27" s="59" t="s">
        <v>127</v>
      </c>
      <c r="B27" s="159">
        <v>22</v>
      </c>
      <c r="C27" s="160"/>
      <c r="E27" s="65" t="s">
        <v>90</v>
      </c>
      <c r="F27" s="62" t="s">
        <v>43</v>
      </c>
      <c r="G27" s="49">
        <v>0</v>
      </c>
      <c r="H27" s="139">
        <f>IF(B$27=0,0,G27/B$27)</f>
        <v>0</v>
      </c>
      <c r="I27" s="100">
        <v>1</v>
      </c>
    </row>
    <row r="28" spans="1:17" x14ac:dyDescent="0.4">
      <c r="E28" s="65" t="s">
        <v>91</v>
      </c>
      <c r="F28" s="62" t="s">
        <v>44</v>
      </c>
      <c r="G28" s="49">
        <v>0</v>
      </c>
      <c r="H28" s="139">
        <f>IF(B$27=0,0,G28/B$27)</f>
        <v>0</v>
      </c>
      <c r="I28" s="100">
        <v>6</v>
      </c>
    </row>
    <row r="29" spans="1:17" x14ac:dyDescent="0.4">
      <c r="E29" s="65" t="s">
        <v>92</v>
      </c>
      <c r="F29" s="62" t="s">
        <v>45</v>
      </c>
      <c r="G29" s="49">
        <v>0</v>
      </c>
      <c r="H29" s="139">
        <f>IF(B$27=0,0,G29/B$27)</f>
        <v>0</v>
      </c>
      <c r="I29" s="100">
        <v>1</v>
      </c>
    </row>
    <row r="30" spans="1:17" x14ac:dyDescent="0.4">
      <c r="E30" s="65" t="s">
        <v>93</v>
      </c>
      <c r="F30" s="62" t="s">
        <v>46</v>
      </c>
      <c r="G30" s="49">
        <v>0</v>
      </c>
      <c r="H30" s="139">
        <f>IF(B$27=0,0,G30/B$27)</f>
        <v>0</v>
      </c>
      <c r="I30" s="100">
        <v>1</v>
      </c>
    </row>
    <row r="31" spans="1:17" x14ac:dyDescent="0.4">
      <c r="E31" s="65" t="s">
        <v>95</v>
      </c>
      <c r="F31" s="62" t="s">
        <v>48</v>
      </c>
      <c r="G31" s="49">
        <v>0</v>
      </c>
      <c r="H31" s="139">
        <f>IF(B$27=0,0,G31/B$27)</f>
        <v>0</v>
      </c>
      <c r="I31" s="100">
        <v>1</v>
      </c>
    </row>
    <row r="32" spans="1:17" x14ac:dyDescent="0.4">
      <c r="E32" s="65" t="s">
        <v>96</v>
      </c>
      <c r="F32" s="62" t="s">
        <v>49</v>
      </c>
      <c r="G32" s="49">
        <v>0</v>
      </c>
      <c r="H32" s="139">
        <f>IF(B$27=0,0,G32/B$27)</f>
        <v>0</v>
      </c>
      <c r="I32" s="100">
        <v>4</v>
      </c>
    </row>
    <row r="33" spans="5:9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1</v>
      </c>
    </row>
    <row r="34" spans="5:9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1</v>
      </c>
    </row>
    <row r="36" spans="5:9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1</v>
      </c>
    </row>
    <row r="47" spans="5:9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20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18F67-6C16-468F-8197-EEDA34501BE2}">
  <sheetPr codeName="Sheet15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182</v>
      </c>
      <c r="C1" s="144"/>
      <c r="E1" s="135" t="s">
        <v>177</v>
      </c>
      <c r="F1" s="142" t="s">
        <v>120</v>
      </c>
      <c r="G1" s="141" t="s">
        <v>121</v>
      </c>
      <c r="H1" s="136" t="s">
        <v>122</v>
      </c>
      <c r="I1" s="142" t="s">
        <v>161</v>
      </c>
      <c r="K1" s="36" t="s">
        <v>20</v>
      </c>
      <c r="L1" s="37" t="s">
        <v>125</v>
      </c>
      <c r="M1" s="137"/>
      <c r="N1" s="119" t="s">
        <v>144</v>
      </c>
      <c r="O1" s="36" t="s">
        <v>145</v>
      </c>
      <c r="P1" s="123" t="s">
        <v>121</v>
      </c>
      <c r="Q1" s="107" t="s">
        <v>165</v>
      </c>
    </row>
    <row r="2" spans="1:17" x14ac:dyDescent="0.4">
      <c r="A2" s="56" t="s">
        <v>9</v>
      </c>
      <c r="B2" s="145">
        <v>7</v>
      </c>
      <c r="C2" s="146"/>
      <c r="E2" s="64" t="s">
        <v>76</v>
      </c>
      <c r="F2" s="61" t="s">
        <v>29</v>
      </c>
      <c r="G2" s="48">
        <v>12</v>
      </c>
      <c r="H2" s="138">
        <f>IF(B$27=0,0,G2/B$27)</f>
        <v>0.70588235294117652</v>
      </c>
      <c r="I2" s="99">
        <v>2</v>
      </c>
      <c r="K2" s="38">
        <v>0</v>
      </c>
      <c r="L2" s="104">
        <v>0</v>
      </c>
      <c r="N2" s="120" t="s">
        <v>138</v>
      </c>
      <c r="O2" s="127">
        <f t="shared" ref="O2:O7" si="0">IF(P2=0,0,Q2/P2)</f>
        <v>2700</v>
      </c>
      <c r="P2" s="124">
        <v>7</v>
      </c>
      <c r="Q2" s="108">
        <v>18900</v>
      </c>
    </row>
    <row r="3" spans="1:17" x14ac:dyDescent="0.4">
      <c r="A3" s="57" t="s">
        <v>8</v>
      </c>
      <c r="B3" s="147">
        <v>55</v>
      </c>
      <c r="C3" s="148"/>
      <c r="E3" s="65" t="s">
        <v>67</v>
      </c>
      <c r="F3" s="62" t="s">
        <v>21</v>
      </c>
      <c r="G3" s="49">
        <v>7</v>
      </c>
      <c r="H3" s="139">
        <f>IF(B$27=0,0,G3/B$27)</f>
        <v>0.41176470588235292</v>
      </c>
      <c r="I3" s="100">
        <v>5</v>
      </c>
      <c r="K3" s="40">
        <v>1</v>
      </c>
      <c r="L3" s="105">
        <v>11.1</v>
      </c>
      <c r="N3" s="121" t="s">
        <v>139</v>
      </c>
      <c r="O3" s="128">
        <f t="shared" si="0"/>
        <v>1842.8571428571429</v>
      </c>
      <c r="P3" s="125">
        <v>7</v>
      </c>
      <c r="Q3" s="109">
        <v>12900</v>
      </c>
    </row>
    <row r="4" spans="1:17" x14ac:dyDescent="0.4">
      <c r="A4" s="57" t="s">
        <v>6</v>
      </c>
      <c r="B4" s="149">
        <v>7.7999999999999972</v>
      </c>
      <c r="C4" s="150"/>
      <c r="E4" s="65" t="s">
        <v>69</v>
      </c>
      <c r="F4" s="62" t="s">
        <v>23</v>
      </c>
      <c r="G4" s="49">
        <v>7</v>
      </c>
      <c r="H4" s="139">
        <f>IF(B$27=0,0,G4/B$27)</f>
        <v>0.41176470588235292</v>
      </c>
      <c r="I4" s="100">
        <v>7</v>
      </c>
      <c r="K4" s="40">
        <v>2</v>
      </c>
      <c r="L4" s="105">
        <v>-7.7000000000000011</v>
      </c>
      <c r="N4" s="121" t="s">
        <v>140</v>
      </c>
      <c r="O4" s="128">
        <f t="shared" si="0"/>
        <v>-1466.6666666666667</v>
      </c>
      <c r="P4" s="125">
        <v>6</v>
      </c>
      <c r="Q4" s="109">
        <v>-8800</v>
      </c>
    </row>
    <row r="5" spans="1:17" x14ac:dyDescent="0.4">
      <c r="A5" s="57" t="s">
        <v>7</v>
      </c>
      <c r="B5" s="151">
        <f>IF(B$2=0,0,B$4/B$2)</f>
        <v>1.1142857142857139</v>
      </c>
      <c r="C5" s="152"/>
      <c r="E5" s="65" t="s">
        <v>70</v>
      </c>
      <c r="F5" s="62" t="s">
        <v>24</v>
      </c>
      <c r="G5" s="49">
        <v>5</v>
      </c>
      <c r="H5" s="139">
        <f>IF(B$27=0,0,G5/B$27)</f>
        <v>0.29411764705882354</v>
      </c>
      <c r="I5" s="100">
        <v>4</v>
      </c>
      <c r="K5" s="40">
        <v>3</v>
      </c>
      <c r="L5" s="105">
        <v>1.7999999999999989</v>
      </c>
      <c r="N5" s="121" t="s">
        <v>141</v>
      </c>
      <c r="O5" s="128">
        <f t="shared" si="0"/>
        <v>4200</v>
      </c>
      <c r="P5" s="125">
        <v>6</v>
      </c>
      <c r="Q5" s="109">
        <v>25200</v>
      </c>
    </row>
    <row r="6" spans="1:17" x14ac:dyDescent="0.4">
      <c r="A6" s="57" t="s">
        <v>1</v>
      </c>
      <c r="B6" s="157">
        <f>IF(B$2=0,0,(B$7*1+B$8*2+B$9*3)/B$2)</f>
        <v>2</v>
      </c>
      <c r="C6" s="158"/>
      <c r="E6" s="65" t="s">
        <v>72</v>
      </c>
      <c r="F6" s="62" t="s">
        <v>12</v>
      </c>
      <c r="G6" s="49">
        <v>3</v>
      </c>
      <c r="H6" s="139">
        <f>IF(B$27=0,0,G6/B$27)</f>
        <v>0.17647058823529413</v>
      </c>
      <c r="I6" s="100">
        <v>8</v>
      </c>
      <c r="K6" s="40">
        <v>4</v>
      </c>
      <c r="L6" s="105">
        <v>34.9</v>
      </c>
      <c r="N6" s="121" t="s">
        <v>142</v>
      </c>
      <c r="O6" s="128">
        <f t="shared" si="0"/>
        <v>-4716.666666666667</v>
      </c>
      <c r="P6" s="125">
        <v>6</v>
      </c>
      <c r="Q6" s="109">
        <v>-28300</v>
      </c>
    </row>
    <row r="7" spans="1:17" x14ac:dyDescent="0.4">
      <c r="A7" s="57" t="s">
        <v>2</v>
      </c>
      <c r="B7" s="49">
        <v>1</v>
      </c>
      <c r="C7" s="41">
        <f>IF(B$2=0,0,B7/B$2)</f>
        <v>0.14285714285714285</v>
      </c>
      <c r="E7" s="65" t="s">
        <v>68</v>
      </c>
      <c r="F7" s="62" t="s">
        <v>22</v>
      </c>
      <c r="G7" s="49">
        <v>2</v>
      </c>
      <c r="H7" s="139">
        <f>IF(B$27=0,0,G7/B$27)</f>
        <v>0.11764705882352941</v>
      </c>
      <c r="I7" s="100">
        <v>4</v>
      </c>
      <c r="K7" s="40">
        <v>5</v>
      </c>
      <c r="L7" s="105">
        <v>29.4</v>
      </c>
      <c r="N7" s="122" t="s">
        <v>143</v>
      </c>
      <c r="O7" s="129">
        <f t="shared" si="0"/>
        <v>-3020</v>
      </c>
      <c r="P7" s="126">
        <v>5</v>
      </c>
      <c r="Q7" s="110">
        <v>-15100</v>
      </c>
    </row>
    <row r="8" spans="1:17" x14ac:dyDescent="0.4">
      <c r="A8" s="57" t="s">
        <v>3</v>
      </c>
      <c r="B8" s="49">
        <v>5</v>
      </c>
      <c r="C8" s="41">
        <f>IF(B$2=0,0,B8/B$2)</f>
        <v>0.7142857142857143</v>
      </c>
      <c r="E8" s="65" t="s">
        <v>94</v>
      </c>
      <c r="F8" s="62" t="s">
        <v>47</v>
      </c>
      <c r="G8" s="49">
        <v>2</v>
      </c>
      <c r="H8" s="139">
        <f>IF(B$27=0,0,G8/B$27)</f>
        <v>0.11764705882352941</v>
      </c>
      <c r="I8" s="100">
        <v>5</v>
      </c>
      <c r="K8" s="40">
        <v>6</v>
      </c>
      <c r="L8" s="105">
        <v>4.2999999999999972</v>
      </c>
      <c r="N8" s="45"/>
      <c r="O8" s="133"/>
      <c r="P8" s="117"/>
      <c r="Q8" s="115"/>
    </row>
    <row r="9" spans="1:17" x14ac:dyDescent="0.4">
      <c r="A9" s="58" t="s">
        <v>4</v>
      </c>
      <c r="B9" s="50">
        <v>1</v>
      </c>
      <c r="C9" s="42">
        <f t="shared" ref="C9" si="1">IF(B$2=0,0,B9/B$2)</f>
        <v>0.14285714285714285</v>
      </c>
      <c r="E9" s="65" t="s">
        <v>73</v>
      </c>
      <c r="F9" s="62" t="s">
        <v>26</v>
      </c>
      <c r="G9" s="49">
        <v>1</v>
      </c>
      <c r="H9" s="139">
        <f>IF(B$27=0,0,G9/B$27)</f>
        <v>5.8823529411764705E-2</v>
      </c>
      <c r="I9" s="100">
        <v>8</v>
      </c>
      <c r="K9" s="40">
        <v>7</v>
      </c>
      <c r="L9" s="105">
        <v>7.7999999999999972</v>
      </c>
      <c r="N9" s="119" t="s">
        <v>173</v>
      </c>
      <c r="O9" s="36" t="s">
        <v>125</v>
      </c>
      <c r="P9" s="123" t="s">
        <v>121</v>
      </c>
      <c r="Q9" s="111" t="s">
        <v>165</v>
      </c>
    </row>
    <row r="10" spans="1:17" x14ac:dyDescent="0.4">
      <c r="A10" s="58" t="s">
        <v>19</v>
      </c>
      <c r="B10" s="50">
        <v>0</v>
      </c>
      <c r="C10" s="42">
        <f>IF(B$2=0,0,B10/B$2)</f>
        <v>0</v>
      </c>
      <c r="E10" s="65" t="s">
        <v>86</v>
      </c>
      <c r="F10" s="62" t="s">
        <v>39</v>
      </c>
      <c r="G10" s="49">
        <v>1</v>
      </c>
      <c r="H10" s="139">
        <f>IF(B$27=0,0,G10/B$27)</f>
        <v>5.8823529411764705E-2</v>
      </c>
      <c r="I10" s="100">
        <v>1</v>
      </c>
      <c r="N10" s="120" t="s">
        <v>174</v>
      </c>
      <c r="O10" s="130">
        <f>IF(P10=0,0,Q10/P10)</f>
        <v>0</v>
      </c>
      <c r="P10" s="124">
        <v>0</v>
      </c>
      <c r="Q10" s="112">
        <v>0</v>
      </c>
    </row>
    <row r="11" spans="1:17" x14ac:dyDescent="0.4">
      <c r="A11" s="58" t="s">
        <v>146</v>
      </c>
      <c r="B11" s="50">
        <v>0</v>
      </c>
      <c r="C11" s="42">
        <f>IF(B$2=0,0,B11/B$2)</f>
        <v>0</v>
      </c>
      <c r="E11" s="65" t="s">
        <v>88</v>
      </c>
      <c r="F11" s="62" t="s">
        <v>41</v>
      </c>
      <c r="G11" s="49">
        <v>1</v>
      </c>
      <c r="H11" s="139">
        <f>IF(B$27=0,0,G11/B$27)</f>
        <v>5.8823529411764705E-2</v>
      </c>
      <c r="I11" s="100">
        <v>2</v>
      </c>
      <c r="N11" s="121" t="s">
        <v>175</v>
      </c>
      <c r="O11" s="131">
        <f>IF(P11=0,0,Q11/P11)</f>
        <v>8.0333333333333332</v>
      </c>
      <c r="P11" s="125">
        <v>3</v>
      </c>
      <c r="Q11" s="113">
        <v>24.1</v>
      </c>
    </row>
    <row r="12" spans="1:17" x14ac:dyDescent="0.4">
      <c r="A12" s="59" t="s">
        <v>167</v>
      </c>
      <c r="B12" s="51">
        <v>0</v>
      </c>
      <c r="C12" s="44">
        <f>IF(B$2=0,0,B12/B$2)</f>
        <v>0</v>
      </c>
      <c r="E12" s="65" t="s">
        <v>91</v>
      </c>
      <c r="F12" s="62" t="s">
        <v>44</v>
      </c>
      <c r="G12" s="49">
        <v>1</v>
      </c>
      <c r="H12" s="139">
        <f>IF(B$27=0,0,G12/B$27)</f>
        <v>5.8823529411764705E-2</v>
      </c>
      <c r="I12" s="100">
        <v>4</v>
      </c>
      <c r="N12" s="122" t="s">
        <v>176</v>
      </c>
      <c r="O12" s="132">
        <f>IF(P12=0,0,Q12/P12)</f>
        <v>-4.0750000000000002</v>
      </c>
      <c r="P12" s="126">
        <v>4</v>
      </c>
      <c r="Q12" s="114">
        <v>-16.3</v>
      </c>
    </row>
    <row r="13" spans="1:17" x14ac:dyDescent="0.4">
      <c r="A13" s="60" t="s">
        <v>128</v>
      </c>
      <c r="B13" s="52">
        <v>10</v>
      </c>
      <c r="C13" s="46">
        <f>IF(B$26=0,0,B13/B$26)</f>
        <v>0.18181818181818182</v>
      </c>
      <c r="E13" s="65" t="s">
        <v>71</v>
      </c>
      <c r="F13" s="62" t="s">
        <v>25</v>
      </c>
      <c r="G13" s="49">
        <v>0</v>
      </c>
      <c r="H13" s="139">
        <f>IF(B$27=0,0,G13/B$27)</f>
        <v>0</v>
      </c>
      <c r="I13" s="100">
        <v>1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19</v>
      </c>
      <c r="C14" s="41">
        <f>IF(B$26=0,0,B14/B$26)</f>
        <v>0.34545454545454546</v>
      </c>
      <c r="E14" s="65" t="s">
        <v>74</v>
      </c>
      <c r="F14" s="62" t="s">
        <v>27</v>
      </c>
      <c r="G14" s="49">
        <v>0</v>
      </c>
      <c r="H14" s="139">
        <f>IF(B$27=0,0,G14/B$27)</f>
        <v>0</v>
      </c>
      <c r="I14" s="100">
        <v>7</v>
      </c>
      <c r="N14" s="119" t="s">
        <v>162</v>
      </c>
      <c r="O14" s="36" t="s">
        <v>125</v>
      </c>
      <c r="P14" s="123" t="s">
        <v>121</v>
      </c>
      <c r="Q14" s="111" t="s">
        <v>165</v>
      </c>
    </row>
    <row r="15" spans="1:17" x14ac:dyDescent="0.4">
      <c r="A15" s="56" t="s">
        <v>130</v>
      </c>
      <c r="B15" s="48">
        <v>7</v>
      </c>
      <c r="C15" s="39">
        <f>IF(B$13=0,0,B15/B$13)</f>
        <v>0.7</v>
      </c>
      <c r="E15" s="65" t="s">
        <v>75</v>
      </c>
      <c r="F15" s="62" t="s">
        <v>28</v>
      </c>
      <c r="G15" s="49">
        <v>0</v>
      </c>
      <c r="H15" s="139">
        <f>IF(B$27=0,0,G15/B$27)</f>
        <v>0</v>
      </c>
      <c r="I15" s="100">
        <v>5</v>
      </c>
      <c r="N15" s="120" t="s">
        <v>135</v>
      </c>
      <c r="O15" s="130">
        <f>IF(P15=0,0,Q15/P15)</f>
        <v>67.8</v>
      </c>
      <c r="P15" s="124">
        <v>1</v>
      </c>
      <c r="Q15" s="112">
        <v>67.8</v>
      </c>
    </row>
    <row r="16" spans="1:17" x14ac:dyDescent="0.4">
      <c r="A16" s="56" t="s">
        <v>131</v>
      </c>
      <c r="B16" s="48">
        <v>7</v>
      </c>
      <c r="C16" s="39">
        <f>IF(B$14=0,0,B16/B$14)</f>
        <v>0.36842105263157893</v>
      </c>
      <c r="E16" s="65" t="s">
        <v>77</v>
      </c>
      <c r="F16" s="62" t="s">
        <v>30</v>
      </c>
      <c r="G16" s="49">
        <v>0</v>
      </c>
      <c r="H16" s="139">
        <f>IF(B$27=0,0,G16/B$27)</f>
        <v>0</v>
      </c>
      <c r="I16" s="100">
        <v>3</v>
      </c>
      <c r="N16" s="121" t="s">
        <v>181</v>
      </c>
      <c r="O16" s="131">
        <f>IF(P16=0,0,Q16/P16)</f>
        <v>9.9599999999999991</v>
      </c>
      <c r="P16" s="125">
        <v>5</v>
      </c>
      <c r="Q16" s="113">
        <v>49.8</v>
      </c>
    </row>
    <row r="17" spans="1:17" x14ac:dyDescent="0.4">
      <c r="A17" s="56" t="s">
        <v>10</v>
      </c>
      <c r="B17" s="48">
        <f>B19+B18</f>
        <v>17</v>
      </c>
      <c r="C17" s="39">
        <f>IF(B$3=0,0,B17/B$3)</f>
        <v>0.30909090909090908</v>
      </c>
      <c r="E17" s="65" t="s">
        <v>78</v>
      </c>
      <c r="F17" s="62" t="s">
        <v>31</v>
      </c>
      <c r="G17" s="49">
        <v>0</v>
      </c>
      <c r="H17" s="139">
        <f>IF(B$27=0,0,G17/B$27)</f>
        <v>0</v>
      </c>
      <c r="I17" s="100">
        <v>1</v>
      </c>
      <c r="N17" s="121" t="s">
        <v>183</v>
      </c>
      <c r="O17" s="131">
        <f>IF(P17=0,0,Q17/P17)</f>
        <v>5.9</v>
      </c>
      <c r="P17" s="125">
        <v>2</v>
      </c>
      <c r="Q17" s="113">
        <v>11.8</v>
      </c>
    </row>
    <row r="18" spans="1:17" x14ac:dyDescent="0.4">
      <c r="A18" s="57" t="s">
        <v>12</v>
      </c>
      <c r="B18" s="49">
        <v>6</v>
      </c>
      <c r="C18" s="41">
        <f>IF(B$17=0,0,B18/B$17)</f>
        <v>0.35294117647058826</v>
      </c>
      <c r="E18" s="65" t="s">
        <v>79</v>
      </c>
      <c r="F18" s="62" t="s">
        <v>32</v>
      </c>
      <c r="G18" s="49">
        <v>0</v>
      </c>
      <c r="H18" s="139">
        <f>IF(B$27=0,0,G18/B$27)</f>
        <v>0</v>
      </c>
      <c r="I18" s="100">
        <v>5</v>
      </c>
      <c r="N18" s="121" t="s">
        <v>133</v>
      </c>
      <c r="O18" s="131">
        <f>IF(P18=0,0,Q18/P18)</f>
        <v>-2.6333333333333351</v>
      </c>
      <c r="P18" s="125">
        <v>3</v>
      </c>
      <c r="Q18" s="113">
        <v>-7.9000000000000057</v>
      </c>
    </row>
    <row r="19" spans="1:17" x14ac:dyDescent="0.4">
      <c r="A19" s="57" t="s">
        <v>11</v>
      </c>
      <c r="B19" s="49">
        <v>11</v>
      </c>
      <c r="C19" s="41">
        <f>IF(B$17=0,0,B19/B$17)</f>
        <v>0.6470588235294118</v>
      </c>
      <c r="E19" s="65" t="s">
        <v>80</v>
      </c>
      <c r="F19" s="62" t="s">
        <v>33</v>
      </c>
      <c r="G19" s="49">
        <v>0</v>
      </c>
      <c r="H19" s="139">
        <f>IF(B$27=0,0,G19/B$27)</f>
        <v>0</v>
      </c>
      <c r="I19" s="100">
        <v>1</v>
      </c>
      <c r="N19" s="121" t="s">
        <v>134</v>
      </c>
      <c r="O19" s="131">
        <f>IF(P19=0,0,Q19/P19)</f>
        <v>-32.700000000000003</v>
      </c>
      <c r="P19" s="125">
        <v>3</v>
      </c>
      <c r="Q19" s="113">
        <v>-98.100000000000009</v>
      </c>
    </row>
    <row r="20" spans="1:17" x14ac:dyDescent="0.4">
      <c r="A20" s="57" t="s">
        <v>13</v>
      </c>
      <c r="B20" s="49">
        <v>9</v>
      </c>
      <c r="C20" s="41">
        <f>IF(B$3=0,0,B20/B$3)</f>
        <v>0.16363636363636364</v>
      </c>
      <c r="E20" s="65" t="s">
        <v>81</v>
      </c>
      <c r="F20" s="62" t="s">
        <v>34</v>
      </c>
      <c r="G20" s="49">
        <v>0</v>
      </c>
      <c r="H20" s="139">
        <f>IF(B$27=0,0,G20/B$27)</f>
        <v>0</v>
      </c>
      <c r="I20" s="100">
        <v>1</v>
      </c>
    </row>
    <row r="21" spans="1:17" x14ac:dyDescent="0.4">
      <c r="A21" s="57" t="s">
        <v>5</v>
      </c>
      <c r="B21" s="53">
        <f>IF(B$17=0,0,C21/B$17)</f>
        <v>5858.8235294117649</v>
      </c>
      <c r="C21" s="43">
        <v>99600</v>
      </c>
      <c r="E21" s="65" t="s">
        <v>82</v>
      </c>
      <c r="F21" s="62" t="s">
        <v>35</v>
      </c>
      <c r="G21" s="49">
        <v>0</v>
      </c>
      <c r="H21" s="139">
        <f>IF(B$27=0,0,G21/B$27)</f>
        <v>0</v>
      </c>
      <c r="I21" s="100">
        <v>4</v>
      </c>
    </row>
    <row r="22" spans="1:17" x14ac:dyDescent="0.4">
      <c r="A22" s="59" t="s">
        <v>14</v>
      </c>
      <c r="B22" s="54">
        <f>IF(B$20=0,0,C22/B$20)</f>
        <v>-7100</v>
      </c>
      <c r="C22" s="47">
        <v>-63900</v>
      </c>
      <c r="E22" s="65" t="s">
        <v>83</v>
      </c>
      <c r="F22" s="62" t="s">
        <v>36</v>
      </c>
      <c r="G22" s="49">
        <v>0</v>
      </c>
      <c r="H22" s="139">
        <f>IF(B$27=0,0,G22/B$27)</f>
        <v>0</v>
      </c>
      <c r="I22" s="100">
        <v>1</v>
      </c>
    </row>
    <row r="23" spans="1:17" x14ac:dyDescent="0.4">
      <c r="A23" s="96" t="s">
        <v>148</v>
      </c>
      <c r="B23" s="155">
        <v>3</v>
      </c>
      <c r="C23" s="156"/>
      <c r="E23" s="65" t="s">
        <v>84</v>
      </c>
      <c r="F23" s="62" t="s">
        <v>37</v>
      </c>
      <c r="G23" s="49">
        <v>0</v>
      </c>
      <c r="H23" s="139">
        <f>IF(B$27=0,0,G23/B$27)</f>
        <v>0</v>
      </c>
      <c r="I23" s="100">
        <v>1</v>
      </c>
    </row>
    <row r="24" spans="1:17" x14ac:dyDescent="0.4">
      <c r="A24" s="60" t="s">
        <v>159</v>
      </c>
      <c r="B24" s="153">
        <v>48100</v>
      </c>
      <c r="C24" s="154"/>
      <c r="E24" s="65" t="s">
        <v>85</v>
      </c>
      <c r="F24" s="62" t="s">
        <v>38</v>
      </c>
      <c r="G24" s="49">
        <v>0</v>
      </c>
      <c r="H24" s="139">
        <f>IF(B$27=0,0,G24/B$27)</f>
        <v>0</v>
      </c>
      <c r="I24" s="100">
        <v>1</v>
      </c>
    </row>
    <row r="25" spans="1:17" x14ac:dyDescent="0.4">
      <c r="A25" s="59" t="s">
        <v>149</v>
      </c>
      <c r="B25" s="67">
        <v>0</v>
      </c>
      <c r="C25" s="44">
        <f>IF(B$3=0,0,B25/B$3)</f>
        <v>0</v>
      </c>
      <c r="E25" s="65" t="s">
        <v>87</v>
      </c>
      <c r="F25" s="62" t="s">
        <v>40</v>
      </c>
      <c r="G25" s="49">
        <v>0</v>
      </c>
      <c r="H25" s="139">
        <f>IF(B$27=0,0,G25/B$27)</f>
        <v>0</v>
      </c>
      <c r="I25" s="100">
        <v>1</v>
      </c>
    </row>
    <row r="26" spans="1:17" x14ac:dyDescent="0.4">
      <c r="A26" s="56" t="s">
        <v>126</v>
      </c>
      <c r="B26" s="145">
        <v>55</v>
      </c>
      <c r="C26" s="146"/>
      <c r="E26" s="65" t="s">
        <v>89</v>
      </c>
      <c r="F26" s="62" t="s">
        <v>42</v>
      </c>
      <c r="G26" s="49">
        <v>0</v>
      </c>
      <c r="H26" s="139">
        <f>IF(B$27=0,0,G26/B$27)</f>
        <v>0</v>
      </c>
      <c r="I26" s="100">
        <v>1</v>
      </c>
    </row>
    <row r="27" spans="1:17" x14ac:dyDescent="0.4">
      <c r="A27" s="59" t="s">
        <v>127</v>
      </c>
      <c r="B27" s="159">
        <v>17</v>
      </c>
      <c r="C27" s="160"/>
      <c r="E27" s="65" t="s">
        <v>90</v>
      </c>
      <c r="F27" s="62" t="s">
        <v>43</v>
      </c>
      <c r="G27" s="49">
        <v>0</v>
      </c>
      <c r="H27" s="139">
        <f>IF(B$27=0,0,G27/B$27)</f>
        <v>0</v>
      </c>
      <c r="I27" s="100">
        <v>1</v>
      </c>
    </row>
    <row r="28" spans="1:17" x14ac:dyDescent="0.4">
      <c r="E28" s="65" t="s">
        <v>92</v>
      </c>
      <c r="F28" s="62" t="s">
        <v>45</v>
      </c>
      <c r="G28" s="49">
        <v>0</v>
      </c>
      <c r="H28" s="139">
        <f>IF(B$27=0,0,G28/B$27)</f>
        <v>0</v>
      </c>
      <c r="I28" s="100">
        <v>1</v>
      </c>
    </row>
    <row r="29" spans="1:17" x14ac:dyDescent="0.4">
      <c r="E29" s="65" t="s">
        <v>93</v>
      </c>
      <c r="F29" s="62" t="s">
        <v>46</v>
      </c>
      <c r="G29" s="49">
        <v>0</v>
      </c>
      <c r="H29" s="139">
        <f>IF(B$27=0,0,G29/B$27)</f>
        <v>0</v>
      </c>
      <c r="I29" s="100">
        <v>1</v>
      </c>
    </row>
    <row r="30" spans="1:17" x14ac:dyDescent="0.4">
      <c r="E30" s="65" t="s">
        <v>95</v>
      </c>
      <c r="F30" s="62" t="s">
        <v>48</v>
      </c>
      <c r="G30" s="49">
        <v>0</v>
      </c>
      <c r="H30" s="139">
        <f>IF(B$27=0,0,G30/B$27)</f>
        <v>0</v>
      </c>
      <c r="I30" s="100">
        <v>1</v>
      </c>
    </row>
    <row r="31" spans="1:17" x14ac:dyDescent="0.4">
      <c r="E31" s="65" t="s">
        <v>96</v>
      </c>
      <c r="F31" s="62" t="s">
        <v>49</v>
      </c>
      <c r="G31" s="49">
        <v>0</v>
      </c>
      <c r="H31" s="139">
        <f>IF(B$27=0,0,G31/B$27)</f>
        <v>0</v>
      </c>
      <c r="I31" s="100">
        <v>4</v>
      </c>
    </row>
    <row r="32" spans="1:17" x14ac:dyDescent="0.4">
      <c r="E32" s="65" t="s">
        <v>97</v>
      </c>
      <c r="F32" s="62" t="s">
        <v>50</v>
      </c>
      <c r="G32" s="49">
        <v>0</v>
      </c>
      <c r="H32" s="139">
        <f>IF(B$27=0,0,G32/B$27)</f>
        <v>0</v>
      </c>
      <c r="I32" s="100">
        <v>3</v>
      </c>
    </row>
    <row r="33" spans="5:9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1</v>
      </c>
    </row>
    <row r="34" spans="5:9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1</v>
      </c>
    </row>
    <row r="36" spans="5:9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1</v>
      </c>
    </row>
    <row r="47" spans="5:9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794B8-A17A-42F2-9F27-F4D6537E7298}">
  <sheetPr codeName="Sheet1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183</v>
      </c>
      <c r="C1" s="144"/>
      <c r="E1" s="135" t="s">
        <v>177</v>
      </c>
      <c r="F1" s="142" t="s">
        <v>120</v>
      </c>
      <c r="G1" s="141" t="s">
        <v>121</v>
      </c>
      <c r="H1" s="136" t="s">
        <v>122</v>
      </c>
      <c r="I1" s="142" t="s">
        <v>161</v>
      </c>
      <c r="K1" s="36" t="s">
        <v>20</v>
      </c>
      <c r="L1" s="37" t="s">
        <v>125</v>
      </c>
      <c r="M1" s="137"/>
      <c r="N1" s="119" t="s">
        <v>144</v>
      </c>
      <c r="O1" s="36" t="s">
        <v>145</v>
      </c>
      <c r="P1" s="123" t="s">
        <v>121</v>
      </c>
      <c r="Q1" s="107" t="s">
        <v>165</v>
      </c>
    </row>
    <row r="2" spans="1:17" x14ac:dyDescent="0.4">
      <c r="A2" s="56" t="s">
        <v>9</v>
      </c>
      <c r="B2" s="145">
        <v>7</v>
      </c>
      <c r="C2" s="146"/>
      <c r="E2" s="64" t="s">
        <v>72</v>
      </c>
      <c r="F2" s="61" t="s">
        <v>12</v>
      </c>
      <c r="G2" s="48">
        <v>8</v>
      </c>
      <c r="H2" s="138">
        <f>IF(B$27=0,0,G2/B$27)</f>
        <v>0.61538461538461542</v>
      </c>
      <c r="I2" s="99">
        <v>1</v>
      </c>
      <c r="K2" s="38">
        <v>0</v>
      </c>
      <c r="L2" s="104">
        <v>0</v>
      </c>
      <c r="N2" s="120" t="s">
        <v>138</v>
      </c>
      <c r="O2" s="127">
        <f t="shared" ref="O2:O7" si="0">IF(P2=0,0,Q2/P2)</f>
        <v>-271.42857142857144</v>
      </c>
      <c r="P2" s="124">
        <v>7</v>
      </c>
      <c r="Q2" s="108">
        <v>-1900</v>
      </c>
    </row>
    <row r="3" spans="1:17" x14ac:dyDescent="0.4">
      <c r="A3" s="57" t="s">
        <v>8</v>
      </c>
      <c r="B3" s="147">
        <v>64</v>
      </c>
      <c r="C3" s="148"/>
      <c r="E3" s="65" t="s">
        <v>69</v>
      </c>
      <c r="F3" s="62" t="s">
        <v>23</v>
      </c>
      <c r="G3" s="49">
        <v>7</v>
      </c>
      <c r="H3" s="139">
        <f>IF(B$27=0,0,G3/B$27)</f>
        <v>0.53846153846153844</v>
      </c>
      <c r="I3" s="100">
        <v>6</v>
      </c>
      <c r="K3" s="40">
        <v>1</v>
      </c>
      <c r="L3" s="105">
        <v>-82.6</v>
      </c>
      <c r="N3" s="121" t="s">
        <v>139</v>
      </c>
      <c r="O3" s="128">
        <f t="shared" si="0"/>
        <v>-9800</v>
      </c>
      <c r="P3" s="125">
        <v>7</v>
      </c>
      <c r="Q3" s="109">
        <v>-68600</v>
      </c>
    </row>
    <row r="4" spans="1:17" x14ac:dyDescent="0.4">
      <c r="A4" s="57" t="s">
        <v>6</v>
      </c>
      <c r="B4" s="149">
        <v>-216.09999999999997</v>
      </c>
      <c r="C4" s="150"/>
      <c r="E4" s="65" t="s">
        <v>76</v>
      </c>
      <c r="F4" s="62" t="s">
        <v>29</v>
      </c>
      <c r="G4" s="49">
        <v>6</v>
      </c>
      <c r="H4" s="139">
        <f>IF(B$27=0,0,G4/B$27)</f>
        <v>0.46153846153846156</v>
      </c>
      <c r="I4" s="100">
        <v>5</v>
      </c>
      <c r="K4" s="40">
        <v>2</v>
      </c>
      <c r="L4" s="105">
        <v>-122.3</v>
      </c>
      <c r="N4" s="121" t="s">
        <v>140</v>
      </c>
      <c r="O4" s="128">
        <f t="shared" si="0"/>
        <v>-283.33333333333331</v>
      </c>
      <c r="P4" s="125">
        <v>6</v>
      </c>
      <c r="Q4" s="109">
        <v>-1700</v>
      </c>
    </row>
    <row r="5" spans="1:17" x14ac:dyDescent="0.4">
      <c r="A5" s="57" t="s">
        <v>7</v>
      </c>
      <c r="B5" s="151">
        <f>IF(B$2=0,0,B$4/B$2)</f>
        <v>-30.871428571428567</v>
      </c>
      <c r="C5" s="152"/>
      <c r="E5" s="65" t="s">
        <v>67</v>
      </c>
      <c r="F5" s="62" t="s">
        <v>21</v>
      </c>
      <c r="G5" s="49">
        <v>3</v>
      </c>
      <c r="H5" s="139">
        <f>IF(B$27=0,0,G5/B$27)</f>
        <v>0.23076923076923078</v>
      </c>
      <c r="I5" s="100">
        <v>8</v>
      </c>
      <c r="K5" s="40">
        <v>3</v>
      </c>
      <c r="L5" s="105">
        <v>-149</v>
      </c>
      <c r="N5" s="121" t="s">
        <v>141</v>
      </c>
      <c r="O5" s="128">
        <f t="shared" si="0"/>
        <v>-6560</v>
      </c>
      <c r="P5" s="125">
        <v>5</v>
      </c>
      <c r="Q5" s="109">
        <v>-32800</v>
      </c>
    </row>
    <row r="6" spans="1:17" x14ac:dyDescent="0.4">
      <c r="A6" s="57" t="s">
        <v>1</v>
      </c>
      <c r="B6" s="157">
        <f>IF(B$2=0,0,(B$7*1+B$8*2+B$9*3)/B$2)</f>
        <v>2.5714285714285716</v>
      </c>
      <c r="C6" s="158"/>
      <c r="E6" s="65" t="s">
        <v>73</v>
      </c>
      <c r="F6" s="62" t="s">
        <v>26</v>
      </c>
      <c r="G6" s="49">
        <v>2</v>
      </c>
      <c r="H6" s="139">
        <f>IF(B$27=0,0,G6/B$27)</f>
        <v>0.15384615384615385</v>
      </c>
      <c r="I6" s="100">
        <v>6</v>
      </c>
      <c r="K6" s="40">
        <v>4</v>
      </c>
      <c r="L6" s="105">
        <v>-150.6</v>
      </c>
      <c r="N6" s="121" t="s">
        <v>142</v>
      </c>
      <c r="O6" s="128">
        <f t="shared" si="0"/>
        <v>-4400</v>
      </c>
      <c r="P6" s="125">
        <v>4</v>
      </c>
      <c r="Q6" s="109">
        <v>-17600</v>
      </c>
    </row>
    <row r="7" spans="1:17" x14ac:dyDescent="0.4">
      <c r="A7" s="57" t="s">
        <v>2</v>
      </c>
      <c r="B7" s="49">
        <v>0</v>
      </c>
      <c r="C7" s="41">
        <f>IF(B$2=0,0,B7/B$2)</f>
        <v>0</v>
      </c>
      <c r="E7" s="65" t="s">
        <v>74</v>
      </c>
      <c r="F7" s="62" t="s">
        <v>27</v>
      </c>
      <c r="G7" s="49">
        <v>2</v>
      </c>
      <c r="H7" s="139">
        <f>IF(B$27=0,0,G7/B$27)</f>
        <v>0.15384615384615385</v>
      </c>
      <c r="I7" s="100">
        <v>1</v>
      </c>
      <c r="K7" s="40">
        <v>5</v>
      </c>
      <c r="L7" s="105">
        <v>-184.89999999999998</v>
      </c>
      <c r="N7" s="122" t="s">
        <v>143</v>
      </c>
      <c r="O7" s="129">
        <f t="shared" si="0"/>
        <v>-3375</v>
      </c>
      <c r="P7" s="126">
        <v>4</v>
      </c>
      <c r="Q7" s="110">
        <v>-13500</v>
      </c>
    </row>
    <row r="8" spans="1:17" x14ac:dyDescent="0.4">
      <c r="A8" s="57" t="s">
        <v>3</v>
      </c>
      <c r="B8" s="49">
        <v>3</v>
      </c>
      <c r="C8" s="41">
        <f>IF(B$2=0,0,B8/B$2)</f>
        <v>0.42857142857142855</v>
      </c>
      <c r="E8" s="65" t="s">
        <v>88</v>
      </c>
      <c r="F8" s="62" t="s">
        <v>41</v>
      </c>
      <c r="G8" s="49">
        <v>1</v>
      </c>
      <c r="H8" s="139">
        <f>IF(B$27=0,0,G8/B$27)</f>
        <v>7.6923076923076927E-2</v>
      </c>
      <c r="I8" s="100">
        <v>1</v>
      </c>
      <c r="K8" s="40">
        <v>6</v>
      </c>
      <c r="L8" s="105">
        <v>-187.59999999999997</v>
      </c>
      <c r="N8" s="45"/>
      <c r="O8" s="133"/>
      <c r="P8" s="117"/>
      <c r="Q8" s="115"/>
    </row>
    <row r="9" spans="1:17" x14ac:dyDescent="0.4">
      <c r="A9" s="58" t="s">
        <v>4</v>
      </c>
      <c r="B9" s="50">
        <v>4</v>
      </c>
      <c r="C9" s="42">
        <f t="shared" ref="C9" si="1">IF(B$2=0,0,B9/B$2)</f>
        <v>0.5714285714285714</v>
      </c>
      <c r="E9" s="65" t="s">
        <v>94</v>
      </c>
      <c r="F9" s="62" t="s">
        <v>47</v>
      </c>
      <c r="G9" s="49">
        <v>1</v>
      </c>
      <c r="H9" s="139">
        <f>IF(B$27=0,0,G9/B$27)</f>
        <v>7.6923076923076927E-2</v>
      </c>
      <c r="I9" s="100">
        <v>7</v>
      </c>
      <c r="K9" s="40">
        <v>7</v>
      </c>
      <c r="L9" s="105">
        <v>-216.09999999999997</v>
      </c>
      <c r="N9" s="119" t="s">
        <v>173</v>
      </c>
      <c r="O9" s="36" t="s">
        <v>125</v>
      </c>
      <c r="P9" s="123" t="s">
        <v>121</v>
      </c>
      <c r="Q9" s="111" t="s">
        <v>165</v>
      </c>
    </row>
    <row r="10" spans="1:17" x14ac:dyDescent="0.4">
      <c r="A10" s="58" t="s">
        <v>19</v>
      </c>
      <c r="B10" s="50">
        <v>1</v>
      </c>
      <c r="C10" s="42">
        <f>IF(B$2=0,0,B10/B$2)</f>
        <v>0.14285714285714285</v>
      </c>
      <c r="E10" s="65" t="s">
        <v>68</v>
      </c>
      <c r="F10" s="62" t="s">
        <v>22</v>
      </c>
      <c r="G10" s="49">
        <v>0</v>
      </c>
      <c r="H10" s="139">
        <f>IF(B$27=0,0,G10/B$27)</f>
        <v>0</v>
      </c>
      <c r="I10" s="100">
        <v>8</v>
      </c>
      <c r="N10" s="120" t="s">
        <v>174</v>
      </c>
      <c r="O10" s="130">
        <f>IF(P10=0,0,Q10/P10)</f>
        <v>-34.1</v>
      </c>
      <c r="P10" s="124">
        <v>2</v>
      </c>
      <c r="Q10" s="112">
        <v>-68.2</v>
      </c>
    </row>
    <row r="11" spans="1:17" x14ac:dyDescent="0.4">
      <c r="A11" s="58" t="s">
        <v>146</v>
      </c>
      <c r="B11" s="50">
        <v>0</v>
      </c>
      <c r="C11" s="42">
        <f>IF(B$2=0,0,B11/B$2)</f>
        <v>0</v>
      </c>
      <c r="E11" s="65" t="s">
        <v>70</v>
      </c>
      <c r="F11" s="62" t="s">
        <v>24</v>
      </c>
      <c r="G11" s="49">
        <v>0</v>
      </c>
      <c r="H11" s="139">
        <f>IF(B$27=0,0,G11/B$27)</f>
        <v>0</v>
      </c>
      <c r="I11" s="100">
        <v>8</v>
      </c>
      <c r="N11" s="121" t="s">
        <v>175</v>
      </c>
      <c r="O11" s="131">
        <f>IF(P11=0,0,Q11/P11)</f>
        <v>-16.324999999999999</v>
      </c>
      <c r="P11" s="125">
        <v>4</v>
      </c>
      <c r="Q11" s="113">
        <v>-65.3</v>
      </c>
    </row>
    <row r="12" spans="1:17" x14ac:dyDescent="0.4">
      <c r="A12" s="59" t="s">
        <v>167</v>
      </c>
      <c r="B12" s="51">
        <v>0</v>
      </c>
      <c r="C12" s="44">
        <f>IF(B$2=0,0,B12/B$2)</f>
        <v>0</v>
      </c>
      <c r="E12" s="65" t="s">
        <v>71</v>
      </c>
      <c r="F12" s="62" t="s">
        <v>25</v>
      </c>
      <c r="G12" s="49">
        <v>0</v>
      </c>
      <c r="H12" s="139">
        <f>IF(B$27=0,0,G12/B$27)</f>
        <v>0</v>
      </c>
      <c r="I12" s="100">
        <v>1</v>
      </c>
      <c r="N12" s="122" t="s">
        <v>176</v>
      </c>
      <c r="O12" s="132">
        <f>IF(P12=0,0,Q12/P12)</f>
        <v>-82.6</v>
      </c>
      <c r="P12" s="126">
        <v>1</v>
      </c>
      <c r="Q12" s="114">
        <v>-82.6</v>
      </c>
    </row>
    <row r="13" spans="1:17" x14ac:dyDescent="0.4">
      <c r="A13" s="60" t="s">
        <v>128</v>
      </c>
      <c r="B13" s="52">
        <v>9</v>
      </c>
      <c r="C13" s="46">
        <f>IF(B$26=0,0,B13/B$26)</f>
        <v>0.140625</v>
      </c>
      <c r="E13" s="65" t="s">
        <v>75</v>
      </c>
      <c r="F13" s="62" t="s">
        <v>28</v>
      </c>
      <c r="G13" s="49">
        <v>0</v>
      </c>
      <c r="H13" s="139">
        <f>IF(B$27=0,0,G13/B$27)</f>
        <v>0</v>
      </c>
      <c r="I13" s="100">
        <v>5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12</v>
      </c>
      <c r="C14" s="41">
        <f>IF(B$26=0,0,B14/B$26)</f>
        <v>0.1875</v>
      </c>
      <c r="E14" s="65" t="s">
        <v>77</v>
      </c>
      <c r="F14" s="62" t="s">
        <v>30</v>
      </c>
      <c r="G14" s="49">
        <v>0</v>
      </c>
      <c r="H14" s="139">
        <f>IF(B$27=0,0,G14/B$27)</f>
        <v>0</v>
      </c>
      <c r="I14" s="100">
        <v>3</v>
      </c>
      <c r="N14" s="119" t="s">
        <v>162</v>
      </c>
      <c r="O14" s="36" t="s">
        <v>125</v>
      </c>
      <c r="P14" s="123" t="s">
        <v>121</v>
      </c>
      <c r="Q14" s="111" t="s">
        <v>165</v>
      </c>
    </row>
    <row r="15" spans="1:17" x14ac:dyDescent="0.4">
      <c r="A15" s="56" t="s">
        <v>130</v>
      </c>
      <c r="B15" s="48">
        <v>4</v>
      </c>
      <c r="C15" s="39">
        <f>IF(B$13=0,0,B15/B$13)</f>
        <v>0.44444444444444442</v>
      </c>
      <c r="E15" s="65" t="s">
        <v>78</v>
      </c>
      <c r="F15" s="62" t="s">
        <v>31</v>
      </c>
      <c r="G15" s="49">
        <v>0</v>
      </c>
      <c r="H15" s="139">
        <f>IF(B$27=0,0,G15/B$27)</f>
        <v>0</v>
      </c>
      <c r="I15" s="100">
        <v>1</v>
      </c>
      <c r="N15" s="120" t="s">
        <v>182</v>
      </c>
      <c r="O15" s="130">
        <f>IF(P15=0,0,Q15/P15)</f>
        <v>-5.9000000000000021</v>
      </c>
      <c r="P15" s="124">
        <v>2</v>
      </c>
      <c r="Q15" s="112">
        <v>-11.800000000000004</v>
      </c>
    </row>
    <row r="16" spans="1:17" x14ac:dyDescent="0.4">
      <c r="A16" s="56" t="s">
        <v>131</v>
      </c>
      <c r="B16" s="48">
        <v>4</v>
      </c>
      <c r="C16" s="39">
        <f>IF(B$14=0,0,B16/B$14)</f>
        <v>0.33333333333333331</v>
      </c>
      <c r="E16" s="65" t="s">
        <v>79</v>
      </c>
      <c r="F16" s="62" t="s">
        <v>32</v>
      </c>
      <c r="G16" s="49">
        <v>0</v>
      </c>
      <c r="H16" s="139">
        <f>IF(B$27=0,0,G16/B$27)</f>
        <v>0</v>
      </c>
      <c r="I16" s="100">
        <v>5</v>
      </c>
      <c r="N16" s="121" t="s">
        <v>135</v>
      </c>
      <c r="O16" s="131">
        <f>IF(P16=0,0,Q16/P16)</f>
        <v>-13.949999999999996</v>
      </c>
      <c r="P16" s="125">
        <v>2</v>
      </c>
      <c r="Q16" s="113">
        <v>-27.899999999999991</v>
      </c>
    </row>
    <row r="17" spans="1:17" x14ac:dyDescent="0.4">
      <c r="A17" s="56" t="s">
        <v>10</v>
      </c>
      <c r="B17" s="48">
        <f>B19+B18</f>
        <v>13</v>
      </c>
      <c r="C17" s="39">
        <f>IF(B$3=0,0,B17/B$3)</f>
        <v>0.203125</v>
      </c>
      <c r="E17" s="65" t="s">
        <v>80</v>
      </c>
      <c r="F17" s="62" t="s">
        <v>33</v>
      </c>
      <c r="G17" s="49">
        <v>0</v>
      </c>
      <c r="H17" s="139">
        <f>IF(B$27=0,0,G17/B$27)</f>
        <v>0</v>
      </c>
      <c r="I17" s="100">
        <v>1</v>
      </c>
      <c r="N17" s="121" t="s">
        <v>134</v>
      </c>
      <c r="O17" s="131">
        <f>IF(P17=0,0,Q17/P17)</f>
        <v>-27.8</v>
      </c>
      <c r="P17" s="125">
        <v>2</v>
      </c>
      <c r="Q17" s="113">
        <v>-55.6</v>
      </c>
    </row>
    <row r="18" spans="1:17" x14ac:dyDescent="0.4">
      <c r="A18" s="57" t="s">
        <v>12</v>
      </c>
      <c r="B18" s="49">
        <v>8</v>
      </c>
      <c r="C18" s="41">
        <f>IF(B$17=0,0,B18/B$17)</f>
        <v>0.61538461538461542</v>
      </c>
      <c r="E18" s="65" t="s">
        <v>81</v>
      </c>
      <c r="F18" s="62" t="s">
        <v>34</v>
      </c>
      <c r="G18" s="49">
        <v>0</v>
      </c>
      <c r="H18" s="139">
        <f>IF(B$27=0,0,G18/B$27)</f>
        <v>0</v>
      </c>
      <c r="I18" s="100">
        <v>1</v>
      </c>
      <c r="N18" s="121" t="s">
        <v>181</v>
      </c>
      <c r="O18" s="131">
        <f>IF(P18=0,0,Q18/P18)</f>
        <v>-33.15</v>
      </c>
      <c r="P18" s="125">
        <v>4</v>
      </c>
      <c r="Q18" s="113">
        <v>-132.6</v>
      </c>
    </row>
    <row r="19" spans="1:17" x14ac:dyDescent="0.4">
      <c r="A19" s="57" t="s">
        <v>11</v>
      </c>
      <c r="B19" s="49">
        <v>5</v>
      </c>
      <c r="C19" s="41">
        <f>IF(B$17=0,0,B19/B$17)</f>
        <v>0.38461538461538464</v>
      </c>
      <c r="E19" s="65" t="s">
        <v>82</v>
      </c>
      <c r="F19" s="62" t="s">
        <v>35</v>
      </c>
      <c r="G19" s="49">
        <v>0</v>
      </c>
      <c r="H19" s="139">
        <f>IF(B$27=0,0,G19/B$27)</f>
        <v>0</v>
      </c>
      <c r="I19" s="100">
        <v>4</v>
      </c>
      <c r="N19" s="121" t="s">
        <v>187</v>
      </c>
      <c r="O19" s="131">
        <f>IF(P19=0,0,Q19/P19)</f>
        <v>-60.4</v>
      </c>
      <c r="P19" s="125">
        <v>1</v>
      </c>
      <c r="Q19" s="113">
        <v>-60.4</v>
      </c>
    </row>
    <row r="20" spans="1:17" x14ac:dyDescent="0.4">
      <c r="A20" s="57" t="s">
        <v>13</v>
      </c>
      <c r="B20" s="49">
        <v>13</v>
      </c>
      <c r="C20" s="41">
        <f>IF(B$3=0,0,B20/B$3)</f>
        <v>0.203125</v>
      </c>
      <c r="E20" s="65" t="s">
        <v>83</v>
      </c>
      <c r="F20" s="62" t="s">
        <v>36</v>
      </c>
      <c r="G20" s="49">
        <v>0</v>
      </c>
      <c r="H20" s="139">
        <f>IF(B$27=0,0,G20/B$27)</f>
        <v>0</v>
      </c>
      <c r="I20" s="100">
        <v>1</v>
      </c>
      <c r="N20" s="121" t="s">
        <v>133</v>
      </c>
      <c r="O20" s="131">
        <f>IF(P20=0,0,Q20/P20)</f>
        <v>-119.99999999999999</v>
      </c>
      <c r="P20" s="125">
        <v>3</v>
      </c>
      <c r="Q20" s="113">
        <v>-359.99999999999994</v>
      </c>
    </row>
    <row r="21" spans="1:17" x14ac:dyDescent="0.4">
      <c r="A21" s="57" t="s">
        <v>5</v>
      </c>
      <c r="B21" s="53">
        <f>IF(B$17=0,0,C21/B$17)</f>
        <v>4323.0769230769229</v>
      </c>
      <c r="C21" s="43">
        <v>56200</v>
      </c>
      <c r="E21" s="65" t="s">
        <v>84</v>
      </c>
      <c r="F21" s="62" t="s">
        <v>37</v>
      </c>
      <c r="G21" s="49">
        <v>0</v>
      </c>
      <c r="H21" s="139">
        <f>IF(B$27=0,0,G21/B$27)</f>
        <v>0</v>
      </c>
      <c r="I21" s="100">
        <v>1</v>
      </c>
    </row>
    <row r="22" spans="1:17" x14ac:dyDescent="0.4">
      <c r="A22" s="59" t="s">
        <v>14</v>
      </c>
      <c r="B22" s="54">
        <f>IF(B$20=0,0,C22/B$20)</f>
        <v>-9069.2307692307695</v>
      </c>
      <c r="C22" s="47">
        <v>-117900</v>
      </c>
      <c r="E22" s="65" t="s">
        <v>85</v>
      </c>
      <c r="F22" s="62" t="s">
        <v>38</v>
      </c>
      <c r="G22" s="49">
        <v>0</v>
      </c>
      <c r="H22" s="139">
        <f>IF(B$27=0,0,G22/B$27)</f>
        <v>0</v>
      </c>
      <c r="I22" s="100">
        <v>1</v>
      </c>
    </row>
    <row r="23" spans="1:17" x14ac:dyDescent="0.4">
      <c r="A23" s="96" t="s">
        <v>148</v>
      </c>
      <c r="B23" s="155">
        <v>2</v>
      </c>
      <c r="C23" s="156"/>
      <c r="E23" s="65" t="s">
        <v>86</v>
      </c>
      <c r="F23" s="62" t="s">
        <v>39</v>
      </c>
      <c r="G23" s="49">
        <v>0</v>
      </c>
      <c r="H23" s="139">
        <f>IF(B$27=0,0,G23/B$27)</f>
        <v>0</v>
      </c>
      <c r="I23" s="100">
        <v>5</v>
      </c>
    </row>
    <row r="24" spans="1:17" x14ac:dyDescent="0.4">
      <c r="A24" s="60" t="s">
        <v>159</v>
      </c>
      <c r="B24" s="153">
        <v>33400</v>
      </c>
      <c r="C24" s="154"/>
      <c r="E24" s="65" t="s">
        <v>87</v>
      </c>
      <c r="F24" s="62" t="s">
        <v>40</v>
      </c>
      <c r="G24" s="49">
        <v>0</v>
      </c>
      <c r="H24" s="139">
        <f>IF(B$27=0,0,G24/B$27)</f>
        <v>0</v>
      </c>
      <c r="I24" s="100">
        <v>1</v>
      </c>
    </row>
    <row r="25" spans="1:17" x14ac:dyDescent="0.4">
      <c r="A25" s="59" t="s">
        <v>149</v>
      </c>
      <c r="B25" s="67">
        <v>0</v>
      </c>
      <c r="C25" s="44">
        <f>IF(B$3=0,0,B25/B$3)</f>
        <v>0</v>
      </c>
      <c r="E25" s="65" t="s">
        <v>89</v>
      </c>
      <c r="F25" s="62" t="s">
        <v>42</v>
      </c>
      <c r="G25" s="49">
        <v>0</v>
      </c>
      <c r="H25" s="139">
        <f>IF(B$27=0,0,G25/B$27)</f>
        <v>0</v>
      </c>
      <c r="I25" s="100">
        <v>1</v>
      </c>
    </row>
    <row r="26" spans="1:17" x14ac:dyDescent="0.4">
      <c r="A26" s="56" t="s">
        <v>126</v>
      </c>
      <c r="B26" s="145">
        <v>64</v>
      </c>
      <c r="C26" s="146"/>
      <c r="E26" s="65" t="s">
        <v>90</v>
      </c>
      <c r="F26" s="62" t="s">
        <v>43</v>
      </c>
      <c r="G26" s="49">
        <v>0</v>
      </c>
      <c r="H26" s="139">
        <f>IF(B$27=0,0,G26/B$27)</f>
        <v>0</v>
      </c>
      <c r="I26" s="100">
        <v>1</v>
      </c>
    </row>
    <row r="27" spans="1:17" x14ac:dyDescent="0.4">
      <c r="A27" s="59" t="s">
        <v>127</v>
      </c>
      <c r="B27" s="159">
        <v>13</v>
      </c>
      <c r="C27" s="160"/>
      <c r="E27" s="65" t="s">
        <v>91</v>
      </c>
      <c r="F27" s="62" t="s">
        <v>44</v>
      </c>
      <c r="G27" s="49">
        <v>0</v>
      </c>
      <c r="H27" s="139">
        <f>IF(B$27=0,0,G27/B$27)</f>
        <v>0</v>
      </c>
      <c r="I27" s="100">
        <v>6</v>
      </c>
    </row>
    <row r="28" spans="1:17" x14ac:dyDescent="0.4">
      <c r="E28" s="65" t="s">
        <v>92</v>
      </c>
      <c r="F28" s="62" t="s">
        <v>45</v>
      </c>
      <c r="G28" s="49">
        <v>0</v>
      </c>
      <c r="H28" s="139">
        <f>IF(B$27=0,0,G28/B$27)</f>
        <v>0</v>
      </c>
      <c r="I28" s="100">
        <v>1</v>
      </c>
    </row>
    <row r="29" spans="1:17" x14ac:dyDescent="0.4">
      <c r="E29" s="65" t="s">
        <v>93</v>
      </c>
      <c r="F29" s="62" t="s">
        <v>46</v>
      </c>
      <c r="G29" s="49">
        <v>0</v>
      </c>
      <c r="H29" s="139">
        <f>IF(B$27=0,0,G29/B$27)</f>
        <v>0</v>
      </c>
      <c r="I29" s="100">
        <v>1</v>
      </c>
    </row>
    <row r="30" spans="1:17" x14ac:dyDescent="0.4">
      <c r="E30" s="65" t="s">
        <v>95</v>
      </c>
      <c r="F30" s="62" t="s">
        <v>48</v>
      </c>
      <c r="G30" s="49">
        <v>0</v>
      </c>
      <c r="H30" s="139">
        <f>IF(B$27=0,0,G30/B$27)</f>
        <v>0</v>
      </c>
      <c r="I30" s="100">
        <v>1</v>
      </c>
    </row>
    <row r="31" spans="1:17" x14ac:dyDescent="0.4">
      <c r="E31" s="65" t="s">
        <v>96</v>
      </c>
      <c r="F31" s="62" t="s">
        <v>49</v>
      </c>
      <c r="G31" s="49">
        <v>0</v>
      </c>
      <c r="H31" s="139">
        <f>IF(B$27=0,0,G31/B$27)</f>
        <v>0</v>
      </c>
      <c r="I31" s="100">
        <v>4</v>
      </c>
    </row>
    <row r="32" spans="1:17" x14ac:dyDescent="0.4">
      <c r="E32" s="65" t="s">
        <v>97</v>
      </c>
      <c r="F32" s="62" t="s">
        <v>50</v>
      </c>
      <c r="G32" s="49">
        <v>0</v>
      </c>
      <c r="H32" s="139">
        <f>IF(B$27=0,0,G32/B$27)</f>
        <v>0</v>
      </c>
      <c r="I32" s="100">
        <v>3</v>
      </c>
    </row>
    <row r="33" spans="5:9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1</v>
      </c>
    </row>
    <row r="34" spans="5:9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1</v>
      </c>
    </row>
    <row r="36" spans="5:9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1</v>
      </c>
    </row>
    <row r="47" spans="5:9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20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F68AA-099C-4555-AAF5-FC5DF12C6F1C}">
  <sheetPr codeName="Sheet1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187</v>
      </c>
      <c r="C1" s="144"/>
      <c r="E1" s="135" t="s">
        <v>177</v>
      </c>
      <c r="F1" s="142" t="s">
        <v>120</v>
      </c>
      <c r="G1" s="141" t="s">
        <v>121</v>
      </c>
      <c r="H1" s="136" t="s">
        <v>122</v>
      </c>
      <c r="I1" s="142" t="s">
        <v>161</v>
      </c>
      <c r="K1" s="36" t="s">
        <v>20</v>
      </c>
      <c r="L1" s="37" t="s">
        <v>125</v>
      </c>
      <c r="M1" s="137"/>
      <c r="N1" s="119" t="s">
        <v>144</v>
      </c>
      <c r="O1" s="36" t="s">
        <v>145</v>
      </c>
      <c r="P1" s="123" t="s">
        <v>121</v>
      </c>
      <c r="Q1" s="107" t="s">
        <v>165</v>
      </c>
    </row>
    <row r="2" spans="1:17" x14ac:dyDescent="0.4">
      <c r="A2" s="56" t="s">
        <v>9</v>
      </c>
      <c r="B2" s="145">
        <v>2</v>
      </c>
      <c r="C2" s="146"/>
      <c r="E2" s="64" t="s">
        <v>67</v>
      </c>
      <c r="F2" s="61" t="s">
        <v>21</v>
      </c>
      <c r="G2" s="48">
        <v>2</v>
      </c>
      <c r="H2" s="138">
        <f>IF(B$27=0,0,G2/B$27)</f>
        <v>0.4</v>
      </c>
      <c r="I2" s="99">
        <v>6</v>
      </c>
      <c r="K2" s="38">
        <v>0</v>
      </c>
      <c r="L2" s="104">
        <v>0</v>
      </c>
      <c r="N2" s="120" t="s">
        <v>138</v>
      </c>
      <c r="O2" s="127">
        <f t="shared" ref="O2:O7" si="0">IF(P2=0,0,Q2/P2)</f>
        <v>-850</v>
      </c>
      <c r="P2" s="124">
        <v>2</v>
      </c>
      <c r="Q2" s="108">
        <v>-1700</v>
      </c>
    </row>
    <row r="3" spans="1:17" x14ac:dyDescent="0.4">
      <c r="A3" s="57" t="s">
        <v>8</v>
      </c>
      <c r="B3" s="147">
        <v>17</v>
      </c>
      <c r="C3" s="148"/>
      <c r="E3" s="65" t="s">
        <v>69</v>
      </c>
      <c r="F3" s="62" t="s">
        <v>23</v>
      </c>
      <c r="G3" s="49">
        <v>2</v>
      </c>
      <c r="H3" s="139">
        <f>IF(B$27=0,0,G3/B$27)</f>
        <v>0.4</v>
      </c>
      <c r="I3" s="100">
        <v>8</v>
      </c>
      <c r="K3" s="40">
        <v>1</v>
      </c>
      <c r="L3" s="105">
        <v>-1.9</v>
      </c>
      <c r="N3" s="121" t="s">
        <v>139</v>
      </c>
      <c r="O3" s="128">
        <f t="shared" si="0"/>
        <v>-3000</v>
      </c>
      <c r="P3" s="125">
        <v>2</v>
      </c>
      <c r="Q3" s="109">
        <v>-6000</v>
      </c>
    </row>
    <row r="4" spans="1:17" x14ac:dyDescent="0.4">
      <c r="A4" s="57" t="s">
        <v>6</v>
      </c>
      <c r="B4" s="149">
        <v>30</v>
      </c>
      <c r="C4" s="150"/>
      <c r="E4" s="65" t="s">
        <v>70</v>
      </c>
      <c r="F4" s="62" t="s">
        <v>24</v>
      </c>
      <c r="G4" s="49">
        <v>2</v>
      </c>
      <c r="H4" s="139">
        <f>IF(B$27=0,0,G4/B$27)</f>
        <v>0.4</v>
      </c>
      <c r="I4" s="100">
        <v>2</v>
      </c>
      <c r="K4" s="40">
        <v>2</v>
      </c>
      <c r="L4" s="105">
        <v>30</v>
      </c>
      <c r="N4" s="121" t="s">
        <v>140</v>
      </c>
      <c r="O4" s="128">
        <f t="shared" si="0"/>
        <v>-950</v>
      </c>
      <c r="P4" s="125">
        <v>2</v>
      </c>
      <c r="Q4" s="109">
        <v>-1900</v>
      </c>
    </row>
    <row r="5" spans="1:17" x14ac:dyDescent="0.4">
      <c r="A5" s="57" t="s">
        <v>7</v>
      </c>
      <c r="B5" s="151">
        <f>IF(B$2=0,0,B$4/B$2)</f>
        <v>15</v>
      </c>
      <c r="C5" s="152"/>
      <c r="E5" s="65" t="s">
        <v>72</v>
      </c>
      <c r="F5" s="62" t="s">
        <v>12</v>
      </c>
      <c r="G5" s="49">
        <v>2</v>
      </c>
      <c r="H5" s="139">
        <f>IF(B$27=0,0,G5/B$27)</f>
        <v>0.4</v>
      </c>
      <c r="I5" s="100">
        <v>2</v>
      </c>
      <c r="N5" s="121" t="s">
        <v>141</v>
      </c>
      <c r="O5" s="128">
        <f t="shared" si="0"/>
        <v>-700</v>
      </c>
      <c r="P5" s="125">
        <v>2</v>
      </c>
      <c r="Q5" s="109">
        <v>-1400</v>
      </c>
    </row>
    <row r="6" spans="1:17" x14ac:dyDescent="0.4">
      <c r="A6" s="57" t="s">
        <v>1</v>
      </c>
      <c r="B6" s="157">
        <f>IF(B$2=0,0,(B$7*1+B$8*2+B$9*3)/B$2)</f>
        <v>1.5</v>
      </c>
      <c r="C6" s="158"/>
      <c r="E6" s="65" t="s">
        <v>68</v>
      </c>
      <c r="F6" s="62" t="s">
        <v>22</v>
      </c>
      <c r="G6" s="49">
        <v>1</v>
      </c>
      <c r="H6" s="139">
        <f>IF(B$27=0,0,G6/B$27)</f>
        <v>0.2</v>
      </c>
      <c r="I6" s="100">
        <v>1</v>
      </c>
      <c r="N6" s="121" t="s">
        <v>142</v>
      </c>
      <c r="O6" s="128">
        <f t="shared" si="0"/>
        <v>-4500</v>
      </c>
      <c r="P6" s="125">
        <v>2</v>
      </c>
      <c r="Q6" s="109">
        <v>-9000</v>
      </c>
    </row>
    <row r="7" spans="1:17" x14ac:dyDescent="0.4">
      <c r="A7" s="57" t="s">
        <v>2</v>
      </c>
      <c r="B7" s="49">
        <v>1</v>
      </c>
      <c r="C7" s="41">
        <f>IF(B$2=0,0,B7/B$2)</f>
        <v>0.5</v>
      </c>
      <c r="E7" s="65" t="s">
        <v>73</v>
      </c>
      <c r="F7" s="62" t="s">
        <v>26</v>
      </c>
      <c r="G7" s="49">
        <v>1</v>
      </c>
      <c r="H7" s="139">
        <f>IF(B$27=0,0,G7/B$27)</f>
        <v>0.2</v>
      </c>
      <c r="I7" s="100">
        <v>5</v>
      </c>
      <c r="N7" s="122" t="s">
        <v>143</v>
      </c>
      <c r="O7" s="129">
        <f t="shared" si="0"/>
        <v>15000</v>
      </c>
      <c r="P7" s="126">
        <v>2</v>
      </c>
      <c r="Q7" s="110">
        <v>30000</v>
      </c>
    </row>
    <row r="8" spans="1:17" x14ac:dyDescent="0.4">
      <c r="A8" s="57" t="s">
        <v>3</v>
      </c>
      <c r="B8" s="49">
        <v>1</v>
      </c>
      <c r="C8" s="41">
        <f>IF(B$2=0,0,B8/B$2)</f>
        <v>0.5</v>
      </c>
      <c r="E8" s="65" t="s">
        <v>76</v>
      </c>
      <c r="F8" s="62" t="s">
        <v>29</v>
      </c>
      <c r="G8" s="49">
        <v>1</v>
      </c>
      <c r="H8" s="139">
        <f>IF(B$27=0,0,G8/B$27)</f>
        <v>0.2</v>
      </c>
      <c r="I8" s="100">
        <v>8</v>
      </c>
      <c r="N8" s="45"/>
      <c r="O8" s="133"/>
      <c r="P8" s="117"/>
      <c r="Q8" s="115"/>
    </row>
    <row r="9" spans="1:17" x14ac:dyDescent="0.4">
      <c r="A9" s="58" t="s">
        <v>4</v>
      </c>
      <c r="B9" s="50">
        <v>0</v>
      </c>
      <c r="C9" s="42">
        <f t="shared" ref="C9" si="1">IF(B$2=0,0,B9/B$2)</f>
        <v>0</v>
      </c>
      <c r="E9" s="65" t="s">
        <v>79</v>
      </c>
      <c r="F9" s="62" t="s">
        <v>32</v>
      </c>
      <c r="G9" s="49">
        <v>1</v>
      </c>
      <c r="H9" s="139">
        <f>IF(B$27=0,0,G9/B$27)</f>
        <v>0.2</v>
      </c>
      <c r="I9" s="100">
        <v>1</v>
      </c>
      <c r="N9" s="119" t="s">
        <v>173</v>
      </c>
      <c r="O9" s="36" t="s">
        <v>125</v>
      </c>
      <c r="P9" s="123" t="s">
        <v>121</v>
      </c>
      <c r="Q9" s="111" t="s">
        <v>165</v>
      </c>
    </row>
    <row r="10" spans="1:17" x14ac:dyDescent="0.4">
      <c r="A10" s="58" t="s">
        <v>19</v>
      </c>
      <c r="B10" s="50">
        <v>0</v>
      </c>
      <c r="C10" s="42">
        <f>IF(B$2=0,0,B10/B$2)</f>
        <v>0</v>
      </c>
      <c r="E10" s="65" t="s">
        <v>94</v>
      </c>
      <c r="F10" s="62" t="s">
        <v>47</v>
      </c>
      <c r="G10" s="49">
        <v>1</v>
      </c>
      <c r="H10" s="139">
        <f>IF(B$27=0,0,G10/B$27)</f>
        <v>0.2</v>
      </c>
      <c r="I10" s="100">
        <v>2</v>
      </c>
      <c r="N10" s="120" t="s">
        <v>174</v>
      </c>
      <c r="O10" s="130">
        <f>IF(P10=0,0,Q10/P10)</f>
        <v>-1.9</v>
      </c>
      <c r="P10" s="124">
        <v>1</v>
      </c>
      <c r="Q10" s="112">
        <v>-1.9</v>
      </c>
    </row>
    <row r="11" spans="1:17" x14ac:dyDescent="0.4">
      <c r="A11" s="58" t="s">
        <v>146</v>
      </c>
      <c r="B11" s="50">
        <v>0</v>
      </c>
      <c r="C11" s="42">
        <f>IF(B$2=0,0,B11/B$2)</f>
        <v>0</v>
      </c>
      <c r="E11" s="65" t="s">
        <v>96</v>
      </c>
      <c r="F11" s="62" t="s">
        <v>49</v>
      </c>
      <c r="G11" s="49">
        <v>1</v>
      </c>
      <c r="H11" s="139">
        <f>IF(B$27=0,0,G11/B$27)</f>
        <v>0.2</v>
      </c>
      <c r="I11" s="100">
        <v>1</v>
      </c>
      <c r="N11" s="121" t="s">
        <v>175</v>
      </c>
      <c r="O11" s="131">
        <f>IF(P11=0,0,Q11/P11)</f>
        <v>0</v>
      </c>
      <c r="P11" s="125">
        <v>0</v>
      </c>
      <c r="Q11" s="113">
        <v>0</v>
      </c>
    </row>
    <row r="12" spans="1:17" x14ac:dyDescent="0.4">
      <c r="A12" s="59" t="s">
        <v>167</v>
      </c>
      <c r="B12" s="51">
        <v>1</v>
      </c>
      <c r="C12" s="44">
        <f>IF(B$2=0,0,B12/B$2)</f>
        <v>0.5</v>
      </c>
      <c r="E12" s="65" t="s">
        <v>71</v>
      </c>
      <c r="F12" s="62" t="s">
        <v>25</v>
      </c>
      <c r="G12" s="49">
        <v>0</v>
      </c>
      <c r="H12" s="139">
        <f>IF(B$27=0,0,G12/B$27)</f>
        <v>0</v>
      </c>
      <c r="I12" s="100">
        <v>1</v>
      </c>
      <c r="N12" s="122" t="s">
        <v>176</v>
      </c>
      <c r="O12" s="132">
        <f>IF(P12=0,0,Q12/P12)</f>
        <v>31.9</v>
      </c>
      <c r="P12" s="126">
        <v>1</v>
      </c>
      <c r="Q12" s="114">
        <v>31.9</v>
      </c>
    </row>
    <row r="13" spans="1:17" x14ac:dyDescent="0.4">
      <c r="A13" s="60" t="s">
        <v>128</v>
      </c>
      <c r="B13" s="52">
        <v>2</v>
      </c>
      <c r="C13" s="46">
        <f>IF(B$26=0,0,B13/B$26)</f>
        <v>0.11764705882352941</v>
      </c>
      <c r="E13" s="65" t="s">
        <v>74</v>
      </c>
      <c r="F13" s="62" t="s">
        <v>27</v>
      </c>
      <c r="G13" s="49">
        <v>0</v>
      </c>
      <c r="H13" s="139">
        <f>IF(B$27=0,0,G13/B$27)</f>
        <v>0</v>
      </c>
      <c r="I13" s="100">
        <v>7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3</v>
      </c>
      <c r="C14" s="41">
        <f>IF(B$26=0,0,B14/B$26)</f>
        <v>0.17647058823529413</v>
      </c>
      <c r="E14" s="65" t="s">
        <v>75</v>
      </c>
      <c r="F14" s="62" t="s">
        <v>28</v>
      </c>
      <c r="G14" s="49">
        <v>0</v>
      </c>
      <c r="H14" s="139">
        <f>IF(B$27=0,0,G14/B$27)</f>
        <v>0</v>
      </c>
      <c r="I14" s="100">
        <v>5</v>
      </c>
      <c r="N14" s="119" t="s">
        <v>162</v>
      </c>
      <c r="O14" s="36" t="s">
        <v>125</v>
      </c>
      <c r="P14" s="123" t="s">
        <v>121</v>
      </c>
      <c r="Q14" s="111" t="s">
        <v>165</v>
      </c>
    </row>
    <row r="15" spans="1:17" x14ac:dyDescent="0.4">
      <c r="A15" s="56" t="s">
        <v>130</v>
      </c>
      <c r="B15" s="48">
        <v>2</v>
      </c>
      <c r="C15" s="39">
        <f>IF(B$13=0,0,B15/B$13)</f>
        <v>1</v>
      </c>
      <c r="E15" s="65" t="s">
        <v>77</v>
      </c>
      <c r="F15" s="62" t="s">
        <v>30</v>
      </c>
      <c r="G15" s="49">
        <v>0</v>
      </c>
      <c r="H15" s="139">
        <f>IF(B$27=0,0,G15/B$27)</f>
        <v>0</v>
      </c>
      <c r="I15" s="100">
        <v>3</v>
      </c>
      <c r="N15" s="120" t="s">
        <v>183</v>
      </c>
      <c r="O15" s="130">
        <f>IF(P15=0,0,Q15/P15)</f>
        <v>60.4</v>
      </c>
      <c r="P15" s="124">
        <v>1</v>
      </c>
      <c r="Q15" s="112">
        <v>60.4</v>
      </c>
    </row>
    <row r="16" spans="1:17" x14ac:dyDescent="0.4">
      <c r="A16" s="56" t="s">
        <v>131</v>
      </c>
      <c r="B16" s="48">
        <v>1</v>
      </c>
      <c r="C16" s="39">
        <f>IF(B$14=0,0,B16/B$14)</f>
        <v>0.33333333333333331</v>
      </c>
      <c r="E16" s="65" t="s">
        <v>78</v>
      </c>
      <c r="F16" s="62" t="s">
        <v>31</v>
      </c>
      <c r="G16" s="49">
        <v>0</v>
      </c>
      <c r="H16" s="139">
        <f>IF(B$27=0,0,G16/B$27)</f>
        <v>0</v>
      </c>
      <c r="I16" s="100">
        <v>1</v>
      </c>
      <c r="N16" s="121" t="s">
        <v>134</v>
      </c>
      <c r="O16" s="131">
        <f>IF(P16=0,0,Q16/P16)</f>
        <v>32.35</v>
      </c>
      <c r="P16" s="125">
        <v>2</v>
      </c>
      <c r="Q16" s="113">
        <v>64.7</v>
      </c>
    </row>
    <row r="17" spans="1:17" x14ac:dyDescent="0.4">
      <c r="A17" s="56" t="s">
        <v>10</v>
      </c>
      <c r="B17" s="48">
        <f>B19+B18</f>
        <v>5</v>
      </c>
      <c r="C17" s="39">
        <f>IF(B$3=0,0,B17/B$3)</f>
        <v>0.29411764705882354</v>
      </c>
      <c r="E17" s="65" t="s">
        <v>80</v>
      </c>
      <c r="F17" s="62" t="s">
        <v>33</v>
      </c>
      <c r="G17" s="49">
        <v>0</v>
      </c>
      <c r="H17" s="139">
        <f>IF(B$27=0,0,G17/B$27)</f>
        <v>0</v>
      </c>
      <c r="I17" s="100">
        <v>1</v>
      </c>
      <c r="N17" s="121" t="s">
        <v>181</v>
      </c>
      <c r="O17" s="131">
        <f>IF(P17=0,0,Q17/P17)</f>
        <v>-35.1</v>
      </c>
      <c r="P17" s="125">
        <v>1</v>
      </c>
      <c r="Q17" s="113">
        <v>-35.1</v>
      </c>
    </row>
    <row r="18" spans="1:17" x14ac:dyDescent="0.4">
      <c r="A18" s="57" t="s">
        <v>12</v>
      </c>
      <c r="B18" s="49">
        <v>2</v>
      </c>
      <c r="C18" s="41">
        <f>IF(B$17=0,0,B18/B$17)</f>
        <v>0.4</v>
      </c>
      <c r="E18" s="65" t="s">
        <v>81</v>
      </c>
      <c r="F18" s="62" t="s">
        <v>34</v>
      </c>
      <c r="G18" s="49">
        <v>0</v>
      </c>
      <c r="H18" s="139">
        <f>IF(B$27=0,0,G18/B$27)</f>
        <v>0</v>
      </c>
      <c r="I18" s="100">
        <v>1</v>
      </c>
    </row>
    <row r="19" spans="1:17" x14ac:dyDescent="0.4">
      <c r="A19" s="57" t="s">
        <v>11</v>
      </c>
      <c r="B19" s="49">
        <v>3</v>
      </c>
      <c r="C19" s="41">
        <f>IF(B$17=0,0,B19/B$17)</f>
        <v>0.6</v>
      </c>
      <c r="E19" s="65" t="s">
        <v>82</v>
      </c>
      <c r="F19" s="62" t="s">
        <v>35</v>
      </c>
      <c r="G19" s="49">
        <v>0</v>
      </c>
      <c r="H19" s="139">
        <f>IF(B$27=0,0,G19/B$27)</f>
        <v>0</v>
      </c>
      <c r="I19" s="100">
        <v>4</v>
      </c>
    </row>
    <row r="20" spans="1:17" x14ac:dyDescent="0.4">
      <c r="A20" s="57" t="s">
        <v>13</v>
      </c>
      <c r="B20" s="49">
        <v>3</v>
      </c>
      <c r="C20" s="41">
        <f>IF(B$3=0,0,B20/B$3)</f>
        <v>0.17647058823529413</v>
      </c>
      <c r="E20" s="65" t="s">
        <v>83</v>
      </c>
      <c r="F20" s="62" t="s">
        <v>36</v>
      </c>
      <c r="G20" s="49">
        <v>0</v>
      </c>
      <c r="H20" s="139">
        <f>IF(B$27=0,0,G20/B$27)</f>
        <v>0</v>
      </c>
      <c r="I20" s="100">
        <v>1</v>
      </c>
    </row>
    <row r="21" spans="1:17" x14ac:dyDescent="0.4">
      <c r="A21" s="57" t="s">
        <v>5</v>
      </c>
      <c r="B21" s="53">
        <f>IF(B$17=0,0,C21/B$17)</f>
        <v>8800</v>
      </c>
      <c r="C21" s="43">
        <v>44000</v>
      </c>
      <c r="E21" s="65" t="s">
        <v>84</v>
      </c>
      <c r="F21" s="62" t="s">
        <v>37</v>
      </c>
      <c r="G21" s="49">
        <v>0</v>
      </c>
      <c r="H21" s="139">
        <f>IF(B$27=0,0,G21/B$27)</f>
        <v>0</v>
      </c>
      <c r="I21" s="100">
        <v>1</v>
      </c>
    </row>
    <row r="22" spans="1:17" x14ac:dyDescent="0.4">
      <c r="A22" s="59" t="s">
        <v>14</v>
      </c>
      <c r="B22" s="54">
        <f>IF(B$20=0,0,C22/B$20)</f>
        <v>-2933.3333333333335</v>
      </c>
      <c r="C22" s="47">
        <v>-8800</v>
      </c>
      <c r="E22" s="65" t="s">
        <v>85</v>
      </c>
      <c r="F22" s="62" t="s">
        <v>38</v>
      </c>
      <c r="G22" s="49">
        <v>0</v>
      </c>
      <c r="H22" s="139">
        <f>IF(B$27=0,0,G22/B$27)</f>
        <v>0</v>
      </c>
      <c r="I22" s="100">
        <v>1</v>
      </c>
    </row>
    <row r="23" spans="1:17" x14ac:dyDescent="0.4">
      <c r="A23" s="96" t="s">
        <v>148</v>
      </c>
      <c r="B23" s="155">
        <v>4</v>
      </c>
      <c r="C23" s="156"/>
      <c r="E23" s="65" t="s">
        <v>86</v>
      </c>
      <c r="F23" s="62" t="s">
        <v>39</v>
      </c>
      <c r="G23" s="49">
        <v>0</v>
      </c>
      <c r="H23" s="139">
        <f>IF(B$27=0,0,G23/B$27)</f>
        <v>0</v>
      </c>
      <c r="I23" s="100">
        <v>5</v>
      </c>
    </row>
    <row r="24" spans="1:17" x14ac:dyDescent="0.4">
      <c r="A24" s="60" t="s">
        <v>159</v>
      </c>
      <c r="B24" s="153">
        <v>46900</v>
      </c>
      <c r="C24" s="154"/>
      <c r="E24" s="65" t="s">
        <v>87</v>
      </c>
      <c r="F24" s="62" t="s">
        <v>40</v>
      </c>
      <c r="G24" s="49">
        <v>0</v>
      </c>
      <c r="H24" s="139">
        <f>IF(B$27=0,0,G24/B$27)</f>
        <v>0</v>
      </c>
      <c r="I24" s="100">
        <v>1</v>
      </c>
    </row>
    <row r="25" spans="1:17" x14ac:dyDescent="0.4">
      <c r="A25" s="59" t="s">
        <v>149</v>
      </c>
      <c r="B25" s="67">
        <v>0</v>
      </c>
      <c r="C25" s="44">
        <f>IF(B$3=0,0,B25/B$3)</f>
        <v>0</v>
      </c>
      <c r="E25" s="65" t="s">
        <v>88</v>
      </c>
      <c r="F25" s="62" t="s">
        <v>41</v>
      </c>
      <c r="G25" s="49">
        <v>0</v>
      </c>
      <c r="H25" s="139">
        <f>IF(B$27=0,0,G25/B$27)</f>
        <v>0</v>
      </c>
      <c r="I25" s="100">
        <v>7</v>
      </c>
    </row>
    <row r="26" spans="1:17" x14ac:dyDescent="0.4">
      <c r="A26" s="56" t="s">
        <v>126</v>
      </c>
      <c r="B26" s="145">
        <v>17</v>
      </c>
      <c r="C26" s="146"/>
      <c r="E26" s="65" t="s">
        <v>89</v>
      </c>
      <c r="F26" s="62" t="s">
        <v>42</v>
      </c>
      <c r="G26" s="49">
        <v>0</v>
      </c>
      <c r="H26" s="139">
        <f>IF(B$27=0,0,G26/B$27)</f>
        <v>0</v>
      </c>
      <c r="I26" s="100">
        <v>1</v>
      </c>
    </row>
    <row r="27" spans="1:17" x14ac:dyDescent="0.4">
      <c r="A27" s="59" t="s">
        <v>127</v>
      </c>
      <c r="B27" s="159">
        <v>5</v>
      </c>
      <c r="C27" s="160"/>
      <c r="E27" s="65" t="s">
        <v>90</v>
      </c>
      <c r="F27" s="62" t="s">
        <v>43</v>
      </c>
      <c r="G27" s="49">
        <v>0</v>
      </c>
      <c r="H27" s="139">
        <f>IF(B$27=0,0,G27/B$27)</f>
        <v>0</v>
      </c>
      <c r="I27" s="100">
        <v>1</v>
      </c>
    </row>
    <row r="28" spans="1:17" x14ac:dyDescent="0.4">
      <c r="E28" s="65" t="s">
        <v>91</v>
      </c>
      <c r="F28" s="62" t="s">
        <v>44</v>
      </c>
      <c r="G28" s="49">
        <v>0</v>
      </c>
      <c r="H28" s="139">
        <f>IF(B$27=0,0,G28/B$27)</f>
        <v>0</v>
      </c>
      <c r="I28" s="100">
        <v>6</v>
      </c>
    </row>
    <row r="29" spans="1:17" x14ac:dyDescent="0.4">
      <c r="E29" s="65" t="s">
        <v>92</v>
      </c>
      <c r="F29" s="62" t="s">
        <v>45</v>
      </c>
      <c r="G29" s="49">
        <v>0</v>
      </c>
      <c r="H29" s="139">
        <f>IF(B$27=0,0,G29/B$27)</f>
        <v>0</v>
      </c>
      <c r="I29" s="100">
        <v>1</v>
      </c>
    </row>
    <row r="30" spans="1:17" x14ac:dyDescent="0.4">
      <c r="E30" s="65" t="s">
        <v>93</v>
      </c>
      <c r="F30" s="62" t="s">
        <v>46</v>
      </c>
      <c r="G30" s="49">
        <v>0</v>
      </c>
      <c r="H30" s="139">
        <f>IF(B$27=0,0,G30/B$27)</f>
        <v>0</v>
      </c>
      <c r="I30" s="100">
        <v>1</v>
      </c>
    </row>
    <row r="31" spans="1:17" x14ac:dyDescent="0.4">
      <c r="E31" s="65" t="s">
        <v>95</v>
      </c>
      <c r="F31" s="62" t="s">
        <v>48</v>
      </c>
      <c r="G31" s="49">
        <v>0</v>
      </c>
      <c r="H31" s="139">
        <f>IF(B$27=0,0,G31/B$27)</f>
        <v>0</v>
      </c>
      <c r="I31" s="100">
        <v>1</v>
      </c>
    </row>
    <row r="32" spans="1:17" x14ac:dyDescent="0.4">
      <c r="E32" s="65" t="s">
        <v>97</v>
      </c>
      <c r="F32" s="62" t="s">
        <v>50</v>
      </c>
      <c r="G32" s="49">
        <v>0</v>
      </c>
      <c r="H32" s="139">
        <f>IF(B$27=0,0,G32/B$27)</f>
        <v>0</v>
      </c>
      <c r="I32" s="100">
        <v>3</v>
      </c>
    </row>
    <row r="33" spans="5:9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1</v>
      </c>
    </row>
    <row r="34" spans="5:9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1</v>
      </c>
    </row>
    <row r="36" spans="5:9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1</v>
      </c>
    </row>
    <row r="47" spans="5:9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17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F9D9E-8ACC-4BFE-A84C-E78074C63878}">
  <sheetPr codeName="Sheet20"/>
  <dimension ref="A1:Q5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187</v>
      </c>
      <c r="B1" s="72" t="s">
        <v>187</v>
      </c>
      <c r="C1" s="72" t="s">
        <v>187</v>
      </c>
      <c r="D1" s="73" t="s">
        <v>187</v>
      </c>
      <c r="E1" s="72" t="s">
        <v>187</v>
      </c>
      <c r="F1" s="72" t="s">
        <v>187</v>
      </c>
      <c r="G1" s="72" t="s">
        <v>187</v>
      </c>
      <c r="H1" s="72" t="s">
        <v>187</v>
      </c>
      <c r="I1" s="72" t="s">
        <v>187</v>
      </c>
      <c r="J1" s="72" t="s">
        <v>187</v>
      </c>
      <c r="K1" s="72" t="s">
        <v>187</v>
      </c>
      <c r="L1" s="72" t="s">
        <v>187</v>
      </c>
      <c r="M1" s="72" t="s">
        <v>187</v>
      </c>
      <c r="N1" s="72" t="s">
        <v>187</v>
      </c>
      <c r="O1" s="72" t="s">
        <v>187</v>
      </c>
      <c r="P1" s="72" t="s">
        <v>187</v>
      </c>
      <c r="Q1" s="72" t="s">
        <v>187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153</v>
      </c>
      <c r="G2" s="72" t="s">
        <v>152</v>
      </c>
      <c r="H2" s="72" t="s">
        <v>5</v>
      </c>
      <c r="I2" s="72" t="s">
        <v>17</v>
      </c>
      <c r="J2" s="72" t="s">
        <v>18</v>
      </c>
      <c r="K2" s="72" t="s">
        <v>147</v>
      </c>
      <c r="L2" s="72" t="s">
        <v>168</v>
      </c>
      <c r="M2" s="72" t="s">
        <v>129</v>
      </c>
      <c r="N2" s="72" t="s">
        <v>124</v>
      </c>
      <c r="O2" s="72" t="s">
        <v>132</v>
      </c>
      <c r="P2" s="72" t="s">
        <v>154</v>
      </c>
      <c r="Q2" s="72" t="s">
        <v>150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-1.9</v>
      </c>
      <c r="C4" s="68">
        <v>-1.9</v>
      </c>
      <c r="D4" s="73">
        <v>2</v>
      </c>
      <c r="E4" s="69">
        <v>0</v>
      </c>
      <c r="F4" s="69">
        <v>0.2857142857142857</v>
      </c>
      <c r="G4" s="69">
        <v>0.14285714285714285</v>
      </c>
      <c r="H4" s="70">
        <v>7050</v>
      </c>
      <c r="I4" s="70">
        <v>-3900</v>
      </c>
      <c r="J4" s="69">
        <v>0</v>
      </c>
      <c r="K4" s="69">
        <v>0</v>
      </c>
      <c r="L4" s="69">
        <v>0</v>
      </c>
      <c r="M4" s="69">
        <v>0</v>
      </c>
      <c r="N4" s="69">
        <v>0.14285714285714285</v>
      </c>
      <c r="O4" s="69">
        <v>0</v>
      </c>
      <c r="P4" s="69">
        <v>0</v>
      </c>
      <c r="Q4" s="69">
        <v>0.5</v>
      </c>
    </row>
    <row r="5" spans="1:17" x14ac:dyDescent="0.4">
      <c r="A5" s="71">
        <v>2</v>
      </c>
      <c r="B5" s="68">
        <v>30</v>
      </c>
      <c r="C5" s="68">
        <v>15</v>
      </c>
      <c r="D5" s="73">
        <v>1.5</v>
      </c>
      <c r="E5" s="69">
        <v>0.5</v>
      </c>
      <c r="F5" s="69">
        <v>0.29411764705882354</v>
      </c>
      <c r="G5" s="69">
        <v>0.17647058823529413</v>
      </c>
      <c r="H5" s="70">
        <v>8800</v>
      </c>
      <c r="I5" s="70">
        <v>-2933.3333333333335</v>
      </c>
      <c r="J5" s="69">
        <v>0</v>
      </c>
      <c r="K5" s="69">
        <v>0</v>
      </c>
      <c r="L5" s="69">
        <v>0.5</v>
      </c>
      <c r="M5" s="69">
        <v>0.11764705882352941</v>
      </c>
      <c r="N5" s="69">
        <v>0.17647058823529413</v>
      </c>
      <c r="O5" s="69">
        <v>1</v>
      </c>
      <c r="P5" s="69">
        <v>0.33333333333333331</v>
      </c>
      <c r="Q5" s="69">
        <v>0.4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8EE83-7A26-40F7-A1E6-469AF01C6EEE}">
  <sheetPr codeName="Sheet18"/>
  <dimension ref="A1:Q10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183</v>
      </c>
      <c r="B1" s="72" t="s">
        <v>183</v>
      </c>
      <c r="C1" s="72" t="s">
        <v>183</v>
      </c>
      <c r="D1" s="73" t="s">
        <v>183</v>
      </c>
      <c r="E1" s="72" t="s">
        <v>183</v>
      </c>
      <c r="F1" s="72" t="s">
        <v>183</v>
      </c>
      <c r="G1" s="72" t="s">
        <v>183</v>
      </c>
      <c r="H1" s="72" t="s">
        <v>183</v>
      </c>
      <c r="I1" s="72" t="s">
        <v>183</v>
      </c>
      <c r="J1" s="72" t="s">
        <v>183</v>
      </c>
      <c r="K1" s="72" t="s">
        <v>183</v>
      </c>
      <c r="L1" s="72" t="s">
        <v>183</v>
      </c>
      <c r="M1" s="72" t="s">
        <v>183</v>
      </c>
      <c r="N1" s="72" t="s">
        <v>183</v>
      </c>
      <c r="O1" s="72" t="s">
        <v>183</v>
      </c>
      <c r="P1" s="72" t="s">
        <v>183</v>
      </c>
      <c r="Q1" s="72" t="s">
        <v>183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153</v>
      </c>
      <c r="G2" s="72" t="s">
        <v>152</v>
      </c>
      <c r="H2" s="72" t="s">
        <v>5</v>
      </c>
      <c r="I2" s="72" t="s">
        <v>17</v>
      </c>
      <c r="J2" s="72" t="s">
        <v>18</v>
      </c>
      <c r="K2" s="72" t="s">
        <v>147</v>
      </c>
      <c r="L2" s="72" t="s">
        <v>168</v>
      </c>
      <c r="M2" s="72" t="s">
        <v>129</v>
      </c>
      <c r="N2" s="72" t="s">
        <v>124</v>
      </c>
      <c r="O2" s="72" t="s">
        <v>132</v>
      </c>
      <c r="P2" s="72" t="s">
        <v>154</v>
      </c>
      <c r="Q2" s="72" t="s">
        <v>150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-82.6</v>
      </c>
      <c r="C4" s="68">
        <v>-82.6</v>
      </c>
      <c r="D4" s="73">
        <v>3</v>
      </c>
      <c r="E4" s="69">
        <v>0</v>
      </c>
      <c r="F4" s="69">
        <v>0.14285714285714285</v>
      </c>
      <c r="G4" s="69">
        <v>0.2857142857142857</v>
      </c>
      <c r="H4" s="70">
        <v>4000</v>
      </c>
      <c r="I4" s="70">
        <v>-20800</v>
      </c>
      <c r="J4" s="69">
        <v>1</v>
      </c>
      <c r="K4" s="69">
        <v>0</v>
      </c>
      <c r="L4" s="69">
        <v>0</v>
      </c>
      <c r="M4" s="69">
        <v>0.14285714285714285</v>
      </c>
      <c r="N4" s="69">
        <v>0.14285714285714285</v>
      </c>
      <c r="O4" s="69">
        <v>0</v>
      </c>
      <c r="P4" s="69">
        <v>0</v>
      </c>
      <c r="Q4" s="69">
        <v>1</v>
      </c>
    </row>
    <row r="5" spans="1:17" x14ac:dyDescent="0.4">
      <c r="A5" s="71">
        <v>2</v>
      </c>
      <c r="B5" s="68">
        <v>-122.3</v>
      </c>
      <c r="C5" s="68">
        <v>-61.15</v>
      </c>
      <c r="D5" s="73">
        <v>3</v>
      </c>
      <c r="E5" s="69">
        <v>0</v>
      </c>
      <c r="F5" s="69">
        <v>0.26315789473684209</v>
      </c>
      <c r="G5" s="69">
        <v>0.26315789473684209</v>
      </c>
      <c r="H5" s="70">
        <v>4220</v>
      </c>
      <c r="I5" s="70">
        <v>-14080</v>
      </c>
      <c r="J5" s="69">
        <v>0.5</v>
      </c>
      <c r="K5" s="69">
        <v>0</v>
      </c>
      <c r="L5" s="69">
        <v>0</v>
      </c>
      <c r="M5" s="69">
        <v>0.15789473684210525</v>
      </c>
      <c r="N5" s="69">
        <v>0.10526315789473684</v>
      </c>
      <c r="O5" s="69">
        <v>0.33333333333333331</v>
      </c>
      <c r="P5" s="69">
        <v>0.5</v>
      </c>
      <c r="Q5" s="69">
        <v>0.8</v>
      </c>
    </row>
    <row r="6" spans="1:17" x14ac:dyDescent="0.4">
      <c r="A6" s="71">
        <v>3</v>
      </c>
      <c r="B6" s="68">
        <v>-149</v>
      </c>
      <c r="C6" s="68">
        <v>-49.666666666666664</v>
      </c>
      <c r="D6" s="73">
        <v>2.6666666666666665</v>
      </c>
      <c r="E6" s="69">
        <v>0</v>
      </c>
      <c r="F6" s="69">
        <v>0.18518518518518517</v>
      </c>
      <c r="G6" s="69">
        <v>0.25925925925925924</v>
      </c>
      <c r="H6" s="70">
        <v>4220</v>
      </c>
      <c r="I6" s="70">
        <v>-12600</v>
      </c>
      <c r="J6" s="69">
        <v>0.33333333333333331</v>
      </c>
      <c r="K6" s="69">
        <v>0</v>
      </c>
      <c r="L6" s="69">
        <v>0</v>
      </c>
      <c r="M6" s="69">
        <v>0.14814814814814814</v>
      </c>
      <c r="N6" s="69">
        <v>0.1111111111111111</v>
      </c>
      <c r="O6" s="69">
        <v>0.25</v>
      </c>
      <c r="P6" s="69">
        <v>0.33333333333333331</v>
      </c>
      <c r="Q6" s="69">
        <v>0.8</v>
      </c>
    </row>
    <row r="7" spans="1:17" x14ac:dyDescent="0.4">
      <c r="A7" s="71">
        <v>4</v>
      </c>
      <c r="B7" s="68">
        <v>-150.6</v>
      </c>
      <c r="C7" s="68">
        <v>-37.65</v>
      </c>
      <c r="D7" s="73">
        <v>2.5</v>
      </c>
      <c r="E7" s="69">
        <v>0</v>
      </c>
      <c r="F7" s="69">
        <v>0.23076923076923078</v>
      </c>
      <c r="G7" s="69">
        <v>0.23076923076923078</v>
      </c>
      <c r="H7" s="70">
        <v>3633.3333333333335</v>
      </c>
      <c r="I7" s="70">
        <v>-11011.111111111111</v>
      </c>
      <c r="J7" s="69">
        <v>0.25</v>
      </c>
      <c r="K7" s="69">
        <v>0</v>
      </c>
      <c r="L7" s="69">
        <v>0</v>
      </c>
      <c r="M7" s="69">
        <v>0.17948717948717949</v>
      </c>
      <c r="N7" s="69">
        <v>0.10256410256410256</v>
      </c>
      <c r="O7" s="69">
        <v>0.5714285714285714</v>
      </c>
      <c r="P7" s="69">
        <v>0.25</v>
      </c>
      <c r="Q7" s="69">
        <v>0.77777777777777779</v>
      </c>
    </row>
    <row r="8" spans="1:17" x14ac:dyDescent="0.4">
      <c r="A8" s="71">
        <v>5</v>
      </c>
      <c r="B8" s="68">
        <v>-184.89999999999998</v>
      </c>
      <c r="C8" s="68">
        <v>-36.979999999999997</v>
      </c>
      <c r="D8" s="73">
        <v>2.6</v>
      </c>
      <c r="E8" s="69">
        <v>0</v>
      </c>
      <c r="F8" s="69">
        <v>0.19148936170212766</v>
      </c>
      <c r="G8" s="69">
        <v>0.23404255319148937</v>
      </c>
      <c r="H8" s="70">
        <v>3633.3333333333335</v>
      </c>
      <c r="I8" s="70">
        <v>-9836.363636363636</v>
      </c>
      <c r="J8" s="69">
        <v>0.2</v>
      </c>
      <c r="K8" s="69">
        <v>0</v>
      </c>
      <c r="L8" s="69">
        <v>0</v>
      </c>
      <c r="M8" s="69">
        <v>0.19148936170212766</v>
      </c>
      <c r="N8" s="69">
        <v>0.1276595744680851</v>
      </c>
      <c r="O8" s="69">
        <v>0.44444444444444442</v>
      </c>
      <c r="P8" s="69">
        <v>0.16666666666666666</v>
      </c>
      <c r="Q8" s="69">
        <v>0.77777777777777779</v>
      </c>
    </row>
    <row r="9" spans="1:17" x14ac:dyDescent="0.4">
      <c r="A9" s="71">
        <v>6</v>
      </c>
      <c r="B9" s="68">
        <v>-187.59999999999997</v>
      </c>
      <c r="C9" s="68">
        <v>-31.266666666666662</v>
      </c>
      <c r="D9" s="73">
        <v>2.5</v>
      </c>
      <c r="E9" s="69">
        <v>0</v>
      </c>
      <c r="F9" s="69">
        <v>0.18518518518518517</v>
      </c>
      <c r="G9" s="69">
        <v>0.22222222222222221</v>
      </c>
      <c r="H9" s="70">
        <v>3850</v>
      </c>
      <c r="I9" s="70">
        <v>-9183.3333333333339</v>
      </c>
      <c r="J9" s="69">
        <v>0.16666666666666666</v>
      </c>
      <c r="K9" s="69">
        <v>0</v>
      </c>
      <c r="L9" s="69">
        <v>0</v>
      </c>
      <c r="M9" s="69">
        <v>0.16666666666666666</v>
      </c>
      <c r="N9" s="69">
        <v>0.14814814814814814</v>
      </c>
      <c r="O9" s="69">
        <v>0.44444444444444442</v>
      </c>
      <c r="P9" s="69">
        <v>0.25</v>
      </c>
      <c r="Q9" s="69">
        <v>0.7</v>
      </c>
    </row>
    <row r="10" spans="1:17" x14ac:dyDescent="0.4">
      <c r="A10" s="71">
        <v>7</v>
      </c>
      <c r="B10" s="68">
        <v>-216.09999999999997</v>
      </c>
      <c r="C10" s="68">
        <v>-30.871428571428567</v>
      </c>
      <c r="D10" s="73">
        <v>2.5714285714285716</v>
      </c>
      <c r="E10" s="69">
        <v>0</v>
      </c>
      <c r="F10" s="69">
        <v>0.203125</v>
      </c>
      <c r="G10" s="69">
        <v>0.203125</v>
      </c>
      <c r="H10" s="70">
        <v>4323.0769230769229</v>
      </c>
      <c r="I10" s="70">
        <v>-9069.2307692307695</v>
      </c>
      <c r="J10" s="69">
        <v>0.14285714285714285</v>
      </c>
      <c r="K10" s="69">
        <v>0</v>
      </c>
      <c r="L10" s="69">
        <v>0</v>
      </c>
      <c r="M10" s="69">
        <v>0.140625</v>
      </c>
      <c r="N10" s="69">
        <v>0.1875</v>
      </c>
      <c r="O10" s="69">
        <v>0.44444444444444442</v>
      </c>
      <c r="P10" s="69">
        <v>0.33333333333333331</v>
      </c>
      <c r="Q10" s="69">
        <v>0.61538461538461542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E71DE-8F85-4549-AA65-7AFFC49AD569}">
  <sheetPr codeName="Sheet16"/>
  <dimension ref="A1:Q10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182</v>
      </c>
      <c r="B1" s="72" t="s">
        <v>182</v>
      </c>
      <c r="C1" s="72" t="s">
        <v>182</v>
      </c>
      <c r="D1" s="73" t="s">
        <v>182</v>
      </c>
      <c r="E1" s="72" t="s">
        <v>182</v>
      </c>
      <c r="F1" s="72" t="s">
        <v>182</v>
      </c>
      <c r="G1" s="72" t="s">
        <v>182</v>
      </c>
      <c r="H1" s="72" t="s">
        <v>182</v>
      </c>
      <c r="I1" s="72" t="s">
        <v>182</v>
      </c>
      <c r="J1" s="72" t="s">
        <v>182</v>
      </c>
      <c r="K1" s="72" t="s">
        <v>182</v>
      </c>
      <c r="L1" s="72" t="s">
        <v>182</v>
      </c>
      <c r="M1" s="72" t="s">
        <v>182</v>
      </c>
      <c r="N1" s="72" t="s">
        <v>182</v>
      </c>
      <c r="O1" s="72" t="s">
        <v>182</v>
      </c>
      <c r="P1" s="72" t="s">
        <v>182</v>
      </c>
      <c r="Q1" s="72" t="s">
        <v>182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153</v>
      </c>
      <c r="G2" s="72" t="s">
        <v>152</v>
      </c>
      <c r="H2" s="72" t="s">
        <v>5</v>
      </c>
      <c r="I2" s="72" t="s">
        <v>17</v>
      </c>
      <c r="J2" s="72" t="s">
        <v>18</v>
      </c>
      <c r="K2" s="72" t="s">
        <v>147</v>
      </c>
      <c r="L2" s="72" t="s">
        <v>168</v>
      </c>
      <c r="M2" s="72" t="s">
        <v>129</v>
      </c>
      <c r="N2" s="72" t="s">
        <v>124</v>
      </c>
      <c r="O2" s="72" t="s">
        <v>132</v>
      </c>
      <c r="P2" s="72" t="s">
        <v>154</v>
      </c>
      <c r="Q2" s="72" t="s">
        <v>150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11.1</v>
      </c>
      <c r="C4" s="68">
        <v>11.1</v>
      </c>
      <c r="D4" s="73">
        <v>2</v>
      </c>
      <c r="E4" s="69">
        <v>0</v>
      </c>
      <c r="F4" s="69">
        <v>0.14285714285714285</v>
      </c>
      <c r="G4" s="69">
        <v>0.14285714285714285</v>
      </c>
      <c r="H4" s="70">
        <v>8000</v>
      </c>
      <c r="I4" s="70">
        <v>-3900</v>
      </c>
      <c r="J4" s="69">
        <v>0</v>
      </c>
      <c r="K4" s="69">
        <v>0</v>
      </c>
      <c r="L4" s="69">
        <v>0</v>
      </c>
      <c r="M4" s="69">
        <v>0</v>
      </c>
      <c r="N4" s="69">
        <v>0.42857142857142855</v>
      </c>
      <c r="O4" s="69">
        <v>0</v>
      </c>
      <c r="P4" s="69">
        <v>0</v>
      </c>
      <c r="Q4" s="69">
        <v>0</v>
      </c>
    </row>
    <row r="5" spans="1:17" x14ac:dyDescent="0.4">
      <c r="A5" s="71">
        <v>2</v>
      </c>
      <c r="B5" s="68">
        <v>-7.7000000000000011</v>
      </c>
      <c r="C5" s="68">
        <v>-3.8500000000000005</v>
      </c>
      <c r="D5" s="73">
        <v>2</v>
      </c>
      <c r="E5" s="69">
        <v>0</v>
      </c>
      <c r="F5" s="69">
        <v>0.125</v>
      </c>
      <c r="G5" s="69">
        <v>0.125</v>
      </c>
      <c r="H5" s="70">
        <v>5050</v>
      </c>
      <c r="I5" s="70">
        <v>-6750</v>
      </c>
      <c r="J5" s="69">
        <v>0</v>
      </c>
      <c r="K5" s="69">
        <v>0</v>
      </c>
      <c r="L5" s="69">
        <v>0</v>
      </c>
      <c r="M5" s="69">
        <v>0.125</v>
      </c>
      <c r="N5" s="69">
        <v>0.375</v>
      </c>
      <c r="O5" s="69">
        <v>0</v>
      </c>
      <c r="P5" s="69">
        <v>0.16666666666666666</v>
      </c>
      <c r="Q5" s="69">
        <v>0.5</v>
      </c>
    </row>
    <row r="6" spans="1:17" x14ac:dyDescent="0.4">
      <c r="A6" s="71">
        <v>3</v>
      </c>
      <c r="B6" s="68">
        <v>1.7999999999999989</v>
      </c>
      <c r="C6" s="68">
        <v>0.59999999999999964</v>
      </c>
      <c r="D6" s="73">
        <v>2</v>
      </c>
      <c r="E6" s="69">
        <v>0</v>
      </c>
      <c r="F6" s="69">
        <v>0.25</v>
      </c>
      <c r="G6" s="69">
        <v>0.1</v>
      </c>
      <c r="H6" s="70">
        <v>3520</v>
      </c>
      <c r="I6" s="70">
        <v>-6750</v>
      </c>
      <c r="J6" s="69">
        <v>0</v>
      </c>
      <c r="K6" s="69">
        <v>0</v>
      </c>
      <c r="L6" s="69">
        <v>0</v>
      </c>
      <c r="M6" s="69">
        <v>0.15</v>
      </c>
      <c r="N6" s="69">
        <v>0.4</v>
      </c>
      <c r="O6" s="69">
        <v>0.33333333333333331</v>
      </c>
      <c r="P6" s="69">
        <v>0.375</v>
      </c>
      <c r="Q6" s="69">
        <v>0.4</v>
      </c>
    </row>
    <row r="7" spans="1:17" x14ac:dyDescent="0.4">
      <c r="A7" s="71">
        <v>4</v>
      </c>
      <c r="B7" s="68">
        <v>34.9</v>
      </c>
      <c r="C7" s="68">
        <v>8.7249999999999996</v>
      </c>
      <c r="D7" s="73">
        <v>1.75</v>
      </c>
      <c r="E7" s="69">
        <v>0.25</v>
      </c>
      <c r="F7" s="69">
        <v>0.2857142857142857</v>
      </c>
      <c r="G7" s="69">
        <v>0.10714285714285714</v>
      </c>
      <c r="H7" s="70">
        <v>4662.5</v>
      </c>
      <c r="I7" s="70">
        <v>-8366.6666666666661</v>
      </c>
      <c r="J7" s="69">
        <v>0</v>
      </c>
      <c r="K7" s="69">
        <v>0</v>
      </c>
      <c r="L7" s="69">
        <v>0</v>
      </c>
      <c r="M7" s="69">
        <v>0.14285714285714285</v>
      </c>
      <c r="N7" s="69">
        <v>0.39285714285714285</v>
      </c>
      <c r="O7" s="69">
        <v>0.5</v>
      </c>
      <c r="P7" s="69">
        <v>0.45454545454545453</v>
      </c>
      <c r="Q7" s="69">
        <v>0.5</v>
      </c>
    </row>
    <row r="8" spans="1:17" x14ac:dyDescent="0.4">
      <c r="A8" s="71">
        <v>5</v>
      </c>
      <c r="B8" s="68">
        <v>29.4</v>
      </c>
      <c r="C8" s="68">
        <v>5.88</v>
      </c>
      <c r="D8" s="73">
        <v>1.8</v>
      </c>
      <c r="E8" s="69">
        <v>0.2</v>
      </c>
      <c r="F8" s="69">
        <v>0.27500000000000002</v>
      </c>
      <c r="G8" s="69">
        <v>0.125</v>
      </c>
      <c r="H8" s="70">
        <v>5318.181818181818</v>
      </c>
      <c r="I8" s="70">
        <v>-7400</v>
      </c>
      <c r="J8" s="69">
        <v>0</v>
      </c>
      <c r="K8" s="69">
        <v>0</v>
      </c>
      <c r="L8" s="69">
        <v>0</v>
      </c>
      <c r="M8" s="69">
        <v>0.15</v>
      </c>
      <c r="N8" s="69">
        <v>0.35</v>
      </c>
      <c r="O8" s="69">
        <v>0.5</v>
      </c>
      <c r="P8" s="69">
        <v>0.42857142857142855</v>
      </c>
      <c r="Q8" s="69">
        <v>0.45454545454545453</v>
      </c>
    </row>
    <row r="9" spans="1:17" x14ac:dyDescent="0.4">
      <c r="A9" s="71">
        <v>6</v>
      </c>
      <c r="B9" s="68">
        <v>4.2999999999999972</v>
      </c>
      <c r="C9" s="68">
        <v>0.71666666666666623</v>
      </c>
      <c r="D9" s="73">
        <v>2</v>
      </c>
      <c r="E9" s="69">
        <v>0.16666666666666666</v>
      </c>
      <c r="F9" s="69">
        <v>0.2978723404255319</v>
      </c>
      <c r="G9" s="69">
        <v>0.1702127659574468</v>
      </c>
      <c r="H9" s="70">
        <v>5121.4285714285716</v>
      </c>
      <c r="I9" s="70">
        <v>-6487.5</v>
      </c>
      <c r="J9" s="69">
        <v>0</v>
      </c>
      <c r="K9" s="69">
        <v>0</v>
      </c>
      <c r="L9" s="69">
        <v>0</v>
      </c>
      <c r="M9" s="69">
        <v>0.14893617021276595</v>
      </c>
      <c r="N9" s="69">
        <v>0.36170212765957449</v>
      </c>
      <c r="O9" s="69">
        <v>0.5714285714285714</v>
      </c>
      <c r="P9" s="69">
        <v>0.41176470588235292</v>
      </c>
      <c r="Q9" s="69">
        <v>0.42857142857142855</v>
      </c>
    </row>
    <row r="10" spans="1:17" x14ac:dyDescent="0.4">
      <c r="A10" s="71">
        <v>7</v>
      </c>
      <c r="B10" s="68">
        <v>7.7999999999999972</v>
      </c>
      <c r="C10" s="68">
        <v>1.1142857142857139</v>
      </c>
      <c r="D10" s="73">
        <v>2</v>
      </c>
      <c r="E10" s="69">
        <v>0.14285714285714285</v>
      </c>
      <c r="F10" s="69">
        <v>0.30909090909090908</v>
      </c>
      <c r="G10" s="69">
        <v>0.16363636363636364</v>
      </c>
      <c r="H10" s="70">
        <v>5858.8235294117649</v>
      </c>
      <c r="I10" s="70">
        <v>-7100</v>
      </c>
      <c r="J10" s="69">
        <v>0</v>
      </c>
      <c r="K10" s="69">
        <v>0</v>
      </c>
      <c r="L10" s="69">
        <v>0</v>
      </c>
      <c r="M10" s="69">
        <v>0.18181818181818182</v>
      </c>
      <c r="N10" s="69">
        <v>0.34545454545454546</v>
      </c>
      <c r="O10" s="69">
        <v>0.7</v>
      </c>
      <c r="P10" s="69">
        <v>0.36842105263157893</v>
      </c>
      <c r="Q10" s="69">
        <v>0.35294117647058826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EFAD8-B978-436D-8676-ED074E236F0D}">
  <sheetPr codeName="Sheet14"/>
  <dimension ref="A1:Q13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181</v>
      </c>
      <c r="B1" s="72" t="s">
        <v>181</v>
      </c>
      <c r="C1" s="72" t="s">
        <v>181</v>
      </c>
      <c r="D1" s="73" t="s">
        <v>181</v>
      </c>
      <c r="E1" s="72" t="s">
        <v>181</v>
      </c>
      <c r="F1" s="72" t="s">
        <v>181</v>
      </c>
      <c r="G1" s="72" t="s">
        <v>181</v>
      </c>
      <c r="H1" s="72" t="s">
        <v>181</v>
      </c>
      <c r="I1" s="72" t="s">
        <v>181</v>
      </c>
      <c r="J1" s="72" t="s">
        <v>181</v>
      </c>
      <c r="K1" s="72" t="s">
        <v>181</v>
      </c>
      <c r="L1" s="72" t="s">
        <v>181</v>
      </c>
      <c r="M1" s="72" t="s">
        <v>181</v>
      </c>
      <c r="N1" s="72" t="s">
        <v>181</v>
      </c>
      <c r="O1" s="72" t="s">
        <v>181</v>
      </c>
      <c r="P1" s="72" t="s">
        <v>181</v>
      </c>
      <c r="Q1" s="72" t="s">
        <v>181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153</v>
      </c>
      <c r="G2" s="72" t="s">
        <v>152</v>
      </c>
      <c r="H2" s="72" t="s">
        <v>5</v>
      </c>
      <c r="I2" s="72" t="s">
        <v>17</v>
      </c>
      <c r="J2" s="72" t="s">
        <v>18</v>
      </c>
      <c r="K2" s="72" t="s">
        <v>147</v>
      </c>
      <c r="L2" s="72" t="s">
        <v>168</v>
      </c>
      <c r="M2" s="72" t="s">
        <v>129</v>
      </c>
      <c r="N2" s="72" t="s">
        <v>124</v>
      </c>
      <c r="O2" s="72" t="s">
        <v>132</v>
      </c>
      <c r="P2" s="72" t="s">
        <v>154</v>
      </c>
      <c r="Q2" s="72" t="s">
        <v>150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-51.2</v>
      </c>
      <c r="C4" s="68">
        <v>-51.2</v>
      </c>
      <c r="D4" s="73">
        <v>3</v>
      </c>
      <c r="E4" s="69">
        <v>0</v>
      </c>
      <c r="F4" s="69">
        <v>0.14285714285714285</v>
      </c>
      <c r="G4" s="69">
        <v>0.5714285714285714</v>
      </c>
      <c r="H4" s="70">
        <v>2000</v>
      </c>
      <c r="I4" s="70">
        <v>-5800</v>
      </c>
      <c r="J4" s="69">
        <v>0</v>
      </c>
      <c r="K4" s="69">
        <v>0</v>
      </c>
      <c r="L4" s="69">
        <v>0</v>
      </c>
      <c r="M4" s="69">
        <v>0.2857142857142857</v>
      </c>
      <c r="N4" s="69">
        <v>0.14285714285714285</v>
      </c>
      <c r="O4" s="69">
        <v>0</v>
      </c>
      <c r="P4" s="69">
        <v>0</v>
      </c>
      <c r="Q4" s="69">
        <v>0</v>
      </c>
    </row>
    <row r="5" spans="1:17" x14ac:dyDescent="0.4">
      <c r="A5" s="71">
        <v>2</v>
      </c>
      <c r="B5" s="68">
        <v>-93.300000000000011</v>
      </c>
      <c r="C5" s="68">
        <v>-46.650000000000006</v>
      </c>
      <c r="D5" s="73">
        <v>3</v>
      </c>
      <c r="E5" s="69">
        <v>0</v>
      </c>
      <c r="F5" s="69">
        <v>0.125</v>
      </c>
      <c r="G5" s="69">
        <v>0.4375</v>
      </c>
      <c r="H5" s="70">
        <v>2950</v>
      </c>
      <c r="I5" s="70">
        <v>-5014.2857142857147</v>
      </c>
      <c r="J5" s="69">
        <v>0</v>
      </c>
      <c r="K5" s="69">
        <v>0</v>
      </c>
      <c r="L5" s="69">
        <v>0</v>
      </c>
      <c r="M5" s="69">
        <v>0.25</v>
      </c>
      <c r="N5" s="69">
        <v>6.25E-2</v>
      </c>
      <c r="O5" s="69">
        <v>0.25</v>
      </c>
      <c r="P5" s="69">
        <v>0</v>
      </c>
      <c r="Q5" s="69">
        <v>0</v>
      </c>
    </row>
    <row r="6" spans="1:17" x14ac:dyDescent="0.4">
      <c r="A6" s="71">
        <v>3</v>
      </c>
      <c r="B6" s="68">
        <v>-60.100000000000009</v>
      </c>
      <c r="C6" s="68">
        <v>-20.033333333333335</v>
      </c>
      <c r="D6" s="73">
        <v>2.3333333333333335</v>
      </c>
      <c r="E6" s="69">
        <v>0.33333333333333331</v>
      </c>
      <c r="F6" s="69">
        <v>0.21739130434782608</v>
      </c>
      <c r="G6" s="69">
        <v>0.34782608695652173</v>
      </c>
      <c r="H6" s="70">
        <v>7100</v>
      </c>
      <c r="I6" s="70">
        <v>-5887.5</v>
      </c>
      <c r="J6" s="69">
        <v>0</v>
      </c>
      <c r="K6" s="69">
        <v>0</v>
      </c>
      <c r="L6" s="69">
        <v>0</v>
      </c>
      <c r="M6" s="69">
        <v>0.21739130434782608</v>
      </c>
      <c r="N6" s="69">
        <v>0.21739130434782608</v>
      </c>
      <c r="O6" s="69">
        <v>0.4</v>
      </c>
      <c r="P6" s="69">
        <v>0.4</v>
      </c>
      <c r="Q6" s="69">
        <v>0.2</v>
      </c>
    </row>
    <row r="7" spans="1:17" x14ac:dyDescent="0.4">
      <c r="A7" s="71">
        <v>4</v>
      </c>
      <c r="B7" s="68">
        <v>-11.300000000000011</v>
      </c>
      <c r="C7" s="68">
        <v>-2.8250000000000028</v>
      </c>
      <c r="D7" s="73">
        <v>2</v>
      </c>
      <c r="E7" s="69">
        <v>0.5</v>
      </c>
      <c r="F7" s="69">
        <v>0.22222222222222221</v>
      </c>
      <c r="G7" s="69">
        <v>0.33333333333333331</v>
      </c>
      <c r="H7" s="70">
        <v>11250</v>
      </c>
      <c r="I7" s="70">
        <v>-5666.666666666667</v>
      </c>
      <c r="J7" s="69">
        <v>0</v>
      </c>
      <c r="K7" s="69">
        <v>0.25</v>
      </c>
      <c r="L7" s="69">
        <v>0.25</v>
      </c>
      <c r="M7" s="69">
        <v>0.18518518518518517</v>
      </c>
      <c r="N7" s="69">
        <v>0.25925925925925924</v>
      </c>
      <c r="O7" s="69">
        <v>0.4</v>
      </c>
      <c r="P7" s="69">
        <v>0.2857142857142857</v>
      </c>
      <c r="Q7" s="69">
        <v>0.16666666666666666</v>
      </c>
    </row>
    <row r="8" spans="1:17" x14ac:dyDescent="0.4">
      <c r="A8" s="71">
        <v>5</v>
      </c>
      <c r="B8" s="68">
        <v>-36.100000000000009</v>
      </c>
      <c r="C8" s="68">
        <v>-7.2200000000000015</v>
      </c>
      <c r="D8" s="73">
        <v>2.2000000000000002</v>
      </c>
      <c r="E8" s="69">
        <v>0.4</v>
      </c>
      <c r="F8" s="69">
        <v>0.24324324324324326</v>
      </c>
      <c r="G8" s="69">
        <v>0.32432432432432434</v>
      </c>
      <c r="H8" s="70">
        <v>9266.6666666666661</v>
      </c>
      <c r="I8" s="70">
        <v>-5333.333333333333</v>
      </c>
      <c r="J8" s="69">
        <v>0</v>
      </c>
      <c r="K8" s="69">
        <v>0.2</v>
      </c>
      <c r="L8" s="69">
        <v>0.2</v>
      </c>
      <c r="M8" s="69">
        <v>0.1891891891891892</v>
      </c>
      <c r="N8" s="69">
        <v>0.21621621621621623</v>
      </c>
      <c r="O8" s="69">
        <v>0.5714285714285714</v>
      </c>
      <c r="P8" s="69">
        <v>0.375</v>
      </c>
      <c r="Q8" s="69">
        <v>0.22222222222222221</v>
      </c>
    </row>
    <row r="9" spans="1:17" x14ac:dyDescent="0.4">
      <c r="A9" s="71">
        <v>6</v>
      </c>
      <c r="B9" s="68">
        <v>9.0999999999999943</v>
      </c>
      <c r="C9" s="68">
        <v>1.5166666666666657</v>
      </c>
      <c r="D9" s="73">
        <v>2</v>
      </c>
      <c r="E9" s="69">
        <v>0.5</v>
      </c>
      <c r="F9" s="69">
        <v>0.26530612244897961</v>
      </c>
      <c r="G9" s="69">
        <v>0.26530612244897961</v>
      </c>
      <c r="H9" s="70">
        <v>9392.3076923076915</v>
      </c>
      <c r="I9" s="70">
        <v>-5323.0769230769229</v>
      </c>
      <c r="J9" s="69">
        <v>0</v>
      </c>
      <c r="K9" s="69">
        <v>0.16666666666666666</v>
      </c>
      <c r="L9" s="69">
        <v>0.16666666666666666</v>
      </c>
      <c r="M9" s="69">
        <v>0.22448979591836735</v>
      </c>
      <c r="N9" s="69">
        <v>0.24489795918367346</v>
      </c>
      <c r="O9" s="69">
        <v>0.54545454545454541</v>
      </c>
      <c r="P9" s="69">
        <v>0.41666666666666669</v>
      </c>
      <c r="Q9" s="69">
        <v>0.23076923076923078</v>
      </c>
    </row>
    <row r="10" spans="1:17" x14ac:dyDescent="0.4">
      <c r="A10" s="71">
        <v>7</v>
      </c>
      <c r="B10" s="68">
        <v>-51.300000000000004</v>
      </c>
      <c r="C10" s="68">
        <v>-7.3285714285714292</v>
      </c>
      <c r="D10" s="73">
        <v>2.1428571428571428</v>
      </c>
      <c r="E10" s="69">
        <v>0.42857142857142855</v>
      </c>
      <c r="F10" s="69">
        <v>0.24561403508771928</v>
      </c>
      <c r="G10" s="69">
        <v>0.26315789473684209</v>
      </c>
      <c r="H10" s="70">
        <v>8921.4285714285706</v>
      </c>
      <c r="I10" s="70">
        <v>-6586.666666666667</v>
      </c>
      <c r="J10" s="69">
        <v>0.14285714285714285</v>
      </c>
      <c r="K10" s="69">
        <v>0.14285714285714285</v>
      </c>
      <c r="L10" s="69">
        <v>0.14285714285714285</v>
      </c>
      <c r="M10" s="69">
        <v>0.21052631578947367</v>
      </c>
      <c r="N10" s="69">
        <v>0.24561403508771928</v>
      </c>
      <c r="O10" s="69">
        <v>0.5</v>
      </c>
      <c r="P10" s="69">
        <v>0.35714285714285715</v>
      </c>
      <c r="Q10" s="69">
        <v>0.2857142857142857</v>
      </c>
    </row>
    <row r="11" spans="1:17" x14ac:dyDescent="0.4">
      <c r="A11" s="71">
        <v>8</v>
      </c>
      <c r="B11" s="68">
        <v>-1.7000000000000028</v>
      </c>
      <c r="C11" s="68">
        <v>-0.21250000000000036</v>
      </c>
      <c r="D11" s="73">
        <v>2</v>
      </c>
      <c r="E11" s="69">
        <v>0.5</v>
      </c>
      <c r="F11" s="69">
        <v>0.27536231884057971</v>
      </c>
      <c r="G11" s="69">
        <v>0.21739130434782608</v>
      </c>
      <c r="H11" s="70">
        <v>8084.2105263157891</v>
      </c>
      <c r="I11" s="70">
        <v>-6586.666666666667</v>
      </c>
      <c r="J11" s="69">
        <v>0.125</v>
      </c>
      <c r="K11" s="69">
        <v>0.125</v>
      </c>
      <c r="L11" s="69">
        <v>0.125</v>
      </c>
      <c r="M11" s="69">
        <v>0.24637681159420291</v>
      </c>
      <c r="N11" s="69">
        <v>0.2318840579710145</v>
      </c>
      <c r="O11" s="69">
        <v>0.47058823529411764</v>
      </c>
      <c r="P11" s="69">
        <v>0.375</v>
      </c>
      <c r="Q11" s="69">
        <v>0.36842105263157893</v>
      </c>
    </row>
    <row r="12" spans="1:17" x14ac:dyDescent="0.4">
      <c r="A12" s="71">
        <v>9</v>
      </c>
      <c r="B12" s="68">
        <v>-5.8000000000000025</v>
      </c>
      <c r="C12" s="68">
        <v>-0.64444444444444471</v>
      </c>
      <c r="D12" s="73">
        <v>2</v>
      </c>
      <c r="E12" s="69">
        <v>0.44444444444444442</v>
      </c>
      <c r="F12" s="69">
        <v>0.27272727272727271</v>
      </c>
      <c r="G12" s="69">
        <v>0.23376623376623376</v>
      </c>
      <c r="H12" s="70">
        <v>7695.2380952380954</v>
      </c>
      <c r="I12" s="70">
        <v>-6188.8888888888887</v>
      </c>
      <c r="J12" s="69">
        <v>0.1111111111111111</v>
      </c>
      <c r="K12" s="69">
        <v>0.1111111111111111</v>
      </c>
      <c r="L12" s="69">
        <v>0.1111111111111111</v>
      </c>
      <c r="M12" s="69">
        <v>0.24675324675324675</v>
      </c>
      <c r="N12" s="69">
        <v>0.23376623376623376</v>
      </c>
      <c r="O12" s="69">
        <v>0.52631578947368418</v>
      </c>
      <c r="P12" s="69">
        <v>0.33333333333333331</v>
      </c>
      <c r="Q12" s="69">
        <v>0.38095238095238093</v>
      </c>
    </row>
    <row r="13" spans="1:17" x14ac:dyDescent="0.4">
      <c r="A13" s="71">
        <v>10</v>
      </c>
      <c r="B13" s="68">
        <v>-56.500000000000007</v>
      </c>
      <c r="C13" s="68">
        <v>-5.65</v>
      </c>
      <c r="D13" s="73">
        <v>2.1</v>
      </c>
      <c r="E13" s="69">
        <v>0.4</v>
      </c>
      <c r="F13" s="69">
        <v>0.25882352941176473</v>
      </c>
      <c r="G13" s="69">
        <v>0.24705882352941178</v>
      </c>
      <c r="H13" s="70">
        <v>7890.909090909091</v>
      </c>
      <c r="I13" s="70">
        <v>-6633.333333333333</v>
      </c>
      <c r="J13" s="69">
        <v>0.1</v>
      </c>
      <c r="K13" s="69">
        <v>0.1</v>
      </c>
      <c r="L13" s="69">
        <v>0.1</v>
      </c>
      <c r="M13" s="69">
        <v>0.23529411764705882</v>
      </c>
      <c r="N13" s="69">
        <v>0.21176470588235294</v>
      </c>
      <c r="O13" s="69">
        <v>0.5</v>
      </c>
      <c r="P13" s="69">
        <v>0.33333333333333331</v>
      </c>
      <c r="Q13" s="69">
        <v>0.36363636363636365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50C90-052F-4701-B4BD-17E5F1306485}">
  <sheetPr codeName="Sheet12"/>
  <dimension ref="A1:Q12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135</v>
      </c>
      <c r="B1" s="72" t="s">
        <v>135</v>
      </c>
      <c r="C1" s="72" t="s">
        <v>135</v>
      </c>
      <c r="D1" s="73" t="s">
        <v>135</v>
      </c>
      <c r="E1" s="72" t="s">
        <v>135</v>
      </c>
      <c r="F1" s="72" t="s">
        <v>135</v>
      </c>
      <c r="G1" s="72" t="s">
        <v>135</v>
      </c>
      <c r="H1" s="72" t="s">
        <v>135</v>
      </c>
      <c r="I1" s="72" t="s">
        <v>135</v>
      </c>
      <c r="J1" s="72" t="s">
        <v>135</v>
      </c>
      <c r="K1" s="72" t="s">
        <v>135</v>
      </c>
      <c r="L1" s="72" t="s">
        <v>135</v>
      </c>
      <c r="M1" s="72" t="s">
        <v>135</v>
      </c>
      <c r="N1" s="72" t="s">
        <v>135</v>
      </c>
      <c r="O1" s="72" t="s">
        <v>135</v>
      </c>
      <c r="P1" s="72" t="s">
        <v>135</v>
      </c>
      <c r="Q1" s="72" t="s">
        <v>135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153</v>
      </c>
      <c r="G2" s="72" t="s">
        <v>152</v>
      </c>
      <c r="H2" s="72" t="s">
        <v>5</v>
      </c>
      <c r="I2" s="72" t="s">
        <v>17</v>
      </c>
      <c r="J2" s="72" t="s">
        <v>18</v>
      </c>
      <c r="K2" s="72" t="s">
        <v>147</v>
      </c>
      <c r="L2" s="72" t="s">
        <v>168</v>
      </c>
      <c r="M2" s="72" t="s">
        <v>129</v>
      </c>
      <c r="N2" s="72" t="s">
        <v>124</v>
      </c>
      <c r="O2" s="72" t="s">
        <v>132</v>
      </c>
      <c r="P2" s="72" t="s">
        <v>154</v>
      </c>
      <c r="Q2" s="72" t="s">
        <v>150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-40.4</v>
      </c>
      <c r="C4" s="68">
        <v>-40.4</v>
      </c>
      <c r="D4" s="73">
        <v>3</v>
      </c>
      <c r="E4" s="69">
        <v>0</v>
      </c>
      <c r="F4" s="69">
        <v>0.16666666666666666</v>
      </c>
      <c r="G4" s="69">
        <v>0.33333333333333331</v>
      </c>
      <c r="H4" s="70">
        <v>2800</v>
      </c>
      <c r="I4" s="70">
        <v>-7850</v>
      </c>
      <c r="J4" s="69">
        <v>0</v>
      </c>
      <c r="K4" s="69">
        <v>0</v>
      </c>
      <c r="L4" s="69">
        <v>0</v>
      </c>
      <c r="M4" s="69">
        <v>0.16666666666666666</v>
      </c>
      <c r="N4" s="69">
        <v>0.16666666666666666</v>
      </c>
      <c r="O4" s="69">
        <v>1</v>
      </c>
      <c r="P4" s="69">
        <v>0</v>
      </c>
      <c r="Q4" s="69">
        <v>1</v>
      </c>
    </row>
    <row r="5" spans="1:17" x14ac:dyDescent="0.4">
      <c r="A5" s="71">
        <v>2</v>
      </c>
      <c r="B5" s="68">
        <v>-3.3999999999999986</v>
      </c>
      <c r="C5" s="68">
        <v>-1.6999999999999993</v>
      </c>
      <c r="D5" s="73">
        <v>2</v>
      </c>
      <c r="E5" s="69">
        <v>0.5</v>
      </c>
      <c r="F5" s="69">
        <v>0.375</v>
      </c>
      <c r="G5" s="69">
        <v>0.25</v>
      </c>
      <c r="H5" s="70">
        <v>7983.333333333333</v>
      </c>
      <c r="I5" s="70">
        <v>-9825</v>
      </c>
      <c r="J5" s="69">
        <v>0</v>
      </c>
      <c r="K5" s="69">
        <v>0</v>
      </c>
      <c r="L5" s="69">
        <v>0.5</v>
      </c>
      <c r="M5" s="69">
        <v>0.25</v>
      </c>
      <c r="N5" s="69">
        <v>0.25</v>
      </c>
      <c r="O5" s="69">
        <v>1</v>
      </c>
      <c r="P5" s="69">
        <v>0.25</v>
      </c>
      <c r="Q5" s="69">
        <v>0.33333333333333331</v>
      </c>
    </row>
    <row r="6" spans="1:17" x14ac:dyDescent="0.4">
      <c r="A6" s="71">
        <v>3</v>
      </c>
      <c r="B6" s="68">
        <v>-23.099999999999998</v>
      </c>
      <c r="C6" s="68">
        <v>-7.6999999999999993</v>
      </c>
      <c r="D6" s="73">
        <v>2</v>
      </c>
      <c r="E6" s="69">
        <v>0.33333333333333331</v>
      </c>
      <c r="F6" s="69">
        <v>0.30769230769230771</v>
      </c>
      <c r="G6" s="69">
        <v>0.26923076923076922</v>
      </c>
      <c r="H6" s="70">
        <v>6837.5</v>
      </c>
      <c r="I6" s="70">
        <v>-8471.4285714285706</v>
      </c>
      <c r="J6" s="69">
        <v>0</v>
      </c>
      <c r="K6" s="69">
        <v>0</v>
      </c>
      <c r="L6" s="69">
        <v>0.33333333333333331</v>
      </c>
      <c r="M6" s="69">
        <v>0.23076923076923078</v>
      </c>
      <c r="N6" s="69">
        <v>0.30769230769230771</v>
      </c>
      <c r="O6" s="69">
        <v>0.66666666666666663</v>
      </c>
      <c r="P6" s="69">
        <v>0.375</v>
      </c>
      <c r="Q6" s="69">
        <v>0.25</v>
      </c>
    </row>
    <row r="7" spans="1:17" x14ac:dyDescent="0.4">
      <c r="A7" s="71">
        <v>4</v>
      </c>
      <c r="B7" s="68">
        <v>-31.4</v>
      </c>
      <c r="C7" s="68">
        <v>-7.85</v>
      </c>
      <c r="D7" s="73">
        <v>2</v>
      </c>
      <c r="E7" s="69">
        <v>0.25</v>
      </c>
      <c r="F7" s="69">
        <v>0.27272727272727271</v>
      </c>
      <c r="G7" s="69">
        <v>0.24242424242424243</v>
      </c>
      <c r="H7" s="70">
        <v>7411.1111111111113</v>
      </c>
      <c r="I7" s="70">
        <v>-8137.5</v>
      </c>
      <c r="J7" s="69">
        <v>0</v>
      </c>
      <c r="K7" s="69">
        <v>0</v>
      </c>
      <c r="L7" s="69">
        <v>0.25</v>
      </c>
      <c r="M7" s="69">
        <v>0.21212121212121213</v>
      </c>
      <c r="N7" s="69">
        <v>0.24242424242424243</v>
      </c>
      <c r="O7" s="69">
        <v>0.5714285714285714</v>
      </c>
      <c r="P7" s="69">
        <v>0.375</v>
      </c>
      <c r="Q7" s="69">
        <v>0.22222222222222221</v>
      </c>
    </row>
    <row r="8" spans="1:17" x14ac:dyDescent="0.4">
      <c r="A8" s="71">
        <v>5</v>
      </c>
      <c r="B8" s="68">
        <v>-32.199999999999996</v>
      </c>
      <c r="C8" s="68">
        <v>-6.4399999999999995</v>
      </c>
      <c r="D8" s="73">
        <v>2</v>
      </c>
      <c r="E8" s="69">
        <v>0.2</v>
      </c>
      <c r="F8" s="69">
        <v>0.30232558139534882</v>
      </c>
      <c r="G8" s="69">
        <v>0.2558139534883721</v>
      </c>
      <c r="H8" s="70">
        <v>7515.3846153846152</v>
      </c>
      <c r="I8" s="70">
        <v>-8627.2727272727279</v>
      </c>
      <c r="J8" s="69">
        <v>0</v>
      </c>
      <c r="K8" s="69">
        <v>0</v>
      </c>
      <c r="L8" s="69">
        <v>0.2</v>
      </c>
      <c r="M8" s="69">
        <v>0.18604651162790697</v>
      </c>
      <c r="N8" s="69">
        <v>0.18604651162790697</v>
      </c>
      <c r="O8" s="69">
        <v>0.625</v>
      </c>
      <c r="P8" s="69">
        <v>0.375</v>
      </c>
      <c r="Q8" s="69">
        <v>0.30769230769230771</v>
      </c>
    </row>
    <row r="9" spans="1:17" x14ac:dyDescent="0.4">
      <c r="A9" s="71">
        <v>6</v>
      </c>
      <c r="B9" s="68">
        <v>-58.5</v>
      </c>
      <c r="C9" s="68">
        <v>-9.75</v>
      </c>
      <c r="D9" s="73">
        <v>2.1666666666666665</v>
      </c>
      <c r="E9" s="69">
        <v>0.16666666666666666</v>
      </c>
      <c r="F9" s="69">
        <v>0.28846153846153844</v>
      </c>
      <c r="G9" s="69">
        <v>0.26923076923076922</v>
      </c>
      <c r="H9" s="70">
        <v>7973.333333333333</v>
      </c>
      <c r="I9" s="70">
        <v>-8350</v>
      </c>
      <c r="J9" s="69">
        <v>0</v>
      </c>
      <c r="K9" s="69">
        <v>0</v>
      </c>
      <c r="L9" s="69">
        <v>0.16666666666666666</v>
      </c>
      <c r="M9" s="69">
        <v>0.21153846153846154</v>
      </c>
      <c r="N9" s="69">
        <v>0.15384615384615385</v>
      </c>
      <c r="O9" s="69">
        <v>0.63636363636363635</v>
      </c>
      <c r="P9" s="69">
        <v>0.375</v>
      </c>
      <c r="Q9" s="69">
        <v>0.33333333333333331</v>
      </c>
    </row>
    <row r="10" spans="1:17" x14ac:dyDescent="0.4">
      <c r="A10" s="71">
        <v>7</v>
      </c>
      <c r="B10" s="68">
        <v>-116.8</v>
      </c>
      <c r="C10" s="68">
        <v>-16.685714285714287</v>
      </c>
      <c r="D10" s="73">
        <v>2.2857142857142856</v>
      </c>
      <c r="E10" s="69">
        <v>0.14285714285714285</v>
      </c>
      <c r="F10" s="69">
        <v>0.26785714285714285</v>
      </c>
      <c r="G10" s="69">
        <v>0.2857142857142857</v>
      </c>
      <c r="H10" s="70">
        <v>7973.333333333333</v>
      </c>
      <c r="I10" s="70">
        <v>-9431.25</v>
      </c>
      <c r="J10" s="69">
        <v>0.14285714285714285</v>
      </c>
      <c r="K10" s="69">
        <v>0</v>
      </c>
      <c r="L10" s="69">
        <v>0.14285714285714285</v>
      </c>
      <c r="M10" s="69">
        <v>0.21428571428571427</v>
      </c>
      <c r="N10" s="69">
        <v>0.14285714285714285</v>
      </c>
      <c r="O10" s="69">
        <v>0.58333333333333337</v>
      </c>
      <c r="P10" s="69">
        <v>0.375</v>
      </c>
      <c r="Q10" s="69">
        <v>0.33333333333333331</v>
      </c>
    </row>
    <row r="11" spans="1:17" x14ac:dyDescent="0.4">
      <c r="A11" s="71">
        <v>8</v>
      </c>
      <c r="B11" s="68">
        <v>-79.599999999999994</v>
      </c>
      <c r="C11" s="68">
        <v>-9.9499999999999993</v>
      </c>
      <c r="D11" s="73">
        <v>2.125</v>
      </c>
      <c r="E11" s="69">
        <v>0.25</v>
      </c>
      <c r="F11" s="69">
        <v>0.2857142857142857</v>
      </c>
      <c r="G11" s="69">
        <v>0.25396825396825395</v>
      </c>
      <c r="H11" s="70">
        <v>7977.7777777777774</v>
      </c>
      <c r="I11" s="70">
        <v>-9431.25</v>
      </c>
      <c r="J11" s="69">
        <v>0.125</v>
      </c>
      <c r="K11" s="69">
        <v>0</v>
      </c>
      <c r="L11" s="69">
        <v>0.125</v>
      </c>
      <c r="M11" s="69">
        <v>0.23809523809523808</v>
      </c>
      <c r="N11" s="69">
        <v>0.12698412698412698</v>
      </c>
      <c r="O11" s="69">
        <v>0.6</v>
      </c>
      <c r="P11" s="69">
        <v>0.375</v>
      </c>
      <c r="Q11" s="69">
        <v>0.33333333333333331</v>
      </c>
    </row>
    <row r="12" spans="1:17" x14ac:dyDescent="0.4">
      <c r="A12" s="71">
        <v>9</v>
      </c>
      <c r="B12" s="68">
        <v>-127.6</v>
      </c>
      <c r="C12" s="68">
        <v>-14.177777777777777</v>
      </c>
      <c r="D12" s="73">
        <v>2.2222222222222223</v>
      </c>
      <c r="E12" s="69">
        <v>0.22222222222222221</v>
      </c>
      <c r="F12" s="69">
        <v>0.25333333333333335</v>
      </c>
      <c r="G12" s="69">
        <v>0.24</v>
      </c>
      <c r="H12" s="70">
        <v>7710.5263157894733</v>
      </c>
      <c r="I12" s="70">
        <v>-9244.4444444444453</v>
      </c>
      <c r="J12" s="69">
        <v>0.1111111111111111</v>
      </c>
      <c r="K12" s="69">
        <v>0</v>
      </c>
      <c r="L12" s="69">
        <v>0.1111111111111111</v>
      </c>
      <c r="M12" s="69">
        <v>0.24</v>
      </c>
      <c r="N12" s="69">
        <v>0.10666666666666667</v>
      </c>
      <c r="O12" s="69">
        <v>0.55555555555555558</v>
      </c>
      <c r="P12" s="69">
        <v>0.375</v>
      </c>
      <c r="Q12" s="69">
        <v>0.31578947368421051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CFA21-24BA-48E6-9CD8-F3C1CC71A4A3}">
  <sheetPr codeName="Sheet10"/>
  <dimension ref="A1:Q15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134</v>
      </c>
      <c r="B1" s="72" t="s">
        <v>134</v>
      </c>
      <c r="C1" s="72" t="s">
        <v>134</v>
      </c>
      <c r="D1" s="73" t="s">
        <v>134</v>
      </c>
      <c r="E1" s="72" t="s">
        <v>134</v>
      </c>
      <c r="F1" s="72" t="s">
        <v>134</v>
      </c>
      <c r="G1" s="72" t="s">
        <v>134</v>
      </c>
      <c r="H1" s="72" t="s">
        <v>134</v>
      </c>
      <c r="I1" s="72" t="s">
        <v>134</v>
      </c>
      <c r="J1" s="72" t="s">
        <v>134</v>
      </c>
      <c r="K1" s="72" t="s">
        <v>134</v>
      </c>
      <c r="L1" s="72" t="s">
        <v>134</v>
      </c>
      <c r="M1" s="72" t="s">
        <v>134</v>
      </c>
      <c r="N1" s="72" t="s">
        <v>134</v>
      </c>
      <c r="O1" s="72" t="s">
        <v>134</v>
      </c>
      <c r="P1" s="72" t="s">
        <v>134</v>
      </c>
      <c r="Q1" s="72" t="s">
        <v>134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153</v>
      </c>
      <c r="G2" s="72" t="s">
        <v>152</v>
      </c>
      <c r="H2" s="72" t="s">
        <v>5</v>
      </c>
      <c r="I2" s="72" t="s">
        <v>17</v>
      </c>
      <c r="J2" s="72" t="s">
        <v>18</v>
      </c>
      <c r="K2" s="72" t="s">
        <v>147</v>
      </c>
      <c r="L2" s="72" t="s">
        <v>168</v>
      </c>
      <c r="M2" s="72" t="s">
        <v>129</v>
      </c>
      <c r="N2" s="72" t="s">
        <v>124</v>
      </c>
      <c r="O2" s="72" t="s">
        <v>132</v>
      </c>
      <c r="P2" s="72" t="s">
        <v>154</v>
      </c>
      <c r="Q2" s="72" t="s">
        <v>150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45.5</v>
      </c>
      <c r="C4" s="68">
        <v>45.5</v>
      </c>
      <c r="D4" s="73">
        <v>1</v>
      </c>
      <c r="E4" s="69">
        <v>1</v>
      </c>
      <c r="F4" s="69">
        <v>0.5</v>
      </c>
      <c r="G4" s="69">
        <v>0.16666666666666666</v>
      </c>
      <c r="H4" s="70">
        <v>13233.333333333334</v>
      </c>
      <c r="I4" s="70">
        <v>-8000</v>
      </c>
      <c r="J4" s="69">
        <v>0</v>
      </c>
      <c r="K4" s="69">
        <v>0</v>
      </c>
      <c r="L4" s="69">
        <v>1</v>
      </c>
      <c r="M4" s="69">
        <v>0.5</v>
      </c>
      <c r="N4" s="69">
        <v>0.16666666666666666</v>
      </c>
      <c r="O4" s="69">
        <v>1</v>
      </c>
      <c r="P4" s="69">
        <v>0</v>
      </c>
      <c r="Q4" s="69">
        <v>0</v>
      </c>
    </row>
    <row r="5" spans="1:17" x14ac:dyDescent="0.4">
      <c r="A5" s="71">
        <v>2</v>
      </c>
      <c r="B5" s="68">
        <v>6.2999999999999972</v>
      </c>
      <c r="C5" s="68">
        <v>3.1499999999999986</v>
      </c>
      <c r="D5" s="73">
        <v>2</v>
      </c>
      <c r="E5" s="69">
        <v>0.5</v>
      </c>
      <c r="F5" s="69">
        <v>0.3125</v>
      </c>
      <c r="G5" s="69">
        <v>0.25</v>
      </c>
      <c r="H5" s="70">
        <v>11860</v>
      </c>
      <c r="I5" s="70">
        <v>-6950</v>
      </c>
      <c r="J5" s="69">
        <v>0</v>
      </c>
      <c r="K5" s="69">
        <v>0</v>
      </c>
      <c r="L5" s="69">
        <v>0.5</v>
      </c>
      <c r="M5" s="69">
        <v>0.375</v>
      </c>
      <c r="N5" s="69">
        <v>0.125</v>
      </c>
      <c r="O5" s="69">
        <v>0.66666666666666663</v>
      </c>
      <c r="P5" s="69">
        <v>0.5</v>
      </c>
      <c r="Q5" s="69">
        <v>0.2</v>
      </c>
    </row>
    <row r="6" spans="1:17" x14ac:dyDescent="0.4">
      <c r="A6" s="71">
        <v>3</v>
      </c>
      <c r="B6" s="68">
        <v>-47.300000000000004</v>
      </c>
      <c r="C6" s="68">
        <v>-15.766666666666667</v>
      </c>
      <c r="D6" s="73">
        <v>2.3333333333333335</v>
      </c>
      <c r="E6" s="69">
        <v>0.33333333333333331</v>
      </c>
      <c r="F6" s="69">
        <v>0.23076923076923078</v>
      </c>
      <c r="G6" s="69">
        <v>0.26923076923076922</v>
      </c>
      <c r="H6" s="70">
        <v>11483.333333333334</v>
      </c>
      <c r="I6" s="70">
        <v>-7785.7142857142853</v>
      </c>
      <c r="J6" s="69">
        <v>0</v>
      </c>
      <c r="K6" s="69">
        <v>0</v>
      </c>
      <c r="L6" s="69">
        <v>0.33333333333333331</v>
      </c>
      <c r="M6" s="69">
        <v>0.26923076923076922</v>
      </c>
      <c r="N6" s="69">
        <v>0.23076923076923078</v>
      </c>
      <c r="O6" s="69">
        <v>0.7142857142857143</v>
      </c>
      <c r="P6" s="69">
        <v>0.16666666666666666</v>
      </c>
      <c r="Q6" s="69">
        <v>0.16666666666666666</v>
      </c>
    </row>
    <row r="7" spans="1:17" x14ac:dyDescent="0.4">
      <c r="A7" s="71">
        <v>4</v>
      </c>
      <c r="B7" s="68">
        <v>13.599999999999994</v>
      </c>
      <c r="C7" s="68">
        <v>3.3999999999999986</v>
      </c>
      <c r="D7" s="73">
        <v>2</v>
      </c>
      <c r="E7" s="69">
        <v>0.5</v>
      </c>
      <c r="F7" s="69">
        <v>0.34285714285714286</v>
      </c>
      <c r="G7" s="69">
        <v>0.22857142857142856</v>
      </c>
      <c r="H7" s="70">
        <v>9500</v>
      </c>
      <c r="I7" s="70">
        <v>-7300</v>
      </c>
      <c r="J7" s="69">
        <v>0</v>
      </c>
      <c r="K7" s="69">
        <v>0</v>
      </c>
      <c r="L7" s="69">
        <v>0.25</v>
      </c>
      <c r="M7" s="69">
        <v>0.2857142857142857</v>
      </c>
      <c r="N7" s="69">
        <v>0.25714285714285712</v>
      </c>
      <c r="O7" s="69">
        <v>0.8</v>
      </c>
      <c r="P7" s="69">
        <v>0.33333333333333331</v>
      </c>
      <c r="Q7" s="69">
        <v>0.25</v>
      </c>
    </row>
    <row r="8" spans="1:17" x14ac:dyDescent="0.4">
      <c r="A8" s="71">
        <v>5</v>
      </c>
      <c r="B8" s="68">
        <v>-16.600000000000005</v>
      </c>
      <c r="C8" s="68">
        <v>-3.3200000000000012</v>
      </c>
      <c r="D8" s="73">
        <v>2.2000000000000002</v>
      </c>
      <c r="E8" s="69">
        <v>0.4</v>
      </c>
      <c r="F8" s="69">
        <v>0.28888888888888886</v>
      </c>
      <c r="G8" s="69">
        <v>0.2</v>
      </c>
      <c r="H8" s="70">
        <v>8846.1538461538457</v>
      </c>
      <c r="I8" s="70">
        <v>-6755.5555555555557</v>
      </c>
      <c r="J8" s="69">
        <v>0</v>
      </c>
      <c r="K8" s="69">
        <v>0</v>
      </c>
      <c r="L8" s="69">
        <v>0.2</v>
      </c>
      <c r="M8" s="69">
        <v>0.24444444444444444</v>
      </c>
      <c r="N8" s="69">
        <v>0.24444444444444444</v>
      </c>
      <c r="O8" s="69">
        <v>0.72727272727272729</v>
      </c>
      <c r="P8" s="69">
        <v>0.36363636363636365</v>
      </c>
      <c r="Q8" s="69">
        <v>0.23076923076923078</v>
      </c>
    </row>
    <row r="9" spans="1:17" x14ac:dyDescent="0.4">
      <c r="A9" s="71">
        <v>6</v>
      </c>
      <c r="B9" s="68">
        <v>-14.000000000000005</v>
      </c>
      <c r="C9" s="68">
        <v>-2.3333333333333344</v>
      </c>
      <c r="D9" s="73">
        <v>2.1666666666666665</v>
      </c>
      <c r="E9" s="69">
        <v>0.33333333333333331</v>
      </c>
      <c r="F9" s="69">
        <v>0.29629629629629628</v>
      </c>
      <c r="G9" s="69">
        <v>0.16666666666666666</v>
      </c>
      <c r="H9" s="70">
        <v>8231.25</v>
      </c>
      <c r="I9" s="70">
        <v>-6755.5555555555557</v>
      </c>
      <c r="J9" s="69">
        <v>0</v>
      </c>
      <c r="K9" s="69">
        <v>0</v>
      </c>
      <c r="L9" s="69">
        <v>0.16666666666666666</v>
      </c>
      <c r="M9" s="69">
        <v>0.31481481481481483</v>
      </c>
      <c r="N9" s="69">
        <v>0.22222222222222221</v>
      </c>
      <c r="O9" s="69">
        <v>0.6470588235294118</v>
      </c>
      <c r="P9" s="69">
        <v>0.33333333333333331</v>
      </c>
      <c r="Q9" s="69">
        <v>0.25</v>
      </c>
    </row>
    <row r="10" spans="1:17" x14ac:dyDescent="0.4">
      <c r="A10" s="71">
        <v>7</v>
      </c>
      <c r="B10" s="68">
        <v>-45.300000000000004</v>
      </c>
      <c r="C10" s="68">
        <v>-6.4714285714285724</v>
      </c>
      <c r="D10" s="73">
        <v>2.2857142857142856</v>
      </c>
      <c r="E10" s="69">
        <v>0.2857142857142857</v>
      </c>
      <c r="F10" s="69">
        <v>0.29508196721311475</v>
      </c>
      <c r="G10" s="69">
        <v>0.16393442622950818</v>
      </c>
      <c r="H10" s="70">
        <v>8138.8888888888887</v>
      </c>
      <c r="I10" s="70">
        <v>-7880</v>
      </c>
      <c r="J10" s="69">
        <v>0</v>
      </c>
      <c r="K10" s="69">
        <v>0</v>
      </c>
      <c r="L10" s="69">
        <v>0.14285714285714285</v>
      </c>
      <c r="M10" s="69">
        <v>0.32786885245901637</v>
      </c>
      <c r="N10" s="69">
        <v>0.19672131147540983</v>
      </c>
      <c r="O10" s="69">
        <v>0.6</v>
      </c>
      <c r="P10" s="69">
        <v>0.33333333333333331</v>
      </c>
      <c r="Q10" s="69">
        <v>0.33333333333333331</v>
      </c>
    </row>
    <row r="11" spans="1:17" x14ac:dyDescent="0.4">
      <c r="A11" s="71">
        <v>8</v>
      </c>
      <c r="B11" s="68">
        <v>-49.6</v>
      </c>
      <c r="C11" s="68">
        <v>-6.2</v>
      </c>
      <c r="D11" s="73">
        <v>2.25</v>
      </c>
      <c r="E11" s="69">
        <v>0.25</v>
      </c>
      <c r="F11" s="69">
        <v>0.26760563380281688</v>
      </c>
      <c r="G11" s="69">
        <v>0.14084507042253522</v>
      </c>
      <c r="H11" s="70">
        <v>8115.7894736842109</v>
      </c>
      <c r="I11" s="70">
        <v>-7880</v>
      </c>
      <c r="J11" s="69">
        <v>0</v>
      </c>
      <c r="K11" s="69">
        <v>0</v>
      </c>
      <c r="L11" s="69">
        <v>0.125</v>
      </c>
      <c r="M11" s="69">
        <v>0.323943661971831</v>
      </c>
      <c r="N11" s="69">
        <v>0.21126760563380281</v>
      </c>
      <c r="O11" s="69">
        <v>0.56521739130434778</v>
      </c>
      <c r="P11" s="69">
        <v>0.26666666666666666</v>
      </c>
      <c r="Q11" s="69">
        <v>0.31578947368421051</v>
      </c>
    </row>
    <row r="12" spans="1:17" x14ac:dyDescent="0.4">
      <c r="A12" s="71">
        <v>9</v>
      </c>
      <c r="B12" s="68">
        <v>-79.5</v>
      </c>
      <c r="C12" s="68">
        <v>-8.8333333333333339</v>
      </c>
      <c r="D12" s="73">
        <v>2.3333333333333335</v>
      </c>
      <c r="E12" s="69">
        <v>0.22222222222222221</v>
      </c>
      <c r="F12" s="69">
        <v>0.26923076923076922</v>
      </c>
      <c r="G12" s="69">
        <v>0.16666666666666666</v>
      </c>
      <c r="H12" s="70">
        <v>7900</v>
      </c>
      <c r="I12" s="70">
        <v>-7569.2307692307695</v>
      </c>
      <c r="J12" s="69">
        <v>0</v>
      </c>
      <c r="K12" s="69">
        <v>0</v>
      </c>
      <c r="L12" s="69">
        <v>0.1111111111111111</v>
      </c>
      <c r="M12" s="69">
        <v>0.30769230769230771</v>
      </c>
      <c r="N12" s="69">
        <v>0.21794871794871795</v>
      </c>
      <c r="O12" s="69">
        <v>0.54166666666666663</v>
      </c>
      <c r="P12" s="69">
        <v>0.23529411764705882</v>
      </c>
      <c r="Q12" s="69">
        <v>0.38095238095238093</v>
      </c>
    </row>
    <row r="13" spans="1:17" x14ac:dyDescent="0.4">
      <c r="A13" s="71">
        <v>10</v>
      </c>
      <c r="B13" s="68">
        <v>-80.900000000000006</v>
      </c>
      <c r="C13" s="68">
        <v>-8.09</v>
      </c>
      <c r="D13" s="73">
        <v>2.2999999999999998</v>
      </c>
      <c r="E13" s="69">
        <v>0.2</v>
      </c>
      <c r="F13" s="69">
        <v>0.27906976744186046</v>
      </c>
      <c r="G13" s="69">
        <v>0.16279069767441862</v>
      </c>
      <c r="H13" s="70">
        <v>7900</v>
      </c>
      <c r="I13" s="70">
        <v>-7578.5714285714284</v>
      </c>
      <c r="J13" s="69">
        <v>0</v>
      </c>
      <c r="K13" s="69">
        <v>0</v>
      </c>
      <c r="L13" s="69">
        <v>0.1</v>
      </c>
      <c r="M13" s="69">
        <v>0.32558139534883723</v>
      </c>
      <c r="N13" s="69">
        <v>0.20930232558139536</v>
      </c>
      <c r="O13" s="69">
        <v>0.5357142857142857</v>
      </c>
      <c r="P13" s="69">
        <v>0.27777777777777779</v>
      </c>
      <c r="Q13" s="69">
        <v>0.375</v>
      </c>
    </row>
    <row r="14" spans="1:17" x14ac:dyDescent="0.4">
      <c r="A14" s="71">
        <v>11</v>
      </c>
      <c r="B14" s="68">
        <v>-53.100000000000009</v>
      </c>
      <c r="C14" s="68">
        <v>-4.827272727272728</v>
      </c>
      <c r="D14" s="73">
        <v>2.1818181818181817</v>
      </c>
      <c r="E14" s="69">
        <v>0.27272727272727271</v>
      </c>
      <c r="F14" s="69">
        <v>0.29032258064516131</v>
      </c>
      <c r="G14" s="69">
        <v>0.16129032258064516</v>
      </c>
      <c r="H14" s="70">
        <v>7644.4444444444443</v>
      </c>
      <c r="I14" s="70">
        <v>-7606.666666666667</v>
      </c>
      <c r="J14" s="69">
        <v>0</v>
      </c>
      <c r="K14" s="69">
        <v>0</v>
      </c>
      <c r="L14" s="69">
        <v>9.0909090909090912E-2</v>
      </c>
      <c r="M14" s="69">
        <v>0.32258064516129031</v>
      </c>
      <c r="N14" s="69">
        <v>0.20430107526881722</v>
      </c>
      <c r="O14" s="69">
        <v>0.56666666666666665</v>
      </c>
      <c r="P14" s="69">
        <v>0.26315789473684209</v>
      </c>
      <c r="Q14" s="69">
        <v>0.37037037037037035</v>
      </c>
    </row>
    <row r="15" spans="1:17" x14ac:dyDescent="0.4">
      <c r="A15" s="71">
        <v>12</v>
      </c>
      <c r="B15" s="68">
        <v>-56.500000000000007</v>
      </c>
      <c r="C15" s="68">
        <v>-4.7083333333333339</v>
      </c>
      <c r="D15" s="73">
        <v>2.1666666666666665</v>
      </c>
      <c r="E15" s="69">
        <v>0.25</v>
      </c>
      <c r="F15" s="69">
        <v>0.30097087378640774</v>
      </c>
      <c r="G15" s="69">
        <v>0.17475728155339806</v>
      </c>
      <c r="H15" s="70">
        <v>7809.677419354839</v>
      </c>
      <c r="I15" s="70">
        <v>-8222.2222222222226</v>
      </c>
      <c r="J15" s="69">
        <v>0</v>
      </c>
      <c r="K15" s="69">
        <v>0</v>
      </c>
      <c r="L15" s="69">
        <v>8.3333333333333329E-2</v>
      </c>
      <c r="M15" s="69">
        <v>0.31067961165048541</v>
      </c>
      <c r="N15" s="69">
        <v>0.22330097087378642</v>
      </c>
      <c r="O15" s="69">
        <v>0.59375</v>
      </c>
      <c r="P15" s="69">
        <v>0.2608695652173913</v>
      </c>
      <c r="Q15" s="69">
        <v>0.38709677419354838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1CD65-E3F7-45AB-B4E8-2D2EB1278616}">
  <sheetPr codeName="Sheet8"/>
  <dimension ref="A1:Q16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133</v>
      </c>
      <c r="B1" s="72" t="s">
        <v>133</v>
      </c>
      <c r="C1" s="72" t="s">
        <v>133</v>
      </c>
      <c r="D1" s="73" t="s">
        <v>133</v>
      </c>
      <c r="E1" s="72" t="s">
        <v>133</v>
      </c>
      <c r="F1" s="72" t="s">
        <v>133</v>
      </c>
      <c r="G1" s="72" t="s">
        <v>133</v>
      </c>
      <c r="H1" s="72" t="s">
        <v>133</v>
      </c>
      <c r="I1" s="72" t="s">
        <v>133</v>
      </c>
      <c r="J1" s="72" t="s">
        <v>133</v>
      </c>
      <c r="K1" s="72" t="s">
        <v>133</v>
      </c>
      <c r="L1" s="72" t="s">
        <v>133</v>
      </c>
      <c r="M1" s="72" t="s">
        <v>133</v>
      </c>
      <c r="N1" s="72" t="s">
        <v>133</v>
      </c>
      <c r="O1" s="72" t="s">
        <v>133</v>
      </c>
      <c r="P1" s="72" t="s">
        <v>133</v>
      </c>
      <c r="Q1" s="72" t="s">
        <v>133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153</v>
      </c>
      <c r="G2" s="72" t="s">
        <v>152</v>
      </c>
      <c r="H2" s="72" t="s">
        <v>5</v>
      </c>
      <c r="I2" s="72" t="s">
        <v>17</v>
      </c>
      <c r="J2" s="72" t="s">
        <v>18</v>
      </c>
      <c r="K2" s="72" t="s">
        <v>147</v>
      </c>
      <c r="L2" s="72" t="s">
        <v>168</v>
      </c>
      <c r="M2" s="72" t="s">
        <v>129</v>
      </c>
      <c r="N2" s="72" t="s">
        <v>124</v>
      </c>
      <c r="O2" s="72" t="s">
        <v>132</v>
      </c>
      <c r="P2" s="72" t="s">
        <v>154</v>
      </c>
      <c r="Q2" s="72" t="s">
        <v>150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-5.0999999999999996</v>
      </c>
      <c r="C4" s="68">
        <v>-5.0999999999999996</v>
      </c>
      <c r="D4" s="73">
        <v>2</v>
      </c>
      <c r="E4" s="69">
        <v>0</v>
      </c>
      <c r="F4" s="69">
        <v>0.33333333333333331</v>
      </c>
      <c r="G4" s="69">
        <v>0.16666666666666666</v>
      </c>
      <c r="H4" s="70">
        <v>10000</v>
      </c>
      <c r="I4" s="70">
        <v>-24000</v>
      </c>
      <c r="J4" s="69">
        <v>0</v>
      </c>
      <c r="K4" s="69">
        <v>0</v>
      </c>
      <c r="L4" s="69">
        <v>0</v>
      </c>
      <c r="M4" s="69">
        <v>0.33333333333333331</v>
      </c>
      <c r="N4" s="69">
        <v>0.33333333333333331</v>
      </c>
      <c r="O4" s="69">
        <v>1</v>
      </c>
      <c r="P4" s="69">
        <v>0</v>
      </c>
      <c r="Q4" s="69">
        <v>0.5</v>
      </c>
    </row>
    <row r="5" spans="1:17" x14ac:dyDescent="0.4">
      <c r="A5" s="71">
        <v>2</v>
      </c>
      <c r="B5" s="68">
        <v>-2.8999999999999995</v>
      </c>
      <c r="C5" s="68">
        <v>-1.4499999999999997</v>
      </c>
      <c r="D5" s="73">
        <v>2</v>
      </c>
      <c r="E5" s="69">
        <v>0</v>
      </c>
      <c r="F5" s="69">
        <v>0.3125</v>
      </c>
      <c r="G5" s="69">
        <v>0.1875</v>
      </c>
      <c r="H5" s="70">
        <v>10780</v>
      </c>
      <c r="I5" s="70">
        <v>-13733.333333333334</v>
      </c>
      <c r="J5" s="69">
        <v>0</v>
      </c>
      <c r="K5" s="69">
        <v>0</v>
      </c>
      <c r="L5" s="69">
        <v>0</v>
      </c>
      <c r="M5" s="69">
        <v>0.375</v>
      </c>
      <c r="N5" s="69">
        <v>0.375</v>
      </c>
      <c r="O5" s="69">
        <v>0.5</v>
      </c>
      <c r="P5" s="69">
        <v>0.33333333333333331</v>
      </c>
      <c r="Q5" s="69">
        <v>0.4</v>
      </c>
    </row>
    <row r="6" spans="1:17" x14ac:dyDescent="0.4">
      <c r="A6" s="71">
        <v>3</v>
      </c>
      <c r="B6" s="68">
        <v>70.399999999999991</v>
      </c>
      <c r="C6" s="68">
        <v>23.466666666666665</v>
      </c>
      <c r="D6" s="73">
        <v>1.6666666666666667</v>
      </c>
      <c r="E6" s="69">
        <v>0.33333333333333331</v>
      </c>
      <c r="F6" s="69">
        <v>0.38461538461538464</v>
      </c>
      <c r="G6" s="69">
        <v>0.15384615384615385</v>
      </c>
      <c r="H6" s="70">
        <v>9910</v>
      </c>
      <c r="I6" s="70">
        <v>-11025</v>
      </c>
      <c r="J6" s="69">
        <v>0</v>
      </c>
      <c r="K6" s="69">
        <v>0</v>
      </c>
      <c r="L6" s="69">
        <v>0</v>
      </c>
      <c r="M6" s="69">
        <v>0.46153846153846156</v>
      </c>
      <c r="N6" s="69">
        <v>0.26923076923076922</v>
      </c>
      <c r="O6" s="69">
        <v>0.41666666666666669</v>
      </c>
      <c r="P6" s="69">
        <v>0.42857142857142855</v>
      </c>
      <c r="Q6" s="69">
        <v>0.3</v>
      </c>
    </row>
    <row r="7" spans="1:17" x14ac:dyDescent="0.4">
      <c r="A7" s="71">
        <v>4</v>
      </c>
      <c r="B7" s="68">
        <v>110.5</v>
      </c>
      <c r="C7" s="68">
        <v>27.625</v>
      </c>
      <c r="D7" s="73">
        <v>1.5</v>
      </c>
      <c r="E7" s="69">
        <v>0.5</v>
      </c>
      <c r="F7" s="69">
        <v>0.42424242424242425</v>
      </c>
      <c r="G7" s="69">
        <v>0.15151515151515152</v>
      </c>
      <c r="H7" s="70">
        <v>8442.8571428571431</v>
      </c>
      <c r="I7" s="70">
        <v>-9220</v>
      </c>
      <c r="J7" s="69">
        <v>0</v>
      </c>
      <c r="K7" s="69">
        <v>0</v>
      </c>
      <c r="L7" s="69">
        <v>0</v>
      </c>
      <c r="M7" s="69">
        <v>0.45454545454545453</v>
      </c>
      <c r="N7" s="69">
        <v>0.24242424242424243</v>
      </c>
      <c r="O7" s="69">
        <v>0.46666666666666667</v>
      </c>
      <c r="P7" s="69">
        <v>0.5</v>
      </c>
      <c r="Q7" s="69">
        <v>0.21428571428571427</v>
      </c>
    </row>
    <row r="8" spans="1:17" x14ac:dyDescent="0.4">
      <c r="A8" s="71">
        <v>5</v>
      </c>
      <c r="B8" s="68">
        <v>201.4</v>
      </c>
      <c r="C8" s="68">
        <v>40.28</v>
      </c>
      <c r="D8" s="73">
        <v>1.4</v>
      </c>
      <c r="E8" s="69">
        <v>0.6</v>
      </c>
      <c r="F8" s="69">
        <v>0.47499999999999998</v>
      </c>
      <c r="G8" s="69">
        <v>0.125</v>
      </c>
      <c r="H8" s="70">
        <v>9663.1578947368416</v>
      </c>
      <c r="I8" s="70">
        <v>-9220</v>
      </c>
      <c r="J8" s="69">
        <v>0</v>
      </c>
      <c r="K8" s="69">
        <v>0.2</v>
      </c>
      <c r="L8" s="69">
        <v>0.2</v>
      </c>
      <c r="M8" s="69">
        <v>0.4</v>
      </c>
      <c r="N8" s="69">
        <v>0.25</v>
      </c>
      <c r="O8" s="69">
        <v>0.5</v>
      </c>
      <c r="P8" s="69">
        <v>0.6</v>
      </c>
      <c r="Q8" s="69">
        <v>0.26315789473684209</v>
      </c>
    </row>
    <row r="9" spans="1:17" x14ac:dyDescent="0.4">
      <c r="A9" s="71">
        <v>6</v>
      </c>
      <c r="B9" s="68">
        <v>232.4</v>
      </c>
      <c r="C9" s="68">
        <v>38.733333333333334</v>
      </c>
      <c r="D9" s="73">
        <v>1.3333333333333333</v>
      </c>
      <c r="E9" s="69">
        <v>0.66666666666666663</v>
      </c>
      <c r="F9" s="69">
        <v>0.44</v>
      </c>
      <c r="G9" s="69">
        <v>0.14000000000000001</v>
      </c>
      <c r="H9" s="70">
        <v>9700</v>
      </c>
      <c r="I9" s="70">
        <v>-9014.2857142857138</v>
      </c>
      <c r="J9" s="69">
        <v>0</v>
      </c>
      <c r="K9" s="69">
        <v>0.16666666666666666</v>
      </c>
      <c r="L9" s="69">
        <v>0.33333333333333331</v>
      </c>
      <c r="M9" s="69">
        <v>0.42</v>
      </c>
      <c r="N9" s="69">
        <v>0.24</v>
      </c>
      <c r="O9" s="69">
        <v>0.42857142857142855</v>
      </c>
      <c r="P9" s="69">
        <v>0.66666666666666663</v>
      </c>
      <c r="Q9" s="69">
        <v>0.22727272727272727</v>
      </c>
    </row>
    <row r="10" spans="1:17" x14ac:dyDescent="0.4">
      <c r="A10" s="71">
        <v>7</v>
      </c>
      <c r="B10" s="68">
        <v>256.10000000000002</v>
      </c>
      <c r="C10" s="68">
        <v>36.585714285714289</v>
      </c>
      <c r="D10" s="73">
        <v>1.2857142857142858</v>
      </c>
      <c r="E10" s="69">
        <v>0.7142857142857143</v>
      </c>
      <c r="F10" s="69">
        <v>0.44067796610169491</v>
      </c>
      <c r="G10" s="69">
        <v>0.15254237288135594</v>
      </c>
      <c r="H10" s="70">
        <v>8938.461538461539</v>
      </c>
      <c r="I10" s="70">
        <v>-7733.333333333333</v>
      </c>
      <c r="J10" s="69">
        <v>0</v>
      </c>
      <c r="K10" s="69">
        <v>0.14285714285714285</v>
      </c>
      <c r="L10" s="69">
        <v>0.42857142857142855</v>
      </c>
      <c r="M10" s="69">
        <v>0.3728813559322034</v>
      </c>
      <c r="N10" s="69">
        <v>0.2711864406779661</v>
      </c>
      <c r="O10" s="69">
        <v>0.45454545454545453</v>
      </c>
      <c r="P10" s="69">
        <v>0.625</v>
      </c>
      <c r="Q10" s="69">
        <v>0.26923076923076922</v>
      </c>
    </row>
    <row r="11" spans="1:17" x14ac:dyDescent="0.4">
      <c r="A11" s="71">
        <v>8</v>
      </c>
      <c r="B11" s="68">
        <v>285.20000000000005</v>
      </c>
      <c r="C11" s="68">
        <v>35.650000000000006</v>
      </c>
      <c r="D11" s="73">
        <v>1.25</v>
      </c>
      <c r="E11" s="69">
        <v>0.75</v>
      </c>
      <c r="F11" s="69">
        <v>0.43478260869565216</v>
      </c>
      <c r="G11" s="69">
        <v>0.15942028985507245</v>
      </c>
      <c r="H11" s="70">
        <v>8296.6666666666661</v>
      </c>
      <c r="I11" s="70">
        <v>-7409.090909090909</v>
      </c>
      <c r="J11" s="69">
        <v>0</v>
      </c>
      <c r="K11" s="69">
        <v>0.125</v>
      </c>
      <c r="L11" s="69">
        <v>0.5</v>
      </c>
      <c r="M11" s="69">
        <v>0.34782608695652173</v>
      </c>
      <c r="N11" s="69">
        <v>0.2608695652173913</v>
      </c>
      <c r="O11" s="69">
        <v>0.45833333333333331</v>
      </c>
      <c r="P11" s="69">
        <v>0.61111111111111116</v>
      </c>
      <c r="Q11" s="69">
        <v>0.3</v>
      </c>
    </row>
    <row r="12" spans="1:17" x14ac:dyDescent="0.4">
      <c r="A12" s="71">
        <v>9</v>
      </c>
      <c r="B12" s="68">
        <v>277.90000000000003</v>
      </c>
      <c r="C12" s="68">
        <v>30.87777777777778</v>
      </c>
      <c r="D12" s="73">
        <v>1.3333333333333333</v>
      </c>
      <c r="E12" s="69">
        <v>0.66666666666666663</v>
      </c>
      <c r="F12" s="69">
        <v>0.42105263157894735</v>
      </c>
      <c r="G12" s="69">
        <v>0.15789473684210525</v>
      </c>
      <c r="H12" s="70">
        <v>8140.625</v>
      </c>
      <c r="I12" s="70">
        <v>-7458.333333333333</v>
      </c>
      <c r="J12" s="69">
        <v>0</v>
      </c>
      <c r="K12" s="69">
        <v>0.1111111111111111</v>
      </c>
      <c r="L12" s="69">
        <v>0.44444444444444442</v>
      </c>
      <c r="M12" s="69">
        <v>0.34210526315789475</v>
      </c>
      <c r="N12" s="69">
        <v>0.25</v>
      </c>
      <c r="O12" s="69">
        <v>0.5</v>
      </c>
      <c r="P12" s="69">
        <v>0.57894736842105265</v>
      </c>
      <c r="Q12" s="69">
        <v>0.28125</v>
      </c>
    </row>
    <row r="13" spans="1:17" x14ac:dyDescent="0.4">
      <c r="A13" s="71">
        <v>10</v>
      </c>
      <c r="B13" s="68">
        <v>246.20000000000005</v>
      </c>
      <c r="C13" s="68">
        <v>24.620000000000005</v>
      </c>
      <c r="D13" s="73">
        <v>1.5</v>
      </c>
      <c r="E13" s="69">
        <v>0.6</v>
      </c>
      <c r="F13" s="69">
        <v>0.40476190476190477</v>
      </c>
      <c r="G13" s="69">
        <v>0.17857142857142858</v>
      </c>
      <c r="H13" s="70">
        <v>8229.4117647058829</v>
      </c>
      <c r="I13" s="70">
        <v>-7546.666666666667</v>
      </c>
      <c r="J13" s="69">
        <v>0</v>
      </c>
      <c r="K13" s="69">
        <v>0.1</v>
      </c>
      <c r="L13" s="69">
        <v>0.4</v>
      </c>
      <c r="M13" s="69">
        <v>0.35714285714285715</v>
      </c>
      <c r="N13" s="69">
        <v>0.25</v>
      </c>
      <c r="O13" s="69">
        <v>0.46666666666666667</v>
      </c>
      <c r="P13" s="69">
        <v>0.5714285714285714</v>
      </c>
      <c r="Q13" s="69">
        <v>0.26470588235294118</v>
      </c>
    </row>
    <row r="14" spans="1:17" x14ac:dyDescent="0.4">
      <c r="A14" s="71">
        <v>11</v>
      </c>
      <c r="B14" s="68">
        <v>333.30000000000007</v>
      </c>
      <c r="C14" s="68">
        <v>30.300000000000008</v>
      </c>
      <c r="D14" s="73">
        <v>1.4545454545454546</v>
      </c>
      <c r="E14" s="69">
        <v>0.63636363636363635</v>
      </c>
      <c r="F14" s="69">
        <v>0.44565217391304346</v>
      </c>
      <c r="G14" s="69">
        <v>0.16304347826086957</v>
      </c>
      <c r="H14" s="70">
        <v>8234.1463414634145</v>
      </c>
      <c r="I14" s="70">
        <v>-7546.666666666667</v>
      </c>
      <c r="J14" s="69">
        <v>0</v>
      </c>
      <c r="K14" s="69">
        <v>0.18181818181818182</v>
      </c>
      <c r="L14" s="69">
        <v>0.36363636363636365</v>
      </c>
      <c r="M14" s="69">
        <v>0.38043478260869568</v>
      </c>
      <c r="N14" s="69">
        <v>0.2391304347826087</v>
      </c>
      <c r="O14" s="69">
        <v>0.51428571428571423</v>
      </c>
      <c r="P14" s="69">
        <v>0.59090909090909094</v>
      </c>
      <c r="Q14" s="69">
        <v>0.29268292682926828</v>
      </c>
    </row>
    <row r="15" spans="1:17" x14ac:dyDescent="0.4">
      <c r="A15" s="71">
        <v>12</v>
      </c>
      <c r="B15" s="68">
        <v>371.70000000000005</v>
      </c>
      <c r="C15" s="68">
        <v>30.975000000000005</v>
      </c>
      <c r="D15" s="73">
        <v>1.4166666666666667</v>
      </c>
      <c r="E15" s="69">
        <v>0.66666666666666663</v>
      </c>
      <c r="F15" s="69">
        <v>0.45</v>
      </c>
      <c r="G15" s="69">
        <v>0.15</v>
      </c>
      <c r="H15" s="70">
        <v>7868.8888888888887</v>
      </c>
      <c r="I15" s="70">
        <v>-7546.666666666667</v>
      </c>
      <c r="J15" s="69">
        <v>0</v>
      </c>
      <c r="K15" s="69">
        <v>0.16666666666666666</v>
      </c>
      <c r="L15" s="69">
        <v>0.33333333333333331</v>
      </c>
      <c r="M15" s="69">
        <v>0.38</v>
      </c>
      <c r="N15" s="69">
        <v>0.25</v>
      </c>
      <c r="O15" s="69">
        <v>0.52631578947368418</v>
      </c>
      <c r="P15" s="69">
        <v>0.6</v>
      </c>
      <c r="Q15" s="69">
        <v>0.26666666666666666</v>
      </c>
    </row>
    <row r="16" spans="1:17" x14ac:dyDescent="0.4">
      <c r="A16" s="71">
        <v>13</v>
      </c>
      <c r="B16" s="68">
        <v>418.90000000000003</v>
      </c>
      <c r="C16" s="68">
        <v>32.223076923076924</v>
      </c>
      <c r="D16" s="73">
        <v>1.3846153846153846</v>
      </c>
      <c r="E16" s="69">
        <v>0.69230769230769229</v>
      </c>
      <c r="F16" s="69">
        <v>0.44444444444444442</v>
      </c>
      <c r="G16" s="69">
        <v>0.1388888888888889</v>
      </c>
      <c r="H16" s="70">
        <v>7870.833333333333</v>
      </c>
      <c r="I16" s="70">
        <v>-7546.666666666667</v>
      </c>
      <c r="J16" s="69">
        <v>0</v>
      </c>
      <c r="K16" s="69">
        <v>0.15384615384615385</v>
      </c>
      <c r="L16" s="69">
        <v>0.30769230769230771</v>
      </c>
      <c r="M16" s="69">
        <v>0.3611111111111111</v>
      </c>
      <c r="N16" s="69">
        <v>0.25925925925925924</v>
      </c>
      <c r="O16" s="69">
        <v>0.51282051282051277</v>
      </c>
      <c r="P16" s="69">
        <v>0.6428571428571429</v>
      </c>
      <c r="Q16" s="69">
        <v>0.3125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A1361-B8F7-4A5B-8347-6AAEAD6360B6}">
  <sheetPr codeName="Sheet6"/>
  <dimension ref="A1:Q23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151</v>
      </c>
      <c r="B1" s="72" t="s">
        <v>151</v>
      </c>
      <c r="C1" s="72" t="s">
        <v>151</v>
      </c>
      <c r="D1" s="73" t="s">
        <v>151</v>
      </c>
      <c r="E1" s="72" t="s">
        <v>151</v>
      </c>
      <c r="F1" s="72" t="s">
        <v>151</v>
      </c>
      <c r="G1" s="72" t="s">
        <v>151</v>
      </c>
      <c r="H1" s="72" t="s">
        <v>151</v>
      </c>
      <c r="I1" s="72" t="s">
        <v>151</v>
      </c>
      <c r="J1" s="72" t="s">
        <v>151</v>
      </c>
      <c r="K1" s="72" t="s">
        <v>151</v>
      </c>
      <c r="L1" s="72" t="s">
        <v>151</v>
      </c>
      <c r="M1" s="72" t="s">
        <v>151</v>
      </c>
      <c r="N1" s="72" t="s">
        <v>151</v>
      </c>
      <c r="O1" s="72" t="s">
        <v>151</v>
      </c>
      <c r="P1" s="72" t="s">
        <v>151</v>
      </c>
      <c r="Q1" s="72" t="s">
        <v>151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153</v>
      </c>
      <c r="G2" s="72" t="s">
        <v>152</v>
      </c>
      <c r="H2" s="72" t="s">
        <v>5</v>
      </c>
      <c r="I2" s="72" t="s">
        <v>17</v>
      </c>
      <c r="J2" s="72" t="s">
        <v>18</v>
      </c>
      <c r="K2" s="72" t="s">
        <v>147</v>
      </c>
      <c r="L2" s="72" t="s">
        <v>168</v>
      </c>
      <c r="M2" s="72" t="s">
        <v>129</v>
      </c>
      <c r="N2" s="72" t="s">
        <v>124</v>
      </c>
      <c r="O2" s="72" t="s">
        <v>132</v>
      </c>
      <c r="P2" s="72" t="s">
        <v>154</v>
      </c>
      <c r="Q2" s="72" t="s">
        <v>150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0</v>
      </c>
      <c r="C4" s="68">
        <v>0</v>
      </c>
      <c r="D4" s="73">
        <v>2</v>
      </c>
      <c r="E4" s="69">
        <v>0.33333333333333331</v>
      </c>
      <c r="F4" s="69">
        <v>0.33333333333333331</v>
      </c>
      <c r="G4" s="69">
        <v>0.22222222222222221</v>
      </c>
      <c r="H4" s="70">
        <v>10416.666666666666</v>
      </c>
      <c r="I4" s="70">
        <v>-11925</v>
      </c>
      <c r="J4" s="69">
        <v>0</v>
      </c>
      <c r="K4" s="69">
        <v>0</v>
      </c>
      <c r="L4" s="69">
        <v>0.33333333333333331</v>
      </c>
      <c r="M4" s="69">
        <v>0.33333333333333331</v>
      </c>
      <c r="N4" s="69">
        <v>0.22222222222222221</v>
      </c>
      <c r="O4" s="69">
        <v>1</v>
      </c>
      <c r="P4" s="69">
        <v>0</v>
      </c>
      <c r="Q4" s="69">
        <v>0.33333333333333331</v>
      </c>
    </row>
    <row r="5" spans="1:17" x14ac:dyDescent="0.4">
      <c r="A5" s="71">
        <v>2</v>
      </c>
      <c r="B5" s="68">
        <v>0</v>
      </c>
      <c r="C5" s="68">
        <v>0</v>
      </c>
      <c r="D5" s="73">
        <v>2</v>
      </c>
      <c r="E5" s="69">
        <v>0.33333333333333331</v>
      </c>
      <c r="F5" s="69">
        <v>0.33333333333333331</v>
      </c>
      <c r="G5" s="69">
        <v>0.22916666666666666</v>
      </c>
      <c r="H5" s="70">
        <v>10068.75</v>
      </c>
      <c r="I5" s="70">
        <v>-9845.454545454546</v>
      </c>
      <c r="J5" s="69">
        <v>0</v>
      </c>
      <c r="K5" s="69">
        <v>0</v>
      </c>
      <c r="L5" s="69">
        <v>0.33333333333333331</v>
      </c>
      <c r="M5" s="69">
        <v>0.33333333333333331</v>
      </c>
      <c r="N5" s="69">
        <v>0.25</v>
      </c>
      <c r="O5" s="69">
        <v>0.6875</v>
      </c>
      <c r="P5" s="69">
        <v>0.33333333333333331</v>
      </c>
      <c r="Q5" s="69">
        <v>0.3125</v>
      </c>
    </row>
    <row r="6" spans="1:17" x14ac:dyDescent="0.4">
      <c r="A6" s="71">
        <v>3</v>
      </c>
      <c r="B6" s="68">
        <v>-3.5527136788005009E-15</v>
      </c>
      <c r="C6" s="68">
        <v>-3.9474596431116675E-16</v>
      </c>
      <c r="D6" s="73">
        <v>2</v>
      </c>
      <c r="E6" s="69">
        <v>0.33333333333333331</v>
      </c>
      <c r="F6" s="69">
        <v>0.30769230769230771</v>
      </c>
      <c r="G6" s="69">
        <v>0.23076923076923078</v>
      </c>
      <c r="H6" s="70">
        <v>9279.1666666666661</v>
      </c>
      <c r="I6" s="70">
        <v>-8772.2222222222226</v>
      </c>
      <c r="J6" s="69">
        <v>0</v>
      </c>
      <c r="K6" s="69">
        <v>0</v>
      </c>
      <c r="L6" s="69">
        <v>0.22222222222222221</v>
      </c>
      <c r="M6" s="69">
        <v>0.32051282051282054</v>
      </c>
      <c r="N6" s="69">
        <v>0.26923076923076922</v>
      </c>
      <c r="O6" s="69">
        <v>0.56000000000000005</v>
      </c>
      <c r="P6" s="69">
        <v>0.33333333333333331</v>
      </c>
      <c r="Q6" s="69">
        <v>0.25</v>
      </c>
    </row>
    <row r="7" spans="1:17" x14ac:dyDescent="0.4">
      <c r="A7" s="71">
        <v>4</v>
      </c>
      <c r="B7" s="68">
        <v>-8.8817841970012523E-15</v>
      </c>
      <c r="C7" s="68">
        <v>-7.4014868308343773E-16</v>
      </c>
      <c r="D7" s="73">
        <v>2</v>
      </c>
      <c r="E7" s="69">
        <v>0.33333333333333331</v>
      </c>
      <c r="F7" s="69">
        <v>0.30303030303030304</v>
      </c>
      <c r="G7" s="69">
        <v>0.24242424242424243</v>
      </c>
      <c r="H7" s="70">
        <v>8393.3333333333339</v>
      </c>
      <c r="I7" s="70">
        <v>-7791.666666666667</v>
      </c>
      <c r="J7" s="69">
        <v>0</v>
      </c>
      <c r="K7" s="69">
        <v>0</v>
      </c>
      <c r="L7" s="69">
        <v>0.16666666666666666</v>
      </c>
      <c r="M7" s="69">
        <v>0.30303030303030304</v>
      </c>
      <c r="N7" s="69">
        <v>0.26262626262626265</v>
      </c>
      <c r="O7" s="69">
        <v>0.53333333333333333</v>
      </c>
      <c r="P7" s="69">
        <v>0.30769230769230771</v>
      </c>
      <c r="Q7" s="69">
        <v>0.2</v>
      </c>
    </row>
    <row r="8" spans="1:17" x14ac:dyDescent="0.4">
      <c r="A8" s="71">
        <v>5</v>
      </c>
      <c r="B8" s="68">
        <v>-1.0658141036401503E-14</v>
      </c>
      <c r="C8" s="68">
        <v>-7.1054273576010023E-16</v>
      </c>
      <c r="D8" s="73">
        <v>2</v>
      </c>
      <c r="E8" s="69">
        <v>0.33333333333333331</v>
      </c>
      <c r="F8" s="69">
        <v>0.30158730158730157</v>
      </c>
      <c r="G8" s="69">
        <v>0.23015873015873015</v>
      </c>
      <c r="H8" s="70">
        <v>7971.0526315789475</v>
      </c>
      <c r="I8" s="70">
        <v>-7324.1379310344828</v>
      </c>
      <c r="J8" s="69">
        <v>0</v>
      </c>
      <c r="K8" s="69">
        <v>0</v>
      </c>
      <c r="L8" s="69">
        <v>0.13333333333333333</v>
      </c>
      <c r="M8" s="69">
        <v>0.29365079365079366</v>
      </c>
      <c r="N8" s="69">
        <v>0.25396825396825395</v>
      </c>
      <c r="O8" s="69">
        <v>0.54054054054054057</v>
      </c>
      <c r="P8" s="69">
        <v>0.34375</v>
      </c>
      <c r="Q8" s="69">
        <v>0.23684210526315788</v>
      </c>
    </row>
    <row r="9" spans="1:17" x14ac:dyDescent="0.4">
      <c r="A9" s="71">
        <v>6</v>
      </c>
      <c r="B9" s="68">
        <v>-3.5527136788005009E-15</v>
      </c>
      <c r="C9" s="68">
        <v>-1.9737298215558337E-16</v>
      </c>
      <c r="D9" s="73">
        <v>2</v>
      </c>
      <c r="E9" s="69">
        <v>0.33333333333333331</v>
      </c>
      <c r="F9" s="69">
        <v>0.30612244897959184</v>
      </c>
      <c r="G9" s="69">
        <v>0.21768707482993196</v>
      </c>
      <c r="H9" s="70">
        <v>8540</v>
      </c>
      <c r="I9" s="70">
        <v>-8118.75</v>
      </c>
      <c r="J9" s="69">
        <v>5.5555555555555552E-2</v>
      </c>
      <c r="K9" s="69">
        <v>5.5555555555555552E-2</v>
      </c>
      <c r="L9" s="69">
        <v>0.16666666666666666</v>
      </c>
      <c r="M9" s="69">
        <v>0.27210884353741499</v>
      </c>
      <c r="N9" s="69">
        <v>0.23809523809523808</v>
      </c>
      <c r="O9" s="69">
        <v>0.52500000000000002</v>
      </c>
      <c r="P9" s="69">
        <v>0.37142857142857144</v>
      </c>
      <c r="Q9" s="69">
        <v>0.26666666666666666</v>
      </c>
    </row>
    <row r="10" spans="1:17" x14ac:dyDescent="0.4">
      <c r="A10" s="71">
        <v>7</v>
      </c>
      <c r="B10" s="68">
        <v>-2.886579864025407E-15</v>
      </c>
      <c r="C10" s="68">
        <v>-1.3745618400120986E-16</v>
      </c>
      <c r="D10" s="73">
        <v>2</v>
      </c>
      <c r="E10" s="69">
        <v>0.33333333333333331</v>
      </c>
      <c r="F10" s="69">
        <v>0.29943502824858759</v>
      </c>
      <c r="G10" s="69">
        <v>0.21468926553672316</v>
      </c>
      <c r="H10" s="70">
        <v>8416.9811320754725</v>
      </c>
      <c r="I10" s="70">
        <v>-8131.5789473684208</v>
      </c>
      <c r="J10" s="69">
        <v>4.7619047619047616E-2</v>
      </c>
      <c r="K10" s="69">
        <v>4.7619047619047616E-2</v>
      </c>
      <c r="L10" s="69">
        <v>0.19047619047619047</v>
      </c>
      <c r="M10" s="69">
        <v>0.2655367231638418</v>
      </c>
      <c r="N10" s="69">
        <v>0.22033898305084745</v>
      </c>
      <c r="O10" s="69">
        <v>0.48936170212765956</v>
      </c>
      <c r="P10" s="69">
        <v>0.41025641025641024</v>
      </c>
      <c r="Q10" s="69">
        <v>0.26415094339622641</v>
      </c>
    </row>
    <row r="11" spans="1:17" x14ac:dyDescent="0.4">
      <c r="A11" s="71">
        <v>8</v>
      </c>
      <c r="B11" s="68">
        <v>-3.5527136788005009E-15</v>
      </c>
      <c r="C11" s="68">
        <v>-1.4802973661668753E-16</v>
      </c>
      <c r="D11" s="73">
        <v>2</v>
      </c>
      <c r="E11" s="69">
        <v>0.33333333333333331</v>
      </c>
      <c r="F11" s="69">
        <v>0.30392156862745096</v>
      </c>
      <c r="G11" s="69">
        <v>0.2107843137254902</v>
      </c>
      <c r="H11" s="70">
        <v>8124.1935483870966</v>
      </c>
      <c r="I11" s="70">
        <v>-7848.8372093023254</v>
      </c>
      <c r="J11" s="69">
        <v>4.1666666666666664E-2</v>
      </c>
      <c r="K11" s="69">
        <v>4.1666666666666664E-2</v>
      </c>
      <c r="L11" s="69">
        <v>0.20833333333333334</v>
      </c>
      <c r="M11" s="69">
        <v>0.27941176470588236</v>
      </c>
      <c r="N11" s="69">
        <v>0.21568627450980393</v>
      </c>
      <c r="O11" s="69">
        <v>0.50877192982456143</v>
      </c>
      <c r="P11" s="69">
        <v>0.40909090909090912</v>
      </c>
      <c r="Q11" s="69">
        <v>0.29032258064516131</v>
      </c>
    </row>
    <row r="12" spans="1:17" x14ac:dyDescent="0.4">
      <c r="A12" s="71">
        <v>9</v>
      </c>
      <c r="B12" s="68">
        <v>-1.3322676295501878E-15</v>
      </c>
      <c r="C12" s="68">
        <v>-4.9343245538895844E-17</v>
      </c>
      <c r="D12" s="73">
        <v>2</v>
      </c>
      <c r="E12" s="69">
        <v>0.33333333333333331</v>
      </c>
      <c r="F12" s="69">
        <v>0.30666666666666664</v>
      </c>
      <c r="G12" s="69">
        <v>0.20444444444444446</v>
      </c>
      <c r="H12" s="70">
        <v>8147.826086956522</v>
      </c>
      <c r="I12" s="70">
        <v>-8073.913043478261</v>
      </c>
      <c r="J12" s="69">
        <v>3.7037037037037035E-2</v>
      </c>
      <c r="K12" s="69">
        <v>3.7037037037037035E-2</v>
      </c>
      <c r="L12" s="69">
        <v>0.18518518518518517</v>
      </c>
      <c r="M12" s="69">
        <v>0.27111111111111114</v>
      </c>
      <c r="N12" s="69">
        <v>0.21777777777777776</v>
      </c>
      <c r="O12" s="69">
        <v>0.50819672131147542</v>
      </c>
      <c r="P12" s="69">
        <v>0.40816326530612246</v>
      </c>
      <c r="Q12" s="69">
        <v>0.3188405797101449</v>
      </c>
    </row>
    <row r="13" spans="1:17" x14ac:dyDescent="0.4">
      <c r="A13" s="71">
        <v>10</v>
      </c>
      <c r="B13" s="68">
        <v>0</v>
      </c>
      <c r="C13" s="68">
        <v>0</v>
      </c>
      <c r="D13" s="73">
        <v>2</v>
      </c>
      <c r="E13" s="69">
        <v>0.33333333333333331</v>
      </c>
      <c r="F13" s="69">
        <v>0.30801687763713081</v>
      </c>
      <c r="G13" s="69">
        <v>0.20675105485232068</v>
      </c>
      <c r="H13" s="70">
        <v>8242.465753424658</v>
      </c>
      <c r="I13" s="70">
        <v>-8353.0612244897966</v>
      </c>
      <c r="J13" s="69">
        <v>6.6666666666666666E-2</v>
      </c>
      <c r="K13" s="69">
        <v>6.6666666666666666E-2</v>
      </c>
      <c r="L13" s="69">
        <v>0.2</v>
      </c>
      <c r="M13" s="69">
        <v>0.26582278481012656</v>
      </c>
      <c r="N13" s="69">
        <v>0.22362869198312235</v>
      </c>
      <c r="O13" s="69">
        <v>0.50793650793650791</v>
      </c>
      <c r="P13" s="69">
        <v>0.41509433962264153</v>
      </c>
      <c r="Q13" s="69">
        <v>0.31506849315068491</v>
      </c>
    </row>
    <row r="14" spans="1:17" x14ac:dyDescent="0.4">
      <c r="A14" s="71">
        <v>11</v>
      </c>
      <c r="B14" s="68">
        <v>8.8817841970012523E-16</v>
      </c>
      <c r="C14" s="68">
        <v>2.6914497566670462E-17</v>
      </c>
      <c r="D14" s="73">
        <v>2</v>
      </c>
      <c r="E14" s="69">
        <v>0.33333333333333331</v>
      </c>
      <c r="F14" s="69">
        <v>0.30337078651685395</v>
      </c>
      <c r="G14" s="69">
        <v>0.20224719101123595</v>
      </c>
      <c r="H14" s="70">
        <v>7923.4567901234568</v>
      </c>
      <c r="I14" s="70">
        <v>-8040.7407407407409</v>
      </c>
      <c r="J14" s="69">
        <v>6.0606060606060608E-2</v>
      </c>
      <c r="K14" s="69">
        <v>6.0606060606060608E-2</v>
      </c>
      <c r="L14" s="69">
        <v>0.21212121212121213</v>
      </c>
      <c r="M14" s="69">
        <v>0.26217228464419473</v>
      </c>
      <c r="N14" s="69">
        <v>0.22097378277153559</v>
      </c>
      <c r="O14" s="69">
        <v>0.51428571428571423</v>
      </c>
      <c r="P14" s="69">
        <v>0.40677966101694918</v>
      </c>
      <c r="Q14" s="69">
        <v>0.32098765432098764</v>
      </c>
    </row>
    <row r="15" spans="1:17" x14ac:dyDescent="0.4">
      <c r="A15" s="71">
        <v>12</v>
      </c>
      <c r="B15" s="68">
        <v>7.1054273576010019E-15</v>
      </c>
      <c r="C15" s="68">
        <v>1.9737298215558337E-16</v>
      </c>
      <c r="D15" s="73">
        <v>2</v>
      </c>
      <c r="E15" s="69">
        <v>0.33333333333333331</v>
      </c>
      <c r="F15" s="69">
        <v>0.30555555555555558</v>
      </c>
      <c r="G15" s="69">
        <v>0.2013888888888889</v>
      </c>
      <c r="H15" s="70">
        <v>7830.681818181818</v>
      </c>
      <c r="I15" s="70">
        <v>-7962.0689655172409</v>
      </c>
      <c r="J15" s="69">
        <v>5.5555555555555552E-2</v>
      </c>
      <c r="K15" s="69">
        <v>5.5555555555555552E-2</v>
      </c>
      <c r="L15" s="69">
        <v>0.19444444444444445</v>
      </c>
      <c r="M15" s="69">
        <v>0.2638888888888889</v>
      </c>
      <c r="N15" s="69">
        <v>0.21527777777777779</v>
      </c>
      <c r="O15" s="69">
        <v>0.52631578947368418</v>
      </c>
      <c r="P15" s="69">
        <v>0.38709677419354838</v>
      </c>
      <c r="Q15" s="69">
        <v>0.32954545454545453</v>
      </c>
    </row>
    <row r="16" spans="1:17" x14ac:dyDescent="0.4">
      <c r="A16" s="71">
        <v>13</v>
      </c>
      <c r="B16" s="68">
        <v>7.1054273576010019E-15</v>
      </c>
      <c r="C16" s="68">
        <v>1.8219044506669235E-16</v>
      </c>
      <c r="D16" s="73">
        <v>2</v>
      </c>
      <c r="E16" s="69">
        <v>0.33333333333333331</v>
      </c>
      <c r="F16" s="69">
        <v>0.30769230769230771</v>
      </c>
      <c r="G16" s="69">
        <v>0.20192307692307693</v>
      </c>
      <c r="H16" s="70">
        <v>7831.25</v>
      </c>
      <c r="I16" s="70">
        <v>-8012.6984126984125</v>
      </c>
      <c r="J16" s="69">
        <v>5.128205128205128E-2</v>
      </c>
      <c r="K16" s="69">
        <v>5.128205128205128E-2</v>
      </c>
      <c r="L16" s="69">
        <v>0.17948717948717949</v>
      </c>
      <c r="M16" s="69">
        <v>0.27243589743589741</v>
      </c>
      <c r="N16" s="69">
        <v>0.21794871794871795</v>
      </c>
      <c r="O16" s="69">
        <v>0.51764705882352946</v>
      </c>
      <c r="P16" s="69">
        <v>0.41176470588235292</v>
      </c>
      <c r="Q16" s="69">
        <v>0.33333333333333331</v>
      </c>
    </row>
    <row r="17" spans="1:17" x14ac:dyDescent="0.4">
      <c r="A17" s="71">
        <v>14</v>
      </c>
      <c r="B17" s="68">
        <v>7.1054273576010019E-15</v>
      </c>
      <c r="C17" s="68">
        <v>1.6917684184764289E-16</v>
      </c>
      <c r="D17" s="73">
        <v>2</v>
      </c>
      <c r="E17" s="69">
        <v>0.33333333333333331</v>
      </c>
      <c r="F17" s="69">
        <v>0.30747126436781608</v>
      </c>
      <c r="G17" s="69">
        <v>0.19827586206896552</v>
      </c>
      <c r="H17" s="70">
        <v>7745.7943925233649</v>
      </c>
      <c r="I17" s="70">
        <v>-7981.159420289855</v>
      </c>
      <c r="J17" s="69">
        <v>4.7619047619047616E-2</v>
      </c>
      <c r="K17" s="69">
        <v>4.7619047619047616E-2</v>
      </c>
      <c r="L17" s="69">
        <v>0.16666666666666666</v>
      </c>
      <c r="M17" s="69">
        <v>0.26724137931034481</v>
      </c>
      <c r="N17" s="69">
        <v>0.21839080459770116</v>
      </c>
      <c r="O17" s="69">
        <v>0.5161290322580645</v>
      </c>
      <c r="P17" s="69">
        <v>0.42105263157894735</v>
      </c>
      <c r="Q17" s="69">
        <v>0.34579439252336447</v>
      </c>
    </row>
    <row r="18" spans="1:17" x14ac:dyDescent="0.4">
      <c r="A18" s="71">
        <v>15</v>
      </c>
      <c r="B18" s="68">
        <v>-7.1054273576010019E-15</v>
      </c>
      <c r="C18" s="68">
        <v>-1.5789838572446671E-16</v>
      </c>
      <c r="D18" s="73">
        <v>2</v>
      </c>
      <c r="E18" s="69">
        <v>0.33333333333333331</v>
      </c>
      <c r="F18" s="69">
        <v>0.30913978494623656</v>
      </c>
      <c r="G18" s="69">
        <v>0.19623655913978494</v>
      </c>
      <c r="H18" s="70">
        <v>7733.913043478261</v>
      </c>
      <c r="I18" s="70">
        <v>-8193.1506849315065</v>
      </c>
      <c r="J18" s="69">
        <v>6.6666666666666666E-2</v>
      </c>
      <c r="K18" s="69">
        <v>6.6666666666666666E-2</v>
      </c>
      <c r="L18" s="69">
        <v>0.15555555555555556</v>
      </c>
      <c r="M18" s="69">
        <v>0.26881720430107525</v>
      </c>
      <c r="N18" s="69">
        <v>0.21505376344086022</v>
      </c>
      <c r="O18" s="69">
        <v>0.52</v>
      </c>
      <c r="P18" s="69">
        <v>0.41249999999999998</v>
      </c>
      <c r="Q18" s="69">
        <v>0.35652173913043478</v>
      </c>
    </row>
    <row r="19" spans="1:17" x14ac:dyDescent="0.4">
      <c r="A19" s="71">
        <v>16</v>
      </c>
      <c r="B19" s="68">
        <v>-7.1054273576010019E-15</v>
      </c>
      <c r="C19" s="68">
        <v>-1.4802973661668753E-16</v>
      </c>
      <c r="D19" s="73">
        <v>2</v>
      </c>
      <c r="E19" s="69">
        <v>0.33333333333333331</v>
      </c>
      <c r="F19" s="69">
        <v>0.30637254901960786</v>
      </c>
      <c r="G19" s="69">
        <v>0.18872549019607843</v>
      </c>
      <c r="H19" s="70">
        <v>7460.8</v>
      </c>
      <c r="I19" s="70">
        <v>-8110.3896103896104</v>
      </c>
      <c r="J19" s="69">
        <v>6.25E-2</v>
      </c>
      <c r="K19" s="69">
        <v>6.25E-2</v>
      </c>
      <c r="L19" s="69">
        <v>0.14583333333333334</v>
      </c>
      <c r="M19" s="69">
        <v>0.27205882352941174</v>
      </c>
      <c r="N19" s="69">
        <v>0.20343137254901961</v>
      </c>
      <c r="O19" s="69">
        <v>0.52252252252252251</v>
      </c>
      <c r="P19" s="69">
        <v>0.40963855421686746</v>
      </c>
      <c r="Q19" s="69">
        <v>0.376</v>
      </c>
    </row>
    <row r="20" spans="1:17" x14ac:dyDescent="0.4">
      <c r="A20" s="71">
        <v>17</v>
      </c>
      <c r="B20" s="68">
        <v>-5.3290705182007514E-15</v>
      </c>
      <c r="C20" s="68">
        <v>-1.0449157878825003E-16</v>
      </c>
      <c r="D20" s="73">
        <v>2</v>
      </c>
      <c r="E20" s="69">
        <v>0.33333333333333331</v>
      </c>
      <c r="F20" s="69">
        <v>0.30324074074074076</v>
      </c>
      <c r="G20" s="69">
        <v>0.18981481481481483</v>
      </c>
      <c r="H20" s="70">
        <v>7306.1068702290077</v>
      </c>
      <c r="I20" s="70">
        <v>-7880.4878048780483</v>
      </c>
      <c r="J20" s="69">
        <v>5.8823529411764705E-2</v>
      </c>
      <c r="K20" s="69">
        <v>5.8823529411764705E-2</v>
      </c>
      <c r="L20" s="69">
        <v>0.13725490196078433</v>
      </c>
      <c r="M20" s="69">
        <v>0.27314814814814814</v>
      </c>
      <c r="N20" s="69">
        <v>0.20833333333333334</v>
      </c>
      <c r="O20" s="69">
        <v>0.52542372881355937</v>
      </c>
      <c r="P20" s="69">
        <v>0.4</v>
      </c>
      <c r="Q20" s="69">
        <v>0.36641221374045801</v>
      </c>
    </row>
    <row r="21" spans="1:17" x14ac:dyDescent="0.4">
      <c r="A21" s="71">
        <v>18</v>
      </c>
      <c r="B21" s="68">
        <v>-3.5527136788005009E-15</v>
      </c>
      <c r="C21" s="68">
        <v>-6.5790994051861125E-17</v>
      </c>
      <c r="D21" s="73">
        <v>2</v>
      </c>
      <c r="E21" s="69">
        <v>0.33333333333333331</v>
      </c>
      <c r="F21" s="69">
        <v>0.30463576158940397</v>
      </c>
      <c r="G21" s="69">
        <v>0.19205298013245034</v>
      </c>
      <c r="H21" s="70">
        <v>7194.927536231884</v>
      </c>
      <c r="I21" s="70">
        <v>-7713.7931034482763</v>
      </c>
      <c r="J21" s="69">
        <v>5.5555555555555552E-2</v>
      </c>
      <c r="K21" s="69">
        <v>5.5555555555555552E-2</v>
      </c>
      <c r="L21" s="69">
        <v>0.12962962962962962</v>
      </c>
      <c r="M21" s="69">
        <v>0.2671081677704194</v>
      </c>
      <c r="N21" s="69">
        <v>0.2119205298013245</v>
      </c>
      <c r="O21" s="69">
        <v>0.53719008264462809</v>
      </c>
      <c r="P21" s="69">
        <v>0.39583333333333331</v>
      </c>
      <c r="Q21" s="69">
        <v>0.36231884057971014</v>
      </c>
    </row>
    <row r="22" spans="1:17" x14ac:dyDescent="0.4">
      <c r="A22" s="71">
        <v>19</v>
      </c>
      <c r="B22" s="68">
        <v>0</v>
      </c>
      <c r="C22" s="68">
        <v>0</v>
      </c>
      <c r="D22" s="73">
        <v>2</v>
      </c>
      <c r="E22" s="69">
        <v>0.33333333333333331</v>
      </c>
      <c r="F22" s="69">
        <v>0.30398322851153042</v>
      </c>
      <c r="G22" s="69">
        <v>0.19077568134171907</v>
      </c>
      <c r="H22" s="70">
        <v>7286.2068965517237</v>
      </c>
      <c r="I22" s="70">
        <v>-7813.1868131868132</v>
      </c>
      <c r="J22" s="69">
        <v>5.2631578947368418E-2</v>
      </c>
      <c r="K22" s="69">
        <v>5.2631578947368418E-2</v>
      </c>
      <c r="L22" s="69">
        <v>0.12280701754385964</v>
      </c>
      <c r="M22" s="69">
        <v>0.26415094339622641</v>
      </c>
      <c r="N22" s="69">
        <v>0.21174004192872117</v>
      </c>
      <c r="O22" s="69">
        <v>0.53968253968253965</v>
      </c>
      <c r="P22" s="69">
        <v>0.40594059405940597</v>
      </c>
      <c r="Q22" s="69">
        <v>0.36551724137931035</v>
      </c>
    </row>
    <row r="23" spans="1:17" x14ac:dyDescent="0.4">
      <c r="A23" s="71">
        <v>20</v>
      </c>
      <c r="B23" s="68">
        <v>0</v>
      </c>
      <c r="C23" s="68">
        <v>0</v>
      </c>
      <c r="D23" s="73">
        <v>2</v>
      </c>
      <c r="E23" s="69">
        <v>0.33333333333333331</v>
      </c>
      <c r="F23" s="69">
        <v>0.3057199211045365</v>
      </c>
      <c r="G23" s="69">
        <v>0.19132149901380671</v>
      </c>
      <c r="H23" s="70">
        <v>7353.5483870967746</v>
      </c>
      <c r="I23" s="70">
        <v>-7809.2783505154639</v>
      </c>
      <c r="J23" s="69">
        <v>0.05</v>
      </c>
      <c r="K23" s="69">
        <v>0.05</v>
      </c>
      <c r="L23" s="69">
        <v>0.13333333333333333</v>
      </c>
      <c r="M23" s="69">
        <v>0.25641025641025639</v>
      </c>
      <c r="N23" s="69">
        <v>0.21893491124260356</v>
      </c>
      <c r="O23" s="69">
        <v>0.55384615384615388</v>
      </c>
      <c r="P23" s="69">
        <v>0.40540540540540543</v>
      </c>
      <c r="Q23" s="69">
        <v>0.36774193548387096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21</vt:i4>
      </vt:variant>
      <vt:variant>
        <vt:lpstr>グラフ</vt:lpstr>
      </vt:variant>
      <vt:variant>
        <vt:i4>16</vt:i4>
      </vt:variant>
    </vt:vector>
  </HeadingPairs>
  <TitlesOfParts>
    <vt:vector size="37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逆転率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2019-04-05T17:36:43Z</dcterms:modified>
</cp:coreProperties>
</file>