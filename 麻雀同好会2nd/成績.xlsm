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D455ED2-E7FD-4892-8E83-7C90C2B037C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63" r:id="rId6"/>
    <sheet name="だいち" sheetId="5065" r:id="rId7"/>
    <sheet name="りくと" sheetId="5067" r:id="rId8"/>
    <sheet name="ただ" sheetId="5069" r:id="rId9"/>
    <sheet name="れんたろう" sheetId="5071" r:id="rId10"/>
    <sheet name="たかの" sheetId="5073" r:id="rId11"/>
    <sheet name="ぱぱ" sheetId="5075" r:id="rId12"/>
    <sheet name="まっつん" sheetId="5077" r:id="rId13"/>
    <sheet name="あさひ" sheetId="5079" r:id="rId14"/>
    <sheet name="いっしー" sheetId="5081" r:id="rId15"/>
    <sheet name="ほたに" sheetId="5083" r:id="rId16"/>
    <sheet name="ほたに2" sheetId="5084" state="hidden" r:id="rId17"/>
    <sheet name="いっしー2" sheetId="5082" state="hidden" r:id="rId18"/>
    <sheet name="あさひ2" sheetId="5080" state="hidden" r:id="rId19"/>
    <sheet name="まっつん2" sheetId="5078" state="hidden" r:id="rId20"/>
    <sheet name="ぱぱ2" sheetId="5076" state="hidden" r:id="rId21"/>
    <sheet name="たかの2" sheetId="5074" state="hidden" r:id="rId22"/>
    <sheet name="れんたろう2" sheetId="5072" state="hidden" r:id="rId23"/>
    <sheet name="ただ2" sheetId="5070" state="hidden" r:id="rId24"/>
    <sheet name="りくと2" sheetId="5068" state="hidden" r:id="rId25"/>
    <sheet name="だいち2" sheetId="5066" state="hidden" r:id="rId26"/>
    <sheet name="全体2" sheetId="506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065" l="1"/>
  <c r="O18" i="5083"/>
  <c r="O21" i="5075"/>
  <c r="O16" i="5083"/>
  <c r="O15" i="5083" l="1"/>
  <c r="O17" i="5083"/>
  <c r="C27" i="5083"/>
  <c r="B24" i="5083"/>
  <c r="C20" i="5083"/>
  <c r="B17" i="5083"/>
  <c r="H7" i="5083" s="1"/>
  <c r="C16" i="5083"/>
  <c r="C15" i="5083"/>
  <c r="C14" i="5083"/>
  <c r="C13" i="5083"/>
  <c r="O12" i="5083"/>
  <c r="C12" i="5083"/>
  <c r="O11" i="5083"/>
  <c r="C11" i="5083"/>
  <c r="O10" i="5083"/>
  <c r="C10" i="5083"/>
  <c r="C9" i="5083"/>
  <c r="C8" i="5083"/>
  <c r="O7" i="5083"/>
  <c r="C7" i="5083"/>
  <c r="O6" i="5083"/>
  <c r="B6" i="5083"/>
  <c r="O5" i="5083"/>
  <c r="B5" i="5083"/>
  <c r="O4" i="5083"/>
  <c r="O3" i="5083"/>
  <c r="O2" i="5083"/>
  <c r="O22" i="5071"/>
  <c r="O16" i="5073"/>
  <c r="O22" i="5063"/>
  <c r="H2" i="5083" l="1"/>
  <c r="H13" i="5083"/>
  <c r="H5" i="5083"/>
  <c r="H30" i="5083"/>
  <c r="H38" i="5083"/>
  <c r="H15" i="5083"/>
  <c r="H29" i="5083"/>
  <c r="H21" i="5083"/>
  <c r="H3" i="5083"/>
  <c r="H18" i="5083"/>
  <c r="H45" i="5083"/>
  <c r="C17" i="5083"/>
  <c r="C18" i="5083"/>
  <c r="H37" i="5083"/>
  <c r="H4" i="5083"/>
  <c r="B23" i="5083"/>
  <c r="H26" i="5083"/>
  <c r="H46" i="5083"/>
  <c r="H39" i="5083"/>
  <c r="H47" i="5083"/>
  <c r="H19" i="5083"/>
  <c r="C19" i="5083"/>
  <c r="H31" i="5083"/>
  <c r="H10" i="5083"/>
  <c r="H6" i="5083"/>
  <c r="H14" i="5083"/>
  <c r="H16" i="5083"/>
  <c r="H22" i="5083"/>
  <c r="H12" i="5083"/>
  <c r="H32" i="5083"/>
  <c r="H40" i="5083"/>
  <c r="H48" i="5083"/>
  <c r="H11" i="5083"/>
  <c r="H27" i="5083"/>
  <c r="H33" i="5083"/>
  <c r="H41" i="5083"/>
  <c r="H49" i="5083"/>
  <c r="H28" i="5083"/>
  <c r="H34" i="5083"/>
  <c r="H50" i="5083"/>
  <c r="H8" i="5083"/>
  <c r="H17" i="5083"/>
  <c r="H24" i="5083"/>
  <c r="H35" i="5083"/>
  <c r="H43" i="5083"/>
  <c r="H51" i="5083"/>
  <c r="H23" i="5083"/>
  <c r="H42" i="5083"/>
  <c r="H20" i="5083"/>
  <c r="H25" i="5083"/>
  <c r="H9" i="5083"/>
  <c r="H36" i="5083"/>
  <c r="H44" i="5083"/>
  <c r="O18" i="5073" l="1"/>
  <c r="O15" i="5069"/>
  <c r="O19" i="5077"/>
  <c r="O22" i="5077"/>
  <c r="O18" i="5065" l="1"/>
  <c r="O17" i="5081"/>
  <c r="O16" i="5081" l="1"/>
  <c r="O15" i="5081"/>
  <c r="O16" i="5071"/>
  <c r="O20" i="5069"/>
  <c r="O17" i="5079" l="1"/>
  <c r="O22" i="5075"/>
  <c r="O15" i="5079"/>
  <c r="O20" i="5081"/>
  <c r="O15" i="5067"/>
  <c r="O15" i="5077"/>
  <c r="O16" i="5063"/>
  <c r="O18" i="5081"/>
  <c r="O19" i="5081"/>
  <c r="C27" i="5081"/>
  <c r="B24" i="5081"/>
  <c r="C20" i="5081"/>
  <c r="B17" i="5081"/>
  <c r="H50" i="5081" s="1"/>
  <c r="C16" i="5081"/>
  <c r="C15" i="5081"/>
  <c r="C14" i="5081"/>
  <c r="C13" i="5081"/>
  <c r="O12" i="5081"/>
  <c r="C12" i="5081"/>
  <c r="O11" i="5081"/>
  <c r="C11" i="5081"/>
  <c r="O10" i="5081"/>
  <c r="C10" i="5081"/>
  <c r="C9" i="5081"/>
  <c r="C8" i="5081"/>
  <c r="O7" i="5081"/>
  <c r="C7" i="5081"/>
  <c r="O6" i="5081"/>
  <c r="B6" i="5081"/>
  <c r="O5" i="5081"/>
  <c r="B5" i="5081"/>
  <c r="O4" i="5081"/>
  <c r="O3" i="5081"/>
  <c r="O2" i="5081"/>
  <c r="O16" i="5079"/>
  <c r="O18" i="5079"/>
  <c r="C27" i="5079"/>
  <c r="B24" i="5079"/>
  <c r="C20" i="5079"/>
  <c r="B17" i="5079"/>
  <c r="H7" i="5079" s="1"/>
  <c r="C16" i="5079"/>
  <c r="C15" i="5079"/>
  <c r="C14" i="5079"/>
  <c r="C13" i="5079"/>
  <c r="O12" i="5079"/>
  <c r="C12" i="5079"/>
  <c r="O11" i="5079"/>
  <c r="C11" i="5079"/>
  <c r="O10" i="5079"/>
  <c r="H4" i="5079"/>
  <c r="C10" i="5079"/>
  <c r="C9" i="5079"/>
  <c r="C8" i="5079"/>
  <c r="O7" i="5079"/>
  <c r="C7" i="5079"/>
  <c r="O6" i="5079"/>
  <c r="B6" i="5079"/>
  <c r="O5" i="5079"/>
  <c r="B5" i="5079"/>
  <c r="O4" i="5079"/>
  <c r="O3" i="5079"/>
  <c r="O2" i="5079"/>
  <c r="O20" i="5077"/>
  <c r="O21" i="5077"/>
  <c r="O15" i="5065"/>
  <c r="O17" i="5065"/>
  <c r="O24" i="5063"/>
  <c r="H16" i="5081" l="1"/>
  <c r="H36" i="5081"/>
  <c r="H35" i="5081"/>
  <c r="H5" i="5081"/>
  <c r="H17" i="5081"/>
  <c r="H21" i="5081"/>
  <c r="H2" i="5079"/>
  <c r="C17" i="5079"/>
  <c r="H3" i="5079"/>
  <c r="H13" i="5079"/>
  <c r="H3" i="5081"/>
  <c r="H27" i="5081"/>
  <c r="H44" i="5081"/>
  <c r="H18" i="5081"/>
  <c r="H15" i="5081"/>
  <c r="H45" i="5081"/>
  <c r="H2" i="5081"/>
  <c r="H6" i="5081"/>
  <c r="H9" i="5081"/>
  <c r="H29" i="5081"/>
  <c r="H30" i="5081"/>
  <c r="C17" i="5081"/>
  <c r="H12" i="5081"/>
  <c r="H37" i="5081"/>
  <c r="H13" i="5081"/>
  <c r="H47" i="5081"/>
  <c r="H14" i="5081"/>
  <c r="H39" i="5081"/>
  <c r="H8" i="5081"/>
  <c r="H19" i="5081"/>
  <c r="H25" i="5081"/>
  <c r="H40" i="5081"/>
  <c r="H4" i="5081"/>
  <c r="H22" i="5081"/>
  <c r="H32" i="5081"/>
  <c r="H41" i="5081"/>
  <c r="H51" i="5081"/>
  <c r="H10" i="5081"/>
  <c r="H46" i="5081"/>
  <c r="H24" i="5081"/>
  <c r="H38" i="5081"/>
  <c r="B23" i="5081"/>
  <c r="H48" i="5081"/>
  <c r="C18" i="5081"/>
  <c r="H31" i="5081"/>
  <c r="H49" i="5081"/>
  <c r="H11" i="5081"/>
  <c r="H20" i="5081"/>
  <c r="C19" i="5081"/>
  <c r="H26" i="5081"/>
  <c r="H33" i="5081"/>
  <c r="H43" i="5081"/>
  <c r="H7" i="5081"/>
  <c r="H23" i="5081"/>
  <c r="H28" i="5081"/>
  <c r="H34" i="5081"/>
  <c r="H42" i="5081"/>
  <c r="H5" i="5079"/>
  <c r="H14" i="5079"/>
  <c r="H17" i="5079"/>
  <c r="C18" i="5079"/>
  <c r="B23" i="5079"/>
  <c r="H29" i="5079"/>
  <c r="H37" i="5079"/>
  <c r="H45" i="5079"/>
  <c r="H21" i="5079"/>
  <c r="H26" i="5079"/>
  <c r="H30" i="5079"/>
  <c r="H38" i="5079"/>
  <c r="H46" i="5079"/>
  <c r="H18" i="5079"/>
  <c r="C19" i="5079"/>
  <c r="H31" i="5079"/>
  <c r="H39" i="5079"/>
  <c r="H47" i="5079"/>
  <c r="H12" i="5079"/>
  <c r="H8" i="5079"/>
  <c r="H10" i="5079"/>
  <c r="H15" i="5079"/>
  <c r="H22" i="5079"/>
  <c r="H11" i="5079"/>
  <c r="H32" i="5079"/>
  <c r="H40" i="5079"/>
  <c r="H48" i="5079"/>
  <c r="H19" i="5079"/>
  <c r="H27" i="5079"/>
  <c r="H33" i="5079"/>
  <c r="H41" i="5079"/>
  <c r="H49" i="5079"/>
  <c r="H23" i="5079"/>
  <c r="H28" i="5079"/>
  <c r="H34" i="5079"/>
  <c r="H42" i="5079"/>
  <c r="H50" i="5079"/>
  <c r="H9" i="5079"/>
  <c r="H16" i="5079"/>
  <c r="H24" i="5079"/>
  <c r="H35" i="5079"/>
  <c r="H43" i="5079"/>
  <c r="H51" i="5079"/>
  <c r="H20" i="5079"/>
  <c r="H25" i="5079"/>
  <c r="H6" i="5079"/>
  <c r="H36" i="5079"/>
  <c r="H44" i="5079"/>
  <c r="O16" i="5077" l="1"/>
  <c r="O19" i="5075"/>
  <c r="O16" i="5075"/>
  <c r="O20" i="5067"/>
  <c r="O17" i="5073" l="1"/>
  <c r="O17" i="5071"/>
  <c r="O18" i="5075"/>
  <c r="O17" i="5075"/>
  <c r="O15" i="5073" l="1"/>
  <c r="O15" i="5071"/>
  <c r="O21" i="5069"/>
  <c r="O18" i="5069"/>
  <c r="O17" i="5077"/>
  <c r="O18" i="5077"/>
  <c r="C27" i="5077"/>
  <c r="B24" i="5077"/>
  <c r="C20" i="5077"/>
  <c r="B17" i="5077"/>
  <c r="H5" i="5077" s="1"/>
  <c r="C16" i="5077"/>
  <c r="C15" i="5077"/>
  <c r="C14" i="5077"/>
  <c r="C13" i="5077"/>
  <c r="O12" i="5077"/>
  <c r="C12" i="5077"/>
  <c r="O11" i="5077"/>
  <c r="C11" i="5077"/>
  <c r="O10" i="5077"/>
  <c r="C10" i="5077"/>
  <c r="C9" i="5077"/>
  <c r="C8" i="5077"/>
  <c r="O7" i="5077"/>
  <c r="C7" i="5077"/>
  <c r="O6" i="5077"/>
  <c r="B6" i="5077"/>
  <c r="O5" i="5077"/>
  <c r="B5" i="5077"/>
  <c r="O4" i="5077"/>
  <c r="O3" i="5077"/>
  <c r="O2" i="5077"/>
  <c r="O20" i="5071"/>
  <c r="O16" i="5067"/>
  <c r="O17" i="5063"/>
  <c r="B23" i="5077" l="1"/>
  <c r="H32" i="5077"/>
  <c r="H3" i="5077"/>
  <c r="H2" i="5077"/>
  <c r="C17" i="5077"/>
  <c r="H17" i="5077"/>
  <c r="H35" i="5077"/>
  <c r="H8" i="5077"/>
  <c r="H15" i="5077"/>
  <c r="C18" i="5077"/>
  <c r="H37" i="5077"/>
  <c r="H24" i="5077"/>
  <c r="H27" i="5077"/>
  <c r="H38" i="5077"/>
  <c r="H6" i="5077"/>
  <c r="H18" i="5077"/>
  <c r="H20" i="5077"/>
  <c r="C19" i="5077"/>
  <c r="H39" i="5077"/>
  <c r="H4" i="5077"/>
  <c r="H13" i="5077"/>
  <c r="H16" i="5077"/>
  <c r="H30" i="5077"/>
  <c r="H45" i="5077"/>
  <c r="H21" i="5077"/>
  <c r="H12" i="5077"/>
  <c r="H46" i="5077"/>
  <c r="H9" i="5077"/>
  <c r="H7" i="5077"/>
  <c r="H14" i="5077"/>
  <c r="H19" i="5077"/>
  <c r="H11" i="5077"/>
  <c r="H31" i="5077"/>
  <c r="H47" i="5077"/>
  <c r="H40" i="5077"/>
  <c r="H48" i="5077"/>
  <c r="H22" i="5077"/>
  <c r="H28" i="5077"/>
  <c r="H33" i="5077"/>
  <c r="H41" i="5077"/>
  <c r="H49" i="5077"/>
  <c r="H25" i="5077"/>
  <c r="H29" i="5077"/>
  <c r="H34" i="5077"/>
  <c r="H42" i="5077"/>
  <c r="H50" i="5077"/>
  <c r="H43" i="5077"/>
  <c r="H51" i="5077"/>
  <c r="H23" i="5077"/>
  <c r="H26" i="5077"/>
  <c r="H10" i="5077"/>
  <c r="H36" i="5077"/>
  <c r="H44" i="5077"/>
  <c r="O17" i="5069" l="1"/>
  <c r="O20" i="5075"/>
  <c r="O15" i="5075"/>
  <c r="C27" i="5075"/>
  <c r="B24" i="5075"/>
  <c r="C20" i="5075"/>
  <c r="B17" i="5075"/>
  <c r="H51" i="5075" s="1"/>
  <c r="C16" i="5075"/>
  <c r="C15" i="5075"/>
  <c r="C14" i="5075"/>
  <c r="C13" i="5075"/>
  <c r="O12" i="5075"/>
  <c r="C12" i="5075"/>
  <c r="O11" i="5075"/>
  <c r="C11" i="5075"/>
  <c r="O10" i="5075"/>
  <c r="C10" i="5075"/>
  <c r="C9" i="5075"/>
  <c r="C8" i="5075"/>
  <c r="O7" i="5075"/>
  <c r="C7" i="5075"/>
  <c r="O6" i="5075"/>
  <c r="B6" i="5075"/>
  <c r="O5" i="5075"/>
  <c r="B5" i="5075"/>
  <c r="O4" i="5075"/>
  <c r="O3" i="5075"/>
  <c r="O2" i="5075"/>
  <c r="O19" i="5065"/>
  <c r="O18" i="5063"/>
  <c r="O20" i="5073"/>
  <c r="O19" i="5067"/>
  <c r="O18" i="5067"/>
  <c r="O19" i="5071"/>
  <c r="O19" i="5073"/>
  <c r="O21" i="5073"/>
  <c r="C27" i="5073"/>
  <c r="B24" i="5073"/>
  <c r="C20" i="5073"/>
  <c r="B17" i="5073"/>
  <c r="H51" i="5073" s="1"/>
  <c r="C16" i="5073"/>
  <c r="C15" i="5073"/>
  <c r="C14" i="5073"/>
  <c r="C13" i="5073"/>
  <c r="O12" i="5073"/>
  <c r="C12" i="5073"/>
  <c r="O11" i="5073"/>
  <c r="C11" i="5073"/>
  <c r="O10" i="5073"/>
  <c r="C10" i="5073"/>
  <c r="C9" i="5073"/>
  <c r="C8" i="5073"/>
  <c r="O7" i="5073"/>
  <c r="C7" i="5073"/>
  <c r="O6" i="5073"/>
  <c r="B6" i="5073"/>
  <c r="O5" i="5073"/>
  <c r="B5" i="5073"/>
  <c r="O4" i="5073"/>
  <c r="O3" i="5073"/>
  <c r="O2" i="5073"/>
  <c r="O21" i="5071"/>
  <c r="O18" i="5071"/>
  <c r="C27" i="5071"/>
  <c r="B24" i="5071"/>
  <c r="C20" i="5071"/>
  <c r="B17" i="5071"/>
  <c r="H51" i="5071" s="1"/>
  <c r="C16" i="5071"/>
  <c r="C15" i="5071"/>
  <c r="C14" i="5071"/>
  <c r="C13" i="5071"/>
  <c r="O12" i="5071"/>
  <c r="C12" i="5071"/>
  <c r="O11" i="5071"/>
  <c r="C11" i="5071"/>
  <c r="O10" i="5071"/>
  <c r="C10" i="5071"/>
  <c r="C9" i="5071"/>
  <c r="C8" i="5071"/>
  <c r="O7" i="5071"/>
  <c r="C7" i="5071"/>
  <c r="O6" i="5071"/>
  <c r="B6" i="5071"/>
  <c r="O5" i="5071"/>
  <c r="B5" i="5071"/>
  <c r="O4" i="5071"/>
  <c r="O3" i="5071"/>
  <c r="O2" i="5071"/>
  <c r="O20" i="5065"/>
  <c r="O22" i="5065"/>
  <c r="O21" i="5063"/>
  <c r="O20" i="5063"/>
  <c r="H5" i="5075" l="1"/>
  <c r="H12" i="5075"/>
  <c r="H36" i="5075"/>
  <c r="H37" i="5075"/>
  <c r="H37" i="5071"/>
  <c r="H45" i="5071"/>
  <c r="H17" i="5075"/>
  <c r="H20" i="5075"/>
  <c r="H46" i="5075"/>
  <c r="H11" i="5075"/>
  <c r="H2" i="5075"/>
  <c r="H45" i="5075"/>
  <c r="H25" i="5075"/>
  <c r="H29" i="5075"/>
  <c r="H9" i="5073"/>
  <c r="H18" i="5073"/>
  <c r="H7" i="5071"/>
  <c r="H9" i="5071"/>
  <c r="H15" i="5071"/>
  <c r="H13" i="5071"/>
  <c r="H20" i="5071"/>
  <c r="H36" i="5071"/>
  <c r="H47" i="5075"/>
  <c r="C17" i="5075"/>
  <c r="H48" i="5075"/>
  <c r="B23" i="5075"/>
  <c r="H8" i="5075"/>
  <c r="H21" i="5075"/>
  <c r="H27" i="5075"/>
  <c r="H18" i="5075"/>
  <c r="H7" i="5075"/>
  <c r="H16" i="5075"/>
  <c r="H28" i="5075"/>
  <c r="H32" i="5075"/>
  <c r="H41" i="5075"/>
  <c r="H50" i="5075"/>
  <c r="H3" i="5075"/>
  <c r="H38" i="5075"/>
  <c r="H31" i="5075"/>
  <c r="H40" i="5075"/>
  <c r="C18" i="5075"/>
  <c r="H4" i="5075"/>
  <c r="H9" i="5075"/>
  <c r="H24" i="5075"/>
  <c r="H33" i="5075"/>
  <c r="H42" i="5075"/>
  <c r="H19" i="5075"/>
  <c r="H15" i="5075"/>
  <c r="H10" i="5075"/>
  <c r="H39" i="5075"/>
  <c r="H14" i="5075"/>
  <c r="H49" i="5075"/>
  <c r="H22" i="5075"/>
  <c r="H23" i="5075"/>
  <c r="C19" i="5075"/>
  <c r="H13" i="5075"/>
  <c r="H34" i="5075"/>
  <c r="H44" i="5075"/>
  <c r="H6" i="5075"/>
  <c r="H26" i="5075"/>
  <c r="H30" i="5075"/>
  <c r="H35" i="5075"/>
  <c r="H43" i="5075"/>
  <c r="H39" i="5073"/>
  <c r="H14" i="5073"/>
  <c r="H40" i="5073"/>
  <c r="H11" i="5073"/>
  <c r="H20" i="5073"/>
  <c r="H15" i="5073"/>
  <c r="H6" i="5073"/>
  <c r="H23" i="5073"/>
  <c r="H30" i="5073"/>
  <c r="H46" i="5071"/>
  <c r="H22" i="5071"/>
  <c r="H16" i="5071"/>
  <c r="H47" i="5071"/>
  <c r="C17" i="5073"/>
  <c r="H26" i="5073"/>
  <c r="H3" i="5073"/>
  <c r="H45" i="5073"/>
  <c r="H8" i="5073"/>
  <c r="H27" i="5073"/>
  <c r="H36" i="5073"/>
  <c r="H47" i="5073"/>
  <c r="H2" i="5073"/>
  <c r="H31" i="5073"/>
  <c r="H21" i="5073"/>
  <c r="H32" i="5073"/>
  <c r="C18" i="5073"/>
  <c r="H19" i="5073"/>
  <c r="H24" i="5073"/>
  <c r="H12" i="5073"/>
  <c r="H48" i="5073"/>
  <c r="H44" i="5073"/>
  <c r="B23" i="5073"/>
  <c r="H17" i="5073"/>
  <c r="H46" i="5073"/>
  <c r="H7" i="5073"/>
  <c r="H22" i="5073"/>
  <c r="H37" i="5073"/>
  <c r="H4" i="5073"/>
  <c r="H10" i="5073"/>
  <c r="C19" i="5073"/>
  <c r="H38" i="5073"/>
  <c r="H5" i="5073"/>
  <c r="H16" i="5073"/>
  <c r="H28" i="5073"/>
  <c r="H33" i="5073"/>
  <c r="H41" i="5073"/>
  <c r="H49" i="5073"/>
  <c r="H25" i="5073"/>
  <c r="H29" i="5073"/>
  <c r="H34" i="5073"/>
  <c r="H42" i="5073"/>
  <c r="H50" i="5073"/>
  <c r="H13" i="5073"/>
  <c r="H35" i="5073"/>
  <c r="H43" i="5073"/>
  <c r="H2" i="5071"/>
  <c r="H10" i="5071"/>
  <c r="H17" i="5071"/>
  <c r="H31" i="5071"/>
  <c r="B23" i="5071"/>
  <c r="H49" i="5071"/>
  <c r="H5" i="5071"/>
  <c r="H21" i="5071"/>
  <c r="H23" i="5071"/>
  <c r="H18" i="5071"/>
  <c r="H41" i="5071"/>
  <c r="H50" i="5071"/>
  <c r="H38" i="5071"/>
  <c r="H8" i="5071"/>
  <c r="H28" i="5071"/>
  <c r="H48" i="5071"/>
  <c r="H32" i="5071"/>
  <c r="C18" i="5071"/>
  <c r="H11" i="5071"/>
  <c r="H26" i="5071"/>
  <c r="H42" i="5071"/>
  <c r="H19" i="5071"/>
  <c r="H4" i="5071"/>
  <c r="H14" i="5071"/>
  <c r="C17" i="5071"/>
  <c r="H39" i="5071"/>
  <c r="H25" i="5071"/>
  <c r="H40" i="5071"/>
  <c r="H29" i="5071"/>
  <c r="H3" i="5071"/>
  <c r="H33" i="5071"/>
  <c r="H24" i="5071"/>
  <c r="C19" i="5071"/>
  <c r="H12" i="5071"/>
  <c r="H34" i="5071"/>
  <c r="H44" i="5071"/>
  <c r="H6" i="5071"/>
  <c r="H27" i="5071"/>
  <c r="H30" i="5071"/>
  <c r="H35" i="5071"/>
  <c r="H43" i="5071"/>
  <c r="O16" i="5069" l="1"/>
  <c r="O19" i="5069"/>
  <c r="C27" i="5069"/>
  <c r="B24" i="5069"/>
  <c r="C20" i="5069"/>
  <c r="B17" i="5069"/>
  <c r="H50" i="5069" s="1"/>
  <c r="C16" i="5069"/>
  <c r="C15" i="5069"/>
  <c r="C14" i="5069"/>
  <c r="C13" i="5069"/>
  <c r="O12" i="5069"/>
  <c r="C12" i="5069"/>
  <c r="O11" i="5069"/>
  <c r="C11" i="5069"/>
  <c r="O10" i="5069"/>
  <c r="C10" i="5069"/>
  <c r="C9" i="5069"/>
  <c r="C8" i="5069"/>
  <c r="O7" i="5069"/>
  <c r="C7" i="5069"/>
  <c r="O6" i="5069"/>
  <c r="B6" i="5069"/>
  <c r="O5" i="5069"/>
  <c r="B5" i="5069"/>
  <c r="O4" i="5069"/>
  <c r="O3" i="5069"/>
  <c r="O2" i="5069"/>
  <c r="O21" i="5067"/>
  <c r="O17" i="5067"/>
  <c r="C27" i="5067"/>
  <c r="B24" i="5067"/>
  <c r="C20" i="5067"/>
  <c r="B17" i="5067"/>
  <c r="H18" i="5067" s="1"/>
  <c r="C16" i="5067"/>
  <c r="C15" i="5067"/>
  <c r="C14" i="5067"/>
  <c r="C13" i="5067"/>
  <c r="O12" i="5067"/>
  <c r="C12" i="5067"/>
  <c r="O11" i="5067"/>
  <c r="C11" i="5067"/>
  <c r="O10" i="5067"/>
  <c r="C10" i="5067"/>
  <c r="C9" i="5067"/>
  <c r="C8" i="5067"/>
  <c r="O7" i="5067"/>
  <c r="C7" i="5067"/>
  <c r="O6" i="5067"/>
  <c r="B6" i="5067"/>
  <c r="O5" i="5067"/>
  <c r="B5" i="5067"/>
  <c r="O4" i="5067"/>
  <c r="O3" i="5067"/>
  <c r="O2" i="5067"/>
  <c r="O23" i="5063"/>
  <c r="O16" i="5065"/>
  <c r="O23" i="5065"/>
  <c r="C27" i="5065"/>
  <c r="B24" i="5065"/>
  <c r="C20" i="5065"/>
  <c r="B17" i="5065"/>
  <c r="H51" i="5065" s="1"/>
  <c r="C16" i="5065"/>
  <c r="C15" i="5065"/>
  <c r="C14" i="5065"/>
  <c r="C13" i="5065"/>
  <c r="O12" i="5065"/>
  <c r="C12" i="5065"/>
  <c r="O11" i="5065"/>
  <c r="C11" i="5065"/>
  <c r="O10" i="5065"/>
  <c r="C10" i="5065"/>
  <c r="C9" i="5065"/>
  <c r="C8" i="5065"/>
  <c r="O7" i="5065"/>
  <c r="C7" i="5065"/>
  <c r="O6" i="5065"/>
  <c r="B6" i="5065"/>
  <c r="O5" i="5065"/>
  <c r="B5" i="5065"/>
  <c r="O4" i="5065"/>
  <c r="O3" i="5065"/>
  <c r="O2" i="5065"/>
  <c r="O15" i="5063"/>
  <c r="O19" i="5063"/>
  <c r="C27" i="5063"/>
  <c r="B24" i="5063"/>
  <c r="C20" i="5063"/>
  <c r="B17" i="5063"/>
  <c r="H51" i="5063" s="1"/>
  <c r="C16" i="5063"/>
  <c r="C15" i="5063"/>
  <c r="C14" i="5063"/>
  <c r="C13" i="5063"/>
  <c r="O12" i="5063"/>
  <c r="C12" i="5063"/>
  <c r="O11" i="5063"/>
  <c r="C11" i="5063"/>
  <c r="O10" i="5063"/>
  <c r="C10" i="5063"/>
  <c r="C9" i="5063"/>
  <c r="C8" i="5063"/>
  <c r="O7" i="5063"/>
  <c r="C7" i="5063"/>
  <c r="O6" i="5063"/>
  <c r="B6" i="5063"/>
  <c r="O5" i="5063"/>
  <c r="B5" i="5063"/>
  <c r="O4" i="5063"/>
  <c r="O3" i="5063"/>
  <c r="O2" i="5063"/>
  <c r="H19" i="5069" l="1"/>
  <c r="H35" i="5069"/>
  <c r="H36" i="5069"/>
  <c r="H4" i="5069"/>
  <c r="H15" i="5069"/>
  <c r="H12" i="5069"/>
  <c r="H21" i="5067"/>
  <c r="H13" i="5065"/>
  <c r="H7" i="5065"/>
  <c r="H23" i="5065"/>
  <c r="H45" i="5069"/>
  <c r="H23" i="5069"/>
  <c r="H44" i="5069"/>
  <c r="H17" i="5069"/>
  <c r="H10" i="5069"/>
  <c r="H10" i="5065"/>
  <c r="H14" i="5065"/>
  <c r="H7" i="5069"/>
  <c r="H46" i="5069"/>
  <c r="H18" i="5069"/>
  <c r="C17" i="5069"/>
  <c r="H47" i="5069"/>
  <c r="H16" i="5069"/>
  <c r="H24" i="5069"/>
  <c r="H28" i="5069"/>
  <c r="H31" i="5069"/>
  <c r="H6" i="5069"/>
  <c r="H25" i="5069"/>
  <c r="C18" i="5069"/>
  <c r="H29" i="5069"/>
  <c r="H32" i="5069"/>
  <c r="H40" i="5069"/>
  <c r="H49" i="5069"/>
  <c r="H2" i="5069"/>
  <c r="H37" i="5069"/>
  <c r="H8" i="5069"/>
  <c r="H30" i="5069"/>
  <c r="B23" i="5069"/>
  <c r="H39" i="5069"/>
  <c r="H3" i="5069"/>
  <c r="H26" i="5069"/>
  <c r="H21" i="5069"/>
  <c r="H41" i="5069"/>
  <c r="H51" i="5069"/>
  <c r="H11" i="5069"/>
  <c r="H38" i="5069"/>
  <c r="H48" i="5069"/>
  <c r="H22" i="5069"/>
  <c r="H9" i="5069"/>
  <c r="H14" i="5069"/>
  <c r="C19" i="5069"/>
  <c r="H13" i="5069"/>
  <c r="H33" i="5069"/>
  <c r="H43" i="5069"/>
  <c r="H5" i="5069"/>
  <c r="H27" i="5069"/>
  <c r="H20" i="5069"/>
  <c r="H34" i="5069"/>
  <c r="H42" i="5069"/>
  <c r="H3" i="5067"/>
  <c r="H32" i="5067"/>
  <c r="H31" i="5067"/>
  <c r="H4" i="5067"/>
  <c r="H34" i="5067"/>
  <c r="H16" i="5067"/>
  <c r="H2" i="5067"/>
  <c r="H42" i="5067"/>
  <c r="C17" i="5067"/>
  <c r="H10" i="5067"/>
  <c r="H29" i="5067"/>
  <c r="H50" i="5067"/>
  <c r="H17" i="5067"/>
  <c r="H24" i="5067"/>
  <c r="H11" i="5067"/>
  <c r="H37" i="5067"/>
  <c r="H45" i="5067"/>
  <c r="H5" i="5067"/>
  <c r="H6" i="5067"/>
  <c r="H22" i="5067"/>
  <c r="H28" i="5067"/>
  <c r="C18" i="5067"/>
  <c r="B23" i="5067"/>
  <c r="H33" i="5067"/>
  <c r="H38" i="5067"/>
  <c r="H46" i="5067"/>
  <c r="H47" i="5067"/>
  <c r="H23" i="5067"/>
  <c r="C19" i="5067"/>
  <c r="H26" i="5067"/>
  <c r="H40" i="5067"/>
  <c r="H48" i="5067"/>
  <c r="H39" i="5067"/>
  <c r="H9" i="5067"/>
  <c r="H7" i="5067"/>
  <c r="H12" i="5067"/>
  <c r="H19" i="5067"/>
  <c r="H14" i="5067"/>
  <c r="H13" i="5067"/>
  <c r="H27" i="5067"/>
  <c r="H41" i="5067"/>
  <c r="H49" i="5067"/>
  <c r="H30" i="5067"/>
  <c r="H25" i="5067"/>
  <c r="H35" i="5067"/>
  <c r="H43" i="5067"/>
  <c r="H51" i="5067"/>
  <c r="H8" i="5067"/>
  <c r="H20" i="5067"/>
  <c r="H15" i="5067"/>
  <c r="H36" i="5067"/>
  <c r="H44" i="5067"/>
  <c r="H36" i="5063"/>
  <c r="H24" i="5063"/>
  <c r="H13" i="5063"/>
  <c r="H6" i="5063"/>
  <c r="H10" i="5063"/>
  <c r="H18" i="5063"/>
  <c r="H37" i="5063"/>
  <c r="H26" i="5063"/>
  <c r="H15" i="5063"/>
  <c r="H45" i="5065"/>
  <c r="H17" i="5065"/>
  <c r="H36" i="5065"/>
  <c r="H37" i="5065"/>
  <c r="H28" i="5065"/>
  <c r="H15" i="5065"/>
  <c r="H46" i="5065"/>
  <c r="H47" i="5065"/>
  <c r="H9" i="5065"/>
  <c r="H8" i="5065"/>
  <c r="H32" i="5065"/>
  <c r="H48" i="5065"/>
  <c r="H19" i="5065"/>
  <c r="H2" i="5065"/>
  <c r="H3" i="5065"/>
  <c r="H38" i="5065"/>
  <c r="H21" i="5065"/>
  <c r="H24" i="5065"/>
  <c r="H18" i="5065"/>
  <c r="H49" i="5065"/>
  <c r="H6" i="5065"/>
  <c r="H29" i="5065"/>
  <c r="H33" i="5065"/>
  <c r="H41" i="5065"/>
  <c r="H4" i="5065"/>
  <c r="H11" i="5065"/>
  <c r="H30" i="5065"/>
  <c r="H26" i="5065"/>
  <c r="H42" i="5065"/>
  <c r="H16" i="5065"/>
  <c r="C17" i="5065"/>
  <c r="H39" i="5065"/>
  <c r="B23" i="5065"/>
  <c r="H40" i="5065"/>
  <c r="H20" i="5065"/>
  <c r="C18" i="5065"/>
  <c r="H25" i="5065"/>
  <c r="H50" i="5065"/>
  <c r="H22" i="5065"/>
  <c r="C19" i="5065"/>
  <c r="H12" i="5065"/>
  <c r="H35" i="5065"/>
  <c r="H44" i="5065"/>
  <c r="H5" i="5065"/>
  <c r="H31" i="5065"/>
  <c r="H34" i="5065"/>
  <c r="H27" i="5065"/>
  <c r="H43" i="5065"/>
  <c r="H45" i="5063"/>
  <c r="H47" i="5063"/>
  <c r="H8" i="5063"/>
  <c r="C17" i="5063"/>
  <c r="H30" i="5063"/>
  <c r="H48" i="5063"/>
  <c r="H19" i="5063"/>
  <c r="H40" i="5063"/>
  <c r="H7" i="5063"/>
  <c r="H21" i="5063"/>
  <c r="C18" i="5063"/>
  <c r="H41" i="5063"/>
  <c r="H4" i="5063"/>
  <c r="H11" i="5063"/>
  <c r="H33" i="5063"/>
  <c r="H25" i="5063"/>
  <c r="H42" i="5063"/>
  <c r="H17" i="5063"/>
  <c r="H46" i="5063"/>
  <c r="H2" i="5063"/>
  <c r="H3" i="5063"/>
  <c r="H14" i="5063"/>
  <c r="H9" i="5063"/>
  <c r="H38" i="5063"/>
  <c r="H20" i="5063"/>
  <c r="H28" i="5063"/>
  <c r="H39" i="5063"/>
  <c r="B23" i="5063"/>
  <c r="H16" i="5063"/>
  <c r="H49" i="5063"/>
  <c r="H32" i="5063"/>
  <c r="H29" i="5063"/>
  <c r="H22" i="5063"/>
  <c r="H50" i="5063"/>
  <c r="H23" i="5063"/>
  <c r="C19" i="5063"/>
  <c r="H12" i="5063"/>
  <c r="H35" i="5063"/>
  <c r="H44" i="5063"/>
  <c r="H5" i="5063"/>
  <c r="H34" i="5063"/>
  <c r="H27" i="5063"/>
  <c r="H31" i="5063"/>
  <c r="H43" i="5063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<sst xmlns="http://schemas.openxmlformats.org/spreadsheetml/2006/main" count="2708" uniqueCount="218">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</sst>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全体!$K$2:$K$365</c:f>
              <c:numCache>
                <c:formatCode>General</c:formatCode>
                <c:ptCount val="3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</c:numCache>
            </c:numRef>
          </c:xVal>
          <c:yVal>
            <c:numRef>
              <c:f>全体!$L$2:$L$365</c:f>
              <c:numCache>
                <c:formatCode>\+0.0;\-0.0;\±0</c:formatCode>
                <c:ptCount val="36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0-4B6E-9E0B-6B7C492FB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-13.774104683195592</c:v>
                </c:pt>
                <c:pt idx="1">
                  <c:v>-13.888888888888889</c:v>
                </c:pt>
                <c:pt idx="2">
                  <c:v>11.799410029498524</c:v>
                </c:pt>
                <c:pt idx="3">
                  <c:v>16.181229773462782</c:v>
                </c:pt>
                <c:pt idx="4">
                  <c:v>-17.730496453900709</c:v>
                </c:pt>
                <c:pt idx="5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C-44EE-99C6-DD646E16E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E-49D2-B839-A01C3FA0E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2215.4761904761904</c:v>
                </c:pt>
                <c:pt idx="1">
                  <c:v>2960.2409638554218</c:v>
                </c:pt>
                <c:pt idx="2">
                  <c:v>2567.0886075949365</c:v>
                </c:pt>
                <c:pt idx="3">
                  <c:v>2672.2222222222222</c:v>
                </c:pt>
                <c:pt idx="4">
                  <c:v>-339.0625</c:v>
                </c:pt>
                <c:pt idx="5">
                  <c:v>1338.3333333333333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4-4656-AF19-A3EE078D7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りくと!$L$2:$L$91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D-46B7-BA9F-822954EA0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1124.7191011235955</c:v>
                </c:pt>
                <c:pt idx="1">
                  <c:v>-2281.818181818182</c:v>
                </c:pt>
                <c:pt idx="2">
                  <c:v>-1644.7058823529412</c:v>
                </c:pt>
                <c:pt idx="3">
                  <c:v>1038.9610389610389</c:v>
                </c:pt>
                <c:pt idx="4">
                  <c:v>617.14285714285711</c:v>
                </c:pt>
                <c:pt idx="5">
                  <c:v>437.87878787878788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A-4E5C-9A47-396E11CD2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56-4D01-9ECB-E43A490BC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-2758.3333333333335</c:v>
                </c:pt>
                <c:pt idx="1">
                  <c:v>-3072.2222222222222</c:v>
                </c:pt>
                <c:pt idx="2">
                  <c:v>-1230.3030303030303</c:v>
                </c:pt>
                <c:pt idx="3">
                  <c:v>-6846.4285714285716</c:v>
                </c:pt>
                <c:pt idx="4">
                  <c:v>-1044</c:v>
                </c:pt>
                <c:pt idx="5">
                  <c:v>-1578.2608695652175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8-4A8F-AFE9-1B642118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れんたろう!$L$2:$L$48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B-4F6E-82C7-93FDBD3DB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23.913043478260871</c:v>
                </c:pt>
                <c:pt idx="1">
                  <c:v>593.47826086956525</c:v>
                </c:pt>
                <c:pt idx="2">
                  <c:v>495.45454545454544</c:v>
                </c:pt>
                <c:pt idx="3">
                  <c:v>1281.578947368421</c:v>
                </c:pt>
                <c:pt idx="4">
                  <c:v>-845.71428571428567</c:v>
                </c:pt>
                <c:pt idx="5">
                  <c:v>-224.24242424242425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9-4F42-A5DD-86BBCF8EB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F-4DE7-A2D1-284489786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1515</c:v>
                </c:pt>
                <c:pt idx="1">
                  <c:v>-142.5</c:v>
                </c:pt>
                <c:pt idx="2">
                  <c:v>488.57142857142856</c:v>
                </c:pt>
                <c:pt idx="3">
                  <c:v>1354.5454545454545</c:v>
                </c:pt>
                <c:pt idx="4">
                  <c:v>-906.25</c:v>
                </c:pt>
                <c:pt idx="5">
                  <c:v>-1520.6896551724137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6-478A-963F-4008765F0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ぱぱ!$L$2:$L$36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5-461F-B9B8-CF929DD7B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-3038.2352941176468</c:v>
                </c:pt>
                <c:pt idx="1">
                  <c:v>1788.2352941176471</c:v>
                </c:pt>
                <c:pt idx="2">
                  <c:v>-831.25</c:v>
                </c:pt>
                <c:pt idx="3">
                  <c:v>-4610</c:v>
                </c:pt>
                <c:pt idx="4">
                  <c:v>970.37037037037032</c:v>
                </c:pt>
                <c:pt idx="5">
                  <c:v>638.46153846153845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D-4A5D-90E5-3094BD7B6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1-455B-B9CC-BF66FA844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-425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72-46DC-BCDC-9009FB4A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7-4FA3-96CA-94AB1CD12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9FB-80DF-243FD96A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07-4944-BF18-052D3FD5E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8-4EB3-8BF3-8E96D8112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F-4B02-9277-B87D40278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D-4246-B70A-D0379A1D5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87090024243804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727877578176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995342648037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4.8351648351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6.65354330708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17355371900826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17355371900826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45708582834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234198270126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823529411764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1538461538461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67032967032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2E39C7-5221-4647-A3B1-FD7B2CB6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6BCB9B-D3C2-4CDA-811D-8A7F3667C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A2548B-0870-456C-8156-C39E29083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03A56F-1487-4209-9AB4-5D055263F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B81B22-7ED7-498E-88B9-76AB72326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DC455C-7849-4A9D-BFEE-C0749FA60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505CDC-6DD6-478E-A222-8D7B74265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BC1C59-0341-4BC6-89E6-75AFD26C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AA1CFD-1F88-4E88-B680-3230A0622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D2BCD8-BCA5-42F7-A3F1-C3070C42C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29EB00-2333-41DA-A91C-4E911D808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5EE521-0CD1-4793-96D0-8C3A34A6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28F775-56EE-4315-AD33-F1616F161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0FF77B-2EA4-47E6-B86C-0A96ACE43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89DDE4-14A9-44FA-96BE-C89097F25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706F64-B96B-4266-B8E8-A7EBC6AEE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703FB7-4BEC-4A4C-A9DA-746A49F8F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91FA40-D0F1-440C-AA74-D036294AD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909790-BE99-4719-A639-3A4FCAE8F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65D152-F8F1-4245-8B7C-0484C2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774292-2FE3-4DBD-B0B1-87B045B88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F39C02-913C-43A8-8F1F-9A453EE4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0.79886286779268856</v>
      </c>
      <c r="G2" s="159"/>
      <c r="H2" s="158">
        <v>0.84219851118401989</v>
      </c>
      <c r="I2" s="159"/>
      <c r="J2" s="158">
        <v>0.6859935269792482</v>
      </c>
      <c r="K2" s="159"/>
      <c r="L2" s="158">
        <v>0.60947576017854654</v>
      </c>
      <c r="M2" s="159"/>
      <c r="N2" s="158">
        <v>0.38547290295366843</v>
      </c>
      <c r="O2" s="159"/>
      <c r="P2" s="158">
        <v>0.60048080707384444</v>
      </c>
      <c r="Q2" s="159"/>
      <c r="R2" s="158">
        <v>-5.764804346574548E-2</v>
      </c>
      <c r="S2" s="159"/>
      <c r="T2" s="158">
        <v>0.40485514297806724</v>
      </c>
      <c r="U2" s="159"/>
      <c r="V2" s="158">
        <v>0.75091691474819433</v>
      </c>
      <c r="W2" s="159"/>
      <c r="X2" s="158">
        <v>0.95156924281411781</v>
      </c>
      <c r="Y2" s="159"/>
      <c r="Z2" s="158">
        <v>-0.14123213673047577</v>
      </c>
      <c r="AA2" s="159"/>
      <c r="AB2" s="158">
        <v>0.46121418296020544</v>
      </c>
      <c r="AC2" s="159"/>
      <c r="AD2" s="158">
        <v>0.53569624406187399</v>
      </c>
      <c r="AE2" s="159"/>
      <c r="AF2" s="158">
        <v>-4.0787797686135607E-2</v>
      </c>
      <c r="AG2" s="159"/>
      <c r="AH2" s="158">
        <v>0.88880713147252821</v>
      </c>
      <c r="AI2" s="159"/>
    </row>
    <row r="3" spans="1:35" x14ac:dyDescent="0.4">
      <c r="A3" s="74">
        <v>1</v>
      </c>
      <c r="B3" s="75" t="s">
        <v>127</v>
      </c>
      <c r="C3" s="76">
        <v>1510.6000000000008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0.37997054491899851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0.16666666666666666</v>
      </c>
      <c r="X3" s="77" t="s">
        <v>127</v>
      </c>
      <c r="Y3" s="80">
        <v>0.33431516936671574</v>
      </c>
      <c r="Z3" s="77" t="s">
        <v>172</v>
      </c>
      <c r="AA3" s="80">
        <v>0.30116959064327486</v>
      </c>
      <c r="AB3" s="77" t="s">
        <v>186</v>
      </c>
      <c r="AC3" s="80">
        <v>0.66666666666666663</v>
      </c>
      <c r="AD3" s="77" t="s">
        <v>127</v>
      </c>
      <c r="AE3" s="80">
        <v>0.53548387096774197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17.983333333333341</v>
      </c>
      <c r="F4" s="85" t="s">
        <v>127</v>
      </c>
      <c r="G4" s="86">
        <v>1.6309523809523809</v>
      </c>
      <c r="H4" s="85" t="s">
        <v>127</v>
      </c>
      <c r="I4" s="87">
        <v>0.55952380952380953</v>
      </c>
      <c r="J4" s="85" t="s">
        <v>202</v>
      </c>
      <c r="K4" s="87">
        <v>0</v>
      </c>
      <c r="L4" s="85" t="s">
        <v>172</v>
      </c>
      <c r="M4" s="88">
        <v>0.36549707602339182</v>
      </c>
      <c r="N4" s="85" t="s">
        <v>172</v>
      </c>
      <c r="O4" s="88">
        <v>0.14035087719298245</v>
      </c>
      <c r="P4" s="85" t="s">
        <v>171</v>
      </c>
      <c r="Q4" s="89">
        <v>9300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0.61502347417840375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37.70000000000001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0.19047619047619047</v>
      </c>
      <c r="L5" s="85" t="s">
        <v>173</v>
      </c>
      <c r="M5" s="88">
        <v>0.30592105263157893</v>
      </c>
      <c r="N5" s="85" t="s">
        <v>171</v>
      </c>
      <c r="O5" s="88">
        <v>0.15748031496062992</v>
      </c>
      <c r="P5" s="85" t="s">
        <v>127</v>
      </c>
      <c r="Q5" s="89">
        <v>9200.3875968992252</v>
      </c>
      <c r="R5" s="85" t="s">
        <v>171</v>
      </c>
      <c r="S5" s="89">
        <v>-7016.666666666667</v>
      </c>
      <c r="T5" s="85" t="s">
        <v>171</v>
      </c>
      <c r="U5" s="87">
        <v>2.1739130434782608E-2</v>
      </c>
      <c r="V5" s="85" t="s">
        <v>172</v>
      </c>
      <c r="W5" s="87">
        <v>0.125</v>
      </c>
      <c r="X5" s="85" t="s">
        <v>128</v>
      </c>
      <c r="Y5" s="88">
        <v>0.28940217391304346</v>
      </c>
      <c r="Z5" s="85" t="s">
        <v>177</v>
      </c>
      <c r="AA5" s="88">
        <v>0.25503355704697989</v>
      </c>
      <c r="AB5" s="85" t="s">
        <v>185</v>
      </c>
      <c r="AC5" s="88">
        <v>0.6</v>
      </c>
      <c r="AD5" s="85" t="s">
        <v>186</v>
      </c>
      <c r="AE5" s="88">
        <v>0.46666666666666667</v>
      </c>
      <c r="AF5" s="85" t="s">
        <v>173</v>
      </c>
      <c r="AG5" s="88">
        <v>0.5268817204301075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0.94250000000000023</v>
      </c>
      <c r="F6" s="85" t="s">
        <v>145</v>
      </c>
      <c r="G6" s="86">
        <v>2</v>
      </c>
      <c r="H6" s="85" t="s">
        <v>172</v>
      </c>
      <c r="I6" s="87">
        <v>0.3</v>
      </c>
      <c r="J6" s="85" t="s">
        <v>128</v>
      </c>
      <c r="K6" s="87">
        <v>0.3258426966292135</v>
      </c>
      <c r="L6" s="85" t="s">
        <v>145</v>
      </c>
      <c r="M6" s="88">
        <v>0.30272787757817698</v>
      </c>
      <c r="N6" s="85" t="s">
        <v>127</v>
      </c>
      <c r="O6" s="88">
        <v>0.16053019145802652</v>
      </c>
      <c r="P6" s="85" t="s">
        <v>128</v>
      </c>
      <c r="Q6" s="89">
        <v>9090.995260663507</v>
      </c>
      <c r="R6" s="85" t="s">
        <v>177</v>
      </c>
      <c r="S6" s="89">
        <v>-7093.1034482758623</v>
      </c>
      <c r="T6" s="85" t="s">
        <v>172</v>
      </c>
      <c r="U6" s="87">
        <v>0.05</v>
      </c>
      <c r="V6" s="85" t="s">
        <v>145</v>
      </c>
      <c r="W6" s="87">
        <v>9.9173553719008267E-2</v>
      </c>
      <c r="X6" s="85" t="s">
        <v>145</v>
      </c>
      <c r="Y6" s="88">
        <v>0.27145708582834333</v>
      </c>
      <c r="Z6" s="85" t="s">
        <v>173</v>
      </c>
      <c r="AA6" s="88">
        <v>0.25</v>
      </c>
      <c r="AB6" s="85" t="s">
        <v>127</v>
      </c>
      <c r="AC6" s="88">
        <v>0.59471365638766516</v>
      </c>
      <c r="AD6" s="85" t="s">
        <v>172</v>
      </c>
      <c r="AE6" s="88">
        <v>0.41747572815533979</v>
      </c>
      <c r="AF6" s="85" t="s">
        <v>129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3.5527136788005009E-14</v>
      </c>
      <c r="D7" s="85" t="s">
        <v>145</v>
      </c>
      <c r="E7" s="97">
        <v>9.7870900242438045E-17</v>
      </c>
      <c r="F7" s="85" t="s">
        <v>171</v>
      </c>
      <c r="G7" s="86">
        <v>2.0652173913043477</v>
      </c>
      <c r="H7" s="85" t="s">
        <v>171</v>
      </c>
      <c r="I7" s="87">
        <v>0.28260869565217389</v>
      </c>
      <c r="J7" s="85" t="s">
        <v>145</v>
      </c>
      <c r="K7" s="87">
        <v>0.33333333333333331</v>
      </c>
      <c r="L7" s="85" t="s">
        <v>128</v>
      </c>
      <c r="M7" s="88">
        <v>0.28668478260869568</v>
      </c>
      <c r="N7" s="85" t="s">
        <v>202</v>
      </c>
      <c r="O7" s="88">
        <v>0.16666666666666666</v>
      </c>
      <c r="P7" s="85" t="s">
        <v>129</v>
      </c>
      <c r="Q7" s="89">
        <v>8551.6129032258068</v>
      </c>
      <c r="R7" s="85" t="s">
        <v>128</v>
      </c>
      <c r="S7" s="89">
        <v>-7771.2</v>
      </c>
      <c r="T7" s="85" t="s">
        <v>127</v>
      </c>
      <c r="U7" s="87">
        <v>5.9523809523809521E-2</v>
      </c>
      <c r="V7" s="85" t="s">
        <v>128</v>
      </c>
      <c r="W7" s="87">
        <v>7.8651685393258425E-2</v>
      </c>
      <c r="X7" s="85" t="s">
        <v>185</v>
      </c>
      <c r="Y7" s="88">
        <v>0.26315789473684209</v>
      </c>
      <c r="Z7" s="85" t="s">
        <v>127</v>
      </c>
      <c r="AA7" s="88">
        <v>0.22827687776141384</v>
      </c>
      <c r="AB7" s="85" t="s">
        <v>173</v>
      </c>
      <c r="AC7" s="88">
        <v>0.59420289855072461</v>
      </c>
      <c r="AD7" s="85" t="s">
        <v>145</v>
      </c>
      <c r="AE7" s="88">
        <v>0.38153846153846155</v>
      </c>
      <c r="AF7" s="85" t="s">
        <v>145</v>
      </c>
      <c r="AG7" s="88">
        <v>0.43296703296703298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-6.1000000000000014</v>
      </c>
      <c r="D8" s="85" t="s">
        <v>171</v>
      </c>
      <c r="E8" s="97">
        <v>-0.13260869565217395</v>
      </c>
      <c r="F8" s="85" t="s">
        <v>128</v>
      </c>
      <c r="G8" s="86">
        <v>2.0674157303370788</v>
      </c>
      <c r="H8" s="85" t="s">
        <v>173</v>
      </c>
      <c r="I8" s="87">
        <v>0.26470588235294118</v>
      </c>
      <c r="J8" s="85" t="s">
        <v>171</v>
      </c>
      <c r="K8" s="87">
        <v>0.34782608695652173</v>
      </c>
      <c r="L8" s="85" t="s">
        <v>185</v>
      </c>
      <c r="M8" s="88">
        <v>0.26315789473684209</v>
      </c>
      <c r="N8" s="85" t="s">
        <v>145</v>
      </c>
      <c r="O8" s="88">
        <v>0.16899534264803726</v>
      </c>
      <c r="P8" s="85" t="s">
        <v>145</v>
      </c>
      <c r="Q8" s="89">
        <v>8464.8351648351654</v>
      </c>
      <c r="R8" s="85" t="s">
        <v>127</v>
      </c>
      <c r="S8" s="89">
        <v>-7829.3577981651379</v>
      </c>
      <c r="T8" s="85" t="s">
        <v>145</v>
      </c>
      <c r="U8" s="87">
        <v>9.9173553719008267E-2</v>
      </c>
      <c r="V8" s="85" t="s">
        <v>173</v>
      </c>
      <c r="W8" s="87">
        <v>5.8823529411764705E-2</v>
      </c>
      <c r="X8" s="85" t="s">
        <v>171</v>
      </c>
      <c r="Y8" s="88">
        <v>0.2572178477690289</v>
      </c>
      <c r="Z8" s="85" t="s">
        <v>186</v>
      </c>
      <c r="AA8" s="88">
        <v>0.22058823529411764</v>
      </c>
      <c r="AB8" s="85" t="s">
        <v>145</v>
      </c>
      <c r="AC8" s="88">
        <v>0.58823529411764708</v>
      </c>
      <c r="AD8" s="85" t="s">
        <v>177</v>
      </c>
      <c r="AE8" s="88">
        <v>0.36842105263157893</v>
      </c>
      <c r="AF8" s="85" t="s">
        <v>127</v>
      </c>
      <c r="AG8" s="88">
        <v>0.43023255813953487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186</v>
      </c>
      <c r="C9" s="84">
        <v>-170.5</v>
      </c>
      <c r="D9" s="85" t="s">
        <v>128</v>
      </c>
      <c r="E9" s="97">
        <v>-2.3415730337078657</v>
      </c>
      <c r="F9" s="85" t="s">
        <v>172</v>
      </c>
      <c r="G9" s="86">
        <v>2.0750000000000002</v>
      </c>
      <c r="H9" s="85" t="s">
        <v>177</v>
      </c>
      <c r="I9" s="87">
        <v>0.26315789473684209</v>
      </c>
      <c r="J9" s="85" t="s">
        <v>173</v>
      </c>
      <c r="K9" s="87">
        <v>0.35294117647058826</v>
      </c>
      <c r="L9" s="85" t="s">
        <v>186</v>
      </c>
      <c r="M9" s="88">
        <v>0.25</v>
      </c>
      <c r="N9" s="85" t="s">
        <v>128</v>
      </c>
      <c r="O9" s="88">
        <v>0.16983695652173914</v>
      </c>
      <c r="P9" s="85" t="s">
        <v>185</v>
      </c>
      <c r="Q9" s="89">
        <v>7860</v>
      </c>
      <c r="R9" s="85" t="s">
        <v>173</v>
      </c>
      <c r="S9" s="89">
        <v>-7957.1428571428569</v>
      </c>
      <c r="T9" s="85" t="s">
        <v>173</v>
      </c>
      <c r="U9" s="87">
        <v>0.11764705882352941</v>
      </c>
      <c r="V9" s="85" t="s">
        <v>129</v>
      </c>
      <c r="W9" s="87">
        <v>5.5555555555555552E-2</v>
      </c>
      <c r="X9" s="85" t="s">
        <v>129</v>
      </c>
      <c r="Y9" s="88">
        <v>0.25342465753424659</v>
      </c>
      <c r="Z9" s="85" t="s">
        <v>145</v>
      </c>
      <c r="AA9" s="88">
        <v>0.21623419827012641</v>
      </c>
      <c r="AB9" s="85" t="s">
        <v>172</v>
      </c>
      <c r="AC9" s="88">
        <v>0.58750000000000002</v>
      </c>
      <c r="AD9" s="85" t="s">
        <v>173</v>
      </c>
      <c r="AE9" s="88">
        <v>0.34210526315789475</v>
      </c>
      <c r="AF9" s="85" t="s">
        <v>172</v>
      </c>
      <c r="AG9" s="88">
        <v>0.41599999999999998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128</v>
      </c>
      <c r="C10" s="84">
        <v>-208.40000000000003</v>
      </c>
      <c r="D10" s="85" t="s">
        <v>173</v>
      </c>
      <c r="E10" s="97">
        <v>-6.6058823529411761</v>
      </c>
      <c r="F10" s="85" t="s">
        <v>173</v>
      </c>
      <c r="G10" s="86">
        <v>2.0882352941176472</v>
      </c>
      <c r="H10" s="85" t="s">
        <v>128</v>
      </c>
      <c r="I10" s="87">
        <v>0.25842696629213485</v>
      </c>
      <c r="J10" s="85" t="s">
        <v>172</v>
      </c>
      <c r="K10" s="87">
        <v>0.375</v>
      </c>
      <c r="L10" s="85" t="s">
        <v>202</v>
      </c>
      <c r="M10" s="88">
        <v>0.25</v>
      </c>
      <c r="N10" s="85" t="s">
        <v>173</v>
      </c>
      <c r="O10" s="88">
        <v>0.18421052631578946</v>
      </c>
      <c r="P10" s="85" t="s">
        <v>177</v>
      </c>
      <c r="Q10" s="89">
        <v>7431.4285714285716</v>
      </c>
      <c r="R10" s="85" t="s">
        <v>145</v>
      </c>
      <c r="S10" s="89">
        <v>-7996.6535433070867</v>
      </c>
      <c r="T10" s="85" t="s">
        <v>128</v>
      </c>
      <c r="U10" s="87">
        <v>0.12359550561797752</v>
      </c>
      <c r="V10" s="85" t="s">
        <v>177</v>
      </c>
      <c r="W10" s="87">
        <v>0</v>
      </c>
      <c r="X10" s="85" t="s">
        <v>172</v>
      </c>
      <c r="Y10" s="88">
        <v>0.23391812865497075</v>
      </c>
      <c r="Z10" s="85" t="s">
        <v>185</v>
      </c>
      <c r="AA10" s="88">
        <v>0.21052631578947367</v>
      </c>
      <c r="AB10" s="85" t="s">
        <v>171</v>
      </c>
      <c r="AC10" s="88">
        <v>0.58163265306122447</v>
      </c>
      <c r="AD10" s="85" t="s">
        <v>171</v>
      </c>
      <c r="AE10" s="88">
        <v>0.33333333333333331</v>
      </c>
      <c r="AF10" s="85" t="s">
        <v>128</v>
      </c>
      <c r="AG10" s="88">
        <v>0.41232227488151657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-224.6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171</v>
      </c>
      <c r="M11" s="88">
        <v>0.24934383202099739</v>
      </c>
      <c r="N11" s="85" t="s">
        <v>129</v>
      </c>
      <c r="O11" s="88">
        <v>0.19178082191780821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173</v>
      </c>
      <c r="Y11" s="88">
        <v>0.22697368421052633</v>
      </c>
      <c r="Z11" s="85" t="s">
        <v>128</v>
      </c>
      <c r="AA11" s="88">
        <v>0.19429347826086957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129</v>
      </c>
      <c r="G12" s="86">
        <v>2.3611111111111112</v>
      </c>
      <c r="H12" s="85" t="s">
        <v>202</v>
      </c>
      <c r="I12" s="87">
        <v>0.25</v>
      </c>
      <c r="J12" s="85" t="s">
        <v>129</v>
      </c>
      <c r="K12" s="87">
        <v>0.55555555555555558</v>
      </c>
      <c r="L12" s="85" t="s">
        <v>177</v>
      </c>
      <c r="M12" s="88">
        <v>0.2348993288590604</v>
      </c>
      <c r="N12" s="85" t="s">
        <v>177</v>
      </c>
      <c r="O12" s="88">
        <v>0.19463087248322147</v>
      </c>
      <c r="P12" s="85" t="s">
        <v>173</v>
      </c>
      <c r="Q12" s="89">
        <v>6829.0322580645161</v>
      </c>
      <c r="R12" s="85" t="s">
        <v>172</v>
      </c>
      <c r="S12" s="89">
        <v>-8858.3333333333339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0.16535433070866143</v>
      </c>
      <c r="AB12" s="85" t="s">
        <v>177</v>
      </c>
      <c r="AC12" s="88">
        <v>0.51851851851851849</v>
      </c>
      <c r="AD12" s="85" t="s">
        <v>128</v>
      </c>
      <c r="AE12" s="88">
        <v>0.28671328671328672</v>
      </c>
      <c r="AF12" s="85" t="s">
        <v>171</v>
      </c>
      <c r="AG12" s="88">
        <v>0.35789473684210527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-783.49999999999989</v>
      </c>
      <c r="D13" s="85" t="s">
        <v>129</v>
      </c>
      <c r="E13" s="97">
        <v>-21.763888888888886</v>
      </c>
      <c r="F13" s="85" t="s">
        <v>186</v>
      </c>
      <c r="G13" s="86">
        <v>2.375</v>
      </c>
      <c r="H13" s="85" t="s">
        <v>129</v>
      </c>
      <c r="I13" s="87">
        <v>0.19444444444444445</v>
      </c>
      <c r="J13" s="85" t="s">
        <v>186</v>
      </c>
      <c r="K13" s="87">
        <v>0.625</v>
      </c>
      <c r="L13" s="85" t="s">
        <v>129</v>
      </c>
      <c r="M13" s="88">
        <v>0.21232876712328766</v>
      </c>
      <c r="N13" s="85" t="s">
        <v>186</v>
      </c>
      <c r="O13" s="88">
        <v>0.25</v>
      </c>
      <c r="P13" s="85" t="s">
        <v>172</v>
      </c>
      <c r="Q13" s="89">
        <v>6813.6</v>
      </c>
      <c r="R13" s="85" t="s">
        <v>129</v>
      </c>
      <c r="S13" s="89">
        <v>-9875</v>
      </c>
      <c r="T13" s="85" t="s">
        <v>129</v>
      </c>
      <c r="U13" s="87">
        <v>0.22222222222222221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0.14726027397260275</v>
      </c>
      <c r="AB13" s="85" t="s">
        <v>129</v>
      </c>
      <c r="AC13" s="88">
        <v>0.51351351351351349</v>
      </c>
      <c r="AD13" s="85" t="s">
        <v>129</v>
      </c>
      <c r="AE13" s="88">
        <v>0.18604651162790697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739C1-2883-4008-BBB6-BB90BA77D1FA}">
  <sheetPr codeName="Sheet4"/>
  <dimension ref="A1:Q3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363</v>
      </c>
      <c r="C2" s="147"/>
      <c r="E2" s="62" t="s">
        <v>67</v>
      </c>
      <c r="F2" s="59" t="s">
        <v>23</v>
      </c>
      <c r="G2" s="46">
        <v>678</v>
      </c>
      <c r="H2" s="132">
        <f>IF(B$17=0,0,G2/B$17)</f>
        <v>0.74505494505494507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-13.774104683195592</v>
      </c>
      <c r="P2" s="118">
        <v>363</v>
      </c>
      <c r="Q2" s="102">
        <v>-5000</v>
      </c>
    </row>
    <row r="3" spans="1:17" x14ac:dyDescent="0.4">
      <c r="A3" s="55" t="s">
        <v>8</v>
      </c>
      <c r="B3" s="148">
        <v>3006</v>
      </c>
      <c r="C3" s="149"/>
      <c r="E3" s="63" t="s">
        <v>73</v>
      </c>
      <c r="F3" s="60" t="s">
        <v>28</v>
      </c>
      <c r="G3" s="47">
        <v>477</v>
      </c>
      <c r="H3" s="133">
        <f>IF(B$17=0,0,G3/B$17)</f>
        <v>0.5241758241758242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-13.888888888888889</v>
      </c>
      <c r="P3" s="119">
        <v>360</v>
      </c>
      <c r="Q3" s="103">
        <v>-5000</v>
      </c>
    </row>
    <row r="4" spans="1:17" x14ac:dyDescent="0.4">
      <c r="A4" s="55" t="s">
        <v>6</v>
      </c>
      <c r="B4" s="150">
        <v>3.5527136788005009E-14</v>
      </c>
      <c r="C4" s="151"/>
      <c r="E4" s="63" t="s">
        <v>65</v>
      </c>
      <c r="F4" s="60" t="s">
        <v>21</v>
      </c>
      <c r="G4" s="47">
        <v>454</v>
      </c>
      <c r="H4" s="133">
        <f>IF(B$17=0,0,G4/B$17)</f>
        <v>0.49890109890109891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11.799410029498524</v>
      </c>
      <c r="P4" s="119">
        <v>339</v>
      </c>
      <c r="Q4" s="103">
        <v>4000</v>
      </c>
    </row>
    <row r="5" spans="1:17" x14ac:dyDescent="0.4">
      <c r="A5" s="55" t="s">
        <v>7</v>
      </c>
      <c r="B5" s="152">
        <f>IF(B$2=0,0,B$4/B$2)</f>
        <v>9.7870900242438045E-17</v>
      </c>
      <c r="C5" s="153"/>
      <c r="E5" s="63" t="s">
        <v>181</v>
      </c>
      <c r="F5" s="60" t="s">
        <v>182</v>
      </c>
      <c r="G5" s="47">
        <v>349</v>
      </c>
      <c r="H5" s="133">
        <f>IF(B$17=0,0,G5/B$17)</f>
        <v>0.38351648351648354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16.181229773462782</v>
      </c>
      <c r="P5" s="119">
        <v>309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272</v>
      </c>
      <c r="H6" s="133">
        <f>IF(B$17=0,0,G6/B$17)</f>
        <v>0.29890109890109889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-17.730496453900709</v>
      </c>
      <c r="P6" s="119">
        <v>282</v>
      </c>
      <c r="Q6" s="103">
        <v>-5000</v>
      </c>
    </row>
    <row r="7" spans="1:17" x14ac:dyDescent="0.4">
      <c r="A7" s="55" t="s">
        <v>2</v>
      </c>
      <c r="B7" s="47">
        <v>121</v>
      </c>
      <c r="C7" s="39">
        <f>IF(B$2=0,0,B7/B$2)</f>
        <v>0.33333333333333331</v>
      </c>
      <c r="E7" s="63" t="s">
        <v>68</v>
      </c>
      <c r="F7" s="60" t="s">
        <v>24</v>
      </c>
      <c r="G7" s="47">
        <v>269</v>
      </c>
      <c r="H7" s="133">
        <f>IF(B$17=0,0,G7/B$17)</f>
        <v>0.29560439560439561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22.727272727272727</v>
      </c>
      <c r="P7" s="120">
        <v>264</v>
      </c>
      <c r="Q7" s="104">
        <v>6000</v>
      </c>
    </row>
    <row r="8" spans="1:17" x14ac:dyDescent="0.4">
      <c r="A8" s="55" t="s">
        <v>3</v>
      </c>
      <c r="B8" s="47">
        <v>121</v>
      </c>
      <c r="C8" s="39">
        <f>IF(B$2=0,0,B8/B$2)</f>
        <v>0.33333333333333331</v>
      </c>
      <c r="E8" s="63" t="s">
        <v>70</v>
      </c>
      <c r="F8" s="60" t="s">
        <v>25</v>
      </c>
      <c r="G8" s="47">
        <v>163</v>
      </c>
      <c r="H8" s="133">
        <f>IF(B$17=0,0,G8/B$17)</f>
        <v>0.17912087912087912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121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119</v>
      </c>
      <c r="H9" s="133">
        <f>IF(B$17=0,0,G9/B$17)</f>
        <v>0.13076923076923078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36</v>
      </c>
      <c r="C10" s="40">
        <f>IF(B$2=0,0,B10/B$2)</f>
        <v>9.9173553719008267E-2</v>
      </c>
      <c r="E10" s="63" t="s">
        <v>66</v>
      </c>
      <c r="F10" s="60" t="s">
        <v>22</v>
      </c>
      <c r="G10" s="47">
        <v>118</v>
      </c>
      <c r="H10" s="133">
        <f>IF(B$17=0,0,G10/B$17)</f>
        <v>0.12967032967032968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-0.9173553719008265</v>
      </c>
      <c r="P10" s="118">
        <v>121</v>
      </c>
      <c r="Q10" s="106">
        <v>-111</v>
      </c>
    </row>
    <row r="11" spans="1:17" x14ac:dyDescent="0.4">
      <c r="A11" s="56" t="s">
        <v>140</v>
      </c>
      <c r="B11" s="48">
        <v>36</v>
      </c>
      <c r="C11" s="40">
        <f>IF(B$2=0,0,B11/B$2)</f>
        <v>9.9173553719008267E-2</v>
      </c>
      <c r="E11" s="63" t="s">
        <v>71</v>
      </c>
      <c r="F11" s="60" t="s">
        <v>26</v>
      </c>
      <c r="G11" s="47">
        <v>94</v>
      </c>
      <c r="H11" s="133">
        <f>IF(B$17=0,0,G11/B$17)</f>
        <v>0.10329670329670329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-3.2694214876033065</v>
      </c>
      <c r="P11" s="119">
        <v>121</v>
      </c>
      <c r="Q11" s="107">
        <v>-395.60000000000008</v>
      </c>
    </row>
    <row r="12" spans="1:17" x14ac:dyDescent="0.4">
      <c r="A12" s="57" t="s">
        <v>160</v>
      </c>
      <c r="B12" s="49">
        <v>36</v>
      </c>
      <c r="C12" s="42">
        <f>IF(B$2=0,0,B12/B$2)</f>
        <v>9.9173553719008267E-2</v>
      </c>
      <c r="E12" s="63" t="s">
        <v>87</v>
      </c>
      <c r="F12" s="60" t="s">
        <v>42</v>
      </c>
      <c r="G12" s="47">
        <v>55</v>
      </c>
      <c r="H12" s="133">
        <f>IF(B$17=0,0,G12/B$17)</f>
        <v>6.043956043956044E-2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4.186776859504131</v>
      </c>
      <c r="P12" s="120">
        <v>121</v>
      </c>
      <c r="Q12" s="108">
        <v>506.59999999999985</v>
      </c>
    </row>
    <row r="13" spans="1:17" x14ac:dyDescent="0.4">
      <c r="A13" s="58" t="s">
        <v>122</v>
      </c>
      <c r="B13" s="50">
        <v>816</v>
      </c>
      <c r="C13" s="44">
        <f>IF(B$3=0,0,B13/B$3)</f>
        <v>0.27145708582834333</v>
      </c>
      <c r="E13" s="63" t="s">
        <v>72</v>
      </c>
      <c r="F13" s="60" t="s">
        <v>27</v>
      </c>
      <c r="G13" s="47">
        <v>54</v>
      </c>
      <c r="H13" s="133">
        <f>IF(B$17=0,0,G13/B$17)</f>
        <v>5.9340659340659338E-2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650</v>
      </c>
      <c r="C14" s="39">
        <f>IF(B$3=0,0,B14/B$3)</f>
        <v>0.21623419827012641</v>
      </c>
      <c r="E14" s="63" t="s">
        <v>84</v>
      </c>
      <c r="F14" s="60" t="s">
        <v>39</v>
      </c>
      <c r="G14" s="47">
        <v>41</v>
      </c>
      <c r="H14" s="133">
        <f>IF(B$17=0,0,G14/B$17)</f>
        <v>4.5054945054945054E-2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480</v>
      </c>
      <c r="C15" s="37">
        <f>IF(B$13=0,0,B15/B$13)</f>
        <v>0.58823529411764708</v>
      </c>
      <c r="E15" s="63" t="s">
        <v>82</v>
      </c>
      <c r="F15" s="60" t="s">
        <v>37</v>
      </c>
      <c r="G15" s="47">
        <v>29</v>
      </c>
      <c r="H15" s="133">
        <f>IF(B$17=0,0,G15/B$17)</f>
        <v>3.1868131868131866E-2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32.645833333333336</v>
      </c>
      <c r="P15" s="118">
        <v>72</v>
      </c>
      <c r="Q15" s="106">
        <v>2350.5</v>
      </c>
    </row>
    <row r="16" spans="1:17" x14ac:dyDescent="0.4">
      <c r="A16" s="54" t="s">
        <v>125</v>
      </c>
      <c r="B16" s="46">
        <v>248</v>
      </c>
      <c r="C16" s="37">
        <f>IF(B$14=0,0,B16/B$14)</f>
        <v>0.38153846153846155</v>
      </c>
      <c r="E16" s="63" t="s">
        <v>92</v>
      </c>
      <c r="F16" s="60" t="s">
        <v>47</v>
      </c>
      <c r="G16" s="47">
        <v>15</v>
      </c>
      <c r="H16" s="133">
        <f>IF(B$17=0,0,G16/B$17)</f>
        <v>1.6483516483516484E-2</v>
      </c>
      <c r="I16" s="94">
        <v>3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910</v>
      </c>
      <c r="C17" s="37">
        <f>IF(B$3=0,0,B17/B$3)</f>
        <v>0.30272787757817698</v>
      </c>
      <c r="E17" s="63" t="s">
        <v>180</v>
      </c>
      <c r="F17" s="60" t="s">
        <v>183</v>
      </c>
      <c r="G17" s="47">
        <v>15</v>
      </c>
      <c r="H17" s="133">
        <f>IF(B$17=0,0,G17/B$17)</f>
        <v>1.6483516483516484E-2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394</v>
      </c>
      <c r="C18" s="39">
        <f>IF(B$17=0,0,B18/B$17)</f>
        <v>0.43296703296703298</v>
      </c>
      <c r="E18" s="63" t="s">
        <v>79</v>
      </c>
      <c r="F18" s="60" t="s">
        <v>34</v>
      </c>
      <c r="G18" s="47">
        <v>14</v>
      </c>
      <c r="H18" s="133">
        <f>IF(B$17=0,0,G18/B$17)</f>
        <v>1.5384615384615385E-2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9.9088235294117624</v>
      </c>
      <c r="P18" s="119">
        <v>68</v>
      </c>
      <c r="Q18" s="107">
        <v>673.79999999999984</v>
      </c>
    </row>
    <row r="19" spans="1:17" x14ac:dyDescent="0.4">
      <c r="A19" s="55" t="s">
        <v>11</v>
      </c>
      <c r="B19" s="47">
        <v>516</v>
      </c>
      <c r="C19" s="39">
        <f>IF(B$17=0,0,B19/B$17)</f>
        <v>0.56703296703296702</v>
      </c>
      <c r="E19" s="63" t="s">
        <v>80</v>
      </c>
      <c r="F19" s="60" t="s">
        <v>35</v>
      </c>
      <c r="G19" s="47">
        <v>13</v>
      </c>
      <c r="H19" s="133">
        <f>IF(B$17=0,0,G19/B$17)</f>
        <v>1.4285714285714285E-2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3.5123595505617975</v>
      </c>
      <c r="P19" s="119">
        <v>178</v>
      </c>
      <c r="Q19" s="107">
        <v>625.19999999999993</v>
      </c>
    </row>
    <row r="20" spans="1:17" x14ac:dyDescent="0.4">
      <c r="A20" s="55" t="s">
        <v>13</v>
      </c>
      <c r="B20" s="47">
        <v>508</v>
      </c>
      <c r="C20" s="39">
        <f>IF(B$3=0,0,B20/B$3)</f>
        <v>0.16899534264803726</v>
      </c>
      <c r="E20" s="63" t="s">
        <v>76</v>
      </c>
      <c r="F20" s="60" t="s">
        <v>31</v>
      </c>
      <c r="G20" s="47">
        <v>7</v>
      </c>
      <c r="H20" s="133">
        <f>IF(B$17=0,0,G20/B$17)</f>
        <v>7.6923076923076927E-3</v>
      </c>
      <c r="I20" s="94">
        <v>5</v>
      </c>
      <c r="K20" s="38">
        <v>18</v>
      </c>
      <c r="L20" s="99">
        <v>-3.5527136788005009E-15</v>
      </c>
      <c r="N20" s="115" t="s">
        <v>171</v>
      </c>
      <c r="O20" s="125">
        <f>IF(P20=0,0,Q20/P20)</f>
        <v>0.19891304347826347</v>
      </c>
      <c r="P20" s="119">
        <v>92</v>
      </c>
      <c r="Q20" s="107">
        <v>18.300000000000239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5</v>
      </c>
      <c r="H21" s="133">
        <f>IF(B$17=0,0,G21/B$17)</f>
        <v>5.4945054945054949E-3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-1.4137500000000014</v>
      </c>
      <c r="P21" s="119">
        <v>80</v>
      </c>
      <c r="Q21" s="107">
        <v>-113.10000000000011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93</v>
      </c>
      <c r="F22" s="60" t="s">
        <v>48</v>
      </c>
      <c r="G22" s="47">
        <v>4</v>
      </c>
      <c r="H22" s="133">
        <f>IF(B$17=0,0,G22/B$17)</f>
        <v>4.3956043956043956E-3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8464.8351648351654</v>
      </c>
      <c r="C23" s="41">
        <v>7703000</v>
      </c>
      <c r="E23" s="63" t="s">
        <v>78</v>
      </c>
      <c r="F23" s="60" t="s">
        <v>33</v>
      </c>
      <c r="G23" s="47">
        <v>3</v>
      </c>
      <c r="H23" s="133">
        <f>IF(B$17=0,0,G23/B$17)</f>
        <v>3.2967032967032967E-3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-26.974999999999962</v>
      </c>
      <c r="P23" s="119">
        <v>168</v>
      </c>
      <c r="Q23" s="107">
        <v>-4531.7999999999938</v>
      </c>
    </row>
    <row r="24" spans="1:17" x14ac:dyDescent="0.4">
      <c r="A24" s="57" t="s">
        <v>14</v>
      </c>
      <c r="B24" s="52">
        <f>IF(B$20=0,0,C24/B$20)</f>
        <v>-7996.6535433070867</v>
      </c>
      <c r="C24" s="45">
        <v>-4062300</v>
      </c>
      <c r="E24" s="63" t="s">
        <v>88</v>
      </c>
      <c r="F24" s="60" t="s">
        <v>43</v>
      </c>
      <c r="G24" s="47">
        <v>3</v>
      </c>
      <c r="H24" s="133">
        <f>IF(B$17=0,0,G24/B$17)</f>
        <v>3.2967032967032967E-3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94</v>
      </c>
      <c r="F25" s="60" t="s">
        <v>49</v>
      </c>
      <c r="G25" s="47">
        <v>3</v>
      </c>
      <c r="H25" s="133">
        <f>IF(B$17=0,0,G25/B$17)</f>
        <v>3.2967032967032967E-3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75</v>
      </c>
      <c r="F26" s="60" t="s">
        <v>30</v>
      </c>
      <c r="G26" s="47">
        <v>2</v>
      </c>
      <c r="H26" s="133">
        <f>IF(B$17=0,0,G26/B$17)</f>
        <v>2.1978021978021978E-3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3.3266799733865601E-3</v>
      </c>
      <c r="E27" s="63" t="s">
        <v>89</v>
      </c>
      <c r="F27" s="60" t="s">
        <v>44</v>
      </c>
      <c r="G27" s="47">
        <v>2</v>
      </c>
      <c r="H27" s="133">
        <f>IF(B$17=0,0,G27/B$17)</f>
        <v>2.1978021978021978E-3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1.0989010989010989E-3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1.0989010989010989E-3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1.0989010989010989E-3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1.0989010989010989E-3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3932-3EF3-462B-8381-6B8BAA66233D}">
  <sheetPr codeName="Sheet7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84</v>
      </c>
      <c r="C2" s="147"/>
      <c r="E2" s="62" t="s">
        <v>67</v>
      </c>
      <c r="F2" s="59" t="s">
        <v>23</v>
      </c>
      <c r="G2" s="46">
        <v>191</v>
      </c>
      <c r="H2" s="132">
        <f>IF(B$17=0,0,G2/B$17)</f>
        <v>0.74031007751937983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2215.4761904761904</v>
      </c>
      <c r="P2" s="118">
        <v>84</v>
      </c>
      <c r="Q2" s="102">
        <v>186100</v>
      </c>
    </row>
    <row r="3" spans="1:17" x14ac:dyDescent="0.4">
      <c r="A3" s="55" t="s">
        <v>8</v>
      </c>
      <c r="B3" s="148">
        <v>679</v>
      </c>
      <c r="C3" s="149"/>
      <c r="E3" s="63" t="s">
        <v>73</v>
      </c>
      <c r="F3" s="60" t="s">
        <v>28</v>
      </c>
      <c r="G3" s="47">
        <v>136</v>
      </c>
      <c r="H3" s="133">
        <f>IF(B$17=0,0,G3/B$17)</f>
        <v>0.52713178294573648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2960.2409638554218</v>
      </c>
      <c r="P3" s="119">
        <v>83</v>
      </c>
      <c r="Q3" s="103">
        <v>245700</v>
      </c>
    </row>
    <row r="4" spans="1:17" x14ac:dyDescent="0.4">
      <c r="A4" s="55" t="s">
        <v>6</v>
      </c>
      <c r="B4" s="150">
        <v>1510.6000000000008</v>
      </c>
      <c r="C4" s="151"/>
      <c r="E4" s="63" t="s">
        <v>65</v>
      </c>
      <c r="F4" s="60" t="s">
        <v>21</v>
      </c>
      <c r="G4" s="47">
        <v>124</v>
      </c>
      <c r="H4" s="133">
        <f>IF(B$17=0,0,G4/B$17)</f>
        <v>0.48062015503875971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2567.0886075949365</v>
      </c>
      <c r="P4" s="119">
        <v>79</v>
      </c>
      <c r="Q4" s="103">
        <v>202800</v>
      </c>
    </row>
    <row r="5" spans="1:17" x14ac:dyDescent="0.4">
      <c r="A5" s="55" t="s">
        <v>7</v>
      </c>
      <c r="B5" s="152">
        <f>IF(B$2=0,0,B$4/B$2)</f>
        <v>17.983333333333341</v>
      </c>
      <c r="C5" s="153"/>
      <c r="E5" s="63" t="s">
        <v>181</v>
      </c>
      <c r="F5" s="60" t="s">
        <v>182</v>
      </c>
      <c r="G5" s="47">
        <v>105</v>
      </c>
      <c r="H5" s="133">
        <f>IF(B$17=0,0,G5/B$17)</f>
        <v>0.40697674418604651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2672.2222222222222</v>
      </c>
      <c r="P5" s="119">
        <v>72</v>
      </c>
      <c r="Q5" s="103">
        <v>192400</v>
      </c>
    </row>
    <row r="6" spans="1:17" x14ac:dyDescent="0.4">
      <c r="A6" s="55" t="s">
        <v>1</v>
      </c>
      <c r="B6" s="142">
        <f>IF(B$2=0,0,(B$7*1+B$8*2+B$9*3)/B$2)</f>
        <v>1.6309523809523809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0.31782945736434109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-339.0625</v>
      </c>
      <c r="P6" s="119">
        <v>64</v>
      </c>
      <c r="Q6" s="103">
        <v>-21700</v>
      </c>
    </row>
    <row r="7" spans="1:17" x14ac:dyDescent="0.4">
      <c r="A7" s="55" t="s">
        <v>2</v>
      </c>
      <c r="B7" s="47">
        <v>47</v>
      </c>
      <c r="C7" s="39">
        <f>IF(B$2=0,0,B7/B$2)</f>
        <v>0.55952380952380953</v>
      </c>
      <c r="E7" s="63" t="s">
        <v>69</v>
      </c>
      <c r="F7" s="60" t="s">
        <v>12</v>
      </c>
      <c r="G7" s="47">
        <v>68</v>
      </c>
      <c r="H7" s="133">
        <f>IF(B$17=0,0,G7/B$17)</f>
        <v>0.26356589147286824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1338.3333333333333</v>
      </c>
      <c r="P7" s="120">
        <v>60</v>
      </c>
      <c r="Q7" s="104">
        <v>80300</v>
      </c>
    </row>
    <row r="8" spans="1:17" x14ac:dyDescent="0.4">
      <c r="A8" s="55" t="s">
        <v>3</v>
      </c>
      <c r="B8" s="47">
        <v>21</v>
      </c>
      <c r="C8" s="39">
        <f>IF(B$2=0,0,B8/B$2)</f>
        <v>0.25</v>
      </c>
      <c r="E8" s="63" t="s">
        <v>70</v>
      </c>
      <c r="F8" s="60" t="s">
        <v>25</v>
      </c>
      <c r="G8" s="47">
        <v>46</v>
      </c>
      <c r="H8" s="133">
        <f>IF(B$17=0,0,G8/B$17)</f>
        <v>0.17829457364341086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0.19047619047619047</v>
      </c>
      <c r="E9" s="63" t="s">
        <v>90</v>
      </c>
      <c r="F9" s="60" t="s">
        <v>45</v>
      </c>
      <c r="G9" s="47">
        <v>45</v>
      </c>
      <c r="H9" s="133">
        <f>IF(B$17=0,0,G9/B$17)</f>
        <v>0.1744186046511628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5.9523809523809521E-2</v>
      </c>
      <c r="E10" s="63" t="s">
        <v>66</v>
      </c>
      <c r="F10" s="60" t="s">
        <v>22</v>
      </c>
      <c r="G10" s="47">
        <v>39</v>
      </c>
      <c r="H10" s="133">
        <f>IF(B$17=0,0,G10/B$17)</f>
        <v>0.15116279069767441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22.245833333333334</v>
      </c>
      <c r="P10" s="118">
        <v>24</v>
      </c>
      <c r="Q10" s="106">
        <v>533.9</v>
      </c>
    </row>
    <row r="11" spans="1:17" x14ac:dyDescent="0.4">
      <c r="A11" s="56" t="s">
        <v>140</v>
      </c>
      <c r="B11" s="48">
        <v>14</v>
      </c>
      <c r="C11" s="40">
        <f>IF(B$2=0,0,B11/B$2)</f>
        <v>0.16666666666666666</v>
      </c>
      <c r="E11" s="63" t="s">
        <v>71</v>
      </c>
      <c r="F11" s="60" t="s">
        <v>26</v>
      </c>
      <c r="G11" s="47">
        <v>22</v>
      </c>
      <c r="H11" s="133">
        <f>IF(B$17=0,0,G11/B$17)</f>
        <v>8.5271317829457363E-2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12.280769230769229</v>
      </c>
      <c r="P11" s="119">
        <v>26</v>
      </c>
      <c r="Q11" s="107">
        <v>319.29999999999995</v>
      </c>
    </row>
    <row r="12" spans="1:17" x14ac:dyDescent="0.4">
      <c r="A12" s="57" t="s">
        <v>160</v>
      </c>
      <c r="B12" s="49">
        <v>17</v>
      </c>
      <c r="C12" s="42">
        <f>IF(B$2=0,0,B12/B$2)</f>
        <v>0.20238095238095238</v>
      </c>
      <c r="E12" s="63" t="s">
        <v>87</v>
      </c>
      <c r="F12" s="60" t="s">
        <v>42</v>
      </c>
      <c r="G12" s="47">
        <v>20</v>
      </c>
      <c r="H12" s="133">
        <f>IF(B$17=0,0,G12/B$17)</f>
        <v>7.7519379844961239E-2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19.335294117647067</v>
      </c>
      <c r="P12" s="120">
        <v>34</v>
      </c>
      <c r="Q12" s="108">
        <v>657.4000000000002</v>
      </c>
    </row>
    <row r="13" spans="1:17" x14ac:dyDescent="0.4">
      <c r="A13" s="58" t="s">
        <v>122</v>
      </c>
      <c r="B13" s="50">
        <v>227</v>
      </c>
      <c r="C13" s="44">
        <f>IF(B$3=0,0,B13/B$3)</f>
        <v>0.33431516936671574</v>
      </c>
      <c r="E13" s="63" t="s">
        <v>72</v>
      </c>
      <c r="F13" s="60" t="s">
        <v>27</v>
      </c>
      <c r="G13" s="47">
        <v>16</v>
      </c>
      <c r="H13" s="133">
        <f>IF(B$17=0,0,G13/B$17)</f>
        <v>6.2015503875968991E-2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155</v>
      </c>
      <c r="C14" s="39">
        <f>IF(B$3=0,0,B14/B$3)</f>
        <v>0.22827687776141384</v>
      </c>
      <c r="E14" s="63" t="s">
        <v>84</v>
      </c>
      <c r="F14" s="60" t="s">
        <v>39</v>
      </c>
      <c r="G14" s="47">
        <v>15</v>
      </c>
      <c r="H14" s="133">
        <f>IF(B$17=0,0,G14/B$17)</f>
        <v>5.8139534883720929E-2</v>
      </c>
      <c r="I14" s="94">
        <v>2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135</v>
      </c>
      <c r="C15" s="37">
        <f>IF(B$13=0,0,B15/B$13)</f>
        <v>0.59471365638766516</v>
      </c>
      <c r="E15" s="63" t="s">
        <v>82</v>
      </c>
      <c r="F15" s="60" t="s">
        <v>37</v>
      </c>
      <c r="G15" s="47">
        <v>10</v>
      </c>
      <c r="H15" s="133">
        <f>IF(B$17=0,0,G15/B$17)</f>
        <v>3.875968992248062E-2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83</v>
      </c>
      <c r="C16" s="37">
        <f>IF(B$14=0,0,B16/B$14)</f>
        <v>0.53548387096774197</v>
      </c>
      <c r="E16" s="63" t="s">
        <v>180</v>
      </c>
      <c r="F16" s="60" t="s">
        <v>183</v>
      </c>
      <c r="G16" s="47">
        <v>8</v>
      </c>
      <c r="H16" s="133">
        <f>IF(B$17=0,0,G16/B$17)</f>
        <v>3.1007751937984496E-2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55.372727272727282</v>
      </c>
      <c r="P16" s="119">
        <v>22</v>
      </c>
      <c r="Q16" s="107">
        <v>1218.2000000000003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0.37997054491899851</v>
      </c>
      <c r="E17" s="63" t="s">
        <v>79</v>
      </c>
      <c r="F17" s="60" t="s">
        <v>34</v>
      </c>
      <c r="G17" s="47">
        <v>4</v>
      </c>
      <c r="H17" s="133">
        <f>IF(B$17=0,0,G17/B$17)</f>
        <v>1.5503875968992248E-2</v>
      </c>
      <c r="I17" s="94">
        <v>5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111</v>
      </c>
      <c r="C18" s="39">
        <f>IF(B$17=0,0,B18/B$17)</f>
        <v>0.43023255813953487</v>
      </c>
      <c r="E18" s="63" t="s">
        <v>92</v>
      </c>
      <c r="F18" s="60" t="s">
        <v>47</v>
      </c>
      <c r="G18" s="47">
        <v>4</v>
      </c>
      <c r="H18" s="133">
        <f>IF(B$17=0,0,G18/B$17)</f>
        <v>1.5503875968992248E-2</v>
      </c>
      <c r="I18" s="94">
        <v>5</v>
      </c>
      <c r="K18" s="38">
        <v>16</v>
      </c>
      <c r="L18" s="99">
        <v>425.50000000000006</v>
      </c>
      <c r="N18" s="115" t="s">
        <v>186</v>
      </c>
      <c r="O18" s="125">
        <f>IF(P18=0,0,Q18/P18)</f>
        <v>28.879999999999995</v>
      </c>
      <c r="P18" s="119">
        <v>5</v>
      </c>
      <c r="Q18" s="107">
        <v>144.39999999999998</v>
      </c>
    </row>
    <row r="19" spans="1:17" x14ac:dyDescent="0.4">
      <c r="A19" s="55" t="s">
        <v>11</v>
      </c>
      <c r="B19" s="47">
        <v>147</v>
      </c>
      <c r="C19" s="39">
        <f>IF(B$17=0,0,B19/B$17)</f>
        <v>0.56976744186046513</v>
      </c>
      <c r="E19" s="63" t="s">
        <v>80</v>
      </c>
      <c r="F19" s="60" t="s">
        <v>35</v>
      </c>
      <c r="G19" s="47">
        <v>3</v>
      </c>
      <c r="H19" s="133">
        <f>IF(B$17=0,0,G19/B$17)</f>
        <v>1.1627906976744186E-2</v>
      </c>
      <c r="I19" s="94">
        <v>7</v>
      </c>
      <c r="K19" s="38">
        <v>17</v>
      </c>
      <c r="L19" s="99">
        <v>427.40000000000003</v>
      </c>
      <c r="N19" s="115" t="s">
        <v>173</v>
      </c>
      <c r="O19" s="125">
        <f>IF(P19=0,0,Q19/P19)</f>
        <v>28.249999999999996</v>
      </c>
      <c r="P19" s="119">
        <v>16</v>
      </c>
      <c r="Q19" s="107">
        <v>451.99999999999994</v>
      </c>
    </row>
    <row r="20" spans="1:17" x14ac:dyDescent="0.4">
      <c r="A20" s="55" t="s">
        <v>13</v>
      </c>
      <c r="B20" s="47">
        <v>109</v>
      </c>
      <c r="C20" s="39">
        <f>IF(B$3=0,0,B20/B$3)</f>
        <v>0.16053019145802652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429.3</v>
      </c>
      <c r="N20" s="115" t="s">
        <v>172</v>
      </c>
      <c r="O20" s="125">
        <f>IF(P20=0,0,Q20/P20)</f>
        <v>26.486363636363645</v>
      </c>
      <c r="P20" s="119">
        <v>22</v>
      </c>
      <c r="Q20" s="107">
        <v>582.70000000000016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3.875968992248062E-3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3.875968992248062E-3</v>
      </c>
      <c r="I22" s="94">
        <v>3</v>
      </c>
      <c r="K22" s="38">
        <v>20</v>
      </c>
      <c r="L22" s="99">
        <v>469.6</v>
      </c>
      <c r="N22" s="115" t="s">
        <v>171</v>
      </c>
      <c r="O22" s="125">
        <f>IF(P22=0,0,Q22/P22)</f>
        <v>18.848148148148145</v>
      </c>
      <c r="P22" s="119">
        <v>27</v>
      </c>
      <c r="Q22" s="107">
        <v>508.89999999999986</v>
      </c>
    </row>
    <row r="23" spans="1:17" x14ac:dyDescent="0.4">
      <c r="A23" s="55" t="s">
        <v>5</v>
      </c>
      <c r="B23" s="51">
        <f>IF(B$17=0,0,C23/B$17)</f>
        <v>9200.3875968992252</v>
      </c>
      <c r="C23" s="41">
        <v>2373700</v>
      </c>
      <c r="E23" s="63" t="s">
        <v>88</v>
      </c>
      <c r="F23" s="60" t="s">
        <v>43</v>
      </c>
      <c r="G23" s="47">
        <v>1</v>
      </c>
      <c r="H23" s="133">
        <f>IF(B$17=0,0,G23/B$17)</f>
        <v>3.875968992248062E-3</v>
      </c>
      <c r="I23" s="94">
        <v>3</v>
      </c>
      <c r="K23" s="38">
        <v>21</v>
      </c>
      <c r="L23" s="99">
        <v>468.3</v>
      </c>
      <c r="N23" s="115" t="s">
        <v>128</v>
      </c>
      <c r="O23" s="125">
        <f>IF(P23=0,0,Q23/P23)</f>
        <v>18.041538461538469</v>
      </c>
      <c r="P23" s="119">
        <v>65</v>
      </c>
      <c r="Q23" s="107">
        <v>1172.7000000000005</v>
      </c>
    </row>
    <row r="24" spans="1:17" x14ac:dyDescent="0.4">
      <c r="A24" s="57" t="s">
        <v>14</v>
      </c>
      <c r="B24" s="52">
        <f>IF(B$20=0,0,C24/B$20)</f>
        <v>-7829.3577981651379</v>
      </c>
      <c r="C24" s="45">
        <v>-853400</v>
      </c>
      <c r="E24" s="63" t="s">
        <v>91</v>
      </c>
      <c r="F24" s="60" t="s">
        <v>46</v>
      </c>
      <c r="G24" s="47">
        <v>1</v>
      </c>
      <c r="H24" s="133">
        <f>IF(B$17=0,0,G24/B$17)</f>
        <v>3.875968992248062E-3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3.875968992248062E-3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3.875968992248062E-3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3.875968992248062E-3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B2752-5A41-4AFF-BDD9-E224E07924D2}">
  <sheetPr codeName="Sheet9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89</v>
      </c>
      <c r="C2" s="147"/>
      <c r="E2" s="62" t="s">
        <v>67</v>
      </c>
      <c r="F2" s="59" t="s">
        <v>23</v>
      </c>
      <c r="G2" s="46">
        <v>158</v>
      </c>
      <c r="H2" s="132">
        <f>IF(B$17=0,0,G2/B$17)</f>
        <v>0.74881516587677721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1124.7191011235955</v>
      </c>
      <c r="P2" s="118">
        <v>89</v>
      </c>
      <c r="Q2" s="102">
        <v>100100</v>
      </c>
    </row>
    <row r="3" spans="1:17" x14ac:dyDescent="0.4">
      <c r="A3" s="55" t="s">
        <v>8</v>
      </c>
      <c r="B3" s="148">
        <v>736</v>
      </c>
      <c r="C3" s="149"/>
      <c r="E3" s="63" t="s">
        <v>65</v>
      </c>
      <c r="F3" s="60" t="s">
        <v>21</v>
      </c>
      <c r="G3" s="47">
        <v>123</v>
      </c>
      <c r="H3" s="133">
        <f>IF(B$17=0,0,G3/B$17)</f>
        <v>0.58293838862559244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-2281.818181818182</v>
      </c>
      <c r="P3" s="119">
        <v>88</v>
      </c>
      <c r="Q3" s="103">
        <v>-200800</v>
      </c>
    </row>
    <row r="4" spans="1:17" x14ac:dyDescent="0.4">
      <c r="A4" s="55" t="s">
        <v>6</v>
      </c>
      <c r="B4" s="150">
        <v>-208.40000000000003</v>
      </c>
      <c r="C4" s="151"/>
      <c r="E4" s="63" t="s">
        <v>73</v>
      </c>
      <c r="F4" s="60" t="s">
        <v>28</v>
      </c>
      <c r="G4" s="47">
        <v>101</v>
      </c>
      <c r="H4" s="133">
        <f>IF(B$17=0,0,G4/B$17)</f>
        <v>0.47867298578199052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-1644.7058823529412</v>
      </c>
      <c r="P4" s="119">
        <v>85</v>
      </c>
      <c r="Q4" s="103">
        <v>-139800</v>
      </c>
    </row>
    <row r="5" spans="1:17" x14ac:dyDescent="0.4">
      <c r="A5" s="55" t="s">
        <v>7</v>
      </c>
      <c r="B5" s="152">
        <f>IF(B$2=0,0,B$4/B$2)</f>
        <v>-2.3415730337078657</v>
      </c>
      <c r="C5" s="153"/>
      <c r="E5" s="63" t="s">
        <v>181</v>
      </c>
      <c r="F5" s="60" t="s">
        <v>182</v>
      </c>
      <c r="G5" s="47">
        <v>91</v>
      </c>
      <c r="H5" s="133">
        <f>IF(B$17=0,0,G5/B$17)</f>
        <v>0.43127962085308058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1038.9610389610389</v>
      </c>
      <c r="P5" s="119">
        <v>77</v>
      </c>
      <c r="Q5" s="103">
        <v>80000</v>
      </c>
    </row>
    <row r="6" spans="1:17" x14ac:dyDescent="0.4">
      <c r="A6" s="55" t="s">
        <v>1</v>
      </c>
      <c r="B6" s="142">
        <f>IF(B$2=0,0,(B$7*1+B$8*2+B$9*3)/B$2)</f>
        <v>2.0674157303370788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0.33175355450236965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617.14285714285711</v>
      </c>
      <c r="P6" s="119">
        <v>70</v>
      </c>
      <c r="Q6" s="103">
        <v>43200</v>
      </c>
    </row>
    <row r="7" spans="1:17" x14ac:dyDescent="0.4">
      <c r="A7" s="55" t="s">
        <v>2</v>
      </c>
      <c r="B7" s="47">
        <v>23</v>
      </c>
      <c r="C7" s="39">
        <f>IF(B$2=0,0,B7/B$2)</f>
        <v>0.25842696629213485</v>
      </c>
      <c r="E7" s="63" t="s">
        <v>69</v>
      </c>
      <c r="F7" s="60" t="s">
        <v>12</v>
      </c>
      <c r="G7" s="47">
        <v>68</v>
      </c>
      <c r="H7" s="133">
        <f>IF(B$17=0,0,G7/B$17)</f>
        <v>0.32227488151658767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437.87878787878788</v>
      </c>
      <c r="P7" s="120">
        <v>66</v>
      </c>
      <c r="Q7" s="104">
        <v>28900</v>
      </c>
    </row>
    <row r="8" spans="1:17" x14ac:dyDescent="0.4">
      <c r="A8" s="55" t="s">
        <v>3</v>
      </c>
      <c r="B8" s="47">
        <v>37</v>
      </c>
      <c r="C8" s="39">
        <f>IF(B$2=0,0,B8/B$2)</f>
        <v>0.4157303370786517</v>
      </c>
      <c r="E8" s="63" t="s">
        <v>70</v>
      </c>
      <c r="F8" s="60" t="s">
        <v>25</v>
      </c>
      <c r="G8" s="47">
        <v>44</v>
      </c>
      <c r="H8" s="133">
        <f>IF(B$17=0,0,G8/B$17)</f>
        <v>0.20853080568720378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0.3258426966292135</v>
      </c>
      <c r="E9" s="63" t="s">
        <v>66</v>
      </c>
      <c r="F9" s="60" t="s">
        <v>22</v>
      </c>
      <c r="G9" s="47">
        <v>37</v>
      </c>
      <c r="H9" s="133">
        <f>IF(B$17=0,0,G9/B$17)</f>
        <v>0.17535545023696683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0.12359550561797752</v>
      </c>
      <c r="E10" s="63" t="s">
        <v>71</v>
      </c>
      <c r="F10" s="60" t="s">
        <v>26</v>
      </c>
      <c r="G10" s="47">
        <v>26</v>
      </c>
      <c r="H10" s="133">
        <f>IF(B$17=0,0,G10/B$17)</f>
        <v>0.12322274881516587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-2.6148936170212775</v>
      </c>
      <c r="P10" s="118">
        <v>47</v>
      </c>
      <c r="Q10" s="106">
        <v>-122.90000000000003</v>
      </c>
    </row>
    <row r="11" spans="1:17" x14ac:dyDescent="0.4">
      <c r="A11" s="56" t="s">
        <v>140</v>
      </c>
      <c r="B11" s="48">
        <v>7</v>
      </c>
      <c r="C11" s="40">
        <f>IF(B$2=0,0,B11/B$2)</f>
        <v>7.8651685393258425E-2</v>
      </c>
      <c r="E11" s="63" t="s">
        <v>90</v>
      </c>
      <c r="F11" s="60" t="s">
        <v>45</v>
      </c>
      <c r="G11" s="47">
        <v>21</v>
      </c>
      <c r="H11" s="133">
        <f>IF(B$17=0,0,G11/B$17)</f>
        <v>9.9526066350710901E-2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72</v>
      </c>
      <c r="F12" s="60" t="s">
        <v>27</v>
      </c>
      <c r="G12" s="47">
        <v>11</v>
      </c>
      <c r="H12" s="133">
        <f>IF(B$17=0,0,G12/B$17)</f>
        <v>5.2132701421800945E-2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2.8666666666666663</v>
      </c>
      <c r="P12" s="120">
        <v>21</v>
      </c>
      <c r="Q12" s="108">
        <v>60.199999999999989</v>
      </c>
    </row>
    <row r="13" spans="1:17" x14ac:dyDescent="0.4">
      <c r="A13" s="58" t="s">
        <v>122</v>
      </c>
      <c r="B13" s="50">
        <v>213</v>
      </c>
      <c r="C13" s="44">
        <f>IF(B$3=0,0,B13/B$3)</f>
        <v>0.28940217391304346</v>
      </c>
      <c r="E13" s="63" t="s">
        <v>87</v>
      </c>
      <c r="F13" s="60" t="s">
        <v>42</v>
      </c>
      <c r="G13" s="47">
        <v>11</v>
      </c>
      <c r="H13" s="133">
        <f>IF(B$17=0,0,G13/B$17)</f>
        <v>5.2132701421800945E-2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143</v>
      </c>
      <c r="C14" s="39">
        <f>IF(B$3=0,0,B14/B$3)</f>
        <v>0.19429347826086957</v>
      </c>
      <c r="E14" s="63" t="s">
        <v>82</v>
      </c>
      <c r="F14" s="60" t="s">
        <v>37</v>
      </c>
      <c r="G14" s="47">
        <v>8</v>
      </c>
      <c r="H14" s="133">
        <f>IF(B$17=0,0,G14/B$17)</f>
        <v>3.7914691943127965E-2</v>
      </c>
      <c r="I14" s="94">
        <v>4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0.61502347417840375</v>
      </c>
      <c r="E15" s="63" t="s">
        <v>84</v>
      </c>
      <c r="F15" s="60" t="s">
        <v>39</v>
      </c>
      <c r="G15" s="47">
        <v>7</v>
      </c>
      <c r="H15" s="133">
        <f>IF(B$17=0,0,G15/B$17)</f>
        <v>3.3175355450236969E-2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41</v>
      </c>
      <c r="C16" s="37">
        <f>IF(B$14=0,0,B16/B$14)</f>
        <v>0.28671328671328672</v>
      </c>
      <c r="E16" s="63" t="s">
        <v>92</v>
      </c>
      <c r="F16" s="60" t="s">
        <v>47</v>
      </c>
      <c r="G16" s="47">
        <v>6</v>
      </c>
      <c r="H16" s="133">
        <f>IF(B$17=0,0,G16/B$17)</f>
        <v>2.843601895734597E-2</v>
      </c>
      <c r="I16" s="94">
        <v>2</v>
      </c>
      <c r="K16" s="38">
        <v>14</v>
      </c>
      <c r="L16" s="99">
        <v>-25.600000000000009</v>
      </c>
      <c r="N16" s="115" t="s">
        <v>177</v>
      </c>
      <c r="O16" s="125">
        <f>IF(P16=0,0,Q16/P16)</f>
        <v>10.178571428571429</v>
      </c>
      <c r="P16" s="119">
        <v>14</v>
      </c>
      <c r="Q16" s="107">
        <v>142.5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0.28668478260869568</v>
      </c>
      <c r="E17" s="63" t="s">
        <v>80</v>
      </c>
      <c r="F17" s="60" t="s">
        <v>35</v>
      </c>
      <c r="G17" s="47">
        <v>4</v>
      </c>
      <c r="H17" s="133">
        <f>IF(B$17=0,0,G17/B$17)</f>
        <v>1.8957345971563982E-2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7.4384615384615351</v>
      </c>
      <c r="P17" s="119">
        <v>26</v>
      </c>
      <c r="Q17" s="107">
        <v>193.39999999999992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180</v>
      </c>
      <c r="F18" s="60" t="s">
        <v>183</v>
      </c>
      <c r="G18" s="47">
        <v>4</v>
      </c>
      <c r="H18" s="133">
        <f>IF(B$17=0,0,G18/B$17)</f>
        <v>1.8957345971563982E-2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3.8391304347826081</v>
      </c>
      <c r="P18" s="119">
        <v>23</v>
      </c>
      <c r="Q18" s="107">
        <v>88.299999999999983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75</v>
      </c>
      <c r="F19" s="60" t="s">
        <v>30</v>
      </c>
      <c r="G19" s="47">
        <v>2</v>
      </c>
      <c r="H19" s="133">
        <f>IF(B$17=0,0,G19/B$17)</f>
        <v>9.4786729857819912E-3</v>
      </c>
      <c r="I19" s="94">
        <v>1</v>
      </c>
      <c r="K19" s="38">
        <v>17</v>
      </c>
      <c r="L19" s="99">
        <v>94.6</v>
      </c>
      <c r="N19" s="115" t="s">
        <v>171</v>
      </c>
      <c r="O19" s="125">
        <f>IF(P19=0,0,Q19/P19)</f>
        <v>-2.3999999999992097E-2</v>
      </c>
      <c r="P19" s="119">
        <v>25</v>
      </c>
      <c r="Q19" s="107">
        <v>-0.59999999999980247</v>
      </c>
    </row>
    <row r="20" spans="1:17" x14ac:dyDescent="0.4">
      <c r="A20" s="55" t="s">
        <v>13</v>
      </c>
      <c r="B20" s="47">
        <v>125</v>
      </c>
      <c r="C20" s="39">
        <f>IF(B$3=0,0,B20/B$3)</f>
        <v>0.16983695652173914</v>
      </c>
      <c r="E20" s="63" t="s">
        <v>76</v>
      </c>
      <c r="F20" s="60" t="s">
        <v>31</v>
      </c>
      <c r="G20" s="47">
        <v>2</v>
      </c>
      <c r="H20" s="133">
        <f>IF(B$17=0,0,G20/B$17)</f>
        <v>9.4786729857819912E-3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-3.6750000000000007</v>
      </c>
      <c r="P20" s="119">
        <v>20</v>
      </c>
      <c r="Q20" s="107">
        <v>-73.500000000000014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79</v>
      </c>
      <c r="F21" s="60" t="s">
        <v>34</v>
      </c>
      <c r="G21" s="47">
        <v>2</v>
      </c>
      <c r="H21" s="133">
        <f>IF(B$17=0,0,G21/B$17)</f>
        <v>9.4786729857819912E-3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-18.041538461538469</v>
      </c>
      <c r="P21" s="119">
        <v>65</v>
      </c>
      <c r="Q21" s="107">
        <v>-1172.7000000000005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74</v>
      </c>
      <c r="F22" s="60" t="s">
        <v>29</v>
      </c>
      <c r="G22" s="47">
        <v>1</v>
      </c>
      <c r="H22" s="133">
        <f>IF(B$17=0,0,G22/B$17)</f>
        <v>4.7393364928909956E-3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9090.995260663507</v>
      </c>
      <c r="C23" s="41">
        <v>1918200</v>
      </c>
      <c r="E23" s="63" t="s">
        <v>78</v>
      </c>
      <c r="F23" s="60" t="s">
        <v>33</v>
      </c>
      <c r="G23" s="47">
        <v>1</v>
      </c>
      <c r="H23" s="133">
        <f>IF(B$17=0,0,G23/B$17)</f>
        <v>4.7393364928909956E-3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-7771.2</v>
      </c>
      <c r="C24" s="45">
        <v>-971400</v>
      </c>
      <c r="E24" s="63" t="s">
        <v>85</v>
      </c>
      <c r="F24" s="60" t="s">
        <v>40</v>
      </c>
      <c r="G24" s="47">
        <v>1</v>
      </c>
      <c r="H24" s="133">
        <f>IF(B$17=0,0,G24/B$17)</f>
        <v>4.7393364928909956E-3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4.7393364928909956E-3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4.7393364928909956E-3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6.793478260869565E-3</v>
      </c>
      <c r="E27" s="63" t="s">
        <v>94</v>
      </c>
      <c r="F27" s="60" t="s">
        <v>49</v>
      </c>
      <c r="G27" s="47">
        <v>1</v>
      </c>
      <c r="H27" s="133">
        <f>IF(B$17=0,0,G27/B$17)</f>
        <v>4.7393364928909956E-3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B4CA-AFB8-4F67-8836-15AC2595772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52</v>
      </c>
      <c r="H2" s="132">
        <f>IF(B$17=0,0,G2/B$17)</f>
        <v>0.83870967741935487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-2758.3333333333335</v>
      </c>
      <c r="P2" s="118">
        <v>36</v>
      </c>
      <c r="Q2" s="102">
        <v>-99300</v>
      </c>
    </row>
    <row r="3" spans="1:17" x14ac:dyDescent="0.4">
      <c r="A3" s="55" t="s">
        <v>8</v>
      </c>
      <c r="B3" s="148">
        <v>292</v>
      </c>
      <c r="C3" s="149"/>
      <c r="E3" s="63" t="s">
        <v>65</v>
      </c>
      <c r="F3" s="60" t="s">
        <v>21</v>
      </c>
      <c r="G3" s="47">
        <v>36</v>
      </c>
      <c r="H3" s="133">
        <f>IF(B$17=0,0,G3/B$17)</f>
        <v>0.58064516129032262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-3072.2222222222222</v>
      </c>
      <c r="P3" s="119">
        <v>36</v>
      </c>
      <c r="Q3" s="103">
        <v>-110600</v>
      </c>
    </row>
    <row r="4" spans="1:17" x14ac:dyDescent="0.4">
      <c r="A4" s="55" t="s">
        <v>6</v>
      </c>
      <c r="B4" s="150">
        <v>-783.49999999999989</v>
      </c>
      <c r="C4" s="151"/>
      <c r="E4" s="63" t="s">
        <v>69</v>
      </c>
      <c r="F4" s="60" t="s">
        <v>12</v>
      </c>
      <c r="G4" s="47">
        <v>25</v>
      </c>
      <c r="H4" s="133">
        <f>IF(B$17=0,0,G4/B$17)</f>
        <v>0.40322580645161288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-1230.3030303030303</v>
      </c>
      <c r="P4" s="119">
        <v>33</v>
      </c>
      <c r="Q4" s="103">
        <v>-40600</v>
      </c>
    </row>
    <row r="5" spans="1:17" x14ac:dyDescent="0.4">
      <c r="A5" s="55" t="s">
        <v>7</v>
      </c>
      <c r="B5" s="152">
        <f>IF(B$2=0,0,B$4/B$2)</f>
        <v>-21.763888888888886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0.40322580645161288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-6846.4285714285716</v>
      </c>
      <c r="P5" s="119">
        <v>28</v>
      </c>
      <c r="Q5" s="103">
        <v>-191700</v>
      </c>
    </row>
    <row r="6" spans="1:17" x14ac:dyDescent="0.4">
      <c r="A6" s="55" t="s">
        <v>1</v>
      </c>
      <c r="B6" s="142">
        <f>IF(B$2=0,0,(B$7*1+B$8*2+B$9*3)/B$2)</f>
        <v>2.3611111111111112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0.37096774193548387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-1044</v>
      </c>
      <c r="P6" s="119">
        <v>25</v>
      </c>
      <c r="Q6" s="103">
        <v>-26100</v>
      </c>
    </row>
    <row r="7" spans="1:17" x14ac:dyDescent="0.4">
      <c r="A7" s="55" t="s">
        <v>2</v>
      </c>
      <c r="B7" s="47">
        <v>7</v>
      </c>
      <c r="C7" s="39">
        <f>IF(B$2=0,0,B7/B$2)</f>
        <v>0.19444444444444445</v>
      </c>
      <c r="E7" s="63" t="s">
        <v>73</v>
      </c>
      <c r="F7" s="60" t="s">
        <v>28</v>
      </c>
      <c r="G7" s="47">
        <v>20</v>
      </c>
      <c r="H7" s="133">
        <f>IF(B$17=0,0,G7/B$17)</f>
        <v>0.32258064516129031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-1578.2608695652175</v>
      </c>
      <c r="P7" s="120">
        <v>23</v>
      </c>
      <c r="Q7" s="104">
        <v>-36300</v>
      </c>
    </row>
    <row r="8" spans="1:17" x14ac:dyDescent="0.4">
      <c r="A8" s="55" t="s">
        <v>3</v>
      </c>
      <c r="B8" s="47">
        <v>9</v>
      </c>
      <c r="C8" s="39">
        <f>IF(B$2=0,0,B8/B$2)</f>
        <v>0.25</v>
      </c>
      <c r="E8" s="63" t="s">
        <v>70</v>
      </c>
      <c r="F8" s="60" t="s">
        <v>25</v>
      </c>
      <c r="G8" s="47">
        <v>15</v>
      </c>
      <c r="H8" s="133">
        <f>IF(B$17=0,0,G8/B$17)</f>
        <v>0.24193548387096775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0.55555555555555558</v>
      </c>
      <c r="E9" s="63" t="s">
        <v>71</v>
      </c>
      <c r="F9" s="60" t="s">
        <v>26</v>
      </c>
      <c r="G9" s="47">
        <v>12</v>
      </c>
      <c r="H9" s="133">
        <f>IF(B$17=0,0,G9/B$17)</f>
        <v>0.19354838709677419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0.22222222222222221</v>
      </c>
      <c r="E10" s="63" t="s">
        <v>72</v>
      </c>
      <c r="F10" s="60" t="s">
        <v>27</v>
      </c>
      <c r="G10" s="47">
        <v>6</v>
      </c>
      <c r="H10" s="133">
        <f>IF(B$17=0,0,G10/B$17)</f>
        <v>9.6774193548387094E-2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-22.749999999999996</v>
      </c>
      <c r="P10" s="118">
        <v>12</v>
      </c>
      <c r="Q10" s="106">
        <v>-272.99999999999994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90</v>
      </c>
      <c r="F11" s="60" t="s">
        <v>45</v>
      </c>
      <c r="G11" s="47">
        <v>6</v>
      </c>
      <c r="H11" s="133">
        <f>IF(B$17=0,0,G11/B$17)</f>
        <v>9.6774193548387094E-2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-20.028571428571432</v>
      </c>
      <c r="P11" s="119">
        <v>14</v>
      </c>
      <c r="Q11" s="107">
        <v>-280.40000000000003</v>
      </c>
    </row>
    <row r="12" spans="1:17" x14ac:dyDescent="0.4">
      <c r="A12" s="57" t="s">
        <v>160</v>
      </c>
      <c r="B12" s="49">
        <v>4</v>
      </c>
      <c r="C12" s="42">
        <f>IF(B$2=0,0,B12/B$2)</f>
        <v>0.1111111111111111</v>
      </c>
      <c r="E12" s="63" t="s">
        <v>66</v>
      </c>
      <c r="F12" s="60" t="s">
        <v>22</v>
      </c>
      <c r="G12" s="47">
        <v>5</v>
      </c>
      <c r="H12" s="133">
        <f>IF(B$17=0,0,G12/B$17)</f>
        <v>8.0645161290322578E-2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74</v>
      </c>
      <c r="C13" s="44">
        <f>IF(B$3=0,0,B13/B$3)</f>
        <v>0.25342465753424659</v>
      </c>
      <c r="E13" s="63" t="s">
        <v>87</v>
      </c>
      <c r="F13" s="60" t="s">
        <v>42</v>
      </c>
      <c r="G13" s="47">
        <v>2</v>
      </c>
      <c r="H13" s="133">
        <f>IF(B$17=0,0,G13/B$17)</f>
        <v>3.2258064516129031E-2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43</v>
      </c>
      <c r="C14" s="39">
        <f>IF(B$3=0,0,B14/B$3)</f>
        <v>0.14726027397260275</v>
      </c>
      <c r="E14" s="63" t="s">
        <v>78</v>
      </c>
      <c r="F14" s="60" t="s">
        <v>33</v>
      </c>
      <c r="G14" s="47">
        <v>1</v>
      </c>
      <c r="H14" s="133">
        <f>IF(B$17=0,0,G14/B$17)</f>
        <v>1.6129032258064516E-2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0.51351351351351349</v>
      </c>
      <c r="E15" s="63" t="s">
        <v>79</v>
      </c>
      <c r="F15" s="60" t="s">
        <v>34</v>
      </c>
      <c r="G15" s="47">
        <v>1</v>
      </c>
      <c r="H15" s="133">
        <f>IF(B$17=0,0,G15/B$17)</f>
        <v>1.6129032258064516E-2</v>
      </c>
      <c r="I15" s="94">
        <v>3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8</v>
      </c>
      <c r="C16" s="37">
        <f>IF(B$14=0,0,B16/B$14)</f>
        <v>0.18604651162790697</v>
      </c>
      <c r="E16" s="63" t="s">
        <v>80</v>
      </c>
      <c r="F16" s="60" t="s">
        <v>35</v>
      </c>
      <c r="G16" s="47">
        <v>1</v>
      </c>
      <c r="H16" s="133">
        <f>IF(B$17=0,0,G16/B$17)</f>
        <v>1.6129032258064516E-2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-7.4384615384615325</v>
      </c>
      <c r="P16" s="119">
        <v>26</v>
      </c>
      <c r="Q16" s="107">
        <v>-193.39999999999984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0.21232876712328766</v>
      </c>
      <c r="E17" s="63" t="s">
        <v>82</v>
      </c>
      <c r="F17" s="60" t="s">
        <v>37</v>
      </c>
      <c r="G17" s="47">
        <v>1</v>
      </c>
      <c r="H17" s="133">
        <f>IF(B$17=0,0,G17/B$17)</f>
        <v>1.6129032258064516E-2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84</v>
      </c>
      <c r="F18" s="60" t="s">
        <v>39</v>
      </c>
      <c r="G18" s="47">
        <v>1</v>
      </c>
      <c r="H18" s="133">
        <f>IF(B$17=0,0,G18/B$17)</f>
        <v>1.6129032258064516E-2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88</v>
      </c>
      <c r="F19" s="60" t="s">
        <v>43</v>
      </c>
      <c r="G19" s="47">
        <v>1</v>
      </c>
      <c r="H19" s="133">
        <f>IF(B$17=0,0,G19/B$17)</f>
        <v>1.6129032258064516E-2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-55.372727272727296</v>
      </c>
      <c r="P19" s="119">
        <v>22</v>
      </c>
      <c r="Q19" s="107">
        <v>-1218.2000000000005</v>
      </c>
    </row>
    <row r="20" spans="1:17" x14ac:dyDescent="0.4">
      <c r="A20" s="55" t="s">
        <v>13</v>
      </c>
      <c r="B20" s="47">
        <v>56</v>
      </c>
      <c r="C20" s="39">
        <f>IF(B$3=0,0,B20/B$3)</f>
        <v>0.19178082191780821</v>
      </c>
      <c r="E20" s="63" t="s">
        <v>89</v>
      </c>
      <c r="F20" s="60" t="s">
        <v>44</v>
      </c>
      <c r="G20" s="47">
        <v>1</v>
      </c>
      <c r="H20" s="133">
        <f>IF(B$17=0,0,G20/B$17)</f>
        <v>1.6129032258064516E-2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94</v>
      </c>
      <c r="F21" s="60" t="s">
        <v>49</v>
      </c>
      <c r="G21" s="47">
        <v>1</v>
      </c>
      <c r="H21" s="133">
        <f>IF(B$17=0,0,G21/B$17)</f>
        <v>1.6129032258064516E-2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8551.6129032258068</v>
      </c>
      <c r="C23" s="41">
        <v>530200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-9875</v>
      </c>
      <c r="C24" s="45">
        <v>-553000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3.4246575342465752E-3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4DB3A-9D3F-40F4-B61F-D57D14C9F854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46</v>
      </c>
      <c r="C2" s="147"/>
      <c r="E2" s="62" t="s">
        <v>67</v>
      </c>
      <c r="F2" s="59" t="s">
        <v>23</v>
      </c>
      <c r="G2" s="46">
        <v>72</v>
      </c>
      <c r="H2" s="132">
        <f>IF(B$17=0,0,G2/B$17)</f>
        <v>0.75789473684210529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23.913043478260871</v>
      </c>
      <c r="P2" s="118">
        <v>46</v>
      </c>
      <c r="Q2" s="102">
        <v>1100</v>
      </c>
    </row>
    <row r="3" spans="1:17" x14ac:dyDescent="0.4">
      <c r="A3" s="55" t="s">
        <v>8</v>
      </c>
      <c r="B3" s="148">
        <v>381</v>
      </c>
      <c r="C3" s="149"/>
      <c r="E3" s="63" t="s">
        <v>65</v>
      </c>
      <c r="F3" s="60" t="s">
        <v>21</v>
      </c>
      <c r="G3" s="47">
        <v>53</v>
      </c>
      <c r="H3" s="133">
        <f>IF(B$17=0,0,G3/B$17)</f>
        <v>0.55789473684210522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593.47826086956525</v>
      </c>
      <c r="P3" s="119">
        <v>46</v>
      </c>
      <c r="Q3" s="103">
        <v>27300</v>
      </c>
    </row>
    <row r="4" spans="1:17" x14ac:dyDescent="0.4">
      <c r="A4" s="55" t="s">
        <v>6</v>
      </c>
      <c r="B4" s="150">
        <v>-6.1000000000000014</v>
      </c>
      <c r="C4" s="151"/>
      <c r="E4" s="63" t="s">
        <v>73</v>
      </c>
      <c r="F4" s="60" t="s">
        <v>28</v>
      </c>
      <c r="G4" s="47">
        <v>47</v>
      </c>
      <c r="H4" s="133">
        <f>IF(B$17=0,0,G4/B$17)</f>
        <v>0.49473684210526314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495.45454545454544</v>
      </c>
      <c r="P4" s="119">
        <v>44</v>
      </c>
      <c r="Q4" s="103">
        <v>21800</v>
      </c>
    </row>
    <row r="5" spans="1:17" x14ac:dyDescent="0.4">
      <c r="A5" s="55" t="s">
        <v>7</v>
      </c>
      <c r="B5" s="152">
        <f>IF(B$2=0,0,B$4/B$2)</f>
        <v>-0.13260869565217395</v>
      </c>
      <c r="C5" s="153"/>
      <c r="E5" s="63" t="s">
        <v>68</v>
      </c>
      <c r="F5" s="60" t="s">
        <v>24</v>
      </c>
      <c r="G5" s="47">
        <v>31</v>
      </c>
      <c r="H5" s="133">
        <f>IF(B$17=0,0,G5/B$17)</f>
        <v>0.32631578947368423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1281.578947368421</v>
      </c>
      <c r="P5" s="119">
        <v>38</v>
      </c>
      <c r="Q5" s="103">
        <v>48700</v>
      </c>
    </row>
    <row r="6" spans="1:17" x14ac:dyDescent="0.4">
      <c r="A6" s="55" t="s">
        <v>1</v>
      </c>
      <c r="B6" s="142">
        <f>IF(B$2=0,0,(B$7*1+B$8*2+B$9*3)/B$2)</f>
        <v>2.0652173913043477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0.30526315789473685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-845.71428571428567</v>
      </c>
      <c r="P6" s="119">
        <v>35</v>
      </c>
      <c r="Q6" s="103">
        <v>-29600</v>
      </c>
    </row>
    <row r="7" spans="1:17" x14ac:dyDescent="0.4">
      <c r="A7" s="55" t="s">
        <v>2</v>
      </c>
      <c r="B7" s="47">
        <v>13</v>
      </c>
      <c r="C7" s="39">
        <f>IF(B$2=0,0,B7/B$2)</f>
        <v>0.28260869565217389</v>
      </c>
      <c r="E7" s="63" t="s">
        <v>69</v>
      </c>
      <c r="F7" s="60" t="s">
        <v>12</v>
      </c>
      <c r="G7" s="47">
        <v>25</v>
      </c>
      <c r="H7" s="133">
        <f>IF(B$17=0,0,G7/B$17)</f>
        <v>0.26315789473684209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-224.24242424242425</v>
      </c>
      <c r="P7" s="120">
        <v>33</v>
      </c>
      <c r="Q7" s="104">
        <v>-7400</v>
      </c>
    </row>
    <row r="8" spans="1:17" x14ac:dyDescent="0.4">
      <c r="A8" s="55" t="s">
        <v>3</v>
      </c>
      <c r="B8" s="47">
        <v>17</v>
      </c>
      <c r="C8" s="39">
        <f>IF(B$2=0,0,B8/B$2)</f>
        <v>0.36956521739130432</v>
      </c>
      <c r="E8" s="63" t="s">
        <v>70</v>
      </c>
      <c r="F8" s="60" t="s">
        <v>25</v>
      </c>
      <c r="G8" s="47">
        <v>21</v>
      </c>
      <c r="H8" s="133">
        <f>IF(B$17=0,0,G8/B$17)</f>
        <v>0.22105263157894736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14</v>
      </c>
      <c r="H9" s="133">
        <f>IF(B$17=0,0,G9/B$17)</f>
        <v>0.14736842105263157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2.1739130434782608E-2</v>
      </c>
      <c r="E10" s="63" t="s">
        <v>90</v>
      </c>
      <c r="F10" s="60" t="s">
        <v>45</v>
      </c>
      <c r="G10" s="47">
        <v>14</v>
      </c>
      <c r="H10" s="133">
        <f>IF(B$17=0,0,G10/B$17)</f>
        <v>0.14736842105263157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13.61</v>
      </c>
      <c r="P10" s="118">
        <v>10</v>
      </c>
      <c r="Q10" s="106">
        <v>136.1</v>
      </c>
    </row>
    <row r="11" spans="1:17" x14ac:dyDescent="0.4">
      <c r="A11" s="56" t="s">
        <v>140</v>
      </c>
      <c r="B11" s="48">
        <v>6</v>
      </c>
      <c r="C11" s="40">
        <f>IF(B$2=0,0,B11/B$2)</f>
        <v>0.13043478260869565</v>
      </c>
      <c r="E11" s="63" t="s">
        <v>71</v>
      </c>
      <c r="F11" s="60" t="s">
        <v>26</v>
      </c>
      <c r="G11" s="47">
        <v>12</v>
      </c>
      <c r="H11" s="133">
        <f>IF(B$17=0,0,G11/B$17)</f>
        <v>0.12631578947368421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8.6956521739130432E-2</v>
      </c>
      <c r="E12" s="63" t="s">
        <v>87</v>
      </c>
      <c r="F12" s="60" t="s">
        <v>42</v>
      </c>
      <c r="G12" s="47">
        <v>8</v>
      </c>
      <c r="H12" s="133">
        <f>IF(B$17=0,0,G12/B$17)</f>
        <v>8.4210526315789472E-2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98</v>
      </c>
      <c r="C13" s="44">
        <f>IF(B$3=0,0,B13/B$3)</f>
        <v>0.2572178477690289</v>
      </c>
      <c r="E13" s="63" t="s">
        <v>72</v>
      </c>
      <c r="F13" s="60" t="s">
        <v>27</v>
      </c>
      <c r="G13" s="47">
        <v>7</v>
      </c>
      <c r="H13" s="133">
        <f>IF(B$17=0,0,G13/B$17)</f>
        <v>7.3684210526315783E-2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63</v>
      </c>
      <c r="C14" s="39">
        <f>IF(B$3=0,0,B14/B$3)</f>
        <v>0.16535433070866143</v>
      </c>
      <c r="E14" s="63" t="s">
        <v>84</v>
      </c>
      <c r="F14" s="60" t="s">
        <v>39</v>
      </c>
      <c r="G14" s="47">
        <v>5</v>
      </c>
      <c r="H14" s="133">
        <f>IF(B$17=0,0,G14/B$17)</f>
        <v>5.2631578947368418E-2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0.58163265306122447</v>
      </c>
      <c r="E15" s="63" t="s">
        <v>79</v>
      </c>
      <c r="F15" s="60" t="s">
        <v>34</v>
      </c>
      <c r="G15" s="47">
        <v>3</v>
      </c>
      <c r="H15" s="133">
        <f>IF(B$17=0,0,G15/B$17)</f>
        <v>3.1578947368421054E-2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21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3</v>
      </c>
      <c r="H16" s="133">
        <f>IF(B$17=0,0,G16/B$17)</f>
        <v>3.1578947368421054E-2</v>
      </c>
      <c r="I16" s="94">
        <v>6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95</v>
      </c>
      <c r="C17" s="37">
        <f>IF(B$3=0,0,B17/B$3)</f>
        <v>0.24934383202099739</v>
      </c>
      <c r="E17" s="63" t="s">
        <v>76</v>
      </c>
      <c r="F17" s="60" t="s">
        <v>31</v>
      </c>
      <c r="G17" s="47">
        <v>2</v>
      </c>
      <c r="H17" s="133">
        <f>IF(B$17=0,0,G17/B$17)</f>
        <v>2.1052631578947368E-2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34</v>
      </c>
      <c r="C18" s="39">
        <f>IF(B$17=0,0,B18/B$17)</f>
        <v>0.35789473684210527</v>
      </c>
      <c r="E18" s="63" t="s">
        <v>93</v>
      </c>
      <c r="F18" s="60" t="s">
        <v>48</v>
      </c>
      <c r="G18" s="47">
        <v>2</v>
      </c>
      <c r="H18" s="133">
        <f>IF(B$17=0,0,G18/B$17)</f>
        <v>2.1052631578947368E-2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0.68333333333333235</v>
      </c>
      <c r="P18" s="119">
        <v>12</v>
      </c>
      <c r="Q18" s="107">
        <v>8.1999999999999886</v>
      </c>
    </row>
    <row r="19" spans="1:17" x14ac:dyDescent="0.4">
      <c r="A19" s="55" t="s">
        <v>11</v>
      </c>
      <c r="B19" s="47">
        <v>61</v>
      </c>
      <c r="C19" s="39">
        <f>IF(B$17=0,0,B19/B$17)</f>
        <v>0.64210526315789473</v>
      </c>
      <c r="E19" s="63" t="s">
        <v>180</v>
      </c>
      <c r="F19" s="60" t="s">
        <v>183</v>
      </c>
      <c r="G19" s="47">
        <v>2</v>
      </c>
      <c r="H19" s="133">
        <f>IF(B$17=0,0,G19/B$17)</f>
        <v>2.1052631578947368E-2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2.3999999999992239E-2</v>
      </c>
      <c r="P19" s="119">
        <v>25</v>
      </c>
      <c r="Q19" s="107">
        <v>0.59999999999980602</v>
      </c>
    </row>
    <row r="20" spans="1:17" x14ac:dyDescent="0.4">
      <c r="A20" s="55" t="s">
        <v>13</v>
      </c>
      <c r="B20" s="47">
        <v>60</v>
      </c>
      <c r="C20" s="39">
        <f>IF(B$3=0,0,B20/B$3)</f>
        <v>0.15748031496062992</v>
      </c>
      <c r="E20" s="63" t="s">
        <v>88</v>
      </c>
      <c r="F20" s="60" t="s">
        <v>43</v>
      </c>
      <c r="G20" s="47">
        <v>1</v>
      </c>
      <c r="H20" s="133">
        <f>IF(B$17=0,0,G20/B$17)</f>
        <v>1.0526315789473684E-2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-18.848148148148145</v>
      </c>
      <c r="P21" s="119">
        <v>27</v>
      </c>
      <c r="Q21" s="107">
        <v>-508.89999999999992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9300</v>
      </c>
      <c r="C23" s="41">
        <v>883500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-7016.666666666667</v>
      </c>
      <c r="C24" s="45">
        <v>-421000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2.6246719160104987E-3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883E-A55B-499F-809D-AC5117F13D17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88</v>
      </c>
      <c r="H2" s="132">
        <f>IF(B$17=0,0,G2/B$17)</f>
        <v>0.70399999999999996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1515</v>
      </c>
      <c r="P2" s="118">
        <v>40</v>
      </c>
      <c r="Q2" s="102">
        <v>60600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75</v>
      </c>
      <c r="H3" s="133">
        <f>IF(B$17=0,0,G3/B$17)</f>
        <v>0.6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-142.5</v>
      </c>
      <c r="P3" s="119">
        <v>40</v>
      </c>
      <c r="Q3" s="103">
        <v>-5700</v>
      </c>
    </row>
    <row r="4" spans="1:17" x14ac:dyDescent="0.4">
      <c r="A4" s="55" t="s">
        <v>6</v>
      </c>
      <c r="B4" s="150">
        <v>37.70000000000001</v>
      </c>
      <c r="C4" s="151"/>
      <c r="E4" s="63" t="s">
        <v>65</v>
      </c>
      <c r="F4" s="60" t="s">
        <v>21</v>
      </c>
      <c r="G4" s="47">
        <v>46</v>
      </c>
      <c r="H4" s="133">
        <f>IF(B$17=0,0,G4/B$17)</f>
        <v>0.36799999999999999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488.57142857142856</v>
      </c>
      <c r="P4" s="119">
        <v>35</v>
      </c>
      <c r="Q4" s="103">
        <v>17100</v>
      </c>
    </row>
    <row r="5" spans="1:17" x14ac:dyDescent="0.4">
      <c r="A5" s="55" t="s">
        <v>7</v>
      </c>
      <c r="B5" s="152">
        <f>IF(B$2=0,0,B$4/B$2)</f>
        <v>0.94250000000000023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0.36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1354.5454545454545</v>
      </c>
      <c r="P5" s="119">
        <v>33</v>
      </c>
      <c r="Q5" s="103">
        <v>44700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0.26400000000000001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-906.25</v>
      </c>
      <c r="P6" s="119">
        <v>32</v>
      </c>
      <c r="Q6" s="103">
        <v>-29000</v>
      </c>
    </row>
    <row r="7" spans="1:17" x14ac:dyDescent="0.4">
      <c r="A7" s="55" t="s">
        <v>2</v>
      </c>
      <c r="B7" s="47">
        <v>12</v>
      </c>
      <c r="C7" s="39">
        <f>IF(B$2=0,0,B7/B$2)</f>
        <v>0.3</v>
      </c>
      <c r="E7" s="63" t="s">
        <v>68</v>
      </c>
      <c r="F7" s="60" t="s">
        <v>24</v>
      </c>
      <c r="G7" s="47">
        <v>24</v>
      </c>
      <c r="H7" s="133">
        <f>IF(B$17=0,0,G7/B$17)</f>
        <v>0.192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-1520.6896551724137</v>
      </c>
      <c r="P7" s="120">
        <v>29</v>
      </c>
      <c r="Q7" s="104">
        <v>-44100</v>
      </c>
    </row>
    <row r="8" spans="1:17" x14ac:dyDescent="0.4">
      <c r="A8" s="55" t="s">
        <v>3</v>
      </c>
      <c r="B8" s="47">
        <v>13</v>
      </c>
      <c r="C8" s="39">
        <f>IF(B$2=0,0,B8/B$2)</f>
        <v>0.32500000000000001</v>
      </c>
      <c r="E8" s="63" t="s">
        <v>70</v>
      </c>
      <c r="F8" s="60" t="s">
        <v>25</v>
      </c>
      <c r="G8" s="47">
        <v>17</v>
      </c>
      <c r="H8" s="133">
        <f>IF(B$17=0,0,G8/B$17)</f>
        <v>0.13600000000000001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0.375</v>
      </c>
      <c r="E9" s="63" t="s">
        <v>66</v>
      </c>
      <c r="F9" s="60" t="s">
        <v>22</v>
      </c>
      <c r="G9" s="47">
        <v>13</v>
      </c>
      <c r="H9" s="133">
        <f>IF(B$17=0,0,G9/B$17)</f>
        <v>0.104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0.05</v>
      </c>
      <c r="E10" s="63" t="s">
        <v>71</v>
      </c>
      <c r="F10" s="60" t="s">
        <v>26</v>
      </c>
      <c r="G10" s="47">
        <v>9</v>
      </c>
      <c r="H10" s="133">
        <f>IF(B$17=0,0,G10/B$17)</f>
        <v>7.1999999999999995E-2</v>
      </c>
      <c r="I10" s="94">
        <v>7</v>
      </c>
      <c r="K10" s="38">
        <v>8</v>
      </c>
      <c r="L10" s="99">
        <v>-29.5</v>
      </c>
      <c r="N10" s="114" t="s">
        <v>164</v>
      </c>
      <c r="O10" s="124">
        <f>IF(P10=0,0,Q10/P10)</f>
        <v>-11.884615384615387</v>
      </c>
      <c r="P10" s="118">
        <v>13</v>
      </c>
      <c r="Q10" s="106">
        <v>-154.50000000000003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0.125</v>
      </c>
      <c r="E11" s="63" t="s">
        <v>90</v>
      </c>
      <c r="F11" s="60" t="s">
        <v>45</v>
      </c>
      <c r="G11" s="47">
        <v>9</v>
      </c>
      <c r="H11" s="133">
        <f>IF(B$17=0,0,G11/B$17)</f>
        <v>7.1999999999999995E-2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12.418181818181818</v>
      </c>
      <c r="P11" s="119">
        <v>11</v>
      </c>
      <c r="Q11" s="107">
        <v>136.6</v>
      </c>
    </row>
    <row r="12" spans="1:17" x14ac:dyDescent="0.4">
      <c r="A12" s="57" t="s">
        <v>160</v>
      </c>
      <c r="B12" s="49">
        <v>2</v>
      </c>
      <c r="C12" s="42">
        <f>IF(B$2=0,0,B12/B$2)</f>
        <v>0.05</v>
      </c>
      <c r="E12" s="63" t="s">
        <v>87</v>
      </c>
      <c r="F12" s="60" t="s">
        <v>42</v>
      </c>
      <c r="G12" s="47">
        <v>8</v>
      </c>
      <c r="H12" s="133">
        <f>IF(B$17=0,0,G12/B$17)</f>
        <v>6.4000000000000001E-2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3.4750000000000005</v>
      </c>
      <c r="P12" s="120">
        <v>16</v>
      </c>
      <c r="Q12" s="108">
        <v>55.600000000000009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84</v>
      </c>
      <c r="F13" s="60" t="s">
        <v>39</v>
      </c>
      <c r="G13" s="47">
        <v>7</v>
      </c>
      <c r="H13" s="133">
        <f>IF(B$17=0,0,G13/B$17)</f>
        <v>5.6000000000000001E-2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103</v>
      </c>
      <c r="C14" s="39">
        <f>IF(B$3=0,0,B14/B$3)</f>
        <v>0.30116959064327486</v>
      </c>
      <c r="E14" s="63" t="s">
        <v>72</v>
      </c>
      <c r="F14" s="60" t="s">
        <v>27</v>
      </c>
      <c r="G14" s="47">
        <v>6</v>
      </c>
      <c r="H14" s="133">
        <f>IF(B$17=0,0,G14/B$17)</f>
        <v>4.8000000000000001E-2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0.58750000000000002</v>
      </c>
      <c r="E15" s="63" t="s">
        <v>82</v>
      </c>
      <c r="F15" s="60" t="s">
        <v>37</v>
      </c>
      <c r="G15" s="47">
        <v>5</v>
      </c>
      <c r="H15" s="133">
        <f>IF(B$17=0,0,G15/B$17)</f>
        <v>0.04</v>
      </c>
      <c r="I15" s="94">
        <v>2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43</v>
      </c>
      <c r="C16" s="37">
        <f>IF(B$14=0,0,B16/B$14)</f>
        <v>0.41747572815533979</v>
      </c>
      <c r="E16" s="63" t="s">
        <v>79</v>
      </c>
      <c r="F16" s="60" t="s">
        <v>34</v>
      </c>
      <c r="G16" s="47">
        <v>2</v>
      </c>
      <c r="H16" s="133">
        <f>IF(B$17=0,0,G16/B$17)</f>
        <v>1.6E-2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0.36549707602339182</v>
      </c>
      <c r="E17" s="63" t="s">
        <v>80</v>
      </c>
      <c r="F17" s="60" t="s">
        <v>35</v>
      </c>
      <c r="G17" s="47">
        <v>2</v>
      </c>
      <c r="H17" s="133">
        <f>IF(B$17=0,0,G17/B$17)</f>
        <v>1.6E-2</v>
      </c>
      <c r="I17" s="94">
        <v>5</v>
      </c>
      <c r="K17" s="38">
        <v>15</v>
      </c>
      <c r="L17" s="99">
        <v>-80.3</v>
      </c>
      <c r="N17" s="115" t="s">
        <v>173</v>
      </c>
      <c r="O17" s="125">
        <f>IF(P17=0,0,Q17/P17)</f>
        <v>13.91111111111111</v>
      </c>
      <c r="P17" s="119">
        <v>9</v>
      </c>
      <c r="Q17" s="107">
        <v>125.19999999999999</v>
      </c>
    </row>
    <row r="18" spans="1:17" x14ac:dyDescent="0.4">
      <c r="A18" s="55" t="s">
        <v>12</v>
      </c>
      <c r="B18" s="47">
        <v>52</v>
      </c>
      <c r="C18" s="39">
        <f>IF(B$17=0,0,B18/B$17)</f>
        <v>0.41599999999999998</v>
      </c>
      <c r="E18" s="63" t="s">
        <v>92</v>
      </c>
      <c r="F18" s="60" t="s">
        <v>47</v>
      </c>
      <c r="G18" s="47">
        <v>2</v>
      </c>
      <c r="H18" s="133">
        <f>IF(B$17=0,0,G18/B$17)</f>
        <v>1.6E-2</v>
      </c>
      <c r="I18" s="94">
        <v>4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0.58399999999999996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-0.68333333333333479</v>
      </c>
      <c r="P19" s="119">
        <v>12</v>
      </c>
      <c r="Q19" s="107">
        <v>-8.2000000000000171</v>
      </c>
    </row>
    <row r="20" spans="1:17" x14ac:dyDescent="0.4">
      <c r="A20" s="55" t="s">
        <v>13</v>
      </c>
      <c r="B20" s="47">
        <v>48</v>
      </c>
      <c r="C20" s="39">
        <f>IF(B$3=0,0,B20/B$3)</f>
        <v>0.14035087719298245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-3.8391304347826094</v>
      </c>
      <c r="P20" s="119">
        <v>23</v>
      </c>
      <c r="Q20" s="107">
        <v>-88.300000000000011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-26.486363636363645</v>
      </c>
      <c r="P21" s="119">
        <v>22</v>
      </c>
      <c r="Q21" s="107">
        <v>-582.70000000000016</v>
      </c>
    </row>
    <row r="22" spans="1:17" x14ac:dyDescent="0.4">
      <c r="A22" s="55" t="s">
        <v>194</v>
      </c>
      <c r="B22" s="47">
        <v>23</v>
      </c>
      <c r="C22" s="135">
        <v>6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6813.6</v>
      </c>
      <c r="C23" s="41">
        <v>851700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-8858.3333333333339</v>
      </c>
      <c r="C24" s="45">
        <v>-425200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2.9239766081871343E-3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90BFA-A749-47E5-930F-2BFB143A9E4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34</v>
      </c>
      <c r="C2" s="147"/>
      <c r="E2" s="62" t="s">
        <v>67</v>
      </c>
      <c r="F2" s="59" t="s">
        <v>23</v>
      </c>
      <c r="G2" s="46">
        <v>71</v>
      </c>
      <c r="H2" s="132">
        <f>IF(B$17=0,0,G2/B$17)</f>
        <v>0.76344086021505375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-3038.2352941176468</v>
      </c>
      <c r="P2" s="118">
        <v>34</v>
      </c>
      <c r="Q2" s="102">
        <v>-103300</v>
      </c>
    </row>
    <row r="3" spans="1:17" x14ac:dyDescent="0.4">
      <c r="A3" s="55" t="s">
        <v>8</v>
      </c>
      <c r="B3" s="148">
        <v>304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0.5376344086021505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1788.2352941176471</v>
      </c>
      <c r="P3" s="119">
        <v>34</v>
      </c>
      <c r="Q3" s="103">
        <v>60800</v>
      </c>
    </row>
    <row r="4" spans="1:17" x14ac:dyDescent="0.4">
      <c r="A4" s="55" t="s">
        <v>6</v>
      </c>
      <c r="B4" s="150">
        <v>-224.6</v>
      </c>
      <c r="C4" s="151"/>
      <c r="E4" s="63" t="s">
        <v>65</v>
      </c>
      <c r="F4" s="60" t="s">
        <v>21</v>
      </c>
      <c r="G4" s="47">
        <v>40</v>
      </c>
      <c r="H4" s="133">
        <f>IF(B$17=0,0,G4/B$17)</f>
        <v>0.43010752688172044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-831.25</v>
      </c>
      <c r="P4" s="119">
        <v>32</v>
      </c>
      <c r="Q4" s="103">
        <v>-26600</v>
      </c>
    </row>
    <row r="5" spans="1:17" x14ac:dyDescent="0.4">
      <c r="A5" s="55" t="s">
        <v>7</v>
      </c>
      <c r="B5" s="152">
        <f>IF(B$2=0,0,B$4/B$2)</f>
        <v>-6.6058823529411761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0.39784946236559138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-4610</v>
      </c>
      <c r="P5" s="119">
        <v>30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2.0882352941176472</v>
      </c>
      <c r="C6" s="143"/>
      <c r="E6" s="63" t="s">
        <v>181</v>
      </c>
      <c r="F6" s="60" t="s">
        <v>182</v>
      </c>
      <c r="G6" s="47">
        <v>32</v>
      </c>
      <c r="H6" s="133">
        <f>IF(B$17=0,0,G6/B$17)</f>
        <v>0.34408602150537637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970.37037037037032</v>
      </c>
      <c r="P6" s="119">
        <v>27</v>
      </c>
      <c r="Q6" s="103">
        <v>26200</v>
      </c>
    </row>
    <row r="7" spans="1:17" x14ac:dyDescent="0.4">
      <c r="A7" s="55" t="s">
        <v>2</v>
      </c>
      <c r="B7" s="47">
        <v>9</v>
      </c>
      <c r="C7" s="39">
        <f>IF(B$2=0,0,B7/B$2)</f>
        <v>0.26470588235294118</v>
      </c>
      <c r="E7" s="63" t="s">
        <v>68</v>
      </c>
      <c r="F7" s="60" t="s">
        <v>24</v>
      </c>
      <c r="G7" s="47">
        <v>21</v>
      </c>
      <c r="H7" s="133">
        <f>IF(B$17=0,0,G7/B$17)</f>
        <v>0.22580645161290322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638.46153846153845</v>
      </c>
      <c r="P7" s="120">
        <v>26</v>
      </c>
      <c r="Q7" s="104">
        <v>16600</v>
      </c>
    </row>
    <row r="8" spans="1:17" x14ac:dyDescent="0.4">
      <c r="A8" s="55" t="s">
        <v>3</v>
      </c>
      <c r="B8" s="47">
        <v>13</v>
      </c>
      <c r="C8" s="39">
        <f>IF(B$2=0,0,B8/B$2)</f>
        <v>0.38235294117647056</v>
      </c>
      <c r="E8" s="63" t="s">
        <v>90</v>
      </c>
      <c r="F8" s="60" t="s">
        <v>45</v>
      </c>
      <c r="G8" s="47">
        <v>12</v>
      </c>
      <c r="H8" s="133">
        <f>IF(B$17=0,0,G8/B$17)</f>
        <v>0.12903225806451613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0.35294117647058826</v>
      </c>
      <c r="E9" s="63" t="s">
        <v>71</v>
      </c>
      <c r="F9" s="60" t="s">
        <v>26</v>
      </c>
      <c r="G9" s="47">
        <v>11</v>
      </c>
      <c r="H9" s="133">
        <f>IF(B$17=0,0,G9/B$17)</f>
        <v>0.11827956989247312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0.11764705882352941</v>
      </c>
      <c r="E10" s="63" t="s">
        <v>70</v>
      </c>
      <c r="F10" s="60" t="s">
        <v>25</v>
      </c>
      <c r="G10" s="47">
        <v>9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6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2.9411764705882353E-2</v>
      </c>
      <c r="E12" s="63" t="s">
        <v>66</v>
      </c>
      <c r="F12" s="60" t="s">
        <v>22</v>
      </c>
      <c r="G12" s="47">
        <v>5</v>
      </c>
      <c r="H12" s="133">
        <f>IF(B$17=0,0,G12/B$17)</f>
        <v>5.3763440860215055E-2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-5.2666666666666657</v>
      </c>
      <c r="P12" s="120">
        <v>9</v>
      </c>
      <c r="Q12" s="108">
        <v>-47.399999999999991</v>
      </c>
    </row>
    <row r="13" spans="1:17" x14ac:dyDescent="0.4">
      <c r="A13" s="58" t="s">
        <v>122</v>
      </c>
      <c r="B13" s="50">
        <v>69</v>
      </c>
      <c r="C13" s="44">
        <f>IF(B$3=0,0,B13/B$3)</f>
        <v>0.22697368421052633</v>
      </c>
      <c r="E13" s="63" t="s">
        <v>87</v>
      </c>
      <c r="F13" s="60" t="s">
        <v>42</v>
      </c>
      <c r="G13" s="47">
        <v>4</v>
      </c>
      <c r="H13" s="133">
        <f>IF(B$17=0,0,G13/B$17)</f>
        <v>4.3010752688172046E-2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0.25</v>
      </c>
      <c r="E14" s="63" t="s">
        <v>80</v>
      </c>
      <c r="F14" s="60" t="s">
        <v>35</v>
      </c>
      <c r="G14" s="47">
        <v>2</v>
      </c>
      <c r="H14" s="133">
        <f>IF(B$17=0,0,G14/B$17)</f>
        <v>2.1505376344086023E-2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0.59420289855072461</v>
      </c>
      <c r="E15" s="63" t="s">
        <v>84</v>
      </c>
      <c r="F15" s="60" t="s">
        <v>39</v>
      </c>
      <c r="G15" s="47">
        <v>2</v>
      </c>
      <c r="H15" s="133">
        <f>IF(B$17=0,0,G15/B$17)</f>
        <v>2.1505376344086023E-2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0.34210526315789475</v>
      </c>
      <c r="E16" s="63" t="s">
        <v>74</v>
      </c>
      <c r="F16" s="60" t="s">
        <v>29</v>
      </c>
      <c r="G16" s="47">
        <v>1</v>
      </c>
      <c r="H16" s="133">
        <f>IF(B$17=0,0,G16/B$17)</f>
        <v>1.0752688172043012E-2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0.30592105263157893</v>
      </c>
      <c r="E17" s="63" t="s">
        <v>79</v>
      </c>
      <c r="F17" s="60" t="s">
        <v>34</v>
      </c>
      <c r="G17" s="47">
        <v>1</v>
      </c>
      <c r="H17" s="133">
        <f>IF(B$17=0,0,G17/B$17)</f>
        <v>1.0752688172043012E-2</v>
      </c>
      <c r="I17" s="94">
        <v>7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49</v>
      </c>
      <c r="C18" s="39">
        <f>IF(B$17=0,0,B18/B$17)</f>
        <v>0.5268817204301075</v>
      </c>
      <c r="E18" s="63" t="s">
        <v>92</v>
      </c>
      <c r="F18" s="60" t="s">
        <v>47</v>
      </c>
      <c r="G18" s="47">
        <v>1</v>
      </c>
      <c r="H18" s="133">
        <f>IF(B$17=0,0,G18/B$17)</f>
        <v>1.0752688172043012E-2</v>
      </c>
      <c r="I18" s="94">
        <v>6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44</v>
      </c>
      <c r="C19" s="39">
        <f>IF(B$17=0,0,B19/B$17)</f>
        <v>0.4731182795698925</v>
      </c>
      <c r="E19" s="63" t="s">
        <v>180</v>
      </c>
      <c r="F19" s="60" t="s">
        <v>183</v>
      </c>
      <c r="G19" s="47">
        <v>1</v>
      </c>
      <c r="H19" s="133">
        <f>IF(B$17=0,0,G19/B$17)</f>
        <v>1.0752688172043012E-2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56</v>
      </c>
      <c r="C20" s="39">
        <f>IF(B$3=0,0,B20/B$3)</f>
        <v>0.18421052631578946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-28.249999999999993</v>
      </c>
      <c r="P20" s="119">
        <v>16</v>
      </c>
      <c r="Q20" s="107">
        <v>-451.99999999999989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6829.0322580645161</v>
      </c>
      <c r="C23" s="41">
        <v>635100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-7957.1428571428569</v>
      </c>
      <c r="C24" s="45">
        <v>-445600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3.2894736842105261E-3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12B5E-85F7-49BF-B423-0776D6F5C06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8</v>
      </c>
      <c r="K6" s="38">
        <v>4</v>
      </c>
      <c r="L6" s="99">
        <v>40</v>
      </c>
      <c r="N6" s="115" t="s">
        <v>136</v>
      </c>
      <c r="O6" s="122">
        <f t="shared" si="0"/>
        <v>-425</v>
      </c>
      <c r="P6" s="119">
        <v>16</v>
      </c>
      <c r="Q6" s="103">
        <v>-6800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7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297DC-995F-4325-878C-1349CF2CE39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78E56-11E4-44AD-9417-768EC5D2737C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AE46-A75A-47E5-B739-232C21E04833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A343E-F39D-430C-AE95-A8D9A30120D9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52428-2B61-4090-9384-6A3C5C7B68D1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F499-0C7A-4238-B62A-850E6531AA3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F337-4CB9-4664-8205-6EAAE17089B7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EEB08-BF74-4C7F-A24B-07B572385A84}">
  <sheetPr codeName="Sheet18"/>
  <dimension ref="A1:Q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9DBCD-B593-405C-B486-AEBC53848CA2}">
  <sheetPr codeName="Sheet16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8C8A-CC07-462D-BD53-373EF1ADB15D}">
  <sheetPr codeName="Sheet14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821F8-87E8-4C17-AF79-90306E263C93}">
  <sheetPr codeName="Sheet12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84F9-9A33-4AED-B423-8A30B2C1F8B8}">
  <sheetPr codeName="Sheet10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D4EA-B548-411F-A206-AEE4E6CCA290}">
  <sheetPr codeName="Sheet8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68B55-42C7-447E-BC55-EDE8B71DB009}">
  <sheetPr codeName="Sheet6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2019-05-09T15:55:49Z</dcterms:modified>
</cp:coreProperties>
</file>