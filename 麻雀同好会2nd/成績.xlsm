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0CACB36-7F7B-4679-9453-9958274DE5D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64" r:id="rId6"/>
    <sheet name="だいち" sheetId="4866" r:id="rId7"/>
    <sheet name="りくと" sheetId="4868" r:id="rId8"/>
    <sheet name="ただ" sheetId="4870" r:id="rId9"/>
    <sheet name="れんたろう" sheetId="4872" r:id="rId10"/>
    <sheet name="たかの" sheetId="4874" r:id="rId11"/>
    <sheet name="ぱぱ" sheetId="4876" r:id="rId12"/>
    <sheet name="まっつん" sheetId="4878" r:id="rId13"/>
    <sheet name="あさひ" sheetId="4880" r:id="rId14"/>
    <sheet name="いっしー" sheetId="4882" r:id="rId15"/>
    <sheet name="ほたに" sheetId="4884" r:id="rId16"/>
    <sheet name="ほたに2" sheetId="4885" state="hidden" r:id="rId17"/>
    <sheet name="いっしー2" sheetId="4883" state="hidden" r:id="rId18"/>
    <sheet name="あさひ2" sheetId="4881" state="hidden" r:id="rId19"/>
    <sheet name="まっつん2" sheetId="4879" state="hidden" r:id="rId20"/>
    <sheet name="ぱぱ2" sheetId="4877" state="hidden" r:id="rId21"/>
    <sheet name="たかの2" sheetId="4875" state="hidden" r:id="rId22"/>
    <sheet name="れんたろう2" sheetId="4873" state="hidden" r:id="rId23"/>
    <sheet name="ただ2" sheetId="4871" state="hidden" r:id="rId24"/>
    <sheet name="りくと2" sheetId="4869" state="hidden" r:id="rId25"/>
    <sheet name="だいち2" sheetId="4867" state="hidden" r:id="rId26"/>
    <sheet name="全体2" sheetId="486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79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84" l="1"/>
  <c r="O16" i="4884"/>
  <c r="C27" i="4884"/>
  <c r="B24" i="4884"/>
  <c r="C20" i="4884"/>
  <c r="B17" i="4884"/>
  <c r="H50" i="4884" s="1"/>
  <c r="C16" i="4884"/>
  <c r="C15" i="4884"/>
  <c r="C14" i="4884"/>
  <c r="C13" i="4884"/>
  <c r="O12" i="4884"/>
  <c r="C12" i="4884"/>
  <c r="O11" i="4884"/>
  <c r="C11" i="4884"/>
  <c r="O10" i="4884"/>
  <c r="C10" i="4884"/>
  <c r="C9" i="4884"/>
  <c r="C8" i="4884"/>
  <c r="O7" i="4884"/>
  <c r="C7" i="4884"/>
  <c r="O6" i="4884"/>
  <c r="H6" i="4884"/>
  <c r="B6" i="4884"/>
  <c r="O5" i="4884"/>
  <c r="B5" i="4884"/>
  <c r="O4" i="4884"/>
  <c r="O3" i="4884"/>
  <c r="O2" i="4884"/>
  <c r="O21" i="4872"/>
  <c r="O16" i="4874"/>
  <c r="O18" i="4864"/>
  <c r="H5" i="4884" l="1"/>
  <c r="H40" i="4884"/>
  <c r="H2" i="4884"/>
  <c r="H43" i="4884"/>
  <c r="H24" i="4884"/>
  <c r="H8" i="4884"/>
  <c r="B23" i="4884"/>
  <c r="H44" i="4884"/>
  <c r="C18" i="4884"/>
  <c r="H20" i="4884"/>
  <c r="H26" i="4884"/>
  <c r="H17" i="4884"/>
  <c r="H37" i="4884"/>
  <c r="H48" i="4884"/>
  <c r="C17" i="4884"/>
  <c r="H25" i="4884"/>
  <c r="H16" i="4884"/>
  <c r="H46" i="4884"/>
  <c r="H13" i="4884"/>
  <c r="H36" i="4884"/>
  <c r="H11" i="4884"/>
  <c r="H4" i="4884"/>
  <c r="H9" i="4884"/>
  <c r="H38" i="4884"/>
  <c r="H51" i="4884"/>
  <c r="H30" i="4884"/>
  <c r="H31" i="4884"/>
  <c r="H19" i="4884"/>
  <c r="H32" i="4884"/>
  <c r="H35" i="4884"/>
  <c r="H47" i="4884"/>
  <c r="H3" i="4884"/>
  <c r="C19" i="4884"/>
  <c r="H21" i="4884"/>
  <c r="H12" i="4884"/>
  <c r="H14" i="4884"/>
  <c r="H18" i="4884"/>
  <c r="H29" i="4884"/>
  <c r="H39" i="4884"/>
  <c r="H10" i="4884"/>
  <c r="H45" i="4884"/>
  <c r="H22" i="4884"/>
  <c r="H27" i="4884"/>
  <c r="H33" i="4884"/>
  <c r="H41" i="4884"/>
  <c r="H49" i="4884"/>
  <c r="H7" i="4884"/>
  <c r="H15" i="4884"/>
  <c r="H23" i="4884"/>
  <c r="H28" i="4884"/>
  <c r="H34" i="4884"/>
  <c r="H42" i="4884"/>
  <c r="O17" i="4874" l="1"/>
  <c r="O15" i="4870"/>
  <c r="O20" i="4878"/>
  <c r="O19" i="4878"/>
  <c r="O17" i="4866" l="1"/>
  <c r="O17" i="4882"/>
  <c r="O16" i="4882" l="1"/>
  <c r="O15" i="4882"/>
  <c r="O16" i="4872"/>
  <c r="O20" i="4870"/>
  <c r="O17" i="4880" l="1"/>
  <c r="O20" i="4876"/>
  <c r="O15" i="4880"/>
  <c r="O20" i="4882"/>
  <c r="O15" i="4868"/>
  <c r="O15" i="4878"/>
  <c r="O15" i="4864"/>
  <c r="O19" i="4882"/>
  <c r="O18" i="4882"/>
  <c r="C27" i="4882"/>
  <c r="B24" i="4882"/>
  <c r="C20" i="4882"/>
  <c r="B17" i="4882"/>
  <c r="H50" i="4882" s="1"/>
  <c r="C16" i="4882"/>
  <c r="C15" i="4882"/>
  <c r="C14" i="4882"/>
  <c r="C13" i="4882"/>
  <c r="O12" i="4882"/>
  <c r="C12" i="4882"/>
  <c r="O11" i="4882"/>
  <c r="C11" i="4882"/>
  <c r="O10" i="4882"/>
  <c r="C10" i="4882"/>
  <c r="C9" i="4882"/>
  <c r="C8" i="4882"/>
  <c r="O7" i="4882"/>
  <c r="C7" i="4882"/>
  <c r="O6" i="4882"/>
  <c r="B6" i="4882"/>
  <c r="O5" i="4882"/>
  <c r="B5" i="4882"/>
  <c r="O4" i="4882"/>
  <c r="O3" i="4882"/>
  <c r="O2" i="4882"/>
  <c r="O16" i="4880"/>
  <c r="O18" i="4880"/>
  <c r="C27" i="4880"/>
  <c r="B24" i="4880"/>
  <c r="C20" i="4880"/>
  <c r="B17" i="4880"/>
  <c r="H50" i="4880" s="1"/>
  <c r="C16" i="4880"/>
  <c r="C15" i="4880"/>
  <c r="C14" i="4880"/>
  <c r="C13" i="4880"/>
  <c r="O12" i="4880"/>
  <c r="C12" i="4880"/>
  <c r="O11" i="4880"/>
  <c r="C11" i="4880"/>
  <c r="O10" i="4880"/>
  <c r="C10" i="4880"/>
  <c r="C9" i="4880"/>
  <c r="C8" i="4880"/>
  <c r="O7" i="4880"/>
  <c r="C7" i="4880"/>
  <c r="O6" i="4880"/>
  <c r="B6" i="4880"/>
  <c r="O5" i="4880"/>
  <c r="B5" i="4880"/>
  <c r="O4" i="4880"/>
  <c r="O3" i="4880"/>
  <c r="O2" i="4880"/>
  <c r="O22" i="4878"/>
  <c r="O21" i="4878"/>
  <c r="O16" i="4866"/>
  <c r="O19" i="4866"/>
  <c r="O23" i="4864"/>
  <c r="H2" i="4882" l="1"/>
  <c r="H19" i="4880"/>
  <c r="H32" i="4880"/>
  <c r="H5" i="4880"/>
  <c r="H15" i="4880"/>
  <c r="C17" i="4880"/>
  <c r="H43" i="4880"/>
  <c r="H4" i="4880"/>
  <c r="H11" i="4880"/>
  <c r="H35" i="4880"/>
  <c r="H10" i="4880"/>
  <c r="H40" i="4880"/>
  <c r="H20" i="4880"/>
  <c r="H12" i="4880"/>
  <c r="H8" i="4880"/>
  <c r="H48" i="4880"/>
  <c r="H51" i="4880"/>
  <c r="H3" i="4880"/>
  <c r="H14" i="4880"/>
  <c r="H15" i="4882"/>
  <c r="H31" i="4882"/>
  <c r="H35" i="4882"/>
  <c r="H13" i="4882"/>
  <c r="C17" i="4882"/>
  <c r="H14" i="4882"/>
  <c r="H16" i="4882"/>
  <c r="H21" i="4882"/>
  <c r="H39" i="4882"/>
  <c r="H10" i="4882"/>
  <c r="H43" i="4882"/>
  <c r="H12" i="4882"/>
  <c r="H7" i="4882"/>
  <c r="H3" i="4882"/>
  <c r="H47" i="4882"/>
  <c r="H51" i="4882"/>
  <c r="H18" i="4882"/>
  <c r="C18" i="4882"/>
  <c r="H24" i="4882"/>
  <c r="H6" i="4882"/>
  <c r="H36" i="4882"/>
  <c r="H44" i="4882"/>
  <c r="H5" i="4882"/>
  <c r="H4" i="4882"/>
  <c r="H9" i="4882"/>
  <c r="H22" i="4882"/>
  <c r="B23" i="4882"/>
  <c r="H29" i="4882"/>
  <c r="H37" i="4882"/>
  <c r="H45" i="4882"/>
  <c r="H19" i="4882"/>
  <c r="C19" i="4882"/>
  <c r="H25" i="4882"/>
  <c r="H30" i="4882"/>
  <c r="H38" i="4882"/>
  <c r="H46" i="4882"/>
  <c r="H20" i="4882"/>
  <c r="H26" i="4882"/>
  <c r="H32" i="4882"/>
  <c r="H40" i="4882"/>
  <c r="H48" i="4882"/>
  <c r="H23" i="4882"/>
  <c r="H27" i="4882"/>
  <c r="H33" i="4882"/>
  <c r="H41" i="4882"/>
  <c r="H49" i="4882"/>
  <c r="H8" i="4882"/>
  <c r="H17" i="4882"/>
  <c r="H11" i="4882"/>
  <c r="H28" i="4882"/>
  <c r="H34" i="4882"/>
  <c r="H42" i="4882"/>
  <c r="H17" i="4880"/>
  <c r="C18" i="4880"/>
  <c r="H25" i="4880"/>
  <c r="H6" i="4880"/>
  <c r="H36" i="4880"/>
  <c r="H44" i="4880"/>
  <c r="H7" i="4880"/>
  <c r="H2" i="4880"/>
  <c r="H13" i="4880"/>
  <c r="H21" i="4880"/>
  <c r="B23" i="4880"/>
  <c r="H29" i="4880"/>
  <c r="H37" i="4880"/>
  <c r="H45" i="4880"/>
  <c r="H18" i="4880"/>
  <c r="C19" i="4880"/>
  <c r="H26" i="4880"/>
  <c r="H30" i="4880"/>
  <c r="H38" i="4880"/>
  <c r="H46" i="4880"/>
  <c r="H22" i="4880"/>
  <c r="H31" i="4880"/>
  <c r="H39" i="4880"/>
  <c r="H47" i="4880"/>
  <c r="H23" i="4880"/>
  <c r="H27" i="4880"/>
  <c r="H33" i="4880"/>
  <c r="H41" i="4880"/>
  <c r="H49" i="4880"/>
  <c r="H9" i="4880"/>
  <c r="H16" i="4880"/>
  <c r="H24" i="4880"/>
  <c r="H28" i="4880"/>
  <c r="H34" i="4880"/>
  <c r="H42" i="4880"/>
  <c r="O16" i="4878" l="1"/>
  <c r="O19" i="4876"/>
  <c r="O17" i="4876"/>
  <c r="O18" i="4868"/>
  <c r="O19" i="4874" l="1"/>
  <c r="O17" i="4872"/>
  <c r="O16" i="4876"/>
  <c r="O18" i="4876"/>
  <c r="O15" i="4874" l="1"/>
  <c r="O15" i="4872"/>
  <c r="O19" i="4870"/>
  <c r="O21" i="4870"/>
  <c r="O17" i="4878"/>
  <c r="O18" i="4878"/>
  <c r="H44" i="4878"/>
  <c r="H43" i="4878"/>
  <c r="C27" i="4878"/>
  <c r="B24" i="4878"/>
  <c r="C20" i="4878"/>
  <c r="B17" i="4878"/>
  <c r="H50" i="4878" s="1"/>
  <c r="H21" i="4878"/>
  <c r="C16" i="4878"/>
  <c r="C15" i="4878"/>
  <c r="C14" i="4878"/>
  <c r="C13" i="4878"/>
  <c r="O12" i="4878"/>
  <c r="C12" i="4878"/>
  <c r="O11" i="4878"/>
  <c r="C11" i="4878"/>
  <c r="O10" i="4878"/>
  <c r="C10" i="4878"/>
  <c r="C9" i="4878"/>
  <c r="C8" i="4878"/>
  <c r="O7" i="4878"/>
  <c r="C7" i="4878"/>
  <c r="O6" i="4878"/>
  <c r="B6" i="4878"/>
  <c r="O5" i="4878"/>
  <c r="B5" i="4878"/>
  <c r="O4" i="4878"/>
  <c r="O3" i="4878"/>
  <c r="O2" i="4878"/>
  <c r="O19" i="4872"/>
  <c r="O19" i="4868"/>
  <c r="O19" i="4864"/>
  <c r="H10" i="4878" l="1"/>
  <c r="H16" i="4878"/>
  <c r="H18" i="4878"/>
  <c r="H24" i="4878"/>
  <c r="H12" i="4878"/>
  <c r="H4" i="4878"/>
  <c r="H20" i="4878"/>
  <c r="H8" i="4878"/>
  <c r="H30" i="4878"/>
  <c r="H31" i="4878"/>
  <c r="H9" i="4878"/>
  <c r="C19" i="4878"/>
  <c r="H39" i="4878"/>
  <c r="H6" i="4878"/>
  <c r="H32" i="4878"/>
  <c r="H2" i="4878"/>
  <c r="H47" i="4878"/>
  <c r="H45" i="4878"/>
  <c r="H46" i="4878"/>
  <c r="H48" i="4878"/>
  <c r="B23" i="4878"/>
  <c r="C17" i="4878"/>
  <c r="H15" i="4878"/>
  <c r="H35" i="4878"/>
  <c r="H3" i="4878"/>
  <c r="H22" i="4878"/>
  <c r="H36" i="4878"/>
  <c r="H19" i="4878"/>
  <c r="C18" i="4878"/>
  <c r="H27" i="4878"/>
  <c r="H37" i="4878"/>
  <c r="H17" i="4878"/>
  <c r="H23" i="4878"/>
  <c r="H38" i="4878"/>
  <c r="H51" i="4878"/>
  <c r="H26" i="4878"/>
  <c r="H11" i="4878"/>
  <c r="H40" i="4878"/>
  <c r="H5" i="4878"/>
  <c r="H25" i="4878"/>
  <c r="H28" i="4878"/>
  <c r="H33" i="4878"/>
  <c r="H41" i="4878"/>
  <c r="H49" i="4878"/>
  <c r="H7" i="4878"/>
  <c r="H13" i="4878"/>
  <c r="H14" i="4878"/>
  <c r="H29" i="4878"/>
  <c r="H34" i="4878"/>
  <c r="H42" i="4878"/>
  <c r="O16" i="4870" l="1"/>
  <c r="O21" i="4876"/>
  <c r="O15" i="4876"/>
  <c r="C27" i="4876"/>
  <c r="B24" i="4876"/>
  <c r="C20" i="4876"/>
  <c r="B17" i="4876"/>
  <c r="H50" i="4876" s="1"/>
  <c r="C16" i="4876"/>
  <c r="C15" i="4876"/>
  <c r="C14" i="4876"/>
  <c r="C13" i="4876"/>
  <c r="O12" i="4876"/>
  <c r="C12" i="4876"/>
  <c r="O11" i="4876"/>
  <c r="C11" i="4876"/>
  <c r="O10" i="4876"/>
  <c r="C10" i="4876"/>
  <c r="C9" i="4876"/>
  <c r="C8" i="4876"/>
  <c r="O7" i="4876"/>
  <c r="C7" i="4876"/>
  <c r="O6" i="4876"/>
  <c r="B6" i="4876"/>
  <c r="O5" i="4876"/>
  <c r="B5" i="4876"/>
  <c r="O4" i="4876"/>
  <c r="O3" i="4876"/>
  <c r="O2" i="4876"/>
  <c r="O15" i="4866"/>
  <c r="O17" i="4864"/>
  <c r="O18" i="4874"/>
  <c r="O17" i="4868"/>
  <c r="O20" i="4868"/>
  <c r="O20" i="4872"/>
  <c r="O20" i="4874"/>
  <c r="O21" i="4874"/>
  <c r="C27" i="4874"/>
  <c r="B24" i="4874"/>
  <c r="C20" i="4874"/>
  <c r="B17" i="4874"/>
  <c r="H50" i="4874" s="1"/>
  <c r="C16" i="4874"/>
  <c r="C15" i="4874"/>
  <c r="C14" i="4874"/>
  <c r="C13" i="4874"/>
  <c r="O12" i="4874"/>
  <c r="C12" i="4874"/>
  <c r="O11" i="4874"/>
  <c r="C11" i="4874"/>
  <c r="O10" i="4874"/>
  <c r="C10" i="4874"/>
  <c r="C9" i="4874"/>
  <c r="C8" i="4874"/>
  <c r="O7" i="4874"/>
  <c r="C7" i="4874"/>
  <c r="O6" i="4874"/>
  <c r="B6" i="4874"/>
  <c r="O5" i="4874"/>
  <c r="B5" i="4874"/>
  <c r="O4" i="4874"/>
  <c r="O3" i="4874"/>
  <c r="O2" i="4874"/>
  <c r="O22" i="4872"/>
  <c r="O18" i="4872"/>
  <c r="C27" i="4872"/>
  <c r="B24" i="4872"/>
  <c r="C20" i="4872"/>
  <c r="B17" i="4872"/>
  <c r="H51" i="4872" s="1"/>
  <c r="C16" i="4872"/>
  <c r="C15" i="4872"/>
  <c r="C14" i="4872"/>
  <c r="C13" i="4872"/>
  <c r="O12" i="4872"/>
  <c r="C12" i="4872"/>
  <c r="O11" i="4872"/>
  <c r="C11" i="4872"/>
  <c r="O10" i="4872"/>
  <c r="C10" i="4872"/>
  <c r="H12" i="4872"/>
  <c r="C9" i="4872"/>
  <c r="C8" i="4872"/>
  <c r="O7" i="4872"/>
  <c r="C7" i="4872"/>
  <c r="O6" i="4872"/>
  <c r="B6" i="4872"/>
  <c r="O5" i="4872"/>
  <c r="B5" i="4872"/>
  <c r="O4" i="4872"/>
  <c r="O3" i="4872"/>
  <c r="O2" i="4872"/>
  <c r="O20" i="4866"/>
  <c r="O21" i="4866"/>
  <c r="O22" i="4864"/>
  <c r="O20" i="4864"/>
  <c r="H6" i="4872" l="1"/>
  <c r="H9" i="4872"/>
  <c r="H40" i="4872"/>
  <c r="H8" i="4876"/>
  <c r="H14" i="4876"/>
  <c r="H11" i="4876"/>
  <c r="H7" i="4876"/>
  <c r="H15" i="4876"/>
  <c r="H3" i="4876"/>
  <c r="H43" i="4876"/>
  <c r="C17" i="4876"/>
  <c r="H35" i="4876"/>
  <c r="H23" i="4876"/>
  <c r="H2" i="4876"/>
  <c r="H16" i="4876"/>
  <c r="H47" i="4876"/>
  <c r="H17" i="4876"/>
  <c r="H31" i="4876"/>
  <c r="H4" i="4876"/>
  <c r="C18" i="4876"/>
  <c r="H39" i="4876"/>
  <c r="H19" i="4876"/>
  <c r="H51" i="4876"/>
  <c r="H25" i="4876"/>
  <c r="H36" i="4876"/>
  <c r="H44" i="4876"/>
  <c r="H6" i="4876"/>
  <c r="H5" i="4876"/>
  <c r="H9" i="4876"/>
  <c r="H22" i="4876"/>
  <c r="B23" i="4876"/>
  <c r="H29" i="4876"/>
  <c r="H37" i="4876"/>
  <c r="H45" i="4876"/>
  <c r="H20" i="4876"/>
  <c r="C19" i="4876"/>
  <c r="H26" i="4876"/>
  <c r="H30" i="4876"/>
  <c r="H38" i="4876"/>
  <c r="H46" i="4876"/>
  <c r="H21" i="4876"/>
  <c r="H13" i="4876"/>
  <c r="H32" i="4876"/>
  <c r="H40" i="4876"/>
  <c r="H48" i="4876"/>
  <c r="H24" i="4876"/>
  <c r="H27" i="4876"/>
  <c r="H33" i="4876"/>
  <c r="H41" i="4876"/>
  <c r="H49" i="4876"/>
  <c r="H10" i="4876"/>
  <c r="H18" i="4876"/>
  <c r="H12" i="4876"/>
  <c r="H28" i="4876"/>
  <c r="H34" i="4876"/>
  <c r="H42" i="4876"/>
  <c r="H15" i="4872"/>
  <c r="H21" i="4872"/>
  <c r="H40" i="4874"/>
  <c r="H43" i="4874"/>
  <c r="H26" i="4874"/>
  <c r="H21" i="4874"/>
  <c r="H27" i="4874"/>
  <c r="H3" i="4874"/>
  <c r="C17" i="4874"/>
  <c r="H16" i="4874"/>
  <c r="C18" i="4874"/>
  <c r="H18" i="4874"/>
  <c r="H8" i="4874"/>
  <c r="H32" i="4874"/>
  <c r="H23" i="4874"/>
  <c r="H2" i="4874"/>
  <c r="H4" i="4874"/>
  <c r="H31" i="4874"/>
  <c r="H7" i="4874"/>
  <c r="H35" i="4874"/>
  <c r="H5" i="4874"/>
  <c r="H9" i="4874"/>
  <c r="H13" i="4874"/>
  <c r="H46" i="4874"/>
  <c r="H37" i="4874"/>
  <c r="H11" i="4874"/>
  <c r="H6" i="4874"/>
  <c r="H20" i="4874"/>
  <c r="H12" i="4874"/>
  <c r="H10" i="4874"/>
  <c r="H38" i="4874"/>
  <c r="H48" i="4874"/>
  <c r="B23" i="4874"/>
  <c r="H44" i="4874"/>
  <c r="H19" i="4874"/>
  <c r="H22" i="4874"/>
  <c r="H45" i="4874"/>
  <c r="H24" i="4874"/>
  <c r="H36" i="4874"/>
  <c r="C19" i="4874"/>
  <c r="H47" i="4874"/>
  <c r="H14" i="4874"/>
  <c r="H15" i="4874"/>
  <c r="H30" i="4874"/>
  <c r="H39" i="4874"/>
  <c r="H51" i="4874"/>
  <c r="H25" i="4874"/>
  <c r="H28" i="4874"/>
  <c r="H33" i="4874"/>
  <c r="H41" i="4874"/>
  <c r="H49" i="4874"/>
  <c r="H17" i="4874"/>
  <c r="H29" i="4874"/>
  <c r="H34" i="4874"/>
  <c r="H42" i="4874"/>
  <c r="H13" i="4872"/>
  <c r="H2" i="4872"/>
  <c r="H44" i="4872"/>
  <c r="H45" i="4872"/>
  <c r="H18" i="4872"/>
  <c r="H41" i="4872"/>
  <c r="H4" i="4872"/>
  <c r="H16" i="4872"/>
  <c r="H10" i="4872"/>
  <c r="C18" i="4872"/>
  <c r="H48" i="4872"/>
  <c r="H20" i="4872"/>
  <c r="H17" i="4872"/>
  <c r="C17" i="4872"/>
  <c r="H7" i="4872"/>
  <c r="H24" i="4872"/>
  <c r="H19" i="4872"/>
  <c r="H8" i="4872"/>
  <c r="H22" i="4872"/>
  <c r="H33" i="4872"/>
  <c r="H49" i="4872"/>
  <c r="H3" i="4872"/>
  <c r="H11" i="4872"/>
  <c r="H36" i="4872"/>
  <c r="H27" i="4872"/>
  <c r="H37" i="4872"/>
  <c r="H5" i="4872"/>
  <c r="H25" i="4872"/>
  <c r="B23" i="4872"/>
  <c r="H31" i="4872"/>
  <c r="H38" i="4872"/>
  <c r="H46" i="4872"/>
  <c r="H23" i="4872"/>
  <c r="C19" i="4872"/>
  <c r="H28" i="4872"/>
  <c r="H32" i="4872"/>
  <c r="H39" i="4872"/>
  <c r="H47" i="4872"/>
  <c r="H26" i="4872"/>
  <c r="H29" i="4872"/>
  <c r="H34" i="4872"/>
  <c r="H42" i="4872"/>
  <c r="H50" i="4872"/>
  <c r="H14" i="4872"/>
  <c r="H30" i="4872"/>
  <c r="H35" i="4872"/>
  <c r="H43" i="4872"/>
  <c r="O17" i="4870" l="1"/>
  <c r="O18" i="4870"/>
  <c r="C27" i="4870"/>
  <c r="B24" i="4870"/>
  <c r="C20" i="4870"/>
  <c r="B17" i="4870"/>
  <c r="H50" i="4870" s="1"/>
  <c r="C16" i="4870"/>
  <c r="C15" i="4870"/>
  <c r="C14" i="4870"/>
  <c r="C13" i="4870"/>
  <c r="O12" i="4870"/>
  <c r="C12" i="4870"/>
  <c r="O11" i="4870"/>
  <c r="C11" i="4870"/>
  <c r="O10" i="4870"/>
  <c r="C10" i="4870"/>
  <c r="C9" i="4870"/>
  <c r="C8" i="4870"/>
  <c r="O7" i="4870"/>
  <c r="C7" i="4870"/>
  <c r="O6" i="4870"/>
  <c r="B6" i="4870"/>
  <c r="O5" i="4870"/>
  <c r="B5" i="4870"/>
  <c r="O4" i="4870"/>
  <c r="O3" i="4870"/>
  <c r="O2" i="4870"/>
  <c r="O21" i="4868"/>
  <c r="O16" i="4868"/>
  <c r="C27" i="4868"/>
  <c r="B24" i="4868"/>
  <c r="C20" i="4868"/>
  <c r="B17" i="4868"/>
  <c r="H51" i="4868" s="1"/>
  <c r="C16" i="4868"/>
  <c r="C15" i="4868"/>
  <c r="C14" i="4868"/>
  <c r="C13" i="4868"/>
  <c r="O12" i="4868"/>
  <c r="C12" i="4868"/>
  <c r="O11" i="4868"/>
  <c r="C11" i="4868"/>
  <c r="O10" i="4868"/>
  <c r="C10" i="4868"/>
  <c r="C9" i="4868"/>
  <c r="C8" i="4868"/>
  <c r="O7" i="4868"/>
  <c r="C7" i="4868"/>
  <c r="O6" i="4868"/>
  <c r="B6" i="4868"/>
  <c r="O5" i="4868"/>
  <c r="B5" i="4868"/>
  <c r="O4" i="4868"/>
  <c r="H2" i="4868"/>
  <c r="O3" i="4868"/>
  <c r="O2" i="4868"/>
  <c r="O24" i="4864"/>
  <c r="O18" i="4866"/>
  <c r="O22" i="4866"/>
  <c r="H38" i="4866"/>
  <c r="H35" i="4866"/>
  <c r="H33" i="4866"/>
  <c r="C27" i="4866"/>
  <c r="B24" i="4866"/>
  <c r="C20" i="4866"/>
  <c r="B17" i="4866"/>
  <c r="H50" i="4866" s="1"/>
  <c r="C16" i="4866"/>
  <c r="H20" i="4866"/>
  <c r="C15" i="4866"/>
  <c r="C14" i="4866"/>
  <c r="C13" i="4866"/>
  <c r="O12" i="4866"/>
  <c r="C12" i="4866"/>
  <c r="O11" i="4866"/>
  <c r="C11" i="4866"/>
  <c r="O10" i="4866"/>
  <c r="C10" i="4866"/>
  <c r="C9" i="4866"/>
  <c r="C8" i="4866"/>
  <c r="O7" i="4866"/>
  <c r="C7" i="4866"/>
  <c r="O6" i="4866"/>
  <c r="B6" i="4866"/>
  <c r="O5" i="4866"/>
  <c r="B5" i="4866"/>
  <c r="O4" i="4866"/>
  <c r="O3" i="4866"/>
  <c r="O2" i="4866"/>
  <c r="O16" i="4864"/>
  <c r="O21" i="4864"/>
  <c r="C27" i="4864"/>
  <c r="B24" i="4864"/>
  <c r="C20" i="4864"/>
  <c r="B17" i="4864"/>
  <c r="H51" i="4864" s="1"/>
  <c r="C16" i="4864"/>
  <c r="C15" i="4864"/>
  <c r="C14" i="4864"/>
  <c r="C13" i="4864"/>
  <c r="O12" i="4864"/>
  <c r="C12" i="4864"/>
  <c r="O11" i="4864"/>
  <c r="C11" i="4864"/>
  <c r="O10" i="4864"/>
  <c r="C10" i="4864"/>
  <c r="C9" i="4864"/>
  <c r="C8" i="4864"/>
  <c r="O7" i="4864"/>
  <c r="C7" i="4864"/>
  <c r="O6" i="4864"/>
  <c r="B6" i="4864"/>
  <c r="O5" i="4864"/>
  <c r="B5" i="4864"/>
  <c r="O4" i="4864"/>
  <c r="O3" i="4864"/>
  <c r="O2" i="4864"/>
  <c r="H35" i="4870" l="1"/>
  <c r="H2" i="4870"/>
  <c r="H17" i="4870"/>
  <c r="H43" i="4870"/>
  <c r="H7" i="4870"/>
  <c r="H10" i="4870"/>
  <c r="H4" i="4870"/>
  <c r="H12" i="4870"/>
  <c r="H21" i="4870"/>
  <c r="H16" i="4866"/>
  <c r="C17" i="4870"/>
  <c r="H2" i="4866"/>
  <c r="H25" i="4866"/>
  <c r="H30" i="4866"/>
  <c r="H6" i="4866"/>
  <c r="H21" i="4864"/>
  <c r="H51" i="4870"/>
  <c r="H19" i="4870"/>
  <c r="C18" i="4870"/>
  <c r="H11" i="4870"/>
  <c r="H5" i="4870"/>
  <c r="H3" i="4870"/>
  <c r="H8" i="4870"/>
  <c r="H22" i="4870"/>
  <c r="B23" i="4870"/>
  <c r="H29" i="4870"/>
  <c r="H37" i="4870"/>
  <c r="H45" i="4870"/>
  <c r="H6" i="4870"/>
  <c r="H16" i="4870"/>
  <c r="H25" i="4870"/>
  <c r="H36" i="4870"/>
  <c r="H44" i="4870"/>
  <c r="H20" i="4870"/>
  <c r="C19" i="4870"/>
  <c r="H26" i="4870"/>
  <c r="H30" i="4870"/>
  <c r="H38" i="4870"/>
  <c r="H46" i="4870"/>
  <c r="H23" i="4870"/>
  <c r="H31" i="4870"/>
  <c r="H39" i="4870"/>
  <c r="H47" i="4870"/>
  <c r="H14" i="4870"/>
  <c r="H13" i="4870"/>
  <c r="H32" i="4870"/>
  <c r="H40" i="4870"/>
  <c r="H48" i="4870"/>
  <c r="H24" i="4870"/>
  <c r="H27" i="4870"/>
  <c r="H33" i="4870"/>
  <c r="H41" i="4870"/>
  <c r="H49" i="4870"/>
  <c r="H9" i="4870"/>
  <c r="H18" i="4870"/>
  <c r="H15" i="4870"/>
  <c r="H28" i="4870"/>
  <c r="H34" i="4870"/>
  <c r="H42" i="4870"/>
  <c r="H23" i="4864"/>
  <c r="H24" i="4868"/>
  <c r="B23" i="4868"/>
  <c r="H26" i="4868"/>
  <c r="H44" i="4868"/>
  <c r="H5" i="4868"/>
  <c r="H45" i="4868"/>
  <c r="H4" i="4868"/>
  <c r="C17" i="4868"/>
  <c r="H6" i="4868"/>
  <c r="C18" i="4868"/>
  <c r="H36" i="4868"/>
  <c r="H46" i="4868"/>
  <c r="H14" i="4868"/>
  <c r="H8" i="4868"/>
  <c r="H30" i="4868"/>
  <c r="H22" i="4868"/>
  <c r="H41" i="4868"/>
  <c r="H18" i="4868"/>
  <c r="H27" i="4868"/>
  <c r="H3" i="4868"/>
  <c r="H28" i="4868"/>
  <c r="H12" i="4868"/>
  <c r="H47" i="4868"/>
  <c r="H38" i="4868"/>
  <c r="H10" i="4868"/>
  <c r="H15" i="4868"/>
  <c r="H17" i="4868"/>
  <c r="H11" i="4868"/>
  <c r="H39" i="4868"/>
  <c r="H49" i="4868"/>
  <c r="H21" i="4868"/>
  <c r="H33" i="4868"/>
  <c r="H20" i="4868"/>
  <c r="H9" i="4868"/>
  <c r="H37" i="4868"/>
  <c r="C19" i="4868"/>
  <c r="H48" i="4868"/>
  <c r="H7" i="4868"/>
  <c r="H13" i="4868"/>
  <c r="H23" i="4868"/>
  <c r="H32" i="4868"/>
  <c r="H40" i="4868"/>
  <c r="H16" i="4868"/>
  <c r="H29" i="4868"/>
  <c r="H31" i="4868"/>
  <c r="H34" i="4868"/>
  <c r="H42" i="4868"/>
  <c r="H50" i="4868"/>
  <c r="H19" i="4868"/>
  <c r="H25" i="4868"/>
  <c r="H35" i="4868"/>
  <c r="H43" i="4868"/>
  <c r="H15" i="4866"/>
  <c r="H40" i="4866"/>
  <c r="H13" i="4866"/>
  <c r="H11" i="4866"/>
  <c r="H46" i="4866"/>
  <c r="C17" i="4866"/>
  <c r="H21" i="4866"/>
  <c r="H48" i="4866"/>
  <c r="H43" i="4866"/>
  <c r="H10" i="4866"/>
  <c r="H7" i="4866"/>
  <c r="H3" i="4866"/>
  <c r="C19" i="4866"/>
  <c r="H18" i="4866"/>
  <c r="H51" i="4866"/>
  <c r="H17" i="4866"/>
  <c r="H26" i="4866"/>
  <c r="C18" i="4866"/>
  <c r="H29" i="4866"/>
  <c r="H8" i="4866"/>
  <c r="H36" i="4866"/>
  <c r="H44" i="4866"/>
  <c r="H5" i="4866"/>
  <c r="H4" i="4866"/>
  <c r="H12" i="4866"/>
  <c r="H27" i="4866"/>
  <c r="B23" i="4866"/>
  <c r="H23" i="4866"/>
  <c r="H37" i="4866"/>
  <c r="H45" i="4866"/>
  <c r="H32" i="4866"/>
  <c r="H39" i="4866"/>
  <c r="H47" i="4866"/>
  <c r="H28" i="4866"/>
  <c r="H22" i="4866"/>
  <c r="H34" i="4866"/>
  <c r="H41" i="4866"/>
  <c r="H49" i="4866"/>
  <c r="H9" i="4866"/>
  <c r="H19" i="4866"/>
  <c r="H14" i="4866"/>
  <c r="H31" i="4866"/>
  <c r="H24" i="4866"/>
  <c r="H42" i="4866"/>
  <c r="H36" i="4864"/>
  <c r="H11" i="4864"/>
  <c r="H6" i="4864"/>
  <c r="H37" i="4864"/>
  <c r="H4" i="4864"/>
  <c r="C17" i="4864"/>
  <c r="H10" i="4864"/>
  <c r="H18" i="4864"/>
  <c r="H47" i="4864"/>
  <c r="H39" i="4864"/>
  <c r="H13" i="4864"/>
  <c r="H26" i="4864"/>
  <c r="H45" i="4864"/>
  <c r="H3" i="4864"/>
  <c r="H2" i="4864"/>
  <c r="H31" i="4864"/>
  <c r="H32" i="4864"/>
  <c r="H9" i="4864"/>
  <c r="H20" i="4864"/>
  <c r="H25" i="4864"/>
  <c r="H44" i="4864"/>
  <c r="H7" i="4864"/>
  <c r="C18" i="4864"/>
  <c r="C19" i="4864"/>
  <c r="H17" i="4864"/>
  <c r="H5" i="4864"/>
  <c r="B23" i="4864"/>
  <c r="H29" i="4864"/>
  <c r="H38" i="4864"/>
  <c r="H46" i="4864"/>
  <c r="H22" i="4864"/>
  <c r="H15" i="4864"/>
  <c r="H24" i="4864"/>
  <c r="H40" i="4864"/>
  <c r="H48" i="4864"/>
  <c r="H16" i="4864"/>
  <c r="H12" i="4864"/>
  <c r="H34" i="4864"/>
  <c r="H41" i="4864"/>
  <c r="H49" i="4864"/>
  <c r="H33" i="4864"/>
  <c r="H27" i="4864"/>
  <c r="H35" i="4864"/>
  <c r="H42" i="4864"/>
  <c r="H50" i="4864"/>
  <c r="H8" i="4864"/>
  <c r="H19" i="4864"/>
  <c r="H14" i="4864"/>
  <c r="H28" i="4864"/>
  <c r="H30" i="4864"/>
  <c r="H43" i="486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<sst xmlns="http://schemas.openxmlformats.org/spreadsheetml/2006/main" count="2654" uniqueCount="206">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</sst>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全体!$L$2:$L$221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C-4084-81F9-00FA09B47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-22.831050228310502</c:v>
                </c:pt>
                <c:pt idx="1">
                  <c:v>-9.2592592592592595</c:v>
                </c:pt>
                <c:pt idx="2">
                  <c:v>35.353535353535356</c:v>
                </c:pt>
                <c:pt idx="3">
                  <c:v>-5.6497175141242941</c:v>
                </c:pt>
                <c:pt idx="4">
                  <c:v>-29.761904761904763</c:v>
                </c:pt>
                <c:pt idx="5">
                  <c:v>37.735849056603776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7-4EB6-8EDE-B325D33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だいち!$L$2:$L$51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6-4260-A7D8-DFEA8B801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4481.6326530612241</c:v>
                </c:pt>
                <c:pt idx="1">
                  <c:v>3891.6666666666665</c:v>
                </c:pt>
                <c:pt idx="2">
                  <c:v>3204.5454545454545</c:v>
                </c:pt>
                <c:pt idx="3">
                  <c:v>3826.3157894736842</c:v>
                </c:pt>
                <c:pt idx="4">
                  <c:v>2145.7142857142858</c:v>
                </c:pt>
                <c:pt idx="5">
                  <c:v>515.15151515151513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0-4B73-B26C-35E4951E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F-4E7B-BD55-00DB90EC2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754</c:v>
                </c:pt>
                <c:pt idx="1">
                  <c:v>-579.59183673469386</c:v>
                </c:pt>
                <c:pt idx="2">
                  <c:v>-1148.936170212766</c:v>
                </c:pt>
                <c:pt idx="3">
                  <c:v>126.82926829268293</c:v>
                </c:pt>
                <c:pt idx="4">
                  <c:v>825.64102564102564</c:v>
                </c:pt>
                <c:pt idx="5">
                  <c:v>718.91891891891896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8-4108-AD5E-AC99BFC5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2-40E9-AA03-16BD5702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292-AA89-FA7A16C4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A-457F-BC8B-7158AED77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AF4-90CE-E4549E6F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6B8-ABAC-E42D756CE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-363.63636363636363</c:v>
                </c:pt>
                <c:pt idx="1">
                  <c:v>1918.1818181818182</c:v>
                </c:pt>
                <c:pt idx="2">
                  <c:v>44.444444444444443</c:v>
                </c:pt>
                <c:pt idx="3">
                  <c:v>2100</c:v>
                </c:pt>
                <c:pt idx="4">
                  <c:v>-3562.5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0-4D8F-8FF0-3326CD9C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0-460D-BADE-BD907E19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E-4458-8103-D08BDDD3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E30-8DEA-F5CC34DE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F9D-A046-59E7E3E3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4-41DB-BCC0-1F531D1C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B31-B78F-DD6BDC46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7-4871-829E-99486114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D35-9697-07FD9A817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8-4F15-8CD1-BA9CD482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8-4542-B1E0-2F3A966E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ほたに2!$F$1:$F$2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ACA-4E97-B2B6-A259DFE59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0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8F9C83-7EDD-484F-976F-4D59B21AFAB1}">
  <sheetPr codeName="グラフ24"/>
  <sheetViews>
    <sheetView zoomScale="10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06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06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99CAA5-DEB1-4298-98D6-45A3E0915D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2BDA9F-4278-4D5D-886B-509A76A666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7BD2E6-0DC5-4CCE-A9E2-FC6981585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5EDAF4-7308-4CF9-8114-F66406482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F1763D-1F73-4815-808F-07E851F7B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9FC248-8155-467D-85A7-BD5A288F71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266DB6-BA32-4414-8C0E-A489FC08A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50E23B-5F45-4076-96EE-1461B1224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8B3320-5DC4-4D19-A702-6F5254A8B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0E80D0-9726-465C-AE9B-3BE4533CF3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0FB835-8EDF-492E-B0E4-C0D9795AE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DA7933-7C07-46E1-A492-2AD81611D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F424B5-7ED9-4C66-9DB8-3C175D772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FCB164-2AE2-4875-B2D4-96F2DEB25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8D1BD3-9204-48BC-96C8-13E27ED65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F61885-ADEB-49E3-BB4C-4E4D5468C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62B438-6379-4575-B12D-2B0E1DFE2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588CDF-02B5-489E-8A97-414651A65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430B4E-1F13-49C7-A6D8-660F6AD2C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E2CC4D-0898-46E6-8BEA-C57FEAAF03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B1F03C-F014-42C4-9C7F-33A6D68A2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619E95-7365-492D-8783-FE269A926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277A791-DEFE-48AB-AC2D-53705CFDC5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205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  <c r="AJ1" s="156" t="s">
        <v>163</v>
      </c>
      <c r="AK1" s="157"/>
    </row>
    <row r="2" spans="1:37" x14ac:dyDescent="0.4">
      <c r="A2" s="72" t="s">
        <v>161</v>
      </c>
      <c r="B2" s="158"/>
      <c r="C2" s="159"/>
      <c r="D2" s="158"/>
      <c r="E2" s="159"/>
      <c r="F2" s="160">
        <v>0.99162119714100916</v>
      </c>
      <c r="G2" s="161"/>
      <c r="H2" s="160">
        <v>0.93750370383133685</v>
      </c>
      <c r="I2" s="161"/>
      <c r="J2" s="160">
        <v>0.97479240125082489</v>
      </c>
      <c r="K2" s="161"/>
      <c r="L2" s="160">
        <v>0.91969322540860265</v>
      </c>
      <c r="M2" s="161"/>
      <c r="N2" s="160">
        <v>0.78905088407489643</v>
      </c>
      <c r="O2" s="161"/>
      <c r="P2" s="160">
        <v>0.59972949531905373</v>
      </c>
      <c r="Q2" s="161"/>
      <c r="R2" s="160">
        <v>0.43487553185866906</v>
      </c>
      <c r="S2" s="161"/>
      <c r="T2" s="160">
        <v>0.77976026943926202</v>
      </c>
      <c r="U2" s="161"/>
      <c r="V2" s="160">
        <v>0.91725129480009904</v>
      </c>
      <c r="W2" s="161"/>
      <c r="X2" s="160">
        <v>0.65884637503665522</v>
      </c>
      <c r="Y2" s="161"/>
      <c r="Z2" s="160">
        <v>0.47471260050641351</v>
      </c>
      <c r="AA2" s="161"/>
      <c r="AB2" s="160">
        <v>0.90803206417217541</v>
      </c>
      <c r="AC2" s="161"/>
      <c r="AD2" s="160">
        <v>0.82077018333825003</v>
      </c>
      <c r="AE2" s="161"/>
      <c r="AF2" s="160">
        <v>-0.5834548137437312</v>
      </c>
      <c r="AG2" s="161"/>
      <c r="AH2" s="160">
        <v>0.91233977742670203</v>
      </c>
      <c r="AI2" s="161"/>
      <c r="AJ2" s="160">
        <v>1.0886611647287135E-2</v>
      </c>
      <c r="AK2" s="161"/>
    </row>
    <row r="3" spans="1:37" x14ac:dyDescent="0.4">
      <c r="A3" s="74">
        <v>1</v>
      </c>
      <c r="B3" s="75" t="s">
        <v>127</v>
      </c>
      <c r="C3" s="76">
        <v>1289.8999999999999</v>
      </c>
      <c r="D3" s="77" t="s">
        <v>127</v>
      </c>
      <c r="E3" s="98">
        <v>26.324489795918364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0.42297650130548303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0.22448979591836735</v>
      </c>
      <c r="X3" s="77" t="s">
        <v>127</v>
      </c>
      <c r="Y3" s="80">
        <v>0.33420365535248042</v>
      </c>
      <c r="Z3" s="77" t="s">
        <v>173</v>
      </c>
      <c r="AA3" s="80">
        <v>0.35164835164835168</v>
      </c>
      <c r="AB3" s="77" t="s">
        <v>187</v>
      </c>
      <c r="AC3" s="80">
        <v>0.7142857142857143</v>
      </c>
      <c r="AD3" s="77" t="s">
        <v>127</v>
      </c>
      <c r="AE3" s="80">
        <v>0.54081632653061229</v>
      </c>
      <c r="AF3" s="77" t="s">
        <v>174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1.489795918367347</v>
      </c>
      <c r="H4" s="86" t="s">
        <v>127</v>
      </c>
      <c r="I4" s="88">
        <v>0.63265306122448983</v>
      </c>
      <c r="J4" s="86" t="s">
        <v>203</v>
      </c>
      <c r="K4" s="88">
        <v>0</v>
      </c>
      <c r="L4" s="86" t="s">
        <v>173</v>
      </c>
      <c r="M4" s="89">
        <v>0.34615384615384615</v>
      </c>
      <c r="N4" s="86" t="s">
        <v>173</v>
      </c>
      <c r="O4" s="89">
        <v>0.13736263736263737</v>
      </c>
      <c r="P4" s="86" t="s">
        <v>127</v>
      </c>
      <c r="Q4" s="90">
        <v>9259.2592592592591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9.5890410958904104E-2</v>
      </c>
      <c r="X4" s="86" t="s">
        <v>128</v>
      </c>
      <c r="Y4" s="89">
        <v>0.28468899521531099</v>
      </c>
      <c r="Z4" s="86" t="s">
        <v>178</v>
      </c>
      <c r="AA4" s="89">
        <v>0.29203539823008851</v>
      </c>
      <c r="AB4" s="86" t="s">
        <v>127</v>
      </c>
      <c r="AC4" s="89">
        <v>0.65625</v>
      </c>
      <c r="AD4" s="86" t="s">
        <v>186</v>
      </c>
      <c r="AE4" s="89">
        <v>0.5</v>
      </c>
      <c r="AF4" s="86" t="s">
        <v>187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54.7</v>
      </c>
      <c r="D5" s="86" t="s">
        <v>173</v>
      </c>
      <c r="E5" s="99">
        <v>2.4863636363636363</v>
      </c>
      <c r="F5" s="86" t="s">
        <v>173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0.12244897959183673</v>
      </c>
      <c r="L5" s="86" t="s">
        <v>145</v>
      </c>
      <c r="M5" s="89">
        <v>0.29911699779249445</v>
      </c>
      <c r="N5" s="86" t="s">
        <v>127</v>
      </c>
      <c r="O5" s="89">
        <v>0.14360313315926893</v>
      </c>
      <c r="P5" s="86" t="s">
        <v>128</v>
      </c>
      <c r="Q5" s="90">
        <v>9155</v>
      </c>
      <c r="R5" s="86" t="s">
        <v>172</v>
      </c>
      <c r="S5" s="90">
        <v>-7206.25</v>
      </c>
      <c r="T5" s="86" t="s">
        <v>127</v>
      </c>
      <c r="U5" s="88">
        <v>2.0408163265306121E-2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0.25587467362924282</v>
      </c>
      <c r="AB5" s="86" t="s">
        <v>128</v>
      </c>
      <c r="AC5" s="89">
        <v>0.6386554621848739</v>
      </c>
      <c r="AD5" s="86" t="s">
        <v>203</v>
      </c>
      <c r="AE5" s="89">
        <v>0.5</v>
      </c>
      <c r="AF5" s="86" t="s">
        <v>203</v>
      </c>
      <c r="AG5" s="89">
        <v>0.5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145</v>
      </c>
      <c r="C6" s="85">
        <v>5.3290705182007514E-15</v>
      </c>
      <c r="D6" s="86" t="s">
        <v>145</v>
      </c>
      <c r="E6" s="99">
        <v>2.4333655334250005E-17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</v>
      </c>
      <c r="L6" s="86" t="s">
        <v>128</v>
      </c>
      <c r="M6" s="89">
        <v>0.28708133971291866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172</v>
      </c>
      <c r="U6" s="88">
        <v>3.0303030303030304E-2</v>
      </c>
      <c r="V6" s="86" t="s">
        <v>173</v>
      </c>
      <c r="W6" s="88">
        <v>9.0909090909090912E-2</v>
      </c>
      <c r="X6" s="86" t="s">
        <v>145</v>
      </c>
      <c r="Y6" s="89">
        <v>0.25662251655629137</v>
      </c>
      <c r="Z6" s="86" t="s">
        <v>187</v>
      </c>
      <c r="AA6" s="89">
        <v>0.22807017543859648</v>
      </c>
      <c r="AB6" s="86" t="s">
        <v>173</v>
      </c>
      <c r="AC6" s="89">
        <v>0.625</v>
      </c>
      <c r="AD6" s="86" t="s">
        <v>173</v>
      </c>
      <c r="AE6" s="89">
        <v>0.421875</v>
      </c>
      <c r="AF6" s="86" t="s">
        <v>129</v>
      </c>
      <c r="AG6" s="89">
        <v>0.48571428571428571</v>
      </c>
      <c r="AH6" s="86" t="s">
        <v>172</v>
      </c>
      <c r="AI6" s="94">
        <v>91700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128</v>
      </c>
      <c r="C7" s="85">
        <v>-0.70000000000004015</v>
      </c>
      <c r="D7" s="86" t="s">
        <v>128</v>
      </c>
      <c r="E7" s="99">
        <v>-1.4000000000000803E-2</v>
      </c>
      <c r="F7" s="86" t="s">
        <v>203</v>
      </c>
      <c r="G7" s="87">
        <v>2</v>
      </c>
      <c r="H7" s="86" t="s">
        <v>173</v>
      </c>
      <c r="I7" s="88">
        <v>0.31818181818181818</v>
      </c>
      <c r="J7" s="86" t="s">
        <v>173</v>
      </c>
      <c r="K7" s="88">
        <v>0.31818181818181818</v>
      </c>
      <c r="L7" s="86" t="s">
        <v>174</v>
      </c>
      <c r="M7" s="89">
        <v>0.28387096774193549</v>
      </c>
      <c r="N7" s="86" t="s">
        <v>128</v>
      </c>
      <c r="O7" s="89">
        <v>0.16985645933014354</v>
      </c>
      <c r="P7" s="86" t="s">
        <v>145</v>
      </c>
      <c r="Q7" s="90">
        <v>8251.8450184501853</v>
      </c>
      <c r="R7" s="86" t="s">
        <v>128</v>
      </c>
      <c r="S7" s="90">
        <v>-7530.9859154929582</v>
      </c>
      <c r="T7" s="86" t="s">
        <v>173</v>
      </c>
      <c r="U7" s="88">
        <v>4.5454545454545456E-2</v>
      </c>
      <c r="V7" s="86" t="s">
        <v>128</v>
      </c>
      <c r="W7" s="88">
        <v>0.08</v>
      </c>
      <c r="X7" s="86" t="s">
        <v>172</v>
      </c>
      <c r="Y7" s="89">
        <v>0.24305555555555555</v>
      </c>
      <c r="Z7" s="86" t="s">
        <v>174</v>
      </c>
      <c r="AA7" s="89">
        <v>0.22580645161290322</v>
      </c>
      <c r="AB7" s="86" t="s">
        <v>145</v>
      </c>
      <c r="AC7" s="89">
        <v>0.60430107526881716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128</v>
      </c>
      <c r="AI7" s="94">
        <v>88600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203</v>
      </c>
      <c r="C8" s="85">
        <v>-12.5</v>
      </c>
      <c r="D8" s="86" t="s">
        <v>172</v>
      </c>
      <c r="E8" s="99">
        <v>-3.3000000000000003</v>
      </c>
      <c r="F8" s="86" t="s">
        <v>128</v>
      </c>
      <c r="G8" s="87">
        <v>2.02</v>
      </c>
      <c r="H8" s="86" t="s">
        <v>128</v>
      </c>
      <c r="I8" s="88">
        <v>0.28000000000000003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0.17494481236203091</v>
      </c>
      <c r="P8" s="86" t="s">
        <v>186</v>
      </c>
      <c r="Q8" s="90">
        <v>7860</v>
      </c>
      <c r="R8" s="86" t="s">
        <v>145</v>
      </c>
      <c r="S8" s="90">
        <v>-7997.4763406940065</v>
      </c>
      <c r="T8" s="86" t="s">
        <v>145</v>
      </c>
      <c r="U8" s="88">
        <v>9.5890410958904104E-2</v>
      </c>
      <c r="V8" s="86" t="s">
        <v>174</v>
      </c>
      <c r="W8" s="88">
        <v>5.8823529411764705E-2</v>
      </c>
      <c r="X8" s="86" t="s">
        <v>129</v>
      </c>
      <c r="Y8" s="89">
        <v>0.24193548387096775</v>
      </c>
      <c r="Z8" s="86" t="s">
        <v>145</v>
      </c>
      <c r="AA8" s="89">
        <v>0.217439293598234</v>
      </c>
      <c r="AB8" s="86" t="s">
        <v>186</v>
      </c>
      <c r="AC8" s="89">
        <v>0.6</v>
      </c>
      <c r="AD8" s="86" t="s">
        <v>187</v>
      </c>
      <c r="AE8" s="89">
        <v>0.38461538461538464</v>
      </c>
      <c r="AF8" s="86" t="s">
        <v>145</v>
      </c>
      <c r="AG8" s="89">
        <v>0.4059040590405904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178</v>
      </c>
      <c r="E9" s="99">
        <v>-9.7466666666666661</v>
      </c>
      <c r="F9" s="86" t="s">
        <v>172</v>
      </c>
      <c r="G9" s="87">
        <v>2.1212121212121211</v>
      </c>
      <c r="H9" s="86" t="s">
        <v>172</v>
      </c>
      <c r="I9" s="88">
        <v>0.24242424242424243</v>
      </c>
      <c r="J9" s="86" t="s">
        <v>172</v>
      </c>
      <c r="K9" s="88">
        <v>0.36363636363636365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174</v>
      </c>
      <c r="S9" s="90">
        <v>-8067.5675675675675</v>
      </c>
      <c r="T9" s="86" t="s">
        <v>174</v>
      </c>
      <c r="U9" s="88">
        <v>0.11764705882352941</v>
      </c>
      <c r="V9" s="86" t="s">
        <v>129</v>
      </c>
      <c r="W9" s="88">
        <v>0</v>
      </c>
      <c r="X9" s="86" t="s">
        <v>173</v>
      </c>
      <c r="Y9" s="89">
        <v>0.21978021978021978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145</v>
      </c>
      <c r="AE9" s="89">
        <v>0.37817258883248733</v>
      </c>
      <c r="AF9" s="86" t="s">
        <v>127</v>
      </c>
      <c r="AG9" s="89">
        <v>0.39506172839506171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203</v>
      </c>
      <c r="E10" s="99">
        <v>-12.5</v>
      </c>
      <c r="F10" s="86" t="s">
        <v>178</v>
      </c>
      <c r="G10" s="87">
        <v>2.1333333333333333</v>
      </c>
      <c r="H10" s="86" t="s">
        <v>174</v>
      </c>
      <c r="I10" s="88">
        <v>0.17647058823529413</v>
      </c>
      <c r="J10" s="86" t="s">
        <v>174</v>
      </c>
      <c r="K10" s="88">
        <v>0.41176470588235292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127</v>
      </c>
      <c r="S10" s="90">
        <v>-8087.272727272727</v>
      </c>
      <c r="T10" s="86" t="s">
        <v>128</v>
      </c>
      <c r="U10" s="88">
        <v>0.14000000000000001</v>
      </c>
      <c r="V10" s="86" t="s">
        <v>178</v>
      </c>
      <c r="W10" s="88">
        <v>0</v>
      </c>
      <c r="X10" s="86" t="s">
        <v>174</v>
      </c>
      <c r="Y10" s="89">
        <v>0.18709677419354839</v>
      </c>
      <c r="Z10" s="86" t="s">
        <v>203</v>
      </c>
      <c r="AA10" s="89">
        <v>0.18181818181818182</v>
      </c>
      <c r="AB10" s="86" t="s">
        <v>174</v>
      </c>
      <c r="AC10" s="89">
        <v>0.55172413793103448</v>
      </c>
      <c r="AD10" s="86" t="s">
        <v>174</v>
      </c>
      <c r="AE10" s="89">
        <v>0.31428571428571428</v>
      </c>
      <c r="AF10" s="86" t="s">
        <v>128</v>
      </c>
      <c r="AG10" s="89">
        <v>0.39166666666666666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-14.641176470588233</v>
      </c>
      <c r="F11" s="86" t="s">
        <v>174</v>
      </c>
      <c r="G11" s="87">
        <v>2.2352941176470589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129</v>
      </c>
      <c r="O11" s="89">
        <v>0.22043010752688172</v>
      </c>
      <c r="P11" s="86" t="s">
        <v>187</v>
      </c>
      <c r="Q11" s="90">
        <v>6500</v>
      </c>
      <c r="R11" s="86" t="s">
        <v>173</v>
      </c>
      <c r="S11" s="90">
        <v>-8384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172</v>
      </c>
      <c r="AA11" s="89">
        <v>0.17708333333333334</v>
      </c>
      <c r="AB11" s="86" t="s">
        <v>178</v>
      </c>
      <c r="AC11" s="89">
        <v>0.55000000000000004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-248.89999999999995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174</v>
      </c>
      <c r="O12" s="89">
        <v>0.23870967741935484</v>
      </c>
      <c r="P12" s="86" t="s">
        <v>178</v>
      </c>
      <c r="Q12" s="90">
        <v>6362.0689655172409</v>
      </c>
      <c r="R12" s="86" t="s">
        <v>187</v>
      </c>
      <c r="S12" s="90">
        <v>-8762.5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128</v>
      </c>
      <c r="AA12" s="89">
        <v>0.17224880382775121</v>
      </c>
      <c r="AB12" s="86" t="s">
        <v>203</v>
      </c>
      <c r="AC12" s="89">
        <v>0.5</v>
      </c>
      <c r="AD12" s="86" t="s">
        <v>128</v>
      </c>
      <c r="AE12" s="89">
        <v>0.2361111111111111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174</v>
      </c>
      <c r="Q13" s="90">
        <v>6311.363636363636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ADE8-1FE9-44D4-809F-951200A89293}">
  <sheetPr codeName="Sheet4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219</v>
      </c>
      <c r="C2" s="149"/>
      <c r="E2" s="62" t="s">
        <v>67</v>
      </c>
      <c r="F2" s="59" t="s">
        <v>23</v>
      </c>
      <c r="G2" s="46">
        <v>394</v>
      </c>
      <c r="H2" s="134">
        <f>IF(B$17=0,0,G2/B$17)</f>
        <v>0.72693726937269376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-22.831050228310502</v>
      </c>
      <c r="P2" s="120">
        <v>219</v>
      </c>
      <c r="Q2" s="104">
        <v>-5000</v>
      </c>
    </row>
    <row r="3" spans="1:17" x14ac:dyDescent="0.4">
      <c r="A3" s="55" t="s">
        <v>8</v>
      </c>
      <c r="B3" s="150">
        <v>1812</v>
      </c>
      <c r="C3" s="151"/>
      <c r="E3" s="63" t="s">
        <v>73</v>
      </c>
      <c r="F3" s="60" t="s">
        <v>28</v>
      </c>
      <c r="G3" s="47">
        <v>289</v>
      </c>
      <c r="H3" s="135">
        <f>IF(B$17=0,0,G3/B$17)</f>
        <v>0.53321033210332103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-9.2592592592592595</v>
      </c>
      <c r="P3" s="121">
        <v>216</v>
      </c>
      <c r="Q3" s="105">
        <v>-2000</v>
      </c>
    </row>
    <row r="4" spans="1:17" x14ac:dyDescent="0.4">
      <c r="A4" s="55" t="s">
        <v>6</v>
      </c>
      <c r="B4" s="152">
        <v>5.3290705182007514E-15</v>
      </c>
      <c r="C4" s="153"/>
      <c r="E4" s="63" t="s">
        <v>65</v>
      </c>
      <c r="F4" s="60" t="s">
        <v>21</v>
      </c>
      <c r="G4" s="47">
        <v>270</v>
      </c>
      <c r="H4" s="135">
        <f>IF(B$17=0,0,G4/B$17)</f>
        <v>0.49815498154981552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0"/>
        <v>35.353535353535356</v>
      </c>
      <c r="P4" s="121">
        <v>198</v>
      </c>
      <c r="Q4" s="105">
        <v>7000</v>
      </c>
    </row>
    <row r="5" spans="1:17" x14ac:dyDescent="0.4">
      <c r="A5" s="55" t="s">
        <v>7</v>
      </c>
      <c r="B5" s="154">
        <f>IF(B$2=0,0,B$4/B$2)</f>
        <v>2.4333655334250005E-17</v>
      </c>
      <c r="C5" s="155"/>
      <c r="E5" s="63" t="s">
        <v>182</v>
      </c>
      <c r="F5" s="60" t="s">
        <v>183</v>
      </c>
      <c r="G5" s="47">
        <v>207</v>
      </c>
      <c r="H5" s="135">
        <f>IF(B$17=0,0,G5/B$17)</f>
        <v>0.38191881918819187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-5.6497175141242941</v>
      </c>
      <c r="P5" s="121">
        <v>177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24</v>
      </c>
      <c r="G6" s="47">
        <v>151</v>
      </c>
      <c r="H6" s="135">
        <f>IF(B$17=0,0,G6/B$17)</f>
        <v>0.27859778597785978</v>
      </c>
      <c r="I6" s="96">
        <v>6</v>
      </c>
      <c r="K6" s="38">
        <v>4</v>
      </c>
      <c r="L6" s="101">
        <v>2.2000000000000002</v>
      </c>
      <c r="N6" s="117" t="s">
        <v>136</v>
      </c>
      <c r="O6" s="124">
        <f t="shared" si="0"/>
        <v>-29.761904761904763</v>
      </c>
      <c r="P6" s="121">
        <v>168</v>
      </c>
      <c r="Q6" s="105">
        <v>-5000</v>
      </c>
    </row>
    <row r="7" spans="1:17" x14ac:dyDescent="0.4">
      <c r="A7" s="55" t="s">
        <v>2</v>
      </c>
      <c r="B7" s="47">
        <v>73</v>
      </c>
      <c r="C7" s="39">
        <f>IF(B$2=0,0,B7/B$2)</f>
        <v>0.33333333333333331</v>
      </c>
      <c r="E7" s="63" t="s">
        <v>69</v>
      </c>
      <c r="F7" s="60" t="s">
        <v>12</v>
      </c>
      <c r="G7" s="47">
        <v>151</v>
      </c>
      <c r="H7" s="135">
        <f>IF(B$17=0,0,G7/B$17)</f>
        <v>0.27859778597785978</v>
      </c>
      <c r="I7" s="96">
        <v>5</v>
      </c>
      <c r="K7" s="38">
        <v>5</v>
      </c>
      <c r="L7" s="101">
        <v>-37</v>
      </c>
      <c r="N7" s="118" t="s">
        <v>137</v>
      </c>
      <c r="O7" s="125">
        <f t="shared" si="0"/>
        <v>37.735849056603776</v>
      </c>
      <c r="P7" s="122">
        <v>159</v>
      </c>
      <c r="Q7" s="106">
        <v>6000</v>
      </c>
    </row>
    <row r="8" spans="1:17" x14ac:dyDescent="0.4">
      <c r="A8" s="55" t="s">
        <v>3</v>
      </c>
      <c r="B8" s="47">
        <v>73</v>
      </c>
      <c r="C8" s="39">
        <f>IF(B$2=0,0,B8/B$2)</f>
        <v>0.33333333333333331</v>
      </c>
      <c r="E8" s="63" t="s">
        <v>70</v>
      </c>
      <c r="F8" s="60" t="s">
        <v>25</v>
      </c>
      <c r="G8" s="47">
        <v>99</v>
      </c>
      <c r="H8" s="135">
        <f>IF(B$17=0,0,G8/B$17)</f>
        <v>0.18265682656826568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77</v>
      </c>
      <c r="H9" s="135">
        <f>IF(B$17=0,0,G9/B$17)</f>
        <v>0.14206642066420663</v>
      </c>
      <c r="I9" s="96">
        <v>8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9.5890410958904104E-2</v>
      </c>
      <c r="E10" s="63" t="s">
        <v>66</v>
      </c>
      <c r="F10" s="60" t="s">
        <v>22</v>
      </c>
      <c r="G10" s="47">
        <v>65</v>
      </c>
      <c r="H10" s="135">
        <f>IF(B$17=0,0,G10/B$17)</f>
        <v>0.11992619926199262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-3.8863013698630127</v>
      </c>
      <c r="P10" s="120">
        <v>73</v>
      </c>
      <c r="Q10" s="108">
        <v>-283.69999999999993</v>
      </c>
    </row>
    <row r="11" spans="1:17" x14ac:dyDescent="0.4">
      <c r="A11" s="56" t="s">
        <v>140</v>
      </c>
      <c r="B11" s="48">
        <v>21</v>
      </c>
      <c r="C11" s="40">
        <f>IF(B$2=0,0,B11/B$2)</f>
        <v>9.5890410958904104E-2</v>
      </c>
      <c r="E11" s="63" t="s">
        <v>71</v>
      </c>
      <c r="F11" s="60" t="s">
        <v>26</v>
      </c>
      <c r="G11" s="47">
        <v>60</v>
      </c>
      <c r="H11" s="135">
        <f>IF(B$17=0,0,G11/B$17)</f>
        <v>0.11070110701107011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-6.5616438356164384</v>
      </c>
      <c r="P11" s="121">
        <v>73</v>
      </c>
      <c r="Q11" s="109">
        <v>-479</v>
      </c>
    </row>
    <row r="12" spans="1:17" x14ac:dyDescent="0.4">
      <c r="A12" s="57" t="s">
        <v>160</v>
      </c>
      <c r="B12" s="49">
        <v>22</v>
      </c>
      <c r="C12" s="42">
        <f>IF(B$2=0,0,B12/B$2)</f>
        <v>0.1004566210045662</v>
      </c>
      <c r="E12" s="63" t="s">
        <v>87</v>
      </c>
      <c r="F12" s="60" t="s">
        <v>42</v>
      </c>
      <c r="G12" s="47">
        <v>36</v>
      </c>
      <c r="H12" s="135">
        <f>IF(B$17=0,0,G12/B$17)</f>
        <v>6.6420664206642069E-2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10.447945205479453</v>
      </c>
      <c r="P12" s="122">
        <v>73</v>
      </c>
      <c r="Q12" s="110">
        <v>762.7</v>
      </c>
    </row>
    <row r="13" spans="1:17" x14ac:dyDescent="0.4">
      <c r="A13" s="58" t="s">
        <v>122</v>
      </c>
      <c r="B13" s="50">
        <v>465</v>
      </c>
      <c r="C13" s="44">
        <f>IF(B$3=0,0,B13/B$3)</f>
        <v>0.25662251655629137</v>
      </c>
      <c r="E13" s="63" t="s">
        <v>72</v>
      </c>
      <c r="F13" s="60" t="s">
        <v>27</v>
      </c>
      <c r="G13" s="47">
        <v>32</v>
      </c>
      <c r="H13" s="135">
        <f>IF(B$17=0,0,G13/B$17)</f>
        <v>5.9040590405904057E-2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394</v>
      </c>
      <c r="C14" s="39">
        <f>IF(B$3=0,0,B14/B$3)</f>
        <v>0.217439293598234</v>
      </c>
      <c r="E14" s="63" t="s">
        <v>84</v>
      </c>
      <c r="F14" s="60" t="s">
        <v>39</v>
      </c>
      <c r="G14" s="47">
        <v>22</v>
      </c>
      <c r="H14" s="135">
        <f>IF(B$17=0,0,G14/B$17)</f>
        <v>4.0590405904059039E-2</v>
      </c>
      <c r="I14" s="96">
        <v>5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281</v>
      </c>
      <c r="C15" s="37">
        <f>IF(B$13=0,0,B15/B$13)</f>
        <v>0.60430107526881716</v>
      </c>
      <c r="E15" s="63" t="s">
        <v>82</v>
      </c>
      <c r="F15" s="60" t="s">
        <v>37</v>
      </c>
      <c r="G15" s="47">
        <v>14</v>
      </c>
      <c r="H15" s="135">
        <f>IF(B$17=0,0,G15/B$17)</f>
        <v>2.5830258302583026E-2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149</v>
      </c>
      <c r="C16" s="37">
        <f>IF(B$14=0,0,B16/B$14)</f>
        <v>0.37817258883248733</v>
      </c>
      <c r="E16" s="63" t="s">
        <v>79</v>
      </c>
      <c r="F16" s="60" t="s">
        <v>34</v>
      </c>
      <c r="G16" s="47">
        <v>10</v>
      </c>
      <c r="H16" s="135">
        <f>IF(B$17=0,0,G16/B$17)</f>
        <v>1.8450184501845018E-2</v>
      </c>
      <c r="I16" s="96">
        <v>5</v>
      </c>
      <c r="K16" s="38">
        <v>14</v>
      </c>
      <c r="L16" s="101">
        <v>18.79999999999999</v>
      </c>
      <c r="N16" s="117" t="s">
        <v>129</v>
      </c>
      <c r="O16" s="127">
        <f>IF(P16=0,0,Q16/P16)</f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542</v>
      </c>
      <c r="C17" s="37">
        <f>IF(B$3=0,0,B17/B$3)</f>
        <v>0.29911699779249445</v>
      </c>
      <c r="E17" s="63" t="s">
        <v>92</v>
      </c>
      <c r="F17" s="60" t="s">
        <v>47</v>
      </c>
      <c r="G17" s="47">
        <v>10</v>
      </c>
      <c r="H17" s="135">
        <f>IF(B$17=0,0,G17/B$17)</f>
        <v>1.8450184501845018E-2</v>
      </c>
      <c r="I17" s="96">
        <v>3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21.961764705882356</v>
      </c>
      <c r="P17" s="121">
        <v>34</v>
      </c>
      <c r="Q17" s="109">
        <v>746.7</v>
      </c>
    </row>
    <row r="18" spans="1:17" x14ac:dyDescent="0.4">
      <c r="A18" s="55" t="s">
        <v>12</v>
      </c>
      <c r="B18" s="47">
        <v>220</v>
      </c>
      <c r="C18" s="39">
        <f>IF(B$17=0,0,B18/B$17)</f>
        <v>0.4059040590405904</v>
      </c>
      <c r="E18" s="63" t="s">
        <v>80</v>
      </c>
      <c r="F18" s="60" t="s">
        <v>35</v>
      </c>
      <c r="G18" s="47">
        <v>6</v>
      </c>
      <c r="H18" s="135">
        <f>IF(B$17=0,0,G18/B$17)</f>
        <v>1.107011070110701E-2</v>
      </c>
      <c r="I18" s="96">
        <v>4</v>
      </c>
      <c r="K18" s="38">
        <v>16</v>
      </c>
      <c r="L18" s="101">
        <v>90.899999999999991</v>
      </c>
      <c r="N18" s="117" t="s">
        <v>203</v>
      </c>
      <c r="O18" s="127">
        <f>IF(P18=0,0,Q18/P18)</f>
        <v>18.75</v>
      </c>
      <c r="P18" s="121">
        <v>2</v>
      </c>
      <c r="Q18" s="109">
        <v>37.5</v>
      </c>
    </row>
    <row r="19" spans="1:17" x14ac:dyDescent="0.4">
      <c r="A19" s="55" t="s">
        <v>11</v>
      </c>
      <c r="B19" s="47">
        <v>322</v>
      </c>
      <c r="C19" s="39">
        <f>IF(B$17=0,0,B19/B$17)</f>
        <v>0.59409594095940954</v>
      </c>
      <c r="E19" s="63" t="s">
        <v>76</v>
      </c>
      <c r="F19" s="60" t="s">
        <v>31</v>
      </c>
      <c r="G19" s="47">
        <v>5</v>
      </c>
      <c r="H19" s="135">
        <f>IF(B$17=0,0,G19/B$17)</f>
        <v>9.2250922509225092E-3</v>
      </c>
      <c r="I19" s="96">
        <v>3</v>
      </c>
      <c r="K19" s="38">
        <v>17</v>
      </c>
      <c r="L19" s="101">
        <v>8.2999999999999972</v>
      </c>
      <c r="N19" s="117" t="s">
        <v>178</v>
      </c>
      <c r="O19" s="127">
        <f>IF(P19=0,0,Q19/P19)</f>
        <v>14.619999999999997</v>
      </c>
      <c r="P19" s="121">
        <v>30</v>
      </c>
      <c r="Q19" s="109">
        <v>438.59999999999991</v>
      </c>
    </row>
    <row r="20" spans="1:17" x14ac:dyDescent="0.4">
      <c r="A20" s="55" t="s">
        <v>13</v>
      </c>
      <c r="B20" s="47">
        <v>317</v>
      </c>
      <c r="C20" s="39">
        <f>IF(B$3=0,0,B20/B$3)</f>
        <v>0.17494481236203091</v>
      </c>
      <c r="E20" s="63" t="s">
        <v>181</v>
      </c>
      <c r="F20" s="60" t="s">
        <v>184</v>
      </c>
      <c r="G20" s="47">
        <v>5</v>
      </c>
      <c r="H20" s="135">
        <f>IF(B$17=0,0,G20/B$17)</f>
        <v>9.2250922509225092E-3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3</v>
      </c>
      <c r="H21" s="135">
        <f>IF(B$17=0,0,G21/B$17)</f>
        <v>5.5350553505535052E-3</v>
      </c>
      <c r="I21" s="96">
        <v>3</v>
      </c>
      <c r="K21" s="38">
        <v>19</v>
      </c>
      <c r="L21" s="101">
        <v>30.999999999999996</v>
      </c>
      <c r="N21" s="117" t="s">
        <v>128</v>
      </c>
      <c r="O21" s="127">
        <f>IF(P21=0,0,Q21/P21)</f>
        <v>2.0999999999998183E-2</v>
      </c>
      <c r="P21" s="121">
        <v>100</v>
      </c>
      <c r="Q21" s="109">
        <v>2.0999999999998185</v>
      </c>
    </row>
    <row r="22" spans="1:17" x14ac:dyDescent="0.4">
      <c r="A22" s="55" t="s">
        <v>195</v>
      </c>
      <c r="B22" s="47">
        <v>31</v>
      </c>
      <c r="C22" s="137">
        <v>3</v>
      </c>
      <c r="E22" s="63" t="s">
        <v>75</v>
      </c>
      <c r="F22" s="60" t="s">
        <v>30</v>
      </c>
      <c r="G22" s="47">
        <v>2</v>
      </c>
      <c r="H22" s="135">
        <f>IF(B$17=0,0,G22/B$17)</f>
        <v>3.6900369003690036E-3</v>
      </c>
      <c r="I22" s="96">
        <v>2</v>
      </c>
      <c r="K22" s="38">
        <v>20</v>
      </c>
      <c r="L22" s="101">
        <v>0.79999999999999716</v>
      </c>
      <c r="N22" s="117" t="s">
        <v>173</v>
      </c>
      <c r="O22" s="127">
        <f>IF(P22=0,0,Q22/P22)</f>
        <v>-3.7295454545454563</v>
      </c>
      <c r="P22" s="121">
        <v>44</v>
      </c>
      <c r="Q22" s="109">
        <v>-164.10000000000008</v>
      </c>
    </row>
    <row r="23" spans="1:17" x14ac:dyDescent="0.4">
      <c r="A23" s="55" t="s">
        <v>5</v>
      </c>
      <c r="B23" s="51">
        <f>IF(B$17=0,0,C23/B$17)</f>
        <v>8251.8450184501853</v>
      </c>
      <c r="C23" s="41">
        <v>4472500</v>
      </c>
      <c r="E23" s="63" t="s">
        <v>78</v>
      </c>
      <c r="F23" s="60" t="s">
        <v>33</v>
      </c>
      <c r="G23" s="47">
        <v>2</v>
      </c>
      <c r="H23" s="135">
        <f>IF(B$17=0,0,G23/B$17)</f>
        <v>3.6900369003690036E-3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-7997.4763406940065</v>
      </c>
      <c r="C24" s="45">
        <v>-2535200</v>
      </c>
      <c r="E24" s="63" t="s">
        <v>93</v>
      </c>
      <c r="F24" s="60" t="s">
        <v>48</v>
      </c>
      <c r="G24" s="47">
        <v>2</v>
      </c>
      <c r="H24" s="135">
        <f>IF(B$17=0,0,G24/B$17)</f>
        <v>3.6900369003690036E-3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-39.486734693877551</v>
      </c>
      <c r="P24" s="121">
        <v>98</v>
      </c>
      <c r="Q24" s="109">
        <v>-3869.7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>IF(B$17=0,0,G25/B$17)</f>
        <v>1.8450184501845018E-3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>IF(B$17=0,0,G26/B$17)</f>
        <v>1.8450184501845018E-3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3.8631346578366448E-3</v>
      </c>
      <c r="E27" s="63" t="s">
        <v>88</v>
      </c>
      <c r="F27" s="60" t="s">
        <v>43</v>
      </c>
      <c r="G27" s="47">
        <v>1</v>
      </c>
      <c r="H27" s="135">
        <f>IF(B$17=0,0,G27/B$17)</f>
        <v>1.8450184501845018E-3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>IF(B$17=0,0,G28/B$17)</f>
        <v>1.8450184501845018E-3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1.8450184501845018E-3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>IF(B$17=0,0,G30/B$17)</f>
        <v>1.8450184501845018E-3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28DD-CC6E-443C-A87D-0F35C3C26EA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49</v>
      </c>
      <c r="C2" s="149"/>
      <c r="E2" s="62" t="s">
        <v>67</v>
      </c>
      <c r="F2" s="59" t="s">
        <v>23</v>
      </c>
      <c r="G2" s="46">
        <v>135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4481.6326530612241</v>
      </c>
      <c r="P2" s="120">
        <v>49</v>
      </c>
      <c r="Q2" s="104">
        <v>219600</v>
      </c>
    </row>
    <row r="3" spans="1:17" x14ac:dyDescent="0.4">
      <c r="A3" s="55" t="s">
        <v>8</v>
      </c>
      <c r="B3" s="150">
        <v>383</v>
      </c>
      <c r="C3" s="151"/>
      <c r="E3" s="63" t="s">
        <v>73</v>
      </c>
      <c r="F3" s="60" t="s">
        <v>28</v>
      </c>
      <c r="G3" s="47">
        <v>90</v>
      </c>
      <c r="H3" s="135">
        <f>IF(B$17=0,0,G3/B$17)</f>
        <v>0.55555555555555558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3891.6666666666665</v>
      </c>
      <c r="P3" s="121">
        <v>48</v>
      </c>
      <c r="Q3" s="105">
        <v>186800</v>
      </c>
    </row>
    <row r="4" spans="1:17" x14ac:dyDescent="0.4">
      <c r="A4" s="55" t="s">
        <v>6</v>
      </c>
      <c r="B4" s="152">
        <v>1289.8999999999999</v>
      </c>
      <c r="C4" s="153"/>
      <c r="E4" s="63" t="s">
        <v>65</v>
      </c>
      <c r="F4" s="60" t="s">
        <v>21</v>
      </c>
      <c r="G4" s="47">
        <v>83</v>
      </c>
      <c r="H4" s="135">
        <f>IF(B$17=0,0,G4/B$17)</f>
        <v>0.51234567901234573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0"/>
        <v>3204.5454545454545</v>
      </c>
      <c r="P4" s="121">
        <v>44</v>
      </c>
      <c r="Q4" s="105">
        <v>141000</v>
      </c>
    </row>
    <row r="5" spans="1:17" x14ac:dyDescent="0.4">
      <c r="A5" s="55" t="s">
        <v>7</v>
      </c>
      <c r="B5" s="154">
        <f>IF(B$2=0,0,B$4/B$2)</f>
        <v>26.324489795918364</v>
      </c>
      <c r="C5" s="155"/>
      <c r="E5" s="63" t="s">
        <v>182</v>
      </c>
      <c r="F5" s="60" t="s">
        <v>183</v>
      </c>
      <c r="G5" s="47">
        <v>70</v>
      </c>
      <c r="H5" s="135">
        <f>IF(B$17=0,0,G5/B$17)</f>
        <v>0.43209876543209874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3826.3157894736842</v>
      </c>
      <c r="P5" s="121">
        <v>38</v>
      </c>
      <c r="Q5" s="105">
        <v>145400</v>
      </c>
    </row>
    <row r="6" spans="1:17" x14ac:dyDescent="0.4">
      <c r="A6" s="55" t="s">
        <v>1</v>
      </c>
      <c r="B6" s="144">
        <f>IF(B$2=0,0,(B$7*1+B$8*2+B$9*3)/B$2)</f>
        <v>1.489795918367347</v>
      </c>
      <c r="C6" s="145"/>
      <c r="E6" s="63" t="s">
        <v>68</v>
      </c>
      <c r="F6" s="60" t="s">
        <v>24</v>
      </c>
      <c r="G6" s="47">
        <v>54</v>
      </c>
      <c r="H6" s="135">
        <f>IF(B$17=0,0,G6/B$17)</f>
        <v>0.33333333333333331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0"/>
        <v>2145.7142857142858</v>
      </c>
      <c r="P6" s="121">
        <v>35</v>
      </c>
      <c r="Q6" s="105">
        <v>75100</v>
      </c>
    </row>
    <row r="7" spans="1:17" x14ac:dyDescent="0.4">
      <c r="A7" s="55" t="s">
        <v>2</v>
      </c>
      <c r="B7" s="47">
        <v>31</v>
      </c>
      <c r="C7" s="39">
        <f>IF(B$2=0,0,B7/B$2)</f>
        <v>0.63265306122448983</v>
      </c>
      <c r="E7" s="63" t="s">
        <v>69</v>
      </c>
      <c r="F7" s="60" t="s">
        <v>12</v>
      </c>
      <c r="G7" s="47">
        <v>36</v>
      </c>
      <c r="H7" s="135">
        <f>IF(B$17=0,0,G7/B$17)</f>
        <v>0.22222222222222221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515.15151515151513</v>
      </c>
      <c r="P7" s="122">
        <v>33</v>
      </c>
      <c r="Q7" s="106">
        <v>17000</v>
      </c>
    </row>
    <row r="8" spans="1:17" x14ac:dyDescent="0.4">
      <c r="A8" s="55" t="s">
        <v>3</v>
      </c>
      <c r="B8" s="47">
        <v>12</v>
      </c>
      <c r="C8" s="39">
        <f>IF(B$2=0,0,B8/B$2)</f>
        <v>0.24489795918367346</v>
      </c>
      <c r="E8" s="63" t="s">
        <v>90</v>
      </c>
      <c r="F8" s="60" t="s">
        <v>45</v>
      </c>
      <c r="G8" s="47">
        <v>30</v>
      </c>
      <c r="H8" s="135">
        <f>IF(B$17=0,0,G8/B$17)</f>
        <v>0.18518518518518517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0.12244897959183673</v>
      </c>
      <c r="E9" s="63" t="s">
        <v>70</v>
      </c>
      <c r="F9" s="60" t="s">
        <v>25</v>
      </c>
      <c r="G9" s="47">
        <v>29</v>
      </c>
      <c r="H9" s="135">
        <f>IF(B$17=0,0,G9/B$17)</f>
        <v>0.17901234567901234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2.0408163265306121E-2</v>
      </c>
      <c r="E10" s="63" t="s">
        <v>66</v>
      </c>
      <c r="F10" s="60" t="s">
        <v>22</v>
      </c>
      <c r="G10" s="47">
        <v>23</v>
      </c>
      <c r="H10" s="135">
        <f>IF(B$17=0,0,G10/B$17)</f>
        <v>0.1419753086419753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17.606666666666666</v>
      </c>
      <c r="P10" s="120">
        <v>15</v>
      </c>
      <c r="Q10" s="108">
        <v>264.09999999999997</v>
      </c>
    </row>
    <row r="11" spans="1:17" x14ac:dyDescent="0.4">
      <c r="A11" s="56" t="s">
        <v>140</v>
      </c>
      <c r="B11" s="48">
        <v>11</v>
      </c>
      <c r="C11" s="40">
        <f>IF(B$2=0,0,B11/B$2)</f>
        <v>0.22448979591836735</v>
      </c>
      <c r="E11" s="63" t="s">
        <v>87</v>
      </c>
      <c r="F11" s="60" t="s">
        <v>42</v>
      </c>
      <c r="G11" s="47">
        <v>15</v>
      </c>
      <c r="H11" s="135">
        <f>IF(B$17=0,0,G11/B$17)</f>
        <v>9.2592592592592587E-2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19.166666666666668</v>
      </c>
      <c r="P11" s="121">
        <v>15</v>
      </c>
      <c r="Q11" s="109">
        <v>287.5</v>
      </c>
    </row>
    <row r="12" spans="1:17" x14ac:dyDescent="0.4">
      <c r="A12" s="57" t="s">
        <v>160</v>
      </c>
      <c r="B12" s="49">
        <v>10</v>
      </c>
      <c r="C12" s="42">
        <f>IF(B$2=0,0,B12/B$2)</f>
        <v>0.20408163265306123</v>
      </c>
      <c r="E12" s="63" t="s">
        <v>71</v>
      </c>
      <c r="F12" s="60" t="s">
        <v>26</v>
      </c>
      <c r="G12" s="47">
        <v>13</v>
      </c>
      <c r="H12" s="135">
        <f>IF(B$17=0,0,G12/B$17)</f>
        <v>8.0246913580246909E-2</v>
      </c>
      <c r="I12" s="96">
        <v>7</v>
      </c>
      <c r="K12" s="38">
        <v>10</v>
      </c>
      <c r="L12" s="101">
        <v>246.20000000000005</v>
      </c>
      <c r="N12" s="118" t="s">
        <v>167</v>
      </c>
      <c r="O12" s="128">
        <f>IF(P12=0,0,Q12/P12)</f>
        <v>38.857894736842105</v>
      </c>
      <c r="P12" s="122">
        <v>19</v>
      </c>
      <c r="Q12" s="110">
        <v>738.30000000000007</v>
      </c>
    </row>
    <row r="13" spans="1:17" x14ac:dyDescent="0.4">
      <c r="A13" s="58" t="s">
        <v>122</v>
      </c>
      <c r="B13" s="50">
        <v>128</v>
      </c>
      <c r="C13" s="44">
        <f>IF(B$3=0,0,B13/B$3)</f>
        <v>0.33420365535248042</v>
      </c>
      <c r="E13" s="63" t="s">
        <v>72</v>
      </c>
      <c r="F13" s="60" t="s">
        <v>27</v>
      </c>
      <c r="G13" s="47">
        <v>10</v>
      </c>
      <c r="H13" s="135">
        <f>IF(B$17=0,0,G13/B$17)</f>
        <v>6.1728395061728392E-2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98</v>
      </c>
      <c r="C14" s="39">
        <f>IF(B$3=0,0,B14/B$3)</f>
        <v>0.25587467362924282</v>
      </c>
      <c r="E14" s="63" t="s">
        <v>84</v>
      </c>
      <c r="F14" s="60" t="s">
        <v>39</v>
      </c>
      <c r="G14" s="47">
        <v>9</v>
      </c>
      <c r="H14" s="135">
        <f>IF(B$17=0,0,G14/B$17)</f>
        <v>5.5555555555555552E-2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84</v>
      </c>
      <c r="C15" s="37">
        <f>IF(B$13=0,0,B15/B$13)</f>
        <v>0.65625</v>
      </c>
      <c r="E15" s="63" t="s">
        <v>82</v>
      </c>
      <c r="F15" s="60" t="s">
        <v>37</v>
      </c>
      <c r="G15" s="47">
        <v>4</v>
      </c>
      <c r="H15" s="135">
        <f>IF(B$17=0,0,G15/B$17)</f>
        <v>2.4691358024691357E-2</v>
      </c>
      <c r="I15" s="96">
        <v>5</v>
      </c>
      <c r="K15" s="38">
        <v>13</v>
      </c>
      <c r="L15" s="101">
        <v>418.90000000000003</v>
      </c>
      <c r="N15" s="116" t="s">
        <v>174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125</v>
      </c>
      <c r="B16" s="46">
        <v>53</v>
      </c>
      <c r="C16" s="37">
        <f>IF(B$14=0,0,B16/B$14)</f>
        <v>0.54081632653061229</v>
      </c>
      <c r="E16" s="63" t="s">
        <v>79</v>
      </c>
      <c r="F16" s="60" t="s">
        <v>34</v>
      </c>
      <c r="G16" s="47">
        <v>3</v>
      </c>
      <c r="H16" s="135">
        <f>IF(B$17=0,0,G16/B$17)</f>
        <v>1.8518518518518517E-2</v>
      </c>
      <c r="I16" s="96">
        <v>4</v>
      </c>
      <c r="K16" s="38">
        <v>14</v>
      </c>
      <c r="L16" s="101">
        <v>473.50000000000006</v>
      </c>
      <c r="N16" s="117" t="s">
        <v>186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162</v>
      </c>
      <c r="C17" s="37">
        <f>IF(B$3=0,0,B17/B$3)</f>
        <v>0.42297650130548303</v>
      </c>
      <c r="E17" s="63" t="s">
        <v>74</v>
      </c>
      <c r="F17" s="60" t="s">
        <v>29</v>
      </c>
      <c r="G17" s="47">
        <v>2</v>
      </c>
      <c r="H17" s="135">
        <f>IF(B$17=0,0,G17/B$17)</f>
        <v>1.2345679012345678E-2</v>
      </c>
      <c r="I17" s="96">
        <v>1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64</v>
      </c>
      <c r="C18" s="39">
        <f>IF(B$17=0,0,B18/B$17)</f>
        <v>0.39506172839506171</v>
      </c>
      <c r="E18" s="63" t="s">
        <v>92</v>
      </c>
      <c r="F18" s="60" t="s">
        <v>47</v>
      </c>
      <c r="G18" s="47">
        <v>2</v>
      </c>
      <c r="H18" s="135">
        <f>IF(B$17=0,0,G18/B$17)</f>
        <v>1.2345679012345678E-2</v>
      </c>
      <c r="I18" s="96">
        <v>5</v>
      </c>
      <c r="K18" s="38">
        <v>16</v>
      </c>
      <c r="L18" s="101">
        <v>425.50000000000006</v>
      </c>
      <c r="N18" s="117" t="s">
        <v>129</v>
      </c>
      <c r="O18" s="127">
        <f>IF(P18=0,0,Q18/P18)</f>
        <v>54.900000000000006</v>
      </c>
      <c r="P18" s="121">
        <v>13</v>
      </c>
      <c r="Q18" s="109">
        <v>713.7</v>
      </c>
    </row>
    <row r="19" spans="1:17" x14ac:dyDescent="0.4">
      <c r="A19" s="55" t="s">
        <v>11</v>
      </c>
      <c r="B19" s="47">
        <v>98</v>
      </c>
      <c r="C19" s="39">
        <f>IF(B$17=0,0,B19/B$17)</f>
        <v>0.60493827160493829</v>
      </c>
      <c r="E19" s="63" t="s">
        <v>76</v>
      </c>
      <c r="F19" s="60" t="s">
        <v>31</v>
      </c>
      <c r="G19" s="47">
        <v>1</v>
      </c>
      <c r="H19" s="135">
        <f>IF(B$17=0,0,G19/B$17)</f>
        <v>6.1728395061728392E-3</v>
      </c>
      <c r="I19" s="96">
        <v>5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55</v>
      </c>
      <c r="C20" s="39">
        <f>IF(B$3=0,0,B20/B$3)</f>
        <v>0.14360313315926893</v>
      </c>
      <c r="E20" s="63" t="s">
        <v>78</v>
      </c>
      <c r="F20" s="60" t="s">
        <v>33</v>
      </c>
      <c r="G20" s="47">
        <v>1</v>
      </c>
      <c r="H20" s="135">
        <f>IF(B$17=0,0,G20/B$17)</f>
        <v>6.1728395061728392E-3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80</v>
      </c>
      <c r="F21" s="60" t="s">
        <v>35</v>
      </c>
      <c r="G21" s="47">
        <v>1</v>
      </c>
      <c r="H21" s="135">
        <f>IF(B$17=0,0,G21/B$17)</f>
        <v>6.1728395061728392E-3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9</v>
      </c>
      <c r="E22" s="63" t="s">
        <v>88</v>
      </c>
      <c r="F22" s="60" t="s">
        <v>43</v>
      </c>
      <c r="G22" s="47">
        <v>1</v>
      </c>
      <c r="H22" s="135">
        <f>IF(B$17=0,0,G22/B$17)</f>
        <v>6.1728395061728392E-3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>IF(P22=0,0,Q22/P22)</f>
        <v>26.352777777777778</v>
      </c>
      <c r="P22" s="121">
        <v>36</v>
      </c>
      <c r="Q22" s="109">
        <v>948.7</v>
      </c>
    </row>
    <row r="23" spans="1:17" x14ac:dyDescent="0.4">
      <c r="A23" s="55" t="s">
        <v>5</v>
      </c>
      <c r="B23" s="51">
        <f>IF(B$17=0,0,C23/B$17)</f>
        <v>9259.2592592592591</v>
      </c>
      <c r="C23" s="41">
        <v>1500000</v>
      </c>
      <c r="E23" s="63" t="s">
        <v>91</v>
      </c>
      <c r="F23" s="60" t="s">
        <v>46</v>
      </c>
      <c r="G23" s="47">
        <v>1</v>
      </c>
      <c r="H23" s="135">
        <f>IF(B$17=0,0,G23/B$17)</f>
        <v>6.1728395061728392E-3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-8087.272727272727</v>
      </c>
      <c r="C24" s="45">
        <v>-444800</v>
      </c>
      <c r="E24" s="63" t="s">
        <v>96</v>
      </c>
      <c r="F24" s="60" t="s">
        <v>51</v>
      </c>
      <c r="G24" s="47">
        <v>1</v>
      </c>
      <c r="H24" s="135">
        <f>IF(B$17=0,0,G24/B$17)</f>
        <v>6.1728395061728392E-3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75</v>
      </c>
      <c r="F25" s="60" t="s">
        <v>30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77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38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40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596.30000000000007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89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93</v>
      </c>
      <c r="F32" s="60" t="s">
        <v>48</v>
      </c>
      <c r="G32" s="47">
        <v>0</v>
      </c>
      <c r="H32" s="135">
        <f>IF(B$17=0,0,G32/B$17)</f>
        <v>0</v>
      </c>
      <c r="I32" s="96">
        <v>4</v>
      </c>
      <c r="K32" s="38">
        <v>30</v>
      </c>
      <c r="L32" s="101">
        <v>733.6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796.80000000000007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  <c r="K51" s="38">
        <v>49</v>
      </c>
      <c r="L51" s="101">
        <v>1289.8999999999999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DD14-159D-4074-839E-388587269B0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50</v>
      </c>
      <c r="C2" s="149"/>
      <c r="E2" s="62" t="s">
        <v>67</v>
      </c>
      <c r="F2" s="59" t="s">
        <v>23</v>
      </c>
      <c r="G2" s="46">
        <v>78</v>
      </c>
      <c r="H2" s="134">
        <f>IF(B$17=0,0,G2/B$17)</f>
        <v>0.65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754</v>
      </c>
      <c r="P2" s="120">
        <v>50</v>
      </c>
      <c r="Q2" s="104">
        <v>37700</v>
      </c>
    </row>
    <row r="3" spans="1:17" x14ac:dyDescent="0.4">
      <c r="A3" s="55" t="s">
        <v>8</v>
      </c>
      <c r="B3" s="150">
        <v>418</v>
      </c>
      <c r="C3" s="151"/>
      <c r="E3" s="63" t="s">
        <v>65</v>
      </c>
      <c r="F3" s="60" t="s">
        <v>21</v>
      </c>
      <c r="G3" s="47">
        <v>71</v>
      </c>
      <c r="H3" s="135">
        <f>IF(B$17=0,0,G3/B$17)</f>
        <v>0.59166666666666667</v>
      </c>
      <c r="I3" s="96">
        <v>2</v>
      </c>
      <c r="K3" s="38">
        <v>1</v>
      </c>
      <c r="L3" s="101">
        <v>45.5</v>
      </c>
      <c r="N3" s="117" t="s">
        <v>133</v>
      </c>
      <c r="O3" s="124">
        <f t="shared" si="0"/>
        <v>-579.59183673469386</v>
      </c>
      <c r="P3" s="121">
        <v>49</v>
      </c>
      <c r="Q3" s="105">
        <v>-28400</v>
      </c>
    </row>
    <row r="4" spans="1:17" x14ac:dyDescent="0.4">
      <c r="A4" s="55" t="s">
        <v>6</v>
      </c>
      <c r="B4" s="152">
        <v>-0.70000000000004015</v>
      </c>
      <c r="C4" s="153"/>
      <c r="E4" s="63" t="s">
        <v>73</v>
      </c>
      <c r="F4" s="60" t="s">
        <v>28</v>
      </c>
      <c r="G4" s="47">
        <v>50</v>
      </c>
      <c r="H4" s="135">
        <f>IF(B$17=0,0,G4/B$17)</f>
        <v>0.41666666666666669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-1148.936170212766</v>
      </c>
      <c r="P4" s="121">
        <v>47</v>
      </c>
      <c r="Q4" s="105">
        <v>-54000</v>
      </c>
    </row>
    <row r="5" spans="1:17" x14ac:dyDescent="0.4">
      <c r="A5" s="55" t="s">
        <v>7</v>
      </c>
      <c r="B5" s="154">
        <f>IF(B$2=0,0,B$4/B$2)</f>
        <v>-1.4000000000000803E-2</v>
      </c>
      <c r="C5" s="155"/>
      <c r="E5" s="63" t="s">
        <v>182</v>
      </c>
      <c r="F5" s="60" t="s">
        <v>183</v>
      </c>
      <c r="G5" s="47">
        <v>49</v>
      </c>
      <c r="H5" s="135">
        <f>IF(B$17=0,0,G5/B$17)</f>
        <v>0.40833333333333333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126.82926829268293</v>
      </c>
      <c r="P5" s="121">
        <v>41</v>
      </c>
      <c r="Q5" s="105">
        <v>5200</v>
      </c>
    </row>
    <row r="6" spans="1:17" x14ac:dyDescent="0.4">
      <c r="A6" s="55" t="s">
        <v>1</v>
      </c>
      <c r="B6" s="144">
        <f>IF(B$2=0,0,(B$7*1+B$8*2+B$9*3)/B$2)</f>
        <v>2.02</v>
      </c>
      <c r="C6" s="145"/>
      <c r="E6" s="63" t="s">
        <v>68</v>
      </c>
      <c r="F6" s="60" t="s">
        <v>24</v>
      </c>
      <c r="G6" s="47">
        <v>44</v>
      </c>
      <c r="H6" s="135">
        <f>IF(B$17=0,0,G6/B$17)</f>
        <v>0.36666666666666664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0"/>
        <v>825.64102564102564</v>
      </c>
      <c r="P6" s="121">
        <v>39</v>
      </c>
      <c r="Q6" s="105">
        <v>32200</v>
      </c>
    </row>
    <row r="7" spans="1:17" x14ac:dyDescent="0.4">
      <c r="A7" s="55" t="s">
        <v>2</v>
      </c>
      <c r="B7" s="47">
        <v>14</v>
      </c>
      <c r="C7" s="39">
        <f>IF(B$2=0,0,B7/B$2)</f>
        <v>0.28000000000000003</v>
      </c>
      <c r="E7" s="63" t="s">
        <v>69</v>
      </c>
      <c r="F7" s="60" t="s">
        <v>12</v>
      </c>
      <c r="G7" s="47">
        <v>43</v>
      </c>
      <c r="H7" s="135">
        <f>IF(B$17=0,0,G7/B$17)</f>
        <v>0.35833333333333334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718.91891891891896</v>
      </c>
      <c r="P7" s="122">
        <v>37</v>
      </c>
      <c r="Q7" s="106">
        <v>26600</v>
      </c>
    </row>
    <row r="8" spans="1:17" x14ac:dyDescent="0.4">
      <c r="A8" s="55" t="s">
        <v>3</v>
      </c>
      <c r="B8" s="47">
        <v>21</v>
      </c>
      <c r="C8" s="39">
        <f>IF(B$2=0,0,B8/B$2)</f>
        <v>0.42</v>
      </c>
      <c r="E8" s="63" t="s">
        <v>70</v>
      </c>
      <c r="F8" s="60" t="s">
        <v>25</v>
      </c>
      <c r="G8" s="47">
        <v>26</v>
      </c>
      <c r="H8" s="135">
        <f>IF(B$17=0,0,G8/B$17)</f>
        <v>0.21666666666666667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15</v>
      </c>
      <c r="C9" s="40">
        <f t="shared" ref="C9" si="1">IF(B$2=0,0,B9/B$2)</f>
        <v>0.3</v>
      </c>
      <c r="E9" s="63" t="s">
        <v>71</v>
      </c>
      <c r="F9" s="60" t="s">
        <v>26</v>
      </c>
      <c r="G9" s="47">
        <v>19</v>
      </c>
      <c r="H9" s="135">
        <f>IF(B$17=0,0,G9/B$17)</f>
        <v>0.15833333333333333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0.14000000000000001</v>
      </c>
      <c r="E10" s="63" t="s">
        <v>66</v>
      </c>
      <c r="F10" s="60" t="s">
        <v>22</v>
      </c>
      <c r="G10" s="47">
        <v>16</v>
      </c>
      <c r="H10" s="135">
        <f>IF(B$17=0,0,G10/B$17)</f>
        <v>0.13333333333333333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0.69999999999999818</v>
      </c>
      <c r="P10" s="120">
        <v>26</v>
      </c>
      <c r="Q10" s="108">
        <v>18.199999999999953</v>
      </c>
    </row>
    <row r="11" spans="1:17" x14ac:dyDescent="0.4">
      <c r="A11" s="56" t="s">
        <v>140</v>
      </c>
      <c r="B11" s="48">
        <v>4</v>
      </c>
      <c r="C11" s="40">
        <f>IF(B$2=0,0,B11/B$2)</f>
        <v>0.08</v>
      </c>
      <c r="E11" s="63" t="s">
        <v>90</v>
      </c>
      <c r="F11" s="60" t="s">
        <v>45</v>
      </c>
      <c r="G11" s="47">
        <v>10</v>
      </c>
      <c r="H11" s="135">
        <f>IF(B$17=0,0,G11/B$17)</f>
        <v>8.3333333333333329E-2</v>
      </c>
      <c r="I11" s="96">
        <v>10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0.08</v>
      </c>
      <c r="E12" s="63" t="s">
        <v>87</v>
      </c>
      <c r="F12" s="60" t="s">
        <v>42</v>
      </c>
      <c r="G12" s="47">
        <v>8</v>
      </c>
      <c r="H12" s="135">
        <f>IF(B$17=0,0,G12/B$17)</f>
        <v>6.6666666666666666E-2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122</v>
      </c>
      <c r="B13" s="50">
        <v>119</v>
      </c>
      <c r="C13" s="44">
        <f>IF(B$3=0,0,B13/B$3)</f>
        <v>0.28468899521531099</v>
      </c>
      <c r="E13" s="63" t="s">
        <v>82</v>
      </c>
      <c r="F13" s="60" t="s">
        <v>37</v>
      </c>
      <c r="G13" s="47">
        <v>5</v>
      </c>
      <c r="H13" s="135">
        <f>IF(B$17=0,0,G13/B$17)</f>
        <v>4.1666666666666664E-2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72</v>
      </c>
      <c r="C14" s="39">
        <f>IF(B$3=0,0,B14/B$3)</f>
        <v>0.17224880382775121</v>
      </c>
      <c r="E14" s="63" t="s">
        <v>92</v>
      </c>
      <c r="F14" s="60" t="s">
        <v>47</v>
      </c>
      <c r="G14" s="47">
        <v>5</v>
      </c>
      <c r="H14" s="135">
        <f>IF(B$17=0,0,G14/B$17)</f>
        <v>4.1666666666666664E-2</v>
      </c>
      <c r="I14" s="96">
        <v>2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76</v>
      </c>
      <c r="C15" s="37">
        <f>IF(B$13=0,0,B15/B$13)</f>
        <v>0.6386554621848739</v>
      </c>
      <c r="E15" s="63" t="s">
        <v>72</v>
      </c>
      <c r="F15" s="60" t="s">
        <v>27</v>
      </c>
      <c r="G15" s="47">
        <v>4</v>
      </c>
      <c r="H15" s="135">
        <f>IF(B$17=0,0,G15/B$17)</f>
        <v>3.3333333333333333E-2</v>
      </c>
      <c r="I15" s="96">
        <v>8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17</v>
      </c>
      <c r="C16" s="37">
        <f>IF(B$14=0,0,B16/B$14)</f>
        <v>0.2361111111111111</v>
      </c>
      <c r="E16" s="63" t="s">
        <v>181</v>
      </c>
      <c r="F16" s="60" t="s">
        <v>184</v>
      </c>
      <c r="G16" s="47">
        <v>3</v>
      </c>
      <c r="H16" s="135">
        <f>IF(B$17=0,0,G16/B$17)</f>
        <v>2.5000000000000001E-2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0.28708133971291866</v>
      </c>
      <c r="E17" s="63" t="s">
        <v>75</v>
      </c>
      <c r="F17" s="60" t="s">
        <v>30</v>
      </c>
      <c r="G17" s="47">
        <v>2</v>
      </c>
      <c r="H17" s="135">
        <f>IF(B$17=0,0,G17/B$17)</f>
        <v>1.6666666666666666E-2</v>
      </c>
      <c r="I17" s="96">
        <v>1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47</v>
      </c>
      <c r="C18" s="39">
        <f>IF(B$17=0,0,B18/B$17)</f>
        <v>0.39166666666666666</v>
      </c>
      <c r="E18" s="63" t="s">
        <v>80</v>
      </c>
      <c r="F18" s="60" t="s">
        <v>35</v>
      </c>
      <c r="G18" s="47">
        <v>2</v>
      </c>
      <c r="H18" s="135">
        <f>IF(B$17=0,0,G18/B$17)</f>
        <v>1.6666666666666666E-2</v>
      </c>
      <c r="I18" s="96">
        <v>3</v>
      </c>
      <c r="K18" s="38">
        <v>16</v>
      </c>
      <c r="L18" s="101">
        <v>41.699999999999989</v>
      </c>
      <c r="N18" s="117" t="s">
        <v>174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73</v>
      </c>
      <c r="C19" s="39">
        <f>IF(B$17=0,0,B19/B$17)</f>
        <v>0.60833333333333328</v>
      </c>
      <c r="E19" s="63" t="s">
        <v>84</v>
      </c>
      <c r="F19" s="60" t="s">
        <v>39</v>
      </c>
      <c r="G19" s="47">
        <v>2</v>
      </c>
      <c r="H19" s="135">
        <f>IF(B$17=0,0,G19/B$17)</f>
        <v>1.6666666666666666E-2</v>
      </c>
      <c r="I19" s="96">
        <v>9</v>
      </c>
      <c r="K19" s="38">
        <v>17</v>
      </c>
      <c r="L19" s="101">
        <v>94.6</v>
      </c>
      <c r="N19" s="117" t="s">
        <v>178</v>
      </c>
      <c r="O19" s="127">
        <f>IF(P19=0,0,Q19/P19)</f>
        <v>-0.75</v>
      </c>
      <c r="P19" s="121">
        <v>10</v>
      </c>
      <c r="Q19" s="109">
        <v>-7.5</v>
      </c>
    </row>
    <row r="20" spans="1:17" x14ac:dyDescent="0.4">
      <c r="A20" s="55" t="s">
        <v>13</v>
      </c>
      <c r="B20" s="47">
        <v>71</v>
      </c>
      <c r="C20" s="39">
        <f>IF(B$3=0,0,B20/B$3)</f>
        <v>0.16985645933014354</v>
      </c>
      <c r="E20" s="63" t="s">
        <v>74</v>
      </c>
      <c r="F20" s="60" t="s">
        <v>29</v>
      </c>
      <c r="G20" s="47">
        <v>1</v>
      </c>
      <c r="H20" s="135">
        <f>IF(B$17=0,0,G20/B$17)</f>
        <v>8.3333333333333332E-3</v>
      </c>
      <c r="I20" s="96">
        <v>2</v>
      </c>
      <c r="K20" s="38">
        <v>18</v>
      </c>
      <c r="L20" s="101">
        <v>116.69999999999999</v>
      </c>
      <c r="N20" s="117" t="s">
        <v>173</v>
      </c>
      <c r="O20" s="127">
        <f>IF(P20=0,0,Q20/P20)</f>
        <v>-4.6749999999999998</v>
      </c>
      <c r="P20" s="121">
        <v>12</v>
      </c>
      <c r="Q20" s="109">
        <v>-56.099999999999994</v>
      </c>
    </row>
    <row r="21" spans="1:17" x14ac:dyDescent="0.4">
      <c r="A21" s="55" t="s">
        <v>194</v>
      </c>
      <c r="B21" s="47">
        <v>5</v>
      </c>
      <c r="C21" s="137">
        <v>1</v>
      </c>
      <c r="E21" s="63" t="s">
        <v>76</v>
      </c>
      <c r="F21" s="60" t="s">
        <v>31</v>
      </c>
      <c r="G21" s="47">
        <v>1</v>
      </c>
      <c r="H21" s="135">
        <f>IF(B$17=0,0,G21/B$17)</f>
        <v>8.3333333333333332E-3</v>
      </c>
      <c r="I21" s="96">
        <v>4</v>
      </c>
      <c r="K21" s="38">
        <v>19</v>
      </c>
      <c r="L21" s="101">
        <v>138.79999999999998</v>
      </c>
      <c r="N21" s="117" t="s">
        <v>127</v>
      </c>
      <c r="O21" s="127">
        <f>IF(P21=0,0,Q21/P21)</f>
        <v>-26.352777777777778</v>
      </c>
      <c r="P21" s="121">
        <v>36</v>
      </c>
      <c r="Q21" s="109">
        <v>-948.7</v>
      </c>
    </row>
    <row r="22" spans="1:17" x14ac:dyDescent="0.4">
      <c r="A22" s="55" t="s">
        <v>195</v>
      </c>
      <c r="B22" s="47">
        <v>24</v>
      </c>
      <c r="C22" s="137">
        <v>2</v>
      </c>
      <c r="E22" s="63" t="s">
        <v>78</v>
      </c>
      <c r="F22" s="60" t="s">
        <v>33</v>
      </c>
      <c r="G22" s="47">
        <v>1</v>
      </c>
      <c r="H22" s="135">
        <f>IF(B$17=0,0,G22/B$17)</f>
        <v>8.3333333333333332E-3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9155</v>
      </c>
      <c r="C23" s="41">
        <v>1098600</v>
      </c>
      <c r="E23" s="63" t="s">
        <v>79</v>
      </c>
      <c r="F23" s="60" t="s">
        <v>34</v>
      </c>
      <c r="G23" s="47">
        <v>1</v>
      </c>
      <c r="H23" s="135">
        <f>IF(B$17=0,0,G23/B$17)</f>
        <v>8.3333333333333332E-3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-7530.9859154929582</v>
      </c>
      <c r="C24" s="45">
        <v>-534700</v>
      </c>
      <c r="E24" s="63" t="s">
        <v>85</v>
      </c>
      <c r="F24" s="60" t="s">
        <v>40</v>
      </c>
      <c r="G24" s="47">
        <v>1</v>
      </c>
      <c r="H24" s="135">
        <f>IF(B$17=0,0,G24/B$17)</f>
        <v>8.3333333333333332E-3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8.3333333333333332E-3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88600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8.3333333333333332E-3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9.5693779904306216E-3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8EA-9993-4250-A637-6F17BAA75CF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>IF(B$17=0,0,G3/B$17)</f>
        <v>0.5714285714285714</v>
      </c>
      <c r="I3" s="96">
        <v>3</v>
      </c>
      <c r="K3" s="38">
        <v>1</v>
      </c>
      <c r="L3" s="101">
        <v>-40.4</v>
      </c>
      <c r="N3" s="117" t="s">
        <v>133</v>
      </c>
      <c r="O3" s="124">
        <f t="shared" si="0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>IF(B$17=0,0,G4/B$17)</f>
        <v>0.37142857142857144</v>
      </c>
      <c r="I4" s="96">
        <v>3</v>
      </c>
      <c r="K4" s="38">
        <v>2</v>
      </c>
      <c r="L4" s="101">
        <v>-3.3999999999999986</v>
      </c>
      <c r="N4" s="117" t="s">
        <v>134</v>
      </c>
      <c r="O4" s="124">
        <f t="shared" si="0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>IF(B$17=0,0,G5/B$17)</f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0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>IF(B$17=0,0,G6/B$17)</f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0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>IF(B$17=0,0,G7/B$17)</f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>IF(B$17=0,0,G8/B$17)</f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0.63636363636363635</v>
      </c>
      <c r="E9" s="63" t="s">
        <v>70</v>
      </c>
      <c r="F9" s="60" t="s">
        <v>25</v>
      </c>
      <c r="G9" s="47">
        <v>7</v>
      </c>
      <c r="H9" s="135">
        <f>IF(B$17=0,0,G9/B$17)</f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>IF(B$17=0,0,G10/B$17)</f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0.14285714285714285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>IF(B$17=0,0,G12/B$17)</f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>IF(B$17=0,0,G13/B$17)</f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>IF(B$17=0,0,G14/B$17)</f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>IF(B$17=0,0,G15/B$17)</f>
        <v>2.8571428571428571E-2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>IF(P18=0,0,Q18/P18)</f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A9C6-E307-4894-83D9-5F965A8C62D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6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6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0BAD-35D5-4ACF-AC09-63ACD21DDA2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-363.63636363636363</v>
      </c>
      <c r="P2" s="120">
        <v>22</v>
      </c>
      <c r="Q2" s="104">
        <v>-8000</v>
      </c>
    </row>
    <row r="3" spans="1:17" x14ac:dyDescent="0.4">
      <c r="A3" s="55" t="s">
        <v>8</v>
      </c>
      <c r="B3" s="150">
        <v>182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1918.1818181818182</v>
      </c>
      <c r="P3" s="121">
        <v>22</v>
      </c>
      <c r="Q3" s="105">
        <v>42200</v>
      </c>
    </row>
    <row r="4" spans="1:17" x14ac:dyDescent="0.4">
      <c r="A4" s="55" t="s">
        <v>6</v>
      </c>
      <c r="B4" s="152">
        <v>54.7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44.444444444444443</v>
      </c>
      <c r="P4" s="121">
        <v>18</v>
      </c>
      <c r="Q4" s="105">
        <v>800</v>
      </c>
    </row>
    <row r="5" spans="1:17" x14ac:dyDescent="0.4">
      <c r="A5" s="55" t="s">
        <v>7</v>
      </c>
      <c r="B5" s="154">
        <f>IF(B$2=0,0,B$4/B$2)</f>
        <v>2.4863636363636363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9</v>
      </c>
      <c r="K5" s="38">
        <v>3</v>
      </c>
      <c r="L5" s="101">
        <v>1.7999999999999989</v>
      </c>
      <c r="N5" s="117" t="s">
        <v>135</v>
      </c>
      <c r="O5" s="124">
        <f t="shared" si="0"/>
        <v>2100</v>
      </c>
      <c r="P5" s="121">
        <v>16</v>
      </c>
      <c r="Q5" s="105">
        <v>33600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-3562.5</v>
      </c>
      <c r="P6" s="121">
        <v>16</v>
      </c>
      <c r="Q6" s="105">
        <v>-57000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0.36363636363636365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11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0.31818181818181818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-12.014285714285718</v>
      </c>
      <c r="P10" s="120">
        <v>7</v>
      </c>
      <c r="Q10" s="108">
        <v>-84.100000000000023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40</v>
      </c>
      <c r="C13" s="44">
        <f>IF(B$3=0,0,B13/B$3)</f>
        <v>0.21978021978021978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64</v>
      </c>
      <c r="C14" s="39">
        <f>IF(B$3=0,0,B14/B$3)</f>
        <v>0.35164835164835168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0.421875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0.34615384615384615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4</v>
      </c>
      <c r="K18" s="38">
        <v>16</v>
      </c>
      <c r="L18" s="101">
        <v>-87.6</v>
      </c>
      <c r="N18" s="117" t="s">
        <v>128</v>
      </c>
      <c r="O18" s="127">
        <f>IF(P18=0,0,Q18/P18)</f>
        <v>4.6749999999999963</v>
      </c>
      <c r="P18" s="121">
        <v>12</v>
      </c>
      <c r="Q18" s="109">
        <v>56.099999999999959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25</v>
      </c>
      <c r="C20" s="39">
        <f>IF(B$3=0,0,B20/B$3)</f>
        <v>0.13736263736263737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195</v>
      </c>
      <c r="B22" s="47">
        <v>23</v>
      </c>
      <c r="C22" s="137">
        <v>6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-8384</v>
      </c>
      <c r="C24" s="45">
        <v>-209600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473E-AA49-4DB3-91F4-2B648071474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17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0.81818181818181823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0">
        <v>155</v>
      </c>
      <c r="C3" s="151"/>
      <c r="E3" s="63" t="s">
        <v>73</v>
      </c>
      <c r="F3" s="60" t="s">
        <v>28</v>
      </c>
      <c r="G3" s="47">
        <v>20</v>
      </c>
      <c r="H3" s="135">
        <f>IF(B$17=0,0,G3/B$17)</f>
        <v>0.45454545454545453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2">
        <v>-248.89999999999995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0.38636363636363635</v>
      </c>
      <c r="I4" s="96">
        <v>2</v>
      </c>
      <c r="K4" s="38">
        <v>2</v>
      </c>
      <c r="L4" s="101">
        <v>-122.3</v>
      </c>
      <c r="N4" s="117" t="s">
        <v>134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4">
        <f>IF(B$2=0,0,B$4/B$2)</f>
        <v>-14.641176470588233</v>
      </c>
      <c r="C5" s="155"/>
      <c r="E5" s="63" t="s">
        <v>65</v>
      </c>
      <c r="F5" s="60" t="s">
        <v>21</v>
      </c>
      <c r="G5" s="47">
        <v>16</v>
      </c>
      <c r="H5" s="135">
        <f>IF(B$17=0,0,G5/B$17)</f>
        <v>0.36363636363636365</v>
      </c>
      <c r="I5" s="96">
        <v>11</v>
      </c>
      <c r="K5" s="38">
        <v>3</v>
      </c>
      <c r="L5" s="101">
        <v>-149</v>
      </c>
      <c r="N5" s="117" t="s">
        <v>135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4">
        <f>IF(B$2=0,0,(B$7*1+B$8*2+B$9*3)/B$2)</f>
        <v>2.2352941176470589</v>
      </c>
      <c r="C6" s="145"/>
      <c r="E6" s="63" t="s">
        <v>182</v>
      </c>
      <c r="F6" s="60" t="s">
        <v>183</v>
      </c>
      <c r="G6" s="47">
        <v>12</v>
      </c>
      <c r="H6" s="135">
        <f>IF(B$17=0,0,G6/B$17)</f>
        <v>0.27272727272727271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68</v>
      </c>
      <c r="F7" s="60" t="s">
        <v>24</v>
      </c>
      <c r="G7" s="47">
        <v>7</v>
      </c>
      <c r="H7" s="135">
        <f>IF(B$17=0,0,G7/B$17)</f>
        <v>0.15909090909090909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90</v>
      </c>
      <c r="F8" s="60" t="s">
        <v>45</v>
      </c>
      <c r="G8" s="47">
        <v>7</v>
      </c>
      <c r="H8" s="135">
        <f>IF(B$17=0,0,G8/B$17)</f>
        <v>0.15909090909090909</v>
      </c>
      <c r="I8" s="96">
        <v>5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71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70</v>
      </c>
      <c r="F10" s="60" t="s">
        <v>25</v>
      </c>
      <c r="G10" s="47">
        <v>5</v>
      </c>
      <c r="H10" s="135">
        <f>IF(B$17=0,0,G10/B$17)</f>
        <v>0.11363636363636363</v>
      </c>
      <c r="I10" s="96">
        <v>10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3</v>
      </c>
      <c r="H11" s="135">
        <f>IF(B$17=0,0,G11/B$17)</f>
        <v>6.8181818181818177E-2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160</v>
      </c>
      <c r="B12" s="49">
        <v>1</v>
      </c>
      <c r="C12" s="42">
        <f>IF(B$2=0,0,B12/B$2)</f>
        <v>5.8823529411764705E-2</v>
      </c>
      <c r="E12" s="63" t="s">
        <v>84</v>
      </c>
      <c r="F12" s="60" t="s">
        <v>39</v>
      </c>
      <c r="G12" s="47">
        <v>2</v>
      </c>
      <c r="H12" s="135">
        <f>IF(B$17=0,0,G12/B$17)</f>
        <v>4.5454545454545456E-2</v>
      </c>
      <c r="I12" s="96">
        <v>4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29</v>
      </c>
      <c r="C13" s="44">
        <f>IF(B$3=0,0,B13/B$3)</f>
        <v>0.18709677419354839</v>
      </c>
      <c r="E13" s="63" t="s">
        <v>87</v>
      </c>
      <c r="F13" s="60" t="s">
        <v>42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35</v>
      </c>
      <c r="C14" s="39">
        <f>IF(B$3=0,0,B14/B$3)</f>
        <v>0.22580645161290322</v>
      </c>
      <c r="E14" s="63" t="s">
        <v>66</v>
      </c>
      <c r="F14" s="60" t="s">
        <v>22</v>
      </c>
      <c r="G14" s="47">
        <v>1</v>
      </c>
      <c r="H14" s="135">
        <f>IF(B$17=0,0,G14/B$17)</f>
        <v>2.2727272727272728E-2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0.55172413793103448</v>
      </c>
      <c r="E15" s="63" t="s">
        <v>80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11</v>
      </c>
      <c r="C16" s="37">
        <f>IF(B$14=0,0,B16/B$14)</f>
        <v>0.31428571428571428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128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127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195</v>
      </c>
      <c r="B22" s="47">
        <v>11</v>
      </c>
      <c r="C22" s="137">
        <v>1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142</v>
      </c>
      <c r="B25" s="142">
        <v>6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58900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8BCE-B841-4AA3-9BE3-9B2F1BC2BE06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7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5DBA-3880-482B-ADFF-FCEEC9E132B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0DAF-3F57-4B0A-B55A-B068C844A9E6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51431-25E5-46B3-BC0B-D2ED73BE30AC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6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FC12-2087-48C3-8952-BB6D13BE6EC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CCFC-BB77-4114-8D06-D3C2F87643C2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EA2-6BE8-4D15-9CA5-D3144222151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42A8-1CD1-4531-A58A-3F37AC2E2237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5B5C-2691-4F83-AD32-CE56B4C7AB60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9DA5-ED08-4FBB-875B-8E50A4481820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3D3F-2AE6-4FC5-8E88-6003B35F4FA9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2951-9791-482E-B732-24BA5485412E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ACF4-7A52-4AAB-9576-D86E8F14778F}">
  <sheetPr codeName="Sheet10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D6F3-98EF-454B-B407-4100461C799C}">
  <sheetPr codeName="Sheet8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B1AF-CC24-4EEF-B56E-310AFEC8EB0E}">
  <sheetPr codeName="Sheet6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2019-04-19T01:12:40Z</dcterms:modified>
</cp:coreProperties>
</file>