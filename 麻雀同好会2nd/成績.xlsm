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9298848B-FC31-4F19-A6FD-B6B4BA074B2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33" r:id="rId6"/>
    <sheet name="だいち" sheetId="5535" r:id="rId7"/>
    <sheet name="りくと" sheetId="5537" r:id="rId8"/>
    <sheet name="ただ" sheetId="5539" r:id="rId9"/>
    <sheet name="れんたろう" sheetId="5541" r:id="rId10"/>
    <sheet name="たかの" sheetId="5543" r:id="rId11"/>
    <sheet name="ぱぱ" sheetId="5545" r:id="rId12"/>
    <sheet name="まっつん" sheetId="5547" r:id="rId13"/>
    <sheet name="あさひ" sheetId="5549" r:id="rId14"/>
    <sheet name="いっしー" sheetId="5551" r:id="rId15"/>
    <sheet name="ほたに" sheetId="5553" r:id="rId16"/>
    <sheet name="かわたつ" sheetId="5555" r:id="rId17"/>
    <sheet name="やがさき" sheetId="5557" r:id="rId18"/>
    <sheet name="のり" sheetId="5559" r:id="rId19"/>
    <sheet name="のり2" sheetId="5560" state="hidden" r:id="rId20"/>
    <sheet name="やがさき2" sheetId="5558" state="hidden" r:id="rId21"/>
    <sheet name="かわたつ2" sheetId="5556" state="hidden" r:id="rId22"/>
    <sheet name="ほたに2" sheetId="5554" state="hidden" r:id="rId23"/>
    <sheet name="いっしー2" sheetId="5552" state="hidden" r:id="rId24"/>
    <sheet name="あさひ2" sheetId="5550" state="hidden" r:id="rId25"/>
    <sheet name="まっつん2" sheetId="5548" state="hidden" r:id="rId26"/>
    <sheet name="ぱぱ2" sheetId="5546" state="hidden" r:id="rId27"/>
    <sheet name="たかの2" sheetId="5544" state="hidden" r:id="rId28"/>
    <sheet name="れんたろう2" sheetId="5542" state="hidden" r:id="rId29"/>
    <sheet name="ただ2" sheetId="5540" state="hidden" r:id="rId30"/>
    <sheet name="りくと2" sheetId="5538" state="hidden" r:id="rId31"/>
    <sheet name="だいち2" sheetId="5536" state="hidden" r:id="rId32"/>
    <sheet name="全体2" sheetId="553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45" l="1"/>
  <c r="O18" i="5559"/>
  <c r="O16" i="5553"/>
  <c r="O15" i="5559"/>
  <c r="O15" i="5539" l="1"/>
  <c r="O15" i="5547"/>
  <c r="O15" i="5533"/>
  <c r="O17" i="5559"/>
  <c r="O16" i="5559"/>
  <c r="C27" i="5559"/>
  <c r="B24" i="5559"/>
  <c r="C20" i="5559"/>
  <c r="B17" i="5559"/>
  <c r="H50" i="5559" s="1"/>
  <c r="C16" i="5559"/>
  <c r="C15" i="5559"/>
  <c r="C14" i="5559"/>
  <c r="C13" i="5559"/>
  <c r="O12" i="5559"/>
  <c r="C12" i="5559"/>
  <c r="O11" i="5559"/>
  <c r="C11" i="5559"/>
  <c r="O10" i="5559"/>
  <c r="C10" i="5559"/>
  <c r="C9" i="5559"/>
  <c r="C8" i="5559"/>
  <c r="O7" i="5559"/>
  <c r="C7" i="5559"/>
  <c r="O6" i="5559"/>
  <c r="B6" i="5559"/>
  <c r="O5" i="5559"/>
  <c r="B5" i="5559"/>
  <c r="O4" i="5559"/>
  <c r="H4" i="5559"/>
  <c r="O3" i="5559"/>
  <c r="O2" i="5559"/>
  <c r="H25" i="5559" l="1"/>
  <c r="H2" i="5559"/>
  <c r="H8" i="5559"/>
  <c r="H10" i="5559"/>
  <c r="C18" i="5559"/>
  <c r="H32" i="5559"/>
  <c r="H9" i="5559"/>
  <c r="H16" i="5559"/>
  <c r="H39" i="5559"/>
  <c r="H22" i="5559"/>
  <c r="H40" i="5559"/>
  <c r="H5" i="5559"/>
  <c r="H12" i="5559"/>
  <c r="H17" i="5559"/>
  <c r="B23" i="5559"/>
  <c r="H31" i="5559"/>
  <c r="H47" i="5559"/>
  <c r="H48" i="5559"/>
  <c r="H19" i="5559"/>
  <c r="H27" i="5559"/>
  <c r="H35" i="5559"/>
  <c r="H43" i="5559"/>
  <c r="H51" i="5559"/>
  <c r="H14" i="5559"/>
  <c r="H3" i="5559"/>
  <c r="H6" i="5559"/>
  <c r="H11" i="5559"/>
  <c r="C17" i="5559"/>
  <c r="H24" i="5559"/>
  <c r="H28" i="5559"/>
  <c r="H36" i="5559"/>
  <c r="H44" i="5559"/>
  <c r="H52" i="5559"/>
  <c r="H18" i="5559"/>
  <c r="H20" i="5559"/>
  <c r="H23" i="5559"/>
  <c r="H26" i="5559"/>
  <c r="H29" i="5559"/>
  <c r="H33" i="5559"/>
  <c r="H37" i="5559"/>
  <c r="H41" i="5559"/>
  <c r="H45" i="5559"/>
  <c r="H49" i="5559"/>
  <c r="H7" i="5559"/>
  <c r="H13" i="5559"/>
  <c r="H15" i="5559"/>
  <c r="C19" i="5559"/>
  <c r="H21" i="5559"/>
  <c r="H30" i="5559"/>
  <c r="H34" i="5559"/>
  <c r="H38" i="5559"/>
  <c r="H42" i="5559"/>
  <c r="H46" i="5559"/>
  <c r="O23" i="5551" l="1"/>
  <c r="O15" i="5557"/>
  <c r="O22" i="5553" l="1"/>
  <c r="O17" i="5539"/>
  <c r="O24" i="5545" l="1"/>
  <c r="O15" i="5551"/>
  <c r="O25" i="5535" l="1"/>
  <c r="O17" i="5557"/>
  <c r="O16" i="5539" l="1"/>
  <c r="O23" i="5543"/>
  <c r="O26" i="5533"/>
  <c r="O18" i="5557"/>
  <c r="O16" i="5557"/>
  <c r="C27" i="5557"/>
  <c r="B24" i="5557"/>
  <c r="C20" i="5557"/>
  <c r="B17" i="5557"/>
  <c r="H50" i="5557" s="1"/>
  <c r="C16" i="5557"/>
  <c r="C15" i="5557"/>
  <c r="C14" i="5557"/>
  <c r="C13" i="5557"/>
  <c r="O12" i="5557"/>
  <c r="C12" i="5557"/>
  <c r="O11" i="5557"/>
  <c r="C11" i="5557"/>
  <c r="O10" i="5557"/>
  <c r="C10" i="5557"/>
  <c r="C9" i="5557"/>
  <c r="C8" i="5557"/>
  <c r="O7" i="5557"/>
  <c r="C7" i="5557"/>
  <c r="O6" i="5557"/>
  <c r="B6" i="5557"/>
  <c r="O5" i="5557"/>
  <c r="B5" i="5557"/>
  <c r="O4" i="5557"/>
  <c r="O3" i="5557"/>
  <c r="O2" i="5557"/>
  <c r="O15" i="5555"/>
  <c r="O16" i="5555"/>
  <c r="H40" i="5555"/>
  <c r="H39" i="5555"/>
  <c r="C27" i="5555"/>
  <c r="H25" i="5555"/>
  <c r="B24" i="5555"/>
  <c r="C20" i="5555"/>
  <c r="B17" i="5555"/>
  <c r="H50" i="5555" s="1"/>
  <c r="H16" i="5555"/>
  <c r="C16" i="5555"/>
  <c r="C15" i="5555"/>
  <c r="C14" i="5555"/>
  <c r="C13" i="5555"/>
  <c r="O12" i="5555"/>
  <c r="C12" i="5555"/>
  <c r="O11" i="5555"/>
  <c r="C11" i="5555"/>
  <c r="O10" i="5555"/>
  <c r="C10" i="5555"/>
  <c r="C9" i="5555"/>
  <c r="C8" i="5555"/>
  <c r="O7" i="5555"/>
  <c r="C7" i="5555"/>
  <c r="O6" i="5555"/>
  <c r="B6" i="5555"/>
  <c r="O5" i="5555"/>
  <c r="H5" i="5555"/>
  <c r="B5" i="5555"/>
  <c r="O4" i="5555"/>
  <c r="H4" i="5555"/>
  <c r="O3" i="5555"/>
  <c r="O2" i="5555"/>
  <c r="O23" i="5541"/>
  <c r="O16" i="5535"/>
  <c r="O25" i="5533"/>
  <c r="H25" i="5557" l="1"/>
  <c r="C18" i="5557"/>
  <c r="H32" i="5557"/>
  <c r="H10" i="5557"/>
  <c r="H2" i="5557"/>
  <c r="H8" i="5557"/>
  <c r="H5" i="5557"/>
  <c r="H16" i="5557"/>
  <c r="H39" i="5557"/>
  <c r="H22" i="5557"/>
  <c r="H40" i="5557"/>
  <c r="H12" i="5557"/>
  <c r="H14" i="5557"/>
  <c r="H4" i="5557"/>
  <c r="H9" i="5557"/>
  <c r="H17" i="5557"/>
  <c r="B23" i="5557"/>
  <c r="H31" i="5557"/>
  <c r="H47" i="5557"/>
  <c r="H48" i="5557"/>
  <c r="H19" i="5557"/>
  <c r="H27" i="5557"/>
  <c r="H35" i="5557"/>
  <c r="H43" i="5557"/>
  <c r="H51" i="5557"/>
  <c r="H3" i="5557"/>
  <c r="H6" i="5557"/>
  <c r="H11" i="5557"/>
  <c r="C17" i="5557"/>
  <c r="H24" i="5557"/>
  <c r="H28" i="5557"/>
  <c r="H36" i="5557"/>
  <c r="H44" i="5557"/>
  <c r="H52" i="5557"/>
  <c r="H18" i="5557"/>
  <c r="H20" i="5557"/>
  <c r="H23" i="5557"/>
  <c r="H26" i="5557"/>
  <c r="H29" i="5557"/>
  <c r="H33" i="5557"/>
  <c r="H37" i="5557"/>
  <c r="H41" i="5557"/>
  <c r="H45" i="5557"/>
  <c r="H49" i="5557"/>
  <c r="H7" i="5557"/>
  <c r="H13" i="5557"/>
  <c r="H15" i="5557"/>
  <c r="C19" i="5557"/>
  <c r="H21" i="5557"/>
  <c r="H30" i="5557"/>
  <c r="H34" i="5557"/>
  <c r="H38" i="5557"/>
  <c r="H42" i="5557"/>
  <c r="H46" i="5557"/>
  <c r="H47" i="5555"/>
  <c r="H22" i="5555"/>
  <c r="H2" i="5555"/>
  <c r="H10" i="5555"/>
  <c r="H17" i="5555"/>
  <c r="B23" i="5555"/>
  <c r="H31" i="5555"/>
  <c r="H8" i="5555"/>
  <c r="C18" i="5555"/>
  <c r="H32" i="5555"/>
  <c r="H48" i="5555"/>
  <c r="H9" i="5555"/>
  <c r="H12" i="5555"/>
  <c r="H14" i="5555"/>
  <c r="H27" i="5555"/>
  <c r="H35" i="5555"/>
  <c r="H43" i="5555"/>
  <c r="H51" i="5555"/>
  <c r="H19" i="5555"/>
  <c r="H3" i="5555"/>
  <c r="H6" i="5555"/>
  <c r="H11" i="5555"/>
  <c r="C17" i="5555"/>
  <c r="H24" i="5555"/>
  <c r="H28" i="5555"/>
  <c r="H36" i="5555"/>
  <c r="H44" i="5555"/>
  <c r="H52" i="5555"/>
  <c r="H18" i="5555"/>
  <c r="H20" i="5555"/>
  <c r="H23" i="5555"/>
  <c r="H26" i="5555"/>
  <c r="H29" i="5555"/>
  <c r="H33" i="5555"/>
  <c r="H37" i="5555"/>
  <c r="H41" i="5555"/>
  <c r="H45" i="5555"/>
  <c r="H49" i="5555"/>
  <c r="H7" i="5555"/>
  <c r="H13" i="5555"/>
  <c r="H15" i="5555"/>
  <c r="C19" i="5555"/>
  <c r="H21" i="5555"/>
  <c r="H30" i="5555"/>
  <c r="H34" i="5555"/>
  <c r="H38" i="5555"/>
  <c r="H42" i="5555"/>
  <c r="H46" i="5555"/>
  <c r="O15" i="5543" l="1"/>
  <c r="O21" i="5551"/>
  <c r="O21" i="5553" l="1"/>
  <c r="O20" i="5553"/>
  <c r="O20" i="5547"/>
  <c r="O21" i="5537"/>
  <c r="O24" i="5535" l="1"/>
  <c r="O18" i="5553"/>
  <c r="O23" i="5545"/>
  <c r="O15" i="5553"/>
  <c r="O19" i="5553" l="1"/>
  <c r="O17" i="5553"/>
  <c r="C27" i="5553"/>
  <c r="B24" i="5553"/>
  <c r="C20" i="5553"/>
  <c r="B17" i="5553"/>
  <c r="H50" i="5553" s="1"/>
  <c r="C16" i="5553"/>
  <c r="C15" i="5553"/>
  <c r="C14" i="5553"/>
  <c r="C13" i="5553"/>
  <c r="O12" i="5553"/>
  <c r="C12" i="5553"/>
  <c r="O11" i="5553"/>
  <c r="C11" i="5553"/>
  <c r="O10" i="5553"/>
  <c r="C10" i="5553"/>
  <c r="C9" i="5553"/>
  <c r="C8" i="5553"/>
  <c r="O7" i="5553"/>
  <c r="C7" i="5553"/>
  <c r="O6" i="5553"/>
  <c r="B6" i="5553"/>
  <c r="O5" i="5553"/>
  <c r="B5" i="5553"/>
  <c r="O4" i="5553"/>
  <c r="O3" i="5553"/>
  <c r="O2" i="5553"/>
  <c r="O21" i="5541"/>
  <c r="O21" i="5543"/>
  <c r="O23" i="5533"/>
  <c r="H4" i="5553" l="1"/>
  <c r="H10" i="5553"/>
  <c r="H2" i="5553"/>
  <c r="H8" i="5553"/>
  <c r="C19" i="5553"/>
  <c r="H22" i="5553"/>
  <c r="H25" i="5553"/>
  <c r="H31" i="5553"/>
  <c r="H39" i="5553"/>
  <c r="H47" i="5553"/>
  <c r="C17" i="5553"/>
  <c r="B23" i="5553"/>
  <c r="H32" i="5553"/>
  <c r="H40" i="5553"/>
  <c r="H12" i="5553"/>
  <c r="H17" i="5553"/>
  <c r="H27" i="5553"/>
  <c r="H35" i="5553"/>
  <c r="H43" i="5553"/>
  <c r="H51" i="5553"/>
  <c r="H7" i="5553"/>
  <c r="H13" i="5553"/>
  <c r="H15" i="5553"/>
  <c r="H19" i="5553"/>
  <c r="H48" i="5553"/>
  <c r="H3" i="5553"/>
  <c r="H6" i="5553"/>
  <c r="H9" i="5553"/>
  <c r="H5" i="5553"/>
  <c r="H11" i="5553"/>
  <c r="H14" i="5553"/>
  <c r="H16" i="5553"/>
  <c r="C18" i="5553"/>
  <c r="H21" i="5553"/>
  <c r="H24" i="5553"/>
  <c r="H28" i="5553"/>
  <c r="H36" i="5553"/>
  <c r="H44" i="5553"/>
  <c r="H52" i="5553"/>
  <c r="H18" i="5553"/>
  <c r="H20" i="5553"/>
  <c r="H23" i="5553"/>
  <c r="H26" i="5553"/>
  <c r="H29" i="5553"/>
  <c r="H33" i="5553"/>
  <c r="H37" i="5553"/>
  <c r="H41" i="5553"/>
  <c r="H45" i="5553"/>
  <c r="H49" i="5553"/>
  <c r="H30" i="5553"/>
  <c r="H34" i="5553"/>
  <c r="H38" i="5553"/>
  <c r="H42" i="5553"/>
  <c r="H46" i="5553"/>
  <c r="O18" i="5543" l="1"/>
  <c r="O18" i="5539"/>
  <c r="O21" i="5547"/>
  <c r="O22" i="5547"/>
  <c r="O17" i="5535" l="1"/>
  <c r="O20" i="5551"/>
  <c r="O18" i="5551" l="1"/>
  <c r="O16" i="5551"/>
  <c r="O16" i="5541"/>
  <c r="O24" i="5539"/>
  <c r="O17" i="5549" l="1"/>
  <c r="O22" i="5545"/>
  <c r="O15" i="5549"/>
  <c r="O22" i="5551"/>
  <c r="O15" i="5537"/>
  <c r="O18" i="5547"/>
  <c r="O16" i="5533"/>
  <c r="O19" i="5551"/>
  <c r="O17" i="5551"/>
  <c r="C27" i="5551"/>
  <c r="B24" i="5551"/>
  <c r="C20" i="5551"/>
  <c r="B17" i="5551"/>
  <c r="H50" i="5551" s="1"/>
  <c r="C16" i="5551"/>
  <c r="C15" i="5551"/>
  <c r="C14" i="5551"/>
  <c r="C13" i="5551"/>
  <c r="O12" i="5551"/>
  <c r="C12" i="5551"/>
  <c r="O11" i="5551"/>
  <c r="C11" i="5551"/>
  <c r="O10" i="5551"/>
  <c r="C10" i="5551"/>
  <c r="C9" i="5551"/>
  <c r="C8" i="5551"/>
  <c r="O7" i="5551"/>
  <c r="C7" i="5551"/>
  <c r="O6" i="5551"/>
  <c r="B6" i="5551"/>
  <c r="O5" i="5551"/>
  <c r="B5" i="5551"/>
  <c r="O4" i="5551"/>
  <c r="O3" i="5551"/>
  <c r="O2" i="5551"/>
  <c r="O16" i="5549"/>
  <c r="O18" i="5549"/>
  <c r="H40" i="5549"/>
  <c r="C27" i="5549"/>
  <c r="B24" i="5549"/>
  <c r="B23" i="5549"/>
  <c r="C20" i="5549"/>
  <c r="B17" i="5549"/>
  <c r="H50" i="5549" s="1"/>
  <c r="H16" i="5549"/>
  <c r="C16" i="5549"/>
  <c r="C15" i="5549"/>
  <c r="C14" i="5549"/>
  <c r="C13" i="5549"/>
  <c r="O12" i="5549"/>
  <c r="C12" i="5549"/>
  <c r="O11" i="5549"/>
  <c r="C11" i="5549"/>
  <c r="O10" i="5549"/>
  <c r="C10" i="5549"/>
  <c r="C9" i="5549"/>
  <c r="C8" i="5549"/>
  <c r="O7" i="5549"/>
  <c r="C7" i="5549"/>
  <c r="O6" i="5549"/>
  <c r="B6" i="5549"/>
  <c r="O5" i="5549"/>
  <c r="B5" i="5549"/>
  <c r="O4" i="5549"/>
  <c r="H4" i="5549"/>
  <c r="O3" i="5549"/>
  <c r="O2" i="5549"/>
  <c r="H2" i="5549"/>
  <c r="O23" i="5547"/>
  <c r="O24" i="5547"/>
  <c r="O15" i="5535"/>
  <c r="O20" i="5535"/>
  <c r="O27" i="5533"/>
  <c r="H9" i="5549" l="1"/>
  <c r="H32" i="5549"/>
  <c r="C18" i="5549"/>
  <c r="H48" i="5549"/>
  <c r="H14" i="5549"/>
  <c r="H19" i="5549"/>
  <c r="H43" i="5549"/>
  <c r="H51" i="5549"/>
  <c r="H12" i="5549"/>
  <c r="H27" i="5549"/>
  <c r="H11" i="5549"/>
  <c r="H52" i="5549"/>
  <c r="H35" i="5549"/>
  <c r="H3" i="5549"/>
  <c r="H6" i="5549"/>
  <c r="C17" i="5549"/>
  <c r="H24" i="5549"/>
  <c r="H28" i="5549"/>
  <c r="H36" i="5549"/>
  <c r="H44" i="5549"/>
  <c r="H5" i="5549"/>
  <c r="H8" i="5549"/>
  <c r="H10" i="5549"/>
  <c r="H17" i="5549"/>
  <c r="H22" i="5549"/>
  <c r="H25" i="5549"/>
  <c r="H31" i="5549"/>
  <c r="H39" i="5549"/>
  <c r="H47" i="5549"/>
  <c r="H24" i="5551"/>
  <c r="H3" i="5551"/>
  <c r="H11" i="5551"/>
  <c r="C17" i="5551"/>
  <c r="H22" i="5551"/>
  <c r="H25" i="5551"/>
  <c r="H36" i="5551"/>
  <c r="H52" i="5551"/>
  <c r="H8" i="5551"/>
  <c r="B23" i="5551"/>
  <c r="H39" i="5551"/>
  <c r="H9" i="5551"/>
  <c r="H12" i="5551"/>
  <c r="H14" i="5551"/>
  <c r="H31" i="5551"/>
  <c r="H6" i="5551"/>
  <c r="H5" i="5551"/>
  <c r="H10" i="5551"/>
  <c r="H17" i="5551"/>
  <c r="H2" i="5551"/>
  <c r="H4" i="5551"/>
  <c r="H16" i="5551"/>
  <c r="C18" i="5551"/>
  <c r="H28" i="5551"/>
  <c r="H44" i="5551"/>
  <c r="H47" i="5551"/>
  <c r="H32" i="5551"/>
  <c r="H40" i="5551"/>
  <c r="H48" i="5551"/>
  <c r="H19" i="5551"/>
  <c r="H27" i="5551"/>
  <c r="H35" i="5551"/>
  <c r="H43" i="5551"/>
  <c r="H51" i="5551"/>
  <c r="H18" i="5551"/>
  <c r="H20" i="5551"/>
  <c r="H23" i="5551"/>
  <c r="H26" i="5551"/>
  <c r="H29" i="5551"/>
  <c r="H33" i="5551"/>
  <c r="H37" i="5551"/>
  <c r="H41" i="5551"/>
  <c r="H45" i="5551"/>
  <c r="H49" i="5551"/>
  <c r="H7" i="5551"/>
  <c r="H13" i="5551"/>
  <c r="H15" i="5551"/>
  <c r="C19" i="5551"/>
  <c r="H21" i="5551"/>
  <c r="H30" i="5551"/>
  <c r="H34" i="5551"/>
  <c r="H38" i="5551"/>
  <c r="H42" i="5551"/>
  <c r="H46" i="5551"/>
  <c r="H18" i="5549"/>
  <c r="H20" i="5549"/>
  <c r="H23" i="5549"/>
  <c r="H26" i="5549"/>
  <c r="H29" i="5549"/>
  <c r="H33" i="5549"/>
  <c r="H37" i="5549"/>
  <c r="H41" i="5549"/>
  <c r="H45" i="5549"/>
  <c r="H49" i="5549"/>
  <c r="H7" i="5549"/>
  <c r="H13" i="5549"/>
  <c r="H15" i="5549"/>
  <c r="C19" i="5549"/>
  <c r="H21" i="5549"/>
  <c r="H30" i="5549"/>
  <c r="H34" i="5549"/>
  <c r="H38" i="5549"/>
  <c r="H42" i="5549"/>
  <c r="H46" i="5549"/>
  <c r="O17" i="5547" l="1"/>
  <c r="O21" i="5545"/>
  <c r="O18" i="5545"/>
  <c r="O16" i="5537"/>
  <c r="O17" i="5543" l="1"/>
  <c r="O17" i="5541"/>
  <c r="O17" i="5545"/>
  <c r="O19" i="5545"/>
  <c r="O16" i="5543" l="1"/>
  <c r="O15" i="5541"/>
  <c r="O21" i="5539"/>
  <c r="O22" i="5539"/>
  <c r="O16" i="5547"/>
  <c r="O19" i="5547"/>
  <c r="C27" i="5547"/>
  <c r="B24" i="5547"/>
  <c r="C20" i="5547"/>
  <c r="B17" i="5547"/>
  <c r="H51" i="5547" s="1"/>
  <c r="C16" i="5547"/>
  <c r="C15" i="5547"/>
  <c r="C14" i="5547"/>
  <c r="C13" i="5547"/>
  <c r="O12" i="5547"/>
  <c r="C12" i="5547"/>
  <c r="O11" i="5547"/>
  <c r="C11" i="5547"/>
  <c r="O10" i="5547"/>
  <c r="C10" i="5547"/>
  <c r="C9" i="5547"/>
  <c r="C8" i="5547"/>
  <c r="O7" i="5547"/>
  <c r="C7" i="5547"/>
  <c r="O6" i="5547"/>
  <c r="B6" i="5547"/>
  <c r="O5" i="5547"/>
  <c r="H6" i="5547"/>
  <c r="B5" i="5547"/>
  <c r="O4" i="5547"/>
  <c r="O3" i="5547"/>
  <c r="O2" i="5547"/>
  <c r="O22" i="5541"/>
  <c r="O20" i="5537"/>
  <c r="O21" i="5533"/>
  <c r="H3" i="5547" l="1"/>
  <c r="H32" i="5547"/>
  <c r="C18" i="5547"/>
  <c r="H11" i="5547"/>
  <c r="H17" i="5547"/>
  <c r="H25" i="5547"/>
  <c r="H31" i="5547"/>
  <c r="H2" i="5547"/>
  <c r="H4" i="5547"/>
  <c r="H19" i="5547"/>
  <c r="H26" i="5547"/>
  <c r="H48" i="5547"/>
  <c r="H34" i="5547"/>
  <c r="H49" i="5547"/>
  <c r="H37" i="5547"/>
  <c r="H44" i="5547"/>
  <c r="H5" i="5547"/>
  <c r="B23" i="5547"/>
  <c r="H41" i="5547"/>
  <c r="H12" i="5547"/>
  <c r="H23" i="5547"/>
  <c r="H28" i="5547"/>
  <c r="H16" i="5547"/>
  <c r="H10" i="5547"/>
  <c r="H9" i="5547"/>
  <c r="H7" i="5547"/>
  <c r="H27" i="5547"/>
  <c r="C17" i="5547"/>
  <c r="H14" i="5547"/>
  <c r="H22" i="5547"/>
  <c r="H38" i="5547"/>
  <c r="H45" i="5547"/>
  <c r="H52" i="5547"/>
  <c r="H29" i="5547"/>
  <c r="H30" i="5547"/>
  <c r="H18" i="5547"/>
  <c r="H33" i="5547"/>
  <c r="H15" i="5547"/>
  <c r="H35" i="5547"/>
  <c r="H39" i="5547"/>
  <c r="H42" i="5547"/>
  <c r="H46" i="5547"/>
  <c r="H50" i="5547"/>
  <c r="H8" i="5547"/>
  <c r="H20" i="5547"/>
  <c r="H21" i="5547"/>
  <c r="C19" i="5547"/>
  <c r="H13" i="5547"/>
  <c r="H24" i="5547"/>
  <c r="H36" i="5547"/>
  <c r="H40" i="5547"/>
  <c r="H43" i="5547"/>
  <c r="H47" i="5547"/>
  <c r="O20" i="5539" l="1"/>
  <c r="O20" i="5545"/>
  <c r="O16" i="5545"/>
  <c r="C27" i="5545"/>
  <c r="B24" i="5545"/>
  <c r="C20" i="5545"/>
  <c r="B17" i="5545"/>
  <c r="H52" i="5545" s="1"/>
  <c r="C16" i="5545"/>
  <c r="C15" i="5545"/>
  <c r="C14" i="5545"/>
  <c r="C13" i="5545"/>
  <c r="O12" i="5545"/>
  <c r="C12" i="5545"/>
  <c r="O11" i="5545"/>
  <c r="C11" i="5545"/>
  <c r="O10" i="5545"/>
  <c r="C10" i="5545"/>
  <c r="C9" i="5545"/>
  <c r="C8" i="5545"/>
  <c r="O7" i="5545"/>
  <c r="C7" i="5545"/>
  <c r="O6" i="5545"/>
  <c r="B6" i="5545"/>
  <c r="O5" i="5545"/>
  <c r="B5" i="5545"/>
  <c r="O4" i="5545"/>
  <c r="O3" i="5545"/>
  <c r="O2" i="5545"/>
  <c r="O22" i="5535"/>
  <c r="O18" i="5533"/>
  <c r="O19" i="5543"/>
  <c r="O18" i="5537"/>
  <c r="O19" i="5537"/>
  <c r="O19" i="5541"/>
  <c r="O20" i="5543"/>
  <c r="O22" i="5543"/>
  <c r="C27" i="5543"/>
  <c r="B24" i="5543"/>
  <c r="C20" i="5543"/>
  <c r="B17" i="5543"/>
  <c r="H50" i="5543" s="1"/>
  <c r="C16" i="5543"/>
  <c r="C15" i="5543"/>
  <c r="C14" i="5543"/>
  <c r="C13" i="5543"/>
  <c r="O12" i="5543"/>
  <c r="C12" i="5543"/>
  <c r="O11" i="5543"/>
  <c r="C11" i="5543"/>
  <c r="O10" i="5543"/>
  <c r="C10" i="5543"/>
  <c r="C9" i="5543"/>
  <c r="C8" i="5543"/>
  <c r="O7" i="5543"/>
  <c r="C7" i="5543"/>
  <c r="O6" i="5543"/>
  <c r="B6" i="5543"/>
  <c r="O5" i="5543"/>
  <c r="B5" i="5543"/>
  <c r="O4" i="5543"/>
  <c r="O3" i="5543"/>
  <c r="O2" i="5543"/>
  <c r="O20" i="5541"/>
  <c r="O18" i="5541"/>
  <c r="C27" i="5541"/>
  <c r="B24" i="5541"/>
  <c r="C20" i="5541"/>
  <c r="B17" i="5541"/>
  <c r="H5" i="5541" s="1"/>
  <c r="C16" i="5541"/>
  <c r="C15" i="5541"/>
  <c r="C14" i="5541"/>
  <c r="C13" i="5541"/>
  <c r="O12" i="5541"/>
  <c r="C12" i="5541"/>
  <c r="O11" i="5541"/>
  <c r="C11" i="5541"/>
  <c r="O10" i="5541"/>
  <c r="C10" i="5541"/>
  <c r="C9" i="5541"/>
  <c r="C8" i="5541"/>
  <c r="O7" i="5541"/>
  <c r="C7" i="5541"/>
  <c r="O6" i="5541"/>
  <c r="B6" i="5541"/>
  <c r="O5" i="5541"/>
  <c r="B5" i="5541"/>
  <c r="O4" i="5541"/>
  <c r="O3" i="5541"/>
  <c r="O2" i="5541"/>
  <c r="O18" i="5535"/>
  <c r="O23" i="5535"/>
  <c r="O20" i="5533"/>
  <c r="O22" i="5533"/>
  <c r="H15" i="5541" l="1"/>
  <c r="H6" i="5541"/>
  <c r="H2" i="5545"/>
  <c r="H7" i="5545"/>
  <c r="H4" i="5545"/>
  <c r="H12" i="5545"/>
  <c r="H2" i="5543"/>
  <c r="H19" i="5545"/>
  <c r="H31" i="5545"/>
  <c r="H47" i="5545"/>
  <c r="H6" i="5545"/>
  <c r="H9" i="5545"/>
  <c r="C17" i="5545"/>
  <c r="H24" i="5545"/>
  <c r="H35" i="5545"/>
  <c r="H51" i="5545"/>
  <c r="H3" i="5545"/>
  <c r="H15" i="5545"/>
  <c r="H17" i="5545"/>
  <c r="H21" i="5545"/>
  <c r="H39" i="5545"/>
  <c r="H8" i="5545"/>
  <c r="H10" i="5545"/>
  <c r="H13" i="5545"/>
  <c r="C19" i="5545"/>
  <c r="H22" i="5545"/>
  <c r="H27" i="5545"/>
  <c r="H43" i="5545"/>
  <c r="H18" i="5545"/>
  <c r="H20" i="5545"/>
  <c r="H23" i="5545"/>
  <c r="H26" i="5545"/>
  <c r="H29" i="5545"/>
  <c r="H33" i="5545"/>
  <c r="H37" i="5545"/>
  <c r="H41" i="5545"/>
  <c r="H45" i="5545"/>
  <c r="H49" i="5545"/>
  <c r="H30" i="5545"/>
  <c r="H34" i="5545"/>
  <c r="H38" i="5545"/>
  <c r="H42" i="5545"/>
  <c r="H46" i="5545"/>
  <c r="H50" i="5545"/>
  <c r="H5" i="5545"/>
  <c r="H11" i="5545"/>
  <c r="H14" i="5545"/>
  <c r="H16" i="5545"/>
  <c r="C18" i="5545"/>
  <c r="B23" i="5545"/>
  <c r="H25" i="5545"/>
  <c r="H28" i="5545"/>
  <c r="H32" i="5545"/>
  <c r="H36" i="5545"/>
  <c r="H40" i="5545"/>
  <c r="H44" i="5545"/>
  <c r="H48" i="5545"/>
  <c r="H22" i="5543"/>
  <c r="H40" i="5543"/>
  <c r="H47" i="5543"/>
  <c r="H8" i="5543"/>
  <c r="H31" i="5543"/>
  <c r="C18" i="5543"/>
  <c r="H32" i="5543"/>
  <c r="H48" i="5543"/>
  <c r="H10" i="5543"/>
  <c r="H17" i="5543"/>
  <c r="B23" i="5543"/>
  <c r="H5" i="5543"/>
  <c r="H4" i="5543"/>
  <c r="H9" i="5543"/>
  <c r="H16" i="5543"/>
  <c r="H25" i="5543"/>
  <c r="H39" i="5543"/>
  <c r="H3" i="5541"/>
  <c r="H2" i="5541"/>
  <c r="H4" i="5541"/>
  <c r="H11" i="5541"/>
  <c r="H12" i="5543"/>
  <c r="H14" i="5543"/>
  <c r="H19" i="5543"/>
  <c r="H27" i="5543"/>
  <c r="H35" i="5543"/>
  <c r="H43" i="5543"/>
  <c r="H51" i="5543"/>
  <c r="H3" i="5543"/>
  <c r="H6" i="5543"/>
  <c r="H11" i="5543"/>
  <c r="C17" i="5543"/>
  <c r="H24" i="5543"/>
  <c r="H28" i="5543"/>
  <c r="H36" i="5543"/>
  <c r="H44" i="5543"/>
  <c r="H52" i="5543"/>
  <c r="H18" i="5543"/>
  <c r="H20" i="5543"/>
  <c r="H23" i="5543"/>
  <c r="H26" i="5543"/>
  <c r="H29" i="5543"/>
  <c r="H33" i="5543"/>
  <c r="H37" i="5543"/>
  <c r="H41" i="5543"/>
  <c r="H45" i="5543"/>
  <c r="H49" i="5543"/>
  <c r="H7" i="5543"/>
  <c r="H13" i="5543"/>
  <c r="H15" i="5543"/>
  <c r="C19" i="5543"/>
  <c r="H21" i="5543"/>
  <c r="H30" i="5543"/>
  <c r="H34" i="5543"/>
  <c r="H38" i="5543"/>
  <c r="H42" i="5543"/>
  <c r="H46" i="5543"/>
  <c r="H42" i="5541"/>
  <c r="H33" i="5541"/>
  <c r="H13" i="5541"/>
  <c r="H50" i="5541"/>
  <c r="H28" i="5541"/>
  <c r="B23" i="5541"/>
  <c r="H46" i="5541"/>
  <c r="C17" i="5541"/>
  <c r="H34" i="5541"/>
  <c r="H10" i="5541"/>
  <c r="H7" i="5541"/>
  <c r="H20" i="5541"/>
  <c r="C18" i="5541"/>
  <c r="H25" i="5541"/>
  <c r="H38" i="5541"/>
  <c r="H52" i="5541"/>
  <c r="H29" i="5541"/>
  <c r="H30" i="5541"/>
  <c r="H31" i="5541"/>
  <c r="H32" i="5541"/>
  <c r="H17" i="5541"/>
  <c r="H35" i="5541"/>
  <c r="H39" i="5541"/>
  <c r="H43" i="5541"/>
  <c r="H47" i="5541"/>
  <c r="H51" i="5541"/>
  <c r="H8" i="5541"/>
  <c r="H21" i="5541"/>
  <c r="H22" i="5541"/>
  <c r="C19" i="5541"/>
  <c r="H14" i="5541"/>
  <c r="H24" i="5541"/>
  <c r="H36" i="5541"/>
  <c r="H40" i="5541"/>
  <c r="H44" i="5541"/>
  <c r="H48" i="5541"/>
  <c r="H19" i="5541"/>
  <c r="H27" i="5541"/>
  <c r="H18" i="5541"/>
  <c r="H16" i="5541"/>
  <c r="H23" i="5541"/>
  <c r="H12" i="5541"/>
  <c r="H9" i="5541"/>
  <c r="H26" i="5541"/>
  <c r="H37" i="5541"/>
  <c r="H41" i="5541"/>
  <c r="H45" i="5541"/>
  <c r="H49" i="5541"/>
  <c r="O19" i="5539" l="1"/>
  <c r="O23" i="5539"/>
  <c r="C27" i="5539"/>
  <c r="B24" i="5539"/>
  <c r="C20" i="5539"/>
  <c r="B17" i="5539"/>
  <c r="H52" i="5539" s="1"/>
  <c r="C16" i="5539"/>
  <c r="C15" i="5539"/>
  <c r="C14" i="5539"/>
  <c r="C13" i="5539"/>
  <c r="O12" i="5539"/>
  <c r="C12" i="5539"/>
  <c r="O11" i="5539"/>
  <c r="C11" i="5539"/>
  <c r="O10" i="5539"/>
  <c r="C10" i="5539"/>
  <c r="C9" i="5539"/>
  <c r="C8" i="5539"/>
  <c r="O7" i="5539"/>
  <c r="C7" i="5539"/>
  <c r="O6" i="5539"/>
  <c r="B6" i="5539"/>
  <c r="O5" i="5539"/>
  <c r="B5" i="5539"/>
  <c r="O4" i="5539"/>
  <c r="O3" i="5539"/>
  <c r="O2" i="5539"/>
  <c r="O22" i="5537"/>
  <c r="O17" i="5537"/>
  <c r="C27" i="5537"/>
  <c r="B24" i="5537"/>
  <c r="C20" i="5537"/>
  <c r="B17" i="5537"/>
  <c r="H18" i="5537" s="1"/>
  <c r="C16" i="5537"/>
  <c r="C15" i="5537"/>
  <c r="C14" i="5537"/>
  <c r="C13" i="5537"/>
  <c r="O12" i="5537"/>
  <c r="C12" i="5537"/>
  <c r="O11" i="5537"/>
  <c r="C11" i="5537"/>
  <c r="O10" i="5537"/>
  <c r="C10" i="5537"/>
  <c r="C9" i="5537"/>
  <c r="C8" i="5537"/>
  <c r="O7" i="5537"/>
  <c r="C7" i="5537"/>
  <c r="O6" i="5537"/>
  <c r="B6" i="5537"/>
  <c r="O5" i="5537"/>
  <c r="B5" i="5537"/>
  <c r="O4" i="5537"/>
  <c r="O3" i="5537"/>
  <c r="O2" i="5537"/>
  <c r="O24" i="5533"/>
  <c r="O19" i="5535"/>
  <c r="O21" i="5535"/>
  <c r="C27" i="5535"/>
  <c r="B24" i="5535"/>
  <c r="C20" i="5535"/>
  <c r="B17" i="5535"/>
  <c r="H52" i="5535" s="1"/>
  <c r="C16" i="5535"/>
  <c r="C15" i="5535"/>
  <c r="C14" i="5535"/>
  <c r="C13" i="5535"/>
  <c r="O12" i="5535"/>
  <c r="C12" i="5535"/>
  <c r="O11" i="5535"/>
  <c r="C11" i="5535"/>
  <c r="O10" i="5535"/>
  <c r="C10" i="5535"/>
  <c r="C9" i="5535"/>
  <c r="C8" i="5535"/>
  <c r="O7" i="5535"/>
  <c r="C7" i="5535"/>
  <c r="O6" i="5535"/>
  <c r="B6" i="5535"/>
  <c r="O5" i="5535"/>
  <c r="B5" i="5535"/>
  <c r="O4" i="5535"/>
  <c r="O3" i="5535"/>
  <c r="O2" i="5535"/>
  <c r="O17" i="5533"/>
  <c r="O19" i="5533"/>
  <c r="C27" i="5533"/>
  <c r="B24" i="5533"/>
  <c r="C20" i="5533"/>
  <c r="B17" i="5533"/>
  <c r="H52" i="5533" s="1"/>
  <c r="C16" i="5533"/>
  <c r="C15" i="5533"/>
  <c r="C14" i="5533"/>
  <c r="C13" i="5533"/>
  <c r="O12" i="5533"/>
  <c r="C12" i="5533"/>
  <c r="O11" i="5533"/>
  <c r="C11" i="5533"/>
  <c r="O10" i="5533"/>
  <c r="C10" i="5533"/>
  <c r="C9" i="5533"/>
  <c r="C8" i="5533"/>
  <c r="O7" i="5533"/>
  <c r="C7" i="5533"/>
  <c r="O6" i="5533"/>
  <c r="B6" i="5533"/>
  <c r="O5" i="5533"/>
  <c r="B5" i="5533"/>
  <c r="O4" i="5533"/>
  <c r="O3" i="5533"/>
  <c r="O2" i="5533"/>
  <c r="H9" i="5539" l="1"/>
  <c r="H30" i="5539"/>
  <c r="H38" i="5539"/>
  <c r="C17" i="5539"/>
  <c r="H42" i="5539"/>
  <c r="H2" i="5539"/>
  <c r="C18" i="5539"/>
  <c r="H7" i="5539"/>
  <c r="H22" i="5539"/>
  <c r="H29" i="5539"/>
  <c r="H3" i="5539"/>
  <c r="H4" i="5539"/>
  <c r="H15" i="5539"/>
  <c r="H34" i="5539"/>
  <c r="H4" i="5535"/>
  <c r="H11" i="5535"/>
  <c r="C17" i="5535"/>
  <c r="H2" i="5535"/>
  <c r="B23" i="5539"/>
  <c r="H33" i="5539"/>
  <c r="H46" i="5539"/>
  <c r="H31" i="5539"/>
  <c r="H25" i="5539"/>
  <c r="H19" i="5539"/>
  <c r="H39" i="5539"/>
  <c r="H43" i="5539"/>
  <c r="H51" i="5539"/>
  <c r="H8" i="5539"/>
  <c r="H24" i="5539"/>
  <c r="H17" i="5539"/>
  <c r="C19" i="5539"/>
  <c r="H14" i="5539"/>
  <c r="H27" i="5539"/>
  <c r="H36" i="5539"/>
  <c r="H40" i="5539"/>
  <c r="H44" i="5539"/>
  <c r="H48" i="5539"/>
  <c r="H28" i="5539"/>
  <c r="H32" i="5539"/>
  <c r="H26" i="5539"/>
  <c r="H35" i="5539"/>
  <c r="H47" i="5539"/>
  <c r="H12" i="5539"/>
  <c r="H6" i="5539"/>
  <c r="H11" i="5539"/>
  <c r="H20" i="5539"/>
  <c r="H18" i="5539"/>
  <c r="H16" i="5539"/>
  <c r="H21" i="5539"/>
  <c r="H13" i="5539"/>
  <c r="H10" i="5539"/>
  <c r="H23" i="5539"/>
  <c r="H37" i="5539"/>
  <c r="H41" i="5539"/>
  <c r="H45" i="5539"/>
  <c r="H49" i="5539"/>
  <c r="H5" i="5539"/>
  <c r="H50" i="5539"/>
  <c r="H4" i="5537"/>
  <c r="H10" i="5537"/>
  <c r="H24" i="5537"/>
  <c r="H22" i="5537"/>
  <c r="H17" i="5537"/>
  <c r="B23" i="5537"/>
  <c r="H27" i="5537"/>
  <c r="H6" i="5537"/>
  <c r="C18" i="5537"/>
  <c r="H41" i="5537"/>
  <c r="H2" i="5537"/>
  <c r="H13" i="5537"/>
  <c r="H3" i="5537"/>
  <c r="H16" i="5537"/>
  <c r="H33" i="5537"/>
  <c r="H49" i="5537"/>
  <c r="H35" i="5537"/>
  <c r="H42" i="5537"/>
  <c r="H50" i="5537"/>
  <c r="H15" i="5537"/>
  <c r="H11" i="5537"/>
  <c r="H37" i="5537"/>
  <c r="H45" i="5537"/>
  <c r="H5" i="5537"/>
  <c r="H29" i="5537"/>
  <c r="H9" i="5537"/>
  <c r="H7" i="5537"/>
  <c r="H21" i="5537"/>
  <c r="C17" i="5537"/>
  <c r="H12" i="5537"/>
  <c r="H34" i="5537"/>
  <c r="H38" i="5537"/>
  <c r="H46" i="5537"/>
  <c r="H52" i="5537"/>
  <c r="H30" i="5537"/>
  <c r="H31" i="5537"/>
  <c r="H32" i="5537"/>
  <c r="H25" i="5537"/>
  <c r="H19" i="5537"/>
  <c r="H28" i="5537"/>
  <c r="H39" i="5537"/>
  <c r="H43" i="5537"/>
  <c r="H47" i="5537"/>
  <c r="H51" i="5537"/>
  <c r="H8" i="5537"/>
  <c r="H20" i="5537"/>
  <c r="H23" i="5537"/>
  <c r="C19" i="5537"/>
  <c r="H14" i="5537"/>
  <c r="H26" i="5537"/>
  <c r="H36" i="5537"/>
  <c r="H40" i="5537"/>
  <c r="H44" i="5537"/>
  <c r="H48" i="5537"/>
  <c r="H3" i="5533"/>
  <c r="H2" i="5533"/>
  <c r="H4" i="5533"/>
  <c r="H20" i="5533"/>
  <c r="H8" i="5533"/>
  <c r="H22" i="5533"/>
  <c r="H11" i="5533"/>
  <c r="C17" i="5533"/>
  <c r="H3" i="5535"/>
  <c r="H33" i="5535"/>
  <c r="H34" i="5535"/>
  <c r="H20" i="5535"/>
  <c r="H25" i="5535"/>
  <c r="H18" i="5535"/>
  <c r="H30" i="5535"/>
  <c r="H39" i="5535"/>
  <c r="H43" i="5535"/>
  <c r="H47" i="5535"/>
  <c r="H51" i="5535"/>
  <c r="H8" i="5535"/>
  <c r="H27" i="5535"/>
  <c r="H22" i="5535"/>
  <c r="C19" i="5535"/>
  <c r="H14" i="5535"/>
  <c r="H24" i="5535"/>
  <c r="H36" i="5535"/>
  <c r="H40" i="5535"/>
  <c r="H44" i="5535"/>
  <c r="H48" i="5535"/>
  <c r="H15" i="5535"/>
  <c r="H10" i="5535"/>
  <c r="H7" i="5535"/>
  <c r="H13" i="5535"/>
  <c r="H31" i="5535"/>
  <c r="H19" i="5535"/>
  <c r="H17" i="5535"/>
  <c r="H28" i="5535"/>
  <c r="H12" i="5535"/>
  <c r="H9" i="5535"/>
  <c r="H26" i="5535"/>
  <c r="H37" i="5535"/>
  <c r="H41" i="5535"/>
  <c r="H45" i="5535"/>
  <c r="H49" i="5535"/>
  <c r="H5" i="5535"/>
  <c r="H6" i="5535"/>
  <c r="H21" i="5535"/>
  <c r="H32" i="5535"/>
  <c r="H16" i="5535"/>
  <c r="C18" i="5535"/>
  <c r="B23" i="5535"/>
  <c r="H29" i="5535"/>
  <c r="H23" i="5535"/>
  <c r="H35" i="5535"/>
  <c r="H38" i="5535"/>
  <c r="H42" i="5535"/>
  <c r="H46" i="5535"/>
  <c r="H50" i="5535"/>
  <c r="H12" i="5533"/>
  <c r="C18" i="5533"/>
  <c r="H14" i="5533"/>
  <c r="H10" i="5533"/>
  <c r="H6" i="5533"/>
  <c r="H24" i="5533"/>
  <c r="H7" i="5533"/>
  <c r="H21" i="5533"/>
  <c r="H35" i="5533"/>
  <c r="H15" i="5533"/>
  <c r="C19" i="5533"/>
  <c r="H36" i="5533"/>
  <c r="H37" i="5533"/>
  <c r="H23" i="5533"/>
  <c r="H30" i="5533"/>
  <c r="H17" i="5533"/>
  <c r="H31" i="5533"/>
  <c r="H41" i="5533"/>
  <c r="H44" i="5533"/>
  <c r="H47" i="5533"/>
  <c r="H51" i="5533"/>
  <c r="H25" i="5533"/>
  <c r="H39" i="5533"/>
  <c r="H42" i="5533"/>
  <c r="H45" i="5533"/>
  <c r="H48" i="5533"/>
  <c r="H18" i="5533"/>
  <c r="H19" i="5533"/>
  <c r="H16" i="5533"/>
  <c r="H27" i="5533"/>
  <c r="H13" i="5533"/>
  <c r="H9" i="5533"/>
  <c r="H26" i="5533"/>
  <c r="H32" i="5533"/>
  <c r="H33" i="5533"/>
  <c r="H46" i="5533"/>
  <c r="H49" i="5533"/>
  <c r="H5" i="5533"/>
  <c r="B23" i="5533"/>
  <c r="H28" i="5533"/>
  <c r="H29" i="5533"/>
  <c r="H38" i="5533"/>
  <c r="H40" i="5533"/>
  <c r="H43" i="5533"/>
  <c r="H34" i="5533"/>
  <c r="H50" i="553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<sst xmlns="http://schemas.openxmlformats.org/spreadsheetml/2006/main" count="3636" uniqueCount="287">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</sst>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全体!$K$2:$K$911</c:f>
              <c:numCache>
                <c:formatCode>General</c:formatCode>
                <c:ptCount val="9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</c:numCache>
            </c:numRef>
          </c:xVal>
          <c:yVal>
            <c:numRef>
              <c:f>全体!$L$2:$L$911</c:f>
              <c:numCache>
                <c:formatCode>\+0.0;\-0.0;\±0</c:formatCode>
                <c:ptCount val="91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39.1</c:v>
                </c:pt>
                <c:pt idx="803">
                  <c:v>50</c:v>
                </c:pt>
                <c:pt idx="804">
                  <c:v>-2</c:v>
                </c:pt>
                <c:pt idx="805">
                  <c:v>52.6</c:v>
                </c:pt>
                <c:pt idx="806">
                  <c:v>53.9</c:v>
                </c:pt>
                <c:pt idx="807">
                  <c:v>-2</c:v>
                </c:pt>
                <c:pt idx="808">
                  <c:v>25.5</c:v>
                </c:pt>
                <c:pt idx="809">
                  <c:v>26.5</c:v>
                </c:pt>
                <c:pt idx="810">
                  <c:v>-2</c:v>
                </c:pt>
                <c:pt idx="811">
                  <c:v>31.4</c:v>
                </c:pt>
                <c:pt idx="812">
                  <c:v>-1.8999999999999986</c:v>
                </c:pt>
                <c:pt idx="813">
                  <c:v>-1.9999999999999987</c:v>
                </c:pt>
                <c:pt idx="814">
                  <c:v>36.299999999999997</c:v>
                </c:pt>
                <c:pt idx="815">
                  <c:v>-14.900000000000006</c:v>
                </c:pt>
                <c:pt idx="816">
                  <c:v>-2.0000000000000053</c:v>
                </c:pt>
                <c:pt idx="817">
                  <c:v>45.899999999999991</c:v>
                </c:pt>
                <c:pt idx="818">
                  <c:v>-24.600000000000009</c:v>
                </c:pt>
                <c:pt idx="819">
                  <c:v>-2.0000000000000071</c:v>
                </c:pt>
                <c:pt idx="820">
                  <c:v>-9.6000000000000068</c:v>
                </c:pt>
                <c:pt idx="821">
                  <c:v>-56.600000000000009</c:v>
                </c:pt>
                <c:pt idx="822">
                  <c:v>-2.0000000000000071</c:v>
                </c:pt>
                <c:pt idx="823">
                  <c:v>-36.600000000000009</c:v>
                </c:pt>
                <c:pt idx="824">
                  <c:v>7.0999999999999943</c:v>
                </c:pt>
                <c:pt idx="825">
                  <c:v>-2.0000000000000053</c:v>
                </c:pt>
                <c:pt idx="826">
                  <c:v>-31.500000000000007</c:v>
                </c:pt>
                <c:pt idx="827">
                  <c:v>-32.000000000000007</c:v>
                </c:pt>
                <c:pt idx="828">
                  <c:v>-2.0000000000000071</c:v>
                </c:pt>
                <c:pt idx="829">
                  <c:v>-1.1000000000000072</c:v>
                </c:pt>
                <c:pt idx="830">
                  <c:v>47.79999999999999</c:v>
                </c:pt>
                <c:pt idx="831">
                  <c:v>-2.0000000000000071</c:v>
                </c:pt>
                <c:pt idx="832">
                  <c:v>-25.700000000000006</c:v>
                </c:pt>
                <c:pt idx="833">
                  <c:v>-2.600000000000005</c:v>
                </c:pt>
                <c:pt idx="834">
                  <c:v>-2.0000000000000049</c:v>
                </c:pt>
                <c:pt idx="835">
                  <c:v>6.9999999999999947</c:v>
                </c:pt>
                <c:pt idx="836">
                  <c:v>-33.500000000000007</c:v>
                </c:pt>
                <c:pt idx="837">
                  <c:v>-2.0000000000000071</c:v>
                </c:pt>
                <c:pt idx="838">
                  <c:v>24.899999999999991</c:v>
                </c:pt>
                <c:pt idx="839">
                  <c:v>26.399999999999991</c:v>
                </c:pt>
                <c:pt idx="840">
                  <c:v>-2.0000000000000071</c:v>
                </c:pt>
                <c:pt idx="841">
                  <c:v>-35.800000000000004</c:v>
                </c:pt>
                <c:pt idx="842">
                  <c:v>3.0999999999999943</c:v>
                </c:pt>
                <c:pt idx="843">
                  <c:v>-2.0000000000000053</c:v>
                </c:pt>
                <c:pt idx="844">
                  <c:v>-33.800000000000004</c:v>
                </c:pt>
                <c:pt idx="845">
                  <c:v>-3.5000000000000036</c:v>
                </c:pt>
                <c:pt idx="846">
                  <c:v>-2.0000000000000036</c:v>
                </c:pt>
                <c:pt idx="847">
                  <c:v>-2.8000000000000034</c:v>
                </c:pt>
                <c:pt idx="848">
                  <c:v>24.899999999999995</c:v>
                </c:pt>
                <c:pt idx="849">
                  <c:v>-2.0000000000000036</c:v>
                </c:pt>
                <c:pt idx="850">
                  <c:v>70</c:v>
                </c:pt>
                <c:pt idx="851">
                  <c:v>60</c:v>
                </c:pt>
                <c:pt idx="852">
                  <c:v>-2</c:v>
                </c:pt>
                <c:pt idx="853">
                  <c:v>-34.700000000000003</c:v>
                </c:pt>
                <c:pt idx="854">
                  <c:v>-33.1</c:v>
                </c:pt>
                <c:pt idx="855">
                  <c:v>-2</c:v>
                </c:pt>
                <c:pt idx="856">
                  <c:v>-34.799999999999997</c:v>
                </c:pt>
                <c:pt idx="857">
                  <c:v>1.3000000000000043</c:v>
                </c:pt>
                <c:pt idx="858">
                  <c:v>-1.9999999999999956</c:v>
                </c:pt>
                <c:pt idx="859">
                  <c:v>-3.7999999999999954</c:v>
                </c:pt>
                <c:pt idx="860">
                  <c:v>-30.199999999999996</c:v>
                </c:pt>
                <c:pt idx="861">
                  <c:v>-1.9999999999999964</c:v>
                </c:pt>
                <c:pt idx="862">
                  <c:v>-58.8</c:v>
                </c:pt>
                <c:pt idx="863">
                  <c:v>2.2000000000000028</c:v>
                </c:pt>
                <c:pt idx="864">
                  <c:v>-1.9999999999999973</c:v>
                </c:pt>
                <c:pt idx="865">
                  <c:v>-34.5</c:v>
                </c:pt>
                <c:pt idx="866">
                  <c:v>0.89999999999999858</c:v>
                </c:pt>
                <c:pt idx="867">
                  <c:v>-2.0000000000000013</c:v>
                </c:pt>
                <c:pt idx="868">
                  <c:v>-14.700000000000001</c:v>
                </c:pt>
                <c:pt idx="869">
                  <c:v>40.799999999999997</c:v>
                </c:pt>
                <c:pt idx="870">
                  <c:v>-2</c:v>
                </c:pt>
                <c:pt idx="871">
                  <c:v>-45.1</c:v>
                </c:pt>
                <c:pt idx="872">
                  <c:v>-11.800000000000004</c:v>
                </c:pt>
                <c:pt idx="873">
                  <c:v>-2.0000000000000036</c:v>
                </c:pt>
                <c:pt idx="874">
                  <c:v>24.499999999999996</c:v>
                </c:pt>
                <c:pt idx="875">
                  <c:v>-2.3000000000000043</c:v>
                </c:pt>
                <c:pt idx="876">
                  <c:v>-2.0000000000000044</c:v>
                </c:pt>
                <c:pt idx="877">
                  <c:v>38.79999999999999</c:v>
                </c:pt>
                <c:pt idx="878">
                  <c:v>32.099999999999987</c:v>
                </c:pt>
                <c:pt idx="879">
                  <c:v>-2.0000000000000142</c:v>
                </c:pt>
                <c:pt idx="880">
                  <c:v>-5.0000000000000142</c:v>
                </c:pt>
                <c:pt idx="881">
                  <c:v>35.399999999999984</c:v>
                </c:pt>
                <c:pt idx="882">
                  <c:v>-2.0000000000000142</c:v>
                </c:pt>
                <c:pt idx="883">
                  <c:v>56.799999999999983</c:v>
                </c:pt>
                <c:pt idx="884">
                  <c:v>-1.2000000000000171</c:v>
                </c:pt>
                <c:pt idx="885">
                  <c:v>-2.0000000000000169</c:v>
                </c:pt>
                <c:pt idx="886">
                  <c:v>6.5999999999999828</c:v>
                </c:pt>
                <c:pt idx="887">
                  <c:v>54.09999999999998</c:v>
                </c:pt>
                <c:pt idx="888">
                  <c:v>-2.0000000000000213</c:v>
                </c:pt>
                <c:pt idx="889">
                  <c:v>-37.700000000000024</c:v>
                </c:pt>
                <c:pt idx="890">
                  <c:v>-39.600000000000023</c:v>
                </c:pt>
                <c:pt idx="891">
                  <c:v>-2.0000000000000213</c:v>
                </c:pt>
                <c:pt idx="892">
                  <c:v>3.1999999999999789</c:v>
                </c:pt>
                <c:pt idx="893">
                  <c:v>57.59999999999998</c:v>
                </c:pt>
                <c:pt idx="894">
                  <c:v>-2.0000000000000213</c:v>
                </c:pt>
                <c:pt idx="895">
                  <c:v>27.59999999999998</c:v>
                </c:pt>
                <c:pt idx="896">
                  <c:v>30.399999999999981</c:v>
                </c:pt>
                <c:pt idx="897">
                  <c:v>-2.0000000000000178</c:v>
                </c:pt>
                <c:pt idx="898">
                  <c:v>42.499999999999986</c:v>
                </c:pt>
                <c:pt idx="899">
                  <c:v>39.399999999999984</c:v>
                </c:pt>
                <c:pt idx="900">
                  <c:v>-2.0000000000000142</c:v>
                </c:pt>
                <c:pt idx="901">
                  <c:v>4.9999999999999858</c:v>
                </c:pt>
                <c:pt idx="902">
                  <c:v>-29.500000000000014</c:v>
                </c:pt>
                <c:pt idx="903">
                  <c:v>-2.0000000000000142</c:v>
                </c:pt>
                <c:pt idx="904">
                  <c:v>-6.6000000000000139</c:v>
                </c:pt>
                <c:pt idx="905">
                  <c:v>44.499999999999986</c:v>
                </c:pt>
                <c:pt idx="906">
                  <c:v>-2.0000000000000142</c:v>
                </c:pt>
                <c:pt idx="907">
                  <c:v>-31.100000000000016</c:v>
                </c:pt>
                <c:pt idx="908">
                  <c:v>-38.500000000000014</c:v>
                </c:pt>
                <c:pt idx="909">
                  <c:v>-2.0000000000000142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9-4CAF-8A33-9435A842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-16.501650165016503</c:v>
                </c:pt>
                <c:pt idx="1">
                  <c:v>-5.6306306306306304</c:v>
                </c:pt>
                <c:pt idx="2">
                  <c:v>12.121212121212121</c:v>
                </c:pt>
                <c:pt idx="3">
                  <c:v>5.2493438320209975</c:v>
                </c:pt>
                <c:pt idx="4">
                  <c:v>-14.619883040935672</c:v>
                </c:pt>
                <c:pt idx="5">
                  <c:v>23.333333333333332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3-4752-A0E4-2FFA8973E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だいち!$K$2:$K$196</c:f>
              <c:numCache>
                <c:formatCode>General</c:formatCode>
                <c:ptCount val="1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</c:numCache>
            </c:numRef>
          </c:xVal>
          <c:yVal>
            <c:numRef>
              <c:f>だいち!$L$2:$L$196</c:f>
              <c:numCache>
                <c:formatCode>\+0.0;\-0.0;\±0</c:formatCode>
                <c:ptCount val="19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1974.5000000000005</c:v>
                </c:pt>
                <c:pt idx="170">
                  <c:v>2029.1000000000004</c:v>
                </c:pt>
                <c:pt idx="171">
                  <c:v>2029.0000000000005</c:v>
                </c:pt>
                <c:pt idx="172">
                  <c:v>2041.9000000000005</c:v>
                </c:pt>
                <c:pt idx="173">
                  <c:v>2064.5000000000005</c:v>
                </c:pt>
                <c:pt idx="174">
                  <c:v>2119.1000000000004</c:v>
                </c:pt>
                <c:pt idx="175">
                  <c:v>2085.3000000000002</c:v>
                </c:pt>
                <c:pt idx="176">
                  <c:v>2053.5</c:v>
                </c:pt>
                <c:pt idx="177">
                  <c:v>2089.6</c:v>
                </c:pt>
                <c:pt idx="178">
                  <c:v>2063.1999999999998</c:v>
                </c:pt>
                <c:pt idx="179">
                  <c:v>2124.1999999999998</c:v>
                </c:pt>
                <c:pt idx="180">
                  <c:v>2159.6</c:v>
                </c:pt>
                <c:pt idx="181">
                  <c:v>2215.1</c:v>
                </c:pt>
                <c:pt idx="182">
                  <c:v>2248.4</c:v>
                </c:pt>
                <c:pt idx="183">
                  <c:v>2221.6</c:v>
                </c:pt>
                <c:pt idx="184">
                  <c:v>2214.9</c:v>
                </c:pt>
                <c:pt idx="185">
                  <c:v>2255.3000000000002</c:v>
                </c:pt>
                <c:pt idx="186">
                  <c:v>2197.3000000000002</c:v>
                </c:pt>
                <c:pt idx="187">
                  <c:v>2244.8000000000002</c:v>
                </c:pt>
                <c:pt idx="188">
                  <c:v>2242.9</c:v>
                </c:pt>
                <c:pt idx="189">
                  <c:v>2297.3000000000002</c:v>
                </c:pt>
                <c:pt idx="190">
                  <c:v>2300.1000000000004</c:v>
                </c:pt>
                <c:pt idx="191">
                  <c:v>2297.0000000000005</c:v>
                </c:pt>
                <c:pt idx="192">
                  <c:v>2262.5000000000005</c:v>
                </c:pt>
                <c:pt idx="193">
                  <c:v>2313.6000000000004</c:v>
                </c:pt>
                <c:pt idx="194">
                  <c:v>2350.1000000000004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2-42D7-AB9B-1A50B5A91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1167.5257731958764</c:v>
                </c:pt>
                <c:pt idx="1">
                  <c:v>1934.3915343915344</c:v>
                </c:pt>
                <c:pt idx="2">
                  <c:v>891.06145251396651</c:v>
                </c:pt>
                <c:pt idx="3">
                  <c:v>2135.5421686746986</c:v>
                </c:pt>
                <c:pt idx="4">
                  <c:v>1295.2702702702702</c:v>
                </c:pt>
                <c:pt idx="5">
                  <c:v>1150.78125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B-459B-9139-43C76CD28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りくと!$L$2:$L$161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E-4323-973A-1232E955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645.28301886792451</c:v>
                </c:pt>
                <c:pt idx="1">
                  <c:v>-1417.5324675324675</c:v>
                </c:pt>
                <c:pt idx="2">
                  <c:v>-499.31972789115645</c:v>
                </c:pt>
                <c:pt idx="3">
                  <c:v>-45.454545454545453</c:v>
                </c:pt>
                <c:pt idx="4">
                  <c:v>478.63247863247864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7-4F6F-9616-A72DBF8D0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ただ!$L$2:$L$149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-942.6</c:v>
                </c:pt>
                <c:pt idx="132">
                  <c:v>-914.4</c:v>
                </c:pt>
                <c:pt idx="133">
                  <c:v>-918.6</c:v>
                </c:pt>
                <c:pt idx="134">
                  <c:v>-921.5</c:v>
                </c:pt>
                <c:pt idx="135">
                  <c:v>-964.3</c:v>
                </c:pt>
                <c:pt idx="136">
                  <c:v>-954.5</c:v>
                </c:pt>
                <c:pt idx="137">
                  <c:v>-954.2</c:v>
                </c:pt>
                <c:pt idx="138">
                  <c:v>-988.30000000000007</c:v>
                </c:pt>
                <c:pt idx="139">
                  <c:v>-1025.7</c:v>
                </c:pt>
                <c:pt idx="140">
                  <c:v>-1026.5</c:v>
                </c:pt>
                <c:pt idx="141">
                  <c:v>-1082.5999999999999</c:v>
                </c:pt>
                <c:pt idx="142">
                  <c:v>-1045</c:v>
                </c:pt>
                <c:pt idx="143">
                  <c:v>-1104.5999999999999</c:v>
                </c:pt>
                <c:pt idx="144">
                  <c:v>-1137</c:v>
                </c:pt>
                <c:pt idx="145">
                  <c:v>-1178.4000000000001</c:v>
                </c:pt>
                <c:pt idx="146">
                  <c:v>-1150.9000000000001</c:v>
                </c:pt>
                <c:pt idx="147">
                  <c:v>-1197.4000000000001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36-4C3D-B5F8-127F8D617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-2042.1768707482993</c:v>
                </c:pt>
                <c:pt idx="1">
                  <c:v>-1546.1538461538462</c:v>
                </c:pt>
                <c:pt idx="2">
                  <c:v>580.59701492537317</c:v>
                </c:pt>
                <c:pt idx="3">
                  <c:v>-2913.2231404958679</c:v>
                </c:pt>
                <c:pt idx="4">
                  <c:v>-457.27272727272725</c:v>
                </c:pt>
                <c:pt idx="5">
                  <c:v>-233.33333333333334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A-4AE4-8B0C-F78968F55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れんたろう!$L$2:$L$105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19.500000000000014</c:v>
                </c:pt>
                <c:pt idx="101">
                  <c:v>64.000000000000014</c:v>
                </c:pt>
                <c:pt idx="102">
                  <c:v>71.000000000000014</c:v>
                </c:pt>
                <c:pt idx="103">
                  <c:v>66.40000000000002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637-8BE4-C5FF10DDA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569.90291262135918</c:v>
                </c:pt>
                <c:pt idx="1">
                  <c:v>730</c:v>
                </c:pt>
                <c:pt idx="2">
                  <c:v>1472.5274725274726</c:v>
                </c:pt>
                <c:pt idx="3">
                  <c:v>172.83950617283949</c:v>
                </c:pt>
                <c:pt idx="4">
                  <c:v>-2068.0555555555557</c:v>
                </c:pt>
                <c:pt idx="5">
                  <c:v>-513.84615384615381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0-4C8E-9B86-69AEE8318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たかの!$L$2:$L$99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B-45C0-8B04-B8A8BD9EC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227.83505154639175</c:v>
                </c:pt>
                <c:pt idx="1">
                  <c:v>-1307.2164948453608</c:v>
                </c:pt>
                <c:pt idx="2">
                  <c:v>-710.34482758620686</c:v>
                </c:pt>
                <c:pt idx="3">
                  <c:v>1051.8072289156626</c:v>
                </c:pt>
                <c:pt idx="4">
                  <c:v>-224.67532467532467</c:v>
                </c:pt>
                <c:pt idx="5">
                  <c:v>-531.81818181818187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8-4CF9-A461-A39552344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F-4316-AB27-2BCA8452A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-1194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1-4175-930B-C084A52E5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1-471E-8B12-3D0FFC58E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927.8350515463917</c:v>
                </c:pt>
                <c:pt idx="1">
                  <c:v>237.63440860215053</c:v>
                </c:pt>
                <c:pt idx="2">
                  <c:v>-248.23529411764707</c:v>
                </c:pt>
                <c:pt idx="3">
                  <c:v>1296.2962962962963</c:v>
                </c:pt>
                <c:pt idx="4">
                  <c:v>-1895.9459459459461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8-40C9-B230-4E521BBBD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28-4CA5-BEF3-B2B8C92CB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B-461D-8DF7-C91DAE3F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9-433A-B0AC-04DAD70D7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D-4F0F-8D7C-772F6BEBA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DE7-BD96-2C80EE4E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853.84615384615381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3-4EC0-B31A-14F3CEC4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7-4543-BDFD-6A48066D5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2-4F13-B886-7A9F4518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9-4260-AA71-52008D69A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17-4150-A684-133B09CAB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5-4577-AB39-0957471A2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E-4FC2-8E9F-18EA55C98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まっつん2!$B$3:$B$100</c:f>
              <c:numCache>
                <c:formatCode>\+0.0;\-0.0;\±0</c:formatCode>
                <c:ptCount val="9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まっつん2!$C$3:$C$100</c:f>
              <c:numCache>
                <c:formatCode>\+0.0;\-0.0;\±0</c:formatCode>
                <c:ptCount val="98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20022002200221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まっつん2!$D$3:$D$100</c:f>
              <c:numCache>
                <c:formatCode>0.00\ "位"</c:formatCode>
                <c:ptCount val="98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まっつん2!$E$3:$E$100</c:f>
              <c:numCache>
                <c:formatCode>0.0%</c:formatCode>
                <c:ptCount val="9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まっつん2!$F$3:$F$100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まっつん2!$G$3:$G$100</c:f>
              <c:numCache>
                <c:formatCode>0.0%</c:formatCode>
                <c:ptCount val="98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503509468944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まっつん2!$H$3:$H$100</c:f>
              <c:numCache>
                <c:formatCode>0.0%</c:formatCode>
                <c:ptCount val="98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0045027148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まっつん2!$I$3:$I$100</c:f>
              <c:numCache>
                <c:formatCode>0</c:formatCode>
                <c:ptCount val="98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6.18456078083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まっつん2!$J$3:$J$100</c:f>
              <c:numCache>
                <c:formatCode>0</c:formatCode>
                <c:ptCount val="98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05.5643879173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まっつん2!$K$3:$K$100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91199119911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まっつん2!$L$3:$L$100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91199119911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まっつん2!$M$3:$M$100</c:f>
              <c:numCache>
                <c:formatCode>0.0%</c:formatCode>
                <c:ptCount val="98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76559396106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まっつん2!$N$3:$N$100</c:f>
              <c:numCache>
                <c:formatCode>0.0%</c:formatCode>
                <c:ptCount val="98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70056946099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まっつん2!$O$3:$O$100</c:f>
              <c:numCache>
                <c:formatCode>0.0%</c:formatCode>
                <c:ptCount val="98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846833578792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まっつん2!$P$3:$P$100</c:f>
              <c:numCache>
                <c:formatCode>0.0%</c:formatCode>
                <c:ptCount val="98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37712130735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まっつん2!$Q$3:$Q$100</c:f>
              <c:numCache>
                <c:formatCode>0.0%</c:formatCode>
                <c:ptCount val="98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89529724933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43656.455613425926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43657.676585648151</v>
      </c>
      <c r="C86" s="30" t="s">
        <v>130</v>
      </c>
    </row>
    <row r="87" spans="1:15" x14ac:dyDescent="0.4">
      <c r="A87" s="30" t="s">
        <v>278</v>
      </c>
      <c r="B87" s="31">
        <v>43658.032430555555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43659.055625000001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43660.091122685182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281</v>
      </c>
      <c r="B90" s="31">
        <v>43660.971759259257</v>
      </c>
      <c r="C90" s="30" t="s">
        <v>130</v>
      </c>
      <c r="D90" s="30" t="s">
        <v>131</v>
      </c>
      <c r="E90" s="30" t="s">
        <v>169</v>
      </c>
      <c r="F90" s="30" t="s">
        <v>174</v>
      </c>
      <c r="G90" s="30" t="s">
        <v>175</v>
      </c>
      <c r="H90" s="30" t="s">
        <v>185</v>
      </c>
      <c r="I90" s="30" t="s">
        <v>186</v>
      </c>
      <c r="J90" s="30" t="s">
        <v>187</v>
      </c>
      <c r="K90" s="30" t="s">
        <v>228</v>
      </c>
      <c r="L90" s="30" t="s">
        <v>282</v>
      </c>
      <c r="M90" s="30" t="s">
        <v>283</v>
      </c>
      <c r="N90" s="30" t="s">
        <v>284</v>
      </c>
      <c r="O90" s="30" t="s">
        <v>285</v>
      </c>
    </row>
    <row r="91" spans="1:15" x14ac:dyDescent="0.4">
      <c r="A91" s="30" t="s">
        <v>286</v>
      </c>
      <c r="B91" s="31">
        <v>43662.008599537039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909</v>
      </c>
    </row>
    <row r="2" spans="1:2" x14ac:dyDescent="0.4">
      <c r="A2" t="s">
        <v>127</v>
      </c>
      <c r="B2">
        <v>194</v>
      </c>
    </row>
    <row r="3" spans="1:2" x14ac:dyDescent="0.4">
      <c r="A3" t="s">
        <v>128</v>
      </c>
      <c r="B3">
        <v>159</v>
      </c>
    </row>
    <row r="4" spans="1:2" x14ac:dyDescent="0.4">
      <c r="A4" t="s">
        <v>129</v>
      </c>
      <c r="B4">
        <v>147</v>
      </c>
    </row>
    <row r="5" spans="1:2" x14ac:dyDescent="0.4">
      <c r="A5" t="s">
        <v>171</v>
      </c>
      <c r="B5">
        <v>103</v>
      </c>
    </row>
    <row r="6" spans="1:2" x14ac:dyDescent="0.4">
      <c r="A6" t="s">
        <v>172</v>
      </c>
      <c r="B6">
        <v>97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0.97070966328745634</v>
      </c>
      <c r="G2" s="159"/>
      <c r="H2" s="158">
        <v>0.690005830864452</v>
      </c>
      <c r="I2" s="159"/>
      <c r="J2" s="158">
        <v>0.9023943572131452</v>
      </c>
      <c r="K2" s="159"/>
      <c r="L2" s="158">
        <v>0.69217923569785278</v>
      </c>
      <c r="M2" s="159"/>
      <c r="N2" s="158">
        <v>0.72329716709028868</v>
      </c>
      <c r="O2" s="159"/>
      <c r="P2" s="158">
        <v>0.34547442237551923</v>
      </c>
      <c r="Q2" s="159"/>
      <c r="R2" s="158">
        <v>0.50044965397344388</v>
      </c>
      <c r="S2" s="159"/>
      <c r="T2" s="158">
        <v>0.63194598242862565</v>
      </c>
      <c r="U2" s="159"/>
      <c r="V2" s="158">
        <v>0.51950437791181803</v>
      </c>
      <c r="W2" s="159"/>
      <c r="X2" s="158">
        <v>0.57153437961304987</v>
      </c>
      <c r="Y2" s="159"/>
      <c r="Z2" s="158">
        <v>8.8077023476725885E-2</v>
      </c>
      <c r="AA2" s="159"/>
      <c r="AB2" s="158">
        <v>-8.5153583336975536E-2</v>
      </c>
      <c r="AC2" s="159"/>
      <c r="AD2" s="158">
        <v>0.73625826824216034</v>
      </c>
      <c r="AE2" s="159"/>
      <c r="AF2" s="158">
        <v>-9.1271790342425923E-3</v>
      </c>
      <c r="AG2" s="159"/>
      <c r="AH2" s="158">
        <v>0.57759211746837147</v>
      </c>
      <c r="AI2" s="159"/>
    </row>
    <row r="3" spans="1:35" x14ac:dyDescent="0.4">
      <c r="A3" s="74">
        <v>1</v>
      </c>
      <c r="B3" s="75" t="s">
        <v>127</v>
      </c>
      <c r="C3" s="76">
        <v>2350.1000000000004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0.30238393977415307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1.768041237113402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0.17010309278350516</v>
      </c>
      <c r="X4" s="85" t="s">
        <v>128</v>
      </c>
      <c r="Y4" s="88">
        <v>0.29555895865237364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0.51311953352769679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0.47422680412371132</v>
      </c>
      <c r="J5" s="85" t="s">
        <v>200</v>
      </c>
      <c r="K5" s="87">
        <v>0.21052631578947367</v>
      </c>
      <c r="L5" s="85" t="s">
        <v>172</v>
      </c>
      <c r="M5" s="88">
        <v>0.33740831295843521</v>
      </c>
      <c r="N5" s="85" t="s">
        <v>223</v>
      </c>
      <c r="O5" s="88">
        <v>0.13043478260869565</v>
      </c>
      <c r="P5" s="85" t="s">
        <v>171</v>
      </c>
      <c r="Q5" s="89">
        <v>9911.7886178861791</v>
      </c>
      <c r="R5" s="85" t="s">
        <v>177</v>
      </c>
      <c r="S5" s="89">
        <v>-7187.3949579831933</v>
      </c>
      <c r="T5" s="85" t="s">
        <v>223</v>
      </c>
      <c r="U5" s="87">
        <v>0</v>
      </c>
      <c r="V5" s="85" t="s">
        <v>171</v>
      </c>
      <c r="W5" s="87">
        <v>0.14563106796116504</v>
      </c>
      <c r="X5" s="85" t="s">
        <v>171</v>
      </c>
      <c r="Y5" s="88">
        <v>0.28421052631578947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171</v>
      </c>
      <c r="C6" s="84">
        <v>66.40000000000002</v>
      </c>
      <c r="D6" s="85" t="s">
        <v>127</v>
      </c>
      <c r="E6" s="97">
        <v>12.113917525773198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0.2422680412371134</v>
      </c>
      <c r="L6" s="85" t="s">
        <v>127</v>
      </c>
      <c r="M6" s="88">
        <v>0.33688833124215811</v>
      </c>
      <c r="N6" s="85" t="s">
        <v>172</v>
      </c>
      <c r="O6" s="88">
        <v>0.14180929095354522</v>
      </c>
      <c r="P6" s="85" t="s">
        <v>127</v>
      </c>
      <c r="Q6" s="89">
        <v>9243.9478584729986</v>
      </c>
      <c r="R6" s="85" t="s">
        <v>128</v>
      </c>
      <c r="S6" s="89">
        <v>-7465.8227848101269</v>
      </c>
      <c r="T6" s="85" t="s">
        <v>172</v>
      </c>
      <c r="U6" s="87">
        <v>5.1546391752577317E-2</v>
      </c>
      <c r="V6" s="85" t="s">
        <v>145</v>
      </c>
      <c r="W6" s="87">
        <v>0.11991199119911991</v>
      </c>
      <c r="X6" s="85" t="s">
        <v>177</v>
      </c>
      <c r="Y6" s="88">
        <v>0.27742749054224464</v>
      </c>
      <c r="Z6" s="85" t="s">
        <v>172</v>
      </c>
      <c r="AA6" s="88">
        <v>0.2823960880195599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4.9631578947368409</v>
      </c>
      <c r="F7" s="85" t="s">
        <v>177</v>
      </c>
      <c r="G7" s="86">
        <v>1.9896907216494846</v>
      </c>
      <c r="H7" s="85" t="s">
        <v>177</v>
      </c>
      <c r="I7" s="87">
        <v>0.34020618556701032</v>
      </c>
      <c r="J7" s="85" t="s">
        <v>172</v>
      </c>
      <c r="K7" s="87">
        <v>0.30927835051546393</v>
      </c>
      <c r="L7" s="85" t="s">
        <v>145</v>
      </c>
      <c r="M7" s="88">
        <v>0.29850350946894449</v>
      </c>
      <c r="N7" s="85" t="s">
        <v>177</v>
      </c>
      <c r="O7" s="88">
        <v>0.15006305170239598</v>
      </c>
      <c r="P7" s="85" t="s">
        <v>128</v>
      </c>
      <c r="Q7" s="89">
        <v>8941.9889502762435</v>
      </c>
      <c r="R7" s="85" t="s">
        <v>145</v>
      </c>
      <c r="S7" s="89">
        <v>-8105.5643879173294</v>
      </c>
      <c r="T7" s="85" t="s">
        <v>127</v>
      </c>
      <c r="U7" s="87">
        <v>8.7628865979381437E-2</v>
      </c>
      <c r="V7" s="85" t="s">
        <v>177</v>
      </c>
      <c r="W7" s="87">
        <v>0.1134020618556701</v>
      </c>
      <c r="X7" s="85" t="s">
        <v>145</v>
      </c>
      <c r="Y7" s="88">
        <v>0.26976559396106475</v>
      </c>
      <c r="Z7" s="85" t="s">
        <v>184</v>
      </c>
      <c r="AA7" s="88">
        <v>0.24861878453038674</v>
      </c>
      <c r="AB7" s="85" t="s">
        <v>177</v>
      </c>
      <c r="AC7" s="88">
        <v>0.60909090909090913</v>
      </c>
      <c r="AD7" s="85" t="s">
        <v>172</v>
      </c>
      <c r="AE7" s="88">
        <v>0.42857142857142855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19.799999999999926</v>
      </c>
      <c r="D8" s="85" t="s">
        <v>171</v>
      </c>
      <c r="E8" s="97">
        <v>0.64466019417475751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0.32989690721649484</v>
      </c>
      <c r="L8" s="85" t="s">
        <v>171</v>
      </c>
      <c r="M8" s="88">
        <v>0.28771929824561404</v>
      </c>
      <c r="N8" s="85" t="s">
        <v>127</v>
      </c>
      <c r="O8" s="88">
        <v>0.15181932245922208</v>
      </c>
      <c r="P8" s="85" t="s">
        <v>177</v>
      </c>
      <c r="Q8" s="89">
        <v>8802.2935779816507</v>
      </c>
      <c r="R8" s="85" t="s">
        <v>127</v>
      </c>
      <c r="S8" s="89">
        <v>-8108.2644628099169</v>
      </c>
      <c r="T8" s="85" t="s">
        <v>171</v>
      </c>
      <c r="U8" s="87">
        <v>0.10679611650485436</v>
      </c>
      <c r="V8" s="85" t="s">
        <v>172</v>
      </c>
      <c r="W8" s="87">
        <v>0.10309278350515463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0.40963855421686746</v>
      </c>
      <c r="AF8" s="85" t="s">
        <v>177</v>
      </c>
      <c r="AG8" s="88">
        <v>0.45871559633027525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0.20412371134020543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0.2841648590021692</v>
      </c>
      <c r="N9" s="85" t="s">
        <v>200</v>
      </c>
      <c r="O9" s="88">
        <v>0.16</v>
      </c>
      <c r="P9" s="85" t="s">
        <v>145</v>
      </c>
      <c r="Q9" s="89">
        <v>8646.1845607808336</v>
      </c>
      <c r="R9" s="85" t="s">
        <v>172</v>
      </c>
      <c r="S9" s="89">
        <v>-8190.5172413793107</v>
      </c>
      <c r="T9" s="85" t="s">
        <v>145</v>
      </c>
      <c r="U9" s="87">
        <v>0.11991199119911991</v>
      </c>
      <c r="V9" s="85" t="s">
        <v>129</v>
      </c>
      <c r="W9" s="87">
        <v>0.10204081632653061</v>
      </c>
      <c r="X9" s="85" t="s">
        <v>129</v>
      </c>
      <c r="Y9" s="88">
        <v>0.25769854132901132</v>
      </c>
      <c r="Z9" s="85" t="s">
        <v>127</v>
      </c>
      <c r="AA9" s="88">
        <v>0.21518193224592222</v>
      </c>
      <c r="AB9" s="85" t="s">
        <v>128</v>
      </c>
      <c r="AC9" s="88">
        <v>0.58808290155440412</v>
      </c>
      <c r="AD9" s="85" t="s">
        <v>145</v>
      </c>
      <c r="AE9" s="88">
        <v>0.40037712130735387</v>
      </c>
      <c r="AF9" s="85" t="s">
        <v>128</v>
      </c>
      <c r="AG9" s="88">
        <v>0.43922651933701656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-2.0000000000000142</v>
      </c>
      <c r="D10" s="85" t="s">
        <v>145</v>
      </c>
      <c r="E10" s="97">
        <v>-2.2002200220022157E-3</v>
      </c>
      <c r="F10" s="85" t="s">
        <v>171</v>
      </c>
      <c r="G10" s="86">
        <v>2.029126213592233</v>
      </c>
      <c r="H10" s="85" t="s">
        <v>171</v>
      </c>
      <c r="I10" s="87">
        <v>0.31067961165048541</v>
      </c>
      <c r="J10" s="85" t="s">
        <v>223</v>
      </c>
      <c r="K10" s="87">
        <v>0.33333333333333331</v>
      </c>
      <c r="L10" s="85" t="s">
        <v>128</v>
      </c>
      <c r="M10" s="88">
        <v>0.27718223583460949</v>
      </c>
      <c r="N10" s="85" t="s">
        <v>145</v>
      </c>
      <c r="O10" s="88">
        <v>0.16660045027148723</v>
      </c>
      <c r="P10" s="85" t="s">
        <v>184</v>
      </c>
      <c r="Q10" s="89">
        <v>8434</v>
      </c>
      <c r="R10" s="85" t="s">
        <v>173</v>
      </c>
      <c r="S10" s="89">
        <v>-8327.3809523809523</v>
      </c>
      <c r="T10" s="85" t="s">
        <v>128</v>
      </c>
      <c r="U10" s="87">
        <v>0.12578616352201258</v>
      </c>
      <c r="V10" s="85" t="s">
        <v>128</v>
      </c>
      <c r="W10" s="87">
        <v>0.10062893081761007</v>
      </c>
      <c r="X10" s="85" t="s">
        <v>200</v>
      </c>
      <c r="Y10" s="88">
        <v>0.24571428571428572</v>
      </c>
      <c r="Z10" s="85" t="s">
        <v>145</v>
      </c>
      <c r="AA10" s="88">
        <v>0.21070056946099855</v>
      </c>
      <c r="AB10" s="85" t="s">
        <v>127</v>
      </c>
      <c r="AC10" s="88">
        <v>0.57883817427385897</v>
      </c>
      <c r="AD10" s="85" t="s">
        <v>184</v>
      </c>
      <c r="AE10" s="88">
        <v>0.37777777777777777</v>
      </c>
      <c r="AF10" s="85" t="s">
        <v>145</v>
      </c>
      <c r="AG10" s="88">
        <v>0.43389529724933451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-200.50000000000006</v>
      </c>
      <c r="D11" s="85" t="s">
        <v>172</v>
      </c>
      <c r="E11" s="97">
        <v>-2.0670103092783512</v>
      </c>
      <c r="F11" s="85" t="s">
        <v>172</v>
      </c>
      <c r="G11" s="86">
        <v>2.0618556701030926</v>
      </c>
      <c r="H11" s="85" t="s">
        <v>129</v>
      </c>
      <c r="I11" s="87">
        <v>0.29931972789115646</v>
      </c>
      <c r="J11" s="85" t="s">
        <v>128</v>
      </c>
      <c r="K11" s="87">
        <v>0.33962264150943394</v>
      </c>
      <c r="L11" s="85" t="s">
        <v>184</v>
      </c>
      <c r="M11" s="88">
        <v>0.27624309392265195</v>
      </c>
      <c r="N11" s="85" t="s">
        <v>171</v>
      </c>
      <c r="O11" s="88">
        <v>0.17426900584795321</v>
      </c>
      <c r="P11" s="85" t="s">
        <v>129</v>
      </c>
      <c r="Q11" s="89">
        <v>8270.3264094955484</v>
      </c>
      <c r="R11" s="85" t="s">
        <v>200</v>
      </c>
      <c r="S11" s="89">
        <v>-8367.8571428571431</v>
      </c>
      <c r="T11" s="85" t="s">
        <v>177</v>
      </c>
      <c r="U11" s="87">
        <v>0.13402061855670103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0.57584683357879229</v>
      </c>
      <c r="AD11" s="85" t="s">
        <v>129</v>
      </c>
      <c r="AE11" s="88">
        <v>0.34199134199134201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-2.5811320754716984</v>
      </c>
      <c r="F12" s="85" t="s">
        <v>128</v>
      </c>
      <c r="G12" s="86">
        <v>2.0691823899371071</v>
      </c>
      <c r="H12" s="85" t="s">
        <v>173</v>
      </c>
      <c r="I12" s="87">
        <v>0.28301886792452829</v>
      </c>
      <c r="J12" s="85" t="s">
        <v>171</v>
      </c>
      <c r="K12" s="87">
        <v>0.33980582524271846</v>
      </c>
      <c r="L12" s="85" t="s">
        <v>177</v>
      </c>
      <c r="M12" s="88">
        <v>0.27490542244640603</v>
      </c>
      <c r="N12" s="85" t="s">
        <v>129</v>
      </c>
      <c r="O12" s="88">
        <v>0.17909238249594814</v>
      </c>
      <c r="P12" s="85" t="s">
        <v>200</v>
      </c>
      <c r="Q12" s="89">
        <v>8058.333333333333</v>
      </c>
      <c r="R12" s="85" t="s">
        <v>171</v>
      </c>
      <c r="S12" s="89">
        <v>-8416.7785234899329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0.19415204678362574</v>
      </c>
      <c r="AB12" s="85" t="s">
        <v>171</v>
      </c>
      <c r="AC12" s="88">
        <v>0.56378600823045266</v>
      </c>
      <c r="AD12" s="85" t="s">
        <v>173</v>
      </c>
      <c r="AE12" s="88">
        <v>0.33944954128440369</v>
      </c>
      <c r="AF12" s="85" t="s">
        <v>127</v>
      </c>
      <c r="AG12" s="88">
        <v>0.41899441340782123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-7.4849056603773594</v>
      </c>
      <c r="F13" s="85" t="s">
        <v>173</v>
      </c>
      <c r="G13" s="86">
        <v>2.1132075471698113</v>
      </c>
      <c r="H13" s="85" t="s">
        <v>128</v>
      </c>
      <c r="I13" s="87">
        <v>0.27044025157232704</v>
      </c>
      <c r="J13" s="85" t="s">
        <v>173</v>
      </c>
      <c r="K13" s="87">
        <v>0.39622641509433965</v>
      </c>
      <c r="L13" s="85" t="s">
        <v>129</v>
      </c>
      <c r="M13" s="88">
        <v>0.27309562398703402</v>
      </c>
      <c r="N13" s="85" t="s">
        <v>128</v>
      </c>
      <c r="O13" s="88">
        <v>0.18147013782542112</v>
      </c>
      <c r="P13" s="85" t="s">
        <v>183</v>
      </c>
      <c r="Q13" s="89">
        <v>7860</v>
      </c>
      <c r="R13" s="85" t="s">
        <v>129</v>
      </c>
      <c r="S13" s="89">
        <v>-8593.6651583710409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129</v>
      </c>
      <c r="AA13" s="88">
        <v>0.18719611021069693</v>
      </c>
      <c r="AB13" s="85" t="s">
        <v>173</v>
      </c>
      <c r="AC13" s="88">
        <v>0.55339805825242716</v>
      </c>
      <c r="AD13" s="85" t="s">
        <v>177</v>
      </c>
      <c r="AE13" s="88">
        <v>0.33793103448275863</v>
      </c>
      <c r="AF13" s="85" t="s">
        <v>129</v>
      </c>
      <c r="AG13" s="88">
        <v>0.41839762611275966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-396.70000000000005</v>
      </c>
      <c r="D14" s="85" t="s">
        <v>129</v>
      </c>
      <c r="E14" s="97">
        <v>-8.145578231292518</v>
      </c>
      <c r="F14" s="85" t="s">
        <v>129</v>
      </c>
      <c r="G14" s="86">
        <v>2.1156462585034013</v>
      </c>
      <c r="H14" s="85" t="s">
        <v>172</v>
      </c>
      <c r="I14" s="87">
        <v>0.24742268041237114</v>
      </c>
      <c r="J14" s="85" t="s">
        <v>129</v>
      </c>
      <c r="K14" s="87">
        <v>0.41496598639455784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129</v>
      </c>
      <c r="U14" s="87">
        <v>0.16326530612244897</v>
      </c>
      <c r="V14" s="85" t="s">
        <v>183</v>
      </c>
      <c r="W14" s="87">
        <v>0</v>
      </c>
      <c r="X14" s="85" t="s">
        <v>172</v>
      </c>
      <c r="Y14" s="88">
        <v>0.2139364303178484</v>
      </c>
      <c r="Z14" s="85" t="s">
        <v>177</v>
      </c>
      <c r="AA14" s="88">
        <v>0.1828499369482976</v>
      </c>
      <c r="AB14" s="85" t="s">
        <v>172</v>
      </c>
      <c r="AC14" s="88">
        <v>0.5485714285714286</v>
      </c>
      <c r="AD14" s="85" t="s">
        <v>128</v>
      </c>
      <c r="AE14" s="88">
        <v>0.32142857142857145</v>
      </c>
      <c r="AF14" s="85" t="s">
        <v>171</v>
      </c>
      <c r="AG14" s="88">
        <v>0.4065040650406504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-410.40000000000003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6819.927536231884</v>
      </c>
      <c r="R15" s="85" t="s">
        <v>223</v>
      </c>
      <c r="S15" s="89">
        <v>-10583.333333333334</v>
      </c>
      <c r="T15" s="85" t="s">
        <v>271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0.17151607963246554</v>
      </c>
      <c r="AB15" s="85" t="s">
        <v>129</v>
      </c>
      <c r="AC15" s="88">
        <v>0.54088050314465408</v>
      </c>
      <c r="AD15" s="85" t="s">
        <v>271</v>
      </c>
      <c r="AE15" s="88">
        <v>0.25</v>
      </c>
      <c r="AF15" s="85" t="s">
        <v>172</v>
      </c>
      <c r="AG15" s="88">
        <v>0.39855072463768115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-1197.4000000000001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420E-D70C-418A-8AE0-774977567C5A}">
  <sheetPr codeName="Sheet4"/>
  <dimension ref="A1:Q91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909</v>
      </c>
      <c r="C2" s="151"/>
      <c r="E2" s="62" t="s">
        <v>67</v>
      </c>
      <c r="F2" s="59" t="s">
        <v>23</v>
      </c>
      <c r="G2" s="46">
        <v>1631</v>
      </c>
      <c r="H2" s="132">
        <f>IF(B$17=0,0,G2/B$17)</f>
        <v>0.72360248447204967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-16.501650165016503</v>
      </c>
      <c r="P2" s="118">
        <v>909</v>
      </c>
      <c r="Q2" s="102">
        <v>-15000</v>
      </c>
    </row>
    <row r="3" spans="1:17" x14ac:dyDescent="0.4">
      <c r="A3" s="55" t="s">
        <v>8</v>
      </c>
      <c r="B3" s="152">
        <v>7551</v>
      </c>
      <c r="C3" s="153"/>
      <c r="E3" s="63" t="s">
        <v>73</v>
      </c>
      <c r="F3" s="60" t="s">
        <v>28</v>
      </c>
      <c r="G3" s="47">
        <v>1169</v>
      </c>
      <c r="H3" s="133">
        <f>IF(B$17=0,0,G3/B$17)</f>
        <v>0.51863354037267084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-5.6306306306306304</v>
      </c>
      <c r="P3" s="119">
        <v>888</v>
      </c>
      <c r="Q3" s="103">
        <v>-5000</v>
      </c>
    </row>
    <row r="4" spans="1:17" x14ac:dyDescent="0.4">
      <c r="A4" s="55" t="s">
        <v>6</v>
      </c>
      <c r="B4" s="154">
        <v>-2.0000000000000142</v>
      </c>
      <c r="C4" s="155"/>
      <c r="E4" s="63" t="s">
        <v>65</v>
      </c>
      <c r="F4" s="60" t="s">
        <v>21</v>
      </c>
      <c r="G4" s="47">
        <v>1116</v>
      </c>
      <c r="H4" s="133">
        <f>IF(B$17=0,0,G4/B$17)</f>
        <v>0.49511978704525289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12.121212121212121</v>
      </c>
      <c r="P4" s="119">
        <v>825</v>
      </c>
      <c r="Q4" s="103">
        <v>10000</v>
      </c>
    </row>
    <row r="5" spans="1:17" x14ac:dyDescent="0.4">
      <c r="A5" s="55" t="s">
        <v>7</v>
      </c>
      <c r="B5" s="156">
        <f>IF(B$2=0,0,B$4/B$2)</f>
        <v>-2.2002200220022157E-3</v>
      </c>
      <c r="C5" s="157"/>
      <c r="E5" s="63" t="s">
        <v>245</v>
      </c>
      <c r="F5" s="60" t="s">
        <v>246</v>
      </c>
      <c r="G5" s="47">
        <v>909</v>
      </c>
      <c r="H5" s="133">
        <f>IF(B$17=0,0,G5/B$17)</f>
        <v>0.40328305235137535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5.2493438320209975</v>
      </c>
      <c r="P5" s="119">
        <v>762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704</v>
      </c>
      <c r="H6" s="133">
        <f>IF(B$17=0,0,G6/B$17)</f>
        <v>0.31233362910381546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-14.619883040935672</v>
      </c>
      <c r="P6" s="119">
        <v>684</v>
      </c>
      <c r="Q6" s="103">
        <v>-10000</v>
      </c>
    </row>
    <row r="7" spans="1:17" x14ac:dyDescent="0.4">
      <c r="A7" s="55" t="s">
        <v>2</v>
      </c>
      <c r="B7" s="47">
        <v>303</v>
      </c>
      <c r="C7" s="39">
        <f>IF(B$2=0,0,B7/B$2)</f>
        <v>0.33333333333333331</v>
      </c>
      <c r="E7" s="63" t="s">
        <v>68</v>
      </c>
      <c r="F7" s="60" t="s">
        <v>24</v>
      </c>
      <c r="G7" s="47">
        <v>680</v>
      </c>
      <c r="H7" s="133">
        <f>IF(B$17=0,0,G7/B$17)</f>
        <v>0.30168589174800353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23.333333333333332</v>
      </c>
      <c r="P7" s="120">
        <v>600</v>
      </c>
      <c r="Q7" s="104">
        <v>14000</v>
      </c>
    </row>
    <row r="8" spans="1:17" x14ac:dyDescent="0.4">
      <c r="A8" s="55" t="s">
        <v>3</v>
      </c>
      <c r="B8" s="47">
        <v>303</v>
      </c>
      <c r="C8" s="39">
        <f>IF(B$2=0,0,B8/B$2)</f>
        <v>0.33333333333333331</v>
      </c>
      <c r="E8" s="63" t="s">
        <v>70</v>
      </c>
      <c r="F8" s="60" t="s">
        <v>25</v>
      </c>
      <c r="G8" s="47">
        <v>382</v>
      </c>
      <c r="H8" s="133">
        <f>IF(B$17=0,0,G8/B$17)</f>
        <v>0.16947648624667258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303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289</v>
      </c>
      <c r="H9" s="133">
        <f>IF(B$17=0,0,G9/B$17)</f>
        <v>0.12821650399290152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0.11991199119911991</v>
      </c>
      <c r="E10" s="63" t="s">
        <v>66</v>
      </c>
      <c r="F10" s="60" t="s">
        <v>22</v>
      </c>
      <c r="G10" s="47">
        <v>249</v>
      </c>
      <c r="H10" s="133">
        <f>IF(B$17=0,0,G10/B$17)</f>
        <v>0.11047027506654836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-2.5633663366336612</v>
      </c>
      <c r="P10" s="118">
        <v>303</v>
      </c>
      <c r="Q10" s="106">
        <v>-776.69999999999936</v>
      </c>
    </row>
    <row r="11" spans="1:17" x14ac:dyDescent="0.4">
      <c r="A11" s="56" t="s">
        <v>140</v>
      </c>
      <c r="B11" s="48">
        <v>109</v>
      </c>
      <c r="C11" s="40">
        <f>IF(B$2=0,0,B11/B$2)</f>
        <v>0.11991199119911991</v>
      </c>
      <c r="E11" s="63" t="s">
        <v>71</v>
      </c>
      <c r="F11" s="60" t="s">
        <v>26</v>
      </c>
      <c r="G11" s="47">
        <v>229</v>
      </c>
      <c r="H11" s="133">
        <f>IF(B$17=0,0,G11/B$17)</f>
        <v>0.10159716060337179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2.1366336633663368</v>
      </c>
      <c r="P11" s="119">
        <v>303</v>
      </c>
      <c r="Q11" s="107">
        <v>647.40000000000009</v>
      </c>
    </row>
    <row r="12" spans="1:17" x14ac:dyDescent="0.4">
      <c r="A12" s="57" t="s">
        <v>160</v>
      </c>
      <c r="B12" s="49">
        <v>81</v>
      </c>
      <c r="C12" s="42">
        <f>IF(B$2=0,0,B12/B$2)</f>
        <v>8.9108910891089105E-2</v>
      </c>
      <c r="E12" s="63" t="s">
        <v>72</v>
      </c>
      <c r="F12" s="60" t="s">
        <v>27</v>
      </c>
      <c r="G12" s="47">
        <v>151</v>
      </c>
      <c r="H12" s="133">
        <f>IF(B$17=0,0,G12/B$17)</f>
        <v>6.6992014196983141E-2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0.42013201320131971</v>
      </c>
      <c r="P12" s="120">
        <v>303</v>
      </c>
      <c r="Q12" s="108">
        <v>127.29999999999987</v>
      </c>
    </row>
    <row r="13" spans="1:17" x14ac:dyDescent="0.4">
      <c r="A13" s="58" t="s">
        <v>122</v>
      </c>
      <c r="B13" s="50">
        <v>2037</v>
      </c>
      <c r="C13" s="44">
        <f>IF(B$3=0,0,B13/B$3)</f>
        <v>0.26976559396106475</v>
      </c>
      <c r="E13" s="63" t="s">
        <v>87</v>
      </c>
      <c r="F13" s="60" t="s">
        <v>42</v>
      </c>
      <c r="G13" s="47">
        <v>133</v>
      </c>
      <c r="H13" s="133">
        <f>IF(B$17=0,0,G13/B$17)</f>
        <v>5.9006211180124224E-2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1591</v>
      </c>
      <c r="C14" s="39">
        <f>IF(B$3=0,0,B14/B$3)</f>
        <v>0.21070056946099855</v>
      </c>
      <c r="E14" s="63" t="s">
        <v>84</v>
      </c>
      <c r="F14" s="60" t="s">
        <v>39</v>
      </c>
      <c r="G14" s="47">
        <v>110</v>
      </c>
      <c r="H14" s="133">
        <f>IF(B$17=0,0,G14/B$17)</f>
        <v>4.8802129547471165E-2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1173</v>
      </c>
      <c r="C15" s="37">
        <f>IF(B$13=0,0,B15/B$13)</f>
        <v>0.57584683357879229</v>
      </c>
      <c r="E15" s="63" t="s">
        <v>79</v>
      </c>
      <c r="F15" s="60" t="s">
        <v>34</v>
      </c>
      <c r="G15" s="47">
        <v>60</v>
      </c>
      <c r="H15" s="133">
        <f>IF(B$17=0,0,G15/B$17)</f>
        <v>2.6619343389529725E-2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637</v>
      </c>
      <c r="C16" s="37">
        <f>IF(B$14=0,0,B16/B$14)</f>
        <v>0.40037712130735387</v>
      </c>
      <c r="E16" s="63" t="s">
        <v>82</v>
      </c>
      <c r="F16" s="60" t="s">
        <v>37</v>
      </c>
      <c r="G16" s="47">
        <v>59</v>
      </c>
      <c r="H16" s="133">
        <f>IF(B$17=0,0,G16/B$17)</f>
        <v>2.6175687666370896E-2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18.739583333333339</v>
      </c>
      <c r="P16" s="119">
        <v>48</v>
      </c>
      <c r="Q16" s="107">
        <v>899.50000000000023</v>
      </c>
    </row>
    <row r="17" spans="1:17" x14ac:dyDescent="0.4">
      <c r="A17" s="54" t="s">
        <v>10</v>
      </c>
      <c r="B17" s="46">
        <f>B19+B18</f>
        <v>2254</v>
      </c>
      <c r="C17" s="37">
        <f>IF(B$3=0,0,B17/B$3)</f>
        <v>0.29850350946894449</v>
      </c>
      <c r="E17" s="63" t="s">
        <v>92</v>
      </c>
      <c r="F17" s="60" t="s">
        <v>47</v>
      </c>
      <c r="G17" s="47">
        <v>45</v>
      </c>
      <c r="H17" s="133">
        <f>IF(B$17=0,0,G17/B$17)</f>
        <v>1.9964507542147295E-2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12.211564625850368</v>
      </c>
      <c r="P17" s="119">
        <v>294</v>
      </c>
      <c r="Q17" s="107">
        <v>3590.200000000008</v>
      </c>
    </row>
    <row r="18" spans="1:17" x14ac:dyDescent="0.4">
      <c r="A18" s="55" t="s">
        <v>12</v>
      </c>
      <c r="B18" s="47">
        <v>978</v>
      </c>
      <c r="C18" s="39">
        <f>IF(B$17=0,0,B18/B$17)</f>
        <v>0.43389529724933451</v>
      </c>
      <c r="E18" s="63" t="s">
        <v>180</v>
      </c>
      <c r="F18" s="60" t="s">
        <v>181</v>
      </c>
      <c r="G18" s="47">
        <v>39</v>
      </c>
      <c r="H18" s="133">
        <f>IF(B$17=0,0,G18/B$17)</f>
        <v>1.7302573203194321E-2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11.227358490566031</v>
      </c>
      <c r="P18" s="119">
        <v>106</v>
      </c>
      <c r="Q18" s="107">
        <v>1190.0999999999992</v>
      </c>
    </row>
    <row r="19" spans="1:17" x14ac:dyDescent="0.4">
      <c r="A19" s="55" t="s">
        <v>11</v>
      </c>
      <c r="B19" s="47">
        <v>1276</v>
      </c>
      <c r="C19" s="39">
        <f>IF(B$17=0,0,B19/B$17)</f>
        <v>0.56610470275066549</v>
      </c>
      <c r="E19" s="63" t="s">
        <v>80</v>
      </c>
      <c r="F19" s="60" t="s">
        <v>35</v>
      </c>
      <c r="G19" s="47">
        <v>37</v>
      </c>
      <c r="H19" s="133">
        <f>IF(B$17=0,0,G19/B$17)</f>
        <v>1.6415261756876662E-2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3.8716981132075485</v>
      </c>
      <c r="P19" s="119">
        <v>318</v>
      </c>
      <c r="Q19" s="107">
        <v>1231.2000000000005</v>
      </c>
    </row>
    <row r="20" spans="1:17" x14ac:dyDescent="0.4">
      <c r="A20" s="55" t="s">
        <v>13</v>
      </c>
      <c r="B20" s="47">
        <v>1258</v>
      </c>
      <c r="C20" s="39">
        <f>IF(B$3=0,0,B20/B$3)</f>
        <v>0.16660045027148723</v>
      </c>
      <c r="E20" s="63" t="s">
        <v>78</v>
      </c>
      <c r="F20" s="60" t="s">
        <v>33</v>
      </c>
      <c r="G20" s="47">
        <v>19</v>
      </c>
      <c r="H20" s="133">
        <f>IF(B$17=0,0,G20/B$17)</f>
        <v>8.4294587400177458E-3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3.100515463917525</v>
      </c>
      <c r="P20" s="119">
        <v>194</v>
      </c>
      <c r="Q20" s="107">
        <v>601.49999999999989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15</v>
      </c>
      <c r="H21" s="133">
        <f>IF(B$17=0,0,G21/B$17)</f>
        <v>6.6548358473824312E-3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-0.30618556701031147</v>
      </c>
      <c r="P21" s="119">
        <v>194</v>
      </c>
      <c r="Q21" s="107">
        <v>-59.400000000000425</v>
      </c>
    </row>
    <row r="22" spans="1:17" x14ac:dyDescent="0.4">
      <c r="A22" s="55" t="s">
        <v>192</v>
      </c>
      <c r="B22" s="47">
        <v>31</v>
      </c>
      <c r="C22" s="135">
        <v>9</v>
      </c>
      <c r="E22" s="63" t="s">
        <v>76</v>
      </c>
      <c r="F22" s="60" t="s">
        <v>31</v>
      </c>
      <c r="G22" s="47">
        <v>13</v>
      </c>
      <c r="H22" s="133">
        <f>IF(B$17=0,0,G22/B$17)</f>
        <v>5.7675244010647738E-3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-0.96699029126213376</v>
      </c>
      <c r="P22" s="119">
        <v>206</v>
      </c>
      <c r="Q22" s="107">
        <v>-199.19999999999956</v>
      </c>
    </row>
    <row r="23" spans="1:17" x14ac:dyDescent="0.4">
      <c r="A23" s="55" t="s">
        <v>5</v>
      </c>
      <c r="B23" s="51">
        <f>IF(B$17=0,0,C23/B$17)</f>
        <v>8646.1845607808336</v>
      </c>
      <c r="C23" s="41">
        <v>19488500</v>
      </c>
      <c r="E23" s="63" t="s">
        <v>86</v>
      </c>
      <c r="F23" s="60" t="s">
        <v>41</v>
      </c>
      <c r="G23" s="47">
        <v>11</v>
      </c>
      <c r="H23" s="133">
        <f>IF(B$17=0,0,G23/B$17)</f>
        <v>4.8802129547471165E-3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-8105.5643879173294</v>
      </c>
      <c r="C24" s="45">
        <v>-10196800</v>
      </c>
      <c r="E24" s="63" t="s">
        <v>75</v>
      </c>
      <c r="F24" s="60" t="s">
        <v>30</v>
      </c>
      <c r="G24" s="47">
        <v>9</v>
      </c>
      <c r="H24" s="133">
        <f>IF(B$17=0,0,G24/B$17)</f>
        <v>3.9929015084294583E-3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-18.17603092783504</v>
      </c>
      <c r="P24" s="119">
        <v>388</v>
      </c>
      <c r="Q24" s="107">
        <v>-7052.2999999999956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3.5492457852706301E-3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3.105590062111801E-3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2.5162230168189643E-3</v>
      </c>
      <c r="E27" s="63" t="s">
        <v>85</v>
      </c>
      <c r="F27" s="60" t="s">
        <v>40</v>
      </c>
      <c r="G27" s="47">
        <v>6</v>
      </c>
      <c r="H27" s="133">
        <f>IF(B$17=0,0,G27/B$17)</f>
        <v>2.6619343389529724E-3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2.6619343389529724E-3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2.6619343389529724E-3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1.7746228926353151E-3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8.8731144631765753E-4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4.4365572315882877E-4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4.4365572315882877E-4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4.4365572315882877E-4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39.1</v>
      </c>
    </row>
    <row r="805" spans="11:12" x14ac:dyDescent="0.4">
      <c r="K805" s="38">
        <v>803</v>
      </c>
      <c r="L805" s="99">
        <v>50</v>
      </c>
    </row>
    <row r="806" spans="11:12" x14ac:dyDescent="0.4">
      <c r="K806" s="38">
        <v>804</v>
      </c>
      <c r="L806" s="99">
        <v>-2</v>
      </c>
    </row>
    <row r="807" spans="11:12" x14ac:dyDescent="0.4">
      <c r="K807" s="38">
        <v>805</v>
      </c>
      <c r="L807" s="99">
        <v>52.6</v>
      </c>
    </row>
    <row r="808" spans="11:12" x14ac:dyDescent="0.4">
      <c r="K808" s="38">
        <v>806</v>
      </c>
      <c r="L808" s="99">
        <v>53.9</v>
      </c>
    </row>
    <row r="809" spans="11:12" x14ac:dyDescent="0.4">
      <c r="K809" s="38">
        <v>807</v>
      </c>
      <c r="L809" s="99">
        <v>-2</v>
      </c>
    </row>
    <row r="810" spans="11:12" x14ac:dyDescent="0.4">
      <c r="K810" s="38">
        <v>808</v>
      </c>
      <c r="L810" s="99">
        <v>25.5</v>
      </c>
    </row>
    <row r="811" spans="11:12" x14ac:dyDescent="0.4">
      <c r="K811" s="38">
        <v>809</v>
      </c>
      <c r="L811" s="99">
        <v>26.5</v>
      </c>
    </row>
    <row r="812" spans="11:12" x14ac:dyDescent="0.4">
      <c r="K812" s="38">
        <v>810</v>
      </c>
      <c r="L812" s="99">
        <v>-2</v>
      </c>
    </row>
    <row r="813" spans="11:12" x14ac:dyDescent="0.4">
      <c r="K813" s="38">
        <v>811</v>
      </c>
      <c r="L813" s="99">
        <v>31.4</v>
      </c>
    </row>
    <row r="814" spans="11:12" x14ac:dyDescent="0.4">
      <c r="K814" s="38">
        <v>812</v>
      </c>
      <c r="L814" s="99">
        <v>-1.8999999999999986</v>
      </c>
    </row>
    <row r="815" spans="11:12" x14ac:dyDescent="0.4">
      <c r="K815" s="38">
        <v>813</v>
      </c>
      <c r="L815" s="99">
        <v>-1.9999999999999987</v>
      </c>
    </row>
    <row r="816" spans="11:12" x14ac:dyDescent="0.4">
      <c r="K816" s="38">
        <v>814</v>
      </c>
      <c r="L816" s="99">
        <v>36.299999999999997</v>
      </c>
    </row>
    <row r="817" spans="11:12" x14ac:dyDescent="0.4">
      <c r="K817" s="38">
        <v>815</v>
      </c>
      <c r="L817" s="99">
        <v>-14.900000000000006</v>
      </c>
    </row>
    <row r="818" spans="11:12" x14ac:dyDescent="0.4">
      <c r="K818" s="38">
        <v>816</v>
      </c>
      <c r="L818" s="99">
        <v>-2.0000000000000053</v>
      </c>
    </row>
    <row r="819" spans="11:12" x14ac:dyDescent="0.4">
      <c r="K819" s="38">
        <v>817</v>
      </c>
      <c r="L819" s="99">
        <v>45.899999999999991</v>
      </c>
    </row>
    <row r="820" spans="11:12" x14ac:dyDescent="0.4">
      <c r="K820" s="38">
        <v>818</v>
      </c>
      <c r="L820" s="99">
        <v>-24.600000000000009</v>
      </c>
    </row>
    <row r="821" spans="11:12" x14ac:dyDescent="0.4">
      <c r="K821" s="38">
        <v>819</v>
      </c>
      <c r="L821" s="99">
        <v>-2.0000000000000071</v>
      </c>
    </row>
    <row r="822" spans="11:12" x14ac:dyDescent="0.4">
      <c r="K822" s="38">
        <v>820</v>
      </c>
      <c r="L822" s="99">
        <v>-9.6000000000000068</v>
      </c>
    </row>
    <row r="823" spans="11:12" x14ac:dyDescent="0.4">
      <c r="K823" s="38">
        <v>821</v>
      </c>
      <c r="L823" s="99">
        <v>-56.600000000000009</v>
      </c>
    </row>
    <row r="824" spans="11:12" x14ac:dyDescent="0.4">
      <c r="K824" s="38">
        <v>822</v>
      </c>
      <c r="L824" s="99">
        <v>-2.0000000000000071</v>
      </c>
    </row>
    <row r="825" spans="11:12" x14ac:dyDescent="0.4">
      <c r="K825" s="38">
        <v>823</v>
      </c>
      <c r="L825" s="99">
        <v>-36.600000000000009</v>
      </c>
    </row>
    <row r="826" spans="11:12" x14ac:dyDescent="0.4">
      <c r="K826" s="38">
        <v>824</v>
      </c>
      <c r="L826" s="99">
        <v>7.0999999999999943</v>
      </c>
    </row>
    <row r="827" spans="11:12" x14ac:dyDescent="0.4">
      <c r="K827" s="38">
        <v>825</v>
      </c>
      <c r="L827" s="99">
        <v>-2.0000000000000053</v>
      </c>
    </row>
    <row r="828" spans="11:12" x14ac:dyDescent="0.4">
      <c r="K828" s="38">
        <v>826</v>
      </c>
      <c r="L828" s="99">
        <v>-31.500000000000007</v>
      </c>
    </row>
    <row r="829" spans="11:12" x14ac:dyDescent="0.4">
      <c r="K829" s="38">
        <v>827</v>
      </c>
      <c r="L829" s="99">
        <v>-32.000000000000007</v>
      </c>
    </row>
    <row r="830" spans="11:12" x14ac:dyDescent="0.4">
      <c r="K830" s="38">
        <v>828</v>
      </c>
      <c r="L830" s="99">
        <v>-2.0000000000000071</v>
      </c>
    </row>
    <row r="831" spans="11:12" x14ac:dyDescent="0.4">
      <c r="K831" s="38">
        <v>829</v>
      </c>
      <c r="L831" s="99">
        <v>-1.1000000000000072</v>
      </c>
    </row>
    <row r="832" spans="11:12" x14ac:dyDescent="0.4">
      <c r="K832" s="38">
        <v>830</v>
      </c>
      <c r="L832" s="99">
        <v>47.79999999999999</v>
      </c>
    </row>
    <row r="833" spans="11:12" x14ac:dyDescent="0.4">
      <c r="K833" s="38">
        <v>831</v>
      </c>
      <c r="L833" s="99">
        <v>-2.0000000000000071</v>
      </c>
    </row>
    <row r="834" spans="11:12" x14ac:dyDescent="0.4">
      <c r="K834" s="38">
        <v>832</v>
      </c>
      <c r="L834" s="99">
        <v>-25.700000000000006</v>
      </c>
    </row>
    <row r="835" spans="11:12" x14ac:dyDescent="0.4">
      <c r="K835" s="38">
        <v>833</v>
      </c>
      <c r="L835" s="99">
        <v>-2.600000000000005</v>
      </c>
    </row>
    <row r="836" spans="11:12" x14ac:dyDescent="0.4">
      <c r="K836" s="38">
        <v>834</v>
      </c>
      <c r="L836" s="99">
        <v>-2.0000000000000049</v>
      </c>
    </row>
    <row r="837" spans="11:12" x14ac:dyDescent="0.4">
      <c r="K837" s="38">
        <v>835</v>
      </c>
      <c r="L837" s="99">
        <v>6.9999999999999947</v>
      </c>
    </row>
    <row r="838" spans="11:12" x14ac:dyDescent="0.4">
      <c r="K838" s="38">
        <v>836</v>
      </c>
      <c r="L838" s="99">
        <v>-33.500000000000007</v>
      </c>
    </row>
    <row r="839" spans="11:12" x14ac:dyDescent="0.4">
      <c r="K839" s="38">
        <v>837</v>
      </c>
      <c r="L839" s="99">
        <v>-2.0000000000000071</v>
      </c>
    </row>
    <row r="840" spans="11:12" x14ac:dyDescent="0.4">
      <c r="K840" s="38">
        <v>838</v>
      </c>
      <c r="L840" s="99">
        <v>24.899999999999991</v>
      </c>
    </row>
    <row r="841" spans="11:12" x14ac:dyDescent="0.4">
      <c r="K841" s="38">
        <v>839</v>
      </c>
      <c r="L841" s="99">
        <v>26.399999999999991</v>
      </c>
    </row>
    <row r="842" spans="11:12" x14ac:dyDescent="0.4">
      <c r="K842" s="38">
        <v>840</v>
      </c>
      <c r="L842" s="99">
        <v>-2.0000000000000071</v>
      </c>
    </row>
    <row r="843" spans="11:12" x14ac:dyDescent="0.4">
      <c r="K843" s="38">
        <v>841</v>
      </c>
      <c r="L843" s="99">
        <v>-35.800000000000004</v>
      </c>
    </row>
    <row r="844" spans="11:12" x14ac:dyDescent="0.4">
      <c r="K844" s="38">
        <v>842</v>
      </c>
      <c r="L844" s="99">
        <v>3.0999999999999943</v>
      </c>
    </row>
    <row r="845" spans="11:12" x14ac:dyDescent="0.4">
      <c r="K845" s="38">
        <v>843</v>
      </c>
      <c r="L845" s="99">
        <v>-2.0000000000000053</v>
      </c>
    </row>
    <row r="846" spans="11:12" x14ac:dyDescent="0.4">
      <c r="K846" s="38">
        <v>844</v>
      </c>
      <c r="L846" s="99">
        <v>-33.800000000000004</v>
      </c>
    </row>
    <row r="847" spans="11:12" x14ac:dyDescent="0.4">
      <c r="K847" s="38">
        <v>845</v>
      </c>
      <c r="L847" s="99">
        <v>-3.5000000000000036</v>
      </c>
    </row>
    <row r="848" spans="11:12" x14ac:dyDescent="0.4">
      <c r="K848" s="38">
        <v>846</v>
      </c>
      <c r="L848" s="99">
        <v>-2.0000000000000036</v>
      </c>
    </row>
    <row r="849" spans="11:12" x14ac:dyDescent="0.4">
      <c r="K849" s="38">
        <v>847</v>
      </c>
      <c r="L849" s="99">
        <v>-2.8000000000000034</v>
      </c>
    </row>
    <row r="850" spans="11:12" x14ac:dyDescent="0.4">
      <c r="K850" s="38">
        <v>848</v>
      </c>
      <c r="L850" s="99">
        <v>24.899999999999995</v>
      </c>
    </row>
    <row r="851" spans="11:12" x14ac:dyDescent="0.4">
      <c r="K851" s="38">
        <v>849</v>
      </c>
      <c r="L851" s="99">
        <v>-2.0000000000000036</v>
      </c>
    </row>
    <row r="852" spans="11:12" x14ac:dyDescent="0.4">
      <c r="K852" s="38">
        <v>850</v>
      </c>
      <c r="L852" s="99">
        <v>70</v>
      </c>
    </row>
    <row r="853" spans="11:12" x14ac:dyDescent="0.4">
      <c r="K853" s="38">
        <v>851</v>
      </c>
      <c r="L853" s="99">
        <v>60</v>
      </c>
    </row>
    <row r="854" spans="11:12" x14ac:dyDescent="0.4">
      <c r="K854" s="38">
        <v>852</v>
      </c>
      <c r="L854" s="99">
        <v>-2</v>
      </c>
    </row>
    <row r="855" spans="11:12" x14ac:dyDescent="0.4">
      <c r="K855" s="38">
        <v>853</v>
      </c>
      <c r="L855" s="99">
        <v>-34.700000000000003</v>
      </c>
    </row>
    <row r="856" spans="11:12" x14ac:dyDescent="0.4">
      <c r="K856" s="38">
        <v>854</v>
      </c>
      <c r="L856" s="99">
        <v>-33.1</v>
      </c>
    </row>
    <row r="857" spans="11:12" x14ac:dyDescent="0.4">
      <c r="K857" s="38">
        <v>855</v>
      </c>
      <c r="L857" s="99">
        <v>-2</v>
      </c>
    </row>
    <row r="858" spans="11:12" x14ac:dyDescent="0.4">
      <c r="K858" s="38">
        <v>856</v>
      </c>
      <c r="L858" s="99">
        <v>-34.799999999999997</v>
      </c>
    </row>
    <row r="859" spans="11:12" x14ac:dyDescent="0.4">
      <c r="K859" s="38">
        <v>857</v>
      </c>
      <c r="L859" s="99">
        <v>1.3000000000000043</v>
      </c>
    </row>
    <row r="860" spans="11:12" x14ac:dyDescent="0.4">
      <c r="K860" s="38">
        <v>858</v>
      </c>
      <c r="L860" s="99">
        <v>-1.9999999999999956</v>
      </c>
    </row>
    <row r="861" spans="11:12" x14ac:dyDescent="0.4">
      <c r="K861" s="38">
        <v>859</v>
      </c>
      <c r="L861" s="99">
        <v>-3.7999999999999954</v>
      </c>
    </row>
    <row r="862" spans="11:12" x14ac:dyDescent="0.4">
      <c r="K862" s="38">
        <v>860</v>
      </c>
      <c r="L862" s="99">
        <v>-30.199999999999996</v>
      </c>
    </row>
    <row r="863" spans="11:12" x14ac:dyDescent="0.4">
      <c r="K863" s="38">
        <v>861</v>
      </c>
      <c r="L863" s="99">
        <v>-1.9999999999999964</v>
      </c>
    </row>
    <row r="864" spans="11:12" x14ac:dyDescent="0.4">
      <c r="K864" s="38">
        <v>862</v>
      </c>
      <c r="L864" s="99">
        <v>-58.8</v>
      </c>
    </row>
    <row r="865" spans="11:12" x14ac:dyDescent="0.4">
      <c r="K865" s="38">
        <v>863</v>
      </c>
      <c r="L865" s="99">
        <v>2.2000000000000028</v>
      </c>
    </row>
    <row r="866" spans="11:12" x14ac:dyDescent="0.4">
      <c r="K866" s="38">
        <v>864</v>
      </c>
      <c r="L866" s="99">
        <v>-1.9999999999999973</v>
      </c>
    </row>
    <row r="867" spans="11:12" x14ac:dyDescent="0.4">
      <c r="K867" s="38">
        <v>865</v>
      </c>
      <c r="L867" s="99">
        <v>-34.5</v>
      </c>
    </row>
    <row r="868" spans="11:12" x14ac:dyDescent="0.4">
      <c r="K868" s="38">
        <v>866</v>
      </c>
      <c r="L868" s="99">
        <v>0.89999999999999858</v>
      </c>
    </row>
    <row r="869" spans="11:12" x14ac:dyDescent="0.4">
      <c r="K869" s="38">
        <v>867</v>
      </c>
      <c r="L869" s="99">
        <v>-2.0000000000000013</v>
      </c>
    </row>
    <row r="870" spans="11:12" x14ac:dyDescent="0.4">
      <c r="K870" s="38">
        <v>868</v>
      </c>
      <c r="L870" s="99">
        <v>-14.700000000000001</v>
      </c>
    </row>
    <row r="871" spans="11:12" x14ac:dyDescent="0.4">
      <c r="K871" s="38">
        <v>869</v>
      </c>
      <c r="L871" s="99">
        <v>40.799999999999997</v>
      </c>
    </row>
    <row r="872" spans="11:12" x14ac:dyDescent="0.4">
      <c r="K872" s="38">
        <v>870</v>
      </c>
      <c r="L872" s="99">
        <v>-2</v>
      </c>
    </row>
    <row r="873" spans="11:12" x14ac:dyDescent="0.4">
      <c r="K873" s="38">
        <v>871</v>
      </c>
      <c r="L873" s="99">
        <v>-45.1</v>
      </c>
    </row>
    <row r="874" spans="11:12" x14ac:dyDescent="0.4">
      <c r="K874" s="38">
        <v>872</v>
      </c>
      <c r="L874" s="99">
        <v>-11.800000000000004</v>
      </c>
    </row>
    <row r="875" spans="11:12" x14ac:dyDescent="0.4">
      <c r="K875" s="38">
        <v>873</v>
      </c>
      <c r="L875" s="99">
        <v>-2.0000000000000036</v>
      </c>
    </row>
    <row r="876" spans="11:12" x14ac:dyDescent="0.4">
      <c r="K876" s="38">
        <v>874</v>
      </c>
      <c r="L876" s="99">
        <v>24.499999999999996</v>
      </c>
    </row>
    <row r="877" spans="11:12" x14ac:dyDescent="0.4">
      <c r="K877" s="38">
        <v>875</v>
      </c>
      <c r="L877" s="99">
        <v>-2.3000000000000043</v>
      </c>
    </row>
    <row r="878" spans="11:12" x14ac:dyDescent="0.4">
      <c r="K878" s="38">
        <v>876</v>
      </c>
      <c r="L878" s="99">
        <v>-2.0000000000000044</v>
      </c>
    </row>
    <row r="879" spans="11:12" x14ac:dyDescent="0.4">
      <c r="K879" s="38">
        <v>877</v>
      </c>
      <c r="L879" s="99">
        <v>38.79999999999999</v>
      </c>
    </row>
    <row r="880" spans="11:12" x14ac:dyDescent="0.4">
      <c r="K880" s="38">
        <v>878</v>
      </c>
      <c r="L880" s="99">
        <v>32.099999999999987</v>
      </c>
    </row>
    <row r="881" spans="11:12" x14ac:dyDescent="0.4">
      <c r="K881" s="38">
        <v>879</v>
      </c>
      <c r="L881" s="99">
        <v>-2.0000000000000142</v>
      </c>
    </row>
    <row r="882" spans="11:12" x14ac:dyDescent="0.4">
      <c r="K882" s="38">
        <v>880</v>
      </c>
      <c r="L882" s="99">
        <v>-5.0000000000000142</v>
      </c>
    </row>
    <row r="883" spans="11:12" x14ac:dyDescent="0.4">
      <c r="K883" s="38">
        <v>881</v>
      </c>
      <c r="L883" s="99">
        <v>35.399999999999984</v>
      </c>
    </row>
    <row r="884" spans="11:12" x14ac:dyDescent="0.4">
      <c r="K884" s="38">
        <v>882</v>
      </c>
      <c r="L884" s="99">
        <v>-2.0000000000000142</v>
      </c>
    </row>
    <row r="885" spans="11:12" x14ac:dyDescent="0.4">
      <c r="K885" s="38">
        <v>883</v>
      </c>
      <c r="L885" s="99">
        <v>56.799999999999983</v>
      </c>
    </row>
    <row r="886" spans="11:12" x14ac:dyDescent="0.4">
      <c r="K886" s="38">
        <v>884</v>
      </c>
      <c r="L886" s="99">
        <v>-1.2000000000000171</v>
      </c>
    </row>
    <row r="887" spans="11:12" x14ac:dyDescent="0.4">
      <c r="K887" s="38">
        <v>885</v>
      </c>
      <c r="L887" s="99">
        <v>-2.0000000000000169</v>
      </c>
    </row>
    <row r="888" spans="11:12" x14ac:dyDescent="0.4">
      <c r="K888" s="38">
        <v>886</v>
      </c>
      <c r="L888" s="99">
        <v>6.5999999999999828</v>
      </c>
    </row>
    <row r="889" spans="11:12" x14ac:dyDescent="0.4">
      <c r="K889" s="38">
        <v>887</v>
      </c>
      <c r="L889" s="99">
        <v>54.09999999999998</v>
      </c>
    </row>
    <row r="890" spans="11:12" x14ac:dyDescent="0.4">
      <c r="K890" s="38">
        <v>888</v>
      </c>
      <c r="L890" s="99">
        <v>-2.0000000000000213</v>
      </c>
    </row>
    <row r="891" spans="11:12" x14ac:dyDescent="0.4">
      <c r="K891" s="38">
        <v>889</v>
      </c>
      <c r="L891" s="99">
        <v>-37.700000000000024</v>
      </c>
    </row>
    <row r="892" spans="11:12" x14ac:dyDescent="0.4">
      <c r="K892" s="38">
        <v>890</v>
      </c>
      <c r="L892" s="99">
        <v>-39.600000000000023</v>
      </c>
    </row>
    <row r="893" spans="11:12" x14ac:dyDescent="0.4">
      <c r="K893" s="38">
        <v>891</v>
      </c>
      <c r="L893" s="99">
        <v>-2.0000000000000213</v>
      </c>
    </row>
    <row r="894" spans="11:12" x14ac:dyDescent="0.4">
      <c r="K894" s="38">
        <v>892</v>
      </c>
      <c r="L894" s="99">
        <v>3.1999999999999789</v>
      </c>
    </row>
    <row r="895" spans="11:12" x14ac:dyDescent="0.4">
      <c r="K895" s="38">
        <v>893</v>
      </c>
      <c r="L895" s="99">
        <v>57.59999999999998</v>
      </c>
    </row>
    <row r="896" spans="11:12" x14ac:dyDescent="0.4">
      <c r="K896" s="38">
        <v>894</v>
      </c>
      <c r="L896" s="99">
        <v>-2.0000000000000213</v>
      </c>
    </row>
    <row r="897" spans="11:12" x14ac:dyDescent="0.4">
      <c r="K897" s="38">
        <v>895</v>
      </c>
      <c r="L897" s="99">
        <v>27.59999999999998</v>
      </c>
    </row>
    <row r="898" spans="11:12" x14ac:dyDescent="0.4">
      <c r="K898" s="38">
        <v>896</v>
      </c>
      <c r="L898" s="99">
        <v>30.399999999999981</v>
      </c>
    </row>
    <row r="899" spans="11:12" x14ac:dyDescent="0.4">
      <c r="K899" s="38">
        <v>897</v>
      </c>
      <c r="L899" s="99">
        <v>-2.0000000000000178</v>
      </c>
    </row>
    <row r="900" spans="11:12" x14ac:dyDescent="0.4">
      <c r="K900" s="38">
        <v>898</v>
      </c>
      <c r="L900" s="99">
        <v>42.499999999999986</v>
      </c>
    </row>
    <row r="901" spans="11:12" x14ac:dyDescent="0.4">
      <c r="K901" s="38">
        <v>899</v>
      </c>
      <c r="L901" s="99">
        <v>39.399999999999984</v>
      </c>
    </row>
    <row r="902" spans="11:12" x14ac:dyDescent="0.4">
      <c r="K902" s="38">
        <v>900</v>
      </c>
      <c r="L902" s="99">
        <v>-2.0000000000000142</v>
      </c>
    </row>
    <row r="903" spans="11:12" x14ac:dyDescent="0.4">
      <c r="K903" s="38">
        <v>901</v>
      </c>
      <c r="L903" s="99">
        <v>4.9999999999999858</v>
      </c>
    </row>
    <row r="904" spans="11:12" x14ac:dyDescent="0.4">
      <c r="K904" s="38">
        <v>902</v>
      </c>
      <c r="L904" s="99">
        <v>-29.500000000000014</v>
      </c>
    </row>
    <row r="905" spans="11:12" x14ac:dyDescent="0.4">
      <c r="K905" s="38">
        <v>903</v>
      </c>
      <c r="L905" s="99">
        <v>-2.0000000000000142</v>
      </c>
    </row>
    <row r="906" spans="11:12" x14ac:dyDescent="0.4">
      <c r="K906" s="38">
        <v>904</v>
      </c>
      <c r="L906" s="99">
        <v>-6.6000000000000139</v>
      </c>
    </row>
    <row r="907" spans="11:12" x14ac:dyDescent="0.4">
      <c r="K907" s="38">
        <v>905</v>
      </c>
      <c r="L907" s="99">
        <v>44.499999999999986</v>
      </c>
    </row>
    <row r="908" spans="11:12" x14ac:dyDescent="0.4">
      <c r="K908" s="38">
        <v>906</v>
      </c>
      <c r="L908" s="99">
        <v>-2.0000000000000142</v>
      </c>
    </row>
    <row r="909" spans="11:12" x14ac:dyDescent="0.4">
      <c r="K909" s="38">
        <v>907</v>
      </c>
      <c r="L909" s="99">
        <v>-31.100000000000016</v>
      </c>
    </row>
    <row r="910" spans="11:12" x14ac:dyDescent="0.4">
      <c r="K910" s="38">
        <v>908</v>
      </c>
      <c r="L910" s="99">
        <v>-38.500000000000014</v>
      </c>
    </row>
    <row r="911" spans="11:12" x14ac:dyDescent="0.4">
      <c r="K911" s="38">
        <v>909</v>
      </c>
      <c r="L911" s="99">
        <v>-2.0000000000000142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352A-81A8-45DE-9FA2-CE5D0FF621D7}">
  <sheetPr codeName="Sheet7"/>
  <dimension ref="A1:Q1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194</v>
      </c>
      <c r="C2" s="151"/>
      <c r="E2" s="62" t="s">
        <v>67</v>
      </c>
      <c r="F2" s="59" t="s">
        <v>23</v>
      </c>
      <c r="G2" s="46">
        <v>405</v>
      </c>
      <c r="H2" s="132">
        <f>IF(B$17=0,0,G2/B$17)</f>
        <v>0.75418994413407825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1167.5257731958764</v>
      </c>
      <c r="P2" s="118">
        <v>194</v>
      </c>
      <c r="Q2" s="102">
        <v>226500</v>
      </c>
    </row>
    <row r="3" spans="1:17" x14ac:dyDescent="0.4">
      <c r="A3" s="55" t="s">
        <v>8</v>
      </c>
      <c r="B3" s="152">
        <v>1594</v>
      </c>
      <c r="C3" s="153"/>
      <c r="E3" s="63" t="s">
        <v>73</v>
      </c>
      <c r="F3" s="60" t="s">
        <v>28</v>
      </c>
      <c r="G3" s="47">
        <v>304</v>
      </c>
      <c r="H3" s="133">
        <f>IF(B$17=0,0,G3/B$17)</f>
        <v>0.56610800744878953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1934.3915343915344</v>
      </c>
      <c r="P3" s="119">
        <v>189</v>
      </c>
      <c r="Q3" s="103">
        <v>365600</v>
      </c>
    </row>
    <row r="4" spans="1:17" x14ac:dyDescent="0.4">
      <c r="A4" s="55" t="s">
        <v>6</v>
      </c>
      <c r="B4" s="154">
        <v>2350.1000000000004</v>
      </c>
      <c r="C4" s="155"/>
      <c r="E4" s="63" t="s">
        <v>65</v>
      </c>
      <c r="F4" s="60" t="s">
        <v>21</v>
      </c>
      <c r="G4" s="47">
        <v>253</v>
      </c>
      <c r="H4" s="133">
        <f>IF(B$17=0,0,G4/B$17)</f>
        <v>0.47113594040968343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891.06145251396651</v>
      </c>
      <c r="P4" s="119">
        <v>179</v>
      </c>
      <c r="Q4" s="103">
        <v>159500</v>
      </c>
    </row>
    <row r="5" spans="1:17" x14ac:dyDescent="0.4">
      <c r="A5" s="55" t="s">
        <v>7</v>
      </c>
      <c r="B5" s="156">
        <f>IF(B$2=0,0,B$4/B$2)</f>
        <v>12.113917525773198</v>
      </c>
      <c r="C5" s="157"/>
      <c r="E5" s="63" t="s">
        <v>245</v>
      </c>
      <c r="F5" s="60" t="s">
        <v>246</v>
      </c>
      <c r="G5" s="47">
        <v>216</v>
      </c>
      <c r="H5" s="133">
        <f>IF(B$17=0,0,G5/B$17)</f>
        <v>0.4022346368715084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2135.5421686746986</v>
      </c>
      <c r="P5" s="119">
        <v>166</v>
      </c>
      <c r="Q5" s="103">
        <v>354500</v>
      </c>
    </row>
    <row r="6" spans="1:17" x14ac:dyDescent="0.4">
      <c r="A6" s="55" t="s">
        <v>1</v>
      </c>
      <c r="B6" s="146">
        <f>IF(B$2=0,0,(B$7*1+B$8*2+B$9*3)/B$2)</f>
        <v>1.768041237113402</v>
      </c>
      <c r="C6" s="147"/>
      <c r="E6" s="63" t="s">
        <v>68</v>
      </c>
      <c r="F6" s="60" t="s">
        <v>24</v>
      </c>
      <c r="G6" s="47">
        <v>162</v>
      </c>
      <c r="H6" s="133">
        <f>IF(B$17=0,0,G6/B$17)</f>
        <v>0.3016759776536313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0"/>
        <v>1295.2702702702702</v>
      </c>
      <c r="P6" s="119">
        <v>148</v>
      </c>
      <c r="Q6" s="103">
        <v>191700</v>
      </c>
    </row>
    <row r="7" spans="1:17" x14ac:dyDescent="0.4">
      <c r="A7" s="55" t="s">
        <v>2</v>
      </c>
      <c r="B7" s="47">
        <v>92</v>
      </c>
      <c r="C7" s="39">
        <f>IF(B$2=0,0,B7/B$2)</f>
        <v>0.47422680412371132</v>
      </c>
      <c r="E7" s="63" t="s">
        <v>69</v>
      </c>
      <c r="F7" s="60" t="s">
        <v>12</v>
      </c>
      <c r="G7" s="47">
        <v>147</v>
      </c>
      <c r="H7" s="133">
        <f>IF(B$17=0,0,G7/B$17)</f>
        <v>0.27374301675977653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1150.78125</v>
      </c>
      <c r="P7" s="120">
        <v>128</v>
      </c>
      <c r="Q7" s="104">
        <v>147300</v>
      </c>
    </row>
    <row r="8" spans="1:17" x14ac:dyDescent="0.4">
      <c r="A8" s="55" t="s">
        <v>3</v>
      </c>
      <c r="B8" s="47">
        <v>55</v>
      </c>
      <c r="C8" s="39">
        <f>IF(B$2=0,0,B8/B$2)</f>
        <v>0.28350515463917525</v>
      </c>
      <c r="E8" s="63" t="s">
        <v>70</v>
      </c>
      <c r="F8" s="60" t="s">
        <v>25</v>
      </c>
      <c r="G8" s="47">
        <v>87</v>
      </c>
      <c r="H8" s="133">
        <f>IF(B$17=0,0,G8/B$17)</f>
        <v>0.16201117318435754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0.2422680412371134</v>
      </c>
      <c r="E9" s="63" t="s">
        <v>90</v>
      </c>
      <c r="F9" s="60" t="s">
        <v>45</v>
      </c>
      <c r="G9" s="47">
        <v>86</v>
      </c>
      <c r="H9" s="133">
        <f>IF(B$17=0,0,G9/B$17)</f>
        <v>0.16014897579143389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8.7628865979381437E-2</v>
      </c>
      <c r="E10" s="63" t="s">
        <v>66</v>
      </c>
      <c r="F10" s="60" t="s">
        <v>22</v>
      </c>
      <c r="G10" s="47">
        <v>66</v>
      </c>
      <c r="H10" s="133">
        <f>IF(B$17=0,0,G10/B$17)</f>
        <v>0.12290502793296089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14.889830508474578</v>
      </c>
      <c r="P10" s="118">
        <v>59</v>
      </c>
      <c r="Q10" s="106">
        <v>878.50000000000011</v>
      </c>
    </row>
    <row r="11" spans="1:17" x14ac:dyDescent="0.4">
      <c r="A11" s="56" t="s">
        <v>140</v>
      </c>
      <c r="B11" s="48">
        <v>33</v>
      </c>
      <c r="C11" s="40">
        <f>IF(B$2=0,0,B11/B$2)</f>
        <v>0.17010309278350516</v>
      </c>
      <c r="E11" s="63" t="s">
        <v>71</v>
      </c>
      <c r="F11" s="60" t="s">
        <v>26</v>
      </c>
      <c r="G11" s="47">
        <v>46</v>
      </c>
      <c r="H11" s="133">
        <f>IF(B$17=0,0,G11/B$17)</f>
        <v>8.5661080074487903E-2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12.124193548387096</v>
      </c>
      <c r="P11" s="119">
        <v>62</v>
      </c>
      <c r="Q11" s="107">
        <v>751.69999999999993</v>
      </c>
    </row>
    <row r="12" spans="1:17" x14ac:dyDescent="0.4">
      <c r="A12" s="57" t="s">
        <v>160</v>
      </c>
      <c r="B12" s="49">
        <v>27</v>
      </c>
      <c r="C12" s="42">
        <f>IF(B$2=0,0,B12/B$2)</f>
        <v>0.13917525773195877</v>
      </c>
      <c r="E12" s="63" t="s">
        <v>87</v>
      </c>
      <c r="F12" s="60" t="s">
        <v>42</v>
      </c>
      <c r="G12" s="47">
        <v>38</v>
      </c>
      <c r="H12" s="133">
        <f>IF(B$17=0,0,G12/B$17)</f>
        <v>7.0763500931098691E-2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9.8616438356164426</v>
      </c>
      <c r="P12" s="120">
        <v>73</v>
      </c>
      <c r="Q12" s="108">
        <v>719.90000000000032</v>
      </c>
    </row>
    <row r="13" spans="1:17" x14ac:dyDescent="0.4">
      <c r="A13" s="58" t="s">
        <v>122</v>
      </c>
      <c r="B13" s="50">
        <v>482</v>
      </c>
      <c r="C13" s="44">
        <f>IF(B$3=0,0,B13/B$3)</f>
        <v>0.30238393977415307</v>
      </c>
      <c r="E13" s="63" t="s">
        <v>72</v>
      </c>
      <c r="F13" s="60" t="s">
        <v>27</v>
      </c>
      <c r="G13" s="47">
        <v>35</v>
      </c>
      <c r="H13" s="133">
        <f>IF(B$17=0,0,G13/B$17)</f>
        <v>6.5176908752327747E-2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343</v>
      </c>
      <c r="C14" s="39">
        <f>IF(B$3=0,0,B14/B$3)</f>
        <v>0.21518193224592222</v>
      </c>
      <c r="E14" s="63" t="s">
        <v>84</v>
      </c>
      <c r="F14" s="60" t="s">
        <v>39</v>
      </c>
      <c r="G14" s="47">
        <v>28</v>
      </c>
      <c r="H14" s="133">
        <f>IF(B$17=0,0,G14/B$17)</f>
        <v>5.2141527001862198E-2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279</v>
      </c>
      <c r="C15" s="37">
        <f>IF(B$13=0,0,B15/B$13)</f>
        <v>0.57883817427385897</v>
      </c>
      <c r="E15" s="63" t="s">
        <v>180</v>
      </c>
      <c r="F15" s="60" t="s">
        <v>181</v>
      </c>
      <c r="G15" s="47">
        <v>22</v>
      </c>
      <c r="H15" s="133">
        <f>IF(B$17=0,0,G15/B$17)</f>
        <v>4.0968342644320296E-2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176</v>
      </c>
      <c r="C16" s="37">
        <f>IF(B$14=0,0,B16/B$14)</f>
        <v>0.51311953352769679</v>
      </c>
      <c r="E16" s="63" t="s">
        <v>79</v>
      </c>
      <c r="F16" s="60" t="s">
        <v>34</v>
      </c>
      <c r="G16" s="47">
        <v>12</v>
      </c>
      <c r="H16" s="133">
        <f>IF(B$17=0,0,G16/B$17)</f>
        <v>2.23463687150838E-2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537</v>
      </c>
      <c r="C17" s="37">
        <f>IF(B$3=0,0,B17/B$3)</f>
        <v>0.33688833124215811</v>
      </c>
      <c r="E17" s="63" t="s">
        <v>82</v>
      </c>
      <c r="F17" s="60" t="s">
        <v>37</v>
      </c>
      <c r="G17" s="47">
        <v>12</v>
      </c>
      <c r="H17" s="133">
        <f>IF(B$17=0,0,G17/B$17)</f>
        <v>2.23463687150838E-2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28.978571428571428</v>
      </c>
      <c r="P17" s="119">
        <v>14</v>
      </c>
      <c r="Q17" s="107">
        <v>405.7</v>
      </c>
    </row>
    <row r="18" spans="1:17" x14ac:dyDescent="0.4">
      <c r="A18" s="55" t="s">
        <v>12</v>
      </c>
      <c r="B18" s="47">
        <v>225</v>
      </c>
      <c r="C18" s="39">
        <f>IF(B$17=0,0,B18/B$17)</f>
        <v>0.41899441340782123</v>
      </c>
      <c r="E18" s="63" t="s">
        <v>92</v>
      </c>
      <c r="F18" s="60" t="s">
        <v>47</v>
      </c>
      <c r="G18" s="47">
        <v>12</v>
      </c>
      <c r="H18" s="133">
        <f>IF(B$17=0,0,G18/B$17)</f>
        <v>2.23463687150838E-2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25.497916666666658</v>
      </c>
      <c r="P18" s="119">
        <v>48</v>
      </c>
      <c r="Q18" s="107">
        <v>1223.8999999999996</v>
      </c>
    </row>
    <row r="19" spans="1:17" x14ac:dyDescent="0.4">
      <c r="A19" s="55" t="s">
        <v>11</v>
      </c>
      <c r="B19" s="47">
        <v>312</v>
      </c>
      <c r="C19" s="39">
        <f>IF(B$17=0,0,B19/B$17)</f>
        <v>0.58100558659217882</v>
      </c>
      <c r="E19" s="63" t="s">
        <v>80</v>
      </c>
      <c r="F19" s="60" t="s">
        <v>35</v>
      </c>
      <c r="G19" s="47">
        <v>8</v>
      </c>
      <c r="H19" s="133">
        <f>IF(B$17=0,0,G19/B$17)</f>
        <v>1.4897579143389199E-2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24.101136363636364</v>
      </c>
      <c r="P19" s="119">
        <v>88</v>
      </c>
      <c r="Q19" s="107">
        <v>2120.9</v>
      </c>
    </row>
    <row r="20" spans="1:17" x14ac:dyDescent="0.4">
      <c r="A20" s="55" t="s">
        <v>13</v>
      </c>
      <c r="B20" s="47">
        <v>242</v>
      </c>
      <c r="C20" s="39">
        <f>IF(B$3=0,0,B20/B$3)</f>
        <v>0.15181932245922208</v>
      </c>
      <c r="E20" s="63" t="s">
        <v>86</v>
      </c>
      <c r="F20" s="60" t="s">
        <v>41</v>
      </c>
      <c r="G20" s="47">
        <v>6</v>
      </c>
      <c r="H20" s="133">
        <f>IF(B$17=0,0,G20/B$17)</f>
        <v>1.11731843575419E-2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20.307500000000008</v>
      </c>
      <c r="P20" s="119">
        <v>40</v>
      </c>
      <c r="Q20" s="107">
        <v>812.3000000000003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4</v>
      </c>
      <c r="H21" s="133">
        <f>IF(B$17=0,0,G21/B$17)</f>
        <v>7.4487895716945996E-3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18.368181818181817</v>
      </c>
      <c r="P21" s="119">
        <v>110</v>
      </c>
      <c r="Q21" s="107">
        <v>2020.5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78</v>
      </c>
      <c r="F22" s="60" t="s">
        <v>33</v>
      </c>
      <c r="G22" s="47">
        <v>4</v>
      </c>
      <c r="H22" s="133">
        <f>IF(B$17=0,0,G22/B$17)</f>
        <v>7.4487895716945996E-3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9243.9478584729986</v>
      </c>
      <c r="C23" s="41">
        <v>4964000</v>
      </c>
      <c r="E23" s="63" t="s">
        <v>91</v>
      </c>
      <c r="F23" s="60" t="s">
        <v>46</v>
      </c>
      <c r="G23" s="47">
        <v>3</v>
      </c>
      <c r="H23" s="133">
        <f>IF(B$17=0,0,G23/B$17)</f>
        <v>5.5865921787709499E-3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1.7258620689655151</v>
      </c>
      <c r="P23" s="119">
        <v>58</v>
      </c>
      <c r="Q23" s="107">
        <v>100.09999999999988</v>
      </c>
    </row>
    <row r="24" spans="1:17" x14ac:dyDescent="0.4">
      <c r="A24" s="57" t="s">
        <v>14</v>
      </c>
      <c r="B24" s="52">
        <f>IF(B$20=0,0,C24/B$20)</f>
        <v>-8108.2644628099169</v>
      </c>
      <c r="C24" s="45">
        <v>-1962200</v>
      </c>
      <c r="E24" s="63" t="s">
        <v>93</v>
      </c>
      <c r="F24" s="60" t="s">
        <v>48</v>
      </c>
      <c r="G24" s="47">
        <v>3</v>
      </c>
      <c r="H24" s="133">
        <f>IF(B$17=0,0,G24/B$17)</f>
        <v>5.5865921787709499E-3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3.7243947858472998E-3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3.7243947858472998E-3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6.2735257214554575E-4</v>
      </c>
      <c r="E27" s="63" t="s">
        <v>76</v>
      </c>
      <c r="F27" s="60" t="s">
        <v>31</v>
      </c>
      <c r="G27" s="47">
        <v>1</v>
      </c>
      <c r="H27" s="133">
        <f>IF(B$17=0,0,G27/B$17)</f>
        <v>1.8621973929236499E-3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1.8621973929236499E-3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1.8621973929236499E-3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1.8621973929236499E-3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1974.5000000000005</v>
      </c>
    </row>
    <row r="172" spans="11:12" x14ac:dyDescent="0.4">
      <c r="K172" s="38">
        <v>170</v>
      </c>
      <c r="L172" s="99">
        <v>2029.1000000000004</v>
      </c>
    </row>
    <row r="173" spans="11:12" x14ac:dyDescent="0.4">
      <c r="K173" s="38">
        <v>171</v>
      </c>
      <c r="L173" s="99">
        <v>2029.0000000000005</v>
      </c>
    </row>
    <row r="174" spans="11:12" x14ac:dyDescent="0.4">
      <c r="K174" s="38">
        <v>172</v>
      </c>
      <c r="L174" s="99">
        <v>2041.9000000000005</v>
      </c>
    </row>
    <row r="175" spans="11:12" x14ac:dyDescent="0.4">
      <c r="K175" s="38">
        <v>173</v>
      </c>
      <c r="L175" s="99">
        <v>2064.5000000000005</v>
      </c>
    </row>
    <row r="176" spans="11:12" x14ac:dyDescent="0.4">
      <c r="K176" s="38">
        <v>174</v>
      </c>
      <c r="L176" s="99">
        <v>2119.1000000000004</v>
      </c>
    </row>
    <row r="177" spans="11:12" x14ac:dyDescent="0.4">
      <c r="K177" s="38">
        <v>175</v>
      </c>
      <c r="L177" s="99">
        <v>2085.3000000000002</v>
      </c>
    </row>
    <row r="178" spans="11:12" x14ac:dyDescent="0.4">
      <c r="K178" s="38">
        <v>176</v>
      </c>
      <c r="L178" s="99">
        <v>2053.5</v>
      </c>
    </row>
    <row r="179" spans="11:12" x14ac:dyDescent="0.4">
      <c r="K179" s="38">
        <v>177</v>
      </c>
      <c r="L179" s="99">
        <v>2089.6</v>
      </c>
    </row>
    <row r="180" spans="11:12" x14ac:dyDescent="0.4">
      <c r="K180" s="38">
        <v>178</v>
      </c>
      <c r="L180" s="99">
        <v>2063.1999999999998</v>
      </c>
    </row>
    <row r="181" spans="11:12" x14ac:dyDescent="0.4">
      <c r="K181" s="38">
        <v>179</v>
      </c>
      <c r="L181" s="99">
        <v>2124.1999999999998</v>
      </c>
    </row>
    <row r="182" spans="11:12" x14ac:dyDescent="0.4">
      <c r="K182" s="38">
        <v>180</v>
      </c>
      <c r="L182" s="99">
        <v>2159.6</v>
      </c>
    </row>
    <row r="183" spans="11:12" x14ac:dyDescent="0.4">
      <c r="K183" s="38">
        <v>181</v>
      </c>
      <c r="L183" s="99">
        <v>2215.1</v>
      </c>
    </row>
    <row r="184" spans="11:12" x14ac:dyDescent="0.4">
      <c r="K184" s="38">
        <v>182</v>
      </c>
      <c r="L184" s="99">
        <v>2248.4</v>
      </c>
    </row>
    <row r="185" spans="11:12" x14ac:dyDescent="0.4">
      <c r="K185" s="38">
        <v>183</v>
      </c>
      <c r="L185" s="99">
        <v>2221.6</v>
      </c>
    </row>
    <row r="186" spans="11:12" x14ac:dyDescent="0.4">
      <c r="K186" s="38">
        <v>184</v>
      </c>
      <c r="L186" s="99">
        <v>2214.9</v>
      </c>
    </row>
    <row r="187" spans="11:12" x14ac:dyDescent="0.4">
      <c r="K187" s="38">
        <v>185</v>
      </c>
      <c r="L187" s="99">
        <v>2255.3000000000002</v>
      </c>
    </row>
    <row r="188" spans="11:12" x14ac:dyDescent="0.4">
      <c r="K188" s="38">
        <v>186</v>
      </c>
      <c r="L188" s="99">
        <v>2197.3000000000002</v>
      </c>
    </row>
    <row r="189" spans="11:12" x14ac:dyDescent="0.4">
      <c r="K189" s="38">
        <v>187</v>
      </c>
      <c r="L189" s="99">
        <v>2244.8000000000002</v>
      </c>
    </row>
    <row r="190" spans="11:12" x14ac:dyDescent="0.4">
      <c r="K190" s="38">
        <v>188</v>
      </c>
      <c r="L190" s="99">
        <v>2242.9</v>
      </c>
    </row>
    <row r="191" spans="11:12" x14ac:dyDescent="0.4">
      <c r="K191" s="38">
        <v>189</v>
      </c>
      <c r="L191" s="99">
        <v>2297.3000000000002</v>
      </c>
    </row>
    <row r="192" spans="11:12" x14ac:dyDescent="0.4">
      <c r="K192" s="38">
        <v>190</v>
      </c>
      <c r="L192" s="99">
        <v>2300.1000000000004</v>
      </c>
    </row>
    <row r="193" spans="11:12" x14ac:dyDescent="0.4">
      <c r="K193" s="38">
        <v>191</v>
      </c>
      <c r="L193" s="99">
        <v>2297.0000000000005</v>
      </c>
    </row>
    <row r="194" spans="11:12" x14ac:dyDescent="0.4">
      <c r="K194" s="38">
        <v>192</v>
      </c>
      <c r="L194" s="99">
        <v>2262.5000000000005</v>
      </c>
    </row>
    <row r="195" spans="11:12" x14ac:dyDescent="0.4">
      <c r="K195" s="38">
        <v>193</v>
      </c>
      <c r="L195" s="99">
        <v>2313.6000000000004</v>
      </c>
    </row>
    <row r="196" spans="11:12" x14ac:dyDescent="0.4">
      <c r="K196" s="38">
        <v>194</v>
      </c>
      <c r="L196" s="99">
        <v>2350.1000000000004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0ACA-F4A9-4F6B-B086-CDEC5713CD9A}">
  <sheetPr codeName="Sheet9"/>
  <dimension ref="A1:Q1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265</v>
      </c>
      <c r="H2" s="132">
        <f>IF(B$17=0,0,G2/B$17)</f>
        <v>0.73204419889502759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645.28301886792451</v>
      </c>
      <c r="P2" s="118">
        <v>159</v>
      </c>
      <c r="Q2" s="102">
        <v>102600</v>
      </c>
    </row>
    <row r="3" spans="1:17" x14ac:dyDescent="0.4">
      <c r="A3" s="55" t="s">
        <v>8</v>
      </c>
      <c r="B3" s="152">
        <v>1306</v>
      </c>
      <c r="C3" s="153"/>
      <c r="E3" s="63" t="s">
        <v>65</v>
      </c>
      <c r="F3" s="60" t="s">
        <v>21</v>
      </c>
      <c r="G3" s="47">
        <v>215</v>
      </c>
      <c r="H3" s="133">
        <f>IF(B$17=0,0,G3/B$17)</f>
        <v>0.59392265193370164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-1417.5324675324675</v>
      </c>
      <c r="P3" s="119">
        <v>154</v>
      </c>
      <c r="Q3" s="103">
        <v>-218300</v>
      </c>
    </row>
    <row r="4" spans="1:17" x14ac:dyDescent="0.4">
      <c r="A4" s="55" t="s">
        <v>6</v>
      </c>
      <c r="B4" s="154">
        <v>-410.40000000000003</v>
      </c>
      <c r="C4" s="155"/>
      <c r="E4" s="63" t="s">
        <v>73</v>
      </c>
      <c r="F4" s="60" t="s">
        <v>28</v>
      </c>
      <c r="G4" s="47">
        <v>163</v>
      </c>
      <c r="H4" s="133">
        <f>IF(B$17=0,0,G4/B$17)</f>
        <v>0.45027624309392267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-499.31972789115645</v>
      </c>
      <c r="P4" s="119">
        <v>147</v>
      </c>
      <c r="Q4" s="103">
        <v>-73400</v>
      </c>
    </row>
    <row r="5" spans="1:17" x14ac:dyDescent="0.4">
      <c r="A5" s="55" t="s">
        <v>7</v>
      </c>
      <c r="B5" s="156">
        <f>IF(B$2=0,0,B$4/B$2)</f>
        <v>-2.5811320754716984</v>
      </c>
      <c r="C5" s="157"/>
      <c r="E5" s="63" t="s">
        <v>245</v>
      </c>
      <c r="F5" s="60" t="s">
        <v>246</v>
      </c>
      <c r="G5" s="47">
        <v>151</v>
      </c>
      <c r="H5" s="133">
        <f>IF(B$17=0,0,G5/B$17)</f>
        <v>0.41712707182320441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-45.454545454545453</v>
      </c>
      <c r="P5" s="119">
        <v>132</v>
      </c>
      <c r="Q5" s="103">
        <v>-6000</v>
      </c>
    </row>
    <row r="6" spans="1:17" x14ac:dyDescent="0.4">
      <c r="A6" s="55" t="s">
        <v>1</v>
      </c>
      <c r="B6" s="146">
        <f>IF(B$2=0,0,(B$7*1+B$8*2+B$9*3)/B$2)</f>
        <v>2.0691823899371071</v>
      </c>
      <c r="C6" s="147"/>
      <c r="E6" s="63" t="s">
        <v>68</v>
      </c>
      <c r="F6" s="60" t="s">
        <v>24</v>
      </c>
      <c r="G6" s="47">
        <v>141</v>
      </c>
      <c r="H6" s="133">
        <f>IF(B$17=0,0,G6/B$17)</f>
        <v>0.38950276243093923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478.63247863247864</v>
      </c>
      <c r="P6" s="119">
        <v>117</v>
      </c>
      <c r="Q6" s="103">
        <v>56000</v>
      </c>
    </row>
    <row r="7" spans="1:17" x14ac:dyDescent="0.4">
      <c r="A7" s="55" t="s">
        <v>2</v>
      </c>
      <c r="B7" s="47">
        <v>43</v>
      </c>
      <c r="C7" s="39">
        <f>IF(B$2=0,0,B7/B$2)</f>
        <v>0.27044025157232704</v>
      </c>
      <c r="E7" s="63" t="s">
        <v>69</v>
      </c>
      <c r="F7" s="60" t="s">
        <v>12</v>
      </c>
      <c r="G7" s="47">
        <v>128</v>
      </c>
      <c r="H7" s="133">
        <f>IF(B$17=0,0,G7/B$17)</f>
        <v>0.35359116022099446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62</v>
      </c>
      <c r="C8" s="39">
        <f>IF(B$2=0,0,B8/B$2)</f>
        <v>0.38993710691823902</v>
      </c>
      <c r="E8" s="63" t="s">
        <v>70</v>
      </c>
      <c r="F8" s="60" t="s">
        <v>25</v>
      </c>
      <c r="G8" s="47">
        <v>79</v>
      </c>
      <c r="H8" s="133">
        <f>IF(B$17=0,0,G8/B$17)</f>
        <v>0.21823204419889503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0.33962264150943394</v>
      </c>
      <c r="E9" s="63" t="s">
        <v>66</v>
      </c>
      <c r="F9" s="60" t="s">
        <v>22</v>
      </c>
      <c r="G9" s="47">
        <v>52</v>
      </c>
      <c r="H9" s="133">
        <f>IF(B$17=0,0,G9/B$17)</f>
        <v>0.143646408839779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0.12578616352201258</v>
      </c>
      <c r="E10" s="63" t="s">
        <v>71</v>
      </c>
      <c r="F10" s="60" t="s">
        <v>26</v>
      </c>
      <c r="G10" s="47">
        <v>46</v>
      </c>
      <c r="H10" s="133">
        <f>IF(B$17=0,0,G10/B$17)</f>
        <v>0.1270718232044199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0.10062893081761007</v>
      </c>
      <c r="E11" s="63" t="s">
        <v>90</v>
      </c>
      <c r="F11" s="60" t="s">
        <v>45</v>
      </c>
      <c r="G11" s="47">
        <v>42</v>
      </c>
      <c r="H11" s="133">
        <f>IF(B$17=0,0,G11/B$17)</f>
        <v>0.11602209944751381</v>
      </c>
      <c r="I11" s="94">
        <v>8</v>
      </c>
      <c r="K11" s="38">
        <v>9</v>
      </c>
      <c r="L11" s="99">
        <v>-79.5</v>
      </c>
      <c r="N11" s="115" t="s">
        <v>165</v>
      </c>
      <c r="O11" s="125">
        <f>IF(P11=0,0,Q11/P11)</f>
        <v>-2.17906976744186</v>
      </c>
      <c r="P11" s="119">
        <v>43</v>
      </c>
      <c r="Q11" s="107">
        <v>-93.699999999999974</v>
      </c>
    </row>
    <row r="12" spans="1:17" x14ac:dyDescent="0.4">
      <c r="A12" s="57" t="s">
        <v>160</v>
      </c>
      <c r="B12" s="49">
        <v>9</v>
      </c>
      <c r="C12" s="42">
        <f>IF(B$2=0,0,B12/B$2)</f>
        <v>5.6603773584905662E-2</v>
      </c>
      <c r="E12" s="63" t="s">
        <v>87</v>
      </c>
      <c r="F12" s="60" t="s">
        <v>42</v>
      </c>
      <c r="G12" s="47">
        <v>20</v>
      </c>
      <c r="H12" s="133">
        <f>IF(B$17=0,0,G12/B$17)</f>
        <v>5.5248618784530384E-2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386</v>
      </c>
      <c r="C13" s="44">
        <f>IF(B$3=0,0,B13/B$3)</f>
        <v>0.29555895865237364</v>
      </c>
      <c r="E13" s="63" t="s">
        <v>72</v>
      </c>
      <c r="F13" s="60" t="s">
        <v>27</v>
      </c>
      <c r="G13" s="47">
        <v>17</v>
      </c>
      <c r="H13" s="133">
        <f>IF(B$17=0,0,G13/B$17)</f>
        <v>4.6961325966850827E-2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224</v>
      </c>
      <c r="C14" s="39">
        <f>IF(B$3=0,0,B14/B$3)</f>
        <v>0.17151607963246554</v>
      </c>
      <c r="E14" s="63" t="s">
        <v>84</v>
      </c>
      <c r="F14" s="60" t="s">
        <v>39</v>
      </c>
      <c r="G14" s="47">
        <v>15</v>
      </c>
      <c r="H14" s="133">
        <f>IF(B$17=0,0,G14/B$17)</f>
        <v>4.1436464088397788E-2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227</v>
      </c>
      <c r="C15" s="37">
        <f>IF(B$13=0,0,B15/B$13)</f>
        <v>0.58808290155440412</v>
      </c>
      <c r="E15" s="63" t="s">
        <v>82</v>
      </c>
      <c r="F15" s="60" t="s">
        <v>37</v>
      </c>
      <c r="G15" s="47">
        <v>11</v>
      </c>
      <c r="H15" s="133">
        <f>IF(B$17=0,0,G15/B$17)</f>
        <v>3.0386740331491711E-2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0.32142857142857145</v>
      </c>
      <c r="E16" s="63" t="s">
        <v>79</v>
      </c>
      <c r="F16" s="60" t="s">
        <v>34</v>
      </c>
      <c r="G16" s="47">
        <v>8</v>
      </c>
      <c r="H16" s="133">
        <f>IF(B$17=0,0,G16/B$17)</f>
        <v>2.2099447513812154E-2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362</v>
      </c>
      <c r="C17" s="37">
        <f>IF(B$3=0,0,B17/B$3)</f>
        <v>0.27718223583460949</v>
      </c>
      <c r="E17" s="63" t="s">
        <v>80</v>
      </c>
      <c r="F17" s="60" t="s">
        <v>35</v>
      </c>
      <c r="G17" s="47">
        <v>7</v>
      </c>
      <c r="H17" s="133">
        <f>IF(B$17=0,0,G17/B$17)</f>
        <v>1.9337016574585635E-2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>IF(P17=0,0,Q17/P17)</f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159</v>
      </c>
      <c r="C18" s="39">
        <f>IF(B$17=0,0,B18/B$17)</f>
        <v>0.43922651933701656</v>
      </c>
      <c r="E18" s="63" t="s">
        <v>180</v>
      </c>
      <c r="F18" s="60" t="s">
        <v>181</v>
      </c>
      <c r="G18" s="47">
        <v>7</v>
      </c>
      <c r="H18" s="133">
        <f>IF(B$17=0,0,G18/B$17)</f>
        <v>1.9337016574585635E-2</v>
      </c>
      <c r="I18" s="94">
        <v>4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203</v>
      </c>
      <c r="C19" s="39">
        <f>IF(B$17=0,0,B19/B$17)</f>
        <v>0.56077348066298338</v>
      </c>
      <c r="E19" s="63" t="s">
        <v>92</v>
      </c>
      <c r="F19" s="60" t="s">
        <v>47</v>
      </c>
      <c r="G19" s="47">
        <v>6</v>
      </c>
      <c r="H19" s="133">
        <f>IF(B$17=0,0,G19/B$17)</f>
        <v>1.6574585635359115E-2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>IF(P19=0,0,Q19/P19)</f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237</v>
      </c>
      <c r="C20" s="39">
        <f>IF(B$3=0,0,B20/B$3)</f>
        <v>0.18147013782542112</v>
      </c>
      <c r="E20" s="63" t="s">
        <v>76</v>
      </c>
      <c r="F20" s="60" t="s">
        <v>31</v>
      </c>
      <c r="G20" s="47">
        <v>4</v>
      </c>
      <c r="H20" s="133">
        <f>IF(B$17=0,0,G20/B$17)</f>
        <v>1.1049723756906077E-2</v>
      </c>
      <c r="I20" s="94">
        <v>3</v>
      </c>
      <c r="K20" s="38">
        <v>18</v>
      </c>
      <c r="L20" s="99">
        <v>116.69999999999999</v>
      </c>
      <c r="N20" s="115" t="s">
        <v>177</v>
      </c>
      <c r="O20" s="125">
        <f>IF(P20=0,0,Q20/P20)</f>
        <v>-1.0906250000000004</v>
      </c>
      <c r="P20" s="119">
        <v>32</v>
      </c>
      <c r="Q20" s="107">
        <v>-34.900000000000013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8.2872928176795577E-3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75</v>
      </c>
      <c r="F22" s="60" t="s">
        <v>30</v>
      </c>
      <c r="G22" s="47">
        <v>2</v>
      </c>
      <c r="H22" s="133">
        <f>IF(B$17=0,0,G22/B$17)</f>
        <v>5.5248618784530384E-3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-18.368181818181817</v>
      </c>
      <c r="P22" s="119">
        <v>110</v>
      </c>
      <c r="Q22" s="107">
        <v>-2020.5</v>
      </c>
    </row>
    <row r="23" spans="1:17" x14ac:dyDescent="0.4">
      <c r="A23" s="55" t="s">
        <v>5</v>
      </c>
      <c r="B23" s="51">
        <f>IF(B$17=0,0,C23/B$17)</f>
        <v>8941.9889502762435</v>
      </c>
      <c r="C23" s="41">
        <v>3237000</v>
      </c>
      <c r="E23" s="63" t="s">
        <v>78</v>
      </c>
      <c r="F23" s="60" t="s">
        <v>33</v>
      </c>
      <c r="G23" s="47">
        <v>1</v>
      </c>
      <c r="H23" s="133">
        <f>IF(B$17=0,0,G23/B$17)</f>
        <v>2.7624309392265192E-3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-7465.8227848101269</v>
      </c>
      <c r="C24" s="45">
        <v>-1769400</v>
      </c>
      <c r="E24" s="63" t="s">
        <v>85</v>
      </c>
      <c r="F24" s="60" t="s">
        <v>40</v>
      </c>
      <c r="G24" s="47">
        <v>1</v>
      </c>
      <c r="H24" s="133">
        <f>IF(B$17=0,0,G24/B$17)</f>
        <v>2.7624309392265192E-3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2.7624309392265192E-3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2.7624309392265192E-3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3.8284839203675345E-3</v>
      </c>
      <c r="E27" s="63" t="s">
        <v>94</v>
      </c>
      <c r="F27" s="60" t="s">
        <v>49</v>
      </c>
      <c r="G27" s="47">
        <v>1</v>
      </c>
      <c r="H27" s="133">
        <f>IF(B$17=0,0,G27/B$17)</f>
        <v>2.7624309392265192E-3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2.7624309392265192E-3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B530-70BB-4C06-912D-AE215370020A}">
  <sheetPr codeName="Sheet11"/>
  <dimension ref="A1:Q14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147</v>
      </c>
      <c r="C2" s="151"/>
      <c r="E2" s="62" t="s">
        <v>67</v>
      </c>
      <c r="F2" s="59" t="s">
        <v>23</v>
      </c>
      <c r="G2" s="46">
        <v>273</v>
      </c>
      <c r="H2" s="132">
        <f>IF(B$17=0,0,G2/B$17)</f>
        <v>0.81008902077151335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-2042.1768707482993</v>
      </c>
      <c r="P2" s="118">
        <v>147</v>
      </c>
      <c r="Q2" s="102">
        <v>-300200</v>
      </c>
    </row>
    <row r="3" spans="1:17" x14ac:dyDescent="0.4">
      <c r="A3" s="55" t="s">
        <v>8</v>
      </c>
      <c r="B3" s="152">
        <v>1234</v>
      </c>
      <c r="C3" s="153"/>
      <c r="E3" s="63" t="s">
        <v>65</v>
      </c>
      <c r="F3" s="60" t="s">
        <v>21</v>
      </c>
      <c r="G3" s="47">
        <v>164</v>
      </c>
      <c r="H3" s="133">
        <f>IF(B$17=0,0,G3/B$17)</f>
        <v>0.48664688427299702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-1546.1538461538462</v>
      </c>
      <c r="P3" s="119">
        <v>143</v>
      </c>
      <c r="Q3" s="103">
        <v>-221100</v>
      </c>
    </row>
    <row r="4" spans="1:17" x14ac:dyDescent="0.4">
      <c r="A4" s="55" t="s">
        <v>6</v>
      </c>
      <c r="B4" s="154">
        <v>-1197.4000000000001</v>
      </c>
      <c r="C4" s="155"/>
      <c r="E4" s="63" t="s">
        <v>73</v>
      </c>
      <c r="F4" s="60" t="s">
        <v>28</v>
      </c>
      <c r="G4" s="47">
        <v>147</v>
      </c>
      <c r="H4" s="133">
        <f>IF(B$17=0,0,G4/B$17)</f>
        <v>0.43620178041543028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580.59701492537317</v>
      </c>
      <c r="P4" s="119">
        <v>134</v>
      </c>
      <c r="Q4" s="103">
        <v>77800</v>
      </c>
    </row>
    <row r="5" spans="1:17" x14ac:dyDescent="0.4">
      <c r="A5" s="55" t="s">
        <v>7</v>
      </c>
      <c r="B5" s="156">
        <f>IF(B$2=0,0,B$4/B$2)</f>
        <v>-8.145578231292518</v>
      </c>
      <c r="C5" s="157"/>
      <c r="E5" s="63" t="s">
        <v>245</v>
      </c>
      <c r="F5" s="60" t="s">
        <v>246</v>
      </c>
      <c r="G5" s="47">
        <v>137</v>
      </c>
      <c r="H5" s="133">
        <f>IF(B$17=0,0,G5/B$17)</f>
        <v>0.40652818991097922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-2913.2231404958679</v>
      </c>
      <c r="P5" s="119">
        <v>121</v>
      </c>
      <c r="Q5" s="103">
        <v>-352500</v>
      </c>
    </row>
    <row r="6" spans="1:17" x14ac:dyDescent="0.4">
      <c r="A6" s="55" t="s">
        <v>1</v>
      </c>
      <c r="B6" s="146">
        <f>IF(B$2=0,0,(B$7*1+B$8*2+B$9*3)/B$2)</f>
        <v>2.1156462585034013</v>
      </c>
      <c r="C6" s="147"/>
      <c r="E6" s="63" t="s">
        <v>69</v>
      </c>
      <c r="F6" s="60" t="s">
        <v>12</v>
      </c>
      <c r="G6" s="47">
        <v>115</v>
      </c>
      <c r="H6" s="133">
        <f>IF(B$17=0,0,G6/B$17)</f>
        <v>0.34124629080118696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-457.27272727272725</v>
      </c>
      <c r="P6" s="119">
        <v>110</v>
      </c>
      <c r="Q6" s="103">
        <v>-50300</v>
      </c>
    </row>
    <row r="7" spans="1:17" x14ac:dyDescent="0.4">
      <c r="A7" s="55" t="s">
        <v>2</v>
      </c>
      <c r="B7" s="47">
        <v>44</v>
      </c>
      <c r="C7" s="39">
        <f>IF(B$2=0,0,B7/B$2)</f>
        <v>0.29931972789115646</v>
      </c>
      <c r="E7" s="63" t="s">
        <v>68</v>
      </c>
      <c r="F7" s="60" t="s">
        <v>24</v>
      </c>
      <c r="G7" s="47">
        <v>90</v>
      </c>
      <c r="H7" s="133">
        <f>IF(B$17=0,0,G7/B$17)</f>
        <v>0.26706231454005935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-233.33333333333334</v>
      </c>
      <c r="P7" s="120">
        <v>99</v>
      </c>
      <c r="Q7" s="104">
        <v>-23100</v>
      </c>
    </row>
    <row r="8" spans="1:17" x14ac:dyDescent="0.4">
      <c r="A8" s="55" t="s">
        <v>3</v>
      </c>
      <c r="B8" s="47">
        <v>42</v>
      </c>
      <c r="C8" s="39">
        <f>IF(B$2=0,0,B8/B$2)</f>
        <v>0.2857142857142857</v>
      </c>
      <c r="E8" s="63" t="s">
        <v>70</v>
      </c>
      <c r="F8" s="60" t="s">
        <v>25</v>
      </c>
      <c r="G8" s="47">
        <v>55</v>
      </c>
      <c r="H8" s="133">
        <f>IF(B$17=0,0,G8/B$17)</f>
        <v>0.16320474777448071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61</v>
      </c>
      <c r="C9" s="40">
        <f t="shared" ref="C9" si="1">IF(B$2=0,0,B9/B$2)</f>
        <v>0.41496598639455784</v>
      </c>
      <c r="E9" s="63" t="s">
        <v>71</v>
      </c>
      <c r="F9" s="60" t="s">
        <v>26</v>
      </c>
      <c r="G9" s="47">
        <v>50</v>
      </c>
      <c r="H9" s="133">
        <f>IF(B$17=0,0,G9/B$17)</f>
        <v>0.14836795252225518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0.16326530612244897</v>
      </c>
      <c r="E10" s="63" t="s">
        <v>90</v>
      </c>
      <c r="F10" s="60" t="s">
        <v>45</v>
      </c>
      <c r="G10" s="47">
        <v>37</v>
      </c>
      <c r="H10" s="133">
        <f>IF(B$17=0,0,G10/B$17)</f>
        <v>0.10979228486646884</v>
      </c>
      <c r="I10" s="94">
        <v>10</v>
      </c>
      <c r="K10" s="38">
        <v>8</v>
      </c>
      <c r="L10" s="99">
        <v>-79.599999999999994</v>
      </c>
      <c r="N10" s="114" t="s">
        <v>164</v>
      </c>
      <c r="O10" s="124">
        <f>IF(P10=0,0,Q10/P10)</f>
        <v>-11.395348837209294</v>
      </c>
      <c r="P10" s="118">
        <v>43</v>
      </c>
      <c r="Q10" s="106">
        <v>-489.99999999999966</v>
      </c>
    </row>
    <row r="11" spans="1:17" x14ac:dyDescent="0.4">
      <c r="A11" s="56" t="s">
        <v>140</v>
      </c>
      <c r="B11" s="48">
        <v>15</v>
      </c>
      <c r="C11" s="40">
        <f>IF(B$2=0,0,B11/B$2)</f>
        <v>0.10204081632653061</v>
      </c>
      <c r="E11" s="63" t="s">
        <v>72</v>
      </c>
      <c r="F11" s="60" t="s">
        <v>27</v>
      </c>
      <c r="G11" s="47">
        <v>33</v>
      </c>
      <c r="H11" s="133">
        <f>IF(B$17=0,0,G11/B$17)</f>
        <v>9.7922848664688422E-2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-5.8296296296296317</v>
      </c>
      <c r="P11" s="119">
        <v>54</v>
      </c>
      <c r="Q11" s="107">
        <v>-314.80000000000013</v>
      </c>
    </row>
    <row r="12" spans="1:17" x14ac:dyDescent="0.4">
      <c r="A12" s="57" t="s">
        <v>160</v>
      </c>
      <c r="B12" s="49">
        <v>15</v>
      </c>
      <c r="C12" s="42">
        <f>IF(B$2=0,0,B12/B$2)</f>
        <v>0.10204081632653061</v>
      </c>
      <c r="E12" s="63" t="s">
        <v>66</v>
      </c>
      <c r="F12" s="60" t="s">
        <v>22</v>
      </c>
      <c r="G12" s="47">
        <v>28</v>
      </c>
      <c r="H12" s="133">
        <f>IF(B$17=0,0,G12/B$17)</f>
        <v>8.3086053412462904E-2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-7.8519999999999968</v>
      </c>
      <c r="P12" s="120">
        <v>50</v>
      </c>
      <c r="Q12" s="108">
        <v>-392.59999999999985</v>
      </c>
    </row>
    <row r="13" spans="1:17" x14ac:dyDescent="0.4">
      <c r="A13" s="58" t="s">
        <v>122</v>
      </c>
      <c r="B13" s="50">
        <v>318</v>
      </c>
      <c r="C13" s="44">
        <f>IF(B$3=0,0,B13/B$3)</f>
        <v>0.25769854132901132</v>
      </c>
      <c r="E13" s="63" t="s">
        <v>87</v>
      </c>
      <c r="F13" s="60" t="s">
        <v>42</v>
      </c>
      <c r="G13" s="47">
        <v>20</v>
      </c>
      <c r="H13" s="133">
        <f>IF(B$17=0,0,G13/B$17)</f>
        <v>5.9347181008902079E-2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0.18719611021069693</v>
      </c>
      <c r="E14" s="63" t="s">
        <v>84</v>
      </c>
      <c r="F14" s="60" t="s">
        <v>39</v>
      </c>
      <c r="G14" s="47">
        <v>12</v>
      </c>
      <c r="H14" s="133">
        <f>IF(B$17=0,0,G14/B$17)</f>
        <v>3.5608308605341248E-2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172</v>
      </c>
      <c r="C15" s="37">
        <f>IF(B$13=0,0,B15/B$13)</f>
        <v>0.54088050314465408</v>
      </c>
      <c r="E15" s="63" t="s">
        <v>79</v>
      </c>
      <c r="F15" s="60" t="s">
        <v>34</v>
      </c>
      <c r="G15" s="47">
        <v>11</v>
      </c>
      <c r="H15" s="133">
        <f>IF(B$17=0,0,G15/B$17)</f>
        <v>3.2640949554896145E-2</v>
      </c>
      <c r="I15" s="94">
        <v>5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79</v>
      </c>
      <c r="C16" s="37">
        <f>IF(B$14=0,0,B16/B$14)</f>
        <v>0.34199134199134201</v>
      </c>
      <c r="E16" s="63" t="s">
        <v>82</v>
      </c>
      <c r="F16" s="60" t="s">
        <v>37</v>
      </c>
      <c r="G16" s="47">
        <v>9</v>
      </c>
      <c r="H16" s="133">
        <f>IF(B$17=0,0,G16/B$17)</f>
        <v>2.6706231454005934E-2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337</v>
      </c>
      <c r="C17" s="37">
        <f>IF(B$3=0,0,B17/B$3)</f>
        <v>0.27309562398703402</v>
      </c>
      <c r="E17" s="63" t="s">
        <v>78</v>
      </c>
      <c r="F17" s="60" t="s">
        <v>33</v>
      </c>
      <c r="G17" s="47">
        <v>5</v>
      </c>
      <c r="H17" s="133">
        <f>IF(B$17=0,0,G17/B$17)</f>
        <v>1.483679525222552E-2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141</v>
      </c>
      <c r="C18" s="39">
        <f>IF(B$17=0,0,B18/B$17)</f>
        <v>0.41839762611275966</v>
      </c>
      <c r="E18" s="63" t="s">
        <v>80</v>
      </c>
      <c r="F18" s="60" t="s">
        <v>35</v>
      </c>
      <c r="G18" s="47">
        <v>4</v>
      </c>
      <c r="H18" s="133">
        <f>IF(B$17=0,0,G18/B$17)</f>
        <v>1.1869436201780416E-2</v>
      </c>
      <c r="I18" s="94">
        <v>10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196</v>
      </c>
      <c r="C19" s="39">
        <f>IF(B$17=0,0,B19/B$17)</f>
        <v>0.58160237388724034</v>
      </c>
      <c r="E19" s="63" t="s">
        <v>92</v>
      </c>
      <c r="F19" s="60" t="s">
        <v>47</v>
      </c>
      <c r="G19" s="47">
        <v>4</v>
      </c>
      <c r="H19" s="133">
        <f>IF(B$17=0,0,G19/B$17)</f>
        <v>1.1869436201780416E-2</v>
      </c>
      <c r="I19" s="94">
        <v>9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221</v>
      </c>
      <c r="C20" s="39">
        <f>IF(B$3=0,0,B20/B$3)</f>
        <v>0.17909238249594814</v>
      </c>
      <c r="E20" s="63" t="s">
        <v>75</v>
      </c>
      <c r="F20" s="60" t="s">
        <v>30</v>
      </c>
      <c r="G20" s="47">
        <v>3</v>
      </c>
      <c r="H20" s="133">
        <f>IF(B$17=0,0,G20/B$17)</f>
        <v>8.9020771513353119E-3</v>
      </c>
      <c r="I20" s="94">
        <v>2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5.9347181008902079E-3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-18.549999999999994</v>
      </c>
      <c r="P21" s="119">
        <v>32</v>
      </c>
      <c r="Q21" s="107">
        <v>-593.5999999999998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5.9347181008902079E-3</v>
      </c>
      <c r="I22" s="94">
        <v>2</v>
      </c>
      <c r="K22" s="38">
        <v>20</v>
      </c>
      <c r="L22" s="99">
        <v>-632.99999999999989</v>
      </c>
      <c r="N22" s="115" t="s">
        <v>171</v>
      </c>
      <c r="O22" s="125">
        <f>IF(P22=0,0,Q22/P22)</f>
        <v>-22.289743589743583</v>
      </c>
      <c r="P22" s="119">
        <v>39</v>
      </c>
      <c r="Q22" s="107">
        <v>-869.29999999999973</v>
      </c>
    </row>
    <row r="23" spans="1:17" x14ac:dyDescent="0.4">
      <c r="A23" s="55" t="s">
        <v>5</v>
      </c>
      <c r="B23" s="51">
        <f>IF(B$17=0,0,C23/B$17)</f>
        <v>8270.3264094955484</v>
      </c>
      <c r="C23" s="41">
        <v>2787100</v>
      </c>
      <c r="E23" s="63" t="s">
        <v>94</v>
      </c>
      <c r="F23" s="60" t="s">
        <v>49</v>
      </c>
      <c r="G23" s="47">
        <v>2</v>
      </c>
      <c r="H23" s="133">
        <f>IF(B$17=0,0,G23/B$17)</f>
        <v>5.9347181008902079E-3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-24.101136363636364</v>
      </c>
      <c r="P23" s="119">
        <v>88</v>
      </c>
      <c r="Q23" s="107">
        <v>-2120.9</v>
      </c>
    </row>
    <row r="24" spans="1:17" x14ac:dyDescent="0.4">
      <c r="A24" s="57" t="s">
        <v>14</v>
      </c>
      <c r="B24" s="52">
        <f>IF(B$20=0,0,C24/B$20)</f>
        <v>-8593.6651583710409</v>
      </c>
      <c r="C24" s="45">
        <v>-1899200</v>
      </c>
      <c r="E24" s="63" t="s">
        <v>76</v>
      </c>
      <c r="F24" s="60" t="s">
        <v>31</v>
      </c>
      <c r="G24" s="47">
        <v>1</v>
      </c>
      <c r="H24" s="133">
        <f>IF(B$17=0,0,G24/B$17)</f>
        <v>2.967359050445104E-3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2.967359050445104E-3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2.967359050445104E-3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1.6207455429497568E-3</v>
      </c>
      <c r="E27" s="63" t="s">
        <v>93</v>
      </c>
      <c r="F27" s="60" t="s">
        <v>48</v>
      </c>
      <c r="G27" s="47">
        <v>1</v>
      </c>
      <c r="H27" s="133">
        <f>IF(B$17=0,0,G27/B$17)</f>
        <v>2.967359050445104E-3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2.967359050445104E-3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-942.6</v>
      </c>
    </row>
    <row r="134" spans="11:12" x14ac:dyDescent="0.4">
      <c r="K134" s="38">
        <v>132</v>
      </c>
      <c r="L134" s="99">
        <v>-914.4</v>
      </c>
    </row>
    <row r="135" spans="11:12" x14ac:dyDescent="0.4">
      <c r="K135" s="38">
        <v>133</v>
      </c>
      <c r="L135" s="99">
        <v>-918.6</v>
      </c>
    </row>
    <row r="136" spans="11:12" x14ac:dyDescent="0.4">
      <c r="K136" s="38">
        <v>134</v>
      </c>
      <c r="L136" s="99">
        <v>-921.5</v>
      </c>
    </row>
    <row r="137" spans="11:12" x14ac:dyDescent="0.4">
      <c r="K137" s="38">
        <v>135</v>
      </c>
      <c r="L137" s="99">
        <v>-964.3</v>
      </c>
    </row>
    <row r="138" spans="11:12" x14ac:dyDescent="0.4">
      <c r="K138" s="38">
        <v>136</v>
      </c>
      <c r="L138" s="99">
        <v>-954.5</v>
      </c>
    </row>
    <row r="139" spans="11:12" x14ac:dyDescent="0.4">
      <c r="K139" s="38">
        <v>137</v>
      </c>
      <c r="L139" s="99">
        <v>-954.2</v>
      </c>
    </row>
    <row r="140" spans="11:12" x14ac:dyDescent="0.4">
      <c r="K140" s="38">
        <v>138</v>
      </c>
      <c r="L140" s="99">
        <v>-988.30000000000007</v>
      </c>
    </row>
    <row r="141" spans="11:12" x14ac:dyDescent="0.4">
      <c r="K141" s="38">
        <v>139</v>
      </c>
      <c r="L141" s="99">
        <v>-1025.7</v>
      </c>
    </row>
    <row r="142" spans="11:12" x14ac:dyDescent="0.4">
      <c r="K142" s="38">
        <v>140</v>
      </c>
      <c r="L142" s="99">
        <v>-1026.5</v>
      </c>
    </row>
    <row r="143" spans="11:12" x14ac:dyDescent="0.4">
      <c r="K143" s="38">
        <v>141</v>
      </c>
      <c r="L143" s="99">
        <v>-1082.5999999999999</v>
      </c>
    </row>
    <row r="144" spans="11:12" x14ac:dyDescent="0.4">
      <c r="K144" s="38">
        <v>142</v>
      </c>
      <c r="L144" s="99">
        <v>-1045</v>
      </c>
    </row>
    <row r="145" spans="11:12" x14ac:dyDescent="0.4">
      <c r="K145" s="38">
        <v>143</v>
      </c>
      <c r="L145" s="99">
        <v>-1104.5999999999999</v>
      </c>
    </row>
    <row r="146" spans="11:12" x14ac:dyDescent="0.4">
      <c r="K146" s="38">
        <v>144</v>
      </c>
      <c r="L146" s="99">
        <v>-1137</v>
      </c>
    </row>
    <row r="147" spans="11:12" x14ac:dyDescent="0.4">
      <c r="K147" s="38">
        <v>145</v>
      </c>
      <c r="L147" s="99">
        <v>-1178.4000000000001</v>
      </c>
    </row>
    <row r="148" spans="11:12" x14ac:dyDescent="0.4">
      <c r="K148" s="38">
        <v>146</v>
      </c>
      <c r="L148" s="99">
        <v>-1150.9000000000001</v>
      </c>
    </row>
    <row r="149" spans="11:12" x14ac:dyDescent="0.4">
      <c r="K149" s="38">
        <v>147</v>
      </c>
      <c r="L149" s="99">
        <v>-1197.4000000000001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14D8-467C-429B-B48E-97F7C8B43FED}">
  <sheetPr codeName="Sheet13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67</v>
      </c>
      <c r="F2" s="59" t="s">
        <v>23</v>
      </c>
      <c r="G2" s="46">
        <v>196</v>
      </c>
      <c r="H2" s="132">
        <f>IF(B$17=0,0,G2/B$17)</f>
        <v>0.7967479674796748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569.90291262135918</v>
      </c>
      <c r="P2" s="118">
        <v>103</v>
      </c>
      <c r="Q2" s="102">
        <v>58700</v>
      </c>
    </row>
    <row r="3" spans="1:17" x14ac:dyDescent="0.4">
      <c r="A3" s="55" t="s">
        <v>8</v>
      </c>
      <c r="B3" s="152">
        <v>855</v>
      </c>
      <c r="C3" s="153"/>
      <c r="E3" s="63" t="s">
        <v>73</v>
      </c>
      <c r="F3" s="60" t="s">
        <v>28</v>
      </c>
      <c r="G3" s="47">
        <v>137</v>
      </c>
      <c r="H3" s="133">
        <f>IF(B$17=0,0,G3/B$17)</f>
        <v>0.55691056910569103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730</v>
      </c>
      <c r="P3" s="119">
        <v>100</v>
      </c>
      <c r="Q3" s="103">
        <v>73000</v>
      </c>
    </row>
    <row r="4" spans="1:17" x14ac:dyDescent="0.4">
      <c r="A4" s="55" t="s">
        <v>6</v>
      </c>
      <c r="B4" s="154">
        <v>66.40000000000002</v>
      </c>
      <c r="C4" s="155"/>
      <c r="E4" s="63" t="s">
        <v>65</v>
      </c>
      <c r="F4" s="60" t="s">
        <v>21</v>
      </c>
      <c r="G4" s="47">
        <v>129</v>
      </c>
      <c r="H4" s="133">
        <f>IF(B$17=0,0,G4/B$17)</f>
        <v>0.52439024390243905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1472.5274725274726</v>
      </c>
      <c r="P4" s="119">
        <v>91</v>
      </c>
      <c r="Q4" s="103">
        <v>134000</v>
      </c>
    </row>
    <row r="5" spans="1:17" x14ac:dyDescent="0.4">
      <c r="A5" s="55" t="s">
        <v>7</v>
      </c>
      <c r="B5" s="156">
        <f>IF(B$2=0,0,B$4/B$2)</f>
        <v>0.64466019417475751</v>
      </c>
      <c r="C5" s="157"/>
      <c r="E5" s="63" t="s">
        <v>245</v>
      </c>
      <c r="F5" s="60" t="s">
        <v>246</v>
      </c>
      <c r="G5" s="47">
        <v>94</v>
      </c>
      <c r="H5" s="133">
        <f>IF(B$17=0,0,G5/B$17)</f>
        <v>0.38211382113821141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172.83950617283949</v>
      </c>
      <c r="P5" s="119">
        <v>81</v>
      </c>
      <c r="Q5" s="103">
        <v>14000</v>
      </c>
    </row>
    <row r="6" spans="1:17" x14ac:dyDescent="0.4">
      <c r="A6" s="55" t="s">
        <v>1</v>
      </c>
      <c r="B6" s="146">
        <f>IF(B$2=0,0,(B$7*1+B$8*2+B$9*3)/B$2)</f>
        <v>2.029126213592233</v>
      </c>
      <c r="C6" s="147"/>
      <c r="E6" s="63" t="s">
        <v>68</v>
      </c>
      <c r="F6" s="60" t="s">
        <v>24</v>
      </c>
      <c r="G6" s="47">
        <v>80</v>
      </c>
      <c r="H6" s="133">
        <f>IF(B$17=0,0,G6/B$17)</f>
        <v>0.32520325203252032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-2068.0555555555557</v>
      </c>
      <c r="P6" s="119">
        <v>72</v>
      </c>
      <c r="Q6" s="103">
        <v>-148900</v>
      </c>
    </row>
    <row r="7" spans="1:17" x14ac:dyDescent="0.4">
      <c r="A7" s="55" t="s">
        <v>2</v>
      </c>
      <c r="B7" s="47">
        <v>32</v>
      </c>
      <c r="C7" s="39">
        <f>IF(B$2=0,0,B7/B$2)</f>
        <v>0.31067961165048541</v>
      </c>
      <c r="E7" s="63" t="s">
        <v>69</v>
      </c>
      <c r="F7" s="60" t="s">
        <v>12</v>
      </c>
      <c r="G7" s="47">
        <v>73</v>
      </c>
      <c r="H7" s="133">
        <f>IF(B$17=0,0,G7/B$17)</f>
        <v>0.2967479674796748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-513.84615384615381</v>
      </c>
      <c r="P7" s="120">
        <v>65</v>
      </c>
      <c r="Q7" s="104">
        <v>-33400</v>
      </c>
    </row>
    <row r="8" spans="1:17" x14ac:dyDescent="0.4">
      <c r="A8" s="55" t="s">
        <v>3</v>
      </c>
      <c r="B8" s="47">
        <v>36</v>
      </c>
      <c r="C8" s="39">
        <f>IF(B$2=0,0,B8/B$2)</f>
        <v>0.34951456310679613</v>
      </c>
      <c r="E8" s="63" t="s">
        <v>70</v>
      </c>
      <c r="F8" s="60" t="s">
        <v>25</v>
      </c>
      <c r="G8" s="47">
        <v>46</v>
      </c>
      <c r="H8" s="133">
        <f>IF(B$17=0,0,G8/B$17)</f>
        <v>0.18699186991869918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0.33980582524271846</v>
      </c>
      <c r="E9" s="63" t="s">
        <v>90</v>
      </c>
      <c r="F9" s="60" t="s">
        <v>45</v>
      </c>
      <c r="G9" s="47">
        <v>42</v>
      </c>
      <c r="H9" s="133">
        <f>IF(B$17=0,0,G9/B$17)</f>
        <v>0.17073170731707318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0.10679611650485436</v>
      </c>
      <c r="E10" s="63" t="s">
        <v>66</v>
      </c>
      <c r="F10" s="60" t="s">
        <v>22</v>
      </c>
      <c r="G10" s="47">
        <v>30</v>
      </c>
      <c r="H10" s="133">
        <f>IF(B$17=0,0,G10/B$17)</f>
        <v>0.12195121951219512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15</v>
      </c>
      <c r="C11" s="40">
        <f>IF(B$2=0,0,B11/B$2)</f>
        <v>0.14563106796116504</v>
      </c>
      <c r="E11" s="63" t="s">
        <v>71</v>
      </c>
      <c r="F11" s="60" t="s">
        <v>26</v>
      </c>
      <c r="G11" s="47">
        <v>26</v>
      </c>
      <c r="H11" s="133">
        <f>IF(B$17=0,0,G11/B$17)</f>
        <v>0.10569105691056911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6</v>
      </c>
      <c r="C12" s="42">
        <f>IF(B$2=0,0,B12/B$2)</f>
        <v>5.8252427184466021E-2</v>
      </c>
      <c r="E12" s="63" t="s">
        <v>87</v>
      </c>
      <c r="F12" s="60" t="s">
        <v>42</v>
      </c>
      <c r="G12" s="47">
        <v>19</v>
      </c>
      <c r="H12" s="133">
        <f>IF(B$17=0,0,G12/B$17)</f>
        <v>7.7235772357723581E-2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-1.8054054054054054</v>
      </c>
      <c r="P12" s="120">
        <v>37</v>
      </c>
      <c r="Q12" s="108">
        <v>-66.8</v>
      </c>
    </row>
    <row r="13" spans="1:17" x14ac:dyDescent="0.4">
      <c r="A13" s="58" t="s">
        <v>122</v>
      </c>
      <c r="B13" s="50">
        <v>243</v>
      </c>
      <c r="C13" s="44">
        <f>IF(B$3=0,0,B13/B$3)</f>
        <v>0.28421052631578947</v>
      </c>
      <c r="E13" s="63" t="s">
        <v>72</v>
      </c>
      <c r="F13" s="60" t="s">
        <v>27</v>
      </c>
      <c r="G13" s="47">
        <v>15</v>
      </c>
      <c r="H13" s="133">
        <f>IF(B$17=0,0,G13/B$17)</f>
        <v>6.097560975609756E-2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166</v>
      </c>
      <c r="C14" s="39">
        <f>IF(B$3=0,0,B14/B$3)</f>
        <v>0.19415204678362574</v>
      </c>
      <c r="E14" s="63" t="s">
        <v>84</v>
      </c>
      <c r="F14" s="60" t="s">
        <v>39</v>
      </c>
      <c r="G14" s="47">
        <v>11</v>
      </c>
      <c r="H14" s="133">
        <f>IF(B$17=0,0,G14/B$17)</f>
        <v>4.4715447154471545E-2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137</v>
      </c>
      <c r="C15" s="37">
        <f>IF(B$13=0,0,B15/B$13)</f>
        <v>0.56378600823045266</v>
      </c>
      <c r="E15" s="63" t="s">
        <v>79</v>
      </c>
      <c r="F15" s="60" t="s">
        <v>34</v>
      </c>
      <c r="G15" s="47">
        <v>10</v>
      </c>
      <c r="H15" s="133">
        <f>IF(B$17=0,0,G15/B$17)</f>
        <v>4.065040650406504E-2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22.28974358974358</v>
      </c>
      <c r="P15" s="118">
        <v>39</v>
      </c>
      <c r="Q15" s="106">
        <v>869.29999999999961</v>
      </c>
    </row>
    <row r="16" spans="1:17" x14ac:dyDescent="0.4">
      <c r="A16" s="54" t="s">
        <v>125</v>
      </c>
      <c r="B16" s="46">
        <v>68</v>
      </c>
      <c r="C16" s="37">
        <f>IF(B$14=0,0,B16/B$14)</f>
        <v>0.40963855421686746</v>
      </c>
      <c r="E16" s="63" t="s">
        <v>82</v>
      </c>
      <c r="F16" s="60" t="s">
        <v>37</v>
      </c>
      <c r="G16" s="47">
        <v>8</v>
      </c>
      <c r="H16" s="133">
        <f>IF(B$17=0,0,G16/B$17)</f>
        <v>3.2520325203252036E-2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246</v>
      </c>
      <c r="C17" s="37">
        <f>IF(B$3=0,0,B17/B$3)</f>
        <v>0.28771929824561404</v>
      </c>
      <c r="E17" s="63" t="s">
        <v>92</v>
      </c>
      <c r="F17" s="60" t="s">
        <v>47</v>
      </c>
      <c r="G17" s="47">
        <v>8</v>
      </c>
      <c r="H17" s="133">
        <f>IF(B$17=0,0,G17/B$17)</f>
        <v>3.2520325203252036E-2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100</v>
      </c>
      <c r="C18" s="39">
        <f>IF(B$17=0,0,B18/B$17)</f>
        <v>0.4065040650406504</v>
      </c>
      <c r="E18" s="63" t="s">
        <v>80</v>
      </c>
      <c r="F18" s="60" t="s">
        <v>35</v>
      </c>
      <c r="G18" s="47">
        <v>5</v>
      </c>
      <c r="H18" s="133">
        <f>IF(B$17=0,0,G18/B$17)</f>
        <v>2.032520325203252E-2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146</v>
      </c>
      <c r="C19" s="39">
        <f>IF(B$17=0,0,B19/B$17)</f>
        <v>0.5934959349593496</v>
      </c>
      <c r="E19" s="63" t="s">
        <v>180</v>
      </c>
      <c r="F19" s="60" t="s">
        <v>181</v>
      </c>
      <c r="G19" s="47">
        <v>5</v>
      </c>
      <c r="H19" s="133">
        <f>IF(B$17=0,0,G19/B$17)</f>
        <v>2.032520325203252E-2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149</v>
      </c>
      <c r="C20" s="39">
        <f>IF(B$3=0,0,B20/B$3)</f>
        <v>0.17426900584795321</v>
      </c>
      <c r="E20" s="63" t="s">
        <v>74</v>
      </c>
      <c r="F20" s="60" t="s">
        <v>29</v>
      </c>
      <c r="G20" s="47">
        <v>3</v>
      </c>
      <c r="H20" s="133">
        <f>IF(B$17=0,0,G20/B$17)</f>
        <v>1.2195121951219513E-2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-1.725862068965514</v>
      </c>
      <c r="P20" s="119">
        <v>58</v>
      </c>
      <c r="Q20" s="107">
        <v>-100.09999999999981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1.2195121951219513E-2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5</v>
      </c>
      <c r="E22" s="63" t="s">
        <v>78</v>
      </c>
      <c r="F22" s="60" t="s">
        <v>33</v>
      </c>
      <c r="G22" s="47">
        <v>3</v>
      </c>
      <c r="H22" s="133">
        <f>IF(B$17=0,0,G22/B$17)</f>
        <v>1.2195121951219513E-2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9911.7886178861791</v>
      </c>
      <c r="C23" s="41">
        <v>2438300</v>
      </c>
      <c r="E23" s="63" t="s">
        <v>85</v>
      </c>
      <c r="F23" s="60" t="s">
        <v>40</v>
      </c>
      <c r="G23" s="47">
        <v>2</v>
      </c>
      <c r="H23" s="133">
        <f>IF(B$17=0,0,G23/B$17)</f>
        <v>8.130081300813009E-3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-8416.7785234899329</v>
      </c>
      <c r="C24" s="45">
        <v>-1254100</v>
      </c>
      <c r="E24" s="63" t="s">
        <v>93</v>
      </c>
      <c r="F24" s="60" t="s">
        <v>48</v>
      </c>
      <c r="G24" s="47">
        <v>2</v>
      </c>
      <c r="H24" s="133">
        <f>IF(B$17=0,0,G24/B$17)</f>
        <v>8.130081300813009E-3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4.0650406504065045E-3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4.0650406504065045E-3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2.3391812865497076E-3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19.500000000000014</v>
      </c>
    </row>
    <row r="103" spans="11:12" x14ac:dyDescent="0.4">
      <c r="K103" s="38">
        <v>101</v>
      </c>
      <c r="L103" s="99">
        <v>64.000000000000014</v>
      </c>
    </row>
    <row r="104" spans="11:12" x14ac:dyDescent="0.4">
      <c r="K104" s="38">
        <v>102</v>
      </c>
      <c r="L104" s="99">
        <v>71.000000000000014</v>
      </c>
    </row>
    <row r="105" spans="11:12" x14ac:dyDescent="0.4">
      <c r="K105" s="38">
        <v>103</v>
      </c>
      <c r="L105" s="99">
        <v>66.40000000000002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18BEB-6474-4BE5-BE05-24795D954780}">
  <sheetPr codeName="Sheet15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65</v>
      </c>
      <c r="F2" s="59" t="s">
        <v>21</v>
      </c>
      <c r="G2" s="46">
        <v>97</v>
      </c>
      <c r="H2" s="132">
        <f>IF(B$17=0,0,G2/B$17)</f>
        <v>0.35144927536231885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227.83505154639175</v>
      </c>
      <c r="P2" s="118">
        <v>97</v>
      </c>
      <c r="Q2" s="102">
        <v>22100</v>
      </c>
    </row>
    <row r="3" spans="1:17" x14ac:dyDescent="0.4">
      <c r="A3" s="55" t="s">
        <v>8</v>
      </c>
      <c r="B3" s="152">
        <v>818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0.10144927536231885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-1307.2164948453608</v>
      </c>
      <c r="P3" s="119">
        <v>97</v>
      </c>
      <c r="Q3" s="103">
        <v>-126800</v>
      </c>
    </row>
    <row r="4" spans="1:17" x14ac:dyDescent="0.4">
      <c r="A4" s="55" t="s">
        <v>6</v>
      </c>
      <c r="B4" s="154">
        <v>-200.50000000000006</v>
      </c>
      <c r="C4" s="155"/>
      <c r="E4" s="63" t="s">
        <v>67</v>
      </c>
      <c r="F4" s="60" t="s">
        <v>23</v>
      </c>
      <c r="G4" s="47">
        <v>182</v>
      </c>
      <c r="H4" s="133">
        <f>IF(B$17=0,0,G4/B$17)</f>
        <v>0.65942028985507251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-710.34482758620686</v>
      </c>
      <c r="P4" s="119">
        <v>87</v>
      </c>
      <c r="Q4" s="103">
        <v>-61800</v>
      </c>
    </row>
    <row r="5" spans="1:17" x14ac:dyDescent="0.4">
      <c r="A5" s="55" t="s">
        <v>7</v>
      </c>
      <c r="B5" s="156">
        <f>IF(B$2=0,0,B$4/B$2)</f>
        <v>-2.0670103092783512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0.18115942028985507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1051.8072289156626</v>
      </c>
      <c r="P5" s="119">
        <v>83</v>
      </c>
      <c r="Q5" s="103">
        <v>87300</v>
      </c>
    </row>
    <row r="6" spans="1:17" x14ac:dyDescent="0.4">
      <c r="A6" s="55" t="s">
        <v>1</v>
      </c>
      <c r="B6" s="146">
        <f>IF(B$2=0,0,(B$7*1+B$8*2+B$9*3)/B$2)</f>
        <v>2.0618556701030926</v>
      </c>
      <c r="C6" s="147"/>
      <c r="E6" s="63" t="s">
        <v>69</v>
      </c>
      <c r="F6" s="60" t="s">
        <v>12</v>
      </c>
      <c r="G6" s="47">
        <v>69</v>
      </c>
      <c r="H6" s="133">
        <f>IF(B$17=0,0,G6/B$17)</f>
        <v>0.25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-224.67532467532467</v>
      </c>
      <c r="P6" s="119">
        <v>77</v>
      </c>
      <c r="Q6" s="103">
        <v>-17300</v>
      </c>
    </row>
    <row r="7" spans="1:17" x14ac:dyDescent="0.4">
      <c r="A7" s="55" t="s">
        <v>2</v>
      </c>
      <c r="B7" s="47">
        <v>24</v>
      </c>
      <c r="C7" s="39">
        <f>IF(B$2=0,0,B7/B$2)</f>
        <v>0.24742268041237114</v>
      </c>
      <c r="E7" s="63" t="s">
        <v>70</v>
      </c>
      <c r="F7" s="60" t="s">
        <v>25</v>
      </c>
      <c r="G7" s="47">
        <v>43</v>
      </c>
      <c r="H7" s="133">
        <f>IF(B$17=0,0,G7/B$17)</f>
        <v>0.15579710144927536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-531.81818181818187</v>
      </c>
      <c r="P7" s="120">
        <v>66</v>
      </c>
      <c r="Q7" s="104">
        <v>-35100</v>
      </c>
    </row>
    <row r="8" spans="1:17" x14ac:dyDescent="0.4">
      <c r="A8" s="55" t="s">
        <v>3</v>
      </c>
      <c r="B8" s="47">
        <v>43</v>
      </c>
      <c r="C8" s="39">
        <f>IF(B$2=0,0,B8/B$2)</f>
        <v>0.44329896907216493</v>
      </c>
      <c r="E8" s="63" t="s">
        <v>71</v>
      </c>
      <c r="F8" s="60" t="s">
        <v>26</v>
      </c>
      <c r="G8" s="47">
        <v>19</v>
      </c>
      <c r="H8" s="133">
        <f>IF(B$17=0,0,G8/B$17)</f>
        <v>6.8840579710144928E-2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0.30927835051546393</v>
      </c>
      <c r="E9" s="63" t="s">
        <v>72</v>
      </c>
      <c r="F9" s="60" t="s">
        <v>27</v>
      </c>
      <c r="G9" s="47">
        <v>22</v>
      </c>
      <c r="H9" s="133">
        <f>IF(B$17=0,0,G9/B$17)</f>
        <v>7.9710144927536225E-2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5.1546391752577317E-2</v>
      </c>
      <c r="E10" s="63" t="s">
        <v>73</v>
      </c>
      <c r="F10" s="60" t="s">
        <v>28</v>
      </c>
      <c r="G10" s="47">
        <v>158</v>
      </c>
      <c r="H10" s="133">
        <f>IF(B$17=0,0,G10/B$17)</f>
        <v>0.57246376811594202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0.10309278350515463</v>
      </c>
      <c r="E11" s="63" t="s">
        <v>74</v>
      </c>
      <c r="F11" s="60" t="s">
        <v>29</v>
      </c>
      <c r="G11" s="47">
        <v>1</v>
      </c>
      <c r="H11" s="133">
        <f>IF(B$17=0,0,G11/B$17)</f>
        <v>3.6231884057971015E-3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2.5344827586206895</v>
      </c>
      <c r="P11" s="119">
        <v>29</v>
      </c>
      <c r="Q11" s="107">
        <v>73.5</v>
      </c>
    </row>
    <row r="12" spans="1:17" x14ac:dyDescent="0.4">
      <c r="A12" s="57" t="s">
        <v>160</v>
      </c>
      <c r="B12" s="49">
        <v>8</v>
      </c>
      <c r="C12" s="42">
        <f>IF(B$2=0,0,B12/B$2)</f>
        <v>8.247422680412371E-2</v>
      </c>
      <c r="E12" s="63" t="s">
        <v>75</v>
      </c>
      <c r="F12" s="60" t="s">
        <v>30</v>
      </c>
      <c r="G12" s="47">
        <v>2</v>
      </c>
      <c r="H12" s="133">
        <f>IF(B$17=0,0,G12/B$17)</f>
        <v>7.246376811594203E-3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175</v>
      </c>
      <c r="C13" s="44">
        <f>IF(B$3=0,0,B13/B$3)</f>
        <v>0.2139364303178484</v>
      </c>
      <c r="E13" s="63" t="s">
        <v>76</v>
      </c>
      <c r="F13" s="60" t="s">
        <v>31</v>
      </c>
      <c r="G13" s="47">
        <v>1</v>
      </c>
      <c r="H13" s="133">
        <f>IF(B$17=0,0,G13/B$17)</f>
        <v>3.6231884057971015E-3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0.2823960880195599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0.5485714285714286</v>
      </c>
      <c r="E15" s="63" t="s">
        <v>78</v>
      </c>
      <c r="F15" s="60" t="s">
        <v>33</v>
      </c>
      <c r="G15" s="47">
        <v>1</v>
      </c>
      <c r="H15" s="133">
        <f>IF(B$17=0,0,G15/B$17)</f>
        <v>3.6231884057971015E-3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99</v>
      </c>
      <c r="C16" s="37">
        <f>IF(B$14=0,0,B16/B$14)</f>
        <v>0.42857142857142855</v>
      </c>
      <c r="E16" s="63" t="s">
        <v>79</v>
      </c>
      <c r="F16" s="60" t="s">
        <v>34</v>
      </c>
      <c r="G16" s="47">
        <v>4</v>
      </c>
      <c r="H16" s="133">
        <f>IF(B$17=0,0,G16/B$17)</f>
        <v>1.4492753623188406E-2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18.54999999999999</v>
      </c>
      <c r="P16" s="119">
        <v>32</v>
      </c>
      <c r="Q16" s="107">
        <v>593.59999999999968</v>
      </c>
    </row>
    <row r="17" spans="1:17" x14ac:dyDescent="0.4">
      <c r="A17" s="54" t="s">
        <v>10</v>
      </c>
      <c r="B17" s="46">
        <f>B19+B18</f>
        <v>276</v>
      </c>
      <c r="C17" s="37">
        <f>IF(B$3=0,0,B17/B$3)</f>
        <v>0.33740831295843521</v>
      </c>
      <c r="E17" s="63" t="s">
        <v>80</v>
      </c>
      <c r="F17" s="60" t="s">
        <v>35</v>
      </c>
      <c r="G17" s="47">
        <v>3</v>
      </c>
      <c r="H17" s="133">
        <f>IF(B$17=0,0,G17/B$17)</f>
        <v>1.0869565217391304E-2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110</v>
      </c>
      <c r="C18" s="39">
        <f>IF(B$17=0,0,B18/B$17)</f>
        <v>0.39855072463768115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166</v>
      </c>
      <c r="C19" s="39">
        <f>IF(B$17=0,0,B19/B$17)</f>
        <v>0.60144927536231885</v>
      </c>
      <c r="E19" s="63" t="s">
        <v>82</v>
      </c>
      <c r="F19" s="60" t="s">
        <v>37</v>
      </c>
      <c r="G19" s="47">
        <v>9</v>
      </c>
      <c r="H19" s="133">
        <f>IF(B$17=0,0,G19/B$17)</f>
        <v>3.2608695652173912E-2</v>
      </c>
      <c r="I19" s="94">
        <v>2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116</v>
      </c>
      <c r="C20" s="39">
        <f>IF(B$3=0,0,B20/B$3)</f>
        <v>0.14180929095354522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20</v>
      </c>
      <c r="H21" s="133">
        <f>IF(B$17=0,0,G21/B$17)</f>
        <v>7.2463768115942032E-2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-25.497916666666658</v>
      </c>
      <c r="P22" s="119">
        <v>48</v>
      </c>
      <c r="Q22" s="107">
        <v>-1223.8999999999996</v>
      </c>
    </row>
    <row r="23" spans="1:17" x14ac:dyDescent="0.4">
      <c r="A23" s="55" t="s">
        <v>5</v>
      </c>
      <c r="B23" s="51">
        <f>IF(B$17=0,0,C23/B$17)</f>
        <v>6819.927536231884</v>
      </c>
      <c r="C23" s="41">
        <v>1882300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-8190.5172413793107</v>
      </c>
      <c r="C24" s="45">
        <v>-950100</v>
      </c>
      <c r="E24" s="63" t="s">
        <v>87</v>
      </c>
      <c r="F24" s="60" t="s">
        <v>42</v>
      </c>
      <c r="G24" s="47">
        <v>11</v>
      </c>
      <c r="H24" s="133">
        <f>IF(B$17=0,0,G24/B$17)</f>
        <v>3.9855072463768113E-2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3.6231884057971015E-3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1.2224938875305623E-3</v>
      </c>
      <c r="E27" s="63" t="s">
        <v>90</v>
      </c>
      <c r="F27" s="60" t="s">
        <v>45</v>
      </c>
      <c r="G27" s="47">
        <v>21</v>
      </c>
      <c r="H27" s="133">
        <f>IF(B$17=0,0,G27/B$17)</f>
        <v>7.6086956521739135E-2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3.6231884057971015E-3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1.4492753623188406E-2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116</v>
      </c>
      <c r="H51" s="138">
        <f>IF(B$17=0,0,G51/B$17)</f>
        <v>0.42028985507246375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</sheetData>
  <sortState ref="E2:I9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AF962-210A-45A3-B9E2-0C0E43079DE7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53</v>
      </c>
      <c r="C2" s="151"/>
      <c r="E2" s="62" t="s">
        <v>65</v>
      </c>
      <c r="F2" s="59" t="s">
        <v>21</v>
      </c>
      <c r="G2" s="46">
        <v>55</v>
      </c>
      <c r="H2" s="132">
        <f>IF(B$17=0,0,G2/B$17)</f>
        <v>0.41984732824427479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2">
        <v>461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7.6335877862595422E-2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4">
        <v>-396.70000000000005</v>
      </c>
      <c r="C4" s="155"/>
      <c r="E4" s="63" t="s">
        <v>67</v>
      </c>
      <c r="F4" s="60" t="s">
        <v>23</v>
      </c>
      <c r="G4" s="47">
        <v>87</v>
      </c>
      <c r="H4" s="133">
        <f>IF(B$17=0,0,G4/B$17)</f>
        <v>0.66412213740458015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-1194</v>
      </c>
      <c r="P4" s="119">
        <v>50</v>
      </c>
      <c r="Q4" s="103">
        <v>-59700</v>
      </c>
    </row>
    <row r="5" spans="1:17" x14ac:dyDescent="0.4">
      <c r="A5" s="55" t="s">
        <v>7</v>
      </c>
      <c r="B5" s="156">
        <f>IF(B$2=0,0,B$4/B$2)</f>
        <v>-7.4849056603773594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0.22137404580152673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6">
        <f>IF(B$2=0,0,(B$7*1+B$8*2+B$9*3)/B$2)</f>
        <v>2.1132075471698113</v>
      </c>
      <c r="C6" s="147"/>
      <c r="E6" s="63" t="s">
        <v>69</v>
      </c>
      <c r="F6" s="60" t="s">
        <v>12</v>
      </c>
      <c r="G6" s="47">
        <v>50</v>
      </c>
      <c r="H6" s="133">
        <f>IF(B$17=0,0,G6/B$17)</f>
        <v>0.38167938931297712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16</v>
      </c>
      <c r="H7" s="133">
        <f>IF(B$17=0,0,G7/B$17)</f>
        <v>0.12213740458015267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71</v>
      </c>
      <c r="F8" s="60" t="s">
        <v>26</v>
      </c>
      <c r="G8" s="47">
        <v>15</v>
      </c>
      <c r="H8" s="133">
        <f>IF(B$17=0,0,G8/B$17)</f>
        <v>0.11450381679389313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72</v>
      </c>
      <c r="F9" s="60" t="s">
        <v>27</v>
      </c>
      <c r="G9" s="47">
        <v>6</v>
      </c>
      <c r="H9" s="133">
        <f>IF(B$17=0,0,G9/B$17)</f>
        <v>4.5801526717557252E-2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73</v>
      </c>
      <c r="F10" s="60" t="s">
        <v>28</v>
      </c>
      <c r="G10" s="47">
        <v>67</v>
      </c>
      <c r="H10" s="133">
        <f>IF(B$17=0,0,G10/B$17)</f>
        <v>0.51145038167938928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74</v>
      </c>
      <c r="F11" s="60" t="s">
        <v>29</v>
      </c>
      <c r="G11" s="47">
        <v>3</v>
      </c>
      <c r="H11" s="133">
        <f>IF(B$17=0,0,G11/B$17)</f>
        <v>2.2900763358778626E-2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79</v>
      </c>
      <c r="F16" s="60" t="s">
        <v>34</v>
      </c>
      <c r="G16" s="47">
        <v>3</v>
      </c>
      <c r="H16" s="133">
        <f>IF(B$17=0,0,G16/B$17)</f>
        <v>2.2900763358778626E-2</v>
      </c>
      <c r="I16" s="94">
        <v>8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80</v>
      </c>
      <c r="F17" s="60" t="s">
        <v>35</v>
      </c>
      <c r="G17" s="47">
        <v>2</v>
      </c>
      <c r="H17" s="133">
        <f>IF(B$17=0,0,G17/B$17)</f>
        <v>1.5267175572519083E-2</v>
      </c>
      <c r="I17" s="94">
        <v>7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1.5267175572519083E-2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87</v>
      </c>
      <c r="F24" s="60" t="s">
        <v>42</v>
      </c>
      <c r="G24" s="47">
        <v>6</v>
      </c>
      <c r="H24" s="133">
        <f>IF(B$17=0,0,G24/B$17)</f>
        <v>4.5801526717557252E-2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7.6335877862595417E-3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90</v>
      </c>
      <c r="F27" s="60" t="s">
        <v>45</v>
      </c>
      <c r="G27" s="47">
        <v>18</v>
      </c>
      <c r="H27" s="133">
        <f>IF(B$17=0,0,G27/B$17)</f>
        <v>0.13740458015267176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1.5267175572519083E-2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7.6335877862595417E-3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1.5267175572519083E-2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50</v>
      </c>
      <c r="H51" s="138">
        <f>IF(B$17=0,0,G51/B$17)</f>
        <v>0.38167938931297712</v>
      </c>
      <c r="I51" s="139">
        <v>11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18BB8-8B39-4262-BCE4-228DB84B0532}">
  <sheetPr codeName="Sheet19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65</v>
      </c>
      <c r="F2" s="59" t="s">
        <v>21</v>
      </c>
      <c r="G2" s="46">
        <v>134</v>
      </c>
      <c r="H2" s="132">
        <f>IF(B$17=0,0,G2/B$17)</f>
        <v>0.61467889908256879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927.8350515463917</v>
      </c>
      <c r="P2" s="118">
        <v>97</v>
      </c>
      <c r="Q2" s="102">
        <v>90000</v>
      </c>
    </row>
    <row r="3" spans="1:17" x14ac:dyDescent="0.4">
      <c r="A3" s="55" t="s">
        <v>8</v>
      </c>
      <c r="B3" s="152">
        <v>793</v>
      </c>
      <c r="C3" s="153"/>
      <c r="E3" s="63" t="s">
        <v>67</v>
      </c>
      <c r="F3" s="60" t="s">
        <v>23</v>
      </c>
      <c r="G3" s="47">
        <v>120</v>
      </c>
      <c r="H3" s="133">
        <f>IF(B$17=0,0,G3/B$17)</f>
        <v>0.55045871559633031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237.63440860215053</v>
      </c>
      <c r="P3" s="119">
        <v>93</v>
      </c>
      <c r="Q3" s="103">
        <v>22100</v>
      </c>
    </row>
    <row r="4" spans="1:17" x14ac:dyDescent="0.4">
      <c r="A4" s="55" t="s">
        <v>6</v>
      </c>
      <c r="B4" s="154">
        <v>19.799999999999926</v>
      </c>
      <c r="C4" s="155"/>
      <c r="E4" s="63" t="s">
        <v>73</v>
      </c>
      <c r="F4" s="60" t="s">
        <v>28</v>
      </c>
      <c r="G4" s="47">
        <v>96</v>
      </c>
      <c r="H4" s="133">
        <f>IF(B$17=0,0,G4/B$17)</f>
        <v>0.44036697247706424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-248.23529411764707</v>
      </c>
      <c r="P4" s="119">
        <v>85</v>
      </c>
      <c r="Q4" s="103">
        <v>-21100</v>
      </c>
    </row>
    <row r="5" spans="1:17" x14ac:dyDescent="0.4">
      <c r="A5" s="55" t="s">
        <v>7</v>
      </c>
      <c r="B5" s="156">
        <f>IF(B$2=0,0,B$4/B$2)</f>
        <v>0.20412371134020543</v>
      </c>
      <c r="C5" s="157"/>
      <c r="E5" s="63" t="s">
        <v>245</v>
      </c>
      <c r="F5" s="60" t="s">
        <v>246</v>
      </c>
      <c r="G5" s="47">
        <v>93</v>
      </c>
      <c r="H5" s="133">
        <f>IF(B$17=0,0,G5/B$17)</f>
        <v>0.42660550458715596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1296.2962962962963</v>
      </c>
      <c r="P5" s="119">
        <v>81</v>
      </c>
      <c r="Q5" s="103">
        <v>105000</v>
      </c>
    </row>
    <row r="6" spans="1:17" x14ac:dyDescent="0.4">
      <c r="A6" s="55" t="s">
        <v>1</v>
      </c>
      <c r="B6" s="146">
        <f>IF(B$2=0,0,(B$7*1+B$8*2+B$9*3)/B$2)</f>
        <v>1.9896907216494846</v>
      </c>
      <c r="C6" s="147"/>
      <c r="E6" s="63" t="s">
        <v>68</v>
      </c>
      <c r="F6" s="60" t="s">
        <v>24</v>
      </c>
      <c r="G6" s="47">
        <v>91</v>
      </c>
      <c r="H6" s="133">
        <f>IF(B$17=0,0,G6/B$17)</f>
        <v>0.41743119266055045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-1895.9459459459461</v>
      </c>
      <c r="P6" s="119">
        <v>74</v>
      </c>
      <c r="Q6" s="103">
        <v>-140300</v>
      </c>
    </row>
    <row r="7" spans="1:17" x14ac:dyDescent="0.4">
      <c r="A7" s="55" t="s">
        <v>2</v>
      </c>
      <c r="B7" s="47">
        <v>33</v>
      </c>
      <c r="C7" s="39">
        <f>IF(B$2=0,0,B7/B$2)</f>
        <v>0.34020618556701032</v>
      </c>
      <c r="E7" s="63" t="s">
        <v>69</v>
      </c>
      <c r="F7" s="60" t="s">
        <v>12</v>
      </c>
      <c r="G7" s="47">
        <v>73</v>
      </c>
      <c r="H7" s="133">
        <f>IF(B$17=0,0,G7/B$17)</f>
        <v>0.33486238532110091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0.32989690721649484</v>
      </c>
      <c r="E8" s="63" t="s">
        <v>70</v>
      </c>
      <c r="F8" s="60" t="s">
        <v>25</v>
      </c>
      <c r="G8" s="47">
        <v>35</v>
      </c>
      <c r="H8" s="133">
        <f>IF(B$17=0,0,G8/B$17)</f>
        <v>0.16055045871559634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0.32989690721649484</v>
      </c>
      <c r="E9" s="63" t="s">
        <v>66</v>
      </c>
      <c r="F9" s="60" t="s">
        <v>22</v>
      </c>
      <c r="G9" s="47">
        <v>25</v>
      </c>
      <c r="H9" s="133">
        <f>IF(B$17=0,0,G9/B$17)</f>
        <v>0.11467889908256881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0.13402061855670103</v>
      </c>
      <c r="E10" s="63" t="s">
        <v>90</v>
      </c>
      <c r="F10" s="60" t="s">
        <v>45</v>
      </c>
      <c r="G10" s="47">
        <v>24</v>
      </c>
      <c r="H10" s="133">
        <f>IF(B$17=0,0,G10/B$17)</f>
        <v>0.11009174311926606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-8.6303030303030308</v>
      </c>
      <c r="P10" s="118">
        <v>33</v>
      </c>
      <c r="Q10" s="106">
        <v>-284.8</v>
      </c>
    </row>
    <row r="11" spans="1:17" x14ac:dyDescent="0.4">
      <c r="A11" s="56" t="s">
        <v>140</v>
      </c>
      <c r="B11" s="48">
        <v>11</v>
      </c>
      <c r="C11" s="40">
        <f>IF(B$2=0,0,B11/B$2)</f>
        <v>0.1134020618556701</v>
      </c>
      <c r="E11" s="63" t="s">
        <v>71</v>
      </c>
      <c r="F11" s="60" t="s">
        <v>26</v>
      </c>
      <c r="G11" s="47">
        <v>16</v>
      </c>
      <c r="H11" s="133">
        <f>IF(B$17=0,0,G11/B$17)</f>
        <v>7.3394495412844041E-2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72</v>
      </c>
      <c r="F12" s="60" t="s">
        <v>27</v>
      </c>
      <c r="G12" s="47">
        <v>16</v>
      </c>
      <c r="H12" s="133">
        <f>IF(B$17=0,0,G12/B$17)</f>
        <v>7.3394495412844041E-2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220</v>
      </c>
      <c r="C13" s="44">
        <f>IF(B$3=0,0,B13/B$3)</f>
        <v>0.27742749054224464</v>
      </c>
      <c r="E13" s="63" t="s">
        <v>84</v>
      </c>
      <c r="F13" s="60" t="s">
        <v>39</v>
      </c>
      <c r="G13" s="47">
        <v>12</v>
      </c>
      <c r="H13" s="133">
        <f>IF(B$17=0,0,G13/B$17)</f>
        <v>5.5045871559633031E-2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145</v>
      </c>
      <c r="C14" s="39">
        <f>IF(B$3=0,0,B14/B$3)</f>
        <v>0.1828499369482976</v>
      </c>
      <c r="E14" s="63" t="s">
        <v>87</v>
      </c>
      <c r="F14" s="60" t="s">
        <v>42</v>
      </c>
      <c r="G14" s="47">
        <v>10</v>
      </c>
      <c r="H14" s="133">
        <f>IF(B$17=0,0,G14/B$17)</f>
        <v>4.5871559633027525E-2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134</v>
      </c>
      <c r="C15" s="37">
        <f>IF(B$13=0,0,B15/B$13)</f>
        <v>0.60909090909090913</v>
      </c>
      <c r="E15" s="63" t="s">
        <v>92</v>
      </c>
      <c r="F15" s="60" t="s">
        <v>47</v>
      </c>
      <c r="G15" s="47">
        <v>8</v>
      </c>
      <c r="H15" s="133">
        <f>IF(B$17=0,0,G15/B$17)</f>
        <v>3.669724770642202E-2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49</v>
      </c>
      <c r="C16" s="37">
        <f>IF(B$14=0,0,B16/B$14)</f>
        <v>0.33793103448275863</v>
      </c>
      <c r="E16" s="63" t="s">
        <v>82</v>
      </c>
      <c r="F16" s="60" t="s">
        <v>37</v>
      </c>
      <c r="G16" s="47">
        <v>7</v>
      </c>
      <c r="H16" s="133">
        <f>IF(B$17=0,0,G16/B$17)</f>
        <v>3.2110091743119268E-2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>IF(P16=0,0,Q16/P16)</f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218</v>
      </c>
      <c r="C17" s="37">
        <f>IF(B$3=0,0,B17/B$3)</f>
        <v>0.27490542244640603</v>
      </c>
      <c r="E17" s="63" t="s">
        <v>79</v>
      </c>
      <c r="F17" s="60" t="s">
        <v>34</v>
      </c>
      <c r="G17" s="47">
        <v>6</v>
      </c>
      <c r="H17" s="133">
        <f>IF(B$17=0,0,G17/B$17)</f>
        <v>2.7522935779816515E-2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100</v>
      </c>
      <c r="C18" s="39">
        <f>IF(B$17=0,0,B18/B$17)</f>
        <v>0.45871559633027525</v>
      </c>
      <c r="E18" s="63" t="s">
        <v>86</v>
      </c>
      <c r="F18" s="60" t="s">
        <v>41</v>
      </c>
      <c r="G18" s="47">
        <v>4</v>
      </c>
      <c r="H18" s="133">
        <f>IF(B$17=0,0,G18/B$17)</f>
        <v>1.834862385321101E-2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118</v>
      </c>
      <c r="C19" s="39">
        <f>IF(B$17=0,0,B19/B$17)</f>
        <v>0.54128440366972475</v>
      </c>
      <c r="E19" s="63" t="s">
        <v>80</v>
      </c>
      <c r="F19" s="60" t="s">
        <v>35</v>
      </c>
      <c r="G19" s="47">
        <v>3</v>
      </c>
      <c r="H19" s="133">
        <f>IF(B$17=0,0,G19/B$17)</f>
        <v>1.3761467889908258E-2</v>
      </c>
      <c r="I19" s="94">
        <v>9</v>
      </c>
      <c r="K19" s="38">
        <v>17</v>
      </c>
      <c r="L19" s="99">
        <v>-161.19999999999999</v>
      </c>
      <c r="N19" s="115" t="s">
        <v>128</v>
      </c>
      <c r="O19" s="125">
        <f>IF(P19=0,0,Q19/P19)</f>
        <v>1.0906250000000004</v>
      </c>
      <c r="P19" s="119">
        <v>32</v>
      </c>
      <c r="Q19" s="107">
        <v>34.900000000000013</v>
      </c>
    </row>
    <row r="20" spans="1:17" x14ac:dyDescent="0.4">
      <c r="A20" s="55" t="s">
        <v>13</v>
      </c>
      <c r="B20" s="47">
        <v>119</v>
      </c>
      <c r="C20" s="39">
        <f>IF(B$3=0,0,B20/B$3)</f>
        <v>0.15006305170239598</v>
      </c>
      <c r="E20" s="63" t="s">
        <v>76</v>
      </c>
      <c r="F20" s="60" t="s">
        <v>31</v>
      </c>
      <c r="G20" s="47">
        <v>2</v>
      </c>
      <c r="H20" s="133">
        <f>IF(B$17=0,0,G20/B$17)</f>
        <v>9.1743119266055051E-3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9.1743119266055051E-3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91</v>
      </c>
      <c r="F22" s="60" t="s">
        <v>46</v>
      </c>
      <c r="G22" s="47">
        <v>2</v>
      </c>
      <c r="H22" s="133">
        <f>IF(B$17=0,0,G22/B$17)</f>
        <v>9.1743119266055051E-3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8802.2935779816507</v>
      </c>
      <c r="C23" s="41">
        <v>1918900</v>
      </c>
      <c r="E23" s="63" t="s">
        <v>75</v>
      </c>
      <c r="F23" s="60" t="s">
        <v>30</v>
      </c>
      <c r="G23" s="47">
        <v>1</v>
      </c>
      <c r="H23" s="133">
        <f>IF(B$17=0,0,G23/B$17)</f>
        <v>4.5871559633027525E-3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-20.307500000000008</v>
      </c>
      <c r="P23" s="119">
        <v>40</v>
      </c>
      <c r="Q23" s="107">
        <v>-812.3000000000003</v>
      </c>
    </row>
    <row r="24" spans="1:17" x14ac:dyDescent="0.4">
      <c r="A24" s="57" t="s">
        <v>14</v>
      </c>
      <c r="B24" s="52">
        <f>IF(B$20=0,0,C24/B$20)</f>
        <v>-7187.3949579831933</v>
      </c>
      <c r="C24" s="45">
        <v>-855300</v>
      </c>
      <c r="E24" s="63" t="s">
        <v>93</v>
      </c>
      <c r="F24" s="60" t="s">
        <v>48</v>
      </c>
      <c r="G24" s="47">
        <v>1</v>
      </c>
      <c r="H24" s="133">
        <f>IF(B$17=0,0,G24/B$17)</f>
        <v>4.5871559633027525E-3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4.5871559633027525E-3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4.5871559633027525E-3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3.7831021437578815E-3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E866-B089-481A-99D8-860F4F6B8B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9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4B34E-62F7-48BD-B0C6-9929A0273ED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-28.978571428571435</v>
      </c>
      <c r="P20" s="119">
        <v>14</v>
      </c>
      <c r="Q20" s="107">
        <v>-405.7000000000001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E638-D74A-4BB4-8BC5-A20853BC33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8.3333333333333329E-2</v>
      </c>
      <c r="I3" s="94">
        <v>7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67</v>
      </c>
      <c r="F4" s="60" t="s">
        <v>23</v>
      </c>
      <c r="G4" s="47">
        <v>32</v>
      </c>
      <c r="H4" s="133">
        <f>IF(B$17=0,0,G4/B$17)</f>
        <v>0.53333333333333333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68</v>
      </c>
      <c r="F5" s="60" t="s">
        <v>24</v>
      </c>
      <c r="G5" s="47">
        <v>18</v>
      </c>
      <c r="H5" s="133">
        <f>IF(B$17=0,0,G5/B$17)</f>
        <v>0.3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0.38333333333333336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70</v>
      </c>
      <c r="F7" s="60" t="s">
        <v>25</v>
      </c>
      <c r="G7" s="47">
        <v>10</v>
      </c>
      <c r="H7" s="133">
        <f>IF(B$17=0,0,G7/B$17)</f>
        <v>0.16666666666666666</v>
      </c>
      <c r="I7" s="94">
        <v>5</v>
      </c>
      <c r="K7" s="38">
        <v>5</v>
      </c>
      <c r="L7" s="99">
        <v>-16.100000000000005</v>
      </c>
      <c r="N7" s="116" t="s">
        <v>137</v>
      </c>
      <c r="O7" s="123">
        <f t="shared" si="0"/>
        <v>853.84615384615381</v>
      </c>
      <c r="P7" s="120">
        <v>13</v>
      </c>
      <c r="Q7" s="104">
        <v>11100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73</v>
      </c>
      <c r="F10" s="60" t="s">
        <v>28</v>
      </c>
      <c r="G10" s="47">
        <v>43</v>
      </c>
      <c r="H10" s="133">
        <f>IF(B$17=0,0,G10/B$17)</f>
        <v>0.71666666666666667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78</v>
      </c>
      <c r="F15" s="60" t="s">
        <v>33</v>
      </c>
      <c r="G15" s="47">
        <v>3</v>
      </c>
      <c r="H15" s="133">
        <f>IF(B$17=0,0,G15/B$17)</f>
        <v>0.05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79</v>
      </c>
      <c r="F16" s="60" t="s">
        <v>34</v>
      </c>
      <c r="G16" s="47">
        <v>4</v>
      </c>
      <c r="H16" s="133">
        <f>IF(B$17=0,0,G16/B$17)</f>
        <v>6.6666666666666666E-2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1</v>
      </c>
      <c r="H19" s="133">
        <f>IF(B$17=0,0,G19/B$17)</f>
        <v>1.6666666666666666E-2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6</v>
      </c>
      <c r="K21" s="38">
        <v>19</v>
      </c>
      <c r="L21" s="99">
        <v>94.299999999999983</v>
      </c>
      <c r="N21" s="115" t="s">
        <v>177</v>
      </c>
      <c r="O21" s="125">
        <f t="shared" si="2"/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7</v>
      </c>
      <c r="H24" s="133">
        <f>IF(B$17=0,0,G24/B$17)</f>
        <v>0.11666666666666667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90</v>
      </c>
      <c r="F27" s="60" t="s">
        <v>45</v>
      </c>
      <c r="G27" s="47">
        <v>9</v>
      </c>
      <c r="H27" s="133">
        <f>IF(B$17=0,0,G27/B$17)</f>
        <v>0.15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18</v>
      </c>
      <c r="H51" s="138">
        <f>IF(B$17=0,0,G51/B$17)</f>
        <v>0.3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8A83-A10A-4FE7-9DE8-71621826CCB3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CF83-2A77-40BB-A8E1-C0282FA1FC38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0B09-856D-45D0-8B8B-B702DA0846C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67</v>
      </c>
      <c r="F4" s="60" t="s">
        <v>23</v>
      </c>
      <c r="G4" s="47">
        <v>6</v>
      </c>
      <c r="H4" s="133">
        <f>IF(B$17=0,0,G4/B$17)</f>
        <v>0.42857142857142855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9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10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4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7.1428571428571425E-2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0.6428571428571429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F0CF-8EBA-4A22-A14A-C68928FFC9D4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E1C7-DDED-46B4-BACC-407541451C40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7B702-2CB0-4EC8-A81F-72BC5E1C8A7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7A79D-DBA0-4841-B479-D96DDBA9ED65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82ECC-66C8-4027-B4F0-EAEDE4987CD5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D566-E97E-4000-A6E8-A63D51D143B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EB38-4751-425B-BCFA-621DA73F2205}">
  <sheetPr codeName="Sheet20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5E1F-A5DB-4AF5-BCC9-6878DC004874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0FFD-7F63-40FB-B4A8-420A51A4FCAF}">
  <sheetPr codeName="Sheet16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4F56-DB7E-4DEB-ABF7-6BE0A345FFA2}">
  <sheetPr codeName="Sheet14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19.500000000000014</v>
      </c>
      <c r="C103" s="66">
        <v>0.19500000000000015</v>
      </c>
      <c r="D103" s="71">
        <v>2.04</v>
      </c>
      <c r="E103" s="67">
        <v>0.31</v>
      </c>
      <c r="F103" s="67">
        <v>0.35</v>
      </c>
      <c r="G103" s="67">
        <v>0.2841596130592503</v>
      </c>
      <c r="H103" s="67">
        <v>0.1777509068923821</v>
      </c>
      <c r="I103" s="68">
        <v>10050.63829787234</v>
      </c>
      <c r="J103" s="68">
        <v>-8472.1088435374149</v>
      </c>
      <c r="K103" s="67">
        <v>0.11</v>
      </c>
      <c r="L103" s="67">
        <v>0.15</v>
      </c>
      <c r="M103" s="67">
        <v>0.28778718258766628</v>
      </c>
      <c r="N103" s="67">
        <v>0.19588875453446192</v>
      </c>
      <c r="O103" s="67">
        <v>0.56302521008403361</v>
      </c>
      <c r="P103" s="67">
        <v>0.41358024691358025</v>
      </c>
      <c r="Q103" s="67">
        <v>0.40851063829787232</v>
      </c>
    </row>
    <row r="104" spans="1:17" x14ac:dyDescent="0.4">
      <c r="A104" s="69">
        <v>101</v>
      </c>
      <c r="B104" s="66">
        <v>64.000000000000014</v>
      </c>
      <c r="C104" s="66">
        <v>0.63366336633663378</v>
      </c>
      <c r="D104" s="71">
        <v>2.0297029702970297</v>
      </c>
      <c r="E104" s="67">
        <v>0.31683168316831684</v>
      </c>
      <c r="F104" s="67">
        <v>0.34653465346534651</v>
      </c>
      <c r="G104" s="67">
        <v>0.28622754491017965</v>
      </c>
      <c r="H104" s="67">
        <v>0.17724550898203592</v>
      </c>
      <c r="I104" s="68">
        <v>10042.677824267783</v>
      </c>
      <c r="J104" s="68">
        <v>-8447.2972972972966</v>
      </c>
      <c r="K104" s="67">
        <v>0.10891089108910891</v>
      </c>
      <c r="L104" s="67">
        <v>0.14851485148514851</v>
      </c>
      <c r="M104" s="67">
        <v>0.28622754491017965</v>
      </c>
      <c r="N104" s="67">
        <v>0.19640718562874251</v>
      </c>
      <c r="O104" s="67">
        <v>0.56485355648535562</v>
      </c>
      <c r="P104" s="67">
        <v>0.41463414634146339</v>
      </c>
      <c r="Q104" s="67">
        <v>0.40585774058577406</v>
      </c>
    </row>
    <row r="105" spans="1:17" x14ac:dyDescent="0.4">
      <c r="A105" s="69">
        <v>102</v>
      </c>
      <c r="B105" s="66">
        <v>71.000000000000014</v>
      </c>
      <c r="C105" s="66">
        <v>0.69607843137254921</v>
      </c>
      <c r="D105" s="71">
        <v>2.0294117647058822</v>
      </c>
      <c r="E105" s="67">
        <v>0.31372549019607843</v>
      </c>
      <c r="F105" s="67">
        <v>0.34313725490196079</v>
      </c>
      <c r="G105" s="67">
        <v>0.28656361474435194</v>
      </c>
      <c r="H105" s="67">
        <v>0.17598097502972651</v>
      </c>
      <c r="I105" s="68">
        <v>10025.726141078838</v>
      </c>
      <c r="J105" s="68">
        <v>-8447.2972972972966</v>
      </c>
      <c r="K105" s="67">
        <v>0.10784313725490197</v>
      </c>
      <c r="L105" s="67">
        <v>0.14705882352941177</v>
      </c>
      <c r="M105" s="67">
        <v>0.28418549346016647</v>
      </c>
      <c r="N105" s="67">
        <v>0.19500594530321047</v>
      </c>
      <c r="O105" s="67">
        <v>0.56485355648535562</v>
      </c>
      <c r="P105" s="67">
        <v>0.41463414634146339</v>
      </c>
      <c r="Q105" s="67">
        <v>0.40663900414937759</v>
      </c>
    </row>
    <row r="106" spans="1:17" x14ac:dyDescent="0.4">
      <c r="A106" s="69">
        <v>103</v>
      </c>
      <c r="B106" s="66">
        <v>66.40000000000002</v>
      </c>
      <c r="C106" s="66">
        <v>0.64466019417475751</v>
      </c>
      <c r="D106" s="71">
        <v>2.029126213592233</v>
      </c>
      <c r="E106" s="67">
        <v>0.31067961165048541</v>
      </c>
      <c r="F106" s="67">
        <v>0.33980582524271846</v>
      </c>
      <c r="G106" s="67">
        <v>0.28771929824561404</v>
      </c>
      <c r="H106" s="67">
        <v>0.17426900584795321</v>
      </c>
      <c r="I106" s="68">
        <v>9911.7886178861791</v>
      </c>
      <c r="J106" s="68">
        <v>-8416.7785234899329</v>
      </c>
      <c r="K106" s="67">
        <v>0.10679611650485436</v>
      </c>
      <c r="L106" s="67">
        <v>0.14563106796116504</v>
      </c>
      <c r="M106" s="67">
        <v>0.28421052631578947</v>
      </c>
      <c r="N106" s="67">
        <v>0.19415204678362574</v>
      </c>
      <c r="O106" s="67">
        <v>0.56378600823045266</v>
      </c>
      <c r="P106" s="67">
        <v>0.40963855421686746</v>
      </c>
      <c r="Q106" s="67">
        <v>0.4065040650406504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3B148-5FE5-4533-B55C-576C47F3F382}">
  <sheetPr codeName="Sheet12"/>
  <dimension ref="A1:Q1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-942.6</v>
      </c>
      <c r="C134" s="66">
        <v>-7.1954198473282442</v>
      </c>
      <c r="D134" s="71">
        <v>2.0916030534351147</v>
      </c>
      <c r="E134" s="67">
        <v>0.31297709923664124</v>
      </c>
      <c r="F134" s="67">
        <v>0.40458015267175573</v>
      </c>
      <c r="G134" s="67">
        <v>0.27198549410698097</v>
      </c>
      <c r="H134" s="67">
        <v>0.17951042611060744</v>
      </c>
      <c r="I134" s="68">
        <v>8582</v>
      </c>
      <c r="J134" s="68">
        <v>-8777.7777777777774</v>
      </c>
      <c r="K134" s="67">
        <v>0.16793893129770993</v>
      </c>
      <c r="L134" s="67">
        <v>0.11450381679389313</v>
      </c>
      <c r="M134" s="67">
        <v>0.25929283771532186</v>
      </c>
      <c r="N134" s="67">
        <v>0.18132366273798731</v>
      </c>
      <c r="O134" s="67">
        <v>0.54195804195804198</v>
      </c>
      <c r="P134" s="67">
        <v>0.32500000000000001</v>
      </c>
      <c r="Q134" s="67">
        <v>0.43</v>
      </c>
    </row>
    <row r="135" spans="1:17" x14ac:dyDescent="0.4">
      <c r="A135" s="69">
        <v>132</v>
      </c>
      <c r="B135" s="66">
        <v>-914.4</v>
      </c>
      <c r="C135" s="66">
        <v>-6.9272727272727268</v>
      </c>
      <c r="D135" s="71">
        <v>2.0833333333333335</v>
      </c>
      <c r="E135" s="67">
        <v>0.31818181818181818</v>
      </c>
      <c r="F135" s="67">
        <v>0.40151515151515149</v>
      </c>
      <c r="G135" s="67">
        <v>0.27231740306582508</v>
      </c>
      <c r="H135" s="67">
        <v>0.18034265103697025</v>
      </c>
      <c r="I135" s="68">
        <v>8582.1192052980132</v>
      </c>
      <c r="J135" s="68">
        <v>-8735</v>
      </c>
      <c r="K135" s="67">
        <v>0.16666666666666666</v>
      </c>
      <c r="L135" s="67">
        <v>0.11363636363636363</v>
      </c>
      <c r="M135" s="67">
        <v>0.25969341749323716</v>
      </c>
      <c r="N135" s="67">
        <v>0.18034265103697025</v>
      </c>
      <c r="O135" s="67">
        <v>0.54513888888888884</v>
      </c>
      <c r="P135" s="67">
        <v>0.32500000000000001</v>
      </c>
      <c r="Q135" s="67">
        <v>0.43046357615894038</v>
      </c>
    </row>
    <row r="136" spans="1:17" x14ac:dyDescent="0.4">
      <c r="A136" s="69">
        <v>133</v>
      </c>
      <c r="B136" s="66">
        <v>-918.6</v>
      </c>
      <c r="C136" s="66">
        <v>-6.9067669172932336</v>
      </c>
      <c r="D136" s="71">
        <v>2.0827067669172932</v>
      </c>
      <c r="E136" s="67">
        <v>0.31578947368421051</v>
      </c>
      <c r="F136" s="67">
        <v>0.39849624060150374</v>
      </c>
      <c r="G136" s="67">
        <v>0.27329749103942652</v>
      </c>
      <c r="H136" s="67">
        <v>0.17921146953405018</v>
      </c>
      <c r="I136" s="68">
        <v>8526.557377049181</v>
      </c>
      <c r="J136" s="68">
        <v>-8735</v>
      </c>
      <c r="K136" s="67">
        <v>0.16541353383458646</v>
      </c>
      <c r="L136" s="67">
        <v>0.11278195488721804</v>
      </c>
      <c r="M136" s="67">
        <v>0.25985663082437277</v>
      </c>
      <c r="N136" s="67">
        <v>0.18189964157706093</v>
      </c>
      <c r="O136" s="67">
        <v>0.54482758620689653</v>
      </c>
      <c r="P136" s="67">
        <v>0.33004926108374383</v>
      </c>
      <c r="Q136" s="67">
        <v>0.42622950819672129</v>
      </c>
    </row>
    <row r="137" spans="1:17" x14ac:dyDescent="0.4">
      <c r="A137" s="69">
        <v>134</v>
      </c>
      <c r="B137" s="66">
        <v>-921.5</v>
      </c>
      <c r="C137" s="66">
        <v>-6.8768656716417906</v>
      </c>
      <c r="D137" s="71">
        <v>2.0820895522388061</v>
      </c>
      <c r="E137" s="67">
        <v>0.31343283582089554</v>
      </c>
      <c r="F137" s="67">
        <v>0.39552238805970147</v>
      </c>
      <c r="G137" s="67">
        <v>0.27361853832442068</v>
      </c>
      <c r="H137" s="67">
        <v>0.18003565062388591</v>
      </c>
      <c r="I137" s="68">
        <v>8506.5146579804568</v>
      </c>
      <c r="J137" s="68">
        <v>-8687.1287128712866</v>
      </c>
      <c r="K137" s="67">
        <v>0.16417910447761194</v>
      </c>
      <c r="L137" s="67">
        <v>0.11194029850746269</v>
      </c>
      <c r="M137" s="67">
        <v>0.26024955436720143</v>
      </c>
      <c r="N137" s="67">
        <v>0.18181818181818182</v>
      </c>
      <c r="O137" s="67">
        <v>0.54452054794520544</v>
      </c>
      <c r="P137" s="67">
        <v>0.33333333333333331</v>
      </c>
      <c r="Q137" s="67">
        <v>0.42345276872964172</v>
      </c>
    </row>
    <row r="138" spans="1:17" x14ac:dyDescent="0.4">
      <c r="A138" s="69">
        <v>135</v>
      </c>
      <c r="B138" s="66">
        <v>-964.3</v>
      </c>
      <c r="C138" s="66">
        <v>-7.1429629629629625</v>
      </c>
      <c r="D138" s="71">
        <v>2.088888888888889</v>
      </c>
      <c r="E138" s="67">
        <v>0.31111111111111112</v>
      </c>
      <c r="F138" s="67">
        <v>0.4</v>
      </c>
      <c r="G138" s="67">
        <v>0.27280779450841453</v>
      </c>
      <c r="H138" s="67">
        <v>0.17980513728963685</v>
      </c>
      <c r="I138" s="68">
        <v>8495.7792207792209</v>
      </c>
      <c r="J138" s="68">
        <v>-8683.7438423645326</v>
      </c>
      <c r="K138" s="67">
        <v>0.16296296296296298</v>
      </c>
      <c r="L138" s="67">
        <v>0.1111111111111111</v>
      </c>
      <c r="M138" s="67">
        <v>0.25863596102745795</v>
      </c>
      <c r="N138" s="67">
        <v>0.18157661647475642</v>
      </c>
      <c r="O138" s="67">
        <v>0.54452054794520544</v>
      </c>
      <c r="P138" s="67">
        <v>0.33170731707317075</v>
      </c>
      <c r="Q138" s="67">
        <v>0.42207792207792205</v>
      </c>
    </row>
    <row r="139" spans="1:17" x14ac:dyDescent="0.4">
      <c r="A139" s="69">
        <v>136</v>
      </c>
      <c r="B139" s="66">
        <v>-954.5</v>
      </c>
      <c r="C139" s="66">
        <v>-7.0183823529411766</v>
      </c>
      <c r="D139" s="71">
        <v>2.0882352941176472</v>
      </c>
      <c r="E139" s="67">
        <v>0.30882352941176472</v>
      </c>
      <c r="F139" s="67">
        <v>0.39705882352941174</v>
      </c>
      <c r="G139" s="67">
        <v>0.27440633245382584</v>
      </c>
      <c r="H139" s="67">
        <v>0.17941952506596306</v>
      </c>
      <c r="I139" s="68">
        <v>8453.5256410256407</v>
      </c>
      <c r="J139" s="68">
        <v>-8700</v>
      </c>
      <c r="K139" s="67">
        <v>0.16176470588235295</v>
      </c>
      <c r="L139" s="67">
        <v>0.11029411764705882</v>
      </c>
      <c r="M139" s="67">
        <v>0.2594547053649956</v>
      </c>
      <c r="N139" s="67">
        <v>0.18029903254177659</v>
      </c>
      <c r="O139" s="67">
        <v>0.54576271186440672</v>
      </c>
      <c r="P139" s="67">
        <v>0.33170731707317075</v>
      </c>
      <c r="Q139" s="67">
        <v>0.42307692307692307</v>
      </c>
    </row>
    <row r="140" spans="1:17" x14ac:dyDescent="0.4">
      <c r="A140" s="69">
        <v>137</v>
      </c>
      <c r="B140" s="66">
        <v>-954.2</v>
      </c>
      <c r="C140" s="66">
        <v>-6.9649635036496358</v>
      </c>
      <c r="D140" s="71">
        <v>2.0875912408759123</v>
      </c>
      <c r="E140" s="67">
        <v>0.30656934306569344</v>
      </c>
      <c r="F140" s="67">
        <v>0.39416058394160586</v>
      </c>
      <c r="G140" s="67">
        <v>0.27550130775937226</v>
      </c>
      <c r="H140" s="67">
        <v>0.17872711421098517</v>
      </c>
      <c r="I140" s="68">
        <v>8448.7341772151904</v>
      </c>
      <c r="J140" s="68">
        <v>-8716.0975609756097</v>
      </c>
      <c r="K140" s="67">
        <v>0.16058394160583941</v>
      </c>
      <c r="L140" s="67">
        <v>0.10948905109489052</v>
      </c>
      <c r="M140" s="67">
        <v>0.25893635571054924</v>
      </c>
      <c r="N140" s="67">
        <v>0.18134263295553618</v>
      </c>
      <c r="O140" s="67">
        <v>0.54882154882154888</v>
      </c>
      <c r="P140" s="67">
        <v>0.33173076923076922</v>
      </c>
      <c r="Q140" s="67">
        <v>0.42405063291139239</v>
      </c>
    </row>
    <row r="141" spans="1:17" x14ac:dyDescent="0.4">
      <c r="A141" s="69">
        <v>138</v>
      </c>
      <c r="B141" s="66">
        <v>-988.30000000000007</v>
      </c>
      <c r="C141" s="66">
        <v>-7.1615942028985513</v>
      </c>
      <c r="D141" s="71">
        <v>2.0942028985507246</v>
      </c>
      <c r="E141" s="67">
        <v>0.30434782608695654</v>
      </c>
      <c r="F141" s="67">
        <v>0.39855072463768115</v>
      </c>
      <c r="G141" s="67">
        <v>0.2754749568221071</v>
      </c>
      <c r="H141" s="67">
        <v>0.17875647668393782</v>
      </c>
      <c r="I141" s="68">
        <v>8414.7335423197492</v>
      </c>
      <c r="J141" s="68">
        <v>-8707.7294685990346</v>
      </c>
      <c r="K141" s="67">
        <v>0.15942028985507245</v>
      </c>
      <c r="L141" s="67">
        <v>0.10869565217391304</v>
      </c>
      <c r="M141" s="67">
        <v>0.25734024179620035</v>
      </c>
      <c r="N141" s="67">
        <v>0.18134715025906736</v>
      </c>
      <c r="O141" s="67">
        <v>0.55033557046979864</v>
      </c>
      <c r="P141" s="67">
        <v>0.33809523809523812</v>
      </c>
      <c r="Q141" s="67">
        <v>0.42319749216300939</v>
      </c>
    </row>
    <row r="142" spans="1:17" x14ac:dyDescent="0.4">
      <c r="A142" s="69">
        <v>139</v>
      </c>
      <c r="B142" s="66">
        <v>-1025.7</v>
      </c>
      <c r="C142" s="66">
        <v>-7.3791366906474822</v>
      </c>
      <c r="D142" s="71">
        <v>2.1007194244604315</v>
      </c>
      <c r="E142" s="67">
        <v>0.30215827338129497</v>
      </c>
      <c r="F142" s="67">
        <v>0.40287769784172661</v>
      </c>
      <c r="G142" s="67">
        <v>0.27654109589041098</v>
      </c>
      <c r="H142" s="67">
        <v>0.17808219178082191</v>
      </c>
      <c r="I142" s="68">
        <v>8356.3467492260061</v>
      </c>
      <c r="J142" s="68">
        <v>-8704.3269230769238</v>
      </c>
      <c r="K142" s="67">
        <v>0.15827338129496402</v>
      </c>
      <c r="L142" s="67">
        <v>0.1079136690647482</v>
      </c>
      <c r="M142" s="67">
        <v>0.2577054794520548</v>
      </c>
      <c r="N142" s="67">
        <v>0.1815068493150685</v>
      </c>
      <c r="O142" s="67">
        <v>0.55149501661129563</v>
      </c>
      <c r="P142" s="67">
        <v>0.33962264150943394</v>
      </c>
      <c r="Q142" s="67">
        <v>0.42414860681114552</v>
      </c>
    </row>
    <row r="143" spans="1:17" x14ac:dyDescent="0.4">
      <c r="A143" s="69">
        <v>140</v>
      </c>
      <c r="B143" s="66">
        <v>-1026.5</v>
      </c>
      <c r="C143" s="66">
        <v>-7.3321428571428573</v>
      </c>
      <c r="D143" s="71">
        <v>2.1</v>
      </c>
      <c r="E143" s="67">
        <v>0.3</v>
      </c>
      <c r="F143" s="67">
        <v>0.4</v>
      </c>
      <c r="G143" s="67">
        <v>0.2764505119453925</v>
      </c>
      <c r="H143" s="67">
        <v>0.17832764505119453</v>
      </c>
      <c r="I143" s="68">
        <v>8367.5925925925931</v>
      </c>
      <c r="J143" s="68">
        <v>-8685.6459330143534</v>
      </c>
      <c r="K143" s="67">
        <v>0.15714285714285714</v>
      </c>
      <c r="L143" s="67">
        <v>0.10714285714285714</v>
      </c>
      <c r="M143" s="67">
        <v>0.25853242320819114</v>
      </c>
      <c r="N143" s="67">
        <v>0.18088737201365188</v>
      </c>
      <c r="O143" s="67">
        <v>0.55115511551155116</v>
      </c>
      <c r="P143" s="67">
        <v>0.33962264150943394</v>
      </c>
      <c r="Q143" s="67">
        <v>0.4228395061728395</v>
      </c>
    </row>
    <row r="144" spans="1:17" x14ac:dyDescent="0.4">
      <c r="A144" s="69">
        <v>141</v>
      </c>
      <c r="B144" s="66">
        <v>-1082.5999999999999</v>
      </c>
      <c r="C144" s="66">
        <v>-7.6780141843971625</v>
      </c>
      <c r="D144" s="71">
        <v>2.1063829787234041</v>
      </c>
      <c r="E144" s="67">
        <v>0.2978723404255319</v>
      </c>
      <c r="F144" s="67">
        <v>0.40425531914893614</v>
      </c>
      <c r="G144" s="67">
        <v>0.27426160337552741</v>
      </c>
      <c r="H144" s="67">
        <v>0.17890295358649788</v>
      </c>
      <c r="I144" s="68">
        <v>8353.8461538461543</v>
      </c>
      <c r="J144" s="68">
        <v>-8630.1886792452824</v>
      </c>
      <c r="K144" s="67">
        <v>0.16312056737588654</v>
      </c>
      <c r="L144" s="67">
        <v>0.10638297872340426</v>
      </c>
      <c r="M144" s="67">
        <v>0.25738396624472576</v>
      </c>
      <c r="N144" s="67">
        <v>0.18143459915611815</v>
      </c>
      <c r="O144" s="67">
        <v>0.55081967213114758</v>
      </c>
      <c r="P144" s="67">
        <v>0.33488372093023255</v>
      </c>
      <c r="Q144" s="67">
        <v>0.42153846153846153</v>
      </c>
    </row>
    <row r="145" spans="1:17" x14ac:dyDescent="0.4">
      <c r="A145" s="69">
        <v>142</v>
      </c>
      <c r="B145" s="66">
        <v>-1045</v>
      </c>
      <c r="C145" s="66">
        <v>-7.359154929577465</v>
      </c>
      <c r="D145" s="71">
        <v>2.0985915492957745</v>
      </c>
      <c r="E145" s="67">
        <v>0.30281690140845069</v>
      </c>
      <c r="F145" s="67">
        <v>0.40140845070422537</v>
      </c>
      <c r="G145" s="67">
        <v>0.27516778523489932</v>
      </c>
      <c r="H145" s="67">
        <v>0.17785234899328858</v>
      </c>
      <c r="I145" s="68">
        <v>8329.5731707317082</v>
      </c>
      <c r="J145" s="68">
        <v>-8630.1886792452824</v>
      </c>
      <c r="K145" s="67">
        <v>0.1619718309859155</v>
      </c>
      <c r="L145" s="67">
        <v>0.10563380281690141</v>
      </c>
      <c r="M145" s="67">
        <v>0.26006711409395972</v>
      </c>
      <c r="N145" s="67">
        <v>0.18204697986577181</v>
      </c>
      <c r="O145" s="67">
        <v>0.54838709677419351</v>
      </c>
      <c r="P145" s="67">
        <v>0.33640552995391704</v>
      </c>
      <c r="Q145" s="67">
        <v>0.42073170731707316</v>
      </c>
    </row>
    <row r="146" spans="1:17" x14ac:dyDescent="0.4">
      <c r="A146" s="69">
        <v>143</v>
      </c>
      <c r="B146" s="66">
        <v>-1104.5999999999999</v>
      </c>
      <c r="C146" s="66">
        <v>-7.7244755244755234</v>
      </c>
      <c r="D146" s="71">
        <v>2.104895104895105</v>
      </c>
      <c r="E146" s="67">
        <v>0.30069930069930068</v>
      </c>
      <c r="F146" s="67">
        <v>0.40559440559440557</v>
      </c>
      <c r="G146" s="67">
        <v>0.27439532944120099</v>
      </c>
      <c r="H146" s="67">
        <v>0.18015012510425354</v>
      </c>
      <c r="I146" s="68">
        <v>8310.33434650456</v>
      </c>
      <c r="J146" s="68">
        <v>-8624.5370370370365</v>
      </c>
      <c r="K146" s="67">
        <v>0.16783216783216784</v>
      </c>
      <c r="L146" s="67">
        <v>0.1048951048951049</v>
      </c>
      <c r="M146" s="67">
        <v>0.25938281901584653</v>
      </c>
      <c r="N146" s="67">
        <v>0.18181818181818182</v>
      </c>
      <c r="O146" s="67">
        <v>0.54662379421221863</v>
      </c>
      <c r="P146" s="67">
        <v>0.33944954128440369</v>
      </c>
      <c r="Q146" s="67">
        <v>0.41945288753799392</v>
      </c>
    </row>
    <row r="147" spans="1:17" x14ac:dyDescent="0.4">
      <c r="A147" s="69">
        <v>144</v>
      </c>
      <c r="B147" s="66">
        <v>-1137</v>
      </c>
      <c r="C147" s="66">
        <v>-7.895833333333333</v>
      </c>
      <c r="D147" s="71">
        <v>2.1111111111111112</v>
      </c>
      <c r="E147" s="67">
        <v>0.2986111111111111</v>
      </c>
      <c r="F147" s="67">
        <v>0.40972222222222221</v>
      </c>
      <c r="G147" s="67">
        <v>0.2744610281923715</v>
      </c>
      <c r="H147" s="67">
        <v>0.17993366500829189</v>
      </c>
      <c r="I147" s="68">
        <v>8300</v>
      </c>
      <c r="J147" s="68">
        <v>-8640.0921658986172</v>
      </c>
      <c r="K147" s="67">
        <v>0.16666666666666666</v>
      </c>
      <c r="L147" s="67">
        <v>0.10416666666666667</v>
      </c>
      <c r="M147" s="67">
        <v>0.25787728026533996</v>
      </c>
      <c r="N147" s="67">
        <v>0.18407960199004975</v>
      </c>
      <c r="O147" s="67">
        <v>0.54662379421221863</v>
      </c>
      <c r="P147" s="67">
        <v>0.34234234234234234</v>
      </c>
      <c r="Q147" s="67">
        <v>0.41691842900302117</v>
      </c>
    </row>
    <row r="148" spans="1:17" x14ac:dyDescent="0.4">
      <c r="A148" s="69">
        <v>145</v>
      </c>
      <c r="B148" s="66">
        <v>-1178.4000000000001</v>
      </c>
      <c r="C148" s="66">
        <v>-8.1268965517241387</v>
      </c>
      <c r="D148" s="71">
        <v>2.1172413793103448</v>
      </c>
      <c r="E148" s="67">
        <v>0.29655172413793102</v>
      </c>
      <c r="F148" s="67">
        <v>0.41379310344827586</v>
      </c>
      <c r="G148" s="67">
        <v>0.27347611202635913</v>
      </c>
      <c r="H148" s="67">
        <v>0.18039538714991762</v>
      </c>
      <c r="I148" s="68">
        <v>8299.0963855421687</v>
      </c>
      <c r="J148" s="68">
        <v>-8633.789954337899</v>
      </c>
      <c r="K148" s="67">
        <v>0.16551724137931034</v>
      </c>
      <c r="L148" s="67">
        <v>0.10344827586206896</v>
      </c>
      <c r="M148" s="67">
        <v>0.25617792421746294</v>
      </c>
      <c r="N148" s="67">
        <v>0.18616144975288304</v>
      </c>
      <c r="O148" s="67">
        <v>0.54662379421221863</v>
      </c>
      <c r="P148" s="67">
        <v>0.34070796460176989</v>
      </c>
      <c r="Q148" s="67">
        <v>0.41867469879518071</v>
      </c>
    </row>
    <row r="149" spans="1:17" x14ac:dyDescent="0.4">
      <c r="A149" s="69">
        <v>146</v>
      </c>
      <c r="B149" s="66">
        <v>-1150.9000000000001</v>
      </c>
      <c r="C149" s="66">
        <v>-7.882876712328768</v>
      </c>
      <c r="D149" s="71">
        <v>2.1095890410958904</v>
      </c>
      <c r="E149" s="67">
        <v>0.30136986301369861</v>
      </c>
      <c r="F149" s="67">
        <v>0.41095890410958902</v>
      </c>
      <c r="G149" s="67">
        <v>0.27377049180327867</v>
      </c>
      <c r="H149" s="67">
        <v>0.17950819672131146</v>
      </c>
      <c r="I149" s="68">
        <v>8297.3053892215576</v>
      </c>
      <c r="J149" s="68">
        <v>-8633.789954337899</v>
      </c>
      <c r="K149" s="67">
        <v>0.16438356164383561</v>
      </c>
      <c r="L149" s="67">
        <v>0.10273972602739725</v>
      </c>
      <c r="M149" s="67">
        <v>0.25573770491803277</v>
      </c>
      <c r="N149" s="67">
        <v>0.18688524590163935</v>
      </c>
      <c r="O149" s="67">
        <v>0.54807692307692313</v>
      </c>
      <c r="P149" s="67">
        <v>0.34210526315789475</v>
      </c>
      <c r="Q149" s="67">
        <v>0.41916167664670656</v>
      </c>
    </row>
    <row r="150" spans="1:17" x14ac:dyDescent="0.4">
      <c r="A150" s="69">
        <v>147</v>
      </c>
      <c r="B150" s="66">
        <v>-1197.4000000000001</v>
      </c>
      <c r="C150" s="66">
        <v>-8.145578231292518</v>
      </c>
      <c r="D150" s="71">
        <v>2.1156462585034013</v>
      </c>
      <c r="E150" s="67">
        <v>0.29931972789115646</v>
      </c>
      <c r="F150" s="67">
        <v>0.41496598639455784</v>
      </c>
      <c r="G150" s="67">
        <v>0.27309562398703402</v>
      </c>
      <c r="H150" s="67">
        <v>0.17909238249594814</v>
      </c>
      <c r="I150" s="68">
        <v>8270.3264094955484</v>
      </c>
      <c r="J150" s="68">
        <v>-8593.6651583710409</v>
      </c>
      <c r="K150" s="67">
        <v>0.16326530612244897</v>
      </c>
      <c r="L150" s="67">
        <v>0.10204081632653061</v>
      </c>
      <c r="M150" s="67">
        <v>0.25769854132901132</v>
      </c>
      <c r="N150" s="67">
        <v>0.18719611021069693</v>
      </c>
      <c r="O150" s="67">
        <v>0.54088050314465408</v>
      </c>
      <c r="P150" s="67">
        <v>0.34199134199134201</v>
      </c>
      <c r="Q150" s="67">
        <v>0.41839762611275966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7FF8-F240-4ADD-B073-E268AA976264}">
  <sheetPr codeName="Sheet10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B331-0F96-4086-9C94-68041D10FEEC}">
  <sheetPr codeName="Sheet8"/>
  <dimension ref="A1:Q1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1974.5000000000005</v>
      </c>
      <c r="C172" s="66">
        <v>11.683431952662724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2029.1000000000004</v>
      </c>
      <c r="C173" s="66">
        <v>11.935882352941178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2029.0000000000005</v>
      </c>
      <c r="C174" s="66">
        <v>11.865497076023395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2041.9000000000005</v>
      </c>
      <c r="C175" s="66">
        <v>11.87151162790698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2064.5000000000005</v>
      </c>
      <c r="C176" s="66">
        <v>11.933526011560696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2119.1000000000004</v>
      </c>
      <c r="C177" s="66">
        <v>12.17873563218391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2085.3000000000002</v>
      </c>
      <c r="C178" s="66">
        <v>11.916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2053.5</v>
      </c>
      <c r="C179" s="66">
        <v>11.667613636363637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2089.6</v>
      </c>
      <c r="C180" s="66">
        <v>11.805649717514124</v>
      </c>
      <c r="D180" s="71">
        <v>1.7740112994350283</v>
      </c>
      <c r="E180" s="67">
        <v>0.46892655367231639</v>
      </c>
      <c r="F180" s="67">
        <v>0.24293785310734464</v>
      </c>
      <c r="G180" s="67">
        <v>0.33860977288368893</v>
      </c>
      <c r="H180" s="67">
        <v>0.15554026152787337</v>
      </c>
      <c r="I180" s="68">
        <v>9292.4796747967484</v>
      </c>
      <c r="J180" s="68">
        <v>-8146.4601769911505</v>
      </c>
      <c r="K180" s="67">
        <v>9.03954802259887E-2</v>
      </c>
      <c r="L180" s="67">
        <v>0.16949152542372881</v>
      </c>
      <c r="M180" s="67">
        <v>0.31314521679284241</v>
      </c>
      <c r="N180" s="67">
        <v>0.20853406744666209</v>
      </c>
      <c r="O180" s="67">
        <v>0.57802197802197797</v>
      </c>
      <c r="P180" s="67">
        <v>0.51485148514851486</v>
      </c>
      <c r="Q180" s="67">
        <v>0.42479674796747968</v>
      </c>
    </row>
    <row r="181" spans="1:17" x14ac:dyDescent="0.4">
      <c r="A181" s="69">
        <v>178</v>
      </c>
      <c r="B181" s="66">
        <v>2063.1999999999998</v>
      </c>
      <c r="C181" s="66">
        <v>11.591011235955055</v>
      </c>
      <c r="D181" s="71">
        <v>1.7808988764044944</v>
      </c>
      <c r="E181" s="67">
        <v>0.46629213483146065</v>
      </c>
      <c r="F181" s="67">
        <v>0.24719101123595505</v>
      </c>
      <c r="G181" s="67">
        <v>0.33790267306374228</v>
      </c>
      <c r="H181" s="67">
        <v>0.15627141877998629</v>
      </c>
      <c r="I181" s="68">
        <v>9297.9716024340778</v>
      </c>
      <c r="J181" s="68">
        <v>-8131.5789473684208</v>
      </c>
      <c r="K181" s="67">
        <v>8.98876404494382E-2</v>
      </c>
      <c r="L181" s="67">
        <v>0.16853932584269662</v>
      </c>
      <c r="M181" s="67">
        <v>0.31254283755997259</v>
      </c>
      <c r="N181" s="67">
        <v>0.20904729266620972</v>
      </c>
      <c r="O181" s="67">
        <v>0.57675438596491224</v>
      </c>
      <c r="P181" s="67">
        <v>0.51475409836065578</v>
      </c>
      <c r="Q181" s="67">
        <v>0.42393509127789047</v>
      </c>
    </row>
    <row r="182" spans="1:17" x14ac:dyDescent="0.4">
      <c r="A182" s="69">
        <v>179</v>
      </c>
      <c r="B182" s="66">
        <v>2124.1999999999998</v>
      </c>
      <c r="C182" s="66">
        <v>11.867039106145251</v>
      </c>
      <c r="D182" s="71">
        <v>1.776536312849162</v>
      </c>
      <c r="E182" s="67">
        <v>0.46927374301675978</v>
      </c>
      <c r="F182" s="67">
        <v>0.24581005586592178</v>
      </c>
      <c r="G182" s="67">
        <v>0.33901773533424284</v>
      </c>
      <c r="H182" s="67">
        <v>0.15552523874488403</v>
      </c>
      <c r="I182" s="68">
        <v>9299.5975855130782</v>
      </c>
      <c r="J182" s="68">
        <v>-8131.5789473684208</v>
      </c>
      <c r="K182" s="67">
        <v>8.9385474860335198E-2</v>
      </c>
      <c r="L182" s="67">
        <v>0.17318435754189945</v>
      </c>
      <c r="M182" s="67">
        <v>0.31105047748976805</v>
      </c>
      <c r="N182" s="67">
        <v>0.21009549795361529</v>
      </c>
      <c r="O182" s="67">
        <v>0.57675438596491224</v>
      </c>
      <c r="P182" s="67">
        <v>0.51948051948051943</v>
      </c>
      <c r="Q182" s="67">
        <v>0.42454728370221329</v>
      </c>
    </row>
    <row r="183" spans="1:17" x14ac:dyDescent="0.4">
      <c r="A183" s="69">
        <v>180</v>
      </c>
      <c r="B183" s="66">
        <v>2159.6</v>
      </c>
      <c r="C183" s="66">
        <v>11.997777777777777</v>
      </c>
      <c r="D183" s="71">
        <v>1.7722222222222221</v>
      </c>
      <c r="E183" s="67">
        <v>0.47222222222222221</v>
      </c>
      <c r="F183" s="67">
        <v>0.24444444444444444</v>
      </c>
      <c r="G183" s="67">
        <v>0.33967391304347827</v>
      </c>
      <c r="H183" s="67">
        <v>0.15489130434782608</v>
      </c>
      <c r="I183" s="68">
        <v>9278.6</v>
      </c>
      <c r="J183" s="68">
        <v>-8131.5789473684208</v>
      </c>
      <c r="K183" s="67">
        <v>8.8888888888888892E-2</v>
      </c>
      <c r="L183" s="67">
        <v>0.17222222222222222</v>
      </c>
      <c r="M183" s="67">
        <v>0.31046195652173914</v>
      </c>
      <c r="N183" s="67">
        <v>0.21127717391304349</v>
      </c>
      <c r="O183" s="67">
        <v>0.57768052516411383</v>
      </c>
      <c r="P183" s="67">
        <v>0.51768488745980712</v>
      </c>
      <c r="Q183" s="67">
        <v>0.42199999999999999</v>
      </c>
    </row>
    <row r="184" spans="1:17" x14ac:dyDescent="0.4">
      <c r="A184" s="69">
        <v>181</v>
      </c>
      <c r="B184" s="66">
        <v>2215.1</v>
      </c>
      <c r="C184" s="66">
        <v>12.238121546961326</v>
      </c>
      <c r="D184" s="71">
        <v>1.7679558011049723</v>
      </c>
      <c r="E184" s="67">
        <v>0.47513812154696133</v>
      </c>
      <c r="F184" s="67">
        <v>0.24309392265193369</v>
      </c>
      <c r="G184" s="67">
        <v>0.34009465855307641</v>
      </c>
      <c r="H184" s="67">
        <v>0.15415821501014199</v>
      </c>
      <c r="I184" s="68">
        <v>9297.4155069582503</v>
      </c>
      <c r="J184" s="68">
        <v>-8131.5789473684208</v>
      </c>
      <c r="K184" s="67">
        <v>8.8397790055248615E-2</v>
      </c>
      <c r="L184" s="67">
        <v>0.17127071823204421</v>
      </c>
      <c r="M184" s="67">
        <v>0.3110209601081812</v>
      </c>
      <c r="N184" s="67">
        <v>0.21095334685598377</v>
      </c>
      <c r="O184" s="67">
        <v>0.58043478260869563</v>
      </c>
      <c r="P184" s="67">
        <v>0.51602564102564108</v>
      </c>
      <c r="Q184" s="67">
        <v>0.4234592445328032</v>
      </c>
    </row>
    <row r="185" spans="1:17" x14ac:dyDescent="0.4">
      <c r="A185" s="69">
        <v>182</v>
      </c>
      <c r="B185" s="66">
        <v>2248.4</v>
      </c>
      <c r="C185" s="66">
        <v>12.353846153846154</v>
      </c>
      <c r="D185" s="71">
        <v>1.7637362637362637</v>
      </c>
      <c r="E185" s="67">
        <v>0.47802197802197804</v>
      </c>
      <c r="F185" s="67">
        <v>0.24175824175824176</v>
      </c>
      <c r="G185" s="67">
        <v>0.34028244788164091</v>
      </c>
      <c r="H185" s="67">
        <v>0.15400134498991258</v>
      </c>
      <c r="I185" s="68">
        <v>9288.9328063241101</v>
      </c>
      <c r="J185" s="68">
        <v>-8118.7772925764193</v>
      </c>
      <c r="K185" s="67">
        <v>8.7912087912087919E-2</v>
      </c>
      <c r="L185" s="67">
        <v>0.17032967032967034</v>
      </c>
      <c r="M185" s="67">
        <v>0.30934767989240081</v>
      </c>
      <c r="N185" s="67">
        <v>0.2125084061869536</v>
      </c>
      <c r="O185" s="67">
        <v>0.58043478260869563</v>
      </c>
      <c r="P185" s="67">
        <v>0.51898734177215189</v>
      </c>
      <c r="Q185" s="67">
        <v>0.42094861660079053</v>
      </c>
    </row>
    <row r="186" spans="1:17" x14ac:dyDescent="0.4">
      <c r="A186" s="69">
        <v>183</v>
      </c>
      <c r="B186" s="66">
        <v>2221.6</v>
      </c>
      <c r="C186" s="66">
        <v>12.139890710382513</v>
      </c>
      <c r="D186" s="71">
        <v>1.7704918032786885</v>
      </c>
      <c r="E186" s="67">
        <v>0.47540983606557374</v>
      </c>
      <c r="F186" s="67">
        <v>0.24590163934426229</v>
      </c>
      <c r="G186" s="67">
        <v>0.33934535738142951</v>
      </c>
      <c r="H186" s="67">
        <v>0.15364061456245826</v>
      </c>
      <c r="I186" s="68">
        <v>9299.606299212599</v>
      </c>
      <c r="J186" s="68">
        <v>-8116.95652173913</v>
      </c>
      <c r="K186" s="67">
        <v>8.7431693989071038E-2</v>
      </c>
      <c r="L186" s="67">
        <v>0.16939890710382513</v>
      </c>
      <c r="M186" s="67">
        <v>0.30794923179692718</v>
      </c>
      <c r="N186" s="67">
        <v>0.21242484969939879</v>
      </c>
      <c r="O186" s="67">
        <v>0.57917570498915405</v>
      </c>
      <c r="P186" s="67">
        <v>0.51886792452830188</v>
      </c>
      <c r="Q186" s="67">
        <v>0.42125984251968501</v>
      </c>
    </row>
    <row r="187" spans="1:17" x14ac:dyDescent="0.4">
      <c r="A187" s="69">
        <v>184</v>
      </c>
      <c r="B187" s="66">
        <v>2214.9</v>
      </c>
      <c r="C187" s="66">
        <v>12.0375</v>
      </c>
      <c r="D187" s="71">
        <v>1.7717391304347827</v>
      </c>
      <c r="E187" s="67">
        <v>0.47282608695652173</v>
      </c>
      <c r="F187" s="67">
        <v>0.24456521739130435</v>
      </c>
      <c r="G187" s="67">
        <v>0.33753315649867371</v>
      </c>
      <c r="H187" s="67">
        <v>0.15251989389920426</v>
      </c>
      <c r="I187" s="68">
        <v>9297.0530451866398</v>
      </c>
      <c r="J187" s="68">
        <v>-8116.95652173913</v>
      </c>
      <c r="K187" s="67">
        <v>8.6956521739130432E-2</v>
      </c>
      <c r="L187" s="67">
        <v>0.16847826086956522</v>
      </c>
      <c r="M187" s="67">
        <v>0.30702917771883287</v>
      </c>
      <c r="N187" s="67">
        <v>0.21220159151193635</v>
      </c>
      <c r="O187" s="67">
        <v>0.5788336933045356</v>
      </c>
      <c r="P187" s="67">
        <v>0.515625</v>
      </c>
      <c r="Q187" s="67">
        <v>0.4204322200392927</v>
      </c>
    </row>
    <row r="188" spans="1:17" x14ac:dyDescent="0.4">
      <c r="A188" s="69">
        <v>185</v>
      </c>
      <c r="B188" s="66">
        <v>2255.3000000000002</v>
      </c>
      <c r="C188" s="66">
        <v>12.190810810810811</v>
      </c>
      <c r="D188" s="71">
        <v>1.7675675675675675</v>
      </c>
      <c r="E188" s="67">
        <v>0.4756756756756757</v>
      </c>
      <c r="F188" s="67">
        <v>0.24324324324324326</v>
      </c>
      <c r="G188" s="67">
        <v>0.33728590250329382</v>
      </c>
      <c r="H188" s="67">
        <v>0.15151515151515152</v>
      </c>
      <c r="I188" s="68">
        <v>9313.671875</v>
      </c>
      <c r="J188" s="68">
        <v>-8116.95652173913</v>
      </c>
      <c r="K188" s="67">
        <v>8.6486486486486491E-2</v>
      </c>
      <c r="L188" s="67">
        <v>0.16756756756756758</v>
      </c>
      <c r="M188" s="67">
        <v>0.30764163372859027</v>
      </c>
      <c r="N188" s="67">
        <v>0.21080368906455862</v>
      </c>
      <c r="O188" s="67">
        <v>0.57815845824411138</v>
      </c>
      <c r="P188" s="67">
        <v>0.515625</v>
      </c>
      <c r="Q188" s="67">
        <v>0.423828125</v>
      </c>
    </row>
    <row r="189" spans="1:17" x14ac:dyDescent="0.4">
      <c r="A189" s="69">
        <v>186</v>
      </c>
      <c r="B189" s="66">
        <v>2197.3000000000002</v>
      </c>
      <c r="C189" s="66">
        <v>11.813440860215055</v>
      </c>
      <c r="D189" s="71">
        <v>1.7741935483870968</v>
      </c>
      <c r="E189" s="67">
        <v>0.4731182795698925</v>
      </c>
      <c r="F189" s="67">
        <v>0.24731182795698925</v>
      </c>
      <c r="G189" s="67">
        <v>0.33639947437582129</v>
      </c>
      <c r="H189" s="67">
        <v>0.15243101182654403</v>
      </c>
      <c r="I189" s="68">
        <v>9313.671875</v>
      </c>
      <c r="J189" s="68">
        <v>-8176.2931034482763</v>
      </c>
      <c r="K189" s="67">
        <v>9.1397849462365593E-2</v>
      </c>
      <c r="L189" s="67">
        <v>0.16666666666666666</v>
      </c>
      <c r="M189" s="67">
        <v>0.30814717477003944</v>
      </c>
      <c r="N189" s="67">
        <v>0.2102496714848883</v>
      </c>
      <c r="O189" s="67">
        <v>0.57569296375266521</v>
      </c>
      <c r="P189" s="67">
        <v>0.515625</v>
      </c>
      <c r="Q189" s="67">
        <v>0.423828125</v>
      </c>
    </row>
    <row r="190" spans="1:17" x14ac:dyDescent="0.4">
      <c r="A190" s="69">
        <v>187</v>
      </c>
      <c r="B190" s="66">
        <v>2244.8000000000002</v>
      </c>
      <c r="C190" s="66">
        <v>12.004278074866312</v>
      </c>
      <c r="D190" s="71">
        <v>1.7700534759358288</v>
      </c>
      <c r="E190" s="67">
        <v>0.47593582887700536</v>
      </c>
      <c r="F190" s="67">
        <v>0.24598930481283424</v>
      </c>
      <c r="G190" s="67">
        <v>0.33811074918566775</v>
      </c>
      <c r="H190" s="67">
        <v>0.15179153094462541</v>
      </c>
      <c r="I190" s="68">
        <v>9245.4720616570321</v>
      </c>
      <c r="J190" s="68">
        <v>-8192.7038626609447</v>
      </c>
      <c r="K190" s="67">
        <v>9.0909090909090912E-2</v>
      </c>
      <c r="L190" s="67">
        <v>0.17112299465240641</v>
      </c>
      <c r="M190" s="67">
        <v>0.30749185667752443</v>
      </c>
      <c r="N190" s="67">
        <v>0.21107491856677524</v>
      </c>
      <c r="O190" s="67">
        <v>0.57415254237288138</v>
      </c>
      <c r="P190" s="67">
        <v>0.52160493827160492</v>
      </c>
      <c r="Q190" s="67">
        <v>0.42003853564547206</v>
      </c>
    </row>
    <row r="191" spans="1:17" x14ac:dyDescent="0.4">
      <c r="A191" s="69">
        <v>188</v>
      </c>
      <c r="B191" s="66">
        <v>2242.9</v>
      </c>
      <c r="C191" s="66">
        <v>11.930319148936171</v>
      </c>
      <c r="D191" s="71">
        <v>1.7712765957446808</v>
      </c>
      <c r="E191" s="67">
        <v>0.47340425531914893</v>
      </c>
      <c r="F191" s="67">
        <v>0.24468085106382978</v>
      </c>
      <c r="G191" s="67">
        <v>0.33722438391699094</v>
      </c>
      <c r="H191" s="67">
        <v>0.1517509727626459</v>
      </c>
      <c r="I191" s="68">
        <v>9243.0769230769238</v>
      </c>
      <c r="J191" s="68">
        <v>-8174.3589743589746</v>
      </c>
      <c r="K191" s="67">
        <v>9.0425531914893623E-2</v>
      </c>
      <c r="L191" s="67">
        <v>0.1702127659574468</v>
      </c>
      <c r="M191" s="67">
        <v>0.30674448767833984</v>
      </c>
      <c r="N191" s="67">
        <v>0.21206225680933852</v>
      </c>
      <c r="O191" s="67">
        <v>0.57505285412262153</v>
      </c>
      <c r="P191" s="67">
        <v>0.51681957186544347</v>
      </c>
      <c r="Q191" s="67">
        <v>0.41923076923076924</v>
      </c>
    </row>
    <row r="192" spans="1:17" x14ac:dyDescent="0.4">
      <c r="A192" s="69">
        <v>189</v>
      </c>
      <c r="B192" s="66">
        <v>2297.3000000000002</v>
      </c>
      <c r="C192" s="66">
        <v>12.155026455026457</v>
      </c>
      <c r="D192" s="71">
        <v>1.7671957671957672</v>
      </c>
      <c r="E192" s="67">
        <v>0.47619047619047616</v>
      </c>
      <c r="F192" s="67">
        <v>0.24338624338624337</v>
      </c>
      <c r="G192" s="67">
        <v>0.3382827630729503</v>
      </c>
      <c r="H192" s="67">
        <v>0.15106520335700452</v>
      </c>
      <c r="I192" s="68">
        <v>9236.0687022900765</v>
      </c>
      <c r="J192" s="68">
        <v>-8174.3589743589746</v>
      </c>
      <c r="K192" s="67">
        <v>8.9947089947089942E-2</v>
      </c>
      <c r="L192" s="67">
        <v>0.17460317460317459</v>
      </c>
      <c r="M192" s="67">
        <v>0.30729502905100065</v>
      </c>
      <c r="N192" s="67">
        <v>0.21239509360877987</v>
      </c>
      <c r="O192" s="67">
        <v>0.57563025210084029</v>
      </c>
      <c r="P192" s="67">
        <v>0.51975683890577506</v>
      </c>
      <c r="Q192" s="67">
        <v>0.41603053435114506</v>
      </c>
    </row>
    <row r="193" spans="1:17" x14ac:dyDescent="0.4">
      <c r="A193" s="69">
        <v>190</v>
      </c>
      <c r="B193" s="66">
        <v>2300.1000000000004</v>
      </c>
      <c r="C193" s="66">
        <v>12.105789473684213</v>
      </c>
      <c r="D193" s="71">
        <v>1.7684210526315789</v>
      </c>
      <c r="E193" s="67">
        <v>0.47368421052631576</v>
      </c>
      <c r="F193" s="67">
        <v>0.24210526315789474</v>
      </c>
      <c r="G193" s="67">
        <v>0.33804627249357327</v>
      </c>
      <c r="H193" s="67">
        <v>0.15102827763496143</v>
      </c>
      <c r="I193" s="68">
        <v>9229.0874524714836</v>
      </c>
      <c r="J193" s="68">
        <v>-8148.0851063829787</v>
      </c>
      <c r="K193" s="67">
        <v>8.9473684210526316E-2</v>
      </c>
      <c r="L193" s="67">
        <v>0.1736842105263158</v>
      </c>
      <c r="M193" s="67">
        <v>0.30784061696658099</v>
      </c>
      <c r="N193" s="67">
        <v>0.2120822622107969</v>
      </c>
      <c r="O193" s="67">
        <v>0.57620041753653439</v>
      </c>
      <c r="P193" s="67">
        <v>0.51818181818181819</v>
      </c>
      <c r="Q193" s="67">
        <v>0.41634980988593157</v>
      </c>
    </row>
    <row r="194" spans="1:17" x14ac:dyDescent="0.4">
      <c r="A194" s="69">
        <v>191</v>
      </c>
      <c r="B194" s="66">
        <v>2297.0000000000005</v>
      </c>
      <c r="C194" s="66">
        <v>12.026178010471206</v>
      </c>
      <c r="D194" s="71">
        <v>1.7696335078534031</v>
      </c>
      <c r="E194" s="67">
        <v>0.47120418848167539</v>
      </c>
      <c r="F194" s="67">
        <v>0.24083769633507854</v>
      </c>
      <c r="G194" s="67">
        <v>0.33759590792838873</v>
      </c>
      <c r="H194" s="67">
        <v>0.15089514066496162</v>
      </c>
      <c r="I194" s="68">
        <v>9225.94696969697</v>
      </c>
      <c r="J194" s="68">
        <v>-8140.6779661016953</v>
      </c>
      <c r="K194" s="67">
        <v>8.9005235602094238E-2</v>
      </c>
      <c r="L194" s="67">
        <v>0.17277486910994763</v>
      </c>
      <c r="M194" s="67">
        <v>0.30690537084398978</v>
      </c>
      <c r="N194" s="67">
        <v>0.21163682864450128</v>
      </c>
      <c r="O194" s="67">
        <v>0.57708333333333328</v>
      </c>
      <c r="P194" s="67">
        <v>0.51963746223564955</v>
      </c>
      <c r="Q194" s="67">
        <v>0.41666666666666669</v>
      </c>
    </row>
    <row r="195" spans="1:17" x14ac:dyDescent="0.4">
      <c r="A195" s="69">
        <v>192</v>
      </c>
      <c r="B195" s="66">
        <v>2262.5000000000005</v>
      </c>
      <c r="C195" s="66">
        <v>11.78385416666667</v>
      </c>
      <c r="D195" s="71">
        <v>1.7760416666666667</v>
      </c>
      <c r="E195" s="67">
        <v>0.46875</v>
      </c>
      <c r="F195" s="67">
        <v>0.24479166666666666</v>
      </c>
      <c r="G195" s="67">
        <v>0.33694267515923565</v>
      </c>
      <c r="H195" s="67">
        <v>0.15159235668789808</v>
      </c>
      <c r="I195" s="68">
        <v>9231.1909262759928</v>
      </c>
      <c r="J195" s="68">
        <v>-8156.3025210084033</v>
      </c>
      <c r="K195" s="67">
        <v>8.8541666666666671E-2</v>
      </c>
      <c r="L195" s="67">
        <v>0.171875</v>
      </c>
      <c r="M195" s="67">
        <v>0.30573248407643311</v>
      </c>
      <c r="N195" s="67">
        <v>0.21210191082802549</v>
      </c>
      <c r="O195" s="67">
        <v>0.57708333333333328</v>
      </c>
      <c r="P195" s="67">
        <v>0.51951951951951947</v>
      </c>
      <c r="Q195" s="67">
        <v>0.41776937618147447</v>
      </c>
    </row>
    <row r="196" spans="1:17" x14ac:dyDescent="0.4">
      <c r="A196" s="69">
        <v>193</v>
      </c>
      <c r="B196" s="66">
        <v>2313.6000000000004</v>
      </c>
      <c r="C196" s="66">
        <v>11.98756476683938</v>
      </c>
      <c r="D196" s="71">
        <v>1.7720207253886011</v>
      </c>
      <c r="E196" s="67">
        <v>0.47150259067357514</v>
      </c>
      <c r="F196" s="67">
        <v>0.24352331606217617</v>
      </c>
      <c r="G196" s="67">
        <v>0.3371212121212121</v>
      </c>
      <c r="H196" s="67">
        <v>0.15214646464646464</v>
      </c>
      <c r="I196" s="68">
        <v>9241.9475655430706</v>
      </c>
      <c r="J196" s="68">
        <v>-8108.7136929460585</v>
      </c>
      <c r="K196" s="67">
        <v>8.8082901554404139E-2</v>
      </c>
      <c r="L196" s="67">
        <v>0.17098445595854922</v>
      </c>
      <c r="M196" s="67">
        <v>0.30429292929292928</v>
      </c>
      <c r="N196" s="67">
        <v>0.21401515151515152</v>
      </c>
      <c r="O196" s="67">
        <v>0.57883817427385897</v>
      </c>
      <c r="P196" s="67">
        <v>0.51327433628318586</v>
      </c>
      <c r="Q196" s="67">
        <v>0.41947565543071164</v>
      </c>
    </row>
    <row r="197" spans="1:17" x14ac:dyDescent="0.4">
      <c r="A197" s="69">
        <v>194</v>
      </c>
      <c r="B197" s="66">
        <v>2350.1000000000004</v>
      </c>
      <c r="C197" s="66">
        <v>12.113917525773198</v>
      </c>
      <c r="D197" s="71">
        <v>1.768041237113402</v>
      </c>
      <c r="E197" s="67">
        <v>0.47422680412371132</v>
      </c>
      <c r="F197" s="67">
        <v>0.2422680412371134</v>
      </c>
      <c r="G197" s="67">
        <v>0.33688833124215811</v>
      </c>
      <c r="H197" s="67">
        <v>0.15181932245922208</v>
      </c>
      <c r="I197" s="68">
        <v>9243.9478584729986</v>
      </c>
      <c r="J197" s="68">
        <v>-8108.2644628099169</v>
      </c>
      <c r="K197" s="67">
        <v>8.7628865979381437E-2</v>
      </c>
      <c r="L197" s="67">
        <v>0.17010309278350516</v>
      </c>
      <c r="M197" s="67">
        <v>0.30238393977415307</v>
      </c>
      <c r="N197" s="67">
        <v>0.21518193224592222</v>
      </c>
      <c r="O197" s="67">
        <v>0.57883817427385897</v>
      </c>
      <c r="P197" s="67">
        <v>0.51311953352769679</v>
      </c>
      <c r="Q197" s="67">
        <v>0.41899441340782123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772-395D-405C-A50D-8113948F93D3}">
  <sheetPr codeName="Sheet6"/>
  <dimension ref="A1:Q3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-2</v>
      </c>
      <c r="C271" s="66">
        <v>-2.4875621890547263E-3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-2</v>
      </c>
      <c r="C272" s="66">
        <v>-2.4783147459727386E-3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-2</v>
      </c>
      <c r="C273" s="66">
        <v>-2.4691358024691358E-3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-1.9999999999999987</v>
      </c>
      <c r="C274" s="66">
        <v>-2.4600246002460008E-3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-2.0000000000000053</v>
      </c>
      <c r="C275" s="66">
        <v>-2.4509803921568692E-3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-2.0000000000000071</v>
      </c>
      <c r="C276" s="66">
        <v>-2.4420024420024507E-3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-2.0000000000000071</v>
      </c>
      <c r="C277" s="66">
        <v>-2.433090024330909E-3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-2.0000000000000053</v>
      </c>
      <c r="C278" s="66">
        <v>-2.4242424242424307E-3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-2.0000000000000071</v>
      </c>
      <c r="C279" s="66">
        <v>-2.4154589371980762E-3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-2.0000000000000071</v>
      </c>
      <c r="C280" s="66">
        <v>-2.4067388688327404E-3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-2.0000000000000049</v>
      </c>
      <c r="C281" s="66">
        <v>-2.3980815347721882E-3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-2.0000000000000071</v>
      </c>
      <c r="C282" s="66">
        <v>-2.3894862604540109E-3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-2.0000000000000071</v>
      </c>
      <c r="C283" s="66">
        <v>-2.3809523809523894E-3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-2.0000000000000053</v>
      </c>
      <c r="C284" s="66">
        <v>-2.3724792408066492E-3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-2.0000000000000036</v>
      </c>
      <c r="C285" s="66">
        <v>-2.3640661938534322E-3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-2.0000000000000036</v>
      </c>
      <c r="C286" s="66">
        <v>-2.3557126030624305E-3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-2</v>
      </c>
      <c r="C287" s="66">
        <v>-2.3474178403755869E-3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-2</v>
      </c>
      <c r="C288" s="66">
        <v>-2.3391812865497076E-3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-1.9999999999999956</v>
      </c>
      <c r="C289" s="66">
        <v>-2.3310023310023258E-3</v>
      </c>
      <c r="D289" s="71">
        <v>2</v>
      </c>
      <c r="E289" s="67">
        <v>0.33333333333333331</v>
      </c>
      <c r="F289" s="67">
        <v>0.33333333333333331</v>
      </c>
      <c r="G289" s="67">
        <v>0.29812008978675647</v>
      </c>
      <c r="H289" s="67">
        <v>0.16596520763187431</v>
      </c>
      <c r="I289" s="68">
        <v>8724.1882352941175</v>
      </c>
      <c r="J289" s="68">
        <v>-8213.6094674556207</v>
      </c>
      <c r="K289" s="67">
        <v>0.12237762237762238</v>
      </c>
      <c r="L289" s="67">
        <v>0.12237762237762238</v>
      </c>
      <c r="M289" s="67">
        <v>0.27230639730639733</v>
      </c>
      <c r="N289" s="67">
        <v>0.21015712682379348</v>
      </c>
      <c r="O289" s="67">
        <v>0.57702215352910868</v>
      </c>
      <c r="P289" s="67">
        <v>0.39719626168224298</v>
      </c>
      <c r="Q289" s="67">
        <v>0.43529411764705883</v>
      </c>
    </row>
    <row r="290" spans="1:17" x14ac:dyDescent="0.4">
      <c r="A290" s="69">
        <v>287</v>
      </c>
      <c r="B290" s="66">
        <v>-1.9999999999999964</v>
      </c>
      <c r="C290" s="66">
        <v>-2.3228803716608551E-3</v>
      </c>
      <c r="D290" s="71">
        <v>2</v>
      </c>
      <c r="E290" s="67">
        <v>0.33333333333333331</v>
      </c>
      <c r="F290" s="67">
        <v>0.33333333333333331</v>
      </c>
      <c r="G290" s="67">
        <v>0.29820878813322138</v>
      </c>
      <c r="H290" s="67">
        <v>0.16624685138539042</v>
      </c>
      <c r="I290" s="68">
        <v>8721.1637728765836</v>
      </c>
      <c r="J290" s="68">
        <v>-8207.575757575758</v>
      </c>
      <c r="K290" s="67">
        <v>0.12195121951219512</v>
      </c>
      <c r="L290" s="67">
        <v>0.12195121951219512</v>
      </c>
      <c r="M290" s="67">
        <v>0.27232017912118667</v>
      </c>
      <c r="N290" s="67">
        <v>0.21018751749230338</v>
      </c>
      <c r="O290" s="67">
        <v>0.57759506680369987</v>
      </c>
      <c r="P290" s="67">
        <v>0.39747003994673769</v>
      </c>
      <c r="Q290" s="67">
        <v>0.43453777569216329</v>
      </c>
    </row>
    <row r="291" spans="1:17" x14ac:dyDescent="0.4">
      <c r="A291" s="69">
        <v>288</v>
      </c>
      <c r="B291" s="66">
        <v>-1.9999999999999973</v>
      </c>
      <c r="C291" s="66">
        <v>-2.3148148148148117E-3</v>
      </c>
      <c r="D291" s="71">
        <v>2</v>
      </c>
      <c r="E291" s="67">
        <v>0.33333333333333331</v>
      </c>
      <c r="F291" s="67">
        <v>0.33333333333333331</v>
      </c>
      <c r="G291" s="67">
        <v>0.29831170643225896</v>
      </c>
      <c r="H291" s="67">
        <v>0.16645737407562439</v>
      </c>
      <c r="I291" s="68">
        <v>8714.499532273152</v>
      </c>
      <c r="J291" s="68">
        <v>-8192.2883487007548</v>
      </c>
      <c r="K291" s="67">
        <v>0.12268518518518519</v>
      </c>
      <c r="L291" s="67">
        <v>0.12268518518518519</v>
      </c>
      <c r="M291" s="67">
        <v>0.27208036835496024</v>
      </c>
      <c r="N291" s="67">
        <v>0.21040881819450258</v>
      </c>
      <c r="O291" s="67">
        <v>0.57692307692307687</v>
      </c>
      <c r="P291" s="67">
        <v>0.39920424403183025</v>
      </c>
      <c r="Q291" s="67">
        <v>0.43405051449953225</v>
      </c>
    </row>
    <row r="292" spans="1:17" x14ac:dyDescent="0.4">
      <c r="A292" s="69">
        <v>289</v>
      </c>
      <c r="B292" s="66">
        <v>-2.0000000000000013</v>
      </c>
      <c r="C292" s="66">
        <v>-2.3068050749711663E-3</v>
      </c>
      <c r="D292" s="71">
        <v>2</v>
      </c>
      <c r="E292" s="67">
        <v>0.33333333333333331</v>
      </c>
      <c r="F292" s="67">
        <v>0.33333333333333331</v>
      </c>
      <c r="G292" s="67">
        <v>0.29839944328462076</v>
      </c>
      <c r="H292" s="67">
        <v>0.16673625608907447</v>
      </c>
      <c r="I292" s="68">
        <v>8707.0429104477607</v>
      </c>
      <c r="J292" s="68">
        <v>-8181.7195325542571</v>
      </c>
      <c r="K292" s="67">
        <v>0.12226066897347174</v>
      </c>
      <c r="L292" s="67">
        <v>0.12226066897347174</v>
      </c>
      <c r="M292" s="67">
        <v>0.27181628392484342</v>
      </c>
      <c r="N292" s="67">
        <v>0.21057759220598468</v>
      </c>
      <c r="O292" s="67">
        <v>0.57706093189964158</v>
      </c>
      <c r="P292" s="67">
        <v>0.39920687376074027</v>
      </c>
      <c r="Q292" s="67">
        <v>0.43330223880597013</v>
      </c>
    </row>
    <row r="293" spans="1:17" x14ac:dyDescent="0.4">
      <c r="A293" s="69">
        <v>290</v>
      </c>
      <c r="B293" s="66">
        <v>-2</v>
      </c>
      <c r="C293" s="66">
        <v>-2.2988505747126436E-3</v>
      </c>
      <c r="D293" s="71">
        <v>2</v>
      </c>
      <c r="E293" s="67">
        <v>0.33333333333333331</v>
      </c>
      <c r="F293" s="67">
        <v>0.33333333333333331</v>
      </c>
      <c r="G293" s="67">
        <v>0.29836247571468222</v>
      </c>
      <c r="H293" s="67">
        <v>0.16666666666666666</v>
      </c>
      <c r="I293" s="68">
        <v>8708.6976744186049</v>
      </c>
      <c r="J293" s="68">
        <v>-8178.9342214820981</v>
      </c>
      <c r="K293" s="67">
        <v>0.12183908045977011</v>
      </c>
      <c r="L293" s="67">
        <v>0.12183908045977011</v>
      </c>
      <c r="M293" s="67">
        <v>0.27199555925617541</v>
      </c>
      <c r="N293" s="67">
        <v>0.21051901193449904</v>
      </c>
      <c r="O293" s="67">
        <v>0.57704081632653059</v>
      </c>
      <c r="P293" s="67">
        <v>0.39881344759393539</v>
      </c>
      <c r="Q293" s="67">
        <v>0.43348837209302327</v>
      </c>
    </row>
    <row r="294" spans="1:17" x14ac:dyDescent="0.4">
      <c r="A294" s="69">
        <v>291</v>
      </c>
      <c r="B294" s="66">
        <v>-2.0000000000000036</v>
      </c>
      <c r="C294" s="66">
        <v>-2.290950744558996E-3</v>
      </c>
      <c r="D294" s="71">
        <v>2</v>
      </c>
      <c r="E294" s="67">
        <v>0.33333333333333331</v>
      </c>
      <c r="F294" s="67">
        <v>0.33333333333333331</v>
      </c>
      <c r="G294" s="67">
        <v>0.29847856154910096</v>
      </c>
      <c r="H294" s="67">
        <v>0.16694329183955739</v>
      </c>
      <c r="I294" s="68">
        <v>8699.3975903614464</v>
      </c>
      <c r="J294" s="68">
        <v>-8168.019884009942</v>
      </c>
      <c r="K294" s="67">
        <v>0.12142038946162657</v>
      </c>
      <c r="L294" s="67">
        <v>0.12142038946162657</v>
      </c>
      <c r="M294" s="67">
        <v>0.27178423236514521</v>
      </c>
      <c r="N294" s="67">
        <v>0.21037344398340249</v>
      </c>
      <c r="O294" s="67">
        <v>0.57709923664122142</v>
      </c>
      <c r="P294" s="67">
        <v>0.39973701512163051</v>
      </c>
      <c r="Q294" s="67">
        <v>0.43280815569972197</v>
      </c>
    </row>
    <row r="295" spans="1:17" x14ac:dyDescent="0.4">
      <c r="A295" s="69">
        <v>292</v>
      </c>
      <c r="B295" s="66">
        <v>-2.0000000000000044</v>
      </c>
      <c r="C295" s="66">
        <v>-2.2831050228310553E-3</v>
      </c>
      <c r="D295" s="71">
        <v>2</v>
      </c>
      <c r="E295" s="67">
        <v>0.33333333333333331</v>
      </c>
      <c r="F295" s="67">
        <v>0.33333333333333331</v>
      </c>
      <c r="G295" s="67">
        <v>0.29862258953168042</v>
      </c>
      <c r="H295" s="67">
        <v>0.16666666666666666</v>
      </c>
      <c r="I295" s="68">
        <v>8696.1254612546127</v>
      </c>
      <c r="J295" s="68">
        <v>-8166.1983471074382</v>
      </c>
      <c r="K295" s="67">
        <v>0.12100456621004566</v>
      </c>
      <c r="L295" s="67">
        <v>0.12100456621004566</v>
      </c>
      <c r="M295" s="67">
        <v>0.27148760330578514</v>
      </c>
      <c r="N295" s="67">
        <v>0.21046831955922865</v>
      </c>
      <c r="O295" s="67">
        <v>0.57737189244038556</v>
      </c>
      <c r="P295" s="67">
        <v>0.40052356020942409</v>
      </c>
      <c r="Q295" s="67">
        <v>0.43404059040590404</v>
      </c>
    </row>
    <row r="296" spans="1:17" x14ac:dyDescent="0.4">
      <c r="A296" s="69">
        <v>293</v>
      </c>
      <c r="B296" s="66">
        <v>-2.0000000000000142</v>
      </c>
      <c r="C296" s="66">
        <v>-2.27531285551765E-3</v>
      </c>
      <c r="D296" s="71">
        <v>2</v>
      </c>
      <c r="E296" s="67">
        <v>0.33333333333333331</v>
      </c>
      <c r="F296" s="67">
        <v>0.33333333333333331</v>
      </c>
      <c r="G296" s="67">
        <v>0.29836829836829837</v>
      </c>
      <c r="H296" s="67">
        <v>0.16659810777457837</v>
      </c>
      <c r="I296" s="68">
        <v>8692.6470588235297</v>
      </c>
      <c r="J296" s="68">
        <v>-8162.7160493827159</v>
      </c>
      <c r="K296" s="67">
        <v>0.12059158134243458</v>
      </c>
      <c r="L296" s="67">
        <v>0.12059158134243458</v>
      </c>
      <c r="M296" s="67">
        <v>0.27135609488550666</v>
      </c>
      <c r="N296" s="67">
        <v>0.21020156314273961</v>
      </c>
      <c r="O296" s="67">
        <v>0.57806973218797375</v>
      </c>
      <c r="P296" s="67">
        <v>0.40052185257664707</v>
      </c>
      <c r="Q296" s="67">
        <v>0.43382352941176472</v>
      </c>
    </row>
    <row r="297" spans="1:17" x14ac:dyDescent="0.4">
      <c r="A297" s="69">
        <v>294</v>
      </c>
      <c r="B297" s="66">
        <v>-2.0000000000000142</v>
      </c>
      <c r="C297" s="66">
        <v>-2.2675736961451408E-3</v>
      </c>
      <c r="D297" s="71">
        <v>2</v>
      </c>
      <c r="E297" s="67">
        <v>0.33333333333333331</v>
      </c>
      <c r="F297" s="67">
        <v>0.33333333333333331</v>
      </c>
      <c r="G297" s="67">
        <v>0.29851153898675409</v>
      </c>
      <c r="H297" s="67">
        <v>0.16632527652601392</v>
      </c>
      <c r="I297" s="68">
        <v>8687.465690759378</v>
      </c>
      <c r="J297" s="68">
        <v>-8153.0377668308702</v>
      </c>
      <c r="K297" s="67">
        <v>0.12018140589569161</v>
      </c>
      <c r="L297" s="67">
        <v>0.12018140589569161</v>
      </c>
      <c r="M297" s="67">
        <v>0.27147343984705724</v>
      </c>
      <c r="N297" s="67">
        <v>0.20988665847330329</v>
      </c>
      <c r="O297" s="67">
        <v>0.57796780684104632</v>
      </c>
      <c r="P297" s="67">
        <v>0.40078074170461941</v>
      </c>
      <c r="Q297" s="67">
        <v>0.43504117108874657</v>
      </c>
    </row>
    <row r="298" spans="1:17" x14ac:dyDescent="0.4">
      <c r="A298" s="69">
        <v>295</v>
      </c>
      <c r="B298" s="66">
        <v>-2.0000000000000169</v>
      </c>
      <c r="C298" s="66">
        <v>-2.2598870056497367E-3</v>
      </c>
      <c r="D298" s="71">
        <v>2</v>
      </c>
      <c r="E298" s="67">
        <v>0.33333333333333331</v>
      </c>
      <c r="F298" s="67">
        <v>0.33333333333333331</v>
      </c>
      <c r="G298" s="67">
        <v>0.29856850715746419</v>
      </c>
      <c r="H298" s="67">
        <v>0.16646216768916156</v>
      </c>
      <c r="I298" s="68">
        <v>8692.9680365296808</v>
      </c>
      <c r="J298" s="68">
        <v>-8161.5069615069615</v>
      </c>
      <c r="K298" s="67">
        <v>0.12090395480225989</v>
      </c>
      <c r="L298" s="67">
        <v>0.12090395480225989</v>
      </c>
      <c r="M298" s="67">
        <v>0.27171097477845946</v>
      </c>
      <c r="N298" s="67">
        <v>0.20954328561690524</v>
      </c>
      <c r="O298" s="67">
        <v>0.57752132463622674</v>
      </c>
      <c r="P298" s="67">
        <v>0.40078074170461941</v>
      </c>
      <c r="Q298" s="67">
        <v>0.43470319634703197</v>
      </c>
    </row>
    <row r="299" spans="1:17" x14ac:dyDescent="0.4">
      <c r="A299" s="69">
        <v>296</v>
      </c>
      <c r="B299" s="66">
        <v>-2.0000000000000213</v>
      </c>
      <c r="C299" s="66">
        <v>-2.2522522522522761E-3</v>
      </c>
      <c r="D299" s="71">
        <v>2</v>
      </c>
      <c r="E299" s="67">
        <v>0.33333333333333331</v>
      </c>
      <c r="F299" s="67">
        <v>0.33333333333333331</v>
      </c>
      <c r="G299" s="67">
        <v>0.2986167615947925</v>
      </c>
      <c r="H299" s="67">
        <v>0.16666666666666666</v>
      </c>
      <c r="I299" s="68">
        <v>8676.8392370572201</v>
      </c>
      <c r="J299" s="68">
        <v>-8141.6598860862487</v>
      </c>
      <c r="K299" s="67">
        <v>0.12162162162162163</v>
      </c>
      <c r="L299" s="67">
        <v>0.12162162162162163</v>
      </c>
      <c r="M299" s="67">
        <v>0.27135882831570385</v>
      </c>
      <c r="N299" s="67">
        <v>0.20951993490642798</v>
      </c>
      <c r="O299" s="67">
        <v>0.57721139430284862</v>
      </c>
      <c r="P299" s="67">
        <v>0.40129449838187703</v>
      </c>
      <c r="Q299" s="67">
        <v>0.43415077202543145</v>
      </c>
    </row>
    <row r="300" spans="1:17" x14ac:dyDescent="0.4">
      <c r="A300" s="69">
        <v>297</v>
      </c>
      <c r="B300" s="66">
        <v>-2.0000000000000213</v>
      </c>
      <c r="C300" s="66">
        <v>-2.244668911335602E-3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0.16659905341446923</v>
      </c>
      <c r="I300" s="68">
        <v>8670.3670140462164</v>
      </c>
      <c r="J300" s="68">
        <v>-8135.7142857142853</v>
      </c>
      <c r="K300" s="67">
        <v>0.12121212121212122</v>
      </c>
      <c r="L300" s="67">
        <v>0.12121212121212122</v>
      </c>
      <c r="M300" s="67">
        <v>0.27153482082488167</v>
      </c>
      <c r="N300" s="67">
        <v>0.20960108181203516</v>
      </c>
      <c r="O300" s="67">
        <v>0.57669322709163351</v>
      </c>
      <c r="P300" s="67">
        <v>0.40064516129032257</v>
      </c>
      <c r="Q300" s="67">
        <v>0.43407340280924334</v>
      </c>
    </row>
    <row r="301" spans="1:17" x14ac:dyDescent="0.4">
      <c r="A301" s="69">
        <v>298</v>
      </c>
      <c r="B301" s="66">
        <v>-2.0000000000000213</v>
      </c>
      <c r="C301" s="66">
        <v>-2.2371364653244086E-3</v>
      </c>
      <c r="D301" s="71">
        <v>2</v>
      </c>
      <c r="E301" s="67">
        <v>0.33333333333333331</v>
      </c>
      <c r="F301" s="67">
        <v>0.33333333333333331</v>
      </c>
      <c r="G301" s="67">
        <v>0.29840884573894283</v>
      </c>
      <c r="H301" s="67">
        <v>0.16680151024811218</v>
      </c>
      <c r="I301" s="68">
        <v>8666.2901039313147</v>
      </c>
      <c r="J301" s="68">
        <v>-8131.3662085691185</v>
      </c>
      <c r="K301" s="67">
        <v>0.12192393736017897</v>
      </c>
      <c r="L301" s="67">
        <v>0.12192393736017897</v>
      </c>
      <c r="M301" s="67">
        <v>0.2715749730312837</v>
      </c>
      <c r="N301" s="67">
        <v>0.20941208198489752</v>
      </c>
      <c r="O301" s="67">
        <v>0.57646474677259185</v>
      </c>
      <c r="P301" s="67">
        <v>0.40180296200901483</v>
      </c>
      <c r="Q301" s="67">
        <v>0.43334839584274742</v>
      </c>
    </row>
    <row r="302" spans="1:17" x14ac:dyDescent="0.4">
      <c r="A302" s="69">
        <v>299</v>
      </c>
      <c r="B302" s="66">
        <v>-2.0000000000000178</v>
      </c>
      <c r="C302" s="66">
        <v>-2.229654403567467E-3</v>
      </c>
      <c r="D302" s="71">
        <v>2</v>
      </c>
      <c r="E302" s="67">
        <v>0.33333333333333331</v>
      </c>
      <c r="F302" s="67">
        <v>0.33333333333333331</v>
      </c>
      <c r="G302" s="67">
        <v>0.29837299986553717</v>
      </c>
      <c r="H302" s="67">
        <v>0.16686836089821164</v>
      </c>
      <c r="I302" s="68">
        <v>8667.1924290220813</v>
      </c>
      <c r="J302" s="68">
        <v>-8127.0749395648672</v>
      </c>
      <c r="K302" s="67">
        <v>0.12151616499442586</v>
      </c>
      <c r="L302" s="67">
        <v>0.12151616499442586</v>
      </c>
      <c r="M302" s="67">
        <v>0.27134597283851014</v>
      </c>
      <c r="N302" s="67">
        <v>0.20989646362780692</v>
      </c>
      <c r="O302" s="67">
        <v>0.57631318136769083</v>
      </c>
      <c r="P302" s="67">
        <v>0.40166559897501602</v>
      </c>
      <c r="Q302" s="67">
        <v>0.43307796304641732</v>
      </c>
    </row>
    <row r="303" spans="1:17" x14ac:dyDescent="0.4">
      <c r="A303" s="69">
        <v>300</v>
      </c>
      <c r="B303" s="66">
        <v>-2.0000000000000142</v>
      </c>
      <c r="C303" s="66">
        <v>-2.2222222222222378E-3</v>
      </c>
      <c r="D303" s="71">
        <v>2</v>
      </c>
      <c r="E303" s="67">
        <v>0.33333333333333331</v>
      </c>
      <c r="F303" s="67">
        <v>0.33333333333333331</v>
      </c>
      <c r="G303" s="67">
        <v>0.29835142742259751</v>
      </c>
      <c r="H303" s="67">
        <v>0.16686771210293527</v>
      </c>
      <c r="I303" s="68">
        <v>8668.2839173405209</v>
      </c>
      <c r="J303" s="68">
        <v>-8122.7309236947794</v>
      </c>
      <c r="K303" s="67">
        <v>0.12111111111111111</v>
      </c>
      <c r="L303" s="67">
        <v>0.12111111111111111</v>
      </c>
      <c r="M303" s="67">
        <v>0.27074118750837689</v>
      </c>
      <c r="N303" s="67">
        <v>0.21015949604610643</v>
      </c>
      <c r="O303" s="67">
        <v>0.57673267326732669</v>
      </c>
      <c r="P303" s="67">
        <v>0.4017857142857143</v>
      </c>
      <c r="Q303" s="67">
        <v>0.43306379155435759</v>
      </c>
    </row>
    <row r="304" spans="1:17" x14ac:dyDescent="0.4">
      <c r="A304" s="69">
        <v>301</v>
      </c>
      <c r="B304" s="66">
        <v>-2.0000000000000142</v>
      </c>
      <c r="C304" s="66">
        <v>-2.2148394241417657E-3</v>
      </c>
      <c r="D304" s="71">
        <v>2</v>
      </c>
      <c r="E304" s="67">
        <v>0.33333333333333331</v>
      </c>
      <c r="F304" s="67">
        <v>0.33333333333333331</v>
      </c>
      <c r="G304" s="67">
        <v>0.29830191202032358</v>
      </c>
      <c r="H304" s="67">
        <v>0.16673352052413423</v>
      </c>
      <c r="I304" s="68">
        <v>8668.5791125056021</v>
      </c>
      <c r="J304" s="68">
        <v>-8125.7417802726541</v>
      </c>
      <c r="K304" s="67">
        <v>0.12070874861572536</v>
      </c>
      <c r="L304" s="67">
        <v>0.12070874861572536</v>
      </c>
      <c r="M304" s="67">
        <v>0.27022329188394173</v>
      </c>
      <c r="N304" s="67">
        <v>0.21018852787805856</v>
      </c>
      <c r="O304" s="67">
        <v>0.57694210786739242</v>
      </c>
      <c r="P304" s="67">
        <v>0.4020356234096692</v>
      </c>
      <c r="Q304" s="67">
        <v>0.43343792021515015</v>
      </c>
    </row>
    <row r="305" spans="1:17" x14ac:dyDescent="0.4">
      <c r="A305" s="69">
        <v>302</v>
      </c>
      <c r="B305" s="66">
        <v>-2.0000000000000142</v>
      </c>
      <c r="C305" s="66">
        <v>-2.2075055187638125E-3</v>
      </c>
      <c r="D305" s="71">
        <v>2</v>
      </c>
      <c r="E305" s="67">
        <v>0.33333333333333331</v>
      </c>
      <c r="F305" s="67">
        <v>0.33333333333333331</v>
      </c>
      <c r="G305" s="67">
        <v>0.29836457917830078</v>
      </c>
      <c r="H305" s="67">
        <v>0.16660018614545938</v>
      </c>
      <c r="I305" s="68">
        <v>8658.3778966131904</v>
      </c>
      <c r="J305" s="68">
        <v>-8107.0231444533119</v>
      </c>
      <c r="K305" s="67">
        <v>0.12030905077262694</v>
      </c>
      <c r="L305" s="67">
        <v>0.12030905077262694</v>
      </c>
      <c r="M305" s="67">
        <v>0.27030979922882598</v>
      </c>
      <c r="N305" s="67">
        <v>0.21047733014226833</v>
      </c>
      <c r="O305" s="67">
        <v>0.57599606492867683</v>
      </c>
      <c r="P305" s="67">
        <v>0.40050536955148452</v>
      </c>
      <c r="Q305" s="67">
        <v>0.43360071301247771</v>
      </c>
    </row>
    <row r="306" spans="1:17" x14ac:dyDescent="0.4">
      <c r="A306" s="69">
        <v>303</v>
      </c>
      <c r="B306" s="66">
        <v>-2.0000000000000142</v>
      </c>
      <c r="C306" s="66">
        <v>-2.2002200220022157E-3</v>
      </c>
      <c r="D306" s="71">
        <v>2</v>
      </c>
      <c r="E306" s="67">
        <v>0.33333333333333331</v>
      </c>
      <c r="F306" s="67">
        <v>0.33333333333333331</v>
      </c>
      <c r="G306" s="67">
        <v>0.29850350946894449</v>
      </c>
      <c r="H306" s="67">
        <v>0.16660045027148723</v>
      </c>
      <c r="I306" s="68">
        <v>8646.1845607808336</v>
      </c>
      <c r="J306" s="68">
        <v>-8105.5643879173294</v>
      </c>
      <c r="K306" s="67">
        <v>0.11991199119911991</v>
      </c>
      <c r="L306" s="67">
        <v>0.11991199119911991</v>
      </c>
      <c r="M306" s="67">
        <v>0.26976559396106475</v>
      </c>
      <c r="N306" s="67">
        <v>0.21070056946099855</v>
      </c>
      <c r="O306" s="67">
        <v>0.57584683357879229</v>
      </c>
      <c r="P306" s="67">
        <v>0.40037712130735387</v>
      </c>
      <c r="Q306" s="67">
        <v>0.43389529724933451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2019-07-15T15:12:46Z</dcterms:modified>
</cp:coreProperties>
</file>