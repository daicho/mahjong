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C846700F-840B-47A9-B5B6-C10AA87B2C0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65" l="1"/>
  <c r="O15" i="5471"/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8" i="5471"/>
  <c r="O20" i="5473" l="1"/>
  <c r="O19" i="5473"/>
  <c r="O21" i="5467"/>
  <c r="O20" i="5457"/>
  <c r="O24" i="5455" l="1"/>
  <c r="O18" i="5473"/>
  <c r="O21" i="5465"/>
  <c r="O15" i="5473"/>
  <c r="O16" i="5473" l="1"/>
  <c r="O17" i="5473"/>
  <c r="C27" i="5473"/>
  <c r="B24" i="5473"/>
  <c r="C20" i="5473"/>
  <c r="B17" i="5473"/>
  <c r="H7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2" i="5463"/>
  <c r="O23" i="5453"/>
  <c r="H4" i="5473" l="1"/>
  <c r="H18" i="5473"/>
  <c r="H3" i="5473"/>
  <c r="H2" i="5473"/>
  <c r="H11" i="5473"/>
  <c r="H16" i="5473"/>
  <c r="H21" i="5473"/>
  <c r="H6" i="5473"/>
  <c r="C19" i="5473"/>
  <c r="H31" i="5473"/>
  <c r="H39" i="5473"/>
  <c r="H47" i="5473"/>
  <c r="H27" i="5473"/>
  <c r="H49" i="5473"/>
  <c r="H33" i="5473"/>
  <c r="H9" i="5473"/>
  <c r="H13" i="5473"/>
  <c r="H43" i="5473"/>
  <c r="H51" i="5473"/>
  <c r="H41" i="5473"/>
  <c r="H20" i="5473"/>
  <c r="C17" i="5473"/>
  <c r="H15" i="5473"/>
  <c r="H35" i="5473"/>
  <c r="H12" i="5473"/>
  <c r="H5" i="5473"/>
  <c r="H17" i="5473"/>
  <c r="H19" i="5473"/>
  <c r="C18" i="5473"/>
  <c r="B23" i="5473"/>
  <c r="H29" i="5473"/>
  <c r="H37" i="5473"/>
  <c r="H45" i="5473"/>
  <c r="H52" i="5473"/>
  <c r="H22" i="5473"/>
  <c r="H24" i="5473"/>
  <c r="H26" i="5473"/>
  <c r="H28" i="5473"/>
  <c r="H30" i="5473"/>
  <c r="H34" i="5473"/>
  <c r="H38" i="5473"/>
  <c r="H42" i="5473"/>
  <c r="H46" i="5473"/>
  <c r="H50" i="5473"/>
  <c r="H14" i="5473"/>
  <c r="H23" i="5473"/>
  <c r="H25" i="5473"/>
  <c r="H10" i="5473"/>
  <c r="H8" i="5473"/>
  <c r="H32" i="5473"/>
  <c r="H36" i="5473"/>
  <c r="H40" i="5473"/>
  <c r="H44" i="5473"/>
  <c r="H48" i="5473"/>
  <c r="O20" i="5463" l="1"/>
  <c r="O17" i="5459"/>
  <c r="O20" i="5467"/>
  <c r="O17" i="5467"/>
  <c r="O20" i="5455" l="1"/>
  <c r="O19" i="5471"/>
  <c r="O20" i="5471" l="1"/>
  <c r="O16" i="5471"/>
  <c r="O15" i="5461"/>
  <c r="O20" i="5459"/>
  <c r="O17" i="5469" l="1"/>
  <c r="O22" i="5465"/>
  <c r="O15" i="5469"/>
  <c r="O22" i="5471"/>
  <c r="O15" i="5457"/>
  <c r="O19" i="5467"/>
  <c r="O18" i="5453"/>
  <c r="O21" i="5471"/>
  <c r="O17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9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6" i="5467" l="1"/>
  <c r="O20" i="5465"/>
  <c r="O17" i="5465"/>
  <c r="O17" i="5457"/>
  <c r="O18" i="5463" l="1"/>
  <c r="O17" i="5461"/>
  <c r="O16" i="5465"/>
  <c r="O18" i="5465"/>
  <c r="O15" i="5463" l="1"/>
  <c r="O16" i="5461"/>
  <c r="O22" i="5459"/>
  <c r="O18" i="5459"/>
  <c r="O15" i="5467"/>
  <c r="O18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2" i="5453"/>
  <c r="H11" i="5467" l="1"/>
  <c r="H2" i="5467"/>
  <c r="C17" i="5467"/>
  <c r="H3" i="5467"/>
  <c r="H6" i="5467"/>
  <c r="H29" i="5467"/>
  <c r="H30" i="5467"/>
  <c r="H18" i="5467"/>
  <c r="H33" i="5467"/>
  <c r="H16" i="5467"/>
  <c r="H35" i="5467"/>
  <c r="H39" i="5467"/>
  <c r="H42" i="5467"/>
  <c r="H46" i="5467"/>
  <c r="H50" i="5467"/>
  <c r="H8" i="5467"/>
  <c r="H23" i="5467"/>
  <c r="H19" i="5467"/>
  <c r="C19" i="5467"/>
  <c r="H14" i="5467"/>
  <c r="H24" i="5467"/>
  <c r="H36" i="5467"/>
  <c r="H40" i="5467"/>
  <c r="H43" i="5467"/>
  <c r="H47" i="5467"/>
  <c r="H51" i="5467"/>
  <c r="H9" i="5467"/>
  <c r="H7" i="5467"/>
  <c r="H12" i="5467"/>
  <c r="H22" i="5467"/>
  <c r="H20" i="5467"/>
  <c r="H17" i="5467"/>
  <c r="H31" i="5467"/>
  <c r="H13" i="5467"/>
  <c r="H10" i="5467"/>
  <c r="H25" i="5467"/>
  <c r="H37" i="5467"/>
  <c r="H26" i="5467"/>
  <c r="H44" i="5467"/>
  <c r="H48" i="5467"/>
  <c r="H4" i="5467"/>
  <c r="H5" i="5467"/>
  <c r="H27" i="5467"/>
  <c r="H28" i="5467"/>
  <c r="H15" i="5467"/>
  <c r="C18" i="5467"/>
  <c r="B23" i="5467"/>
  <c r="H32" i="5467"/>
  <c r="H21" i="5467"/>
  <c r="H34" i="5467"/>
  <c r="H38" i="5467"/>
  <c r="H41" i="5467"/>
  <c r="H45" i="5467"/>
  <c r="H49" i="5467"/>
  <c r="O19" i="5459" l="1"/>
  <c r="O19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1" i="5455"/>
  <c r="O17" i="5453"/>
  <c r="O19" i="5463"/>
  <c r="O18" i="5457"/>
  <c r="O19" i="5457"/>
  <c r="O19" i="5461"/>
  <c r="O21" i="5463"/>
  <c r="O23" i="5463"/>
  <c r="C27" i="5463"/>
  <c r="B24" i="5463"/>
  <c r="C20" i="5463"/>
  <c r="B17" i="5463"/>
  <c r="H51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8" i="5455"/>
  <c r="O23" i="5455"/>
  <c r="O20" i="5453"/>
  <c r="O21" i="5453"/>
  <c r="C17" i="5465" l="1"/>
  <c r="H4" i="5465"/>
  <c r="H10" i="5465"/>
  <c r="H2" i="5465"/>
  <c r="H8" i="5465"/>
  <c r="H2" i="5463"/>
  <c r="H5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8" i="5463"/>
  <c r="C17" i="5463"/>
  <c r="H40" i="5463"/>
  <c r="H32" i="5463"/>
  <c r="H22" i="5463"/>
  <c r="H10" i="5463"/>
  <c r="H19" i="5463"/>
  <c r="H24" i="5463"/>
  <c r="H9" i="5463"/>
  <c r="H6" i="5463"/>
  <c r="H20" i="5463"/>
  <c r="H18" i="5463"/>
  <c r="H48" i="5463"/>
  <c r="H7" i="5463"/>
  <c r="H13" i="5463"/>
  <c r="H3" i="5463"/>
  <c r="H10" i="5461"/>
  <c r="H17" i="5463"/>
  <c r="C18" i="5463"/>
  <c r="B23" i="5463"/>
  <c r="H33" i="5463"/>
  <c r="H41" i="5463"/>
  <c r="H49" i="5463"/>
  <c r="H15" i="5463"/>
  <c r="H11" i="5463"/>
  <c r="H36" i="5463"/>
  <c r="H44" i="5463"/>
  <c r="H4" i="5463"/>
  <c r="H14" i="5463"/>
  <c r="H23" i="5463"/>
  <c r="H37" i="5463"/>
  <c r="H45" i="5463"/>
  <c r="H52" i="5463"/>
  <c r="H26" i="5463"/>
  <c r="H27" i="5463"/>
  <c r="H29" i="5463"/>
  <c r="H30" i="5463"/>
  <c r="H16" i="5463"/>
  <c r="H34" i="5463"/>
  <c r="H38" i="5463"/>
  <c r="H42" i="5463"/>
  <c r="H46" i="5463"/>
  <c r="H50" i="5463"/>
  <c r="H8" i="5463"/>
  <c r="H21" i="5463"/>
  <c r="H25" i="5463"/>
  <c r="C19" i="5463"/>
  <c r="H12" i="5463"/>
  <c r="H31" i="5463"/>
  <c r="H35" i="5463"/>
  <c r="H39" i="5463"/>
  <c r="H43" i="5463"/>
  <c r="H47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1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8" i="5457" l="1"/>
  <c r="H2" i="5457"/>
  <c r="H14" i="5457"/>
  <c r="H3" i="5457"/>
  <c r="H27" i="5459"/>
  <c r="H10" i="5459"/>
  <c r="H43" i="5459"/>
  <c r="H3" i="5459"/>
  <c r="H6" i="5459"/>
  <c r="H22" i="5459"/>
  <c r="H8" i="5459"/>
  <c r="C17" i="5459"/>
  <c r="H24" i="5455"/>
  <c r="H13" i="5455"/>
  <c r="H38" i="5455"/>
  <c r="H4" i="5455"/>
  <c r="H2" i="5455"/>
  <c r="H7" i="5455"/>
  <c r="H30" i="5455"/>
  <c r="B23" i="5455"/>
  <c r="H10" i="5455"/>
  <c r="H39" i="5459"/>
  <c r="H12" i="5459"/>
  <c r="H17" i="5459"/>
  <c r="H31" i="5459"/>
  <c r="H47" i="5459"/>
  <c r="H2" i="5459"/>
  <c r="H4" i="5459"/>
  <c r="H9" i="5459"/>
  <c r="H19" i="5459"/>
  <c r="H24" i="5459"/>
  <c r="H35" i="5459"/>
  <c r="H51" i="5459"/>
  <c r="H18" i="5459"/>
  <c r="H20" i="5459"/>
  <c r="H23" i="5459"/>
  <c r="H26" i="5459"/>
  <c r="H29" i="5459"/>
  <c r="H33" i="5459"/>
  <c r="H37" i="5459"/>
  <c r="H41" i="5459"/>
  <c r="H45" i="5459"/>
  <c r="H49" i="5459"/>
  <c r="H7" i="5459"/>
  <c r="H13" i="5459"/>
  <c r="H15" i="5459"/>
  <c r="C19" i="5459"/>
  <c r="H21" i="5459"/>
  <c r="H30" i="5459"/>
  <c r="H34" i="5459"/>
  <c r="H38" i="5459"/>
  <c r="H42" i="5459"/>
  <c r="H46" i="5459"/>
  <c r="H50" i="5459"/>
  <c r="H5" i="5459"/>
  <c r="H11" i="5459"/>
  <c r="H14" i="5459"/>
  <c r="H16" i="5459"/>
  <c r="C18" i="5459"/>
  <c r="B23" i="5459"/>
  <c r="H25" i="5459"/>
  <c r="H28" i="5459"/>
  <c r="H32" i="5459"/>
  <c r="H36" i="5459"/>
  <c r="H40" i="5459"/>
  <c r="H44" i="5459"/>
  <c r="H48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6" i="5457"/>
  <c r="H13" i="5457"/>
  <c r="H37" i="5457"/>
  <c r="H5" i="5457"/>
  <c r="H30" i="5457"/>
  <c r="H31" i="5457"/>
  <c r="H32" i="5457"/>
  <c r="H25" i="5457"/>
  <c r="H17" i="5457"/>
  <c r="H28" i="5457"/>
  <c r="H39" i="5457"/>
  <c r="H43" i="5457"/>
  <c r="H47" i="5457"/>
  <c r="H51" i="5457"/>
  <c r="H26" i="5457"/>
  <c r="H36" i="5457"/>
  <c r="H40" i="5457"/>
  <c r="H44" i="5457"/>
  <c r="H48" i="5457"/>
  <c r="H19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7" i="5453"/>
  <c r="H11" i="5453"/>
  <c r="H33" i="5453"/>
  <c r="H12" i="5453"/>
  <c r="H15" i="5453"/>
  <c r="H25" i="5453"/>
  <c r="H7" i="5453"/>
  <c r="H22" i="5453"/>
  <c r="C18" i="5453"/>
  <c r="H46" i="5455"/>
  <c r="H6" i="5455"/>
  <c r="H11" i="5455"/>
  <c r="H3" i="5455"/>
  <c r="C18" i="5455"/>
  <c r="H52" i="5455"/>
  <c r="H21" i="5455"/>
  <c r="H31" i="5455"/>
  <c r="H16" i="5455"/>
  <c r="C19" i="5455"/>
  <c r="H22" i="5455"/>
  <c r="H40" i="5455"/>
  <c r="H48" i="5455"/>
  <c r="H27" i="5455"/>
  <c r="H35" i="5455"/>
  <c r="H42" i="5455"/>
  <c r="H50" i="5455"/>
  <c r="H8" i="5455"/>
  <c r="H25" i="5455"/>
  <c r="H23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7" i="5455"/>
  <c r="H26" i="5455"/>
  <c r="H12" i="5455"/>
  <c r="H9" i="5455"/>
  <c r="H28" i="5455"/>
  <c r="H37" i="5455"/>
  <c r="H41" i="5455"/>
  <c r="H45" i="5455"/>
  <c r="H49" i="5455"/>
  <c r="H34" i="5453"/>
  <c r="H29" i="5453"/>
  <c r="H42" i="5453"/>
  <c r="H10" i="5453"/>
  <c r="H6" i="5453"/>
  <c r="H20" i="5453"/>
  <c r="H18" i="5453"/>
  <c r="B23" i="5453"/>
  <c r="H26" i="5453"/>
  <c r="H49" i="5453"/>
  <c r="H50" i="5453"/>
  <c r="H16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4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<sst xmlns="http://schemas.openxmlformats.org/spreadsheetml/2006/main" count="3326" uniqueCount="262">
  <si>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</si>
  <si>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</si>
  <si>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</si>
  <si>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</si>
  <si>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</si>
  <si>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</si>
  <si>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</si>
  <si>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</si>
  <si>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</si>
  <si>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</si>
  <si>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</si>
  <si>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</si>
  <si>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</si>
  <si>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</si>
  <si>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</si>
  <si>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</si>
  <si>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</si>
  <si>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</si>
  <si>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</si>
  <si>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</si>
  <si>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</si>
  <si>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</si>
  <si>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</si>
  <si>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</si>
  <si>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</si>
  <si>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</si>
  <si>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</si>
  <si>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</si>
  <si>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</si>
  <si>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</si>
  <si>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</si>
  <si>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</si>
  <si>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</si>
  <si>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</si>
  <si>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</si>
  <si>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</si>
  <si>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</si>
  <si>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</si>
  <si>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</si>
  <si>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</si>
  <si>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</si>
  <si>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</si>
  <si>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</si>
  <si>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</si>
  <si>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</si>
  <si>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</si>
  <si>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</si>
  <si>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</si>
  <si>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</si>
  <si>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</si>
  <si>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</si>
  <si>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</si>
  <si>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</si>
  <si>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</si>
  <si>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</si>
  <si>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</si>
  <si>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</si>
  <si>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</si>
  <si>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</si>
  <si>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</si>
  <si>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</si>
  <si>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</si>
  <si>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</si>
  <si>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</si>
  <si>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</si>
  <si>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</si>
  <si>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</si>
  <si>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</si>
  <si>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</si>
  <si>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</si>
  <si>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</si>
  <si>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</si>
  <si>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</si>
  <si>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</si>
  <si>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</si>
  <si>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</si>
  <si>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</si>
  <si>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</si>
  <si>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</si>
  <si>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</si>
  <si>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</si>
  <si>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</si>
  <si>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</si>
  <si>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</si>
  <si>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</si>
  <si>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</si>
  <si>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</si>
  <si>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</si>
  <si>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</si>
  <si>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</si>
  <si>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</si>
  <si>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</si>
  <si>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</si>
  <si>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</si>
  <si>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</si>
  <si>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</si>
  <si>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</si>
  <si>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</si>
  <si>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</si>
  <si>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</si>
  <si>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</si>
  <si>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</si>
  <si>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</si>
  <si>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</si>
  <si>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</si>
  <si>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</si>
  <si>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</si>
  <si>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</si>
  <si>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</si>
  <si>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</si>
  <si>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</si>
  <si>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</si>
  <si>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</si>
  <si>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</si>
  <si>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</si>
  <si>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</si>
  <si>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</si>
  <si>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</si>
  <si>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</si>
  <si>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</si>
  <si>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</si>
  <si>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</si>
  <si>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</si>
  <si>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</si>
  <si>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</si>
  <si>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</si>
  <si>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</si>
  <si>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</si>
  <si>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</si>
  <si>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</si>
  <si>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</si>
  <si>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</si>
  <si>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</si>
  <si>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</si>
  <si>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</si>
  <si>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</si>
  <si>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</si>
  <si>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</si>
  <si>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</si>
  <si>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</si>
  <si>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</si>
  <si>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</si>
  <si>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</si>
  <si>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</si>
  <si>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</si>
  <si>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</si>
  <si>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</si>
  <si>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</si>
  <si>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</si>
  <si>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</si>
  <si>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</si>
  <si>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</si>
  <si>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</si>
  <si>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</si>
  <si>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</si>
  <si>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</si>
  <si>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</si>
  <si>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</si>
  <si>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</si>
  <si>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</si>
  <si>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</si>
  <si>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</si>
  <si>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</si>
  <si>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</si>
  <si>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</si>
  <si>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</si>
  <si>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</si>
  <si>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</si>
  <si>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</si>
  <si>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</si>
  <si>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</si>
  <si>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</si>
  <si>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</si>
  <si>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</si>
  <si>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</si>
  <si>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</si>
  <si>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</si>
  <si>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</si>
  <si>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</si>
  <si>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</si>
  <si>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</si>
  <si>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</si>
  <si>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</si>
  <si>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</si>
  <si>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</si>
  <si>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</si>
  <si>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</si>
  <si>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</si>
  <si>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</si>
  <si>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</si>
  <si>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</si>
  <si>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</si>
  <si>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</si>
  <si>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</si>
  <si>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</si>
  <si>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</si>
  <si>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</si>
  <si>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</si>
  <si>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</si>
  <si>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</si>
  <si>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</si>
  <si>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</si>
  <si>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</si>
  <si>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</si>
  <si>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</si>
  <si>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</si>
  <si>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</si>
  <si>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</si>
  <si>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</si>
  <si>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</si>
  <si>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</si>
  <si>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</si>
  <si>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</si>
  <si>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</si>
  <si>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</si>
  <si>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</si>
  <si>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</si>
  <si>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</si>
  <si>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</si>
  <si>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</si>
  <si>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</si>
  <si>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</si>
  <si>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</si>
  <si>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</si>
  <si>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</si>
  <si>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</si>
  <si>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</si>
  <si>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</si>
  <si>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</si>
  <si>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</si>
  <si>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</si>
  <si>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</si>
  <si>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</si>
  <si>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</si>
  <si>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</si>
  <si>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</si>
  <si>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</si>
  <si>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</si>
  <si>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</si>
  <si>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</si>
  <si>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</si>
  <si>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</si>
  <si>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</si>
  <si>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</si>
  <si>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</si>
  <si>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</si>
  <si>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</si>
  <si>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</si>
  <si>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</si>
  <si>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</si>
  <si>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</si>
  <si>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</si>
  <si>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</si>
  <si>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</si>
  <si>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</si>
  <si>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</si>
  <si>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</si>
  <si>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</si>
  <si>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</si>
  <si>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</si>
  <si>
    <t>2019-06-18@1.xlsm</t>
  </si>
  <si>
    <t>2019-06-29@1.xlsm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</si>
</sst>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全体!$K$2:$K$710</c:f>
              <c:numCache>
                <c:formatCode>General</c:formatCode>
                <c:ptCount val="7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</c:numCache>
            </c:numRef>
          </c:xVal>
          <c:yVal>
            <c:numRef>
              <c:f>全体!$L$2:$L$710</c:f>
              <c:numCache>
                <c:formatCode>\+0.0;\-0.0;\±0</c:formatCode>
                <c:ptCount val="70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  <c:pt idx="670">
                  <c:v>10.599999999999993</c:v>
                </c:pt>
                <c:pt idx="671">
                  <c:v>-44.800000000000004</c:v>
                </c:pt>
                <c:pt idx="672">
                  <c:v>-1.0000000000000071</c:v>
                </c:pt>
                <c:pt idx="673">
                  <c:v>-2.0000000000000071</c:v>
                </c:pt>
                <c:pt idx="674">
                  <c:v>-60.000000000000007</c:v>
                </c:pt>
                <c:pt idx="675">
                  <c:v>-1.0000000000000071</c:v>
                </c:pt>
                <c:pt idx="676">
                  <c:v>-2.3000000000000069</c:v>
                </c:pt>
                <c:pt idx="677">
                  <c:v>33.699999999999996</c:v>
                </c:pt>
                <c:pt idx="678">
                  <c:v>-1.0000000000000071</c:v>
                </c:pt>
                <c:pt idx="679">
                  <c:v>-8.4000000000000075</c:v>
                </c:pt>
                <c:pt idx="680">
                  <c:v>-72.100000000000009</c:v>
                </c:pt>
                <c:pt idx="681">
                  <c:v>-1.0000000000000142</c:v>
                </c:pt>
                <c:pt idx="682">
                  <c:v>75.999999999999986</c:v>
                </c:pt>
                <c:pt idx="683">
                  <c:v>-6.0000000000000142</c:v>
                </c:pt>
                <c:pt idx="684">
                  <c:v>-1.0000000000000142</c:v>
                </c:pt>
                <c:pt idx="685">
                  <c:v>48.699999999999989</c:v>
                </c:pt>
                <c:pt idx="686">
                  <c:v>37.79999999999999</c:v>
                </c:pt>
                <c:pt idx="687">
                  <c:v>-1.0000000000000071</c:v>
                </c:pt>
                <c:pt idx="688">
                  <c:v>91.6</c:v>
                </c:pt>
                <c:pt idx="689">
                  <c:v>61.3</c:v>
                </c:pt>
                <c:pt idx="690">
                  <c:v>-1</c:v>
                </c:pt>
                <c:pt idx="691">
                  <c:v>-29.4</c:v>
                </c:pt>
                <c:pt idx="692">
                  <c:v>56.000000000000007</c:v>
                </c:pt>
                <c:pt idx="693">
                  <c:v>-0.99999999999999289</c:v>
                </c:pt>
                <c:pt idx="694">
                  <c:v>-48.699999999999996</c:v>
                </c:pt>
                <c:pt idx="695">
                  <c:v>-70.3</c:v>
                </c:pt>
                <c:pt idx="696">
                  <c:v>-1</c:v>
                </c:pt>
                <c:pt idx="697">
                  <c:v>-62.7</c:v>
                </c:pt>
                <c:pt idx="698">
                  <c:v>-92.300000000000011</c:v>
                </c:pt>
                <c:pt idx="699">
                  <c:v>-1.0000000000000142</c:v>
                </c:pt>
                <c:pt idx="700">
                  <c:v>40.599999999999987</c:v>
                </c:pt>
                <c:pt idx="701">
                  <c:v>7.6999999999999886</c:v>
                </c:pt>
                <c:pt idx="702">
                  <c:v>-1.0000000000000107</c:v>
                </c:pt>
                <c:pt idx="703">
                  <c:v>-56.900000000000006</c:v>
                </c:pt>
                <c:pt idx="704">
                  <c:v>-43.2</c:v>
                </c:pt>
                <c:pt idx="705">
                  <c:v>-1</c:v>
                </c:pt>
                <c:pt idx="706">
                  <c:v>61.5</c:v>
                </c:pt>
                <c:pt idx="707">
                  <c:v>4</c:v>
                </c:pt>
                <c:pt idx="708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-17.021276595744681</c:v>
                </c:pt>
                <c:pt idx="1">
                  <c:v>-5.7971014492753623</c:v>
                </c:pt>
                <c:pt idx="2">
                  <c:v>10.852713178294573</c:v>
                </c:pt>
                <c:pt idx="3">
                  <c:v>6.8376068376068373</c:v>
                </c:pt>
                <c:pt idx="4">
                  <c:v>-13.333333333333334</c:v>
                </c:pt>
                <c:pt idx="5">
                  <c:v>23.655913978494624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だいち!$L$2:$L$161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  <c:pt idx="151">
                  <c:v>1788.5000000000007</c:v>
                </c:pt>
                <c:pt idx="152">
                  <c:v>1847.5000000000007</c:v>
                </c:pt>
                <c:pt idx="153">
                  <c:v>1812.8000000000006</c:v>
                </c:pt>
                <c:pt idx="154">
                  <c:v>1805.4000000000005</c:v>
                </c:pt>
                <c:pt idx="155">
                  <c:v>1855.1000000000006</c:v>
                </c:pt>
                <c:pt idx="156">
                  <c:v>1940.5000000000007</c:v>
                </c:pt>
                <c:pt idx="157">
                  <c:v>2009.8000000000006</c:v>
                </c:pt>
                <c:pt idx="158">
                  <c:v>2052.0000000000005</c:v>
                </c:pt>
                <c:pt idx="159">
                  <c:v>2047.0000000000005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2231.0126582278481</c:v>
                </c:pt>
                <c:pt idx="1">
                  <c:v>2022.7272727272727</c:v>
                </c:pt>
                <c:pt idx="2">
                  <c:v>834.93150684931504</c:v>
                </c:pt>
                <c:pt idx="3">
                  <c:v>2317.2932330827066</c:v>
                </c:pt>
                <c:pt idx="4">
                  <c:v>157.62711864406779</c:v>
                </c:pt>
                <c:pt idx="5">
                  <c:v>1184.313725490196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りくと!$L$2:$L$131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-401.4</c:v>
                </c:pt>
                <c:pt idx="129">
                  <c:v>-338.9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105.42635658914729</c:v>
                </c:pt>
                <c:pt idx="1">
                  <c:v>-2139.1999999999998</c:v>
                </c:pt>
                <c:pt idx="2">
                  <c:v>526.44628099173553</c:v>
                </c:pt>
                <c:pt idx="3">
                  <c:v>88.679245283018872</c:v>
                </c:pt>
                <c:pt idx="4">
                  <c:v>206.38297872340425</c:v>
                </c:pt>
                <c:pt idx="5">
                  <c:v>79.310344827586206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ただ!$L$2:$L$95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-3084.9462365591398</c:v>
                </c:pt>
                <c:pt idx="1">
                  <c:v>-1496.7032967032967</c:v>
                </c:pt>
                <c:pt idx="2">
                  <c:v>-307.05882352941177</c:v>
                </c:pt>
                <c:pt idx="3">
                  <c:v>-4301.333333333333</c:v>
                </c:pt>
                <c:pt idx="4">
                  <c:v>-467.64705882352939</c:v>
                </c:pt>
                <c:pt idx="5">
                  <c:v>-1285.2459016393443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れんたろう!$L$2:$L$93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21.10000000000003</c:v>
                </c:pt>
                <c:pt idx="91">
                  <c:v>-9.1999999999999709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-665.93406593406598</c:v>
                </c:pt>
                <c:pt idx="1">
                  <c:v>202.24719101123594</c:v>
                </c:pt>
                <c:pt idx="2">
                  <c:v>1231.7073170731708</c:v>
                </c:pt>
                <c:pt idx="3">
                  <c:v>838.02816901408448</c:v>
                </c:pt>
                <c:pt idx="4">
                  <c:v>-550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たかの!$L$2:$L$84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-176.40000000000003</c:v>
                </c:pt>
                <c:pt idx="82">
                  <c:v>-134.80000000000004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418.29268292682929</c:v>
                </c:pt>
                <c:pt idx="1">
                  <c:v>-1045.1219512195121</c:v>
                </c:pt>
                <c:pt idx="2">
                  <c:v>-1467.1232876712329</c:v>
                </c:pt>
                <c:pt idx="3">
                  <c:v>798.55072463768113</c:v>
                </c:pt>
                <c:pt idx="4">
                  <c:v>-76.92307692307692</c:v>
                </c:pt>
                <c:pt idx="5">
                  <c:v>-133.92857142857142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-2731.9148936170213</c:v>
                </c:pt>
                <c:pt idx="1">
                  <c:v>2059.5744680851062</c:v>
                </c:pt>
                <c:pt idx="2">
                  <c:v>-1050</c:v>
                </c:pt>
                <c:pt idx="3">
                  <c:v>-3870.731707317073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まっつん!$L$2:$L$73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  <c:pt idx="66">
                  <c:v>328.6</c:v>
                </c:pt>
                <c:pt idx="67">
                  <c:v>307</c:v>
                </c:pt>
                <c:pt idx="68">
                  <c:v>277.39999999999998</c:v>
                </c:pt>
                <c:pt idx="69">
                  <c:v>244.49999999999997</c:v>
                </c:pt>
                <c:pt idx="70">
                  <c:v>258.2</c:v>
                </c:pt>
                <c:pt idx="71">
                  <c:v>200.7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1040</c:v>
                </c:pt>
                <c:pt idx="1">
                  <c:v>774.62686567164178</c:v>
                </c:pt>
                <c:pt idx="2">
                  <c:v>-508.33333333333331</c:v>
                </c:pt>
                <c:pt idx="3">
                  <c:v>2035.0877192982457</c:v>
                </c:pt>
                <c:pt idx="4">
                  <c:v>-1613.7254901960785</c:v>
                </c:pt>
                <c:pt idx="5">
                  <c:v>71.428571428571431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  <c:pt idx="17">
                  <c:v>-204.5</c:v>
                </c:pt>
                <c:pt idx="18">
                  <c:v>-127.5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  <c:pt idx="11">
                  <c:v>109.39999999999999</c:v>
                </c:pt>
                <c:pt idx="12">
                  <c:v>100.69999999999999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-181.81818181818181</c:v>
                </c:pt>
                <c:pt idx="1">
                  <c:v>1881.8181818181818</c:v>
                </c:pt>
                <c:pt idx="2">
                  <c:v>-4481.818181818182</c:v>
                </c:pt>
                <c:pt idx="3">
                  <c:v>-818.18181818181813</c:v>
                </c:pt>
                <c:pt idx="4">
                  <c:v>11366.666666666666</c:v>
                </c:pt>
                <c:pt idx="5">
                  <c:v>-250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  <c:pt idx="11">
                  <c:v>109.39999999999999</c:v>
                </c:pt>
                <c:pt idx="12">
                  <c:v>100.69999999999999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ほたに2!$C$3:$C$15</c:f>
              <c:numCache>
                <c:formatCode>\+0.0;\-0.0;\±0</c:formatCode>
                <c:ptCount val="13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  <c:pt idx="6">
                  <c:v>-2.7166666666666672</c:v>
                </c:pt>
                <c:pt idx="7">
                  <c:v>-3.6142857142857148</c:v>
                </c:pt>
                <c:pt idx="8">
                  <c:v>1.1999999999999993</c:v>
                </c:pt>
                <c:pt idx="9">
                  <c:v>2.0111111111111106</c:v>
                </c:pt>
                <c:pt idx="10">
                  <c:v>1.8099999999999994</c:v>
                </c:pt>
                <c:pt idx="11">
                  <c:v>9.9454545454545453</c:v>
                </c:pt>
                <c:pt idx="12">
                  <c:v>8.3916666666666657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124293785310734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1.7272727272727273</c:v>
                </c:pt>
                <c:pt idx="12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762711864406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158192090395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92090395480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ほたに2!$G$3:$G$15</c:f>
              <c:numCache>
                <c:formatCode>0.0%</c:formatCode>
                <c:ptCount val="13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  <c:pt idx="6">
                  <c:v>0.26229508196721313</c:v>
                </c:pt>
                <c:pt idx="7">
                  <c:v>0.30434782608695654</c:v>
                </c:pt>
                <c:pt idx="8">
                  <c:v>0.33766233766233766</c:v>
                </c:pt>
                <c:pt idx="9">
                  <c:v>0.3411764705882353</c:v>
                </c:pt>
                <c:pt idx="10">
                  <c:v>0.3411764705882353</c:v>
                </c:pt>
                <c:pt idx="11">
                  <c:v>0.38297872340425532</c:v>
                </c:pt>
                <c:pt idx="12">
                  <c:v>0.38613861386138615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290598290598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ほたに2!$H$3:$H$15</c:f>
              <c:numCache>
                <c:formatCode>0.0%</c:formatCode>
                <c:ptCount val="13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  <c:pt idx="6">
                  <c:v>0.18032786885245902</c:v>
                </c:pt>
                <c:pt idx="7">
                  <c:v>0.17391304347826086</c:v>
                </c:pt>
                <c:pt idx="8">
                  <c:v>0.16883116883116883</c:v>
                </c:pt>
                <c:pt idx="9">
                  <c:v>0.16470588235294117</c:v>
                </c:pt>
                <c:pt idx="10">
                  <c:v>0.16470588235294117</c:v>
                </c:pt>
                <c:pt idx="11">
                  <c:v>0.1702127659574468</c:v>
                </c:pt>
                <c:pt idx="12">
                  <c:v>0.17821782178217821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63247863247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ほたに2!$I$3:$I$15</c:f>
              <c:numCache>
                <c:formatCode>0</c:formatCode>
                <c:ptCount val="13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  <c:pt idx="6">
                  <c:v>8043.75</c:v>
                </c:pt>
                <c:pt idx="7">
                  <c:v>7438.0952380952385</c:v>
                </c:pt>
                <c:pt idx="8">
                  <c:v>6973.0769230769229</c:v>
                </c:pt>
                <c:pt idx="9">
                  <c:v>6765.5172413793107</c:v>
                </c:pt>
                <c:pt idx="10">
                  <c:v>6765.5172413793107</c:v>
                </c:pt>
                <c:pt idx="11">
                  <c:v>7680.5555555555557</c:v>
                </c:pt>
                <c:pt idx="12">
                  <c:v>7551.2820512820517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23.83954154727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ほたに2!$J$3:$J$15</c:f>
              <c:numCache>
                <c:formatCode>0</c:formatCode>
                <c:ptCount val="13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  <c:pt idx="6">
                  <c:v>-6563.636363636364</c:v>
                </c:pt>
                <c:pt idx="7">
                  <c:v>-6683.333333333333</c:v>
                </c:pt>
                <c:pt idx="8">
                  <c:v>-6569.2307692307695</c:v>
                </c:pt>
                <c:pt idx="9">
                  <c:v>-6378.5714285714284</c:v>
                </c:pt>
                <c:pt idx="10">
                  <c:v>-6378.5714285714284</c:v>
                </c:pt>
                <c:pt idx="11">
                  <c:v>-6831.25</c:v>
                </c:pt>
                <c:pt idx="12">
                  <c:v>-7388.8888888888887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34.0122199592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28813559322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28813559322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ほたに2!$M$3:$M$15</c:f>
              <c:numCache>
                <c:formatCode>0.0%</c:formatCode>
                <c:ptCount val="13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  <c:pt idx="6">
                  <c:v>0.24590163934426229</c:v>
                </c:pt>
                <c:pt idx="7">
                  <c:v>0.24637681159420291</c:v>
                </c:pt>
                <c:pt idx="8">
                  <c:v>0.23376623376623376</c:v>
                </c:pt>
                <c:pt idx="9">
                  <c:v>0.23529411764705882</c:v>
                </c:pt>
                <c:pt idx="10">
                  <c:v>0.23529411764705882</c:v>
                </c:pt>
                <c:pt idx="11">
                  <c:v>0.24468085106382978</c:v>
                </c:pt>
                <c:pt idx="12">
                  <c:v>0.22772277227722773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80341880341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ほたに2!$N$3:$N$15</c:f>
              <c:numCache>
                <c:formatCode>0.0%</c:formatCode>
                <c:ptCount val="13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  <c:pt idx="6">
                  <c:v>0.24590163934426229</c:v>
                </c:pt>
                <c:pt idx="7">
                  <c:v>0.27536231884057971</c:v>
                </c:pt>
                <c:pt idx="8">
                  <c:v>0.31168831168831168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0.31914893617021278</c:v>
                </c:pt>
                <c:pt idx="12">
                  <c:v>0.34653465346534651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52136752136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  <c:pt idx="6">
                  <c:v>0.66666666666666663</c:v>
                </c:pt>
                <c:pt idx="7">
                  <c:v>0.70588235294117652</c:v>
                </c:pt>
                <c:pt idx="8">
                  <c:v>0.72222222222222221</c:v>
                </c:pt>
                <c:pt idx="9">
                  <c:v>0.7</c:v>
                </c:pt>
                <c:pt idx="10">
                  <c:v>0.7</c:v>
                </c:pt>
                <c:pt idx="11">
                  <c:v>0.69565217391304346</c:v>
                </c:pt>
                <c:pt idx="12">
                  <c:v>0.69565217391304346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572041692213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0.42105263157894735</c:v>
                </c:pt>
                <c:pt idx="8">
                  <c:v>0.5</c:v>
                </c:pt>
                <c:pt idx="9">
                  <c:v>0.48</c:v>
                </c:pt>
                <c:pt idx="10">
                  <c:v>0.48</c:v>
                </c:pt>
                <c:pt idx="11">
                  <c:v>0.53333333333333333</c:v>
                </c:pt>
                <c:pt idx="12">
                  <c:v>0.51428571428571423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91598023064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ほたに2!$Q$3:$Q$15</c:f>
              <c:numCache>
                <c:formatCode>0.0%</c:formatCode>
                <c:ptCount val="13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  <c:pt idx="6">
                  <c:v>0.5625</c:v>
                </c:pt>
                <c:pt idx="7">
                  <c:v>0.5714285714285714</c:v>
                </c:pt>
                <c:pt idx="8">
                  <c:v>0.57692307692307687</c:v>
                </c:pt>
                <c:pt idx="9">
                  <c:v>0.58620689655172409</c:v>
                </c:pt>
                <c:pt idx="10">
                  <c:v>0.58620689655172409</c:v>
                </c:pt>
                <c:pt idx="11">
                  <c:v>0.63888888888888884</c:v>
                </c:pt>
                <c:pt idx="12">
                  <c:v>0.61538461538461542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9455587392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1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43596.837326388886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43600.996724537035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43600.996724537035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43600.996724537035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43600.996724537035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43602.951064814813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43602.951064814813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43606.954548611109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43606.954548611109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43608.947511574072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43606.954548611109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43606.985821759263</v>
      </c>
      <c r="C44" s="30" t="s">
        <v>130</v>
      </c>
    </row>
    <row r="45" spans="1:11" x14ac:dyDescent="0.4">
      <c r="A45" s="30" t="s">
        <v>230</v>
      </c>
      <c r="B45" s="31">
        <v>43606.954548611109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43608.947511574072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43608.947511574072</v>
      </c>
      <c r="C47" s="30" t="s">
        <v>130</v>
      </c>
    </row>
    <row r="48" spans="1:11" x14ac:dyDescent="0.4">
      <c r="A48" s="30" t="s">
        <v>235</v>
      </c>
      <c r="B48" s="31">
        <v>43608.972986111112</v>
      </c>
      <c r="C48" s="30" t="s">
        <v>130</v>
      </c>
    </row>
    <row r="49" spans="1:7" x14ac:dyDescent="0.4">
      <c r="A49" s="30" t="s">
        <v>234</v>
      </c>
      <c r="B49" s="31">
        <v>43634.974826388891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43634.974826388891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43634.974826388891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43634.974826388891</v>
      </c>
      <c r="C52" s="30" t="s">
        <v>130</v>
      </c>
    </row>
    <row r="53" spans="1:7" x14ac:dyDescent="0.4">
      <c r="A53" s="30" t="s">
        <v>239</v>
      </c>
      <c r="B53" s="31">
        <v>43634.974826388891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43634.974826388891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43634.974826388891</v>
      </c>
      <c r="C55" s="30" t="s">
        <v>130</v>
      </c>
    </row>
    <row r="56" spans="1:7" x14ac:dyDescent="0.4">
      <c r="A56" s="30" t="s">
        <v>242</v>
      </c>
      <c r="B56" s="31">
        <v>43634.974826388891</v>
      </c>
      <c r="C56" s="30" t="s">
        <v>130</v>
      </c>
    </row>
    <row r="57" spans="1:7" x14ac:dyDescent="0.4">
      <c r="A57" s="30" t="s">
        <v>243</v>
      </c>
      <c r="B57" s="31">
        <v>43634.974826388891</v>
      </c>
      <c r="C57" s="30" t="s">
        <v>130</v>
      </c>
    </row>
    <row r="58" spans="1:7" x14ac:dyDescent="0.4">
      <c r="A58" s="30" t="s">
        <v>244</v>
      </c>
      <c r="B58" s="31">
        <v>43634.974826388891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43634.974826388891</v>
      </c>
      <c r="C59" s="30" t="s">
        <v>130</v>
      </c>
    </row>
    <row r="60" spans="1:7" x14ac:dyDescent="0.4">
      <c r="A60" s="30" t="s">
        <v>250</v>
      </c>
      <c r="B60" s="31">
        <v>43634.974826388891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43634.974826388891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43634.974826388891</v>
      </c>
      <c r="C62" s="30" t="s">
        <v>130</v>
      </c>
    </row>
    <row r="63" spans="1:7" x14ac:dyDescent="0.4">
      <c r="A63" s="30" t="s">
        <v>253</v>
      </c>
      <c r="B63" s="31">
        <v>43634.974826388891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43634.97483796296</v>
      </c>
      <c r="C64" s="30" t="s">
        <v>130</v>
      </c>
      <c r="D64" s="30" t="s">
        <v>131</v>
      </c>
      <c r="E64" s="30" t="s">
        <v>169</v>
      </c>
    </row>
    <row r="65" spans="1:6" x14ac:dyDescent="0.4">
      <c r="A65" s="30" t="s">
        <v>255</v>
      </c>
      <c r="B65" s="31">
        <v>43634.97483796296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43634.97483796296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43634.97483796296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43634.97483796296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43635.026469907411</v>
      </c>
      <c r="C69" s="30" t="s">
        <v>130</v>
      </c>
      <c r="D69" s="30" t="s">
        <v>131</v>
      </c>
      <c r="E69" s="30" t="s">
        <v>169</v>
      </c>
    </row>
    <row r="70" spans="1:6" x14ac:dyDescent="0.4">
      <c r="A70" s="30" t="s">
        <v>260</v>
      </c>
      <c r="B70" s="31">
        <v>43635.022164351853</v>
      </c>
      <c r="C70" s="30" t="s">
        <v>130</v>
      </c>
    </row>
    <row r="71" spans="1:6" x14ac:dyDescent="0.4">
      <c r="A71" s="30" t="s">
        <v>261</v>
      </c>
      <c r="B71" s="31">
        <v>43646.046157407407</v>
      </c>
      <c r="C71" s="30" t="s">
        <v>130</v>
      </c>
      <c r="D71" s="30" t="s">
        <v>131</v>
      </c>
      <c r="E71" s="30" t="s">
        <v>169</v>
      </c>
      <c r="F71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708</v>
      </c>
    </row>
    <row r="2" spans="1:2" x14ac:dyDescent="0.4">
      <c r="A2" t="s">
        <v>127</v>
      </c>
      <c r="B2">
        <v>159</v>
      </c>
    </row>
    <row r="3" spans="1:2" x14ac:dyDescent="0.4">
      <c r="A3" t="s">
        <v>128</v>
      </c>
      <c r="B3">
        <v>129</v>
      </c>
    </row>
    <row r="4" spans="1:2" x14ac:dyDescent="0.4">
      <c r="A4" t="s">
        <v>129</v>
      </c>
      <c r="B4">
        <v>93</v>
      </c>
    </row>
    <row r="5" spans="1:2" x14ac:dyDescent="0.4">
      <c r="A5" t="s">
        <v>171</v>
      </c>
      <c r="B5">
        <v>91</v>
      </c>
    </row>
    <row r="6" spans="1:2" x14ac:dyDescent="0.4">
      <c r="A6" t="s">
        <v>172</v>
      </c>
      <c r="B6">
        <v>82</v>
      </c>
    </row>
    <row r="7" spans="1:2" x14ac:dyDescent="0.4">
      <c r="A7" t="s">
        <v>173</v>
      </c>
      <c r="B7">
        <v>47</v>
      </c>
    </row>
    <row r="8" spans="1:2" x14ac:dyDescent="0.4">
      <c r="A8" t="s">
        <v>177</v>
      </c>
      <c r="B8">
        <v>71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12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0.969573654857664</v>
      </c>
      <c r="G2" s="163"/>
      <c r="H2" s="162">
        <v>0.69436738173031853</v>
      </c>
      <c r="I2" s="163"/>
      <c r="J2" s="162">
        <v>0.87517192447765324</v>
      </c>
      <c r="K2" s="163"/>
      <c r="L2" s="162">
        <v>0.77514063434456348</v>
      </c>
      <c r="M2" s="163"/>
      <c r="N2" s="162">
        <v>0.51563250225553303</v>
      </c>
      <c r="O2" s="163"/>
      <c r="P2" s="162">
        <v>0.17051489419020935</v>
      </c>
      <c r="Q2" s="163"/>
      <c r="R2" s="162">
        <v>0.61415542973818238</v>
      </c>
      <c r="S2" s="163"/>
      <c r="T2" s="162">
        <v>0.686943148994275</v>
      </c>
      <c r="U2" s="163"/>
      <c r="V2" s="162">
        <v>0.60584742773893052</v>
      </c>
      <c r="W2" s="163"/>
      <c r="X2" s="162">
        <v>0.2827745691581911</v>
      </c>
      <c r="Y2" s="163"/>
      <c r="Z2" s="162">
        <v>0.36060961341287096</v>
      </c>
      <c r="AA2" s="163"/>
      <c r="AB2" s="162">
        <v>0.46325827117402429</v>
      </c>
      <c r="AC2" s="163"/>
      <c r="AD2" s="162">
        <v>0.79640085573467234</v>
      </c>
      <c r="AE2" s="163"/>
      <c r="AF2" s="162">
        <v>0.15132431717549152</v>
      </c>
      <c r="AG2" s="163"/>
      <c r="AH2" s="162">
        <v>0.74662501386583957</v>
      </c>
      <c r="AI2" s="163"/>
    </row>
    <row r="3" spans="1:35" x14ac:dyDescent="0.4">
      <c r="A3" s="74">
        <v>1</v>
      </c>
      <c r="B3" s="75" t="s">
        <v>127</v>
      </c>
      <c r="C3" s="76">
        <v>2047.0000000000005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0.38613861386138615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0.18238993710691823</v>
      </c>
      <c r="X3" s="77" t="s">
        <v>127</v>
      </c>
      <c r="Y3" s="80">
        <v>0.31104199066874028</v>
      </c>
      <c r="Z3" s="77" t="s">
        <v>200</v>
      </c>
      <c r="AA3" s="80">
        <v>0.34653465346534651</v>
      </c>
      <c r="AB3" s="77" t="s">
        <v>223</v>
      </c>
      <c r="AC3" s="80">
        <v>1</v>
      </c>
      <c r="AD3" s="77" t="s">
        <v>127</v>
      </c>
      <c r="AE3" s="80">
        <v>0.51798561151079137</v>
      </c>
      <c r="AF3" s="77" t="s">
        <v>200</v>
      </c>
      <c r="AG3" s="80">
        <v>0.61538461538461542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200.7</v>
      </c>
      <c r="D4" s="85" t="s">
        <v>222</v>
      </c>
      <c r="E4" s="97">
        <v>13.3</v>
      </c>
      <c r="F4" s="85" t="s">
        <v>127</v>
      </c>
      <c r="G4" s="86">
        <v>1.7358490566037736</v>
      </c>
      <c r="H4" s="85" t="s">
        <v>127</v>
      </c>
      <c r="I4" s="87">
        <v>0.49056603773584906</v>
      </c>
      <c r="J4" s="85" t="s">
        <v>222</v>
      </c>
      <c r="K4" s="87">
        <v>0</v>
      </c>
      <c r="L4" s="85" t="s">
        <v>127</v>
      </c>
      <c r="M4" s="88">
        <v>0.3452566096423017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-7388.8888888888887</v>
      </c>
      <c r="T4" s="85" t="s">
        <v>183</v>
      </c>
      <c r="U4" s="87">
        <v>0</v>
      </c>
      <c r="V4" s="85" t="s">
        <v>171</v>
      </c>
      <c r="W4" s="87">
        <v>0.13186813186813187</v>
      </c>
      <c r="X4" s="85" t="s">
        <v>128</v>
      </c>
      <c r="Y4" s="88">
        <v>0.30263157894736842</v>
      </c>
      <c r="Z4" s="85" t="s">
        <v>172</v>
      </c>
      <c r="AA4" s="88">
        <v>0.28879310344827586</v>
      </c>
      <c r="AB4" s="85" t="s">
        <v>200</v>
      </c>
      <c r="AC4" s="88">
        <v>0.69565217391304346</v>
      </c>
      <c r="AD4" s="85" t="s">
        <v>200</v>
      </c>
      <c r="AE4" s="88">
        <v>0.51428571428571423</v>
      </c>
      <c r="AF4" s="85" t="s">
        <v>223</v>
      </c>
      <c r="AG4" s="88">
        <v>0.6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100.69999999999999</v>
      </c>
      <c r="D5" s="85" t="s">
        <v>127</v>
      </c>
      <c r="E5" s="97">
        <v>12.87421383647799</v>
      </c>
      <c r="F5" s="85" t="s">
        <v>200</v>
      </c>
      <c r="G5" s="86">
        <v>1.75</v>
      </c>
      <c r="H5" s="85" t="s">
        <v>184</v>
      </c>
      <c r="I5" s="87">
        <v>0.3888888888888889</v>
      </c>
      <c r="J5" s="85" t="s">
        <v>200</v>
      </c>
      <c r="K5" s="87">
        <v>8.3333333333333329E-2</v>
      </c>
      <c r="L5" s="85" t="s">
        <v>172</v>
      </c>
      <c r="M5" s="88">
        <v>0.34051724137931033</v>
      </c>
      <c r="N5" s="85" t="s">
        <v>172</v>
      </c>
      <c r="O5" s="88">
        <v>0.13936781609195403</v>
      </c>
      <c r="P5" s="85" t="s">
        <v>171</v>
      </c>
      <c r="Q5" s="89">
        <v>9848.3720930232557</v>
      </c>
      <c r="R5" s="85" t="s">
        <v>177</v>
      </c>
      <c r="S5" s="89">
        <v>-7490.588235294118</v>
      </c>
      <c r="T5" s="85" t="s">
        <v>222</v>
      </c>
      <c r="U5" s="87">
        <v>0</v>
      </c>
      <c r="V5" s="85" t="s">
        <v>177</v>
      </c>
      <c r="W5" s="87">
        <v>0.12676056338028169</v>
      </c>
      <c r="X5" s="85" t="s">
        <v>177</v>
      </c>
      <c r="Y5" s="88">
        <v>0.29484902309058614</v>
      </c>
      <c r="Z5" s="85" t="s">
        <v>173</v>
      </c>
      <c r="AA5" s="88">
        <v>0.25185185185185183</v>
      </c>
      <c r="AB5" s="85" t="s">
        <v>184</v>
      </c>
      <c r="AC5" s="88">
        <v>0.63888888888888884</v>
      </c>
      <c r="AD5" s="85" t="s">
        <v>183</v>
      </c>
      <c r="AE5" s="88">
        <v>0.5</v>
      </c>
      <c r="AF5" s="85" t="s">
        <v>173</v>
      </c>
      <c r="AG5" s="88">
        <v>0.51282051282051277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200</v>
      </c>
      <c r="E6" s="97">
        <v>8.3916666666666657</v>
      </c>
      <c r="F6" s="85" t="s">
        <v>177</v>
      </c>
      <c r="G6" s="86">
        <v>1.9014084507042253</v>
      </c>
      <c r="H6" s="85" t="s">
        <v>177</v>
      </c>
      <c r="I6" s="87">
        <v>0.38028169014084506</v>
      </c>
      <c r="J6" s="85" t="s">
        <v>127</v>
      </c>
      <c r="K6" s="87">
        <v>0.22641509433962265</v>
      </c>
      <c r="L6" s="85" t="s">
        <v>145</v>
      </c>
      <c r="M6" s="88">
        <v>0.29829059829059829</v>
      </c>
      <c r="N6" s="85" t="s">
        <v>177</v>
      </c>
      <c r="O6" s="88">
        <v>0.15097690941385436</v>
      </c>
      <c r="P6" s="85" t="s">
        <v>128</v>
      </c>
      <c r="Q6" s="89">
        <v>9373.6111111111113</v>
      </c>
      <c r="R6" s="85" t="s">
        <v>128</v>
      </c>
      <c r="S6" s="89">
        <v>-7797.802197802198</v>
      </c>
      <c r="T6" s="85" t="s">
        <v>223</v>
      </c>
      <c r="U6" s="87">
        <v>0</v>
      </c>
      <c r="V6" s="85" t="s">
        <v>145</v>
      </c>
      <c r="W6" s="87">
        <v>0.1228813559322034</v>
      </c>
      <c r="X6" s="85" t="s">
        <v>171</v>
      </c>
      <c r="Y6" s="88">
        <v>0.29040735873850199</v>
      </c>
      <c r="Z6" s="85" t="s">
        <v>223</v>
      </c>
      <c r="AA6" s="88">
        <v>0.23529411764705882</v>
      </c>
      <c r="AB6" s="85" t="s">
        <v>177</v>
      </c>
      <c r="AC6" s="88">
        <v>0.62048192771084343</v>
      </c>
      <c r="AD6" s="85" t="s">
        <v>172</v>
      </c>
      <c r="AE6" s="88">
        <v>0.42786069651741293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177</v>
      </c>
      <c r="E7" s="97">
        <v>2.8267605633802817</v>
      </c>
      <c r="F7" s="85" t="s">
        <v>145</v>
      </c>
      <c r="G7" s="86">
        <v>1.9957627118644068</v>
      </c>
      <c r="H7" s="85" t="s">
        <v>145</v>
      </c>
      <c r="I7" s="87">
        <v>0.33615819209039549</v>
      </c>
      <c r="J7" s="85" t="s">
        <v>177</v>
      </c>
      <c r="K7" s="87">
        <v>0.28169014084507044</v>
      </c>
      <c r="L7" s="85" t="s">
        <v>223</v>
      </c>
      <c r="M7" s="88">
        <v>0.29411764705882354</v>
      </c>
      <c r="N7" s="85" t="s">
        <v>127</v>
      </c>
      <c r="O7" s="88">
        <v>0.15552099533437014</v>
      </c>
      <c r="P7" s="85" t="s">
        <v>127</v>
      </c>
      <c r="Q7" s="89">
        <v>9251.3513513513517</v>
      </c>
      <c r="R7" s="85" t="s">
        <v>127</v>
      </c>
      <c r="S7" s="89">
        <v>-8255</v>
      </c>
      <c r="T7" s="85" t="s">
        <v>172</v>
      </c>
      <c r="U7" s="87">
        <v>6.097560975609756E-2</v>
      </c>
      <c r="V7" s="85" t="s">
        <v>172</v>
      </c>
      <c r="W7" s="87">
        <v>0.10975609756097561</v>
      </c>
      <c r="X7" s="85" t="s">
        <v>145</v>
      </c>
      <c r="Y7" s="88">
        <v>0.2788034188034188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184</v>
      </c>
      <c r="AE7" s="88">
        <v>0.42424242424242425</v>
      </c>
      <c r="AF7" s="85" t="s">
        <v>184</v>
      </c>
      <c r="AG7" s="88">
        <v>0.47619047619047616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145</v>
      </c>
      <c r="C8" s="84">
        <v>-1</v>
      </c>
      <c r="D8" s="85" t="s">
        <v>145</v>
      </c>
      <c r="E8" s="97">
        <v>-1.4124293785310734E-3</v>
      </c>
      <c r="F8" s="85" t="s">
        <v>222</v>
      </c>
      <c r="G8" s="86">
        <v>2</v>
      </c>
      <c r="H8" s="85" t="s">
        <v>200</v>
      </c>
      <c r="I8" s="87">
        <v>0.33333333333333331</v>
      </c>
      <c r="J8" s="85" t="s">
        <v>172</v>
      </c>
      <c r="K8" s="87">
        <v>0.31707317073170732</v>
      </c>
      <c r="L8" s="85" t="s">
        <v>177</v>
      </c>
      <c r="M8" s="88">
        <v>0.28952042628774421</v>
      </c>
      <c r="N8" s="85" t="s">
        <v>145</v>
      </c>
      <c r="O8" s="88">
        <v>0.16786324786324786</v>
      </c>
      <c r="P8" s="85" t="s">
        <v>177</v>
      </c>
      <c r="Q8" s="89">
        <v>8904.9079754601225</v>
      </c>
      <c r="R8" s="85" t="s">
        <v>173</v>
      </c>
      <c r="S8" s="89">
        <v>-8290.9090909090901</v>
      </c>
      <c r="T8" s="85" t="s">
        <v>127</v>
      </c>
      <c r="U8" s="87">
        <v>9.4339622641509441E-2</v>
      </c>
      <c r="V8" s="85" t="s">
        <v>129</v>
      </c>
      <c r="W8" s="87">
        <v>0.10752688172043011</v>
      </c>
      <c r="X8" s="85" t="s">
        <v>129</v>
      </c>
      <c r="Y8" s="88">
        <v>0.2763496143958869</v>
      </c>
      <c r="Z8" s="85" t="s">
        <v>127</v>
      </c>
      <c r="AA8" s="88">
        <v>0.21617418351477449</v>
      </c>
      <c r="AB8" s="85" t="s">
        <v>173</v>
      </c>
      <c r="AC8" s="88">
        <v>0.5842696629213483</v>
      </c>
      <c r="AD8" s="85" t="s">
        <v>171</v>
      </c>
      <c r="AE8" s="88">
        <v>0.40972222222222221</v>
      </c>
      <c r="AF8" s="85" t="s">
        <v>177</v>
      </c>
      <c r="AG8" s="88">
        <v>0.43558282208588955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171</v>
      </c>
      <c r="C9" s="84">
        <v>-9.1999999999999709</v>
      </c>
      <c r="D9" s="85" t="s">
        <v>171</v>
      </c>
      <c r="E9" s="97">
        <v>-0.10109890109890078</v>
      </c>
      <c r="F9" s="85" t="s">
        <v>171</v>
      </c>
      <c r="G9" s="86">
        <v>2.0439560439560438</v>
      </c>
      <c r="H9" s="85" t="s">
        <v>171</v>
      </c>
      <c r="I9" s="87">
        <v>0.2967032967032967</v>
      </c>
      <c r="J9" s="85" t="s">
        <v>145</v>
      </c>
      <c r="K9" s="87">
        <v>0.33192090395480228</v>
      </c>
      <c r="L9" s="85" t="s">
        <v>173</v>
      </c>
      <c r="M9" s="88">
        <v>0.28888888888888886</v>
      </c>
      <c r="N9" s="85" t="s">
        <v>128</v>
      </c>
      <c r="O9" s="88">
        <v>0.17105263157894737</v>
      </c>
      <c r="P9" s="85" t="s">
        <v>129</v>
      </c>
      <c r="Q9" s="89">
        <v>8755.3191489361707</v>
      </c>
      <c r="R9" s="85" t="s">
        <v>145</v>
      </c>
      <c r="S9" s="89">
        <v>-8334.0122199592661</v>
      </c>
      <c r="T9" s="85" t="s">
        <v>171</v>
      </c>
      <c r="U9" s="87">
        <v>9.8901098901098897E-2</v>
      </c>
      <c r="V9" s="85" t="s">
        <v>128</v>
      </c>
      <c r="W9" s="87">
        <v>0.10077519379844961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0.58385093167701863</v>
      </c>
      <c r="AD9" s="85" t="s">
        <v>145</v>
      </c>
      <c r="AE9" s="88">
        <v>0.3929159802306425</v>
      </c>
      <c r="AF9" s="85" t="s">
        <v>145</v>
      </c>
      <c r="AG9" s="88">
        <v>0.430945558739255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-1.6439024390243908</v>
      </c>
      <c r="F10" s="85" t="s">
        <v>172</v>
      </c>
      <c r="G10" s="86">
        <v>2.0487804878048781</v>
      </c>
      <c r="H10" s="85" t="s">
        <v>173</v>
      </c>
      <c r="I10" s="87">
        <v>0.27659574468085107</v>
      </c>
      <c r="J10" s="85" t="s">
        <v>171</v>
      </c>
      <c r="K10" s="87">
        <v>0.34065934065934067</v>
      </c>
      <c r="L10" s="85" t="s">
        <v>184</v>
      </c>
      <c r="M10" s="88">
        <v>0.2857142857142857</v>
      </c>
      <c r="N10" s="85" t="s">
        <v>171</v>
      </c>
      <c r="O10" s="88">
        <v>0.1773981603153745</v>
      </c>
      <c r="P10" s="85" t="s">
        <v>145</v>
      </c>
      <c r="Q10" s="89">
        <v>8723.8395415472787</v>
      </c>
      <c r="R10" s="85" t="s">
        <v>184</v>
      </c>
      <c r="S10" s="89">
        <v>-8376.4705882352937</v>
      </c>
      <c r="T10" s="85" t="s">
        <v>145</v>
      </c>
      <c r="U10" s="87">
        <v>0.1228813559322034</v>
      </c>
      <c r="V10" s="85" t="s">
        <v>200</v>
      </c>
      <c r="W10" s="87">
        <v>8.3333333333333329E-2</v>
      </c>
      <c r="X10" s="85" t="s">
        <v>184</v>
      </c>
      <c r="Y10" s="88">
        <v>0.24489795918367346</v>
      </c>
      <c r="Z10" s="85" t="s">
        <v>145</v>
      </c>
      <c r="AA10" s="88">
        <v>0.20752136752136752</v>
      </c>
      <c r="AB10" s="85" t="s">
        <v>127</v>
      </c>
      <c r="AC10" s="88">
        <v>0.57750000000000001</v>
      </c>
      <c r="AD10" s="85" t="s">
        <v>177</v>
      </c>
      <c r="AE10" s="88">
        <v>0.34</v>
      </c>
      <c r="AF10" s="85" t="s">
        <v>129</v>
      </c>
      <c r="AG10" s="88">
        <v>0.42553191489361702</v>
      </c>
      <c r="AH10" s="85" t="s">
        <v>184</v>
      </c>
      <c r="AI10" s="92">
        <v>92000</v>
      </c>
    </row>
    <row r="11" spans="1:35" x14ac:dyDescent="0.4">
      <c r="A11" s="82">
        <v>9</v>
      </c>
      <c r="B11" s="83" t="s">
        <v>184</v>
      </c>
      <c r="C11" s="84">
        <v>-127.5</v>
      </c>
      <c r="D11" s="85" t="s">
        <v>128</v>
      </c>
      <c r="E11" s="97">
        <v>-2.6271317829457361</v>
      </c>
      <c r="F11" s="85" t="s">
        <v>128</v>
      </c>
      <c r="G11" s="86">
        <v>2.0852713178294575</v>
      </c>
      <c r="H11" s="85" t="s">
        <v>128</v>
      </c>
      <c r="I11" s="87">
        <v>0.27131782945736432</v>
      </c>
      <c r="J11" s="85" t="s">
        <v>128</v>
      </c>
      <c r="K11" s="87">
        <v>0.35658914728682173</v>
      </c>
      <c r="L11" s="85" t="s">
        <v>171</v>
      </c>
      <c r="M11" s="88">
        <v>0.28252299605781866</v>
      </c>
      <c r="N11" s="85" t="s">
        <v>200</v>
      </c>
      <c r="O11" s="88">
        <v>0.17821782178217821</v>
      </c>
      <c r="P11" s="85" t="s">
        <v>184</v>
      </c>
      <c r="Q11" s="89">
        <v>8642.8571428571431</v>
      </c>
      <c r="R11" s="85" t="s">
        <v>171</v>
      </c>
      <c r="S11" s="89">
        <v>-8548.1481481481478</v>
      </c>
      <c r="T11" s="85" t="s">
        <v>128</v>
      </c>
      <c r="U11" s="87">
        <v>0.13953488372093023</v>
      </c>
      <c r="V11" s="85" t="s">
        <v>173</v>
      </c>
      <c r="W11" s="87">
        <v>6.3829787234042548E-2</v>
      </c>
      <c r="X11" s="85" t="s">
        <v>222</v>
      </c>
      <c r="Y11" s="88">
        <v>0.23076923076923078</v>
      </c>
      <c r="Z11" s="85" t="s">
        <v>171</v>
      </c>
      <c r="AA11" s="88">
        <v>0.18922470433639949</v>
      </c>
      <c r="AB11" s="85" t="s">
        <v>145</v>
      </c>
      <c r="AC11" s="88">
        <v>0.57572041692213372</v>
      </c>
      <c r="AD11" s="85" t="s">
        <v>173</v>
      </c>
      <c r="AE11" s="88">
        <v>0.3235294117647059</v>
      </c>
      <c r="AF11" s="85" t="s">
        <v>128</v>
      </c>
      <c r="AG11" s="88">
        <v>0.4236111111111111</v>
      </c>
      <c r="AH11" s="85" t="s">
        <v>171</v>
      </c>
      <c r="AI11" s="92">
        <v>91700</v>
      </c>
    </row>
    <row r="12" spans="1:35" x14ac:dyDescent="0.4">
      <c r="A12" s="82">
        <v>10</v>
      </c>
      <c r="B12" s="83" t="s">
        <v>172</v>
      </c>
      <c r="C12" s="84">
        <v>-134.80000000000004</v>
      </c>
      <c r="D12" s="85" t="s">
        <v>184</v>
      </c>
      <c r="E12" s="97">
        <v>-7.083333333333333</v>
      </c>
      <c r="F12" s="85" t="s">
        <v>184</v>
      </c>
      <c r="G12" s="86">
        <v>2.1111111111111112</v>
      </c>
      <c r="H12" s="85" t="s">
        <v>172</v>
      </c>
      <c r="I12" s="87">
        <v>0.26829268292682928</v>
      </c>
      <c r="J12" s="85" t="s">
        <v>173</v>
      </c>
      <c r="K12" s="87">
        <v>0.40425531914893614</v>
      </c>
      <c r="L12" s="85" t="s">
        <v>128</v>
      </c>
      <c r="M12" s="88">
        <v>0.27067669172932329</v>
      </c>
      <c r="N12" s="85" t="s">
        <v>129</v>
      </c>
      <c r="O12" s="88">
        <v>0.18894601542416453</v>
      </c>
      <c r="P12" s="85" t="s">
        <v>183</v>
      </c>
      <c r="Q12" s="89">
        <v>7860</v>
      </c>
      <c r="R12" s="85" t="s">
        <v>172</v>
      </c>
      <c r="S12" s="89">
        <v>-8630.9278350515469</v>
      </c>
      <c r="T12" s="85" t="s">
        <v>173</v>
      </c>
      <c r="U12" s="87">
        <v>0.14893617021276595</v>
      </c>
      <c r="V12" s="85" t="s">
        <v>184</v>
      </c>
      <c r="W12" s="87">
        <v>5.5555555555555552E-2</v>
      </c>
      <c r="X12" s="85" t="s">
        <v>200</v>
      </c>
      <c r="Y12" s="88">
        <v>0.22772277227722773</v>
      </c>
      <c r="Z12" s="85" t="s">
        <v>177</v>
      </c>
      <c r="AA12" s="88">
        <v>0.17761989342806395</v>
      </c>
      <c r="AB12" s="85" t="s">
        <v>171</v>
      </c>
      <c r="AC12" s="88">
        <v>0.56561085972850678</v>
      </c>
      <c r="AD12" s="85" t="s">
        <v>128</v>
      </c>
      <c r="AE12" s="88">
        <v>0.29255319148936171</v>
      </c>
      <c r="AF12" s="85" t="s">
        <v>127</v>
      </c>
      <c r="AG12" s="88">
        <v>0.4144144144144144</v>
      </c>
      <c r="AH12" s="85" t="s">
        <v>173</v>
      </c>
      <c r="AI12" s="92">
        <v>85900</v>
      </c>
    </row>
    <row r="13" spans="1:35" x14ac:dyDescent="0.4">
      <c r="A13" s="82">
        <v>11</v>
      </c>
      <c r="B13" s="83" t="s">
        <v>128</v>
      </c>
      <c r="C13" s="84">
        <v>-338.9</v>
      </c>
      <c r="D13" s="85" t="s">
        <v>173</v>
      </c>
      <c r="E13" s="97">
        <v>-9.3553191489361698</v>
      </c>
      <c r="F13" s="85" t="s">
        <v>173</v>
      </c>
      <c r="G13" s="86">
        <v>2.1276595744680851</v>
      </c>
      <c r="H13" s="85" t="s">
        <v>129</v>
      </c>
      <c r="I13" s="87">
        <v>0.24731182795698925</v>
      </c>
      <c r="J13" s="85" t="s">
        <v>129</v>
      </c>
      <c r="K13" s="87">
        <v>0.4946236559139785</v>
      </c>
      <c r="L13" s="85" t="s">
        <v>183</v>
      </c>
      <c r="M13" s="88">
        <v>0.26315789473684209</v>
      </c>
      <c r="N13" s="85" t="s">
        <v>173</v>
      </c>
      <c r="O13" s="88">
        <v>0.19012345679012346</v>
      </c>
      <c r="P13" s="85" t="s">
        <v>200</v>
      </c>
      <c r="Q13" s="89">
        <v>7551.2820512820517</v>
      </c>
      <c r="R13" s="85" t="s">
        <v>129</v>
      </c>
      <c r="S13" s="89">
        <v>-9236.0544217687075</v>
      </c>
      <c r="T13" s="85" t="s">
        <v>177</v>
      </c>
      <c r="U13" s="87">
        <v>0.15492957746478872</v>
      </c>
      <c r="V13" s="85" t="s">
        <v>183</v>
      </c>
      <c r="W13" s="87">
        <v>0</v>
      </c>
      <c r="X13" s="85" t="s">
        <v>173</v>
      </c>
      <c r="Y13" s="88">
        <v>0.21975308641975308</v>
      </c>
      <c r="Z13" s="85" t="s">
        <v>128</v>
      </c>
      <c r="AA13" s="88">
        <v>0.17669172932330826</v>
      </c>
      <c r="AB13" s="85" t="s">
        <v>172</v>
      </c>
      <c r="AC13" s="88">
        <v>0.55405405405405406</v>
      </c>
      <c r="AD13" s="85" t="s">
        <v>129</v>
      </c>
      <c r="AE13" s="88">
        <v>0.25</v>
      </c>
      <c r="AF13" s="85" t="s">
        <v>171</v>
      </c>
      <c r="AG13" s="88">
        <v>0.413953488372093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-439.7</v>
      </c>
      <c r="D14" s="85" t="s">
        <v>223</v>
      </c>
      <c r="E14" s="97">
        <v>-12.35</v>
      </c>
      <c r="F14" s="85" t="s">
        <v>129</v>
      </c>
      <c r="G14" s="86">
        <v>2.247311827956989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0.2416452442159383</v>
      </c>
      <c r="N14" s="85" t="s">
        <v>184</v>
      </c>
      <c r="O14" s="88">
        <v>0.23129251700680273</v>
      </c>
      <c r="P14" s="85" t="s">
        <v>173</v>
      </c>
      <c r="Q14" s="89">
        <v>6904.2735042735039</v>
      </c>
      <c r="R14" s="85" t="s">
        <v>222</v>
      </c>
      <c r="S14" s="89">
        <v>-12000</v>
      </c>
      <c r="T14" s="85" t="s">
        <v>129</v>
      </c>
      <c r="U14" s="87">
        <v>0.19354838709677419</v>
      </c>
      <c r="V14" s="85" t="s">
        <v>222</v>
      </c>
      <c r="W14" s="87">
        <v>0</v>
      </c>
      <c r="X14" s="85" t="s">
        <v>172</v>
      </c>
      <c r="Y14" s="88">
        <v>0.21264367816091953</v>
      </c>
      <c r="Z14" s="85" t="s">
        <v>129</v>
      </c>
      <c r="AA14" s="88">
        <v>0.15938303341902313</v>
      </c>
      <c r="AB14" s="85" t="s">
        <v>129</v>
      </c>
      <c r="AC14" s="88">
        <v>0.52093023255813953</v>
      </c>
      <c r="AD14" s="85" t="s">
        <v>223</v>
      </c>
      <c r="AE14" s="88">
        <v>0.25</v>
      </c>
      <c r="AF14" s="85" t="s">
        <v>172</v>
      </c>
      <c r="AG14" s="88">
        <v>0.40928270042194093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-1348.9</v>
      </c>
      <c r="D15" s="85" t="s">
        <v>129</v>
      </c>
      <c r="E15" s="97">
        <v>-14.504301075268819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6817.7215189873414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71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708</v>
      </c>
      <c r="C2" s="151"/>
      <c r="E2" s="62" t="s">
        <v>67</v>
      </c>
      <c r="F2" s="59" t="s">
        <v>23</v>
      </c>
      <c r="G2" s="46">
        <v>1277</v>
      </c>
      <c r="H2" s="132">
        <f>IF(B$17=0,0,G2/B$17)</f>
        <v>0.73180515759312326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-17.021276595744681</v>
      </c>
      <c r="P2" s="118">
        <v>705</v>
      </c>
      <c r="Q2" s="102">
        <v>-12000</v>
      </c>
    </row>
    <row r="3" spans="1:17" x14ac:dyDescent="0.4">
      <c r="A3" s="55" t="s">
        <v>8</v>
      </c>
      <c r="B3" s="152">
        <v>5850</v>
      </c>
      <c r="C3" s="153"/>
      <c r="E3" s="63" t="s">
        <v>65</v>
      </c>
      <c r="F3" s="60" t="s">
        <v>21</v>
      </c>
      <c r="G3" s="47">
        <v>898</v>
      </c>
      <c r="H3" s="133">
        <f>IF(B$17=0,0,G3/B$17)</f>
        <v>0.51461318051575933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-5.7971014492753623</v>
      </c>
      <c r="P3" s="119">
        <v>690</v>
      </c>
      <c r="Q3" s="103">
        <v>-4000</v>
      </c>
    </row>
    <row r="4" spans="1:17" x14ac:dyDescent="0.4">
      <c r="A4" s="55" t="s">
        <v>6</v>
      </c>
      <c r="B4" s="154">
        <v>-1</v>
      </c>
      <c r="C4" s="155"/>
      <c r="E4" s="63" t="s">
        <v>73</v>
      </c>
      <c r="F4" s="60" t="s">
        <v>28</v>
      </c>
      <c r="G4" s="47">
        <v>885</v>
      </c>
      <c r="H4" s="133">
        <f>IF(B$17=0,0,G4/B$17)</f>
        <v>0.50716332378223494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10.852713178294573</v>
      </c>
      <c r="P4" s="119">
        <v>645</v>
      </c>
      <c r="Q4" s="103">
        <v>7000</v>
      </c>
    </row>
    <row r="5" spans="1:17" x14ac:dyDescent="0.4">
      <c r="A5" s="55" t="s">
        <v>7</v>
      </c>
      <c r="B5" s="156">
        <f>IF(B$2=0,0,B$4/B$2)</f>
        <v>-1.4124293785310734E-3</v>
      </c>
      <c r="C5" s="157"/>
      <c r="E5" s="63" t="s">
        <v>245</v>
      </c>
      <c r="F5" s="60" t="s">
        <v>246</v>
      </c>
      <c r="G5" s="47">
        <v>716</v>
      </c>
      <c r="H5" s="133">
        <f>IF(B$17=0,0,G5/B$17)</f>
        <v>0.41031518624641833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6.8376068376068373</v>
      </c>
      <c r="P5" s="119">
        <v>585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1.9957627118644068</v>
      </c>
      <c r="C6" s="147"/>
      <c r="E6" s="63" t="s">
        <v>69</v>
      </c>
      <c r="F6" s="60" t="s">
        <v>12</v>
      </c>
      <c r="G6" s="47">
        <v>543</v>
      </c>
      <c r="H6" s="133">
        <f>IF(B$17=0,0,G6/B$17)</f>
        <v>0.31117478510028651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-13.333333333333334</v>
      </c>
      <c r="P6" s="119">
        <v>525</v>
      </c>
      <c r="Q6" s="103">
        <v>-7000</v>
      </c>
    </row>
    <row r="7" spans="1:17" x14ac:dyDescent="0.4">
      <c r="A7" s="55" t="s">
        <v>2</v>
      </c>
      <c r="B7" s="47">
        <v>238</v>
      </c>
      <c r="C7" s="39">
        <f>IF(B$2=0,0,B7/B$2)</f>
        <v>0.33615819209039549</v>
      </c>
      <c r="E7" s="63" t="s">
        <v>68</v>
      </c>
      <c r="F7" s="60" t="s">
        <v>24</v>
      </c>
      <c r="G7" s="47">
        <v>538</v>
      </c>
      <c r="H7" s="133">
        <f>IF(B$17=0,0,G7/B$17)</f>
        <v>0.30830945558739253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23.655913978494624</v>
      </c>
      <c r="P7" s="120">
        <v>465</v>
      </c>
      <c r="Q7" s="104">
        <v>11000</v>
      </c>
    </row>
    <row r="8" spans="1:17" x14ac:dyDescent="0.4">
      <c r="A8" s="55" t="s">
        <v>3</v>
      </c>
      <c r="B8" s="47">
        <v>235</v>
      </c>
      <c r="C8" s="39">
        <f>IF(B$2=0,0,B8/B$2)</f>
        <v>0.33192090395480228</v>
      </c>
      <c r="E8" s="63" t="s">
        <v>70</v>
      </c>
      <c r="F8" s="60" t="s">
        <v>25</v>
      </c>
      <c r="G8" s="47">
        <v>308</v>
      </c>
      <c r="H8" s="133">
        <f>IF(B$17=0,0,G8/B$17)</f>
        <v>0.17650429799426934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235</v>
      </c>
      <c r="C9" s="40">
        <f t="shared" ref="C9" si="1">IF(B$2=0,0,B9/B$2)</f>
        <v>0.33192090395480228</v>
      </c>
      <c r="E9" s="63" t="s">
        <v>90</v>
      </c>
      <c r="F9" s="60" t="s">
        <v>45</v>
      </c>
      <c r="G9" s="47">
        <v>220</v>
      </c>
      <c r="H9" s="133">
        <f>IF(B$17=0,0,G9/B$17)</f>
        <v>0.12607449856733524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87</v>
      </c>
      <c r="C10" s="40">
        <f>IF(B$2=0,0,B10/B$2)</f>
        <v>0.1228813559322034</v>
      </c>
      <c r="E10" s="63" t="s">
        <v>66</v>
      </c>
      <c r="F10" s="60" t="s">
        <v>22</v>
      </c>
      <c r="G10" s="47">
        <v>204</v>
      </c>
      <c r="H10" s="133">
        <f>IF(B$17=0,0,G10/B$17)</f>
        <v>0.1169054441260745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-1.9389830508474568</v>
      </c>
      <c r="P10" s="118">
        <v>236</v>
      </c>
      <c r="Q10" s="106">
        <v>-457.5999999999998</v>
      </c>
    </row>
    <row r="11" spans="1:17" x14ac:dyDescent="0.4">
      <c r="A11" s="56" t="s">
        <v>140</v>
      </c>
      <c r="B11" s="48">
        <v>87</v>
      </c>
      <c r="C11" s="40">
        <f>IF(B$2=0,0,B11/B$2)</f>
        <v>0.1228813559322034</v>
      </c>
      <c r="E11" s="63" t="s">
        <v>71</v>
      </c>
      <c r="F11" s="60" t="s">
        <v>26</v>
      </c>
      <c r="G11" s="47">
        <v>175</v>
      </c>
      <c r="H11" s="133">
        <f>IF(B$17=0,0,G11/B$17)</f>
        <v>0.10028653295128939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1.2389830508474577</v>
      </c>
      <c r="P11" s="119">
        <v>236</v>
      </c>
      <c r="Q11" s="107">
        <v>292.40000000000003</v>
      </c>
    </row>
    <row r="12" spans="1:17" x14ac:dyDescent="0.4">
      <c r="A12" s="57" t="s">
        <v>160</v>
      </c>
      <c r="B12" s="49">
        <v>61</v>
      </c>
      <c r="C12" s="42">
        <f>IF(B$2=0,0,B12/B$2)</f>
        <v>8.6158192090395477E-2</v>
      </c>
      <c r="E12" s="63" t="s">
        <v>72</v>
      </c>
      <c r="F12" s="60" t="s">
        <v>27</v>
      </c>
      <c r="G12" s="47">
        <v>122</v>
      </c>
      <c r="H12" s="133">
        <f>IF(B$17=0,0,G12/B$17)</f>
        <v>6.9914040114613177E-2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0.69576271186440652</v>
      </c>
      <c r="P12" s="120">
        <v>236</v>
      </c>
      <c r="Q12" s="108">
        <v>164.19999999999993</v>
      </c>
    </row>
    <row r="13" spans="1:17" x14ac:dyDescent="0.4">
      <c r="A13" s="58" t="s">
        <v>122</v>
      </c>
      <c r="B13" s="50">
        <v>1631</v>
      </c>
      <c r="C13" s="44">
        <f>IF(B$3=0,0,B13/B$3)</f>
        <v>0.2788034188034188</v>
      </c>
      <c r="E13" s="63" t="s">
        <v>87</v>
      </c>
      <c r="F13" s="60" t="s">
        <v>42</v>
      </c>
      <c r="G13" s="47">
        <v>101</v>
      </c>
      <c r="H13" s="133">
        <f>IF(B$17=0,0,G13/B$17)</f>
        <v>5.7879656160458454E-2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1214</v>
      </c>
      <c r="C14" s="39">
        <f>IF(B$3=0,0,B14/B$3)</f>
        <v>0.20752136752136752</v>
      </c>
      <c r="E14" s="63" t="s">
        <v>84</v>
      </c>
      <c r="F14" s="60" t="s">
        <v>39</v>
      </c>
      <c r="G14" s="47">
        <v>86</v>
      </c>
      <c r="H14" s="133">
        <f>IF(B$17=0,0,G14/B$17)</f>
        <v>4.9283667621776502E-2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939</v>
      </c>
      <c r="C15" s="37">
        <f>IF(B$13=0,0,B15/B$13)</f>
        <v>0.57572041692213372</v>
      </c>
      <c r="E15" s="63" t="s">
        <v>79</v>
      </c>
      <c r="F15" s="60" t="s">
        <v>34</v>
      </c>
      <c r="G15" s="47">
        <v>48</v>
      </c>
      <c r="H15" s="133">
        <f>IF(B$17=0,0,G15/B$17)</f>
        <v>2.7507163323782235E-2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21.751075268817232</v>
      </c>
      <c r="P15" s="118">
        <v>186</v>
      </c>
      <c r="Q15" s="106">
        <v>4045.7000000000048</v>
      </c>
    </row>
    <row r="16" spans="1:17" x14ac:dyDescent="0.4">
      <c r="A16" s="54" t="s">
        <v>125</v>
      </c>
      <c r="B16" s="46">
        <v>477</v>
      </c>
      <c r="C16" s="37">
        <f>IF(B$14=0,0,B16/B$14)</f>
        <v>0.3929159802306425</v>
      </c>
      <c r="E16" s="63" t="s">
        <v>82</v>
      </c>
      <c r="F16" s="60" t="s">
        <v>37</v>
      </c>
      <c r="G16" s="47">
        <v>47</v>
      </c>
      <c r="H16" s="133">
        <f>IF(B$17=0,0,G16/B$17)</f>
        <v>2.6934097421203437E-2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1745</v>
      </c>
      <c r="C17" s="37">
        <f>IF(B$3=0,0,B17/B$3)</f>
        <v>0.29829059829059829</v>
      </c>
      <c r="E17" s="63" t="s">
        <v>92</v>
      </c>
      <c r="F17" s="60" t="s">
        <v>47</v>
      </c>
      <c r="G17" s="47">
        <v>35</v>
      </c>
      <c r="H17" s="133">
        <f>IF(B$17=0,0,G17/B$17)</f>
        <v>2.0057306590257881E-2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14.032978723404252</v>
      </c>
      <c r="P17" s="119">
        <v>94</v>
      </c>
      <c r="Q17" s="107">
        <v>1319.0999999999997</v>
      </c>
    </row>
    <row r="18" spans="1:17" x14ac:dyDescent="0.4">
      <c r="A18" s="55" t="s">
        <v>12</v>
      </c>
      <c r="B18" s="47">
        <v>752</v>
      </c>
      <c r="C18" s="39">
        <f>IF(B$17=0,0,B18/B$17)</f>
        <v>0.430945558739255</v>
      </c>
      <c r="E18" s="63" t="s">
        <v>80</v>
      </c>
      <c r="F18" s="60" t="s">
        <v>35</v>
      </c>
      <c r="G18" s="47">
        <v>27</v>
      </c>
      <c r="H18" s="133">
        <f>IF(B$17=0,0,G18/B$17)</f>
        <v>1.5472779369627506E-2</v>
      </c>
      <c r="I18" s="94">
        <v>6</v>
      </c>
      <c r="K18" s="38">
        <v>16</v>
      </c>
      <c r="L18" s="99">
        <v>90.899999999999991</v>
      </c>
      <c r="N18" s="115" t="s">
        <v>184</v>
      </c>
      <c r="O18" s="125">
        <f>IF(P18=0,0,Q18/P18)</f>
        <v>10.597222222222221</v>
      </c>
      <c r="P18" s="119">
        <v>36</v>
      </c>
      <c r="Q18" s="107">
        <v>381.5</v>
      </c>
    </row>
    <row r="19" spans="1:17" x14ac:dyDescent="0.4">
      <c r="A19" s="55" t="s">
        <v>11</v>
      </c>
      <c r="B19" s="47">
        <v>993</v>
      </c>
      <c r="C19" s="39">
        <f>IF(B$17=0,0,B19/B$17)</f>
        <v>0.569054441260745</v>
      </c>
      <c r="E19" s="63" t="s">
        <v>180</v>
      </c>
      <c r="F19" s="60" t="s">
        <v>181</v>
      </c>
      <c r="G19" s="47">
        <v>26</v>
      </c>
      <c r="H19" s="133">
        <f>IF(B$17=0,0,G19/B$17)</f>
        <v>1.4899713467048711E-2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3.9406976744186055</v>
      </c>
      <c r="P19" s="119">
        <v>258</v>
      </c>
      <c r="Q19" s="107">
        <v>1016.7000000000003</v>
      </c>
    </row>
    <row r="20" spans="1:17" x14ac:dyDescent="0.4">
      <c r="A20" s="55" t="s">
        <v>13</v>
      </c>
      <c r="B20" s="47">
        <v>982</v>
      </c>
      <c r="C20" s="39">
        <f>IF(B$3=0,0,B20/B$3)</f>
        <v>0.16786324786324786</v>
      </c>
      <c r="E20" s="63" t="s">
        <v>74</v>
      </c>
      <c r="F20" s="60" t="s">
        <v>29</v>
      </c>
      <c r="G20" s="47">
        <v>11</v>
      </c>
      <c r="H20" s="133">
        <f>IF(B$17=0,0,G20/B$17)</f>
        <v>6.3037249283667621E-3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2.4658536585365849</v>
      </c>
      <c r="P20" s="119">
        <v>164</v>
      </c>
      <c r="Q20" s="107">
        <v>404.39999999999992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10</v>
      </c>
      <c r="H21" s="133">
        <f>IF(B$17=0,0,G21/B$17)</f>
        <v>5.7306590257879654E-3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0.15164835164835422</v>
      </c>
      <c r="P21" s="119">
        <v>182</v>
      </c>
      <c r="Q21" s="107">
        <v>27.600000000000467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75</v>
      </c>
      <c r="F22" s="60" t="s">
        <v>30</v>
      </c>
      <c r="G22" s="47">
        <v>9</v>
      </c>
      <c r="H22" s="133">
        <f>IF(B$17=0,0,G22/B$17)</f>
        <v>5.1575931232091688E-3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-4.2401408450704237</v>
      </c>
      <c r="P22" s="119">
        <v>142</v>
      </c>
      <c r="Q22" s="107">
        <v>-602.10000000000014</v>
      </c>
    </row>
    <row r="23" spans="1:17" x14ac:dyDescent="0.4">
      <c r="A23" s="55" t="s">
        <v>5</v>
      </c>
      <c r="B23" s="51">
        <f>IF(B$17=0,0,C23/B$17)</f>
        <v>8723.8395415472787</v>
      </c>
      <c r="C23" s="41">
        <v>15223100</v>
      </c>
      <c r="E23" s="63" t="s">
        <v>93</v>
      </c>
      <c r="F23" s="60" t="s">
        <v>48</v>
      </c>
      <c r="G23" s="47">
        <v>8</v>
      </c>
      <c r="H23" s="133">
        <f>IF(B$17=0,0,G23/B$17)</f>
        <v>4.5845272206303722E-3</v>
      </c>
      <c r="I23" s="94">
        <v>5</v>
      </c>
      <c r="K23" s="38">
        <v>21</v>
      </c>
      <c r="L23" s="99">
        <v>-2.886579864025407E-15</v>
      </c>
      <c r="N23" s="115" t="s">
        <v>200</v>
      </c>
      <c r="O23" s="125">
        <f>IF(P23=0,0,Q23/P23)</f>
        <v>-12.587499999999999</v>
      </c>
      <c r="P23" s="119">
        <v>24</v>
      </c>
      <c r="Q23" s="107">
        <v>-302.09999999999997</v>
      </c>
    </row>
    <row r="24" spans="1:17" x14ac:dyDescent="0.4">
      <c r="A24" s="57" t="s">
        <v>14</v>
      </c>
      <c r="B24" s="52">
        <f>IF(B$20=0,0,C24/B$20)</f>
        <v>-8334.0122199592661</v>
      </c>
      <c r="C24" s="45">
        <v>-8184000</v>
      </c>
      <c r="E24" s="63" t="s">
        <v>86</v>
      </c>
      <c r="F24" s="60" t="s">
        <v>41</v>
      </c>
      <c r="G24" s="47">
        <v>7</v>
      </c>
      <c r="H24" s="133">
        <f>IF(B$17=0,0,G24/B$17)</f>
        <v>4.0114613180515755E-3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-19.314465408805006</v>
      </c>
      <c r="P24" s="119">
        <v>318</v>
      </c>
      <c r="Q24" s="107">
        <v>-6141.9999999999918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3.4383954154727794E-3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3.4383954154727794E-3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2.3931623931623932E-3</v>
      </c>
      <c r="E27" s="63" t="s">
        <v>91</v>
      </c>
      <c r="F27" s="60" t="s">
        <v>46</v>
      </c>
      <c r="G27" s="47">
        <v>5</v>
      </c>
      <c r="H27" s="133">
        <f>IF(B$17=0,0,G27/B$17)</f>
        <v>2.8653295128939827E-3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2.2922636103151861E-3</v>
      </c>
      <c r="I28" s="94">
        <v>6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2.2922636103151861E-3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1.146131805157593E-3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1.146131805157593E-3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5.7306590257879652E-4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5.7306590257879652E-4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  <row r="672" spans="11:12" x14ac:dyDescent="0.4">
      <c r="K672" s="38">
        <v>670</v>
      </c>
      <c r="L672" s="99">
        <v>10.599999999999993</v>
      </c>
    </row>
    <row r="673" spans="11:12" x14ac:dyDescent="0.4">
      <c r="K673" s="38">
        <v>671</v>
      </c>
      <c r="L673" s="99">
        <v>-44.800000000000004</v>
      </c>
    </row>
    <row r="674" spans="11:12" x14ac:dyDescent="0.4">
      <c r="K674" s="38">
        <v>672</v>
      </c>
      <c r="L674" s="99">
        <v>-1.0000000000000071</v>
      </c>
    </row>
    <row r="675" spans="11:12" x14ac:dyDescent="0.4">
      <c r="K675" s="38">
        <v>673</v>
      </c>
      <c r="L675" s="99">
        <v>-2.0000000000000071</v>
      </c>
    </row>
    <row r="676" spans="11:12" x14ac:dyDescent="0.4">
      <c r="K676" s="38">
        <v>674</v>
      </c>
      <c r="L676" s="99">
        <v>-60.000000000000007</v>
      </c>
    </row>
    <row r="677" spans="11:12" x14ac:dyDescent="0.4">
      <c r="K677" s="38">
        <v>675</v>
      </c>
      <c r="L677" s="99">
        <v>-1.0000000000000071</v>
      </c>
    </row>
    <row r="678" spans="11:12" x14ac:dyDescent="0.4">
      <c r="K678" s="38">
        <v>676</v>
      </c>
      <c r="L678" s="99">
        <v>-2.3000000000000069</v>
      </c>
    </row>
    <row r="679" spans="11:12" x14ac:dyDescent="0.4">
      <c r="K679" s="38">
        <v>677</v>
      </c>
      <c r="L679" s="99">
        <v>33.699999999999996</v>
      </c>
    </row>
    <row r="680" spans="11:12" x14ac:dyDescent="0.4">
      <c r="K680" s="38">
        <v>678</v>
      </c>
      <c r="L680" s="99">
        <v>-1.0000000000000071</v>
      </c>
    </row>
    <row r="681" spans="11:12" x14ac:dyDescent="0.4">
      <c r="K681" s="38">
        <v>679</v>
      </c>
      <c r="L681" s="99">
        <v>-8.4000000000000075</v>
      </c>
    </row>
    <row r="682" spans="11:12" x14ac:dyDescent="0.4">
      <c r="K682" s="38">
        <v>680</v>
      </c>
      <c r="L682" s="99">
        <v>-72.100000000000009</v>
      </c>
    </row>
    <row r="683" spans="11:12" x14ac:dyDescent="0.4">
      <c r="K683" s="38">
        <v>681</v>
      </c>
      <c r="L683" s="99">
        <v>-1.0000000000000142</v>
      </c>
    </row>
    <row r="684" spans="11:12" x14ac:dyDescent="0.4">
      <c r="K684" s="38">
        <v>682</v>
      </c>
      <c r="L684" s="99">
        <v>75.999999999999986</v>
      </c>
    </row>
    <row r="685" spans="11:12" x14ac:dyDescent="0.4">
      <c r="K685" s="38">
        <v>683</v>
      </c>
      <c r="L685" s="99">
        <v>-6.0000000000000142</v>
      </c>
    </row>
    <row r="686" spans="11:12" x14ac:dyDescent="0.4">
      <c r="K686" s="38">
        <v>684</v>
      </c>
      <c r="L686" s="99">
        <v>-1.0000000000000142</v>
      </c>
    </row>
    <row r="687" spans="11:12" x14ac:dyDescent="0.4">
      <c r="K687" s="38">
        <v>685</v>
      </c>
      <c r="L687" s="99">
        <v>48.699999999999989</v>
      </c>
    </row>
    <row r="688" spans="11:12" x14ac:dyDescent="0.4">
      <c r="K688" s="38">
        <v>686</v>
      </c>
      <c r="L688" s="99">
        <v>37.79999999999999</v>
      </c>
    </row>
    <row r="689" spans="11:12" x14ac:dyDescent="0.4">
      <c r="K689" s="38">
        <v>687</v>
      </c>
      <c r="L689" s="99">
        <v>-1.0000000000000071</v>
      </c>
    </row>
    <row r="690" spans="11:12" x14ac:dyDescent="0.4">
      <c r="K690" s="38">
        <v>688</v>
      </c>
      <c r="L690" s="99">
        <v>91.6</v>
      </c>
    </row>
    <row r="691" spans="11:12" x14ac:dyDescent="0.4">
      <c r="K691" s="38">
        <v>689</v>
      </c>
      <c r="L691" s="99">
        <v>61.3</v>
      </c>
    </row>
    <row r="692" spans="11:12" x14ac:dyDescent="0.4">
      <c r="K692" s="38">
        <v>690</v>
      </c>
      <c r="L692" s="99">
        <v>-1</v>
      </c>
    </row>
    <row r="693" spans="11:12" x14ac:dyDescent="0.4">
      <c r="K693" s="38">
        <v>691</v>
      </c>
      <c r="L693" s="99">
        <v>-29.4</v>
      </c>
    </row>
    <row r="694" spans="11:12" x14ac:dyDescent="0.4">
      <c r="K694" s="38">
        <v>692</v>
      </c>
      <c r="L694" s="99">
        <v>56.000000000000007</v>
      </c>
    </row>
    <row r="695" spans="11:12" x14ac:dyDescent="0.4">
      <c r="K695" s="38">
        <v>693</v>
      </c>
      <c r="L695" s="99">
        <v>-0.99999999999999289</v>
      </c>
    </row>
    <row r="696" spans="11:12" x14ac:dyDescent="0.4">
      <c r="K696" s="38">
        <v>694</v>
      </c>
      <c r="L696" s="99">
        <v>-48.699999999999996</v>
      </c>
    </row>
    <row r="697" spans="11:12" x14ac:dyDescent="0.4">
      <c r="K697" s="38">
        <v>695</v>
      </c>
      <c r="L697" s="99">
        <v>-70.3</v>
      </c>
    </row>
    <row r="698" spans="11:12" x14ac:dyDescent="0.4">
      <c r="K698" s="38">
        <v>696</v>
      </c>
      <c r="L698" s="99">
        <v>-1</v>
      </c>
    </row>
    <row r="699" spans="11:12" x14ac:dyDescent="0.4">
      <c r="K699" s="38">
        <v>697</v>
      </c>
      <c r="L699" s="99">
        <v>-62.7</v>
      </c>
    </row>
    <row r="700" spans="11:12" x14ac:dyDescent="0.4">
      <c r="K700" s="38">
        <v>698</v>
      </c>
      <c r="L700" s="99">
        <v>-92.300000000000011</v>
      </c>
    </row>
    <row r="701" spans="11:12" x14ac:dyDescent="0.4">
      <c r="K701" s="38">
        <v>699</v>
      </c>
      <c r="L701" s="99">
        <v>-1.0000000000000142</v>
      </c>
    </row>
    <row r="702" spans="11:12" x14ac:dyDescent="0.4">
      <c r="K702" s="38">
        <v>700</v>
      </c>
      <c r="L702" s="99">
        <v>40.599999999999987</v>
      </c>
    </row>
    <row r="703" spans="11:12" x14ac:dyDescent="0.4">
      <c r="K703" s="38">
        <v>701</v>
      </c>
      <c r="L703" s="99">
        <v>7.6999999999999886</v>
      </c>
    </row>
    <row r="704" spans="11:12" x14ac:dyDescent="0.4">
      <c r="K704" s="38">
        <v>702</v>
      </c>
      <c r="L704" s="99">
        <v>-1.0000000000000107</v>
      </c>
    </row>
    <row r="705" spans="11:12" x14ac:dyDescent="0.4">
      <c r="K705" s="38">
        <v>703</v>
      </c>
      <c r="L705" s="99">
        <v>-56.900000000000006</v>
      </c>
    </row>
    <row r="706" spans="11:12" x14ac:dyDescent="0.4">
      <c r="K706" s="38">
        <v>704</v>
      </c>
      <c r="L706" s="99">
        <v>-43.2</v>
      </c>
    </row>
    <row r="707" spans="11:12" x14ac:dyDescent="0.4">
      <c r="K707" s="38">
        <v>705</v>
      </c>
      <c r="L707" s="99">
        <v>-1</v>
      </c>
    </row>
    <row r="708" spans="11:12" x14ac:dyDescent="0.4">
      <c r="K708" s="38">
        <v>706</v>
      </c>
      <c r="L708" s="99">
        <v>61.5</v>
      </c>
    </row>
    <row r="709" spans="11:12" x14ac:dyDescent="0.4">
      <c r="K709" s="38">
        <v>707</v>
      </c>
      <c r="L709" s="99">
        <v>4</v>
      </c>
    </row>
    <row r="710" spans="11:12" x14ac:dyDescent="0.4">
      <c r="K710" s="38">
        <v>708</v>
      </c>
      <c r="L710" s="99">
        <v>-1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159</v>
      </c>
      <c r="C2" s="151"/>
      <c r="E2" s="62" t="s">
        <v>67</v>
      </c>
      <c r="F2" s="59" t="s">
        <v>23</v>
      </c>
      <c r="G2" s="46">
        <v>320</v>
      </c>
      <c r="H2" s="132">
        <f>IF(B$17=0,0,G2/B$17)</f>
        <v>0.72072072072072069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2231.0126582278481</v>
      </c>
      <c r="P2" s="118">
        <v>158</v>
      </c>
      <c r="Q2" s="102">
        <v>352500</v>
      </c>
    </row>
    <row r="3" spans="1:17" x14ac:dyDescent="0.4">
      <c r="A3" s="55" t="s">
        <v>8</v>
      </c>
      <c r="B3" s="152">
        <v>1286</v>
      </c>
      <c r="C3" s="153"/>
      <c r="E3" s="63" t="s">
        <v>73</v>
      </c>
      <c r="F3" s="60" t="s">
        <v>28</v>
      </c>
      <c r="G3" s="47">
        <v>250</v>
      </c>
      <c r="H3" s="133">
        <f>IF(B$17=0,0,G3/B$17)</f>
        <v>0.56306306306306309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2022.7272727272727</v>
      </c>
      <c r="P3" s="119">
        <v>154</v>
      </c>
      <c r="Q3" s="103">
        <v>311500</v>
      </c>
    </row>
    <row r="4" spans="1:17" x14ac:dyDescent="0.4">
      <c r="A4" s="55" t="s">
        <v>6</v>
      </c>
      <c r="B4" s="154">
        <v>2047.0000000000005</v>
      </c>
      <c r="C4" s="155"/>
      <c r="E4" s="63" t="s">
        <v>65</v>
      </c>
      <c r="F4" s="60" t="s">
        <v>21</v>
      </c>
      <c r="G4" s="47">
        <v>212</v>
      </c>
      <c r="H4" s="133">
        <f>IF(B$17=0,0,G4/B$17)</f>
        <v>0.47747747747747749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834.93150684931504</v>
      </c>
      <c r="P4" s="119">
        <v>146</v>
      </c>
      <c r="Q4" s="103">
        <v>121900</v>
      </c>
    </row>
    <row r="5" spans="1:17" x14ac:dyDescent="0.4">
      <c r="A5" s="55" t="s">
        <v>7</v>
      </c>
      <c r="B5" s="156">
        <f>IF(B$2=0,0,B$4/B$2)</f>
        <v>12.87421383647799</v>
      </c>
      <c r="C5" s="157"/>
      <c r="E5" s="63" t="s">
        <v>245</v>
      </c>
      <c r="F5" s="60" t="s">
        <v>246</v>
      </c>
      <c r="G5" s="47">
        <v>187</v>
      </c>
      <c r="H5" s="133">
        <f>IF(B$17=0,0,G5/B$17)</f>
        <v>0.42117117117117114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2317.2932330827066</v>
      </c>
      <c r="P5" s="119">
        <v>133</v>
      </c>
      <c r="Q5" s="103">
        <v>308200</v>
      </c>
    </row>
    <row r="6" spans="1:17" x14ac:dyDescent="0.4">
      <c r="A6" s="55" t="s">
        <v>1</v>
      </c>
      <c r="B6" s="146">
        <f>IF(B$2=0,0,(B$7*1+B$8*2+B$9*3)/B$2)</f>
        <v>1.7358490566037736</v>
      </c>
      <c r="C6" s="147"/>
      <c r="E6" s="63" t="s">
        <v>68</v>
      </c>
      <c r="F6" s="60" t="s">
        <v>24</v>
      </c>
      <c r="G6" s="47">
        <v>126</v>
      </c>
      <c r="H6" s="133">
        <f>IF(B$17=0,0,G6/B$17)</f>
        <v>0.28378378378378377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157.62711864406779</v>
      </c>
      <c r="P6" s="119">
        <v>118</v>
      </c>
      <c r="Q6" s="103">
        <v>18600</v>
      </c>
    </row>
    <row r="7" spans="1:17" x14ac:dyDescent="0.4">
      <c r="A7" s="55" t="s">
        <v>2</v>
      </c>
      <c r="B7" s="47">
        <v>78</v>
      </c>
      <c r="C7" s="39">
        <f>IF(B$2=0,0,B7/B$2)</f>
        <v>0.49056603773584906</v>
      </c>
      <c r="E7" s="63" t="s">
        <v>69</v>
      </c>
      <c r="F7" s="60" t="s">
        <v>12</v>
      </c>
      <c r="G7" s="47">
        <v>120</v>
      </c>
      <c r="H7" s="133">
        <f>IF(B$17=0,0,G7/B$17)</f>
        <v>0.27027027027027029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1184.313725490196</v>
      </c>
      <c r="P7" s="120">
        <v>102</v>
      </c>
      <c r="Q7" s="104">
        <v>120800</v>
      </c>
    </row>
    <row r="8" spans="1:17" x14ac:dyDescent="0.4">
      <c r="A8" s="55" t="s">
        <v>3</v>
      </c>
      <c r="B8" s="47">
        <v>45</v>
      </c>
      <c r="C8" s="39">
        <f>IF(B$2=0,0,B8/B$2)</f>
        <v>0.28301886792452829</v>
      </c>
      <c r="E8" s="63" t="s">
        <v>70</v>
      </c>
      <c r="F8" s="60" t="s">
        <v>25</v>
      </c>
      <c r="G8" s="47">
        <v>71</v>
      </c>
      <c r="H8" s="133">
        <f>IF(B$17=0,0,G8/B$17)</f>
        <v>0.15990990990990991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0.22641509433962265</v>
      </c>
      <c r="E9" s="63" t="s">
        <v>90</v>
      </c>
      <c r="F9" s="60" t="s">
        <v>45</v>
      </c>
      <c r="G9" s="47">
        <v>70</v>
      </c>
      <c r="H9" s="133">
        <f>IF(B$17=0,0,G9/B$17)</f>
        <v>0.15765765765765766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9.4339622641509441E-2</v>
      </c>
      <c r="E10" s="63" t="s">
        <v>66</v>
      </c>
      <c r="F10" s="60" t="s">
        <v>22</v>
      </c>
      <c r="G10" s="47">
        <v>55</v>
      </c>
      <c r="H10" s="133">
        <f>IF(B$17=0,0,G10/B$17)</f>
        <v>0.12387387387387387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15.124000000000001</v>
      </c>
      <c r="P10" s="118">
        <v>50</v>
      </c>
      <c r="Q10" s="106">
        <v>756.2</v>
      </c>
    </row>
    <row r="11" spans="1:17" x14ac:dyDescent="0.4">
      <c r="A11" s="56" t="s">
        <v>140</v>
      </c>
      <c r="B11" s="48">
        <v>29</v>
      </c>
      <c r="C11" s="40">
        <f>IF(B$2=0,0,B11/B$2)</f>
        <v>0.18238993710691823</v>
      </c>
      <c r="E11" s="63" t="s">
        <v>71</v>
      </c>
      <c r="F11" s="60" t="s">
        <v>26</v>
      </c>
      <c r="G11" s="47">
        <v>38</v>
      </c>
      <c r="H11" s="133">
        <f>IF(B$17=0,0,G11/B$17)</f>
        <v>8.5585585585585586E-2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11.904347826086957</v>
      </c>
      <c r="P11" s="119">
        <v>46</v>
      </c>
      <c r="Q11" s="107">
        <v>547.6</v>
      </c>
    </row>
    <row r="12" spans="1:17" x14ac:dyDescent="0.4">
      <c r="A12" s="57" t="s">
        <v>160</v>
      </c>
      <c r="B12" s="49">
        <v>23</v>
      </c>
      <c r="C12" s="42">
        <f>IF(B$2=0,0,B12/B$2)</f>
        <v>0.14465408805031446</v>
      </c>
      <c r="E12" s="63" t="s">
        <v>87</v>
      </c>
      <c r="F12" s="60" t="s">
        <v>42</v>
      </c>
      <c r="G12" s="47">
        <v>34</v>
      </c>
      <c r="H12" s="133">
        <f>IF(B$17=0,0,G12/B$17)</f>
        <v>7.6576576576576572E-2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11.796825396825399</v>
      </c>
      <c r="P12" s="120">
        <v>63</v>
      </c>
      <c r="Q12" s="108">
        <v>743.20000000000016</v>
      </c>
    </row>
    <row r="13" spans="1:17" x14ac:dyDescent="0.4">
      <c r="A13" s="58" t="s">
        <v>122</v>
      </c>
      <c r="B13" s="50">
        <v>400</v>
      </c>
      <c r="C13" s="44">
        <f>IF(B$3=0,0,B13/B$3)</f>
        <v>0.31104199066874028</v>
      </c>
      <c r="E13" s="63" t="s">
        <v>72</v>
      </c>
      <c r="F13" s="60" t="s">
        <v>27</v>
      </c>
      <c r="G13" s="47">
        <v>31</v>
      </c>
      <c r="H13" s="133">
        <f>IF(B$17=0,0,G13/B$17)</f>
        <v>6.9819819819819814E-2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278</v>
      </c>
      <c r="C14" s="39">
        <f>IF(B$3=0,0,B14/B$3)</f>
        <v>0.21617418351477449</v>
      </c>
      <c r="E14" s="63" t="s">
        <v>84</v>
      </c>
      <c r="F14" s="60" t="s">
        <v>39</v>
      </c>
      <c r="G14" s="47">
        <v>25</v>
      </c>
      <c r="H14" s="133">
        <f>IF(B$17=0,0,G14/B$17)</f>
        <v>5.6306306306306307E-2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231</v>
      </c>
      <c r="C15" s="37">
        <f>IF(B$13=0,0,B15/B$13)</f>
        <v>0.57750000000000001</v>
      </c>
      <c r="E15" s="63" t="s">
        <v>180</v>
      </c>
      <c r="F15" s="60" t="s">
        <v>181</v>
      </c>
      <c r="G15" s="47">
        <v>15</v>
      </c>
      <c r="H15" s="133">
        <f>IF(B$17=0,0,G15/B$17)</f>
        <v>3.3783783783783786E-2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144</v>
      </c>
      <c r="C16" s="37">
        <f>IF(B$14=0,0,B16/B$14)</f>
        <v>0.51798561151079137</v>
      </c>
      <c r="E16" s="63" t="s">
        <v>79</v>
      </c>
      <c r="F16" s="60" t="s">
        <v>34</v>
      </c>
      <c r="G16" s="47">
        <v>12</v>
      </c>
      <c r="H16" s="133">
        <f>IF(B$17=0,0,G16/B$17)</f>
        <v>2.7027027027027029E-2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444</v>
      </c>
      <c r="C17" s="37">
        <f>IF(B$3=0,0,B17/B$3)</f>
        <v>0.3452566096423017</v>
      </c>
      <c r="E17" s="63" t="s">
        <v>82</v>
      </c>
      <c r="F17" s="60" t="s">
        <v>37</v>
      </c>
      <c r="G17" s="47">
        <v>12</v>
      </c>
      <c r="H17" s="133">
        <f>IF(B$17=0,0,G17/B$17)</f>
        <v>2.7027027027027029E-2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184</v>
      </c>
      <c r="C18" s="39">
        <f>IF(B$17=0,0,B18/B$17)</f>
        <v>0.4144144144144144</v>
      </c>
      <c r="E18" s="63" t="s">
        <v>92</v>
      </c>
      <c r="F18" s="60" t="s">
        <v>47</v>
      </c>
      <c r="G18" s="47">
        <v>11</v>
      </c>
      <c r="H18" s="133">
        <f>IF(B$17=0,0,G18/B$17)</f>
        <v>2.4774774774774775E-2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25.348888888888887</v>
      </c>
      <c r="P18" s="119">
        <v>45</v>
      </c>
      <c r="Q18" s="107">
        <v>1140.6999999999998</v>
      </c>
    </row>
    <row r="19" spans="1:17" x14ac:dyDescent="0.4">
      <c r="A19" s="55" t="s">
        <v>11</v>
      </c>
      <c r="B19" s="47">
        <v>260</v>
      </c>
      <c r="C19" s="39">
        <f>IF(B$17=0,0,B19/B$17)</f>
        <v>0.5855855855855856</v>
      </c>
      <c r="E19" s="63" t="s">
        <v>80</v>
      </c>
      <c r="F19" s="60" t="s">
        <v>35</v>
      </c>
      <c r="G19" s="47">
        <v>5</v>
      </c>
      <c r="H19" s="133">
        <f>IF(B$17=0,0,G19/B$17)</f>
        <v>1.1261261261261261E-2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24.959375000000005</v>
      </c>
      <c r="P19" s="119">
        <v>32</v>
      </c>
      <c r="Q19" s="107">
        <v>798.70000000000016</v>
      </c>
    </row>
    <row r="20" spans="1:17" x14ac:dyDescent="0.4">
      <c r="A20" s="55" t="s">
        <v>13</v>
      </c>
      <c r="B20" s="47">
        <v>200</v>
      </c>
      <c r="C20" s="39">
        <f>IF(B$3=0,0,B20/B$3)</f>
        <v>0.15552099533437014</v>
      </c>
      <c r="E20" s="63" t="s">
        <v>86</v>
      </c>
      <c r="F20" s="60" t="s">
        <v>41</v>
      </c>
      <c r="G20" s="47">
        <v>4</v>
      </c>
      <c r="H20" s="133">
        <f>IF(B$17=0,0,G20/B$17)</f>
        <v>9.0090090090090089E-3</v>
      </c>
      <c r="I20" s="94">
        <v>2</v>
      </c>
      <c r="K20" s="38">
        <v>18</v>
      </c>
      <c r="L20" s="99">
        <v>429.3</v>
      </c>
      <c r="N20" s="115" t="s">
        <v>184</v>
      </c>
      <c r="O20" s="125">
        <f>IF(P20=0,0,Q20/P20)</f>
        <v>23.074999999999992</v>
      </c>
      <c r="P20" s="119">
        <v>12</v>
      </c>
      <c r="Q20" s="107">
        <v>276.89999999999992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6.7567567567567571E-3</v>
      </c>
      <c r="I21" s="94">
        <v>5</v>
      </c>
      <c r="K21" s="38">
        <v>19</v>
      </c>
      <c r="L21" s="99">
        <v>405.40000000000003</v>
      </c>
      <c r="N21" s="115" t="s">
        <v>173</v>
      </c>
      <c r="O21" s="125">
        <f>IF(P21=0,0,Q21/P21)</f>
        <v>21.768181818181816</v>
      </c>
      <c r="P21" s="119">
        <v>22</v>
      </c>
      <c r="Q21" s="107">
        <v>478.9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93</v>
      </c>
      <c r="F22" s="60" t="s">
        <v>48</v>
      </c>
      <c r="G22" s="47">
        <v>3</v>
      </c>
      <c r="H22" s="133">
        <f>IF(B$17=0,0,G22/B$17)</f>
        <v>6.7567567567567571E-3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18.716853932584272</v>
      </c>
      <c r="P22" s="119">
        <v>89</v>
      </c>
      <c r="Q22" s="107">
        <v>1665.8000000000002</v>
      </c>
    </row>
    <row r="23" spans="1:17" x14ac:dyDescent="0.4">
      <c r="A23" s="55" t="s">
        <v>5</v>
      </c>
      <c r="B23" s="51">
        <f>IF(B$17=0,0,C23/B$17)</f>
        <v>9251.3513513513517</v>
      </c>
      <c r="C23" s="41">
        <v>4107600</v>
      </c>
      <c r="E23" s="63" t="s">
        <v>78</v>
      </c>
      <c r="F23" s="60" t="s">
        <v>33</v>
      </c>
      <c r="G23" s="47">
        <v>2</v>
      </c>
      <c r="H23" s="133">
        <f>IF(B$17=0,0,G23/B$17)</f>
        <v>4.5045045045045045E-3</v>
      </c>
      <c r="I23" s="94">
        <v>4</v>
      </c>
      <c r="K23" s="38">
        <v>21</v>
      </c>
      <c r="L23" s="99">
        <v>468.3</v>
      </c>
      <c r="N23" s="115" t="s">
        <v>171</v>
      </c>
      <c r="O23" s="125">
        <f>IF(P23=0,0,Q23/P23)</f>
        <v>1.6094339622641485</v>
      </c>
      <c r="P23" s="119">
        <v>53</v>
      </c>
      <c r="Q23" s="107">
        <v>85.299999999999869</v>
      </c>
    </row>
    <row r="24" spans="1:17" x14ac:dyDescent="0.4">
      <c r="A24" s="57" t="s">
        <v>14</v>
      </c>
      <c r="B24" s="52">
        <f>IF(B$20=0,0,C24/B$20)</f>
        <v>-8255</v>
      </c>
      <c r="C24" s="45">
        <v>-1651000</v>
      </c>
      <c r="E24" s="63" t="s">
        <v>91</v>
      </c>
      <c r="F24" s="60" t="s">
        <v>46</v>
      </c>
      <c r="G24" s="47">
        <v>2</v>
      </c>
      <c r="H24" s="133">
        <f>IF(B$17=0,0,G24/B$17)</f>
        <v>4.5045045045045045E-3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2.2522522522522522E-3</v>
      </c>
      <c r="I25" s="94">
        <v>8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2.2522522522522522E-3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7.776049766718507E-4</v>
      </c>
      <c r="E27" s="63" t="s">
        <v>88</v>
      </c>
      <c r="F27" s="60" t="s">
        <v>43</v>
      </c>
      <c r="G27" s="47">
        <v>1</v>
      </c>
      <c r="H27" s="133">
        <f>IF(B$17=0,0,G27/B$17)</f>
        <v>2.2522522522522522E-3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2.2522522522522522E-3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2.2522522522522522E-3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  <row r="153" spans="11:12" x14ac:dyDescent="0.4">
      <c r="K153" s="38">
        <v>151</v>
      </c>
      <c r="L153" s="99">
        <v>1788.5000000000007</v>
      </c>
    </row>
    <row r="154" spans="11:12" x14ac:dyDescent="0.4">
      <c r="K154" s="38">
        <v>152</v>
      </c>
      <c r="L154" s="99">
        <v>1847.5000000000007</v>
      </c>
    </row>
    <row r="155" spans="11:12" x14ac:dyDescent="0.4">
      <c r="K155" s="38">
        <v>153</v>
      </c>
      <c r="L155" s="99">
        <v>1812.8000000000006</v>
      </c>
    </row>
    <row r="156" spans="11:12" x14ac:dyDescent="0.4">
      <c r="K156" s="38">
        <v>154</v>
      </c>
      <c r="L156" s="99">
        <v>1805.4000000000005</v>
      </c>
    </row>
    <row r="157" spans="11:12" x14ac:dyDescent="0.4">
      <c r="K157" s="38">
        <v>155</v>
      </c>
      <c r="L157" s="99">
        <v>1855.1000000000006</v>
      </c>
    </row>
    <row r="158" spans="11:12" x14ac:dyDescent="0.4">
      <c r="K158" s="38">
        <v>156</v>
      </c>
      <c r="L158" s="99">
        <v>1940.5000000000007</v>
      </c>
    </row>
    <row r="159" spans="11:12" x14ac:dyDescent="0.4">
      <c r="K159" s="38">
        <v>157</v>
      </c>
      <c r="L159" s="99">
        <v>2009.8000000000006</v>
      </c>
    </row>
    <row r="160" spans="11:12" x14ac:dyDescent="0.4">
      <c r="K160" s="38">
        <v>158</v>
      </c>
      <c r="L160" s="99">
        <v>2052.0000000000005</v>
      </c>
    </row>
    <row r="161" spans="11:12" x14ac:dyDescent="0.4">
      <c r="K161" s="38">
        <v>159</v>
      </c>
      <c r="L161" s="99">
        <v>2047.0000000000005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3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129</v>
      </c>
      <c r="C2" s="151"/>
      <c r="E2" s="62" t="s">
        <v>67</v>
      </c>
      <c r="F2" s="59" t="s">
        <v>23</v>
      </c>
      <c r="G2" s="46">
        <v>224</v>
      </c>
      <c r="H2" s="132">
        <f>IF(B$17=0,0,G2/B$17)</f>
        <v>0.77777777777777779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105.42635658914729</v>
      </c>
      <c r="P2" s="118">
        <v>129</v>
      </c>
      <c r="Q2" s="102">
        <v>13600</v>
      </c>
    </row>
    <row r="3" spans="1:17" x14ac:dyDescent="0.4">
      <c r="A3" s="55" t="s">
        <v>8</v>
      </c>
      <c r="B3" s="152">
        <v>1064</v>
      </c>
      <c r="C3" s="153"/>
      <c r="E3" s="63" t="s">
        <v>65</v>
      </c>
      <c r="F3" s="60" t="s">
        <v>21</v>
      </c>
      <c r="G3" s="47">
        <v>179</v>
      </c>
      <c r="H3" s="133">
        <f>IF(B$17=0,0,G3/B$17)</f>
        <v>0.62152777777777779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-2139.1999999999998</v>
      </c>
      <c r="P3" s="119">
        <v>125</v>
      </c>
      <c r="Q3" s="103">
        <v>-267400</v>
      </c>
    </row>
    <row r="4" spans="1:17" x14ac:dyDescent="0.4">
      <c r="A4" s="55" t="s">
        <v>6</v>
      </c>
      <c r="B4" s="154">
        <v>-338.9</v>
      </c>
      <c r="C4" s="155"/>
      <c r="E4" s="63" t="s">
        <v>73</v>
      </c>
      <c r="F4" s="60" t="s">
        <v>28</v>
      </c>
      <c r="G4" s="47">
        <v>131</v>
      </c>
      <c r="H4" s="133">
        <f>IF(B$17=0,0,G4/B$17)</f>
        <v>0.4548611111111111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526.44628099173553</v>
      </c>
      <c r="P4" s="119">
        <v>121</v>
      </c>
      <c r="Q4" s="103">
        <v>63700</v>
      </c>
    </row>
    <row r="5" spans="1:17" x14ac:dyDescent="0.4">
      <c r="A5" s="55" t="s">
        <v>7</v>
      </c>
      <c r="B5" s="156">
        <f>IF(B$2=0,0,B$4/B$2)</f>
        <v>-2.6271317829457361</v>
      </c>
      <c r="C5" s="157"/>
      <c r="E5" s="63" t="s">
        <v>245</v>
      </c>
      <c r="F5" s="60" t="s">
        <v>246</v>
      </c>
      <c r="G5" s="47">
        <v>124</v>
      </c>
      <c r="H5" s="133">
        <f>IF(B$17=0,0,G5/B$17)</f>
        <v>0.43055555555555558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88.679245283018872</v>
      </c>
      <c r="P5" s="119">
        <v>106</v>
      </c>
      <c r="Q5" s="103">
        <v>9400</v>
      </c>
    </row>
    <row r="6" spans="1:17" x14ac:dyDescent="0.4">
      <c r="A6" s="55" t="s">
        <v>1</v>
      </c>
      <c r="B6" s="146">
        <f>IF(B$2=0,0,(B$7*1+B$8*2+B$9*3)/B$2)</f>
        <v>2.0852713178294575</v>
      </c>
      <c r="C6" s="147"/>
      <c r="E6" s="63" t="s">
        <v>68</v>
      </c>
      <c r="F6" s="60" t="s">
        <v>24</v>
      </c>
      <c r="G6" s="47">
        <v>116</v>
      </c>
      <c r="H6" s="133">
        <f>IF(B$17=0,0,G6/B$17)</f>
        <v>0.40277777777777779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206.38297872340425</v>
      </c>
      <c r="P6" s="119">
        <v>94</v>
      </c>
      <c r="Q6" s="103">
        <v>19400</v>
      </c>
    </row>
    <row r="7" spans="1:17" x14ac:dyDescent="0.4">
      <c r="A7" s="55" t="s">
        <v>2</v>
      </c>
      <c r="B7" s="47">
        <v>35</v>
      </c>
      <c r="C7" s="39">
        <f>IF(B$2=0,0,B7/B$2)</f>
        <v>0.27131782945736432</v>
      </c>
      <c r="E7" s="63" t="s">
        <v>69</v>
      </c>
      <c r="F7" s="60" t="s">
        <v>12</v>
      </c>
      <c r="G7" s="47">
        <v>99</v>
      </c>
      <c r="H7" s="133">
        <f>IF(B$17=0,0,G7/B$17)</f>
        <v>0.34375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79.310344827586206</v>
      </c>
      <c r="P7" s="120">
        <v>87</v>
      </c>
      <c r="Q7" s="104">
        <v>6900</v>
      </c>
    </row>
    <row r="8" spans="1:17" x14ac:dyDescent="0.4">
      <c r="A8" s="55" t="s">
        <v>3</v>
      </c>
      <c r="B8" s="47">
        <v>48</v>
      </c>
      <c r="C8" s="39">
        <f>IF(B$2=0,0,B8/B$2)</f>
        <v>0.37209302325581395</v>
      </c>
      <c r="E8" s="63" t="s">
        <v>70</v>
      </c>
      <c r="F8" s="60" t="s">
        <v>25</v>
      </c>
      <c r="G8" s="47">
        <v>65</v>
      </c>
      <c r="H8" s="133">
        <f>IF(B$17=0,0,G8/B$17)</f>
        <v>0.22569444444444445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0.35658914728682173</v>
      </c>
      <c r="E9" s="63" t="s">
        <v>66</v>
      </c>
      <c r="F9" s="60" t="s">
        <v>22</v>
      </c>
      <c r="G9" s="47">
        <v>46</v>
      </c>
      <c r="H9" s="133">
        <f>IF(B$17=0,0,G9/B$17)</f>
        <v>0.15972222222222221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0.13953488372093023</v>
      </c>
      <c r="E10" s="63" t="s">
        <v>71</v>
      </c>
      <c r="F10" s="60" t="s">
        <v>26</v>
      </c>
      <c r="G10" s="47">
        <v>36</v>
      </c>
      <c r="H10" s="133">
        <f>IF(B$17=0,0,G10/B$17)</f>
        <v>0.125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-7.0384615384615383</v>
      </c>
      <c r="P10" s="118">
        <v>65</v>
      </c>
      <c r="Q10" s="106">
        <v>-457.5</v>
      </c>
    </row>
    <row r="11" spans="1:17" x14ac:dyDescent="0.4">
      <c r="A11" s="56" t="s">
        <v>140</v>
      </c>
      <c r="B11" s="48">
        <v>13</v>
      </c>
      <c r="C11" s="40">
        <f>IF(B$2=0,0,B11/B$2)</f>
        <v>0.10077519379844961</v>
      </c>
      <c r="E11" s="63" t="s">
        <v>90</v>
      </c>
      <c r="F11" s="60" t="s">
        <v>45</v>
      </c>
      <c r="G11" s="47">
        <v>32</v>
      </c>
      <c r="H11" s="133">
        <f>IF(B$17=0,0,G11/B$17)</f>
        <v>0.1111111111111111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-0.3575757575757566</v>
      </c>
      <c r="P11" s="119">
        <v>33</v>
      </c>
      <c r="Q11" s="107">
        <v>-11.799999999999969</v>
      </c>
    </row>
    <row r="12" spans="1:17" x14ac:dyDescent="0.4">
      <c r="A12" s="57" t="s">
        <v>160</v>
      </c>
      <c r="B12" s="49">
        <v>8</v>
      </c>
      <c r="C12" s="42">
        <f>IF(B$2=0,0,B12/B$2)</f>
        <v>6.2015503875968991E-2</v>
      </c>
      <c r="E12" s="63" t="s">
        <v>72</v>
      </c>
      <c r="F12" s="60" t="s">
        <v>27</v>
      </c>
      <c r="G12" s="47">
        <v>17</v>
      </c>
      <c r="H12" s="133">
        <f>IF(B$17=0,0,G12/B$17)</f>
        <v>5.9027777777777776E-2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322</v>
      </c>
      <c r="C13" s="44">
        <f>IF(B$3=0,0,B13/B$3)</f>
        <v>0.30263157894736842</v>
      </c>
      <c r="E13" s="63" t="s">
        <v>87</v>
      </c>
      <c r="F13" s="60" t="s">
        <v>42</v>
      </c>
      <c r="G13" s="47">
        <v>15</v>
      </c>
      <c r="H13" s="133">
        <f>IF(B$17=0,0,G13/B$17)</f>
        <v>5.2083333333333336E-2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188</v>
      </c>
      <c r="C14" s="39">
        <f>IF(B$3=0,0,B14/B$3)</f>
        <v>0.17669172932330826</v>
      </c>
      <c r="E14" s="63" t="s">
        <v>84</v>
      </c>
      <c r="F14" s="60" t="s">
        <v>39</v>
      </c>
      <c r="G14" s="47">
        <v>10</v>
      </c>
      <c r="H14" s="133">
        <f>IF(B$17=0,0,G14/B$17)</f>
        <v>3.4722222222222224E-2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188</v>
      </c>
      <c r="C15" s="37">
        <f>IF(B$13=0,0,B15/B$13)</f>
        <v>0.58385093167701863</v>
      </c>
      <c r="E15" s="63" t="s">
        <v>82</v>
      </c>
      <c r="F15" s="60" t="s">
        <v>37</v>
      </c>
      <c r="G15" s="47">
        <v>9</v>
      </c>
      <c r="H15" s="133">
        <f>IF(B$17=0,0,G15/B$17)</f>
        <v>3.125E-2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55</v>
      </c>
      <c r="C16" s="37">
        <f>IF(B$14=0,0,B16/B$14)</f>
        <v>0.29255319148936171</v>
      </c>
      <c r="E16" s="63" t="s">
        <v>80</v>
      </c>
      <c r="F16" s="60" t="s">
        <v>35</v>
      </c>
      <c r="G16" s="47">
        <v>7</v>
      </c>
      <c r="H16" s="133">
        <f>IF(B$17=0,0,G16/B$17)</f>
        <v>2.4305555555555556E-2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288</v>
      </c>
      <c r="C17" s="37">
        <f>IF(B$3=0,0,B17/B$3)</f>
        <v>0.27067669172932329</v>
      </c>
      <c r="E17" s="63" t="s">
        <v>92</v>
      </c>
      <c r="F17" s="60" t="s">
        <v>47</v>
      </c>
      <c r="G17" s="47">
        <v>6</v>
      </c>
      <c r="H17" s="133">
        <f>IF(B$17=0,0,G17/B$17)</f>
        <v>2.0833333333333332E-2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12.160869565217391</v>
      </c>
      <c r="P17" s="119">
        <v>23</v>
      </c>
      <c r="Q17" s="107">
        <v>279.7</v>
      </c>
    </row>
    <row r="18" spans="1:17" x14ac:dyDescent="0.4">
      <c r="A18" s="55" t="s">
        <v>12</v>
      </c>
      <c r="B18" s="47">
        <v>122</v>
      </c>
      <c r="C18" s="39">
        <f>IF(B$17=0,0,B18/B$17)</f>
        <v>0.4236111111111111</v>
      </c>
      <c r="E18" s="63" t="s">
        <v>79</v>
      </c>
      <c r="F18" s="60" t="s">
        <v>34</v>
      </c>
      <c r="G18" s="47">
        <v>5</v>
      </c>
      <c r="H18" s="133">
        <f>IF(B$17=0,0,G18/B$17)</f>
        <v>1.7361111111111112E-2</v>
      </c>
      <c r="I18" s="94">
        <v>8</v>
      </c>
      <c r="K18" s="38">
        <v>16</v>
      </c>
      <c r="L18" s="99">
        <v>41.699999999999989</v>
      </c>
      <c r="N18" s="115" t="s">
        <v>171</v>
      </c>
      <c r="O18" s="125">
        <f>IF(P18=0,0,Q18/P18)</f>
        <v>1.1611111111111161</v>
      </c>
      <c r="P18" s="119">
        <v>36</v>
      </c>
      <c r="Q18" s="107">
        <v>41.800000000000182</v>
      </c>
    </row>
    <row r="19" spans="1:17" x14ac:dyDescent="0.4">
      <c r="A19" s="55" t="s">
        <v>11</v>
      </c>
      <c r="B19" s="47">
        <v>166</v>
      </c>
      <c r="C19" s="39">
        <f>IF(B$17=0,0,B19/B$17)</f>
        <v>0.57638888888888884</v>
      </c>
      <c r="E19" s="63" t="s">
        <v>180</v>
      </c>
      <c r="F19" s="60" t="s">
        <v>181</v>
      </c>
      <c r="G19" s="47">
        <v>5</v>
      </c>
      <c r="H19" s="133">
        <f>IF(B$17=0,0,G19/B$17)</f>
        <v>1.7361111111111112E-2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182</v>
      </c>
      <c r="C20" s="39">
        <f>IF(B$3=0,0,B20/B$3)</f>
        <v>0.17105263157894737</v>
      </c>
      <c r="E20" s="63" t="s">
        <v>74</v>
      </c>
      <c r="F20" s="60" t="s">
        <v>29</v>
      </c>
      <c r="G20" s="47">
        <v>2</v>
      </c>
      <c r="H20" s="133">
        <f>IF(B$17=0,0,G20/B$17)</f>
        <v>6.9444444444444441E-3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75</v>
      </c>
      <c r="F21" s="60" t="s">
        <v>30</v>
      </c>
      <c r="G21" s="47">
        <v>2</v>
      </c>
      <c r="H21" s="133">
        <f>IF(B$17=0,0,G21/B$17)</f>
        <v>6.9444444444444441E-3</v>
      </c>
      <c r="I21" s="94">
        <v>4</v>
      </c>
      <c r="K21" s="38">
        <v>19</v>
      </c>
      <c r="L21" s="99">
        <v>138.79999999999998</v>
      </c>
      <c r="N21" s="115" t="s">
        <v>177</v>
      </c>
      <c r="O21" s="125">
        <f>IF(P21=0,0,Q21/P21)</f>
        <v>-8.7481481481481485</v>
      </c>
      <c r="P21" s="119">
        <v>27</v>
      </c>
      <c r="Q21" s="107">
        <v>-236.2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76</v>
      </c>
      <c r="F22" s="60" t="s">
        <v>31</v>
      </c>
      <c r="G22" s="47">
        <v>2</v>
      </c>
      <c r="H22" s="133">
        <f>IF(B$17=0,0,G22/B$17)</f>
        <v>6.9444444444444441E-3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-18.716853932584272</v>
      </c>
      <c r="P22" s="119">
        <v>89</v>
      </c>
      <c r="Q22" s="107">
        <v>-1665.8000000000002</v>
      </c>
    </row>
    <row r="23" spans="1:17" x14ac:dyDescent="0.4">
      <c r="A23" s="55" t="s">
        <v>5</v>
      </c>
      <c r="B23" s="51">
        <f>IF(B$17=0,0,C23/B$17)</f>
        <v>9373.6111111111113</v>
      </c>
      <c r="C23" s="41">
        <v>2699600</v>
      </c>
      <c r="E23" s="63" t="s">
        <v>78</v>
      </c>
      <c r="F23" s="60" t="s">
        <v>33</v>
      </c>
      <c r="G23" s="47">
        <v>1</v>
      </c>
      <c r="H23" s="133">
        <f>IF(B$17=0,0,G23/B$17)</f>
        <v>3.472222222222222E-3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-7797.802197802198</v>
      </c>
      <c r="C24" s="45">
        <v>-1419200</v>
      </c>
      <c r="E24" s="63" t="s">
        <v>85</v>
      </c>
      <c r="F24" s="60" t="s">
        <v>40</v>
      </c>
      <c r="G24" s="47">
        <v>1</v>
      </c>
      <c r="H24" s="133">
        <f>IF(B$17=0,0,G24/B$17)</f>
        <v>3.472222222222222E-3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3.472222222222222E-3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3.472222222222222E-3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4.6992481203007516E-3</v>
      </c>
      <c r="E27" s="63" t="s">
        <v>94</v>
      </c>
      <c r="F27" s="60" t="s">
        <v>49</v>
      </c>
      <c r="G27" s="47">
        <v>1</v>
      </c>
      <c r="H27" s="133">
        <f>IF(B$17=0,0,G27/B$17)</f>
        <v>3.472222222222222E-3</v>
      </c>
      <c r="I27" s="94">
        <v>4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3.472222222222222E-3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-401.4</v>
      </c>
    </row>
    <row r="131" spans="11:12" x14ac:dyDescent="0.4">
      <c r="K131" s="38">
        <v>129</v>
      </c>
      <c r="L131" s="99">
        <v>-338.9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93</v>
      </c>
      <c r="C2" s="151"/>
      <c r="E2" s="62" t="s">
        <v>65</v>
      </c>
      <c r="F2" s="59" t="s">
        <v>21</v>
      </c>
      <c r="G2" s="46">
        <v>109</v>
      </c>
      <c r="H2" s="132">
        <f>IF(B$17=0,0,G2/B$17)</f>
        <v>0.57978723404255317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-3084.9462365591398</v>
      </c>
      <c r="P2" s="118">
        <v>93</v>
      </c>
      <c r="Q2" s="102">
        <v>-286900</v>
      </c>
    </row>
    <row r="3" spans="1:17" x14ac:dyDescent="0.4">
      <c r="A3" s="55" t="s">
        <v>8</v>
      </c>
      <c r="B3" s="152">
        <v>778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9.5744680851063829E-2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-1496.7032967032967</v>
      </c>
      <c r="P3" s="119">
        <v>91</v>
      </c>
      <c r="Q3" s="103">
        <v>-136200</v>
      </c>
    </row>
    <row r="4" spans="1:17" x14ac:dyDescent="0.4">
      <c r="A4" s="55" t="s">
        <v>6</v>
      </c>
      <c r="B4" s="154">
        <v>-1348.9</v>
      </c>
      <c r="C4" s="155"/>
      <c r="E4" s="63" t="s">
        <v>67</v>
      </c>
      <c r="F4" s="60" t="s">
        <v>23</v>
      </c>
      <c r="G4" s="47">
        <v>156</v>
      </c>
      <c r="H4" s="133">
        <f>IF(B$17=0,0,G4/B$17)</f>
        <v>0.82978723404255317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-307.05882352941177</v>
      </c>
      <c r="P4" s="119">
        <v>85</v>
      </c>
      <c r="Q4" s="103">
        <v>-26100</v>
      </c>
    </row>
    <row r="5" spans="1:17" x14ac:dyDescent="0.4">
      <c r="A5" s="55" t="s">
        <v>7</v>
      </c>
      <c r="B5" s="156">
        <f>IF(B$2=0,0,B$4/B$2)</f>
        <v>-14.504301075268819</v>
      </c>
      <c r="C5" s="157"/>
      <c r="E5" s="63" t="s">
        <v>68</v>
      </c>
      <c r="F5" s="60" t="s">
        <v>24</v>
      </c>
      <c r="G5" s="47">
        <v>63</v>
      </c>
      <c r="H5" s="133">
        <f>IF(B$17=0,0,G5/B$17)</f>
        <v>0.33510638297872342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-4301.333333333333</v>
      </c>
      <c r="P5" s="119">
        <v>75</v>
      </c>
      <c r="Q5" s="103">
        <v>-322600</v>
      </c>
    </row>
    <row r="6" spans="1:17" x14ac:dyDescent="0.4">
      <c r="A6" s="55" t="s">
        <v>1</v>
      </c>
      <c r="B6" s="146">
        <f>IF(B$2=0,0,(B$7*1+B$8*2+B$9*3)/B$2)</f>
        <v>2.247311827956989</v>
      </c>
      <c r="C6" s="147"/>
      <c r="E6" s="63" t="s">
        <v>69</v>
      </c>
      <c r="F6" s="60" t="s">
        <v>12</v>
      </c>
      <c r="G6" s="47">
        <v>70</v>
      </c>
      <c r="H6" s="133">
        <f>IF(B$17=0,0,G6/B$17)</f>
        <v>0.37234042553191488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-467.64705882352939</v>
      </c>
      <c r="P6" s="119">
        <v>68</v>
      </c>
      <c r="Q6" s="103">
        <v>-31800</v>
      </c>
    </row>
    <row r="7" spans="1:17" x14ac:dyDescent="0.4">
      <c r="A7" s="55" t="s">
        <v>2</v>
      </c>
      <c r="B7" s="47">
        <v>23</v>
      </c>
      <c r="C7" s="39">
        <f>IF(B$2=0,0,B7/B$2)</f>
        <v>0.24731182795698925</v>
      </c>
      <c r="E7" s="63" t="s">
        <v>70</v>
      </c>
      <c r="F7" s="60" t="s">
        <v>25</v>
      </c>
      <c r="G7" s="47">
        <v>37</v>
      </c>
      <c r="H7" s="133">
        <f>IF(B$17=0,0,G7/B$17)</f>
        <v>0.19680851063829788</v>
      </c>
      <c r="I7" s="94">
        <v>4</v>
      </c>
      <c r="K7" s="38">
        <v>5</v>
      </c>
      <c r="L7" s="99">
        <v>-32.199999999999996</v>
      </c>
      <c r="N7" s="116" t="s">
        <v>137</v>
      </c>
      <c r="O7" s="123">
        <f t="shared" si="0"/>
        <v>-1285.2459016393443</v>
      </c>
      <c r="P7" s="120">
        <v>61</v>
      </c>
      <c r="Q7" s="104">
        <v>-78400</v>
      </c>
    </row>
    <row r="8" spans="1:17" x14ac:dyDescent="0.4">
      <c r="A8" s="55" t="s">
        <v>3</v>
      </c>
      <c r="B8" s="47">
        <v>24</v>
      </c>
      <c r="C8" s="39">
        <f>IF(B$2=0,0,B8/B$2)</f>
        <v>0.25806451612903225</v>
      </c>
      <c r="E8" s="63" t="s">
        <v>71</v>
      </c>
      <c r="F8" s="60" t="s">
        <v>26</v>
      </c>
      <c r="G8" s="47">
        <v>29</v>
      </c>
      <c r="H8" s="133">
        <f>IF(B$17=0,0,G8/B$17)</f>
        <v>0.15425531914893617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0.4946236559139785</v>
      </c>
      <c r="E9" s="63" t="s">
        <v>72</v>
      </c>
      <c r="F9" s="60" t="s">
        <v>27</v>
      </c>
      <c r="G9" s="47">
        <v>20</v>
      </c>
      <c r="H9" s="133">
        <f>IF(B$17=0,0,G9/B$17)</f>
        <v>0.10638297872340426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0.19354838709677419</v>
      </c>
      <c r="E10" s="63" t="s">
        <v>73</v>
      </c>
      <c r="F10" s="60" t="s">
        <v>28</v>
      </c>
      <c r="G10" s="47">
        <v>69</v>
      </c>
      <c r="H10" s="133">
        <f>IF(B$17=0,0,G10/B$17)</f>
        <v>0.36702127659574468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10</v>
      </c>
      <c r="C11" s="40">
        <f>IF(B$2=0,0,B11/B$2)</f>
        <v>0.10752688172043011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7.5268817204301078E-2</v>
      </c>
      <c r="E12" s="63" t="s">
        <v>75</v>
      </c>
      <c r="F12" s="60" t="s">
        <v>30</v>
      </c>
      <c r="G12" s="47">
        <v>3</v>
      </c>
      <c r="H12" s="133">
        <f>IF(B$17=0,0,G12/B$17)</f>
        <v>1.5957446808510637E-2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-16.524137931034481</v>
      </c>
      <c r="P12" s="120">
        <v>29</v>
      </c>
      <c r="Q12" s="108">
        <v>-479.19999999999993</v>
      </c>
    </row>
    <row r="13" spans="1:17" x14ac:dyDescent="0.4">
      <c r="A13" s="58" t="s">
        <v>122</v>
      </c>
      <c r="B13" s="50">
        <v>215</v>
      </c>
      <c r="C13" s="44">
        <f>IF(B$3=0,0,B13/B$3)</f>
        <v>0.2763496143958869</v>
      </c>
      <c r="E13" s="63" t="s">
        <v>76</v>
      </c>
      <c r="F13" s="60" t="s">
        <v>31</v>
      </c>
      <c r="G13" s="47">
        <v>1</v>
      </c>
      <c r="H13" s="133">
        <f>IF(B$17=0,0,G13/B$17)</f>
        <v>5.3191489361702126E-3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0.15938303341902313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0.52093023255813953</v>
      </c>
      <c r="E15" s="63" t="s">
        <v>78</v>
      </c>
      <c r="F15" s="60" t="s">
        <v>33</v>
      </c>
      <c r="G15" s="47">
        <v>1</v>
      </c>
      <c r="H15" s="133">
        <f>IF(B$17=0,0,G15/B$17)</f>
        <v>5.3191489361702126E-3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</v>
      </c>
      <c r="E16" s="63" t="s">
        <v>79</v>
      </c>
      <c r="F16" s="60" t="s">
        <v>34</v>
      </c>
      <c r="G16" s="47">
        <v>8</v>
      </c>
      <c r="H16" s="133">
        <f>IF(B$17=0,0,G16/B$17)</f>
        <v>4.2553191489361701E-2</v>
      </c>
      <c r="I16" s="94">
        <v>3</v>
      </c>
      <c r="K16" s="38">
        <v>14</v>
      </c>
      <c r="L16" s="99">
        <v>-394.6</v>
      </c>
      <c r="N16" s="115" t="s">
        <v>128</v>
      </c>
      <c r="O16" s="125">
        <f t="shared" si="2"/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0.2416452442159383</v>
      </c>
      <c r="E17" s="63" t="s">
        <v>80</v>
      </c>
      <c r="F17" s="60" t="s">
        <v>35</v>
      </c>
      <c r="G17" s="47">
        <v>1</v>
      </c>
      <c r="H17" s="133">
        <f>IF(B$17=0,0,G17/B$17)</f>
        <v>5.3191489361702126E-3</v>
      </c>
      <c r="I17" s="94">
        <v>10</v>
      </c>
      <c r="K17" s="38">
        <v>15</v>
      </c>
      <c r="L17" s="99">
        <v>-424.5</v>
      </c>
      <c r="N17" s="115" t="s">
        <v>177</v>
      </c>
      <c r="O17" s="125">
        <f t="shared" si="2"/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80</v>
      </c>
      <c r="C18" s="39">
        <f>IF(B$17=0,0,B18/B$17)</f>
        <v>0.42553191489361702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108</v>
      </c>
      <c r="C19" s="39">
        <f>IF(B$17=0,0,B19/B$17)</f>
        <v>0.57446808510638303</v>
      </c>
      <c r="E19" s="63" t="s">
        <v>82</v>
      </c>
      <c r="F19" s="60" t="s">
        <v>37</v>
      </c>
      <c r="G19" s="47">
        <v>4</v>
      </c>
      <c r="H19" s="133">
        <f>IF(B$17=0,0,G19/B$17)</f>
        <v>2.1276595744680851E-2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147</v>
      </c>
      <c r="C20" s="39">
        <f>IF(B$3=0,0,B20/B$3)</f>
        <v>0.18894601542416453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184</v>
      </c>
      <c r="O20" s="125">
        <f t="shared" si="2"/>
        <v>-24.240000000000002</v>
      </c>
      <c r="P20" s="119">
        <v>5</v>
      </c>
      <c r="Q20" s="107">
        <v>-121.2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3.7234042553191488E-2</v>
      </c>
      <c r="I21" s="94">
        <v>8</v>
      </c>
      <c r="K21" s="38">
        <v>19</v>
      </c>
      <c r="L21" s="99">
        <v>-569.49999999999989</v>
      </c>
      <c r="N21" s="115" t="s">
        <v>127</v>
      </c>
      <c r="O21" s="125">
        <f t="shared" si="2"/>
        <v>-28.908474576271196</v>
      </c>
      <c r="P21" s="119">
        <v>59</v>
      </c>
      <c r="Q21" s="107">
        <v>-1705.6000000000006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172</v>
      </c>
      <c r="O22" s="125">
        <f t="shared" si="2"/>
        <v>-31.945454545454542</v>
      </c>
      <c r="P22" s="119">
        <v>22</v>
      </c>
      <c r="Q22" s="107">
        <v>-702.8</v>
      </c>
    </row>
    <row r="23" spans="1:17" x14ac:dyDescent="0.4">
      <c r="A23" s="55" t="s">
        <v>5</v>
      </c>
      <c r="B23" s="51">
        <f>IF(B$17=0,0,C23/B$17)</f>
        <v>8755.3191489361707</v>
      </c>
      <c r="C23" s="41">
        <v>1646000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-9236.0544217687075</v>
      </c>
      <c r="C24" s="45">
        <v>-1357700</v>
      </c>
      <c r="E24" s="63" t="s">
        <v>87</v>
      </c>
      <c r="F24" s="60" t="s">
        <v>42</v>
      </c>
      <c r="G24" s="47">
        <v>10</v>
      </c>
      <c r="H24" s="133">
        <f>IF(B$17=0,0,G24/B$17)</f>
        <v>5.3191489361702128E-2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1.0638297872340425E-2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5.3191489361702126E-3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1.2853470437017994E-3</v>
      </c>
      <c r="E27" s="63" t="s">
        <v>90</v>
      </c>
      <c r="F27" s="60" t="s">
        <v>45</v>
      </c>
      <c r="G27" s="47">
        <v>16</v>
      </c>
      <c r="H27" s="133">
        <f>IF(B$17=0,0,G27/B$17)</f>
        <v>8.5106382978723402E-2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5.3191489361702126E-3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5.3191489361702126E-3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1.0638297872340425E-2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8" t="s">
        <v>245</v>
      </c>
      <c r="F51" s="139" t="s">
        <v>246</v>
      </c>
      <c r="G51" s="48">
        <v>73</v>
      </c>
      <c r="H51" s="140">
        <f>IF(B$17=0,0,G51/B$17)</f>
        <v>0.38829787234042551</v>
      </c>
      <c r="I51" s="141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</sheetData>
  <sortState ref="E2:I9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91</v>
      </c>
      <c r="C2" s="151"/>
      <c r="E2" s="62" t="s">
        <v>65</v>
      </c>
      <c r="F2" s="59" t="s">
        <v>21</v>
      </c>
      <c r="G2" s="46">
        <v>117</v>
      </c>
      <c r="H2" s="132">
        <f>IF(B$17=0,0,G2/B$17)</f>
        <v>0.54418604651162794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-665.93406593406598</v>
      </c>
      <c r="P2" s="118">
        <v>91</v>
      </c>
      <c r="Q2" s="102">
        <v>-60600</v>
      </c>
    </row>
    <row r="3" spans="1:17" x14ac:dyDescent="0.4">
      <c r="A3" s="55" t="s">
        <v>8</v>
      </c>
      <c r="B3" s="152">
        <v>761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0.13023255813953488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202.24719101123594</v>
      </c>
      <c r="P3" s="119">
        <v>89</v>
      </c>
      <c r="Q3" s="103">
        <v>18000</v>
      </c>
    </row>
    <row r="4" spans="1:17" x14ac:dyDescent="0.4">
      <c r="A4" s="55" t="s">
        <v>6</v>
      </c>
      <c r="B4" s="154">
        <v>-9.1999999999999709</v>
      </c>
      <c r="C4" s="155"/>
      <c r="E4" s="63" t="s">
        <v>67</v>
      </c>
      <c r="F4" s="60" t="s">
        <v>23</v>
      </c>
      <c r="G4" s="47">
        <v>176</v>
      </c>
      <c r="H4" s="133">
        <f>IF(B$17=0,0,G4/B$17)</f>
        <v>0.81860465116279069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1231.7073170731708</v>
      </c>
      <c r="P4" s="119">
        <v>82</v>
      </c>
      <c r="Q4" s="103">
        <v>101000</v>
      </c>
    </row>
    <row r="5" spans="1:17" x14ac:dyDescent="0.4">
      <c r="A5" s="55" t="s">
        <v>7</v>
      </c>
      <c r="B5" s="156">
        <f>IF(B$2=0,0,B$4/B$2)</f>
        <v>-0.10109890109890078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0.32558139534883723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838.02816901408448</v>
      </c>
      <c r="P5" s="119">
        <v>71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2.0439560439560438</v>
      </c>
      <c r="C6" s="147"/>
      <c r="E6" s="63" t="s">
        <v>69</v>
      </c>
      <c r="F6" s="60" t="s">
        <v>12</v>
      </c>
      <c r="G6" s="47">
        <v>64</v>
      </c>
      <c r="H6" s="133">
        <f>IF(B$17=0,0,G6/B$17)</f>
        <v>0.29767441860465116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-550</v>
      </c>
      <c r="P6" s="119">
        <v>62</v>
      </c>
      <c r="Q6" s="103">
        <v>-34100</v>
      </c>
    </row>
    <row r="7" spans="1:17" x14ac:dyDescent="0.4">
      <c r="A7" s="55" t="s">
        <v>2</v>
      </c>
      <c r="B7" s="47">
        <v>27</v>
      </c>
      <c r="C7" s="39">
        <f>IF(B$2=0,0,B7/B$2)</f>
        <v>0.2967032967032967</v>
      </c>
      <c r="E7" s="63" t="s">
        <v>70</v>
      </c>
      <c r="F7" s="60" t="s">
        <v>25</v>
      </c>
      <c r="G7" s="47">
        <v>43</v>
      </c>
      <c r="H7" s="133">
        <f>IF(B$17=0,0,G7/B$17)</f>
        <v>0.2</v>
      </c>
      <c r="I7" s="94">
        <v>2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0.36263736263736263</v>
      </c>
      <c r="E8" s="63" t="s">
        <v>71</v>
      </c>
      <c r="F8" s="60" t="s">
        <v>26</v>
      </c>
      <c r="G8" s="47">
        <v>23</v>
      </c>
      <c r="H8" s="133">
        <f>IF(B$17=0,0,G8/B$17)</f>
        <v>0.10697674418604651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0.34065934065934067</v>
      </c>
      <c r="E9" s="63" t="s">
        <v>72</v>
      </c>
      <c r="F9" s="60" t="s">
        <v>27</v>
      </c>
      <c r="G9" s="47">
        <v>14</v>
      </c>
      <c r="H9" s="133">
        <f>IF(B$17=0,0,G9/B$17)</f>
        <v>6.5116279069767441E-2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9.8901098901098897E-2</v>
      </c>
      <c r="E10" s="63" t="s">
        <v>73</v>
      </c>
      <c r="F10" s="60" t="s">
        <v>28</v>
      </c>
      <c r="G10" s="47">
        <v>112</v>
      </c>
      <c r="H10" s="133">
        <f>IF(B$17=0,0,G10/B$17)</f>
        <v>0.52093023255813953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0.13186813186813187</v>
      </c>
      <c r="E11" s="63" t="s">
        <v>74</v>
      </c>
      <c r="F11" s="60" t="s">
        <v>29</v>
      </c>
      <c r="G11" s="47">
        <v>2</v>
      </c>
      <c r="H11" s="133">
        <f>IF(B$17=0,0,G11/B$17)</f>
        <v>9.3023255813953487E-3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6.5934065934065936E-2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-1.9666666666666668</v>
      </c>
      <c r="P12" s="120">
        <v>33</v>
      </c>
      <c r="Q12" s="108">
        <v>-64.900000000000006</v>
      </c>
    </row>
    <row r="13" spans="1:17" x14ac:dyDescent="0.4">
      <c r="A13" s="58" t="s">
        <v>122</v>
      </c>
      <c r="B13" s="50">
        <v>221</v>
      </c>
      <c r="C13" s="44">
        <f>IF(B$3=0,0,B13/B$3)</f>
        <v>0.29040735873850199</v>
      </c>
      <c r="E13" s="63" t="s">
        <v>76</v>
      </c>
      <c r="F13" s="60" t="s">
        <v>31</v>
      </c>
      <c r="G13" s="47">
        <v>3</v>
      </c>
      <c r="H13" s="133">
        <f>IF(B$17=0,0,G13/B$17)</f>
        <v>1.3953488372093023E-2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0.18922470433639949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0.56561085972850678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59</v>
      </c>
      <c r="C16" s="37">
        <f>IF(B$14=0,0,B16/B$14)</f>
        <v>0.40972222222222221</v>
      </c>
      <c r="E16" s="63" t="s">
        <v>79</v>
      </c>
      <c r="F16" s="60" t="s">
        <v>34</v>
      </c>
      <c r="G16" s="47">
        <v>9</v>
      </c>
      <c r="H16" s="133">
        <f>IF(B$17=0,0,G16/B$17)</f>
        <v>4.1860465116279069E-2</v>
      </c>
      <c r="I16" s="94">
        <v>4</v>
      </c>
      <c r="K16" s="38">
        <v>14</v>
      </c>
      <c r="L16" s="99">
        <v>-29.400000000000002</v>
      </c>
      <c r="N16" s="115" t="s">
        <v>129</v>
      </c>
      <c r="O16" s="125">
        <f t="shared" si="2"/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0.28252299605781866</v>
      </c>
      <c r="E17" s="63" t="s">
        <v>80</v>
      </c>
      <c r="F17" s="60" t="s">
        <v>35</v>
      </c>
      <c r="G17" s="47">
        <v>4</v>
      </c>
      <c r="H17" s="133">
        <f>IF(B$17=0,0,G17/B$17)</f>
        <v>1.8604651162790697E-2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89</v>
      </c>
      <c r="C18" s="39">
        <f>IF(B$17=0,0,B18/B$17)</f>
        <v>0.413953488372093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126</v>
      </c>
      <c r="C19" s="39">
        <f>IF(B$17=0,0,B19/B$17)</f>
        <v>0.586046511627907</v>
      </c>
      <c r="E19" s="63" t="s">
        <v>82</v>
      </c>
      <c r="F19" s="60" t="s">
        <v>37</v>
      </c>
      <c r="G19" s="47">
        <v>8</v>
      </c>
      <c r="H19" s="133">
        <f>IF(B$17=0,0,G19/B$17)</f>
        <v>3.7209302325581395E-2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-1.1611111111111159</v>
      </c>
      <c r="P19" s="119">
        <v>36</v>
      </c>
      <c r="Q19" s="107">
        <v>-41.800000000000168</v>
      </c>
    </row>
    <row r="20" spans="1:17" x14ac:dyDescent="0.4">
      <c r="A20" s="55" t="s">
        <v>13</v>
      </c>
      <c r="B20" s="47">
        <v>135</v>
      </c>
      <c r="C20" s="39">
        <f>IF(B$3=0,0,B20/B$3)</f>
        <v>0.1773981603153745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-1.6094339622641469</v>
      </c>
      <c r="P20" s="119">
        <v>53</v>
      </c>
      <c r="Q20" s="107">
        <v>-85.299999999999784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5.1162790697674418E-2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2</v>
      </c>
      <c r="E22" s="63" t="s">
        <v>85</v>
      </c>
      <c r="F22" s="60" t="s">
        <v>40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9848.3720930232557</v>
      </c>
      <c r="C23" s="41">
        <v>2117400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-8548.1481481481478</v>
      </c>
      <c r="C24" s="45">
        <v>-1154000</v>
      </c>
      <c r="E24" s="63" t="s">
        <v>87</v>
      </c>
      <c r="F24" s="60" t="s">
        <v>42</v>
      </c>
      <c r="G24" s="47">
        <v>16</v>
      </c>
      <c r="H24" s="133">
        <f>IF(B$17=0,0,G24/B$17)</f>
        <v>7.441860465116279E-2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4.6511627906976744E-3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1.3140604467805519E-3</v>
      </c>
      <c r="E27" s="63" t="s">
        <v>90</v>
      </c>
      <c r="F27" s="60" t="s">
        <v>45</v>
      </c>
      <c r="G27" s="47">
        <v>37</v>
      </c>
      <c r="H27" s="133">
        <f>IF(B$17=0,0,G27/B$17)</f>
        <v>0.17209302325581396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2.7906976744186046E-2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9.3023255813953487E-3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4.6511627906976744E-3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1.8604651162790697E-2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81</v>
      </c>
      <c r="H51" s="140">
        <f>IF(B$17=0,0,G51/B$17)</f>
        <v>0.37674418604651161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21.10000000000003</v>
      </c>
    </row>
    <row r="93" spans="11:12" x14ac:dyDescent="0.4">
      <c r="K93" s="38">
        <v>91</v>
      </c>
      <c r="L93" s="99">
        <v>-9.1999999999999709</v>
      </c>
    </row>
  </sheetData>
  <sortState ref="E2:I9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8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82</v>
      </c>
      <c r="C2" s="151"/>
      <c r="E2" s="62" t="s">
        <v>67</v>
      </c>
      <c r="F2" s="59" t="s">
        <v>23</v>
      </c>
      <c r="G2" s="46">
        <v>157</v>
      </c>
      <c r="H2" s="132">
        <f>IF(B$17=0,0,G2/B$17)</f>
        <v>0.66244725738396626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418.29268292682929</v>
      </c>
      <c r="P2" s="118">
        <v>82</v>
      </c>
      <c r="Q2" s="102">
        <v>34300</v>
      </c>
    </row>
    <row r="3" spans="1:17" x14ac:dyDescent="0.4">
      <c r="A3" s="55" t="s">
        <v>8</v>
      </c>
      <c r="B3" s="152">
        <v>696</v>
      </c>
      <c r="C3" s="153"/>
      <c r="E3" s="63" t="s">
        <v>73</v>
      </c>
      <c r="F3" s="60" t="s">
        <v>28</v>
      </c>
      <c r="G3" s="47">
        <v>136</v>
      </c>
      <c r="H3" s="133">
        <f>IF(B$17=0,0,G3/B$17)</f>
        <v>0.57383966244725737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-1045.1219512195121</v>
      </c>
      <c r="P3" s="119">
        <v>82</v>
      </c>
      <c r="Q3" s="103">
        <v>-85700</v>
      </c>
    </row>
    <row r="4" spans="1:17" x14ac:dyDescent="0.4">
      <c r="A4" s="55" t="s">
        <v>6</v>
      </c>
      <c r="B4" s="154">
        <v>-134.80000000000004</v>
      </c>
      <c r="C4" s="155"/>
      <c r="E4" s="63" t="s">
        <v>245</v>
      </c>
      <c r="F4" s="60" t="s">
        <v>246</v>
      </c>
      <c r="G4" s="47">
        <v>102</v>
      </c>
      <c r="H4" s="133">
        <f>IF(B$17=0,0,G4/B$17)</f>
        <v>0.43037974683544306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-1467.1232876712329</v>
      </c>
      <c r="P4" s="119">
        <v>73</v>
      </c>
      <c r="Q4" s="103">
        <v>-107100</v>
      </c>
    </row>
    <row r="5" spans="1:17" x14ac:dyDescent="0.4">
      <c r="A5" s="55" t="s">
        <v>7</v>
      </c>
      <c r="B5" s="156">
        <f>IF(B$2=0,0,B$4/B$2)</f>
        <v>-1.6439024390243908</v>
      </c>
      <c r="C5" s="157"/>
      <c r="E5" s="63" t="s">
        <v>65</v>
      </c>
      <c r="F5" s="60" t="s">
        <v>21</v>
      </c>
      <c r="G5" s="47">
        <v>82</v>
      </c>
      <c r="H5" s="133">
        <f>IF(B$17=0,0,G5/B$17)</f>
        <v>0.34599156118143459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798.55072463768113</v>
      </c>
      <c r="P5" s="119">
        <v>69</v>
      </c>
      <c r="Q5" s="103">
        <v>55100</v>
      </c>
    </row>
    <row r="6" spans="1:17" x14ac:dyDescent="0.4">
      <c r="A6" s="55" t="s">
        <v>1</v>
      </c>
      <c r="B6" s="146">
        <f>IF(B$2=0,0,(B$7*1+B$8*2+B$9*3)/B$2)</f>
        <v>2.0487804878048781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0.25316455696202533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-76.92307692307692</v>
      </c>
      <c r="P6" s="119">
        <v>65</v>
      </c>
      <c r="Q6" s="103">
        <v>-5000</v>
      </c>
    </row>
    <row r="7" spans="1:17" x14ac:dyDescent="0.4">
      <c r="A7" s="55" t="s">
        <v>2</v>
      </c>
      <c r="B7" s="47">
        <v>22</v>
      </c>
      <c r="C7" s="39">
        <f>IF(B$2=0,0,B7/B$2)</f>
        <v>0.26829268292682928</v>
      </c>
      <c r="E7" s="63" t="s">
        <v>68</v>
      </c>
      <c r="F7" s="60" t="s">
        <v>24</v>
      </c>
      <c r="G7" s="47">
        <v>41</v>
      </c>
      <c r="H7" s="133">
        <f>IF(B$17=0,0,G7/B$17)</f>
        <v>0.1729957805907173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-133.92857142857142</v>
      </c>
      <c r="P7" s="120">
        <v>56</v>
      </c>
      <c r="Q7" s="104">
        <v>-7500</v>
      </c>
    </row>
    <row r="8" spans="1:17" x14ac:dyDescent="0.4">
      <c r="A8" s="55" t="s">
        <v>3</v>
      </c>
      <c r="B8" s="47">
        <v>34</v>
      </c>
      <c r="C8" s="39">
        <f>IF(B$2=0,0,B8/B$2)</f>
        <v>0.41463414634146339</v>
      </c>
      <c r="E8" s="63" t="s">
        <v>70</v>
      </c>
      <c r="F8" s="60" t="s">
        <v>25</v>
      </c>
      <c r="G8" s="47">
        <v>35</v>
      </c>
      <c r="H8" s="133">
        <f>IF(B$17=0,0,G8/B$17)</f>
        <v>0.14767932489451477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0.31707317073170732</v>
      </c>
      <c r="E9" s="63" t="s">
        <v>66</v>
      </c>
      <c r="F9" s="60" t="s">
        <v>22</v>
      </c>
      <c r="G9" s="47">
        <v>26</v>
      </c>
      <c r="H9" s="133">
        <f>IF(B$17=0,0,G9/B$17)</f>
        <v>0.10970464135021098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6.097560975609756E-2</v>
      </c>
      <c r="E10" s="63" t="s">
        <v>72</v>
      </c>
      <c r="F10" s="60" t="s">
        <v>27</v>
      </c>
      <c r="G10" s="47">
        <v>19</v>
      </c>
      <c r="H10" s="133">
        <f>IF(B$17=0,0,G10/B$17)</f>
        <v>8.0168776371308023E-2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-6.4666666666666694</v>
      </c>
      <c r="P10" s="118">
        <v>24</v>
      </c>
      <c r="Q10" s="106">
        <v>-155.20000000000007</v>
      </c>
    </row>
    <row r="11" spans="1:17" x14ac:dyDescent="0.4">
      <c r="A11" s="56" t="s">
        <v>140</v>
      </c>
      <c r="B11" s="48">
        <v>9</v>
      </c>
      <c r="C11" s="40">
        <f>IF(B$2=0,0,B11/B$2)</f>
        <v>0.10975609756097561</v>
      </c>
      <c r="E11" s="63" t="s">
        <v>90</v>
      </c>
      <c r="F11" s="60" t="s">
        <v>45</v>
      </c>
      <c r="G11" s="47">
        <v>18</v>
      </c>
      <c r="H11" s="133">
        <f>IF(B$17=0,0,G11/B$17)</f>
        <v>7.5949367088607597E-2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7</v>
      </c>
      <c r="C12" s="42">
        <f>IF(B$2=0,0,B12/B$2)</f>
        <v>8.5365853658536592E-2</v>
      </c>
      <c r="E12" s="63" t="s">
        <v>84</v>
      </c>
      <c r="F12" s="60" t="s">
        <v>39</v>
      </c>
      <c r="G12" s="47">
        <v>17</v>
      </c>
      <c r="H12" s="133">
        <f>IF(B$17=0,0,G12/B$17)</f>
        <v>7.1729957805907171E-2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-1.8281250000000002</v>
      </c>
      <c r="P12" s="120">
        <v>32</v>
      </c>
      <c r="Q12" s="108">
        <v>-58.500000000000007</v>
      </c>
    </row>
    <row r="13" spans="1:17" x14ac:dyDescent="0.4">
      <c r="A13" s="58" t="s">
        <v>122</v>
      </c>
      <c r="B13" s="50">
        <v>148</v>
      </c>
      <c r="C13" s="44">
        <f>IF(B$3=0,0,B13/B$3)</f>
        <v>0.21264367816091953</v>
      </c>
      <c r="E13" s="63" t="s">
        <v>71</v>
      </c>
      <c r="F13" s="60" t="s">
        <v>26</v>
      </c>
      <c r="G13" s="47">
        <v>16</v>
      </c>
      <c r="H13" s="133">
        <f>IF(B$17=0,0,G13/B$17)</f>
        <v>6.7510548523206745E-2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201</v>
      </c>
      <c r="C14" s="39">
        <f>IF(B$3=0,0,B14/B$3)</f>
        <v>0.28879310344827586</v>
      </c>
      <c r="E14" s="63" t="s">
        <v>87</v>
      </c>
      <c r="F14" s="60" t="s">
        <v>42</v>
      </c>
      <c r="G14" s="47">
        <v>9</v>
      </c>
      <c r="H14" s="133">
        <f>IF(B$17=0,0,G14/B$17)</f>
        <v>3.7974683544303799E-2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82</v>
      </c>
      <c r="C15" s="37">
        <f>IF(B$13=0,0,B15/B$13)</f>
        <v>0.55405405405405406</v>
      </c>
      <c r="E15" s="63" t="s">
        <v>82</v>
      </c>
      <c r="F15" s="60" t="s">
        <v>37</v>
      </c>
      <c r="G15" s="47">
        <v>8</v>
      </c>
      <c r="H15" s="133">
        <f>IF(B$17=0,0,G15/B$17)</f>
        <v>3.3755274261603373E-2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31.945454545454538</v>
      </c>
      <c r="P15" s="118">
        <v>22</v>
      </c>
      <c r="Q15" s="106">
        <v>702.79999999999984</v>
      </c>
    </row>
    <row r="16" spans="1:17" x14ac:dyDescent="0.4">
      <c r="A16" s="54" t="s">
        <v>125</v>
      </c>
      <c r="B16" s="46">
        <v>86</v>
      </c>
      <c r="C16" s="37">
        <f>IF(B$14=0,0,B16/B$14)</f>
        <v>0.42786069651741293</v>
      </c>
      <c r="E16" s="63" t="s">
        <v>92</v>
      </c>
      <c r="F16" s="60" t="s">
        <v>47</v>
      </c>
      <c r="G16" s="47">
        <v>4</v>
      </c>
      <c r="H16" s="133">
        <f>IF(B$17=0,0,G16/B$17)</f>
        <v>1.6877637130801686E-2</v>
      </c>
      <c r="I16" s="94">
        <v>7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237</v>
      </c>
      <c r="C17" s="37">
        <f>IF(B$3=0,0,B17/B$3)</f>
        <v>0.34051724137931033</v>
      </c>
      <c r="E17" s="63" t="s">
        <v>79</v>
      </c>
      <c r="F17" s="60" t="s">
        <v>34</v>
      </c>
      <c r="G17" s="47">
        <v>3</v>
      </c>
      <c r="H17" s="133">
        <f>IF(B$17=0,0,G17/B$17)</f>
        <v>1.2658227848101266E-2</v>
      </c>
      <c r="I17" s="94">
        <v>10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0.40928270042194093</v>
      </c>
      <c r="E18" s="63" t="s">
        <v>80</v>
      </c>
      <c r="F18" s="60" t="s">
        <v>35</v>
      </c>
      <c r="G18" s="47">
        <v>3</v>
      </c>
      <c r="H18" s="133">
        <f>IF(B$17=0,0,G18/B$17)</f>
        <v>1.2658227848101266E-2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140</v>
      </c>
      <c r="C19" s="39">
        <f>IF(B$17=0,0,B19/B$17)</f>
        <v>0.59071729957805907</v>
      </c>
      <c r="E19" s="63" t="s">
        <v>75</v>
      </c>
      <c r="F19" s="60" t="s">
        <v>30</v>
      </c>
      <c r="G19" s="47">
        <v>2</v>
      </c>
      <c r="H19" s="133">
        <f>IF(B$17=0,0,G19/B$17)</f>
        <v>8.4388185654008432E-3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97</v>
      </c>
      <c r="C20" s="39">
        <f>IF(B$3=0,0,B20/B$3)</f>
        <v>0.13936781609195403</v>
      </c>
      <c r="E20" s="63" t="s">
        <v>74</v>
      </c>
      <c r="F20" s="60" t="s">
        <v>29</v>
      </c>
      <c r="G20" s="47">
        <v>1</v>
      </c>
      <c r="H20" s="133">
        <f>IF(B$17=0,0,G20/B$17)</f>
        <v>4.2194092827004216E-3</v>
      </c>
      <c r="I20" s="94">
        <v>7</v>
      </c>
      <c r="K20" s="38">
        <v>18</v>
      </c>
      <c r="L20" s="99">
        <v>-28.199999999999996</v>
      </c>
      <c r="N20" s="115" t="s">
        <v>177</v>
      </c>
      <c r="O20" s="125">
        <f>IF(P20=0,0,Q20/P20)</f>
        <v>-2.4047619047619064</v>
      </c>
      <c r="P20" s="119">
        <v>21</v>
      </c>
      <c r="Q20" s="107">
        <v>-50.500000000000036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4.2194092827004216E-3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>IF(P21=0,0,Q21/P21)</f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88</v>
      </c>
      <c r="F22" s="60" t="s">
        <v>43</v>
      </c>
      <c r="G22" s="47">
        <v>1</v>
      </c>
      <c r="H22" s="133">
        <f>IF(B$17=0,0,G22/B$17)</f>
        <v>4.2194092827004216E-3</v>
      </c>
      <c r="I22" s="94">
        <v>4</v>
      </c>
      <c r="K22" s="38">
        <v>20</v>
      </c>
      <c r="L22" s="99">
        <v>43</v>
      </c>
      <c r="N22" s="115" t="s">
        <v>200</v>
      </c>
      <c r="O22" s="125">
        <f>IF(P22=0,0,Q22/P22)</f>
        <v>-16.62857142857143</v>
      </c>
      <c r="P22" s="119">
        <v>7</v>
      </c>
      <c r="Q22" s="107">
        <v>-116.40000000000002</v>
      </c>
    </row>
    <row r="23" spans="1:17" x14ac:dyDescent="0.4">
      <c r="A23" s="55" t="s">
        <v>5</v>
      </c>
      <c r="B23" s="51">
        <f>IF(B$17=0,0,C23/B$17)</f>
        <v>6817.7215189873414</v>
      </c>
      <c r="C23" s="41">
        <v>1615800</v>
      </c>
      <c r="E23" s="63" t="s">
        <v>91</v>
      </c>
      <c r="F23" s="60" t="s">
        <v>46</v>
      </c>
      <c r="G23" s="47">
        <v>1</v>
      </c>
      <c r="H23" s="133">
        <f>IF(B$17=0,0,G23/B$17)</f>
        <v>4.2194092827004216E-3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-25.348888888888887</v>
      </c>
      <c r="P23" s="119">
        <v>45</v>
      </c>
      <c r="Q23" s="107">
        <v>-1140.6999999999998</v>
      </c>
    </row>
    <row r="24" spans="1:17" x14ac:dyDescent="0.4">
      <c r="A24" s="57" t="s">
        <v>14</v>
      </c>
      <c r="B24" s="52">
        <f>IF(B$20=0,0,C24/B$20)</f>
        <v>-8630.9278350515469</v>
      </c>
      <c r="C24" s="45">
        <v>-837200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1.4367816091954023E-3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-176.40000000000003</v>
      </c>
    </row>
    <row r="84" spans="11:12" x14ac:dyDescent="0.4">
      <c r="K84" s="38">
        <v>82</v>
      </c>
      <c r="L84" s="99">
        <v>-134.80000000000004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47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0.42735042735042733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-2731.9148936170213</v>
      </c>
      <c r="P2" s="118">
        <v>47</v>
      </c>
      <c r="Q2" s="102">
        <v>-128400</v>
      </c>
    </row>
    <row r="3" spans="1:17" x14ac:dyDescent="0.4">
      <c r="A3" s="55" t="s">
        <v>8</v>
      </c>
      <c r="B3" s="152">
        <v>405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7.6923076923076927E-2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2059.5744680851062</v>
      </c>
      <c r="P3" s="119">
        <v>47</v>
      </c>
      <c r="Q3" s="103">
        <v>96800</v>
      </c>
    </row>
    <row r="4" spans="1:17" x14ac:dyDescent="0.4">
      <c r="A4" s="55" t="s">
        <v>6</v>
      </c>
      <c r="B4" s="154">
        <v>-439.7</v>
      </c>
      <c r="C4" s="155"/>
      <c r="E4" s="63" t="s">
        <v>67</v>
      </c>
      <c r="F4" s="60" t="s">
        <v>23</v>
      </c>
      <c r="G4" s="47">
        <v>78</v>
      </c>
      <c r="H4" s="133">
        <f>IF(B$17=0,0,G4/B$17)</f>
        <v>0.66666666666666663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-1050</v>
      </c>
      <c r="P4" s="119">
        <v>44</v>
      </c>
      <c r="Q4" s="103">
        <v>-46200</v>
      </c>
    </row>
    <row r="5" spans="1:17" x14ac:dyDescent="0.4">
      <c r="A5" s="55" t="s">
        <v>7</v>
      </c>
      <c r="B5" s="156">
        <f>IF(B$2=0,0,B$4/B$2)</f>
        <v>-9.3553191489361698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0.23931623931623933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-3870.731707317073</v>
      </c>
      <c r="P5" s="119">
        <v>41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2.1276595744680851</v>
      </c>
      <c r="C6" s="147"/>
      <c r="E6" s="63" t="s">
        <v>69</v>
      </c>
      <c r="F6" s="60" t="s">
        <v>12</v>
      </c>
      <c r="G6" s="47">
        <v>46</v>
      </c>
      <c r="H6" s="133">
        <f>IF(B$17=0,0,G6/B$17)</f>
        <v>0.39316239316239315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70</v>
      </c>
      <c r="F7" s="60" t="s">
        <v>25</v>
      </c>
      <c r="G7" s="47">
        <v>13</v>
      </c>
      <c r="H7" s="133">
        <f>IF(B$17=0,0,G7/B$17)</f>
        <v>0.1111111111111111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0.31914893617021278</v>
      </c>
      <c r="E8" s="63" t="s">
        <v>71</v>
      </c>
      <c r="F8" s="60" t="s">
        <v>26</v>
      </c>
      <c r="G8" s="47">
        <v>14</v>
      </c>
      <c r="H8" s="133">
        <f>IF(B$17=0,0,G8/B$17)</f>
        <v>0.11965811965811966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0.40425531914893614</v>
      </c>
      <c r="E9" s="63" t="s">
        <v>72</v>
      </c>
      <c r="F9" s="60" t="s">
        <v>27</v>
      </c>
      <c r="G9" s="47">
        <v>6</v>
      </c>
      <c r="H9" s="133">
        <f>IF(B$17=0,0,G9/B$17)</f>
        <v>5.128205128205128E-2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0.14893617021276595</v>
      </c>
      <c r="E10" s="63" t="s">
        <v>73</v>
      </c>
      <c r="F10" s="60" t="s">
        <v>28</v>
      </c>
      <c r="G10" s="47">
        <v>62</v>
      </c>
      <c r="H10" s="133">
        <f>IF(B$17=0,0,G10/B$17)</f>
        <v>0.52991452991452992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6.3829787234042548E-2</v>
      </c>
      <c r="E11" s="63" t="s">
        <v>74</v>
      </c>
      <c r="F11" s="60" t="s">
        <v>29</v>
      </c>
      <c r="G11" s="47">
        <v>2</v>
      </c>
      <c r="H11" s="133">
        <f>IF(B$17=0,0,G11/B$17)</f>
        <v>1.7094017094017096E-2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4.2553191489361701E-2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0.21975308641975308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102</v>
      </c>
      <c r="C14" s="39">
        <f>IF(B$3=0,0,B14/B$3)</f>
        <v>0.25185185185185183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0.3235294117647059</v>
      </c>
      <c r="E16" s="63" t="s">
        <v>79</v>
      </c>
      <c r="F16" s="60" t="s">
        <v>34</v>
      </c>
      <c r="G16" s="47">
        <v>2</v>
      </c>
      <c r="H16" s="133">
        <f>IF(B$17=0,0,G16/B$17)</f>
        <v>1.7094017094017096E-2</v>
      </c>
      <c r="I16" s="94">
        <v>9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117</v>
      </c>
      <c r="C17" s="37">
        <f>IF(B$3=0,0,B17/B$3)</f>
        <v>0.28888888888888886</v>
      </c>
      <c r="E17" s="63" t="s">
        <v>80</v>
      </c>
      <c r="F17" s="60" t="s">
        <v>35</v>
      </c>
      <c r="G17" s="47">
        <v>2</v>
      </c>
      <c r="H17" s="133">
        <f>IF(B$17=0,0,G17/B$17)</f>
        <v>1.7094017094017096E-2</v>
      </c>
      <c r="I17" s="94">
        <v>5</v>
      </c>
      <c r="K17" s="38">
        <v>15</v>
      </c>
      <c r="L17" s="99">
        <v>-264.59999999999997</v>
      </c>
      <c r="N17" s="115" t="s">
        <v>128</v>
      </c>
      <c r="O17" s="125">
        <f t="shared" si="2"/>
        <v>-12.160869565217387</v>
      </c>
      <c r="P17" s="119">
        <v>23</v>
      </c>
      <c r="Q17" s="107">
        <v>-279.69999999999993</v>
      </c>
    </row>
    <row r="18" spans="1:17" x14ac:dyDescent="0.4">
      <c r="A18" s="55" t="s">
        <v>12</v>
      </c>
      <c r="B18" s="47">
        <v>60</v>
      </c>
      <c r="C18" s="39">
        <f>IF(B$17=0,0,B18/B$17)</f>
        <v>0.51282051282051277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57</v>
      </c>
      <c r="C19" s="39">
        <f>IF(B$17=0,0,B19/B$17)</f>
        <v>0.48717948717948717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77</v>
      </c>
      <c r="C20" s="39">
        <f>IF(B$3=0,0,B20/B$3)</f>
        <v>0.19012345679012346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1.7094017094017096E-2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6904.2735042735039</v>
      </c>
      <c r="C23" s="41">
        <v>807800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4</v>
      </c>
      <c r="H24" s="133">
        <f>IF(B$17=0,0,G24/B$17)</f>
        <v>3.4188034188034191E-2</v>
      </c>
      <c r="I24" s="94">
        <v>10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8.5470085470085479E-3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4.9382716049382715E-3</v>
      </c>
      <c r="E27" s="63" t="s">
        <v>90</v>
      </c>
      <c r="F27" s="60" t="s">
        <v>45</v>
      </c>
      <c r="G27" s="47">
        <v>14</v>
      </c>
      <c r="H27" s="133">
        <f>IF(B$17=0,0,G27/B$17)</f>
        <v>0.11965811965811966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1.7094017094017096E-2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1.7094017094017096E-2</v>
      </c>
      <c r="I50" s="94">
        <v>4</v>
      </c>
    </row>
    <row r="51" spans="5:12" x14ac:dyDescent="0.4">
      <c r="E51" s="138" t="s">
        <v>245</v>
      </c>
      <c r="F51" s="139" t="s">
        <v>246</v>
      </c>
      <c r="G51" s="48">
        <v>46</v>
      </c>
      <c r="H51" s="140">
        <f>IF(B$17=0,0,G51/B$17)</f>
        <v>0.39316239316239315</v>
      </c>
      <c r="I51" s="141">
        <v>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71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0.63190184049079756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1040</v>
      </c>
      <c r="P2" s="118">
        <v>70</v>
      </c>
      <c r="Q2" s="102">
        <v>72800</v>
      </c>
    </row>
    <row r="3" spans="1:17" x14ac:dyDescent="0.4">
      <c r="A3" s="55" t="s">
        <v>8</v>
      </c>
      <c r="B3" s="152">
        <v>563</v>
      </c>
      <c r="C3" s="153"/>
      <c r="E3" s="63" t="s">
        <v>67</v>
      </c>
      <c r="F3" s="60" t="s">
        <v>23</v>
      </c>
      <c r="G3" s="47">
        <v>94</v>
      </c>
      <c r="H3" s="133">
        <f>IF(B$17=0,0,G3/B$17)</f>
        <v>0.57668711656441718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774.62686567164178</v>
      </c>
      <c r="P3" s="119">
        <v>67</v>
      </c>
      <c r="Q3" s="103">
        <v>51900</v>
      </c>
    </row>
    <row r="4" spans="1:17" x14ac:dyDescent="0.4">
      <c r="A4" s="55" t="s">
        <v>6</v>
      </c>
      <c r="B4" s="154">
        <v>200.7</v>
      </c>
      <c r="C4" s="155"/>
      <c r="E4" s="63" t="s">
        <v>245</v>
      </c>
      <c r="F4" s="60" t="s">
        <v>246</v>
      </c>
      <c r="G4" s="47">
        <v>70</v>
      </c>
      <c r="H4" s="133">
        <f>IF(B$17=0,0,G4/B$17)</f>
        <v>0.42944785276073622</v>
      </c>
      <c r="I4" s="94">
        <v>4</v>
      </c>
      <c r="K4" s="38">
        <v>2</v>
      </c>
      <c r="L4" s="99">
        <v>30</v>
      </c>
      <c r="N4" s="115" t="s">
        <v>134</v>
      </c>
      <c r="O4" s="122">
        <f t="shared" si="0"/>
        <v>-508.33333333333331</v>
      </c>
      <c r="P4" s="119">
        <v>60</v>
      </c>
      <c r="Q4" s="103">
        <v>-30500</v>
      </c>
    </row>
    <row r="5" spans="1:17" x14ac:dyDescent="0.4">
      <c r="A5" s="55" t="s">
        <v>7</v>
      </c>
      <c r="B5" s="156">
        <f>IF(B$2=0,0,B$4/B$2)</f>
        <v>2.8267605633802817</v>
      </c>
      <c r="C5" s="157"/>
      <c r="E5" s="63" t="s">
        <v>68</v>
      </c>
      <c r="F5" s="60" t="s">
        <v>24</v>
      </c>
      <c r="G5" s="47">
        <v>66</v>
      </c>
      <c r="H5" s="133">
        <f>IF(B$17=0,0,G5/B$17)</f>
        <v>0.40490797546012269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2035.0877192982457</v>
      </c>
      <c r="P5" s="119">
        <v>57</v>
      </c>
      <c r="Q5" s="103">
        <v>116000</v>
      </c>
    </row>
    <row r="6" spans="1:17" x14ac:dyDescent="0.4">
      <c r="A6" s="55" t="s">
        <v>1</v>
      </c>
      <c r="B6" s="146">
        <f>IF(B$2=0,0,(B$7*1+B$8*2+B$9*3)/B$2)</f>
        <v>1.9014084507042253</v>
      </c>
      <c r="C6" s="147"/>
      <c r="E6" s="63" t="s">
        <v>73</v>
      </c>
      <c r="F6" s="60" t="s">
        <v>28</v>
      </c>
      <c r="G6" s="47">
        <v>64</v>
      </c>
      <c r="H6" s="133">
        <f>IF(B$17=0,0,G6/B$17)</f>
        <v>0.39263803680981596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-1613.7254901960785</v>
      </c>
      <c r="P6" s="119">
        <v>51</v>
      </c>
      <c r="Q6" s="103">
        <v>-82300</v>
      </c>
    </row>
    <row r="7" spans="1:17" x14ac:dyDescent="0.4">
      <c r="A7" s="55" t="s">
        <v>2</v>
      </c>
      <c r="B7" s="47">
        <v>27</v>
      </c>
      <c r="C7" s="39">
        <f>IF(B$2=0,0,B7/B$2)</f>
        <v>0.38028169014084506</v>
      </c>
      <c r="E7" s="63" t="s">
        <v>69</v>
      </c>
      <c r="F7" s="60" t="s">
        <v>12</v>
      </c>
      <c r="G7" s="47">
        <v>52</v>
      </c>
      <c r="H7" s="133">
        <f>IF(B$17=0,0,G7/B$17)</f>
        <v>0.31901840490797545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71.428571428571431</v>
      </c>
      <c r="P7" s="120">
        <v>42</v>
      </c>
      <c r="Q7" s="104">
        <v>3000</v>
      </c>
    </row>
    <row r="8" spans="1:17" x14ac:dyDescent="0.4">
      <c r="A8" s="55" t="s">
        <v>3</v>
      </c>
      <c r="B8" s="47">
        <v>24</v>
      </c>
      <c r="C8" s="39">
        <f>IF(B$2=0,0,B8/B$2)</f>
        <v>0.3380281690140845</v>
      </c>
      <c r="E8" s="63" t="s">
        <v>70</v>
      </c>
      <c r="F8" s="60" t="s">
        <v>25</v>
      </c>
      <c r="G8" s="47">
        <v>29</v>
      </c>
      <c r="H8" s="133">
        <f>IF(B$17=0,0,G8/B$17)</f>
        <v>0.17791411042944785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0.28169014084507044</v>
      </c>
      <c r="E9" s="63" t="s">
        <v>66</v>
      </c>
      <c r="F9" s="60" t="s">
        <v>22</v>
      </c>
      <c r="G9" s="47">
        <v>19</v>
      </c>
      <c r="H9" s="133">
        <f>IF(B$17=0,0,G9/B$17)</f>
        <v>0.1165644171779141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0.15492957746478872</v>
      </c>
      <c r="E10" s="63" t="s">
        <v>90</v>
      </c>
      <c r="F10" s="60" t="s">
        <v>45</v>
      </c>
      <c r="G10" s="47">
        <v>17</v>
      </c>
      <c r="H10" s="133">
        <f>IF(B$17=0,0,G10/B$17)</f>
        <v>0.10429447852760736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4.1181818181818182</v>
      </c>
      <c r="P10" s="118">
        <v>22</v>
      </c>
      <c r="Q10" s="106">
        <v>90.6</v>
      </c>
    </row>
    <row r="11" spans="1:17" x14ac:dyDescent="0.4">
      <c r="A11" s="56" t="s">
        <v>140</v>
      </c>
      <c r="B11" s="48">
        <v>9</v>
      </c>
      <c r="C11" s="40">
        <f>IF(B$2=0,0,B11/B$2)</f>
        <v>0.12676056338028169</v>
      </c>
      <c r="E11" s="63" t="s">
        <v>71</v>
      </c>
      <c r="F11" s="60" t="s">
        <v>26</v>
      </c>
      <c r="G11" s="47">
        <v>12</v>
      </c>
      <c r="H11" s="133">
        <f>IF(B$17=0,0,G11/B$17)</f>
        <v>7.3619631901840496E-2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7.4607142857142872</v>
      </c>
      <c r="P11" s="119">
        <v>28</v>
      </c>
      <c r="Q11" s="107">
        <v>208.90000000000003</v>
      </c>
    </row>
    <row r="12" spans="1:17" x14ac:dyDescent="0.4">
      <c r="A12" s="57" t="s">
        <v>160</v>
      </c>
      <c r="B12" s="49">
        <v>5</v>
      </c>
      <c r="C12" s="42">
        <f>IF(B$2=0,0,B12/B$2)</f>
        <v>7.0422535211267609E-2</v>
      </c>
      <c r="E12" s="63" t="s">
        <v>72</v>
      </c>
      <c r="F12" s="60" t="s">
        <v>27</v>
      </c>
      <c r="G12" s="47">
        <v>11</v>
      </c>
      <c r="H12" s="133">
        <f>IF(B$17=0,0,G12/B$17)</f>
        <v>6.7484662576687116E-2</v>
      </c>
      <c r="I12" s="94">
        <v>7</v>
      </c>
      <c r="K12" s="38">
        <v>10</v>
      </c>
      <c r="L12" s="99">
        <v>-183.7</v>
      </c>
      <c r="N12" s="116" t="s">
        <v>166</v>
      </c>
      <c r="O12" s="126">
        <f>IF(P12=0,0,Q12/P12)</f>
        <v>-4.7047619047619049</v>
      </c>
      <c r="P12" s="120">
        <v>21</v>
      </c>
      <c r="Q12" s="108">
        <v>-98.800000000000011</v>
      </c>
    </row>
    <row r="13" spans="1:17" x14ac:dyDescent="0.4">
      <c r="A13" s="58" t="s">
        <v>122</v>
      </c>
      <c r="B13" s="50">
        <v>166</v>
      </c>
      <c r="C13" s="44">
        <f>IF(B$3=0,0,B13/B$3)</f>
        <v>0.29484902309058614</v>
      </c>
      <c r="E13" s="63" t="s">
        <v>87</v>
      </c>
      <c r="F13" s="60" t="s">
        <v>42</v>
      </c>
      <c r="G13" s="47">
        <v>8</v>
      </c>
      <c r="H13" s="133">
        <f>IF(B$17=0,0,G13/B$17)</f>
        <v>4.9079754601226995E-2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100</v>
      </c>
      <c r="C14" s="39">
        <f>IF(B$3=0,0,B14/B$3)</f>
        <v>0.17761989342806395</v>
      </c>
      <c r="E14" s="63" t="s">
        <v>84</v>
      </c>
      <c r="F14" s="60" t="s">
        <v>39</v>
      </c>
      <c r="G14" s="47">
        <v>7</v>
      </c>
      <c r="H14" s="133">
        <f>IF(B$17=0,0,G14/B$17)</f>
        <v>4.2944785276073622E-2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103</v>
      </c>
      <c r="C15" s="37">
        <f>IF(B$13=0,0,B15/B$13)</f>
        <v>0.62048192771084343</v>
      </c>
      <c r="E15" s="63" t="s">
        <v>79</v>
      </c>
      <c r="F15" s="60" t="s">
        <v>34</v>
      </c>
      <c r="G15" s="47">
        <v>5</v>
      </c>
      <c r="H15" s="133">
        <f>IF(B$17=0,0,G15/B$17)</f>
        <v>3.0674846625766871E-2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34</v>
      </c>
      <c r="C16" s="37">
        <f>IF(B$14=0,0,B16/B$14)</f>
        <v>0.34</v>
      </c>
      <c r="E16" s="63" t="s">
        <v>92</v>
      </c>
      <c r="F16" s="60" t="s">
        <v>47</v>
      </c>
      <c r="G16" s="47">
        <v>5</v>
      </c>
      <c r="H16" s="133">
        <f>IF(B$17=0,0,G16/B$17)</f>
        <v>3.0674846625766871E-2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22.275000000000002</v>
      </c>
      <c r="P16" s="119">
        <v>8</v>
      </c>
      <c r="Q16" s="107">
        <v>178.20000000000002</v>
      </c>
    </row>
    <row r="17" spans="1:17" x14ac:dyDescent="0.4">
      <c r="A17" s="54" t="s">
        <v>10</v>
      </c>
      <c r="B17" s="46">
        <f>B19+B18</f>
        <v>163</v>
      </c>
      <c r="C17" s="37">
        <f>IF(B$3=0,0,B17/B$3)</f>
        <v>0.28952042628774421</v>
      </c>
      <c r="E17" s="63" t="s">
        <v>82</v>
      </c>
      <c r="F17" s="60" t="s">
        <v>37</v>
      </c>
      <c r="G17" s="47">
        <v>4</v>
      </c>
      <c r="H17" s="133">
        <f>IF(B$17=0,0,G17/B$17)</f>
        <v>2.4539877300613498E-2</v>
      </c>
      <c r="I17" s="94">
        <v>7</v>
      </c>
      <c r="K17" s="38">
        <v>15</v>
      </c>
      <c r="L17" s="99">
        <v>-146.19999999999999</v>
      </c>
      <c r="N17" s="115" t="s">
        <v>129</v>
      </c>
      <c r="O17" s="125">
        <f>IF(P17=0,0,Q17/P17)</f>
        <v>15.755000000000001</v>
      </c>
      <c r="P17" s="119">
        <v>20</v>
      </c>
      <c r="Q17" s="107">
        <v>315.10000000000002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0.43558282208588955</v>
      </c>
      <c r="E18" s="63" t="s">
        <v>86</v>
      </c>
      <c r="F18" s="60" t="s">
        <v>41</v>
      </c>
      <c r="G18" s="47">
        <v>3</v>
      </c>
      <c r="H18" s="133">
        <f>IF(B$17=0,0,G18/B$17)</f>
        <v>1.8404907975460124E-2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8.7481481481481485</v>
      </c>
      <c r="P18" s="119">
        <v>27</v>
      </c>
      <c r="Q18" s="107">
        <v>236.2</v>
      </c>
    </row>
    <row r="19" spans="1:17" x14ac:dyDescent="0.4">
      <c r="A19" s="55" t="s">
        <v>11</v>
      </c>
      <c r="B19" s="47">
        <v>92</v>
      </c>
      <c r="C19" s="39">
        <f>IF(B$17=0,0,B19/B$17)</f>
        <v>0.56441717791411039</v>
      </c>
      <c r="E19" s="63" t="s">
        <v>78</v>
      </c>
      <c r="F19" s="60" t="s">
        <v>33</v>
      </c>
      <c r="G19" s="47">
        <v>2</v>
      </c>
      <c r="H19" s="133">
        <f>IF(B$17=0,0,G19/B$17)</f>
        <v>1.2269938650306749E-2</v>
      </c>
      <c r="I19" s="94">
        <v>2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85</v>
      </c>
      <c r="C20" s="39">
        <f>IF(B$3=0,0,B20/B$3)</f>
        <v>0.15097690941385436</v>
      </c>
      <c r="E20" s="63" t="s">
        <v>80</v>
      </c>
      <c r="F20" s="60" t="s">
        <v>35</v>
      </c>
      <c r="G20" s="47">
        <v>2</v>
      </c>
      <c r="H20" s="133">
        <f>IF(B$17=0,0,G20/B$17)</f>
        <v>1.2269938650306749E-2</v>
      </c>
      <c r="I20" s="94">
        <v>8</v>
      </c>
      <c r="K20" s="38">
        <v>18</v>
      </c>
      <c r="L20" s="99">
        <v>-159</v>
      </c>
      <c r="N20" s="115" t="s">
        <v>172</v>
      </c>
      <c r="O20" s="125">
        <f>IF(P20=0,0,Q20/P20)</f>
        <v>2.4047619047619015</v>
      </c>
      <c r="P20" s="119">
        <v>21</v>
      </c>
      <c r="Q20" s="107">
        <v>50.499999999999936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91</v>
      </c>
      <c r="F21" s="60" t="s">
        <v>46</v>
      </c>
      <c r="G21" s="47">
        <v>2</v>
      </c>
      <c r="H21" s="133">
        <f>IF(B$17=0,0,G21/B$17)</f>
        <v>1.2269938650306749E-2</v>
      </c>
      <c r="I21" s="94">
        <v>1</v>
      </c>
      <c r="K21" s="38">
        <v>19</v>
      </c>
      <c r="L21" s="99">
        <v>-235.6</v>
      </c>
      <c r="N21" s="115" t="s">
        <v>200</v>
      </c>
      <c r="O21" s="125">
        <f>IF(P21=0,0,Q21/P21)</f>
        <v>-2.0857142857142845</v>
      </c>
      <c r="P21" s="119">
        <v>7</v>
      </c>
      <c r="Q21" s="107">
        <v>-14.599999999999991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75</v>
      </c>
      <c r="F22" s="60" t="s">
        <v>30</v>
      </c>
      <c r="G22" s="47">
        <v>1</v>
      </c>
      <c r="H22" s="133">
        <f>IF(B$17=0,0,G22/B$17)</f>
        <v>6.1349693251533744E-3</v>
      </c>
      <c r="I22" s="94">
        <v>5</v>
      </c>
      <c r="K22" s="38">
        <v>20</v>
      </c>
      <c r="L22" s="99">
        <v>-200.8</v>
      </c>
      <c r="N22" s="115" t="s">
        <v>127</v>
      </c>
      <c r="O22" s="125">
        <f>IF(P22=0,0,Q22/P22)</f>
        <v>-24.959375000000005</v>
      </c>
      <c r="P22" s="119">
        <v>32</v>
      </c>
      <c r="Q22" s="107">
        <v>-798.70000000000016</v>
      </c>
    </row>
    <row r="23" spans="1:17" x14ac:dyDescent="0.4">
      <c r="A23" s="55" t="s">
        <v>5</v>
      </c>
      <c r="B23" s="51">
        <f>IF(B$17=0,0,C23/B$17)</f>
        <v>8904.9079754601225</v>
      </c>
      <c r="C23" s="41">
        <v>1451500</v>
      </c>
      <c r="E23" s="63" t="s">
        <v>76</v>
      </c>
      <c r="F23" s="60" t="s">
        <v>31</v>
      </c>
      <c r="G23" s="47">
        <v>1</v>
      </c>
      <c r="H23" s="133">
        <f>IF(B$17=0,0,G23/B$17)</f>
        <v>6.1349693251533744E-3</v>
      </c>
      <c r="I23" s="94">
        <v>4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-7490.588235294118</v>
      </c>
      <c r="C24" s="45">
        <v>-636700</v>
      </c>
      <c r="E24" s="63" t="s">
        <v>93</v>
      </c>
      <c r="F24" s="60" t="s">
        <v>48</v>
      </c>
      <c r="G24" s="47">
        <v>1</v>
      </c>
      <c r="H24" s="133">
        <f>IF(B$17=0,0,G24/B$17)</f>
        <v>6.1349693251533744E-3</v>
      </c>
      <c r="I24" s="94">
        <v>3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6.1349693251533744E-3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6.1349693251533744E-3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5.3285968028419185E-3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  <row r="66" spans="11:12" x14ac:dyDescent="0.4">
      <c r="K66" s="38">
        <v>64</v>
      </c>
      <c r="L66" s="99">
        <v>287.60000000000002</v>
      </c>
    </row>
    <row r="67" spans="11:12" x14ac:dyDescent="0.4">
      <c r="K67" s="38">
        <v>65</v>
      </c>
      <c r="L67" s="99">
        <v>323.60000000000002</v>
      </c>
    </row>
    <row r="68" spans="11:12" x14ac:dyDescent="0.4">
      <c r="K68" s="38">
        <v>66</v>
      </c>
      <c r="L68" s="99">
        <v>328.6</v>
      </c>
    </row>
    <row r="69" spans="11:12" x14ac:dyDescent="0.4">
      <c r="K69" s="38">
        <v>67</v>
      </c>
      <c r="L69" s="99">
        <v>307</v>
      </c>
    </row>
    <row r="70" spans="11:12" x14ac:dyDescent="0.4">
      <c r="K70" s="38">
        <v>68</v>
      </c>
      <c r="L70" s="99">
        <v>277.39999999999998</v>
      </c>
    </row>
    <row r="71" spans="11:12" x14ac:dyDescent="0.4">
      <c r="K71" s="38">
        <v>69</v>
      </c>
      <c r="L71" s="99">
        <v>244.49999999999997</v>
      </c>
    </row>
    <row r="72" spans="11:12" x14ac:dyDescent="0.4">
      <c r="K72" s="38">
        <v>70</v>
      </c>
      <c r="L72" s="99">
        <v>258.2</v>
      </c>
    </row>
    <row r="73" spans="11:12" x14ac:dyDescent="0.4">
      <c r="K73" s="38">
        <v>71</v>
      </c>
      <c r="L73" s="99">
        <v>200.7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0.52380952380952384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2.3809523809523808E-2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-127.5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0.9285714285714286</v>
      </c>
      <c r="I4" s="94">
        <v>2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-7.083333333333333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0.26190476190476192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70</v>
      </c>
      <c r="F7" s="60" t="s">
        <v>25</v>
      </c>
      <c r="G7" s="47">
        <v>8</v>
      </c>
      <c r="H7" s="133">
        <f>IF(B$17=0,0,G7/B$17)</f>
        <v>0.19047619047619047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71</v>
      </c>
      <c r="F8" s="60" t="s">
        <v>26</v>
      </c>
      <c r="G8" s="47">
        <v>7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7.1428571428571425E-2</v>
      </c>
      <c r="I9" s="94">
        <v>4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73</v>
      </c>
      <c r="F10" s="60" t="s">
        <v>28</v>
      </c>
      <c r="G10" s="47">
        <v>23</v>
      </c>
      <c r="H10" s="133">
        <f>IF(B$17=0,0,G10/B$17)</f>
        <v>0.54761904761904767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1</v>
      </c>
      <c r="H11" s="133">
        <f>IF(B$17=0,0,G11/B$17)</f>
        <v>2.3809523809523808E-2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-11.916666666666666</v>
      </c>
      <c r="P11" s="119">
        <v>6</v>
      </c>
      <c r="Q11" s="107">
        <v>-71.5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1</v>
      </c>
      <c r="H12" s="133">
        <f>IF(B$17=0,0,G12/B$17)</f>
        <v>2.3809523809523808E-2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24.240000000000002</v>
      </c>
      <c r="P16" s="119">
        <v>5</v>
      </c>
      <c r="Q16" s="107">
        <v>121.20000000000002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4.7619047619047616E-2</v>
      </c>
      <c r="I17" s="94">
        <v>1</v>
      </c>
      <c r="K17" s="38">
        <v>15</v>
      </c>
      <c r="L17" s="99">
        <v>-85.399999999999991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-140.79999999999998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82</v>
      </c>
      <c r="F19" s="60" t="s">
        <v>37</v>
      </c>
      <c r="G19" s="47">
        <v>1</v>
      </c>
      <c r="H19" s="133">
        <f>IF(B$17=0,0,G19/B$17)</f>
        <v>2.3809523809523808E-2</v>
      </c>
      <c r="I19" s="94">
        <v>8</v>
      </c>
      <c r="K19" s="38">
        <v>17</v>
      </c>
      <c r="L19" s="99">
        <v>-204.5</v>
      </c>
      <c r="N19" s="115" t="s">
        <v>127</v>
      </c>
      <c r="O19" s="125">
        <f t="shared" si="2"/>
        <v>-23.075000000000003</v>
      </c>
      <c r="P19" s="119">
        <v>12</v>
      </c>
      <c r="Q19" s="107">
        <v>-276.90000000000003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-127.5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84</v>
      </c>
      <c r="F21" s="60" t="s">
        <v>39</v>
      </c>
      <c r="G21" s="47">
        <v>5</v>
      </c>
      <c r="H21" s="133">
        <f>IF(B$17=0,0,G21/B$17)</f>
        <v>0.11904761904761904</v>
      </c>
      <c r="I21" s="94">
        <v>2</v>
      </c>
      <c r="N21" s="115" t="s">
        <v>128</v>
      </c>
      <c r="O21" s="125">
        <f t="shared" si="2"/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0.11904761904761904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2.3809523809523808E-2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15</v>
      </c>
      <c r="H51" s="140">
        <f>IF(B$17=0,0,G51/B$17)</f>
        <v>0.35714285714285715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</v>
      </c>
      <c r="C2" s="151"/>
      <c r="E2" s="62" t="s">
        <v>73</v>
      </c>
      <c r="F2" s="59" t="s">
        <v>28</v>
      </c>
      <c r="G2" s="46">
        <v>31</v>
      </c>
      <c r="H2" s="132">
        <f>IF(B$17=0,0,G2/B$17)</f>
        <v>0.79487179487179482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-181.81818181818181</v>
      </c>
      <c r="P2" s="118">
        <v>11</v>
      </c>
      <c r="Q2" s="102">
        <v>-2000</v>
      </c>
    </row>
    <row r="3" spans="1:17" x14ac:dyDescent="0.4">
      <c r="A3" s="55" t="s">
        <v>8</v>
      </c>
      <c r="B3" s="152">
        <v>101</v>
      </c>
      <c r="C3" s="153"/>
      <c r="E3" s="63" t="s">
        <v>67</v>
      </c>
      <c r="F3" s="60" t="s">
        <v>23</v>
      </c>
      <c r="G3" s="47">
        <v>23</v>
      </c>
      <c r="H3" s="133">
        <f>IF(B$17=0,0,G3/B$17)</f>
        <v>0.58974358974358976</v>
      </c>
      <c r="I3" s="94">
        <v>12</v>
      </c>
      <c r="K3" s="38">
        <v>1</v>
      </c>
      <c r="L3" s="99">
        <v>-12.5</v>
      </c>
      <c r="N3" s="115" t="s">
        <v>133</v>
      </c>
      <c r="O3" s="122">
        <f t="shared" si="0"/>
        <v>1881.8181818181818</v>
      </c>
      <c r="P3" s="119">
        <v>11</v>
      </c>
      <c r="Q3" s="103">
        <v>20700</v>
      </c>
    </row>
    <row r="4" spans="1:17" x14ac:dyDescent="0.4">
      <c r="A4" s="55" t="s">
        <v>6</v>
      </c>
      <c r="B4" s="154">
        <v>100.69999999999999</v>
      </c>
      <c r="C4" s="155"/>
      <c r="E4" s="63" t="s">
        <v>65</v>
      </c>
      <c r="F4" s="60" t="s">
        <v>21</v>
      </c>
      <c r="G4" s="47">
        <v>16</v>
      </c>
      <c r="H4" s="133">
        <f>IF(B$17=0,0,G4/B$17)</f>
        <v>0.41025641025641024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-4481.818181818182</v>
      </c>
      <c r="P4" s="119">
        <v>11</v>
      </c>
      <c r="Q4" s="103">
        <v>-49300</v>
      </c>
    </row>
    <row r="5" spans="1:17" x14ac:dyDescent="0.4">
      <c r="A5" s="55" t="s">
        <v>7</v>
      </c>
      <c r="B5" s="156">
        <f>IF(B$2=0,0,B$4/B$2)</f>
        <v>8.3916666666666657</v>
      </c>
      <c r="C5" s="157"/>
      <c r="E5" s="63" t="s">
        <v>69</v>
      </c>
      <c r="F5" s="60" t="s">
        <v>12</v>
      </c>
      <c r="G5" s="47">
        <v>14</v>
      </c>
      <c r="H5" s="133">
        <f>IF(B$17=0,0,G5/B$17)</f>
        <v>0.35897435897435898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-818.18181818181813</v>
      </c>
      <c r="P5" s="119">
        <v>11</v>
      </c>
      <c r="Q5" s="103">
        <v>-9000</v>
      </c>
    </row>
    <row r="6" spans="1:17" x14ac:dyDescent="0.4">
      <c r="A6" s="55" t="s">
        <v>1</v>
      </c>
      <c r="B6" s="146">
        <f>IF(B$2=0,0,(B$7*1+B$8*2+B$9*3)/B$2)</f>
        <v>1.75</v>
      </c>
      <c r="C6" s="147"/>
      <c r="E6" s="63" t="s">
        <v>68</v>
      </c>
      <c r="F6" s="60" t="s">
        <v>24</v>
      </c>
      <c r="G6" s="47">
        <v>11</v>
      </c>
      <c r="H6" s="133">
        <f>IF(B$17=0,0,G6/B$17)</f>
        <v>0.28205128205128205</v>
      </c>
      <c r="I6" s="94">
        <v>10</v>
      </c>
      <c r="K6" s="38">
        <v>4</v>
      </c>
      <c r="L6" s="99">
        <v>19.399999999999995</v>
      </c>
      <c r="N6" s="115" t="s">
        <v>136</v>
      </c>
      <c r="O6" s="122">
        <f t="shared" si="0"/>
        <v>11366.666666666666</v>
      </c>
      <c r="P6" s="119">
        <v>9</v>
      </c>
      <c r="Q6" s="103">
        <v>102300</v>
      </c>
    </row>
    <row r="7" spans="1:17" x14ac:dyDescent="0.4">
      <c r="A7" s="55" t="s">
        <v>2</v>
      </c>
      <c r="B7" s="47">
        <v>4</v>
      </c>
      <c r="C7" s="39">
        <f>IF(B$2=0,0,B7/B$2)</f>
        <v>0.33333333333333331</v>
      </c>
      <c r="E7" s="63" t="s">
        <v>245</v>
      </c>
      <c r="F7" s="60" t="s">
        <v>246</v>
      </c>
      <c r="G7" s="47">
        <v>11</v>
      </c>
      <c r="H7" s="133">
        <f>IF(B$17=0,0,G7/B$17)</f>
        <v>0.28205128205128205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-250</v>
      </c>
      <c r="P7" s="120">
        <v>8</v>
      </c>
      <c r="Q7" s="104">
        <v>-2000</v>
      </c>
    </row>
    <row r="8" spans="1:17" x14ac:dyDescent="0.4">
      <c r="A8" s="55" t="s">
        <v>3</v>
      </c>
      <c r="B8" s="47">
        <v>7</v>
      </c>
      <c r="C8" s="39">
        <f>IF(B$2=0,0,B8/B$2)</f>
        <v>0.58333333333333337</v>
      </c>
      <c r="E8" s="63" t="s">
        <v>90</v>
      </c>
      <c r="F8" s="60" t="s">
        <v>45</v>
      </c>
      <c r="G8" s="47">
        <v>7</v>
      </c>
      <c r="H8" s="133">
        <f>IF(B$17=0,0,G8/B$17)</f>
        <v>0.17948717948717949</v>
      </c>
      <c r="I8" s="94">
        <v>3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8.3333333333333329E-2</v>
      </c>
      <c r="E9" s="63" t="s">
        <v>70</v>
      </c>
      <c r="F9" s="60" t="s">
        <v>25</v>
      </c>
      <c r="G9" s="47">
        <v>6</v>
      </c>
      <c r="H9" s="133">
        <f>IF(B$17=0,0,G9/B$17)</f>
        <v>0.15384615384615385</v>
      </c>
      <c r="I9" s="94">
        <v>9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87</v>
      </c>
      <c r="F10" s="60" t="s">
        <v>42</v>
      </c>
      <c r="G10" s="47">
        <v>4</v>
      </c>
      <c r="H10" s="133">
        <f>IF(B$17=0,0,G10/B$17)</f>
        <v>0.10256410256410256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1</v>
      </c>
      <c r="C11" s="40">
        <f>IF(B$2=0,0,B11/B$2)</f>
        <v>8.3333333333333329E-2</v>
      </c>
      <c r="E11" s="63" t="s">
        <v>79</v>
      </c>
      <c r="F11" s="60" t="s">
        <v>34</v>
      </c>
      <c r="G11" s="47">
        <v>3</v>
      </c>
      <c r="H11" s="133">
        <f>IF(B$17=0,0,G11/B$17)</f>
        <v>7.6923076923076927E-2</v>
      </c>
      <c r="I11" s="94">
        <v>2</v>
      </c>
      <c r="K11" s="38">
        <v>9</v>
      </c>
      <c r="L11" s="99">
        <v>18.099999999999994</v>
      </c>
      <c r="N11" s="115" t="s">
        <v>165</v>
      </c>
      <c r="O11" s="125">
        <f>IF(P11=0,0,Q11/P11)</f>
        <v>35.833333333333336</v>
      </c>
      <c r="P11" s="119">
        <v>3</v>
      </c>
      <c r="Q11" s="107">
        <v>107.5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66</v>
      </c>
      <c r="F12" s="60" t="s">
        <v>22</v>
      </c>
      <c r="G12" s="47">
        <v>2</v>
      </c>
      <c r="H12" s="133">
        <f>IF(B$17=0,0,G12/B$17)</f>
        <v>5.128205128205128E-2</v>
      </c>
      <c r="I12" s="94">
        <v>9</v>
      </c>
      <c r="K12" s="38">
        <v>10</v>
      </c>
      <c r="L12" s="99">
        <v>18.099999999999994</v>
      </c>
      <c r="N12" s="116" t="s">
        <v>166</v>
      </c>
      <c r="O12" s="126">
        <f>IF(P12=0,0,Q12/P12)</f>
        <v>-3.4200000000000004</v>
      </c>
      <c r="P12" s="120">
        <v>5</v>
      </c>
      <c r="Q12" s="108">
        <v>-17.100000000000001</v>
      </c>
    </row>
    <row r="13" spans="1:17" x14ac:dyDescent="0.4">
      <c r="A13" s="58" t="s">
        <v>122</v>
      </c>
      <c r="B13" s="50">
        <v>23</v>
      </c>
      <c r="C13" s="44">
        <f>IF(B$3=0,0,B13/B$3)</f>
        <v>0.22772277227722773</v>
      </c>
      <c r="E13" s="63" t="s">
        <v>78</v>
      </c>
      <c r="F13" s="60" t="s">
        <v>33</v>
      </c>
      <c r="G13" s="47">
        <v>1</v>
      </c>
      <c r="H13" s="133">
        <f>IF(B$17=0,0,G13/B$17)</f>
        <v>2.564102564102564E-2</v>
      </c>
      <c r="I13" s="94">
        <v>1</v>
      </c>
      <c r="K13" s="38">
        <v>11</v>
      </c>
      <c r="L13" s="99">
        <v>109.39999999999999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</v>
      </c>
      <c r="C14" s="39">
        <f>IF(B$3=0,0,B14/B$3)</f>
        <v>0.34653465346534651</v>
      </c>
      <c r="E14" s="63" t="s">
        <v>80</v>
      </c>
      <c r="F14" s="60" t="s">
        <v>35</v>
      </c>
      <c r="G14" s="47">
        <v>1</v>
      </c>
      <c r="H14" s="133">
        <f>IF(B$17=0,0,G14/B$17)</f>
        <v>2.564102564102564E-2</v>
      </c>
      <c r="I14" s="94">
        <v>2</v>
      </c>
      <c r="K14" s="38">
        <v>12</v>
      </c>
      <c r="L14" s="99">
        <v>100.69999999999999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0.69565217391304346</v>
      </c>
      <c r="E15" s="63" t="s">
        <v>84</v>
      </c>
      <c r="F15" s="60" t="s">
        <v>39</v>
      </c>
      <c r="G15" s="47">
        <v>1</v>
      </c>
      <c r="H15" s="133">
        <f>IF(B$17=0,0,G15/B$17)</f>
        <v>2.564102564102564E-2</v>
      </c>
      <c r="I15" s="94">
        <v>10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18</v>
      </c>
      <c r="C16" s="37">
        <f>IF(B$14=0,0,B16/B$14)</f>
        <v>0.51428571428571423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39</v>
      </c>
      <c r="C17" s="37">
        <f>IF(B$3=0,0,B17/B$3)</f>
        <v>0.38613861386138615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11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24</v>
      </c>
      <c r="C18" s="39">
        <f>IF(B$17=0,0,B18/B$17)</f>
        <v>0.61538461538461542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8</v>
      </c>
      <c r="N18" s="115" t="s">
        <v>127</v>
      </c>
      <c r="O18" s="125">
        <f>IF(P18=0,0,Q18/P18)</f>
        <v>8.9666666666666668</v>
      </c>
      <c r="P18" s="119">
        <v>3</v>
      </c>
      <c r="Q18" s="107">
        <v>26.9</v>
      </c>
    </row>
    <row r="19" spans="1:17" x14ac:dyDescent="0.4">
      <c r="A19" s="55" t="s">
        <v>11</v>
      </c>
      <c r="B19" s="47">
        <v>15</v>
      </c>
      <c r="C19" s="39">
        <f>IF(B$17=0,0,B19/B$17)</f>
        <v>0.38461538461538464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7</v>
      </c>
      <c r="N19" s="115" t="s">
        <v>128</v>
      </c>
      <c r="O19" s="125">
        <f>IF(P19=0,0,Q19/P19)</f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18</v>
      </c>
      <c r="C20" s="39">
        <f>IF(B$3=0,0,B20/B$3)</f>
        <v>0.17821782178217821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9</v>
      </c>
      <c r="N20" s="115" t="s">
        <v>177</v>
      </c>
      <c r="O20" s="125">
        <f>IF(P20=0,0,Q20/P20)</f>
        <v>2.0857142857142854</v>
      </c>
      <c r="P20" s="119">
        <v>7</v>
      </c>
      <c r="Q20" s="107">
        <v>14.599999999999998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7551.2820512820517</v>
      </c>
      <c r="C23" s="41">
        <v>294500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-7388.8888888888887</v>
      </c>
      <c r="C24" s="45">
        <v>-133000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  <row r="14" spans="1:17" x14ac:dyDescent="0.4">
      <c r="A14" s="69">
        <v>11</v>
      </c>
      <c r="B14" s="66">
        <v>109.39999999999999</v>
      </c>
      <c r="C14" s="66">
        <v>9.9454545454545453</v>
      </c>
      <c r="D14" s="71">
        <v>1.7272727272727273</v>
      </c>
      <c r="E14" s="67">
        <v>0.36363636363636365</v>
      </c>
      <c r="F14" s="67">
        <v>9.0909090909090912E-2</v>
      </c>
      <c r="G14" s="67">
        <v>0.38297872340425532</v>
      </c>
      <c r="H14" s="67">
        <v>0.1702127659574468</v>
      </c>
      <c r="I14" s="68">
        <v>7680.5555555555557</v>
      </c>
      <c r="J14" s="68">
        <v>-6831.25</v>
      </c>
      <c r="K14" s="67">
        <v>0</v>
      </c>
      <c r="L14" s="67">
        <v>9.0909090909090912E-2</v>
      </c>
      <c r="M14" s="67">
        <v>0.24468085106382978</v>
      </c>
      <c r="N14" s="67">
        <v>0.31914893617021278</v>
      </c>
      <c r="O14" s="67">
        <v>0.69565217391304346</v>
      </c>
      <c r="P14" s="67">
        <v>0.53333333333333333</v>
      </c>
      <c r="Q14" s="67">
        <v>0.63888888888888884</v>
      </c>
    </row>
    <row r="15" spans="1:17" x14ac:dyDescent="0.4">
      <c r="A15" s="69">
        <v>12</v>
      </c>
      <c r="B15" s="66">
        <v>100.69999999999999</v>
      </c>
      <c r="C15" s="66">
        <v>8.3916666666666657</v>
      </c>
      <c r="D15" s="71">
        <v>1.75</v>
      </c>
      <c r="E15" s="67">
        <v>0.33333333333333331</v>
      </c>
      <c r="F15" s="67">
        <v>8.3333333333333329E-2</v>
      </c>
      <c r="G15" s="67">
        <v>0.38613861386138615</v>
      </c>
      <c r="H15" s="67">
        <v>0.17821782178217821</v>
      </c>
      <c r="I15" s="68">
        <v>7551.2820512820517</v>
      </c>
      <c r="J15" s="68">
        <v>-7388.8888888888887</v>
      </c>
      <c r="K15" s="67">
        <v>0</v>
      </c>
      <c r="L15" s="67">
        <v>8.3333333333333329E-2</v>
      </c>
      <c r="M15" s="67">
        <v>0.22772277227722773</v>
      </c>
      <c r="N15" s="67">
        <v>0.34653465346534651</v>
      </c>
      <c r="O15" s="67">
        <v>0.69565217391304346</v>
      </c>
      <c r="P15" s="67">
        <v>0.51428571428571423</v>
      </c>
      <c r="Q15" s="67">
        <v>0.61538461538461542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-140.79999999999998</v>
      </c>
      <c r="C19" s="66">
        <v>-8.7999999999999989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-204.5</v>
      </c>
      <c r="C20" s="66">
        <v>-12.029411764705882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-127.5</v>
      </c>
      <c r="C21" s="66">
        <v>-7.083333333333333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  <row r="67" spans="1:17" x14ac:dyDescent="0.4">
      <c r="A67" s="69">
        <v>64</v>
      </c>
      <c r="B67" s="66">
        <v>287.60000000000002</v>
      </c>
      <c r="C67" s="66">
        <v>4.4937500000000004</v>
      </c>
      <c r="D67" s="71">
        <v>1.875</v>
      </c>
      <c r="E67" s="67">
        <v>0.40625</v>
      </c>
      <c r="F67" s="67">
        <v>0.28125</v>
      </c>
      <c r="G67" s="67">
        <v>0.30078125</v>
      </c>
      <c r="H67" s="67">
        <v>0.1484375</v>
      </c>
      <c r="I67" s="68">
        <v>8912.9870129870123</v>
      </c>
      <c r="J67" s="68">
        <v>-7626.3157894736842</v>
      </c>
      <c r="K67" s="67">
        <v>0.15625</v>
      </c>
      <c r="L67" s="67">
        <v>0.140625</v>
      </c>
      <c r="M67" s="67">
        <v>0.29296875</v>
      </c>
      <c r="N67" s="67">
        <v>0.177734375</v>
      </c>
      <c r="O67" s="67">
        <v>0.64</v>
      </c>
      <c r="P67" s="67">
        <v>0.36263736263736263</v>
      </c>
      <c r="Q67" s="67">
        <v>0.44805194805194803</v>
      </c>
    </row>
    <row r="68" spans="1:17" x14ac:dyDescent="0.4">
      <c r="A68" s="69">
        <v>65</v>
      </c>
      <c r="B68" s="66">
        <v>323.60000000000002</v>
      </c>
      <c r="C68" s="66">
        <v>4.9784615384615387</v>
      </c>
      <c r="D68" s="71">
        <v>1.8615384615384616</v>
      </c>
      <c r="E68" s="67">
        <v>0.41538461538461541</v>
      </c>
      <c r="F68" s="67">
        <v>0.27692307692307694</v>
      </c>
      <c r="G68" s="67">
        <v>0.30250481695568399</v>
      </c>
      <c r="H68" s="67">
        <v>0.14836223506743737</v>
      </c>
      <c r="I68" s="68">
        <v>8923.5668789808915</v>
      </c>
      <c r="J68" s="68">
        <v>-7553.2467532467535</v>
      </c>
      <c r="K68" s="67">
        <v>0.15384615384615385</v>
      </c>
      <c r="L68" s="67">
        <v>0.13846153846153847</v>
      </c>
      <c r="M68" s="67">
        <v>0.2947976878612717</v>
      </c>
      <c r="N68" s="67">
        <v>0.17533718689788053</v>
      </c>
      <c r="O68" s="67">
        <v>0.64052287581699341</v>
      </c>
      <c r="P68" s="67">
        <v>0.36263736263736263</v>
      </c>
      <c r="Q68" s="67">
        <v>0.45222929936305734</v>
      </c>
    </row>
    <row r="69" spans="1:17" x14ac:dyDescent="0.4">
      <c r="A69" s="69">
        <v>66</v>
      </c>
      <c r="B69" s="66">
        <v>328.6</v>
      </c>
      <c r="C69" s="66">
        <v>4.9787878787878794</v>
      </c>
      <c r="D69" s="71">
        <v>1.8636363636363635</v>
      </c>
      <c r="E69" s="67">
        <v>0.40909090909090912</v>
      </c>
      <c r="F69" s="67">
        <v>0.27272727272727271</v>
      </c>
      <c r="G69" s="67">
        <v>0.30285714285714288</v>
      </c>
      <c r="H69" s="67">
        <v>0.15047619047619049</v>
      </c>
      <c r="I69" s="68">
        <v>8937.1069182389929</v>
      </c>
      <c r="J69" s="68">
        <v>-7539.2405063291135</v>
      </c>
      <c r="K69" s="67">
        <v>0.15151515151515152</v>
      </c>
      <c r="L69" s="67">
        <v>0.13636363636363635</v>
      </c>
      <c r="M69" s="67">
        <v>0.29523809523809524</v>
      </c>
      <c r="N69" s="67">
        <v>0.17714285714285713</v>
      </c>
      <c r="O69" s="67">
        <v>0.64516129032258063</v>
      </c>
      <c r="P69" s="67">
        <v>0.35483870967741937</v>
      </c>
      <c r="Q69" s="67">
        <v>0.44654088050314467</v>
      </c>
    </row>
    <row r="70" spans="1:17" x14ac:dyDescent="0.4">
      <c r="A70" s="69">
        <v>67</v>
      </c>
      <c r="B70" s="66">
        <v>307</v>
      </c>
      <c r="C70" s="66">
        <v>4.5820895522388057</v>
      </c>
      <c r="D70" s="71">
        <v>1.8656716417910448</v>
      </c>
      <c r="E70" s="67">
        <v>0.40298507462686567</v>
      </c>
      <c r="F70" s="67">
        <v>0.26865671641791045</v>
      </c>
      <c r="G70" s="67">
        <v>0.29906542056074764</v>
      </c>
      <c r="H70" s="67">
        <v>0.15140186915887852</v>
      </c>
      <c r="I70" s="68">
        <v>8905.625</v>
      </c>
      <c r="J70" s="68">
        <v>-7460.4938271604942</v>
      </c>
      <c r="K70" s="67">
        <v>0.14925373134328357</v>
      </c>
      <c r="L70" s="67">
        <v>0.13432835820895522</v>
      </c>
      <c r="M70" s="67">
        <v>0.29158878504672897</v>
      </c>
      <c r="N70" s="67">
        <v>0.18130841121495328</v>
      </c>
      <c r="O70" s="67">
        <v>0.64102564102564108</v>
      </c>
      <c r="P70" s="67">
        <v>0.35051546391752575</v>
      </c>
      <c r="Q70" s="67">
        <v>0.44374999999999998</v>
      </c>
    </row>
    <row r="71" spans="1:17" x14ac:dyDescent="0.4">
      <c r="A71" s="69">
        <v>68</v>
      </c>
      <c r="B71" s="66">
        <v>277.39999999999998</v>
      </c>
      <c r="C71" s="66">
        <v>4.0794117647058821</v>
      </c>
      <c r="D71" s="71">
        <v>1.8676470588235294</v>
      </c>
      <c r="E71" s="67">
        <v>0.39705882352941174</v>
      </c>
      <c r="F71" s="67">
        <v>0.26470588235294118</v>
      </c>
      <c r="G71" s="67">
        <v>0.29595588235294118</v>
      </c>
      <c r="H71" s="67">
        <v>0.14889705882352941</v>
      </c>
      <c r="I71" s="68">
        <v>8900</v>
      </c>
      <c r="J71" s="68">
        <v>-7460.4938271604942</v>
      </c>
      <c r="K71" s="67">
        <v>0.14705882352941177</v>
      </c>
      <c r="L71" s="67">
        <v>0.13235294117647059</v>
      </c>
      <c r="M71" s="67">
        <v>0.29044117647058826</v>
      </c>
      <c r="N71" s="67">
        <v>0.18014705882352941</v>
      </c>
      <c r="O71" s="67">
        <v>0.63924050632911389</v>
      </c>
      <c r="P71" s="67">
        <v>0.34693877551020408</v>
      </c>
      <c r="Q71" s="67">
        <v>0.44099378881987578</v>
      </c>
    </row>
    <row r="72" spans="1:17" x14ac:dyDescent="0.4">
      <c r="A72" s="69">
        <v>69</v>
      </c>
      <c r="B72" s="66">
        <v>244.49999999999997</v>
      </c>
      <c r="C72" s="66">
        <v>3.543478260869565</v>
      </c>
      <c r="D72" s="71">
        <v>1.8840579710144927</v>
      </c>
      <c r="E72" s="67">
        <v>0.39130434782608697</v>
      </c>
      <c r="F72" s="67">
        <v>0.27536231884057971</v>
      </c>
      <c r="G72" s="67">
        <v>0.29219600725952816</v>
      </c>
      <c r="H72" s="67">
        <v>0.15063520871143377</v>
      </c>
      <c r="I72" s="68">
        <v>8900</v>
      </c>
      <c r="J72" s="68">
        <v>-7381.9277108433735</v>
      </c>
      <c r="K72" s="67">
        <v>0.14492753623188406</v>
      </c>
      <c r="L72" s="67">
        <v>0.13043478260869565</v>
      </c>
      <c r="M72" s="67">
        <v>0.29038112522686027</v>
      </c>
      <c r="N72" s="67">
        <v>0.18148820326678766</v>
      </c>
      <c r="O72" s="67">
        <v>0.63124999999999998</v>
      </c>
      <c r="P72" s="67">
        <v>0.34</v>
      </c>
      <c r="Q72" s="67">
        <v>0.44099378881987578</v>
      </c>
    </row>
    <row r="73" spans="1:17" x14ac:dyDescent="0.4">
      <c r="A73" s="69">
        <v>70</v>
      </c>
      <c r="B73" s="66">
        <v>258.2</v>
      </c>
      <c r="C73" s="66">
        <v>3.6885714285714286</v>
      </c>
      <c r="D73" s="71">
        <v>1.8857142857142857</v>
      </c>
      <c r="E73" s="67">
        <v>0.38571428571428573</v>
      </c>
      <c r="F73" s="67">
        <v>0.27142857142857141</v>
      </c>
      <c r="G73" s="67">
        <v>0.29211469534050177</v>
      </c>
      <c r="H73" s="67">
        <v>0.14874551971326164</v>
      </c>
      <c r="I73" s="68">
        <v>8904.9079754601225</v>
      </c>
      <c r="J73" s="68">
        <v>-7381.9277108433735</v>
      </c>
      <c r="K73" s="67">
        <v>0.14285714285714285</v>
      </c>
      <c r="L73" s="67">
        <v>0.12857142857142856</v>
      </c>
      <c r="M73" s="67">
        <v>0.29211469534050177</v>
      </c>
      <c r="N73" s="67">
        <v>0.17921146953405018</v>
      </c>
      <c r="O73" s="67">
        <v>0.63190184049079756</v>
      </c>
      <c r="P73" s="67">
        <v>0.34</v>
      </c>
      <c r="Q73" s="67">
        <v>0.43558282208588955</v>
      </c>
    </row>
    <row r="74" spans="1:17" x14ac:dyDescent="0.4">
      <c r="A74" s="69">
        <v>71</v>
      </c>
      <c r="B74" s="66">
        <v>200.7</v>
      </c>
      <c r="C74" s="66">
        <v>2.8267605633802817</v>
      </c>
      <c r="D74" s="71">
        <v>1.9014084507042253</v>
      </c>
      <c r="E74" s="67">
        <v>0.38028169014084506</v>
      </c>
      <c r="F74" s="67">
        <v>0.28169014084507044</v>
      </c>
      <c r="G74" s="67">
        <v>0.28952042628774421</v>
      </c>
      <c r="H74" s="67">
        <v>0.15097690941385436</v>
      </c>
      <c r="I74" s="68">
        <v>8904.9079754601225</v>
      </c>
      <c r="J74" s="68">
        <v>-7490.588235294118</v>
      </c>
      <c r="K74" s="67">
        <v>0.15492957746478872</v>
      </c>
      <c r="L74" s="67">
        <v>0.12676056338028169</v>
      </c>
      <c r="M74" s="67">
        <v>0.29484902309058614</v>
      </c>
      <c r="N74" s="67">
        <v>0.17761989342806395</v>
      </c>
      <c r="O74" s="67">
        <v>0.62048192771084343</v>
      </c>
      <c r="P74" s="67">
        <v>0.34</v>
      </c>
      <c r="Q74" s="67">
        <v>0.43558282208588955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-176.40000000000003</v>
      </c>
      <c r="C84" s="66">
        <v>-2.177777777777778</v>
      </c>
      <c r="D84" s="71">
        <v>2.0617283950617282</v>
      </c>
      <c r="E84" s="67">
        <v>0.25925925925925924</v>
      </c>
      <c r="F84" s="67">
        <v>0.32098765432098764</v>
      </c>
      <c r="G84" s="67">
        <v>0.33962264150943394</v>
      </c>
      <c r="H84" s="67">
        <v>0.13933236574746008</v>
      </c>
      <c r="I84" s="68">
        <v>6776.4957264957266</v>
      </c>
      <c r="J84" s="68">
        <v>-8637.5</v>
      </c>
      <c r="K84" s="67">
        <v>6.1728395061728392E-2</v>
      </c>
      <c r="L84" s="67">
        <v>0.1111111111111111</v>
      </c>
      <c r="M84" s="67">
        <v>0.21190130624092887</v>
      </c>
      <c r="N84" s="67">
        <v>0.29027576197387517</v>
      </c>
      <c r="O84" s="67">
        <v>0.5547945205479452</v>
      </c>
      <c r="P84" s="67">
        <v>0.42499999999999999</v>
      </c>
      <c r="Q84" s="67">
        <v>0.41452991452991456</v>
      </c>
    </row>
    <row r="85" spans="1:17" x14ac:dyDescent="0.4">
      <c r="A85" s="69">
        <v>82</v>
      </c>
      <c r="B85" s="66">
        <v>-134.80000000000004</v>
      </c>
      <c r="C85" s="66">
        <v>-1.6439024390243908</v>
      </c>
      <c r="D85" s="71">
        <v>2.0487804878048781</v>
      </c>
      <c r="E85" s="67">
        <v>0.26829268292682928</v>
      </c>
      <c r="F85" s="67">
        <v>0.31707317073170732</v>
      </c>
      <c r="G85" s="67">
        <v>0.34051724137931033</v>
      </c>
      <c r="H85" s="67">
        <v>0.13936781609195403</v>
      </c>
      <c r="I85" s="68">
        <v>6817.7215189873414</v>
      </c>
      <c r="J85" s="68">
        <v>-8630.9278350515469</v>
      </c>
      <c r="K85" s="67">
        <v>6.097560975609756E-2</v>
      </c>
      <c r="L85" s="67">
        <v>0.10975609756097561</v>
      </c>
      <c r="M85" s="67">
        <v>0.21264367816091953</v>
      </c>
      <c r="N85" s="67">
        <v>0.28879310344827586</v>
      </c>
      <c r="O85" s="67">
        <v>0.55405405405405406</v>
      </c>
      <c r="P85" s="67">
        <v>0.42786069651741293</v>
      </c>
      <c r="Q85" s="67">
        <v>0.40928270042194093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21.10000000000003</v>
      </c>
      <c r="C93" s="66">
        <v>0.23444444444444479</v>
      </c>
      <c r="D93" s="71">
        <v>2.0444444444444443</v>
      </c>
      <c r="E93" s="67">
        <v>0.3</v>
      </c>
      <c r="F93" s="67">
        <v>0.34444444444444444</v>
      </c>
      <c r="G93" s="67">
        <v>0.28362183754993342</v>
      </c>
      <c r="H93" s="67">
        <v>0.17709720372836218</v>
      </c>
      <c r="I93" s="68">
        <v>9851.6431924882636</v>
      </c>
      <c r="J93" s="68">
        <v>-8481.2030075187977</v>
      </c>
      <c r="K93" s="67">
        <v>0.1</v>
      </c>
      <c r="L93" s="67">
        <v>0.13333333333333333</v>
      </c>
      <c r="M93" s="67">
        <v>0.29161118508655126</v>
      </c>
      <c r="N93" s="67">
        <v>0.1877496671105193</v>
      </c>
      <c r="O93" s="67">
        <v>0.56621004566210043</v>
      </c>
      <c r="P93" s="67">
        <v>0.41134751773049644</v>
      </c>
      <c r="Q93" s="67">
        <v>0.41314553990610331</v>
      </c>
    </row>
    <row r="94" spans="1:17" x14ac:dyDescent="0.4">
      <c r="A94" s="69">
        <v>91</v>
      </c>
      <c r="B94" s="66">
        <v>-9.1999999999999709</v>
      </c>
      <c r="C94" s="66">
        <v>-0.10109890109890078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-401.4</v>
      </c>
      <c r="C131" s="66">
        <v>-3.1359374999999998</v>
      </c>
      <c r="D131" s="71">
        <v>2.09375</v>
      </c>
      <c r="E131" s="67">
        <v>0.265625</v>
      </c>
      <c r="F131" s="67">
        <v>0.359375</v>
      </c>
      <c r="G131" s="67">
        <v>0.27006610009442872</v>
      </c>
      <c r="H131" s="67">
        <v>0.17186024551463644</v>
      </c>
      <c r="I131" s="68">
        <v>9320.279720279721</v>
      </c>
      <c r="J131" s="68">
        <v>-7797.802197802198</v>
      </c>
      <c r="K131" s="67">
        <v>0.140625</v>
      </c>
      <c r="L131" s="67">
        <v>9.375E-2</v>
      </c>
      <c r="M131" s="67">
        <v>0.30122757318224741</v>
      </c>
      <c r="N131" s="67">
        <v>0.17658168083097261</v>
      </c>
      <c r="O131" s="67">
        <v>0.58307210031347967</v>
      </c>
      <c r="P131" s="67">
        <v>0.29411764705882354</v>
      </c>
      <c r="Q131" s="67">
        <v>0.42307692307692307</v>
      </c>
    </row>
    <row r="132" spans="1:17" x14ac:dyDescent="0.4">
      <c r="A132" s="69">
        <v>129</v>
      </c>
      <c r="B132" s="66">
        <v>-338.9</v>
      </c>
      <c r="C132" s="66">
        <v>-2.6271317829457361</v>
      </c>
      <c r="D132" s="71">
        <v>2.0852713178294575</v>
      </c>
      <c r="E132" s="67">
        <v>0.27131782945736432</v>
      </c>
      <c r="F132" s="67">
        <v>0.35658914728682173</v>
      </c>
      <c r="G132" s="67">
        <v>0.27067669172932329</v>
      </c>
      <c r="H132" s="67">
        <v>0.17105263157894737</v>
      </c>
      <c r="I132" s="68">
        <v>9373.6111111111113</v>
      </c>
      <c r="J132" s="68">
        <v>-7797.802197802198</v>
      </c>
      <c r="K132" s="67">
        <v>0.13953488372093023</v>
      </c>
      <c r="L132" s="67">
        <v>0.10077519379844961</v>
      </c>
      <c r="M132" s="67">
        <v>0.30263157894736842</v>
      </c>
      <c r="N132" s="67">
        <v>0.17669172932330826</v>
      </c>
      <c r="O132" s="67">
        <v>0.58385093167701863</v>
      </c>
      <c r="P132" s="67">
        <v>0.29255319148936171</v>
      </c>
      <c r="Q132" s="67">
        <v>0.4236111111111111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  <row r="154" spans="1:17" x14ac:dyDescent="0.4">
      <c r="A154" s="69">
        <v>151</v>
      </c>
      <c r="B154" s="66">
        <v>1788.5000000000007</v>
      </c>
      <c r="C154" s="66">
        <v>11.844370860927157</v>
      </c>
      <c r="D154" s="71">
        <v>1.7483443708609272</v>
      </c>
      <c r="E154" s="67">
        <v>0.48344370860927155</v>
      </c>
      <c r="F154" s="67">
        <v>0.23178807947019867</v>
      </c>
      <c r="G154" s="67">
        <v>0.34471544715447155</v>
      </c>
      <c r="H154" s="67">
        <v>0.15772357723577235</v>
      </c>
      <c r="I154" s="68">
        <v>9064.3867924528295</v>
      </c>
      <c r="J154" s="68">
        <v>-8265.4639175257726</v>
      </c>
      <c r="K154" s="67">
        <v>9.9337748344370855E-2</v>
      </c>
      <c r="L154" s="67">
        <v>0.17218543046357615</v>
      </c>
      <c r="M154" s="67">
        <v>0.31056910569105689</v>
      </c>
      <c r="N154" s="67">
        <v>0.21951219512195122</v>
      </c>
      <c r="O154" s="67">
        <v>0.5759162303664922</v>
      </c>
      <c r="P154" s="67">
        <v>0.51851851851851849</v>
      </c>
      <c r="Q154" s="67">
        <v>0.40801886792452829</v>
      </c>
    </row>
    <row r="155" spans="1:17" x14ac:dyDescent="0.4">
      <c r="A155" s="69">
        <v>152</v>
      </c>
      <c r="B155" s="66">
        <v>1847.5000000000007</v>
      </c>
      <c r="C155" s="66">
        <v>12.154605263157899</v>
      </c>
      <c r="D155" s="71">
        <v>1.743421052631579</v>
      </c>
      <c r="E155" s="67">
        <v>0.48684210526315791</v>
      </c>
      <c r="F155" s="67">
        <v>0.23026315789473684</v>
      </c>
      <c r="G155" s="67">
        <v>0.34543987086359967</v>
      </c>
      <c r="H155" s="67">
        <v>0.15738498789346247</v>
      </c>
      <c r="I155" s="68">
        <v>9089.9532710280382</v>
      </c>
      <c r="J155" s="68">
        <v>-8262.5641025641035</v>
      </c>
      <c r="K155" s="67">
        <v>9.8684210526315791E-2</v>
      </c>
      <c r="L155" s="67">
        <v>0.17763157894736842</v>
      </c>
      <c r="M155" s="67">
        <v>0.31234866828087166</v>
      </c>
      <c r="N155" s="67">
        <v>0.21791767554479419</v>
      </c>
      <c r="O155" s="67">
        <v>0.57622739018087854</v>
      </c>
      <c r="P155" s="67">
        <v>0.51851851851851849</v>
      </c>
      <c r="Q155" s="67">
        <v>0.40887850467289721</v>
      </c>
    </row>
    <row r="156" spans="1:17" x14ac:dyDescent="0.4">
      <c r="A156" s="69">
        <v>153</v>
      </c>
      <c r="B156" s="66">
        <v>1812.8000000000006</v>
      </c>
      <c r="C156" s="66">
        <v>11.8483660130719</v>
      </c>
      <c r="D156" s="71">
        <v>1.7516339869281046</v>
      </c>
      <c r="E156" s="67">
        <v>0.48366013071895425</v>
      </c>
      <c r="F156" s="67">
        <v>0.23529411764705882</v>
      </c>
      <c r="G156" s="67">
        <v>0.34430176565008025</v>
      </c>
      <c r="H156" s="67">
        <v>0.15730337078651685</v>
      </c>
      <c r="I156" s="68">
        <v>9096.7365967365968</v>
      </c>
      <c r="J156" s="68">
        <v>-8253.0612244897966</v>
      </c>
      <c r="K156" s="67">
        <v>9.8039215686274508E-2</v>
      </c>
      <c r="L156" s="67">
        <v>0.17647058823529413</v>
      </c>
      <c r="M156" s="67">
        <v>0.3130016051364366</v>
      </c>
      <c r="N156" s="67">
        <v>0.21669341894060995</v>
      </c>
      <c r="O156" s="67">
        <v>0.57435897435897432</v>
      </c>
      <c r="P156" s="67">
        <v>0.51851851851851849</v>
      </c>
      <c r="Q156" s="67">
        <v>0.41025641025641024</v>
      </c>
    </row>
    <row r="157" spans="1:17" x14ac:dyDescent="0.4">
      <c r="A157" s="69">
        <v>154</v>
      </c>
      <c r="B157" s="66">
        <v>1805.4000000000005</v>
      </c>
      <c r="C157" s="66">
        <v>11.723376623376627</v>
      </c>
      <c r="D157" s="71">
        <v>1.7532467532467533</v>
      </c>
      <c r="E157" s="67">
        <v>0.48051948051948051</v>
      </c>
      <c r="F157" s="67">
        <v>0.23376623376623376</v>
      </c>
      <c r="G157" s="67">
        <v>0.34397446129289705</v>
      </c>
      <c r="H157" s="67">
        <v>0.15722266560255388</v>
      </c>
      <c r="I157" s="68">
        <v>9078.8863109048725</v>
      </c>
      <c r="J157" s="68">
        <v>-8230.9644670050766</v>
      </c>
      <c r="K157" s="67">
        <v>9.7402597402597407E-2</v>
      </c>
      <c r="L157" s="67">
        <v>0.17532467532467533</v>
      </c>
      <c r="M157" s="67">
        <v>0.31364724660814047</v>
      </c>
      <c r="N157" s="67">
        <v>0.2154828411811652</v>
      </c>
      <c r="O157" s="67">
        <v>0.5750636132315522</v>
      </c>
      <c r="P157" s="67">
        <v>0.51851851851851849</v>
      </c>
      <c r="Q157" s="67">
        <v>0.41067285382830626</v>
      </c>
    </row>
    <row r="158" spans="1:17" x14ac:dyDescent="0.4">
      <c r="A158" s="69">
        <v>155</v>
      </c>
      <c r="B158" s="66">
        <v>1855.1000000000006</v>
      </c>
      <c r="C158" s="66">
        <v>11.968387096774197</v>
      </c>
      <c r="D158" s="71">
        <v>1.7483870967741935</v>
      </c>
      <c r="E158" s="67">
        <v>0.4838709677419355</v>
      </c>
      <c r="F158" s="67">
        <v>0.23225806451612904</v>
      </c>
      <c r="G158" s="67">
        <v>0.34365079365079365</v>
      </c>
      <c r="H158" s="67">
        <v>0.15634920634920635</v>
      </c>
      <c r="I158" s="68">
        <v>9122.8637413394918</v>
      </c>
      <c r="J158" s="68">
        <v>-8230.9644670050766</v>
      </c>
      <c r="K158" s="67">
        <v>9.6774193548387094E-2</v>
      </c>
      <c r="L158" s="67">
        <v>0.17419354838709677</v>
      </c>
      <c r="M158" s="67">
        <v>0.31349206349206349</v>
      </c>
      <c r="N158" s="67">
        <v>0.21587301587301588</v>
      </c>
      <c r="O158" s="67">
        <v>0.57721518987341769</v>
      </c>
      <c r="P158" s="67">
        <v>0.51470588235294112</v>
      </c>
      <c r="Q158" s="67">
        <v>0.4110854503464203</v>
      </c>
    </row>
    <row r="159" spans="1:17" x14ac:dyDescent="0.4">
      <c r="A159" s="69">
        <v>156</v>
      </c>
      <c r="B159" s="66">
        <v>1940.5000000000007</v>
      </c>
      <c r="C159" s="66">
        <v>12.439102564102569</v>
      </c>
      <c r="D159" s="71">
        <v>1.7435897435897436</v>
      </c>
      <c r="E159" s="67">
        <v>0.48717948717948717</v>
      </c>
      <c r="F159" s="67">
        <v>0.23076923076923078</v>
      </c>
      <c r="G159" s="67">
        <v>0.34414556962025317</v>
      </c>
      <c r="H159" s="67">
        <v>0.15664556962025317</v>
      </c>
      <c r="I159" s="68">
        <v>9232.6436781609191</v>
      </c>
      <c r="J159" s="68">
        <v>-8237.878787878788</v>
      </c>
      <c r="K159" s="67">
        <v>9.6153846153846159E-2</v>
      </c>
      <c r="L159" s="67">
        <v>0.17948717948717949</v>
      </c>
      <c r="M159" s="67">
        <v>0.31329113924050633</v>
      </c>
      <c r="N159" s="67">
        <v>0.21677215189873417</v>
      </c>
      <c r="O159" s="67">
        <v>0.5757575757575758</v>
      </c>
      <c r="P159" s="67">
        <v>0.51459854014598538</v>
      </c>
      <c r="Q159" s="67">
        <v>0.41379310344827586</v>
      </c>
    </row>
    <row r="160" spans="1:17" x14ac:dyDescent="0.4">
      <c r="A160" s="69">
        <v>157</v>
      </c>
      <c r="B160" s="66">
        <v>2009.8000000000006</v>
      </c>
      <c r="C160" s="66">
        <v>12.801273885350323</v>
      </c>
      <c r="D160" s="71">
        <v>1.7388535031847134</v>
      </c>
      <c r="E160" s="67">
        <v>0.49044585987261147</v>
      </c>
      <c r="F160" s="67">
        <v>0.22929936305732485</v>
      </c>
      <c r="G160" s="67">
        <v>0.34536891679748821</v>
      </c>
      <c r="H160" s="67">
        <v>0.15620094191522763</v>
      </c>
      <c r="I160" s="68">
        <v>9240.681818181818</v>
      </c>
      <c r="J160" s="68">
        <v>-8216.0804020100495</v>
      </c>
      <c r="K160" s="67">
        <v>9.5541401273885357E-2</v>
      </c>
      <c r="L160" s="67">
        <v>0.17834394904458598</v>
      </c>
      <c r="M160" s="67">
        <v>0.31240188383045525</v>
      </c>
      <c r="N160" s="67">
        <v>0.21742543171114601</v>
      </c>
      <c r="O160" s="67">
        <v>0.57788944723618085</v>
      </c>
      <c r="P160" s="67">
        <v>0.51624548736462095</v>
      </c>
      <c r="Q160" s="67">
        <v>0.41590909090909089</v>
      </c>
    </row>
    <row r="161" spans="1:17" x14ac:dyDescent="0.4">
      <c r="A161" s="69">
        <v>158</v>
      </c>
      <c r="B161" s="66">
        <v>2052.0000000000005</v>
      </c>
      <c r="C161" s="66">
        <v>12.987341772151902</v>
      </c>
      <c r="D161" s="71">
        <v>1.7341772151898733</v>
      </c>
      <c r="E161" s="67">
        <v>0.49367088607594939</v>
      </c>
      <c r="F161" s="67">
        <v>0.22784810126582278</v>
      </c>
      <c r="G161" s="67">
        <v>0.34582357533177205</v>
      </c>
      <c r="H161" s="67">
        <v>0.156128024980484</v>
      </c>
      <c r="I161" s="68">
        <v>9254.1760722347626</v>
      </c>
      <c r="J161" s="68">
        <v>-8255</v>
      </c>
      <c r="K161" s="67">
        <v>9.49367088607595E-2</v>
      </c>
      <c r="L161" s="67">
        <v>0.18354430379746836</v>
      </c>
      <c r="M161" s="67">
        <v>0.31225604996096801</v>
      </c>
      <c r="N161" s="67">
        <v>0.21701795472287275</v>
      </c>
      <c r="O161" s="67">
        <v>0.57750000000000001</v>
      </c>
      <c r="P161" s="67">
        <v>0.51798561151079137</v>
      </c>
      <c r="Q161" s="67">
        <v>0.41534988713318283</v>
      </c>
    </row>
    <row r="162" spans="1:17" x14ac:dyDescent="0.4">
      <c r="A162" s="69">
        <v>159</v>
      </c>
      <c r="B162" s="66">
        <v>2047.0000000000005</v>
      </c>
      <c r="C162" s="66">
        <v>12.87421383647799</v>
      </c>
      <c r="D162" s="71">
        <v>1.7358490566037736</v>
      </c>
      <c r="E162" s="67">
        <v>0.49056603773584906</v>
      </c>
      <c r="F162" s="67">
        <v>0.22641509433962265</v>
      </c>
      <c r="G162" s="67">
        <v>0.3452566096423017</v>
      </c>
      <c r="H162" s="67">
        <v>0.15552099533437014</v>
      </c>
      <c r="I162" s="68">
        <v>9251.3513513513517</v>
      </c>
      <c r="J162" s="68">
        <v>-8255</v>
      </c>
      <c r="K162" s="67">
        <v>9.4339622641509441E-2</v>
      </c>
      <c r="L162" s="67">
        <v>0.18238993710691823</v>
      </c>
      <c r="M162" s="67">
        <v>0.31104199066874028</v>
      </c>
      <c r="N162" s="67">
        <v>0.21617418351477449</v>
      </c>
      <c r="O162" s="67">
        <v>0.57750000000000001</v>
      </c>
      <c r="P162" s="67">
        <v>0.51798561151079137</v>
      </c>
      <c r="Q162" s="67">
        <v>0.4144144144144144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  <row r="227" spans="1:17" x14ac:dyDescent="0.4">
      <c r="A227" s="69">
        <v>224</v>
      </c>
      <c r="B227" s="66">
        <v>-1.0000000000000071</v>
      </c>
      <c r="C227" s="66">
        <v>-1.4880952380952486E-3</v>
      </c>
      <c r="D227" s="71">
        <v>1.9955357142857142</v>
      </c>
      <c r="E227" s="67">
        <v>0.33630952380952384</v>
      </c>
      <c r="F227" s="67">
        <v>0.33184523809523808</v>
      </c>
      <c r="G227" s="67">
        <v>0.29860365198711064</v>
      </c>
      <c r="H227" s="67">
        <v>0.16774078052273542</v>
      </c>
      <c r="I227" s="68">
        <v>8624.5803357314144</v>
      </c>
      <c r="J227" s="68">
        <v>-8266.2753468516548</v>
      </c>
      <c r="K227" s="67">
        <v>0.11755952380952381</v>
      </c>
      <c r="L227" s="67">
        <v>0.11755952380952381</v>
      </c>
      <c r="M227" s="67">
        <v>0.27980665950590761</v>
      </c>
      <c r="N227" s="67">
        <v>0.20658789831722163</v>
      </c>
      <c r="O227" s="67">
        <v>0.57837492002559177</v>
      </c>
      <c r="P227" s="67">
        <v>0.39254766031195842</v>
      </c>
      <c r="Q227" s="67">
        <v>0.43225419664268583</v>
      </c>
    </row>
    <row r="228" spans="1:17" x14ac:dyDescent="0.4">
      <c r="A228" s="69">
        <v>225</v>
      </c>
      <c r="B228" s="66">
        <v>-1.0000000000000071</v>
      </c>
      <c r="C228" s="66">
        <v>-1.481481481481492E-3</v>
      </c>
      <c r="D228" s="71">
        <v>1.9955555555555555</v>
      </c>
      <c r="E228" s="67">
        <v>0.33629629629629632</v>
      </c>
      <c r="F228" s="67">
        <v>0.33185185185185184</v>
      </c>
      <c r="G228" s="67">
        <v>0.29841439515410656</v>
      </c>
      <c r="H228" s="67">
        <v>0.16764653482985925</v>
      </c>
      <c r="I228" s="68">
        <v>8635.6417910447763</v>
      </c>
      <c r="J228" s="68">
        <v>-8276.7268862911787</v>
      </c>
      <c r="K228" s="67">
        <v>0.11851851851851852</v>
      </c>
      <c r="L228" s="67">
        <v>0.11851851851851852</v>
      </c>
      <c r="M228" s="67">
        <v>0.28006413682522713</v>
      </c>
      <c r="N228" s="67">
        <v>0.20630678781400322</v>
      </c>
      <c r="O228" s="67">
        <v>0.57697201017811706</v>
      </c>
      <c r="P228" s="67">
        <v>0.39291882556131263</v>
      </c>
      <c r="Q228" s="67">
        <v>0.43223880597014924</v>
      </c>
    </row>
    <row r="229" spans="1:17" x14ac:dyDescent="0.4">
      <c r="A229" s="69">
        <v>226</v>
      </c>
      <c r="B229" s="66">
        <v>-1.0000000000000071</v>
      </c>
      <c r="C229" s="66">
        <v>-1.474926253687326E-3</v>
      </c>
      <c r="D229" s="71">
        <v>1.9955752212389382</v>
      </c>
      <c r="E229" s="67">
        <v>0.33628318584070799</v>
      </c>
      <c r="F229" s="67">
        <v>0.33185840707964603</v>
      </c>
      <c r="G229" s="67">
        <v>0.29836705715299966</v>
      </c>
      <c r="H229" s="67">
        <v>0.16737664181753639</v>
      </c>
      <c r="I229" s="68">
        <v>8634.6222486615115</v>
      </c>
      <c r="J229" s="68">
        <v>-8268.0805938494159</v>
      </c>
      <c r="K229" s="67">
        <v>0.11799410029498525</v>
      </c>
      <c r="L229" s="67">
        <v>0.11799410029498525</v>
      </c>
      <c r="M229" s="67">
        <v>0.28026269080582178</v>
      </c>
      <c r="N229" s="67">
        <v>0.20624778132765353</v>
      </c>
      <c r="O229" s="67">
        <v>0.57631412286257122</v>
      </c>
      <c r="P229" s="67">
        <v>0.39328743545611017</v>
      </c>
      <c r="Q229" s="67">
        <v>0.43307555026769778</v>
      </c>
    </row>
    <row r="230" spans="1:17" x14ac:dyDescent="0.4">
      <c r="A230" s="69">
        <v>227</v>
      </c>
      <c r="B230" s="66">
        <v>-1.0000000000000142</v>
      </c>
      <c r="C230" s="66">
        <v>-1.4684287812041326E-3</v>
      </c>
      <c r="D230" s="71">
        <v>1.9955947136563876</v>
      </c>
      <c r="E230" s="67">
        <v>0.33627019089574156</v>
      </c>
      <c r="F230" s="67">
        <v>0.33186490455212925</v>
      </c>
      <c r="G230" s="67">
        <v>0.29832007073386385</v>
      </c>
      <c r="H230" s="67">
        <v>0.16746242263483643</v>
      </c>
      <c r="I230" s="68">
        <v>8639.7154712507418</v>
      </c>
      <c r="J230" s="68">
        <v>-8274.4456177402317</v>
      </c>
      <c r="K230" s="67">
        <v>0.11894273127753303</v>
      </c>
      <c r="L230" s="67">
        <v>0.11894273127753303</v>
      </c>
      <c r="M230" s="67">
        <v>0.28028293545534927</v>
      </c>
      <c r="N230" s="67">
        <v>0.20636604774535808</v>
      </c>
      <c r="O230" s="67">
        <v>0.57602523659305993</v>
      </c>
      <c r="P230" s="67">
        <v>0.3916023993144816</v>
      </c>
      <c r="Q230" s="67">
        <v>0.43272080616478958</v>
      </c>
    </row>
    <row r="231" spans="1:17" x14ac:dyDescent="0.4">
      <c r="A231" s="69">
        <v>228</v>
      </c>
      <c r="B231" s="66">
        <v>-1.0000000000000142</v>
      </c>
      <c r="C231" s="66">
        <v>-1.461988304093588E-3</v>
      </c>
      <c r="D231" s="71">
        <v>1.9956140350877194</v>
      </c>
      <c r="E231" s="67">
        <v>0.33625730994152048</v>
      </c>
      <c r="F231" s="67">
        <v>0.33187134502923976</v>
      </c>
      <c r="G231" s="67">
        <v>0.29860743874493212</v>
      </c>
      <c r="H231" s="67">
        <v>0.16781244491450731</v>
      </c>
      <c r="I231" s="68">
        <v>8652.4203069657615</v>
      </c>
      <c r="J231" s="68">
        <v>-8310.8193277310929</v>
      </c>
      <c r="K231" s="67">
        <v>0.11988304093567251</v>
      </c>
      <c r="L231" s="67">
        <v>0.11988304093567251</v>
      </c>
      <c r="M231" s="67">
        <v>0.28027498677948176</v>
      </c>
      <c r="N231" s="67">
        <v>0.20676890534108938</v>
      </c>
      <c r="O231" s="67">
        <v>0.57735849056603772</v>
      </c>
      <c r="P231" s="67">
        <v>0.39130434782608697</v>
      </c>
      <c r="Q231" s="67">
        <v>0.43152302243211332</v>
      </c>
    </row>
    <row r="232" spans="1:17" x14ac:dyDescent="0.4">
      <c r="A232" s="69">
        <v>229</v>
      </c>
      <c r="B232" s="66">
        <v>-1.0000000000000071</v>
      </c>
      <c r="C232" s="66">
        <v>-1.4556040756914222E-3</v>
      </c>
      <c r="D232" s="71">
        <v>1.9956331877729259</v>
      </c>
      <c r="E232" s="67">
        <v>0.33624454148471616</v>
      </c>
      <c r="F232" s="67">
        <v>0.33187772925764192</v>
      </c>
      <c r="G232" s="67">
        <v>0.2987355110642782</v>
      </c>
      <c r="H232" s="67">
        <v>0.16789603090972954</v>
      </c>
      <c r="I232" s="68">
        <v>8665.2557319223979</v>
      </c>
      <c r="J232" s="68">
        <v>-8316.2133891213398</v>
      </c>
      <c r="K232" s="67">
        <v>0.11935953420669577</v>
      </c>
      <c r="L232" s="67">
        <v>0.11935953420669577</v>
      </c>
      <c r="M232" s="67">
        <v>0.27994380049174572</v>
      </c>
      <c r="N232" s="67">
        <v>0.2065331928345627</v>
      </c>
      <c r="O232" s="67">
        <v>0.57841907151819327</v>
      </c>
      <c r="P232" s="67">
        <v>0.39030612244897961</v>
      </c>
      <c r="Q232" s="67">
        <v>0.43151087595532039</v>
      </c>
    </row>
    <row r="233" spans="1:17" x14ac:dyDescent="0.4">
      <c r="A233" s="69">
        <v>230</v>
      </c>
      <c r="B233" s="66">
        <v>-1</v>
      </c>
      <c r="C233" s="66">
        <v>-1.4492753623188406E-3</v>
      </c>
      <c r="D233" s="71">
        <v>1.9956521739130435</v>
      </c>
      <c r="E233" s="67">
        <v>0.336231884057971</v>
      </c>
      <c r="F233" s="67">
        <v>0.3318840579710145</v>
      </c>
      <c r="G233" s="67">
        <v>0.29874213836477986</v>
      </c>
      <c r="H233" s="67">
        <v>0.16788958770090845</v>
      </c>
      <c r="I233" s="68">
        <v>8677.5438596491222</v>
      </c>
      <c r="J233" s="68">
        <v>-8317.5858480749212</v>
      </c>
      <c r="K233" s="67">
        <v>0.12028985507246377</v>
      </c>
      <c r="L233" s="67">
        <v>0.12028985507246377</v>
      </c>
      <c r="M233" s="67">
        <v>0.27969951083158628</v>
      </c>
      <c r="N233" s="67">
        <v>0.20649895178197064</v>
      </c>
      <c r="O233" s="67">
        <v>0.57901311680199874</v>
      </c>
      <c r="P233" s="67">
        <v>0.39086294416243655</v>
      </c>
      <c r="Q233" s="67">
        <v>0.43157894736842106</v>
      </c>
    </row>
    <row r="234" spans="1:17" x14ac:dyDescent="0.4">
      <c r="A234" s="69">
        <v>231</v>
      </c>
      <c r="B234" s="66">
        <v>-0.99999999999999289</v>
      </c>
      <c r="C234" s="66">
        <v>-1.4430014430014328E-3</v>
      </c>
      <c r="D234" s="71">
        <v>1.9956709956709957</v>
      </c>
      <c r="E234" s="67">
        <v>0.3362193362193362</v>
      </c>
      <c r="F234" s="67">
        <v>0.3318903318903319</v>
      </c>
      <c r="G234" s="67">
        <v>0.29864016736401672</v>
      </c>
      <c r="H234" s="67">
        <v>0.16771269177126918</v>
      </c>
      <c r="I234" s="68">
        <v>8706.4798598949219</v>
      </c>
      <c r="J234" s="68">
        <v>-8318.9189189189183</v>
      </c>
      <c r="K234" s="67">
        <v>0.12121212121212122</v>
      </c>
      <c r="L234" s="67">
        <v>0.12121212121212122</v>
      </c>
      <c r="M234" s="67">
        <v>0.27946304044630405</v>
      </c>
      <c r="N234" s="67">
        <v>0.20641562064156208</v>
      </c>
      <c r="O234" s="67">
        <v>0.57829070492825951</v>
      </c>
      <c r="P234" s="67">
        <v>0.39104729729729731</v>
      </c>
      <c r="Q234" s="67">
        <v>0.4319906596614127</v>
      </c>
    </row>
    <row r="235" spans="1:17" x14ac:dyDescent="0.4">
      <c r="A235" s="69">
        <v>232</v>
      </c>
      <c r="B235" s="66">
        <v>-1</v>
      </c>
      <c r="C235" s="66">
        <v>-1.4367816091954023E-3</v>
      </c>
      <c r="D235" s="71">
        <v>1.9956896551724137</v>
      </c>
      <c r="E235" s="67">
        <v>0.33620689655172414</v>
      </c>
      <c r="F235" s="67">
        <v>0.33189655172413796</v>
      </c>
      <c r="G235" s="67">
        <v>0.29864724245577523</v>
      </c>
      <c r="H235" s="67">
        <v>0.1678806798473812</v>
      </c>
      <c r="I235" s="68">
        <v>8699.4192799070843</v>
      </c>
      <c r="J235" s="68">
        <v>-8302.9958677685954</v>
      </c>
      <c r="K235" s="67">
        <v>0.1206896551724138</v>
      </c>
      <c r="L235" s="67">
        <v>0.1206896551724138</v>
      </c>
      <c r="M235" s="67">
        <v>0.27852930974679152</v>
      </c>
      <c r="N235" s="67">
        <v>0.20742282344779744</v>
      </c>
      <c r="O235" s="67">
        <v>0.57845579078455789</v>
      </c>
      <c r="P235" s="67">
        <v>0.39214046822742477</v>
      </c>
      <c r="Q235" s="67">
        <v>0.43147502903600465</v>
      </c>
    </row>
    <row r="236" spans="1:17" x14ac:dyDescent="0.4">
      <c r="A236" s="69">
        <v>233</v>
      </c>
      <c r="B236" s="66">
        <v>-1.0000000000000142</v>
      </c>
      <c r="C236" s="66">
        <v>-1.4306151645207643E-3</v>
      </c>
      <c r="D236" s="71">
        <v>1.9957081545064377</v>
      </c>
      <c r="E236" s="67">
        <v>0.33619456366237482</v>
      </c>
      <c r="F236" s="67">
        <v>0.33190271816881262</v>
      </c>
      <c r="G236" s="67">
        <v>0.29880890730191612</v>
      </c>
      <c r="H236" s="67">
        <v>0.16761608838253064</v>
      </c>
      <c r="I236" s="68">
        <v>8712.131715771231</v>
      </c>
      <c r="J236" s="68">
        <v>-8316.4778578784753</v>
      </c>
      <c r="K236" s="67">
        <v>0.12160228898426323</v>
      </c>
      <c r="L236" s="67">
        <v>0.12160228898426323</v>
      </c>
      <c r="M236" s="67">
        <v>0.27861211807353703</v>
      </c>
      <c r="N236" s="67">
        <v>0.20766442257897463</v>
      </c>
      <c r="O236" s="67">
        <v>0.57806691449814129</v>
      </c>
      <c r="P236" s="67">
        <v>0.39318370739817121</v>
      </c>
      <c r="Q236" s="67">
        <v>0.43269786250722125</v>
      </c>
    </row>
    <row r="237" spans="1:17" x14ac:dyDescent="0.4">
      <c r="A237" s="69">
        <v>234</v>
      </c>
      <c r="B237" s="66">
        <v>-1.0000000000000107</v>
      </c>
      <c r="C237" s="66">
        <v>-1.4245014245014398E-3</v>
      </c>
      <c r="D237" s="71">
        <v>1.9957264957264957</v>
      </c>
      <c r="E237" s="67">
        <v>0.33618233618233617</v>
      </c>
      <c r="F237" s="67">
        <v>0.33190883190883191</v>
      </c>
      <c r="G237" s="67">
        <v>0.29876160990712075</v>
      </c>
      <c r="H237" s="67">
        <v>0.16787065703474371</v>
      </c>
      <c r="I237" s="68">
        <v>8709.7294185377086</v>
      </c>
      <c r="J237" s="68">
        <v>-8314.9590163934427</v>
      </c>
      <c r="K237" s="67">
        <v>0.12108262108262108</v>
      </c>
      <c r="L237" s="67">
        <v>0.12108262108262108</v>
      </c>
      <c r="M237" s="67">
        <v>0.27829377364981078</v>
      </c>
      <c r="N237" s="67">
        <v>0.20829033367733057</v>
      </c>
      <c r="O237" s="67">
        <v>0.57725587144622992</v>
      </c>
      <c r="P237" s="67">
        <v>0.39306358381502893</v>
      </c>
      <c r="Q237" s="67">
        <v>0.43177892918825561</v>
      </c>
    </row>
    <row r="238" spans="1:17" x14ac:dyDescent="0.4">
      <c r="A238" s="69">
        <v>235</v>
      </c>
      <c r="B238" s="66">
        <v>-1</v>
      </c>
      <c r="C238" s="66">
        <v>-1.4184397163120568E-3</v>
      </c>
      <c r="D238" s="71">
        <v>1.9957446808510639</v>
      </c>
      <c r="E238" s="67">
        <v>0.33617021276595743</v>
      </c>
      <c r="F238" s="67">
        <v>0.33191489361702126</v>
      </c>
      <c r="G238" s="67">
        <v>0.29854327335047132</v>
      </c>
      <c r="H238" s="67">
        <v>0.16795201371036847</v>
      </c>
      <c r="I238" s="68">
        <v>8714.75315729047</v>
      </c>
      <c r="J238" s="68">
        <v>-8326.5306122448983</v>
      </c>
      <c r="K238" s="67">
        <v>0.12198581560283688</v>
      </c>
      <c r="L238" s="67">
        <v>0.12198581560283688</v>
      </c>
      <c r="M238" s="67">
        <v>0.27849185946872324</v>
      </c>
      <c r="N238" s="67">
        <v>0.20788346186803772</v>
      </c>
      <c r="O238" s="67">
        <v>0.57661538461538464</v>
      </c>
      <c r="P238" s="67">
        <v>0.39323990107172302</v>
      </c>
      <c r="Q238" s="67">
        <v>0.43111366245694605</v>
      </c>
    </row>
    <row r="239" spans="1:17" x14ac:dyDescent="0.4">
      <c r="A239" s="69">
        <v>236</v>
      </c>
      <c r="B239" s="66">
        <v>-1</v>
      </c>
      <c r="C239" s="66">
        <v>-1.4124293785310734E-3</v>
      </c>
      <c r="D239" s="71">
        <v>1.9957627118644068</v>
      </c>
      <c r="E239" s="67">
        <v>0.33615819209039549</v>
      </c>
      <c r="F239" s="67">
        <v>0.33192090395480228</v>
      </c>
      <c r="G239" s="67">
        <v>0.29829059829059829</v>
      </c>
      <c r="H239" s="67">
        <v>0.16786324786324786</v>
      </c>
      <c r="I239" s="68">
        <v>8723.8395415472787</v>
      </c>
      <c r="J239" s="68">
        <v>-8334.0122199592661</v>
      </c>
      <c r="K239" s="67">
        <v>0.1228813559322034</v>
      </c>
      <c r="L239" s="67">
        <v>0.1228813559322034</v>
      </c>
      <c r="M239" s="67">
        <v>0.2788034188034188</v>
      </c>
      <c r="N239" s="67">
        <v>0.20752136752136752</v>
      </c>
      <c r="O239" s="67">
        <v>0.57572041692213372</v>
      </c>
      <c r="P239" s="67">
        <v>0.3929159802306425</v>
      </c>
      <c r="Q239" s="67">
        <v>0.430945558739255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2019-06-29T16:10:53Z</dcterms:modified>
</cp:coreProperties>
</file>