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ECDEC784-5AC4-4F50-9DC2-9420CACC357B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975" r:id="rId6"/>
    <sheet name="だいち" sheetId="4977" r:id="rId7"/>
    <sheet name="りくと" sheetId="4979" r:id="rId8"/>
    <sheet name="ただ" sheetId="4981" r:id="rId9"/>
    <sheet name="れんたろう" sheetId="4983" r:id="rId10"/>
    <sheet name="たかの" sheetId="4985" r:id="rId11"/>
    <sheet name="ぱぱ" sheetId="4987" r:id="rId12"/>
    <sheet name="まっつん" sheetId="4989" r:id="rId13"/>
    <sheet name="あさひ" sheetId="4991" r:id="rId14"/>
    <sheet name="いっしー" sheetId="4993" r:id="rId15"/>
    <sheet name="ほたに" sheetId="4995" r:id="rId16"/>
    <sheet name="ほたに2" sheetId="4996" state="hidden" r:id="rId17"/>
    <sheet name="いっしー2" sheetId="4994" state="hidden" r:id="rId18"/>
    <sheet name="あさひ2" sheetId="4992" state="hidden" r:id="rId19"/>
    <sheet name="まっつん2" sheetId="4990" state="hidden" r:id="rId20"/>
    <sheet name="ぱぱ2" sheetId="4988" state="hidden" r:id="rId21"/>
    <sheet name="たかの2" sheetId="4986" state="hidden" r:id="rId22"/>
    <sheet name="れんたろう2" sheetId="4984" state="hidden" r:id="rId23"/>
    <sheet name="ただ2" sheetId="4982" state="hidden" r:id="rId24"/>
    <sheet name="りくと2" sheetId="4980" state="hidden" r:id="rId25"/>
    <sheet name="だいち2" sheetId="4978" state="hidden" r:id="rId26"/>
    <sheet name="全体2" sheetId="4976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3">あさひ!$B$17</definedName>
    <definedName name="アガリ数" localSheetId="14">いっしー!$B$17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3" i="4977" l="1"/>
  <c r="O18" i="4995"/>
  <c r="O20" i="4987"/>
  <c r="O16" i="4995"/>
  <c r="O15" i="4995" l="1"/>
  <c r="O17" i="4995"/>
  <c r="C27" i="4995"/>
  <c r="B24" i="4995"/>
  <c r="C20" i="4995"/>
  <c r="B17" i="4995"/>
  <c r="H49" i="4995" s="1"/>
  <c r="C16" i="4995"/>
  <c r="C15" i="4995"/>
  <c r="C14" i="4995"/>
  <c r="C13" i="4995"/>
  <c r="O12" i="4995"/>
  <c r="C12" i="4995"/>
  <c r="O11" i="4995"/>
  <c r="C11" i="4995"/>
  <c r="O10" i="4995"/>
  <c r="H4" i="4995"/>
  <c r="C10" i="4995"/>
  <c r="C9" i="4995"/>
  <c r="H13" i="4995"/>
  <c r="C8" i="4995"/>
  <c r="O7" i="4995"/>
  <c r="C7" i="4995"/>
  <c r="O6" i="4995"/>
  <c r="B6" i="4995"/>
  <c r="O5" i="4995"/>
  <c r="B5" i="4995"/>
  <c r="O4" i="4995"/>
  <c r="H2" i="4995"/>
  <c r="O3" i="4995"/>
  <c r="O2" i="4995"/>
  <c r="H3" i="4995"/>
  <c r="O22" i="4983"/>
  <c r="O18" i="4985"/>
  <c r="O22" i="4975"/>
  <c r="C17" i="4995" l="1"/>
  <c r="H21" i="4995"/>
  <c r="H23" i="4995"/>
  <c r="H26" i="4995"/>
  <c r="H28" i="4995"/>
  <c r="H30" i="4995"/>
  <c r="H34" i="4995"/>
  <c r="H38" i="4995"/>
  <c r="H42" i="4995"/>
  <c r="H46" i="4995"/>
  <c r="H50" i="4995"/>
  <c r="H8" i="4995"/>
  <c r="H17" i="4995"/>
  <c r="H19" i="4995"/>
  <c r="C19" i="4995"/>
  <c r="H24" i="4995"/>
  <c r="H31" i="4995"/>
  <c r="H35" i="4995"/>
  <c r="H39" i="4995"/>
  <c r="H43" i="4995"/>
  <c r="H47" i="4995"/>
  <c r="H51" i="4995"/>
  <c r="H10" i="4995"/>
  <c r="H6" i="4995"/>
  <c r="H14" i="4995"/>
  <c r="H16" i="4995"/>
  <c r="H20" i="4995"/>
  <c r="H22" i="4995"/>
  <c r="H25" i="4995"/>
  <c r="H12" i="4995"/>
  <c r="H9" i="4995"/>
  <c r="H32" i="4995"/>
  <c r="H36" i="4995"/>
  <c r="H40" i="4995"/>
  <c r="H44" i="4995"/>
  <c r="H48" i="4995"/>
  <c r="H7" i="4995"/>
  <c r="H5" i="4995"/>
  <c r="H15" i="4995"/>
  <c r="H18" i="4995"/>
  <c r="H11" i="4995"/>
  <c r="C18" i="4995"/>
  <c r="B23" i="4995"/>
  <c r="H27" i="4995"/>
  <c r="H29" i="4995"/>
  <c r="H33" i="4995"/>
  <c r="H37" i="4995"/>
  <c r="H41" i="4995"/>
  <c r="H45" i="4995"/>
  <c r="O16" i="4985" l="1"/>
  <c r="O15" i="4981"/>
  <c r="O20" i="4989"/>
  <c r="O19" i="4989"/>
  <c r="O17" i="4977" l="1"/>
  <c r="O17" i="4993"/>
  <c r="O16" i="4993" l="1"/>
  <c r="O15" i="4993"/>
  <c r="O16" i="4983"/>
  <c r="O20" i="4981"/>
  <c r="O17" i="4991" l="1"/>
  <c r="O21" i="4987"/>
  <c r="O15" i="4991"/>
  <c r="O20" i="4993"/>
  <c r="O15" i="4979"/>
  <c r="O15" i="4989"/>
  <c r="O16" i="4975"/>
  <c r="O19" i="4993"/>
  <c r="O18" i="4993"/>
  <c r="C27" i="4993"/>
  <c r="B24" i="4993"/>
  <c r="C20" i="4993"/>
  <c r="B17" i="4993"/>
  <c r="H50" i="4993" s="1"/>
  <c r="H20" i="4993"/>
  <c r="C16" i="4993"/>
  <c r="C15" i="4993"/>
  <c r="C14" i="4993"/>
  <c r="C13" i="4993"/>
  <c r="O12" i="4993"/>
  <c r="C12" i="4993"/>
  <c r="O11" i="4993"/>
  <c r="H15" i="4993"/>
  <c r="C11" i="4993"/>
  <c r="O10" i="4993"/>
  <c r="C10" i="4993"/>
  <c r="C9" i="4993"/>
  <c r="C8" i="4993"/>
  <c r="O7" i="4993"/>
  <c r="C7" i="4993"/>
  <c r="O6" i="4993"/>
  <c r="B6" i="4993"/>
  <c r="O5" i="4993"/>
  <c r="B5" i="4993"/>
  <c r="O4" i="4993"/>
  <c r="O3" i="4993"/>
  <c r="O2" i="4993"/>
  <c r="O16" i="4991"/>
  <c r="O18" i="4991"/>
  <c r="C27" i="4991"/>
  <c r="B24" i="4991"/>
  <c r="C20" i="4991"/>
  <c r="B17" i="4991"/>
  <c r="H7" i="4991" s="1"/>
  <c r="C16" i="4991"/>
  <c r="C15" i="4991"/>
  <c r="C14" i="4991"/>
  <c r="C13" i="4991"/>
  <c r="O12" i="4991"/>
  <c r="C12" i="4991"/>
  <c r="O11" i="4991"/>
  <c r="C11" i="4991"/>
  <c r="O10" i="4991"/>
  <c r="C10" i="4991"/>
  <c r="C9" i="4991"/>
  <c r="C8" i="4991"/>
  <c r="O7" i="4991"/>
  <c r="C7" i="4991"/>
  <c r="O6" i="4991"/>
  <c r="B6" i="4991"/>
  <c r="O5" i="4991"/>
  <c r="B5" i="4991"/>
  <c r="O4" i="4991"/>
  <c r="O3" i="4991"/>
  <c r="O2" i="4991"/>
  <c r="O22" i="4989"/>
  <c r="O21" i="4989"/>
  <c r="O15" i="4977"/>
  <c r="O19" i="4977"/>
  <c r="O23" i="4975"/>
  <c r="H4" i="4993" l="1"/>
  <c r="H13" i="4993"/>
  <c r="H2" i="4993"/>
  <c r="H2" i="4991"/>
  <c r="H13" i="4991"/>
  <c r="H3" i="4991"/>
  <c r="C17" i="4991"/>
  <c r="H4" i="4991"/>
  <c r="H18" i="4993"/>
  <c r="H9" i="4993"/>
  <c r="C18" i="4993"/>
  <c r="H32" i="4993"/>
  <c r="H43" i="4993"/>
  <c r="H3" i="4993"/>
  <c r="C17" i="4993"/>
  <c r="H39" i="4993"/>
  <c r="H48" i="4993"/>
  <c r="H10" i="4993"/>
  <c r="H26" i="4993"/>
  <c r="H35" i="4993"/>
  <c r="H47" i="4993"/>
  <c r="H8" i="4993"/>
  <c r="H17" i="4993"/>
  <c r="H19" i="4993"/>
  <c r="H12" i="4993"/>
  <c r="H7" i="4993"/>
  <c r="H14" i="4993"/>
  <c r="H16" i="4993"/>
  <c r="H21" i="4993"/>
  <c r="H11" i="4993"/>
  <c r="H31" i="4993"/>
  <c r="H40" i="4993"/>
  <c r="H51" i="4993"/>
  <c r="C19" i="4993"/>
  <c r="H24" i="4993"/>
  <c r="H6" i="4993"/>
  <c r="H36" i="4993"/>
  <c r="H44" i="4993"/>
  <c r="H5" i="4993"/>
  <c r="B23" i="4993"/>
  <c r="H27" i="4993"/>
  <c r="H29" i="4993"/>
  <c r="H33" i="4993"/>
  <c r="H37" i="4993"/>
  <c r="H41" i="4993"/>
  <c r="H45" i="4993"/>
  <c r="H49" i="4993"/>
  <c r="H22" i="4993"/>
  <c r="H23" i="4993"/>
  <c r="H25" i="4993"/>
  <c r="H28" i="4993"/>
  <c r="H30" i="4993"/>
  <c r="H34" i="4993"/>
  <c r="H38" i="4993"/>
  <c r="H42" i="4993"/>
  <c r="H46" i="4993"/>
  <c r="H21" i="4991"/>
  <c r="H26" i="4991"/>
  <c r="H30" i="4991"/>
  <c r="H34" i="4991"/>
  <c r="H38" i="4991"/>
  <c r="H42" i="4991"/>
  <c r="H50" i="4991"/>
  <c r="H18" i="4991"/>
  <c r="C19" i="4991"/>
  <c r="H31" i="4991"/>
  <c r="H35" i="4991"/>
  <c r="H39" i="4991"/>
  <c r="H47" i="4991"/>
  <c r="H51" i="4991"/>
  <c r="H12" i="4991"/>
  <c r="H8" i="4991"/>
  <c r="H5" i="4991"/>
  <c r="H14" i="4991"/>
  <c r="H17" i="4991"/>
  <c r="H19" i="4991"/>
  <c r="C18" i="4991"/>
  <c r="B23" i="4991"/>
  <c r="H27" i="4991"/>
  <c r="H29" i="4991"/>
  <c r="H33" i="4991"/>
  <c r="H37" i="4991"/>
  <c r="H41" i="4991"/>
  <c r="H45" i="4991"/>
  <c r="H49" i="4991"/>
  <c r="H23" i="4991"/>
  <c r="H28" i="4991"/>
  <c r="H46" i="4991"/>
  <c r="H9" i="4991"/>
  <c r="H16" i="4991"/>
  <c r="H24" i="4991"/>
  <c r="H43" i="4991"/>
  <c r="H10" i="4991"/>
  <c r="H15" i="4991"/>
  <c r="H20" i="4991"/>
  <c r="H22" i="4991"/>
  <c r="H25" i="4991"/>
  <c r="H11" i="4991"/>
  <c r="H6" i="4991"/>
  <c r="H32" i="4991"/>
  <c r="H36" i="4991"/>
  <c r="H40" i="4991"/>
  <c r="H44" i="4991"/>
  <c r="H48" i="4991"/>
  <c r="O16" i="4989" l="1"/>
  <c r="O18" i="4987"/>
  <c r="O16" i="4987"/>
  <c r="O18" i="4979"/>
  <c r="O17" i="4985" l="1"/>
  <c r="O17" i="4983"/>
  <c r="O19" i="4987"/>
  <c r="O17" i="4987"/>
  <c r="O15" i="4985" l="1"/>
  <c r="O15" i="4983"/>
  <c r="O19" i="4981"/>
  <c r="O21" i="4981"/>
  <c r="O17" i="4989"/>
  <c r="O18" i="4989"/>
  <c r="C27" i="4989"/>
  <c r="B24" i="4989"/>
  <c r="C20" i="4989"/>
  <c r="B17" i="4989"/>
  <c r="H51" i="4989" s="1"/>
  <c r="C16" i="4989"/>
  <c r="C15" i="4989"/>
  <c r="C14" i="4989"/>
  <c r="C13" i="4989"/>
  <c r="O12" i="4989"/>
  <c r="C12" i="4989"/>
  <c r="O11" i="4989"/>
  <c r="C11" i="4989"/>
  <c r="O10" i="4989"/>
  <c r="C10" i="4989"/>
  <c r="C9" i="4989"/>
  <c r="C8" i="4989"/>
  <c r="O7" i="4989"/>
  <c r="C7" i="4989"/>
  <c r="O6" i="4989"/>
  <c r="B6" i="4989"/>
  <c r="O5" i="4989"/>
  <c r="B5" i="4989"/>
  <c r="O4" i="4989"/>
  <c r="O3" i="4989"/>
  <c r="O2" i="4989"/>
  <c r="O19" i="4983"/>
  <c r="O20" i="4979"/>
  <c r="O18" i="4975"/>
  <c r="H3" i="4989" l="1"/>
  <c r="H4" i="4989"/>
  <c r="H40" i="4989"/>
  <c r="H16" i="4989"/>
  <c r="H2" i="4989"/>
  <c r="H7" i="4989"/>
  <c r="H26" i="4989"/>
  <c r="H32" i="4989"/>
  <c r="H48" i="4989"/>
  <c r="C17" i="4989"/>
  <c r="H10" i="4989"/>
  <c r="H44" i="4989"/>
  <c r="H8" i="4989"/>
  <c r="H6" i="4989"/>
  <c r="H12" i="4989"/>
  <c r="H18" i="4989"/>
  <c r="H22" i="4989"/>
  <c r="H9" i="4989"/>
  <c r="H17" i="4989"/>
  <c r="H24" i="4989"/>
  <c r="H27" i="4989"/>
  <c r="H36" i="4989"/>
  <c r="H5" i="4989"/>
  <c r="H19" i="4989"/>
  <c r="H21" i="4989"/>
  <c r="C18" i="4989"/>
  <c r="B23" i="4989"/>
  <c r="H28" i="4989"/>
  <c r="H30" i="4989"/>
  <c r="H33" i="4989"/>
  <c r="H37" i="4989"/>
  <c r="H41" i="4989"/>
  <c r="H45" i="4989"/>
  <c r="H49" i="4989"/>
  <c r="H23" i="4989"/>
  <c r="H25" i="4989"/>
  <c r="H15" i="4989"/>
  <c r="H29" i="4989"/>
  <c r="H11" i="4989"/>
  <c r="H34" i="4989"/>
  <c r="H38" i="4989"/>
  <c r="H42" i="4989"/>
  <c r="H46" i="4989"/>
  <c r="H50" i="4989"/>
  <c r="H13" i="4989"/>
  <c r="H20" i="4989"/>
  <c r="C19" i="4989"/>
  <c r="H14" i="4989"/>
  <c r="H31" i="4989"/>
  <c r="H35" i="4989"/>
  <c r="H39" i="4989"/>
  <c r="H43" i="4989"/>
  <c r="H47" i="4989"/>
  <c r="O16" i="4981" l="1"/>
  <c r="O22" i="4987"/>
  <c r="O15" i="4987"/>
  <c r="C27" i="4987"/>
  <c r="B24" i="4987"/>
  <c r="C20" i="4987"/>
  <c r="B17" i="4987"/>
  <c r="H6" i="4987" s="1"/>
  <c r="C16" i="4987"/>
  <c r="C15" i="4987"/>
  <c r="C14" i="4987"/>
  <c r="C13" i="4987"/>
  <c r="O12" i="4987"/>
  <c r="C12" i="4987"/>
  <c r="O11" i="4987"/>
  <c r="C11" i="4987"/>
  <c r="O10" i="4987"/>
  <c r="C10" i="4987"/>
  <c r="C9" i="4987"/>
  <c r="C8" i="4987"/>
  <c r="O7" i="4987"/>
  <c r="C7" i="4987"/>
  <c r="O6" i="4987"/>
  <c r="B6" i="4987"/>
  <c r="O5" i="4987"/>
  <c r="B5" i="4987"/>
  <c r="O4" i="4987"/>
  <c r="O3" i="4987"/>
  <c r="O2" i="4987"/>
  <c r="O18" i="4977"/>
  <c r="O17" i="4975"/>
  <c r="O20" i="4985"/>
  <c r="O17" i="4979"/>
  <c r="O19" i="4979"/>
  <c r="O20" i="4983"/>
  <c r="O19" i="4985"/>
  <c r="O21" i="4985"/>
  <c r="C27" i="4985"/>
  <c r="B24" i="4985"/>
  <c r="C20" i="4985"/>
  <c r="B17" i="4985"/>
  <c r="H5" i="4985" s="1"/>
  <c r="C16" i="4985"/>
  <c r="C15" i="4985"/>
  <c r="C14" i="4985"/>
  <c r="C13" i="4985"/>
  <c r="O12" i="4985"/>
  <c r="C12" i="4985"/>
  <c r="O11" i="4985"/>
  <c r="C11" i="4985"/>
  <c r="O10" i="4985"/>
  <c r="C10" i="4985"/>
  <c r="C9" i="4985"/>
  <c r="C8" i="4985"/>
  <c r="O7" i="4985"/>
  <c r="C7" i="4985"/>
  <c r="O6" i="4985"/>
  <c r="B6" i="4985"/>
  <c r="O5" i="4985"/>
  <c r="B5" i="4985"/>
  <c r="O4" i="4985"/>
  <c r="O3" i="4985"/>
  <c r="O2" i="4985"/>
  <c r="O21" i="4983"/>
  <c r="O18" i="4983"/>
  <c r="C27" i="4983"/>
  <c r="B24" i="4983"/>
  <c r="C20" i="4983"/>
  <c r="B17" i="4983"/>
  <c r="H5" i="4983" s="1"/>
  <c r="C16" i="4983"/>
  <c r="C15" i="4983"/>
  <c r="C14" i="4983"/>
  <c r="C13" i="4983"/>
  <c r="O12" i="4983"/>
  <c r="C12" i="4983"/>
  <c r="O11" i="4983"/>
  <c r="C11" i="4983"/>
  <c r="O10" i="4983"/>
  <c r="C10" i="4983"/>
  <c r="C9" i="4983"/>
  <c r="C8" i="4983"/>
  <c r="O7" i="4983"/>
  <c r="C7" i="4983"/>
  <c r="O6" i="4983"/>
  <c r="B6" i="4983"/>
  <c r="O5" i="4983"/>
  <c r="B5" i="4983"/>
  <c r="O4" i="4983"/>
  <c r="O3" i="4983"/>
  <c r="O2" i="4983"/>
  <c r="O20" i="4977"/>
  <c r="O22" i="4977"/>
  <c r="O21" i="4975"/>
  <c r="O19" i="4975"/>
  <c r="H4" i="4987" l="1"/>
  <c r="H8" i="4987"/>
  <c r="H2" i="4987"/>
  <c r="H3" i="4987"/>
  <c r="H19" i="4985"/>
  <c r="H22" i="4985"/>
  <c r="H7" i="4985"/>
  <c r="H10" i="4985"/>
  <c r="H2" i="4985"/>
  <c r="H8" i="4985"/>
  <c r="H4" i="4985"/>
  <c r="H16" i="4985"/>
  <c r="H2" i="4983"/>
  <c r="H4" i="4983"/>
  <c r="H3" i="4983"/>
  <c r="H11" i="4983"/>
  <c r="H28" i="4987"/>
  <c r="H37" i="4987"/>
  <c r="H10" i="4987"/>
  <c r="H21" i="4987"/>
  <c r="C17" i="4987"/>
  <c r="H14" i="4987"/>
  <c r="H41" i="4987"/>
  <c r="H18" i="4987"/>
  <c r="C18" i="4987"/>
  <c r="B23" i="4987"/>
  <c r="H30" i="4987"/>
  <c r="H45" i="4987"/>
  <c r="H19" i="4987"/>
  <c r="H13" i="4987"/>
  <c r="H5" i="4987"/>
  <c r="H11" i="4987"/>
  <c r="H7" i="4987"/>
  <c r="H15" i="4987"/>
  <c r="H20" i="4987"/>
  <c r="H22" i="4987"/>
  <c r="C19" i="4987"/>
  <c r="H33" i="4987"/>
  <c r="H49" i="4987"/>
  <c r="H23" i="4987"/>
  <c r="H25" i="4987"/>
  <c r="H27" i="4987"/>
  <c r="H29" i="4987"/>
  <c r="H17" i="4987"/>
  <c r="H34" i="4987"/>
  <c r="H38" i="4987"/>
  <c r="H42" i="4987"/>
  <c r="H46" i="4987"/>
  <c r="H50" i="4987"/>
  <c r="H31" i="4987"/>
  <c r="H35" i="4987"/>
  <c r="H39" i="4987"/>
  <c r="H43" i="4987"/>
  <c r="H47" i="4987"/>
  <c r="H51" i="4987"/>
  <c r="H16" i="4987"/>
  <c r="H24" i="4987"/>
  <c r="H26" i="4987"/>
  <c r="H12" i="4987"/>
  <c r="H9" i="4987"/>
  <c r="H32" i="4987"/>
  <c r="H36" i="4987"/>
  <c r="H40" i="4987"/>
  <c r="H44" i="4987"/>
  <c r="H48" i="4987"/>
  <c r="H3" i="4985"/>
  <c r="H21" i="4985"/>
  <c r="H23" i="4985"/>
  <c r="C19" i="4985"/>
  <c r="C17" i="4983"/>
  <c r="C17" i="4985"/>
  <c r="H13" i="4985"/>
  <c r="H9" i="4985"/>
  <c r="H6" i="4985"/>
  <c r="H15" i="4985"/>
  <c r="H20" i="4985"/>
  <c r="C18" i="4985"/>
  <c r="B23" i="4985"/>
  <c r="H28" i="4985"/>
  <c r="H30" i="4985"/>
  <c r="H33" i="4985"/>
  <c r="H37" i="4985"/>
  <c r="H41" i="4985"/>
  <c r="H45" i="4985"/>
  <c r="H49" i="4985"/>
  <c r="H24" i="4985"/>
  <c r="H25" i="4985"/>
  <c r="H27" i="4985"/>
  <c r="H29" i="4985"/>
  <c r="H18" i="4985"/>
  <c r="H34" i="4985"/>
  <c r="H38" i="4985"/>
  <c r="H42" i="4985"/>
  <c r="H46" i="4985"/>
  <c r="H50" i="4985"/>
  <c r="H31" i="4985"/>
  <c r="H35" i="4985"/>
  <c r="H39" i="4985"/>
  <c r="H43" i="4985"/>
  <c r="H47" i="4985"/>
  <c r="H51" i="4985"/>
  <c r="H17" i="4985"/>
  <c r="H12" i="4985"/>
  <c r="H26" i="4985"/>
  <c r="H14" i="4985"/>
  <c r="H11" i="4985"/>
  <c r="H32" i="4985"/>
  <c r="H36" i="4985"/>
  <c r="H40" i="4985"/>
  <c r="H44" i="4985"/>
  <c r="H48" i="4985"/>
  <c r="H7" i="4983"/>
  <c r="H20" i="4983"/>
  <c r="H22" i="4983"/>
  <c r="H15" i="4983"/>
  <c r="C18" i="4983"/>
  <c r="B23" i="4983"/>
  <c r="H29" i="4983"/>
  <c r="H31" i="4983"/>
  <c r="H34" i="4983"/>
  <c r="H38" i="4983"/>
  <c r="H42" i="4983"/>
  <c r="H46" i="4983"/>
  <c r="H50" i="4983"/>
  <c r="H25" i="4983"/>
  <c r="H26" i="4983"/>
  <c r="H28" i="4983"/>
  <c r="H30" i="4983"/>
  <c r="H32" i="4983"/>
  <c r="H35" i="4983"/>
  <c r="H39" i="4983"/>
  <c r="H43" i="4983"/>
  <c r="H47" i="4983"/>
  <c r="H51" i="4983"/>
  <c r="H8" i="4983"/>
  <c r="H16" i="4983"/>
  <c r="H23" i="4983"/>
  <c r="C19" i="4983"/>
  <c r="H14" i="4983"/>
  <c r="H19" i="4983"/>
  <c r="H36" i="4983"/>
  <c r="H40" i="4983"/>
  <c r="H44" i="4983"/>
  <c r="H48" i="4983"/>
  <c r="H17" i="4983"/>
  <c r="H9" i="4983"/>
  <c r="H6" i="4983"/>
  <c r="H12" i="4983"/>
  <c r="H21" i="4983"/>
  <c r="H24" i="4983"/>
  <c r="H18" i="4983"/>
  <c r="H27" i="4983"/>
  <c r="H13" i="4983"/>
  <c r="H10" i="4983"/>
  <c r="H33" i="4983"/>
  <c r="H37" i="4983"/>
  <c r="H41" i="4983"/>
  <c r="H45" i="4983"/>
  <c r="H49" i="4983"/>
  <c r="O17" i="4981" l="1"/>
  <c r="O18" i="4981"/>
  <c r="C27" i="4981"/>
  <c r="B24" i="4981"/>
  <c r="C20" i="4981"/>
  <c r="B17" i="4981"/>
  <c r="H6" i="4981" s="1"/>
  <c r="C16" i="4981"/>
  <c r="C15" i="4981"/>
  <c r="C14" i="4981"/>
  <c r="C13" i="4981"/>
  <c r="O12" i="4981"/>
  <c r="C12" i="4981"/>
  <c r="O11" i="4981"/>
  <c r="C11" i="4981"/>
  <c r="O10" i="4981"/>
  <c r="C10" i="4981"/>
  <c r="C9" i="4981"/>
  <c r="C8" i="4981"/>
  <c r="O7" i="4981"/>
  <c r="C7" i="4981"/>
  <c r="O6" i="4981"/>
  <c r="B6" i="4981"/>
  <c r="O5" i="4981"/>
  <c r="B5" i="4981"/>
  <c r="O4" i="4981"/>
  <c r="O3" i="4981"/>
  <c r="O2" i="4981"/>
  <c r="O21" i="4979"/>
  <c r="O16" i="4979"/>
  <c r="C27" i="4979"/>
  <c r="B24" i="4979"/>
  <c r="C20" i="4979"/>
  <c r="B17" i="4979"/>
  <c r="H5" i="4979" s="1"/>
  <c r="C16" i="4979"/>
  <c r="C15" i="4979"/>
  <c r="C14" i="4979"/>
  <c r="C13" i="4979"/>
  <c r="O12" i="4979"/>
  <c r="C12" i="4979"/>
  <c r="O11" i="4979"/>
  <c r="C11" i="4979"/>
  <c r="O10" i="4979"/>
  <c r="C10" i="4979"/>
  <c r="C9" i="4979"/>
  <c r="C8" i="4979"/>
  <c r="O7" i="4979"/>
  <c r="C7" i="4979"/>
  <c r="O6" i="4979"/>
  <c r="B6" i="4979"/>
  <c r="O5" i="4979"/>
  <c r="B5" i="4979"/>
  <c r="O4" i="4979"/>
  <c r="O3" i="4979"/>
  <c r="O2" i="4979"/>
  <c r="O24" i="4975"/>
  <c r="O16" i="4977"/>
  <c r="O21" i="4977"/>
  <c r="C27" i="4977"/>
  <c r="B24" i="4977"/>
  <c r="C20" i="4977"/>
  <c r="B17" i="4977"/>
  <c r="H5" i="4977" s="1"/>
  <c r="C16" i="4977"/>
  <c r="C15" i="4977"/>
  <c r="C14" i="4977"/>
  <c r="C13" i="4977"/>
  <c r="O12" i="4977"/>
  <c r="C12" i="4977"/>
  <c r="O11" i="4977"/>
  <c r="C11" i="4977"/>
  <c r="O10" i="4977"/>
  <c r="C10" i="4977"/>
  <c r="C9" i="4977"/>
  <c r="C8" i="4977"/>
  <c r="O7" i="4977"/>
  <c r="C7" i="4977"/>
  <c r="O6" i="4977"/>
  <c r="B6" i="4977"/>
  <c r="O5" i="4977"/>
  <c r="B5" i="4977"/>
  <c r="O4" i="4977"/>
  <c r="O3" i="4977"/>
  <c r="O2" i="4977"/>
  <c r="O15" i="4975"/>
  <c r="O20" i="4975"/>
  <c r="C27" i="4975"/>
  <c r="B24" i="4975"/>
  <c r="C20" i="4975"/>
  <c r="B17" i="4975"/>
  <c r="H5" i="4975" s="1"/>
  <c r="C16" i="4975"/>
  <c r="C15" i="4975"/>
  <c r="C14" i="4975"/>
  <c r="C13" i="4975"/>
  <c r="O12" i="4975"/>
  <c r="C12" i="4975"/>
  <c r="O11" i="4975"/>
  <c r="C11" i="4975"/>
  <c r="O10" i="4975"/>
  <c r="C10" i="4975"/>
  <c r="C9" i="4975"/>
  <c r="C8" i="4975"/>
  <c r="O7" i="4975"/>
  <c r="C7" i="4975"/>
  <c r="O6" i="4975"/>
  <c r="B6" i="4975"/>
  <c r="O5" i="4975"/>
  <c r="B5" i="4975"/>
  <c r="O4" i="4975"/>
  <c r="O3" i="4975"/>
  <c r="O2" i="4975"/>
  <c r="H10" i="4981" l="1"/>
  <c r="H17" i="4981"/>
  <c r="H14" i="4981"/>
  <c r="H4" i="4981"/>
  <c r="H12" i="4981"/>
  <c r="H5" i="4981"/>
  <c r="H18" i="4981"/>
  <c r="H3" i="4981"/>
  <c r="H7" i="4981"/>
  <c r="C19" i="4981"/>
  <c r="H20" i="4981"/>
  <c r="H2" i="4981"/>
  <c r="H8" i="4981"/>
  <c r="H9" i="4981"/>
  <c r="H19" i="4981"/>
  <c r="H29" i="4977"/>
  <c r="H12" i="4977"/>
  <c r="H6" i="4977"/>
  <c r="H16" i="4977"/>
  <c r="H21" i="4981"/>
  <c r="C17" i="4981"/>
  <c r="C18" i="4981"/>
  <c r="B23" i="4981"/>
  <c r="H28" i="4981"/>
  <c r="H29" i="4981"/>
  <c r="H33" i="4981"/>
  <c r="H37" i="4981"/>
  <c r="H41" i="4981"/>
  <c r="H45" i="4981"/>
  <c r="H49" i="4981"/>
  <c r="H23" i="4981"/>
  <c r="H25" i="4981"/>
  <c r="H27" i="4981"/>
  <c r="H16" i="4981"/>
  <c r="H30" i="4981"/>
  <c r="H34" i="4981"/>
  <c r="H38" i="4981"/>
  <c r="H42" i="4981"/>
  <c r="H46" i="4981"/>
  <c r="H50" i="4981"/>
  <c r="H15" i="4981"/>
  <c r="H31" i="4981"/>
  <c r="H35" i="4981"/>
  <c r="H39" i="4981"/>
  <c r="H43" i="4981"/>
  <c r="H47" i="4981"/>
  <c r="H51" i="4981"/>
  <c r="H22" i="4981"/>
  <c r="H24" i="4981"/>
  <c r="H26" i="4981"/>
  <c r="H13" i="4981"/>
  <c r="H11" i="4981"/>
  <c r="H32" i="4981"/>
  <c r="H36" i="4981"/>
  <c r="H40" i="4981"/>
  <c r="H44" i="4981"/>
  <c r="H48" i="4981"/>
  <c r="H10" i="4979"/>
  <c r="H3" i="4979"/>
  <c r="H2" i="4979"/>
  <c r="H4" i="4979"/>
  <c r="H38" i="4979"/>
  <c r="H8" i="4979"/>
  <c r="H19" i="4979"/>
  <c r="H22" i="4979"/>
  <c r="H15" i="4979"/>
  <c r="H42" i="4979"/>
  <c r="H31" i="4979"/>
  <c r="C17" i="4979"/>
  <c r="H9" i="4979"/>
  <c r="H7" i="4979"/>
  <c r="H14" i="4979"/>
  <c r="H18" i="4979"/>
  <c r="C18" i="4979"/>
  <c r="B23" i="4979"/>
  <c r="H32" i="4979"/>
  <c r="H46" i="4979"/>
  <c r="H6" i="4979"/>
  <c r="H21" i="4979"/>
  <c r="H27" i="4979"/>
  <c r="H23" i="4979"/>
  <c r="C19" i="4979"/>
  <c r="H34" i="4979"/>
  <c r="H50" i="4979"/>
  <c r="H28" i="4979"/>
  <c r="H29" i="4979"/>
  <c r="H30" i="4979"/>
  <c r="H25" i="4979"/>
  <c r="H16" i="4979"/>
  <c r="H35" i="4979"/>
  <c r="H39" i="4979"/>
  <c r="H43" i="4979"/>
  <c r="H47" i="4979"/>
  <c r="H51" i="4979"/>
  <c r="H26" i="4979"/>
  <c r="H36" i="4979"/>
  <c r="H40" i="4979"/>
  <c r="H44" i="4979"/>
  <c r="H48" i="4979"/>
  <c r="H17" i="4979"/>
  <c r="H20" i="4979"/>
  <c r="H13" i="4979"/>
  <c r="H24" i="4979"/>
  <c r="H12" i="4979"/>
  <c r="H11" i="4979"/>
  <c r="H33" i="4979"/>
  <c r="H37" i="4979"/>
  <c r="H41" i="4979"/>
  <c r="H45" i="4979"/>
  <c r="H49" i="4979"/>
  <c r="H11" i="4975"/>
  <c r="H4" i="4975"/>
  <c r="H2" i="4977"/>
  <c r="H18" i="4977"/>
  <c r="C19" i="4977"/>
  <c r="H35" i="4977"/>
  <c r="H4" i="4977"/>
  <c r="H3" i="4977"/>
  <c r="H20" i="4977"/>
  <c r="H50" i="4977"/>
  <c r="H23" i="4977"/>
  <c r="H38" i="4977"/>
  <c r="H9" i="4977"/>
  <c r="H21" i="4977"/>
  <c r="C17" i="4977"/>
  <c r="H14" i="4977"/>
  <c r="H42" i="4977"/>
  <c r="H10" i="4977"/>
  <c r="H7" i="4977"/>
  <c r="H13" i="4977"/>
  <c r="H28" i="4977"/>
  <c r="C18" i="4977"/>
  <c r="B23" i="4977"/>
  <c r="H24" i="4977"/>
  <c r="H46" i="4977"/>
  <c r="H30" i="4977"/>
  <c r="H31" i="4977"/>
  <c r="H33" i="4977"/>
  <c r="H34" i="4977"/>
  <c r="H17" i="4977"/>
  <c r="H27" i="4977"/>
  <c r="H39" i="4977"/>
  <c r="H43" i="4977"/>
  <c r="H47" i="4977"/>
  <c r="H51" i="4977"/>
  <c r="H25" i="4977"/>
  <c r="H36" i="4977"/>
  <c r="H40" i="4977"/>
  <c r="H44" i="4977"/>
  <c r="H48" i="4977"/>
  <c r="H19" i="4977"/>
  <c r="H22" i="4977"/>
  <c r="H15" i="4977"/>
  <c r="H32" i="4977"/>
  <c r="H11" i="4977"/>
  <c r="H8" i="4977"/>
  <c r="H26" i="4977"/>
  <c r="H37" i="4977"/>
  <c r="H41" i="4977"/>
  <c r="H45" i="4977"/>
  <c r="H49" i="4977"/>
  <c r="H2" i="4975"/>
  <c r="H3" i="4975"/>
  <c r="C17" i="4975"/>
  <c r="H14" i="4975"/>
  <c r="H10" i="4975"/>
  <c r="H6" i="4975"/>
  <c r="H13" i="4975"/>
  <c r="H23" i="4975"/>
  <c r="C18" i="4975"/>
  <c r="H8" i="4975"/>
  <c r="H19" i="4975"/>
  <c r="H24" i="4975"/>
  <c r="H7" i="4975"/>
  <c r="H21" i="4975"/>
  <c r="H32" i="4975"/>
  <c r="H17" i="4975"/>
  <c r="C19" i="4975"/>
  <c r="B23" i="4975"/>
  <c r="H28" i="4975"/>
  <c r="H29" i="4975"/>
  <c r="H35" i="4975"/>
  <c r="H38" i="4975"/>
  <c r="H42" i="4975"/>
  <c r="H46" i="4975"/>
  <c r="H50" i="4975"/>
  <c r="H33" i="4975"/>
  <c r="H34" i="4975"/>
  <c r="H27" i="4975"/>
  <c r="H25" i="4975"/>
  <c r="H16" i="4975"/>
  <c r="H31" i="4975"/>
  <c r="H39" i="4975"/>
  <c r="H43" i="4975"/>
  <c r="H47" i="4975"/>
  <c r="H51" i="4975"/>
  <c r="H22" i="4975"/>
  <c r="H36" i="4975"/>
  <c r="H40" i="4975"/>
  <c r="H44" i="4975"/>
  <c r="H48" i="4975"/>
  <c r="H18" i="4975"/>
  <c r="H20" i="4975"/>
  <c r="H15" i="4975"/>
  <c r="H26" i="4975"/>
  <c r="H12" i="4975"/>
  <c r="H9" i="4975"/>
  <c r="H30" i="4975"/>
  <c r="H37" i="4975"/>
  <c r="H41" i="4975"/>
  <c r="H45" i="4975"/>
  <c r="H49" i="4975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<sst xmlns="http://schemas.openxmlformats.org/spreadsheetml/2006/main" count="2676" uniqueCount="208">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</sst>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全体!$K$2:$K$266</c:f>
              <c:numCache>
                <c:formatCode>General</c:formatCode>
                <c:ptCount val="2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</c:numCache>
            </c:numRef>
          </c:xVal>
          <c:yVal>
            <c:numRef>
              <c:f>全体!$L$2:$L$266</c:f>
              <c:numCache>
                <c:formatCode>\+0.0;\-0.0;\±0</c:formatCode>
                <c:ptCount val="265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0E-44C5-872F-D26B2C72C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-18.939393939393938</c:v>
                </c:pt>
                <c:pt idx="1">
                  <c:v>-11.494252873563218</c:v>
                </c:pt>
                <c:pt idx="2">
                  <c:v>16.460905349794238</c:v>
                </c:pt>
                <c:pt idx="3">
                  <c:v>13.698630136986301</c:v>
                </c:pt>
                <c:pt idx="4">
                  <c:v>-24.875621890547265</c:v>
                </c:pt>
                <c:pt idx="5">
                  <c:v>31.746031746031747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66-422B-B9F3-AACB561C3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だいち!$L$2:$L$63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64-4C3B-9CCF-0D74E4D52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3604.9180327868853</c:v>
                </c:pt>
                <c:pt idx="1">
                  <c:v>3693.3333333333335</c:v>
                </c:pt>
                <c:pt idx="2">
                  <c:v>3062.5</c:v>
                </c:pt>
                <c:pt idx="3">
                  <c:v>5732.6530612244896</c:v>
                </c:pt>
                <c:pt idx="4">
                  <c:v>1188.6363636363637</c:v>
                </c:pt>
                <c:pt idx="5">
                  <c:v>834.14634146341461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E0-4BE9-9C9E-302281A57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りくと!$L$2:$L$64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FF-4475-8379-11B977829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1103.2258064516129</c:v>
                </c:pt>
                <c:pt idx="1">
                  <c:v>-1524.5901639344263</c:v>
                </c:pt>
                <c:pt idx="2">
                  <c:v>-1910.1694915254238</c:v>
                </c:pt>
                <c:pt idx="3">
                  <c:v>184.61538461538461</c:v>
                </c:pt>
                <c:pt idx="4">
                  <c:v>1227.0833333333333</c:v>
                </c:pt>
                <c:pt idx="5">
                  <c:v>702.22222222222217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5C-4AB9-8F63-B00EA4F55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ただ!$L$2:$L$28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61-4C5A-B264-00C575161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-3515.3846153846152</c:v>
                </c:pt>
                <c:pt idx="1">
                  <c:v>-4453.8461538461543</c:v>
                </c:pt>
                <c:pt idx="2">
                  <c:v>-3691.304347826087</c:v>
                </c:pt>
                <c:pt idx="3">
                  <c:v>-7305</c:v>
                </c:pt>
                <c:pt idx="4">
                  <c:v>-2405.5555555555557</c:v>
                </c:pt>
                <c:pt idx="5">
                  <c:v>-2116.6666666666665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1-4F44-AF24-3DE0CC93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れんたろう!$L$2:$L$38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C7-4653-96E9-36EB523C6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-205.55555555555554</c:v>
                </c:pt>
                <c:pt idx="1">
                  <c:v>852.77777777777783</c:v>
                </c:pt>
                <c:pt idx="2">
                  <c:v>1055.8823529411766</c:v>
                </c:pt>
                <c:pt idx="3">
                  <c:v>-2183.8709677419356</c:v>
                </c:pt>
                <c:pt idx="4">
                  <c:v>-913.79310344827582</c:v>
                </c:pt>
                <c:pt idx="5">
                  <c:v>455.55555555555554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A4-4AF6-8E30-7582B5E84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たかの!$L$2:$L$28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DB-4819-9704-5701CDA3C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161.53846153846155</c:v>
                </c:pt>
                <c:pt idx="1">
                  <c:v>992.30769230769226</c:v>
                </c:pt>
                <c:pt idx="2">
                  <c:v>2240.909090909091</c:v>
                </c:pt>
                <c:pt idx="3">
                  <c:v>1405</c:v>
                </c:pt>
                <c:pt idx="4">
                  <c:v>-4752.6315789473683</c:v>
                </c:pt>
                <c:pt idx="5">
                  <c:v>-1076.4705882352941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BB-4CD1-A0E1-774FC0895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1-4E05-8721-EF915A53C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-3575</c:v>
                </c:pt>
                <c:pt idx="1">
                  <c:v>-745.83333333333337</c:v>
                </c:pt>
                <c:pt idx="2">
                  <c:v>-2377.2727272727275</c:v>
                </c:pt>
                <c:pt idx="3">
                  <c:v>-3452.3809523809523</c:v>
                </c:pt>
                <c:pt idx="4">
                  <c:v>1684.2105263157894</c:v>
                </c:pt>
                <c:pt idx="5">
                  <c:v>-633.33333333333337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4-4EEC-B88E-C8630B615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まっつん!$L$2:$L$17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12-49C6-8729-FF375865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-4773.333333333333</c:v>
                </c:pt>
                <c:pt idx="1">
                  <c:v>-3307.1428571428573</c:v>
                </c:pt>
                <c:pt idx="2">
                  <c:v>1069.2307692307693</c:v>
                </c:pt>
                <c:pt idx="3">
                  <c:v>-76.92307692307692</c:v>
                </c:pt>
                <c:pt idx="4">
                  <c:v>-375</c:v>
                </c:pt>
                <c:pt idx="5">
                  <c:v>3227.2727272727275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50-49B0-8043-2FED62658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02-49AE-AA25-10DF922CC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B6-4710-9CB3-E61B67700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7C-4FCF-A74D-769A09798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-3742.8571428571427</c:v>
                </c:pt>
                <c:pt idx="1">
                  <c:v>-4085.7142857142858</c:v>
                </c:pt>
                <c:pt idx="2">
                  <c:v>128.57142857142858</c:v>
                </c:pt>
                <c:pt idx="3">
                  <c:v>-7000</c:v>
                </c:pt>
                <c:pt idx="4">
                  <c:v>-2950</c:v>
                </c:pt>
                <c:pt idx="5">
                  <c:v>-4100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D3-4C48-96B1-4396D22EF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95-4253-B7D8-B752C2B35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-6025</c:v>
                </c:pt>
                <c:pt idx="1">
                  <c:v>3450</c:v>
                </c:pt>
                <c:pt idx="2">
                  <c:v>-3650</c:v>
                </c:pt>
                <c:pt idx="3">
                  <c:v>-1250</c:v>
                </c:pt>
                <c:pt idx="4">
                  <c:v>11266.666666666666</c:v>
                </c:pt>
                <c:pt idx="5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A7-4C6B-8365-83DE8B9CC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ほたに2!$C$3:$C$7</c:f>
              <c:numCache>
                <c:formatCode>\+0.0;\-0.0;\±0</c:formatCode>
                <c:ptCount val="5"/>
                <c:pt idx="1">
                  <c:v>-12.5</c:v>
                </c:pt>
                <c:pt idx="2">
                  <c:v>-14.05</c:v>
                </c:pt>
                <c:pt idx="3">
                  <c:v>-6.8000000000000007</c:v>
                </c:pt>
                <c:pt idx="4">
                  <c:v>4.8499999999999988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ほたに2!$D$3:$D$7</c:f>
              <c:numCache>
                <c:formatCode>0.00\ "位"</c:formatCode>
                <c:ptCount val="5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ほたに2!$F$3:$F$7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ほたに2!$G$3:$G$7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9121590383726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ほたに2!$H$3:$H$7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1983356449375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ほたに2!$I$3:$I$7</c:f>
              <c:numCache>
                <c:formatCode>0</c:formatCode>
                <c:ptCount val="5"/>
                <c:pt idx="1">
                  <c:v>12000</c:v>
                </c:pt>
                <c:pt idx="2">
                  <c:v>10566.666666666666</c:v>
                </c:pt>
                <c:pt idx="3">
                  <c:v>12340</c:v>
                </c:pt>
                <c:pt idx="4">
                  <c:v>9555.5555555555547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77.89799072642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ほたに2!$J$3:$J$7</c:f>
              <c:numCache>
                <c:formatCode>0</c:formatCode>
                <c:ptCount val="5"/>
                <c:pt idx="1">
                  <c:v>-3250</c:v>
                </c:pt>
                <c:pt idx="2">
                  <c:v>-6166.666666666667</c:v>
                </c:pt>
                <c:pt idx="3">
                  <c:v>-5880</c:v>
                </c:pt>
                <c:pt idx="4">
                  <c:v>-5866.666666666667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29.83870967741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ほたに2!$K$3:$K$7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2272727272727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ほたに2!$L$3:$L$7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2272727272727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ほたに2!$M$3:$M$7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0.30555555555555558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028663892741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ほたに2!$N$3:$N$7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0.35294117647058826</c:v>
                </c:pt>
                <c:pt idx="3">
                  <c:v>0.32142857142857145</c:v>
                </c:pt>
                <c:pt idx="4">
                  <c:v>0.27777777777777779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821544151641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ほたに2!$O$3:$O$7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0.4</c:v>
                </c:pt>
                <c:pt idx="4">
                  <c:v>0.54545454545454541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502664298401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ほたに2!$P$3:$P$7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3474576271186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ほたに2!$Q$3:$Q$7</c:f>
              <c:numCache>
                <c:formatCode>0.0%</c:formatCode>
                <c:ptCount val="5"/>
                <c:pt idx="1">
                  <c:v>0.5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7310664605873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115C3D8-AD4F-4B02-ACC5-20CB72784D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5BD72B5-1F0F-42EB-80A4-A0488973CD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73EBAC5-E8E9-4110-B3A8-F7B9F530D1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339CCA8-7C41-4E1F-BF9F-B01FF814AE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6D5A50B-82C9-4BE2-BC79-E16389870E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E4B2A7E-D430-42BF-B78F-9BD1504A25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CA250BC-5C32-4760-973D-FC06533ECD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38082B4-71AB-4A61-9351-262B2DF8B0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7FA61F0-407F-4277-833E-8DB4D310E9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366A0D7-F6AD-4407-8186-DA695A619E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74A82AB-1B1E-4D08-B689-82163FD282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08D9189-56D9-4028-810A-ECEA62403D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8F4AF37-FACF-4705-89F3-0FC1FF65D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0BF2867-53B1-4E05-A964-DB1DD31852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B8D8727-3799-4754-8CC6-D50777E1B2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51AB427-C8E3-43B0-B6A6-AEF1C1AEA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77EB1A1-B58C-410D-87DC-B64C3236EE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E9C7038-FD5B-494F-A273-84C94276FE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79117C4-2241-44B8-B0EB-3C59853C5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D175C12-B8FA-493F-82F2-C7D50E42B9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E012491-05DC-49BE-B403-C662998502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258302E-DDA1-4E6F-9B95-9D172803AE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0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1" customWidth="1"/>
    <col min="13" max="13" width="3.625" style="1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1"/>
  </cols>
  <sheetData>
    <row r="1" spans="1:17" x14ac:dyDescent="0.4">
      <c r="A1" s="20" t="s">
        <v>0</v>
      </c>
      <c r="B1" s="146"/>
      <c r="C1" s="147"/>
      <c r="E1" s="131" t="s">
        <v>168</v>
      </c>
      <c r="F1" s="12" t="s">
        <v>116</v>
      </c>
      <c r="G1" s="26" t="s">
        <v>117</v>
      </c>
      <c r="H1" s="132" t="s">
        <v>118</v>
      </c>
      <c r="I1" s="102" t="s">
        <v>154</v>
      </c>
      <c r="K1" s="2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159</v>
      </c>
    </row>
    <row r="2" spans="1:17" x14ac:dyDescent="0.4">
      <c r="A2" s="21" t="s">
        <v>9</v>
      </c>
      <c r="B2" s="148">
        <v>0</v>
      </c>
      <c r="C2" s="149"/>
      <c r="E2" s="62" t="s">
        <v>65</v>
      </c>
      <c r="F2" s="27" t="s">
        <v>21</v>
      </c>
      <c r="G2" s="14">
        <v>0</v>
      </c>
      <c r="H2" s="134">
        <f>IF(B$17=0,0,G2/B$17)</f>
        <v>0</v>
      </c>
      <c r="I2" s="95"/>
      <c r="K2" s="3">
        <v>0</v>
      </c>
      <c r="L2" s="100">
        <v>0</v>
      </c>
      <c r="N2" s="116" t="s">
        <v>132</v>
      </c>
      <c r="O2" s="123">
        <f t="shared" ref="O2:O7" si="0">IF(P2=0,0,Q2/P2)</f>
        <v>0</v>
      </c>
      <c r="P2" s="120">
        <v>0</v>
      </c>
      <c r="Q2" s="104">
        <v>0</v>
      </c>
    </row>
    <row r="3" spans="1:17" x14ac:dyDescent="0.4">
      <c r="A3" s="22" t="s">
        <v>8</v>
      </c>
      <c r="B3" s="150">
        <v>0</v>
      </c>
      <c r="C3" s="151"/>
      <c r="E3" s="63" t="s">
        <v>66</v>
      </c>
      <c r="F3" s="28" t="s">
        <v>22</v>
      </c>
      <c r="G3" s="15">
        <v>0</v>
      </c>
      <c r="H3" s="135">
        <f t="shared" ref="H3:H51" si="1">IF(B$17=0,0,G3/B$17)</f>
        <v>0</v>
      </c>
      <c r="I3" s="96"/>
      <c r="N3" s="117" t="s">
        <v>133</v>
      </c>
      <c r="O3" s="124">
        <f t="shared" si="0"/>
        <v>0</v>
      </c>
      <c r="P3" s="121">
        <v>0</v>
      </c>
      <c r="Q3" s="105">
        <v>0</v>
      </c>
    </row>
    <row r="4" spans="1:17" x14ac:dyDescent="0.4">
      <c r="A4" s="22" t="s">
        <v>6</v>
      </c>
      <c r="B4" s="152">
        <v>0</v>
      </c>
      <c r="C4" s="153"/>
      <c r="E4" s="63" t="s">
        <v>67</v>
      </c>
      <c r="F4" s="28" t="s">
        <v>23</v>
      </c>
      <c r="G4" s="15">
        <v>0</v>
      </c>
      <c r="H4" s="135">
        <f t="shared" si="1"/>
        <v>0</v>
      </c>
      <c r="I4" s="96"/>
      <c r="N4" s="117" t="s">
        <v>134</v>
      </c>
      <c r="O4" s="124">
        <f t="shared" si="0"/>
        <v>0</v>
      </c>
      <c r="P4" s="121">
        <v>0</v>
      </c>
      <c r="Q4" s="105">
        <v>0</v>
      </c>
    </row>
    <row r="5" spans="1:17" x14ac:dyDescent="0.4">
      <c r="A5" s="22" t="s">
        <v>7</v>
      </c>
      <c r="B5" s="154">
        <f>IF(B$2=0,0,B$4/B$2)</f>
        <v>0</v>
      </c>
      <c r="C5" s="155"/>
      <c r="E5" s="63" t="s">
        <v>68</v>
      </c>
      <c r="F5" s="28" t="s">
        <v>24</v>
      </c>
      <c r="G5" s="15">
        <v>0</v>
      </c>
      <c r="H5" s="135">
        <f>IF(B$17=0,0,G5/B$17)</f>
        <v>0</v>
      </c>
      <c r="I5" s="96"/>
      <c r="N5" s="117" t="s">
        <v>135</v>
      </c>
      <c r="O5" s="124">
        <f t="shared" si="0"/>
        <v>0</v>
      </c>
      <c r="P5" s="121">
        <v>0</v>
      </c>
      <c r="Q5" s="105">
        <v>0</v>
      </c>
    </row>
    <row r="6" spans="1:17" x14ac:dyDescent="0.4">
      <c r="A6" s="22" t="s">
        <v>1</v>
      </c>
      <c r="B6" s="144">
        <f>IF(B$2=0,0,(B$7*1+B$8*2+B$9*3)/B$2)</f>
        <v>0</v>
      </c>
      <c r="C6" s="145"/>
      <c r="E6" s="63" t="s">
        <v>69</v>
      </c>
      <c r="F6" s="28" t="s">
        <v>12</v>
      </c>
      <c r="G6" s="15">
        <v>0</v>
      </c>
      <c r="H6" s="135">
        <f t="shared" si="1"/>
        <v>0</v>
      </c>
      <c r="I6" s="96"/>
      <c r="N6" s="117" t="s">
        <v>136</v>
      </c>
      <c r="O6" s="124">
        <f t="shared" si="0"/>
        <v>0</v>
      </c>
      <c r="P6" s="121">
        <v>0</v>
      </c>
      <c r="Q6" s="105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5">
        <f t="shared" si="1"/>
        <v>0</v>
      </c>
      <c r="I7" s="96"/>
      <c r="N7" s="118" t="s">
        <v>137</v>
      </c>
      <c r="O7" s="125">
        <f t="shared" si="0"/>
        <v>0</v>
      </c>
      <c r="P7" s="122">
        <v>0</v>
      </c>
      <c r="Q7" s="106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5">
        <f t="shared" si="1"/>
        <v>0</v>
      </c>
      <c r="I8" s="96"/>
      <c r="N8" s="43"/>
      <c r="O8" s="129"/>
      <c r="P8" s="113"/>
      <c r="Q8" s="111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5">
        <f t="shared" si="1"/>
        <v>0</v>
      </c>
      <c r="I9" s="96"/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5">
        <f t="shared" si="1"/>
        <v>0</v>
      </c>
      <c r="I10" s="96"/>
      <c r="N10" s="116" t="s">
        <v>165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5">
        <f t="shared" si="1"/>
        <v>0</v>
      </c>
      <c r="I11" s="96"/>
      <c r="N11" s="117" t="s">
        <v>166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5">
        <f t="shared" si="1"/>
        <v>0</v>
      </c>
      <c r="I12" s="96"/>
      <c r="N12" s="118" t="s">
        <v>167</v>
      </c>
      <c r="O12" s="128">
        <f>IF(P12=0,0,Q12/P12)</f>
        <v>0</v>
      </c>
      <c r="P12" s="122">
        <v>0</v>
      </c>
      <c r="Q12" s="110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5">
        <f t="shared" si="1"/>
        <v>0</v>
      </c>
      <c r="I13" s="96"/>
      <c r="N13" s="33"/>
      <c r="O13" s="112"/>
      <c r="P13" s="114"/>
      <c r="Q13" s="112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5">
        <f t="shared" si="1"/>
        <v>0</v>
      </c>
      <c r="I14" s="96"/>
      <c r="N14" s="115" t="s">
        <v>155</v>
      </c>
      <c r="O14" s="34" t="s">
        <v>156</v>
      </c>
      <c r="P14" s="119" t="s">
        <v>157</v>
      </c>
      <c r="Q14" s="107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5">
        <f t="shared" si="1"/>
        <v>0</v>
      </c>
      <c r="I15" s="96"/>
      <c r="N15" s="116"/>
      <c r="O15" s="126"/>
      <c r="P15" s="120"/>
      <c r="Q15" s="108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5">
        <f t="shared" si="1"/>
        <v>0</v>
      </c>
      <c r="I16" s="96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5">
        <f t="shared" si="1"/>
        <v>0</v>
      </c>
      <c r="I17" s="96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5">
        <f t="shared" si="1"/>
        <v>0</v>
      </c>
      <c r="I18" s="96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5">
        <f t="shared" si="1"/>
        <v>0</v>
      </c>
      <c r="I19" s="96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5">
        <f t="shared" si="1"/>
        <v>0</v>
      </c>
      <c r="I20" s="96"/>
    </row>
    <row r="21" spans="1:9" x14ac:dyDescent="0.4">
      <c r="A21" s="55" t="s">
        <v>194</v>
      </c>
      <c r="B21" s="47">
        <v>0</v>
      </c>
      <c r="C21" s="137">
        <v>0</v>
      </c>
      <c r="E21" s="63" t="s">
        <v>84</v>
      </c>
      <c r="F21" s="28" t="s">
        <v>39</v>
      </c>
      <c r="G21" s="15">
        <v>0</v>
      </c>
      <c r="H21" s="135">
        <f t="shared" si="1"/>
        <v>0</v>
      </c>
      <c r="I21" s="96"/>
    </row>
    <row r="22" spans="1:9" x14ac:dyDescent="0.4">
      <c r="A22" s="22" t="s">
        <v>195</v>
      </c>
      <c r="B22" s="15">
        <v>0</v>
      </c>
      <c r="C22" s="137">
        <v>0</v>
      </c>
      <c r="E22" s="63" t="s">
        <v>85</v>
      </c>
      <c r="F22" s="28" t="s">
        <v>40</v>
      </c>
      <c r="G22" s="15">
        <v>0</v>
      </c>
      <c r="H22" s="135">
        <f t="shared" si="1"/>
        <v>0</v>
      </c>
      <c r="I22" s="96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5">
        <f t="shared" si="1"/>
        <v>0</v>
      </c>
      <c r="I23" s="96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5">
        <f t="shared" si="1"/>
        <v>0</v>
      </c>
      <c r="I24" s="96"/>
    </row>
    <row r="25" spans="1:9" x14ac:dyDescent="0.4">
      <c r="A25" s="92" t="s">
        <v>142</v>
      </c>
      <c r="B25" s="142">
        <v>0</v>
      </c>
      <c r="C25" s="143"/>
      <c r="E25" s="63" t="s">
        <v>88</v>
      </c>
      <c r="F25" s="28" t="s">
        <v>43</v>
      </c>
      <c r="G25" s="15">
        <v>0</v>
      </c>
      <c r="H25" s="135">
        <f t="shared" si="1"/>
        <v>0</v>
      </c>
      <c r="I25" s="96"/>
    </row>
    <row r="26" spans="1:9" x14ac:dyDescent="0.4">
      <c r="A26" s="58" t="s">
        <v>152</v>
      </c>
      <c r="B26" s="140">
        <v>0</v>
      </c>
      <c r="C26" s="141"/>
      <c r="E26" s="63" t="s">
        <v>89</v>
      </c>
      <c r="F26" s="28" t="s">
        <v>44</v>
      </c>
      <c r="G26" s="15">
        <v>0</v>
      </c>
      <c r="H26" s="135">
        <f t="shared" si="1"/>
        <v>0</v>
      </c>
      <c r="I26" s="96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5">
        <f t="shared" si="1"/>
        <v>0</v>
      </c>
      <c r="I27" s="96"/>
    </row>
    <row r="28" spans="1:9" x14ac:dyDescent="0.4">
      <c r="E28" s="63" t="s">
        <v>91</v>
      </c>
      <c r="F28" s="28" t="s">
        <v>46</v>
      </c>
      <c r="G28" s="15">
        <v>0</v>
      </c>
      <c r="H28" s="135">
        <f t="shared" si="1"/>
        <v>0</v>
      </c>
      <c r="I28" s="96"/>
    </row>
    <row r="29" spans="1:9" x14ac:dyDescent="0.4">
      <c r="E29" s="63" t="s">
        <v>92</v>
      </c>
      <c r="F29" s="28" t="s">
        <v>47</v>
      </c>
      <c r="G29" s="15">
        <v>0</v>
      </c>
      <c r="H29" s="135">
        <f t="shared" si="1"/>
        <v>0</v>
      </c>
      <c r="I29" s="96"/>
    </row>
    <row r="30" spans="1:9" x14ac:dyDescent="0.4">
      <c r="E30" s="63" t="s">
        <v>93</v>
      </c>
      <c r="F30" s="28" t="s">
        <v>48</v>
      </c>
      <c r="G30" s="15">
        <v>0</v>
      </c>
      <c r="H30" s="135">
        <f t="shared" si="1"/>
        <v>0</v>
      </c>
      <c r="I30" s="96"/>
    </row>
    <row r="31" spans="1:9" x14ac:dyDescent="0.4">
      <c r="E31" s="63" t="s">
        <v>94</v>
      </c>
      <c r="F31" s="28" t="s">
        <v>49</v>
      </c>
      <c r="G31" s="15">
        <v>0</v>
      </c>
      <c r="H31" s="135">
        <f t="shared" si="1"/>
        <v>0</v>
      </c>
      <c r="I31" s="96"/>
    </row>
    <row r="32" spans="1:9" x14ac:dyDescent="0.4">
      <c r="E32" s="63" t="s">
        <v>95</v>
      </c>
      <c r="F32" s="28" t="s">
        <v>50</v>
      </c>
      <c r="G32" s="15">
        <v>0</v>
      </c>
      <c r="H32" s="135">
        <f t="shared" si="1"/>
        <v>0</v>
      </c>
      <c r="I32" s="96"/>
    </row>
    <row r="33" spans="5:9" x14ac:dyDescent="0.4">
      <c r="E33" s="63" t="s">
        <v>96</v>
      </c>
      <c r="F33" s="28" t="s">
        <v>51</v>
      </c>
      <c r="G33" s="15">
        <v>0</v>
      </c>
      <c r="H33" s="135">
        <f t="shared" si="1"/>
        <v>0</v>
      </c>
      <c r="I33" s="96"/>
    </row>
    <row r="34" spans="5:9" x14ac:dyDescent="0.4">
      <c r="E34" s="63" t="s">
        <v>97</v>
      </c>
      <c r="F34" s="28" t="s">
        <v>52</v>
      </c>
      <c r="G34" s="15">
        <v>0</v>
      </c>
      <c r="H34" s="135">
        <f t="shared" si="1"/>
        <v>0</v>
      </c>
      <c r="I34" s="96"/>
    </row>
    <row r="35" spans="5:9" x14ac:dyDescent="0.4">
      <c r="E35" s="63" t="s">
        <v>98</v>
      </c>
      <c r="F35" s="28" t="s">
        <v>53</v>
      </c>
      <c r="G35" s="15">
        <v>0</v>
      </c>
      <c r="H35" s="135">
        <f t="shared" si="1"/>
        <v>0</v>
      </c>
      <c r="I35" s="96"/>
    </row>
    <row r="36" spans="5:9" x14ac:dyDescent="0.4">
      <c r="E36" s="63" t="s">
        <v>99</v>
      </c>
      <c r="F36" s="28" t="s">
        <v>54</v>
      </c>
      <c r="G36" s="15">
        <v>0</v>
      </c>
      <c r="H36" s="135">
        <f t="shared" si="1"/>
        <v>0</v>
      </c>
      <c r="I36" s="96"/>
    </row>
    <row r="37" spans="5:9" x14ac:dyDescent="0.4">
      <c r="E37" s="63" t="s">
        <v>100</v>
      </c>
      <c r="F37" s="28" t="s">
        <v>55</v>
      </c>
      <c r="G37" s="15">
        <v>0</v>
      </c>
      <c r="H37" s="135">
        <f t="shared" si="1"/>
        <v>0</v>
      </c>
      <c r="I37" s="96"/>
    </row>
    <row r="38" spans="5:9" x14ac:dyDescent="0.4">
      <c r="E38" s="63" t="s">
        <v>101</v>
      </c>
      <c r="F38" s="28" t="s">
        <v>56</v>
      </c>
      <c r="G38" s="15">
        <v>0</v>
      </c>
      <c r="H38" s="135">
        <f t="shared" si="1"/>
        <v>0</v>
      </c>
      <c r="I38" s="96"/>
    </row>
    <row r="39" spans="5:9" x14ac:dyDescent="0.4">
      <c r="E39" s="63" t="s">
        <v>102</v>
      </c>
      <c r="F39" s="28" t="s">
        <v>57</v>
      </c>
      <c r="G39" s="15">
        <v>0</v>
      </c>
      <c r="H39" s="135">
        <f t="shared" si="1"/>
        <v>0</v>
      </c>
      <c r="I39" s="96"/>
    </row>
    <row r="40" spans="5:9" x14ac:dyDescent="0.4">
      <c r="E40" s="63" t="s">
        <v>103</v>
      </c>
      <c r="F40" s="28" t="s">
        <v>58</v>
      </c>
      <c r="G40" s="15">
        <v>0</v>
      </c>
      <c r="H40" s="135">
        <f t="shared" si="1"/>
        <v>0</v>
      </c>
      <c r="I40" s="96"/>
    </row>
    <row r="41" spans="5:9" x14ac:dyDescent="0.4">
      <c r="E41" s="63" t="s">
        <v>104</v>
      </c>
      <c r="F41" s="28" t="s">
        <v>59</v>
      </c>
      <c r="G41" s="15">
        <v>0</v>
      </c>
      <c r="H41" s="135">
        <f t="shared" si="1"/>
        <v>0</v>
      </c>
      <c r="I41" s="96"/>
    </row>
    <row r="42" spans="5:9" x14ac:dyDescent="0.4">
      <c r="E42" s="63" t="s">
        <v>105</v>
      </c>
      <c r="F42" s="28" t="s">
        <v>60</v>
      </c>
      <c r="G42" s="15">
        <v>0</v>
      </c>
      <c r="H42" s="135">
        <f t="shared" si="1"/>
        <v>0</v>
      </c>
      <c r="I42" s="96"/>
    </row>
    <row r="43" spans="5:9" x14ac:dyDescent="0.4">
      <c r="E43" s="63" t="s">
        <v>106</v>
      </c>
      <c r="F43" s="28" t="s">
        <v>113</v>
      </c>
      <c r="G43" s="15">
        <v>0</v>
      </c>
      <c r="H43" s="135">
        <f t="shared" si="1"/>
        <v>0</v>
      </c>
      <c r="I43" s="96"/>
    </row>
    <row r="44" spans="5:9" x14ac:dyDescent="0.4">
      <c r="E44" s="63" t="s">
        <v>107</v>
      </c>
      <c r="F44" s="28" t="s">
        <v>114</v>
      </c>
      <c r="G44" s="15">
        <v>0</v>
      </c>
      <c r="H44" s="135">
        <f t="shared" si="1"/>
        <v>0</v>
      </c>
      <c r="I44" s="96"/>
    </row>
    <row r="45" spans="5:9" x14ac:dyDescent="0.4">
      <c r="E45" s="63" t="s">
        <v>108</v>
      </c>
      <c r="F45" s="28" t="s">
        <v>115</v>
      </c>
      <c r="G45" s="15">
        <v>0</v>
      </c>
      <c r="H45" s="135">
        <f t="shared" si="1"/>
        <v>0</v>
      </c>
      <c r="I45" s="96"/>
    </row>
    <row r="46" spans="5:9" x14ac:dyDescent="0.4">
      <c r="E46" s="63" t="s">
        <v>109</v>
      </c>
      <c r="F46" s="28" t="s">
        <v>61</v>
      </c>
      <c r="G46" s="15">
        <v>0</v>
      </c>
      <c r="H46" s="135">
        <f t="shared" si="1"/>
        <v>0</v>
      </c>
      <c r="I46" s="96"/>
    </row>
    <row r="47" spans="5:9" x14ac:dyDescent="0.4">
      <c r="E47" s="63" t="s">
        <v>110</v>
      </c>
      <c r="F47" s="28" t="s">
        <v>62</v>
      </c>
      <c r="G47" s="15">
        <v>0</v>
      </c>
      <c r="H47" s="135">
        <f t="shared" si="1"/>
        <v>0</v>
      </c>
      <c r="I47" s="96"/>
    </row>
    <row r="48" spans="5:9" x14ac:dyDescent="0.4">
      <c r="E48" s="63" t="s">
        <v>111</v>
      </c>
      <c r="F48" s="28" t="s">
        <v>63</v>
      </c>
      <c r="G48" s="15">
        <v>0</v>
      </c>
      <c r="H48" s="135">
        <f t="shared" si="1"/>
        <v>0</v>
      </c>
      <c r="I48" s="96"/>
    </row>
    <row r="49" spans="5:9" x14ac:dyDescent="0.4">
      <c r="E49" s="63" t="s">
        <v>112</v>
      </c>
      <c r="F49" s="60" t="s">
        <v>64</v>
      </c>
      <c r="G49" s="47">
        <v>0</v>
      </c>
      <c r="H49" s="135">
        <f t="shared" si="1"/>
        <v>0</v>
      </c>
      <c r="I49" s="96"/>
    </row>
    <row r="50" spans="5:9" x14ac:dyDescent="0.4">
      <c r="E50" s="63" t="s">
        <v>181</v>
      </c>
      <c r="F50" s="60" t="s">
        <v>184</v>
      </c>
      <c r="G50" s="47">
        <v>0</v>
      </c>
      <c r="H50" s="135">
        <f t="shared" si="1"/>
        <v>0</v>
      </c>
      <c r="I50" s="96"/>
    </row>
    <row r="51" spans="5:9" x14ac:dyDescent="0.4">
      <c r="E51" s="64" t="s">
        <v>182</v>
      </c>
      <c r="F51" s="61" t="s">
        <v>183</v>
      </c>
      <c r="G51" s="49">
        <v>0</v>
      </c>
      <c r="H51" s="136">
        <f t="shared" si="1"/>
        <v>0</v>
      </c>
      <c r="I51" s="97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21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169</v>
      </c>
      <c r="B2" s="31">
        <v>43560.923958333333</v>
      </c>
      <c r="C2" s="30" t="s">
        <v>130</v>
      </c>
      <c r="D2" s="30" t="s">
        <v>131</v>
      </c>
      <c r="E2" s="30" t="s">
        <v>170</v>
      </c>
    </row>
    <row r="3" spans="1:10" x14ac:dyDescent="0.4">
      <c r="A3" s="30" t="s">
        <v>171</v>
      </c>
      <c r="B3" s="31">
        <v>43560.923958333333</v>
      </c>
      <c r="C3" s="30" t="s">
        <v>130</v>
      </c>
      <c r="D3" s="30" t="s">
        <v>131</v>
      </c>
      <c r="E3" s="30" t="s">
        <v>170</v>
      </c>
      <c r="F3" s="30" t="s">
        <v>175</v>
      </c>
      <c r="G3" s="30" t="s">
        <v>176</v>
      </c>
    </row>
    <row r="4" spans="1:10" x14ac:dyDescent="0.4">
      <c r="A4" s="30" t="s">
        <v>177</v>
      </c>
      <c r="B4" s="31">
        <v>43560.923958333333</v>
      </c>
      <c r="C4" s="30" t="s">
        <v>130</v>
      </c>
      <c r="D4" s="30" t="s">
        <v>131</v>
      </c>
      <c r="E4" s="30" t="s">
        <v>170</v>
      </c>
    </row>
    <row r="5" spans="1:10" x14ac:dyDescent="0.4">
      <c r="A5" s="30" t="s">
        <v>179</v>
      </c>
      <c r="B5" s="31">
        <v>43560.923958333333</v>
      </c>
      <c r="C5" s="30" t="s">
        <v>130</v>
      </c>
      <c r="D5" s="30" t="s">
        <v>131</v>
      </c>
      <c r="E5" s="30" t="s">
        <v>170</v>
      </c>
      <c r="F5" s="30" t="s">
        <v>175</v>
      </c>
    </row>
    <row r="6" spans="1:10" x14ac:dyDescent="0.4">
      <c r="A6" s="30" t="s">
        <v>180</v>
      </c>
      <c r="B6" s="31">
        <v>43561.114791666667</v>
      </c>
      <c r="C6" s="30" t="s">
        <v>130</v>
      </c>
      <c r="D6" s="30" t="s">
        <v>131</v>
      </c>
      <c r="E6" s="30" t="s">
        <v>170</v>
      </c>
      <c r="F6" s="30" t="s">
        <v>175</v>
      </c>
      <c r="G6" s="30" t="s">
        <v>176</v>
      </c>
    </row>
    <row r="7" spans="1:10" x14ac:dyDescent="0.4">
      <c r="A7" s="30" t="s">
        <v>185</v>
      </c>
      <c r="B7" s="31">
        <v>43563.354502314818</v>
      </c>
      <c r="C7" s="30" t="s">
        <v>130</v>
      </c>
      <c r="D7" s="30" t="s">
        <v>131</v>
      </c>
      <c r="E7" s="30" t="s">
        <v>170</v>
      </c>
      <c r="F7" s="30" t="s">
        <v>175</v>
      </c>
      <c r="G7" s="30" t="s">
        <v>176</v>
      </c>
      <c r="H7" s="30" t="s">
        <v>188</v>
      </c>
      <c r="I7" s="30" t="s">
        <v>189</v>
      </c>
      <c r="J7" s="30" t="s">
        <v>190</v>
      </c>
    </row>
    <row r="8" spans="1:10" x14ac:dyDescent="0.4">
      <c r="A8" s="30" t="s">
        <v>191</v>
      </c>
      <c r="B8" s="31">
        <v>43566.043888888889</v>
      </c>
      <c r="C8" s="30" t="s">
        <v>130</v>
      </c>
      <c r="D8" s="30" t="s">
        <v>131</v>
      </c>
      <c r="E8" s="30" t="s">
        <v>170</v>
      </c>
      <c r="F8" s="30" t="s">
        <v>175</v>
      </c>
      <c r="G8" s="30" t="s">
        <v>176</v>
      </c>
      <c r="H8" s="30" t="s">
        <v>188</v>
      </c>
      <c r="I8" s="30" t="s">
        <v>189</v>
      </c>
    </row>
    <row r="9" spans="1:10" x14ac:dyDescent="0.4">
      <c r="A9" s="30" t="s">
        <v>192</v>
      </c>
      <c r="B9" s="31">
        <v>43566.04109953704</v>
      </c>
      <c r="C9" s="30" t="s">
        <v>130</v>
      </c>
      <c r="D9" s="30" t="s">
        <v>131</v>
      </c>
    </row>
    <row r="10" spans="1:10" x14ac:dyDescent="0.4">
      <c r="A10" s="30" t="s">
        <v>193</v>
      </c>
      <c r="B10" s="31">
        <v>43566.04109953704</v>
      </c>
      <c r="C10" s="30" t="s">
        <v>130</v>
      </c>
      <c r="D10" s="30" t="s">
        <v>131</v>
      </c>
      <c r="E10" s="30" t="s">
        <v>170</v>
      </c>
      <c r="F10" s="30" t="s">
        <v>175</v>
      </c>
    </row>
    <row r="11" spans="1:10" x14ac:dyDescent="0.4">
      <c r="A11" s="30" t="s">
        <v>196</v>
      </c>
      <c r="B11" s="31">
        <v>43566.04109953704</v>
      </c>
      <c r="C11" s="30" t="s">
        <v>130</v>
      </c>
      <c r="D11" s="30" t="s">
        <v>131</v>
      </c>
      <c r="E11" s="30" t="s">
        <v>170</v>
      </c>
    </row>
    <row r="12" spans="1:10" x14ac:dyDescent="0.4">
      <c r="A12" s="30" t="s">
        <v>197</v>
      </c>
      <c r="B12" s="31">
        <v>43567.62232638889</v>
      </c>
      <c r="C12" s="30" t="s">
        <v>130</v>
      </c>
      <c r="D12" s="30" t="s">
        <v>131</v>
      </c>
      <c r="E12" s="30" t="s">
        <v>170</v>
      </c>
      <c r="F12" s="30" t="s">
        <v>175</v>
      </c>
      <c r="G12" s="30" t="s">
        <v>176</v>
      </c>
    </row>
    <row r="13" spans="1:10" x14ac:dyDescent="0.4">
      <c r="A13" s="30" t="s">
        <v>198</v>
      </c>
      <c r="B13" s="31">
        <v>43568.073333333334</v>
      </c>
      <c r="C13" s="30" t="s">
        <v>130</v>
      </c>
      <c r="D13" s="30" t="s">
        <v>131</v>
      </c>
      <c r="E13" s="30" t="s">
        <v>170</v>
      </c>
    </row>
    <row r="14" spans="1:10" x14ac:dyDescent="0.4">
      <c r="A14" s="30" t="s">
        <v>199</v>
      </c>
      <c r="B14" s="31">
        <v>43569.506898148145</v>
      </c>
      <c r="C14" s="30" t="s">
        <v>130</v>
      </c>
      <c r="D14" s="30" t="s">
        <v>131</v>
      </c>
      <c r="E14" s="30" t="s">
        <v>170</v>
      </c>
      <c r="F14" s="30" t="s">
        <v>175</v>
      </c>
      <c r="G14" s="30" t="s">
        <v>176</v>
      </c>
    </row>
    <row r="15" spans="1:10" x14ac:dyDescent="0.4">
      <c r="A15" s="30" t="s">
        <v>200</v>
      </c>
      <c r="B15" s="31">
        <v>43570.561921296299</v>
      </c>
      <c r="C15" s="30" t="s">
        <v>130</v>
      </c>
      <c r="D15" s="30" t="s">
        <v>131</v>
      </c>
      <c r="E15" s="30" t="s">
        <v>170</v>
      </c>
      <c r="F15" s="30" t="s">
        <v>175</v>
      </c>
      <c r="G15" s="30" t="s">
        <v>176</v>
      </c>
      <c r="H15" s="30" t="s">
        <v>188</v>
      </c>
    </row>
    <row r="16" spans="1:10" x14ac:dyDescent="0.4">
      <c r="A16" s="30" t="s">
        <v>201</v>
      </c>
      <c r="B16" s="31">
        <v>43571.057638888888</v>
      </c>
      <c r="C16" s="30" t="s">
        <v>130</v>
      </c>
      <c r="D16" s="30" t="s">
        <v>131</v>
      </c>
    </row>
    <row r="17" spans="1:8" x14ac:dyDescent="0.4">
      <c r="A17" s="30" t="s">
        <v>202</v>
      </c>
      <c r="B17" s="31">
        <v>43573.881539351853</v>
      </c>
      <c r="C17" s="30" t="s">
        <v>130</v>
      </c>
      <c r="D17" s="30" t="s">
        <v>131</v>
      </c>
      <c r="E17" s="30" t="s">
        <v>170</v>
      </c>
    </row>
    <row r="18" spans="1:8" x14ac:dyDescent="0.4">
      <c r="A18" s="30" t="s">
        <v>204</v>
      </c>
      <c r="B18" s="31">
        <v>43574.073113425926</v>
      </c>
      <c r="C18" s="30" t="s">
        <v>130</v>
      </c>
      <c r="D18" s="30" t="s">
        <v>131</v>
      </c>
      <c r="E18" s="30" t="s">
        <v>170</v>
      </c>
      <c r="F18" s="30" t="s">
        <v>175</v>
      </c>
      <c r="G18" s="30" t="s">
        <v>176</v>
      </c>
    </row>
    <row r="19" spans="1:8" x14ac:dyDescent="0.4">
      <c r="A19" s="30" t="s">
        <v>205</v>
      </c>
      <c r="B19" s="31">
        <v>43575.795416666668</v>
      </c>
      <c r="C19" s="30" t="s">
        <v>130</v>
      </c>
      <c r="D19" s="30" t="s">
        <v>131</v>
      </c>
      <c r="E19" s="30" t="s">
        <v>170</v>
      </c>
    </row>
    <row r="20" spans="1:8" x14ac:dyDescent="0.4">
      <c r="A20" s="30" t="s">
        <v>206</v>
      </c>
      <c r="B20" s="31">
        <v>43576.362476851849</v>
      </c>
      <c r="C20" s="30" t="s">
        <v>130</v>
      </c>
      <c r="D20" s="30" t="s">
        <v>131</v>
      </c>
      <c r="E20" s="30" t="s">
        <v>170</v>
      </c>
      <c r="F20" s="30" t="s">
        <v>175</v>
      </c>
      <c r="G20" s="30" t="s">
        <v>176</v>
      </c>
      <c r="H20" s="30" t="s">
        <v>188</v>
      </c>
    </row>
    <row r="21" spans="1:8" x14ac:dyDescent="0.4">
      <c r="A21" s="30" t="s">
        <v>207</v>
      </c>
      <c r="B21" s="31">
        <v>43576.899409722224</v>
      </c>
      <c r="C21" s="30" t="s">
        <v>130</v>
      </c>
      <c r="D21" s="30" t="s">
        <v>131</v>
      </c>
      <c r="E21" s="30" t="s">
        <v>170</v>
      </c>
      <c r="F21" s="30" t="s">
        <v>175</v>
      </c>
      <c r="G21" s="30" t="s">
        <v>176</v>
      </c>
      <c r="H21" s="30" t="s">
        <v>188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1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172</v>
      </c>
    </row>
    <row r="6" spans="1:1" x14ac:dyDescent="0.4">
      <c r="A6" t="s">
        <v>173</v>
      </c>
    </row>
    <row r="7" spans="1:1" x14ac:dyDescent="0.4">
      <c r="A7" t="s">
        <v>174</v>
      </c>
    </row>
    <row r="8" spans="1:1" x14ac:dyDescent="0.4">
      <c r="A8" t="s">
        <v>178</v>
      </c>
    </row>
    <row r="9" spans="1:1" x14ac:dyDescent="0.4">
      <c r="A9" t="s">
        <v>186</v>
      </c>
    </row>
    <row r="10" spans="1:1" x14ac:dyDescent="0.4">
      <c r="A10" t="s">
        <v>187</v>
      </c>
    </row>
    <row r="11" spans="1:1" x14ac:dyDescent="0.4">
      <c r="A11" t="s">
        <v>203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3" customWidth="1"/>
    <col min="2" max="2" width="10.75" style="84" customWidth="1"/>
    <col min="3" max="3" width="10.75" style="85" customWidth="1"/>
    <col min="4" max="4" width="10.75" style="86" customWidth="1"/>
    <col min="5" max="5" width="10.75" style="99" customWidth="1"/>
    <col min="6" max="6" width="10.75" style="86" customWidth="1"/>
    <col min="7" max="7" width="10.75" style="87" customWidth="1"/>
    <col min="8" max="8" width="10.75" style="86" customWidth="1"/>
    <col min="9" max="9" width="10.75" style="88" customWidth="1"/>
    <col min="10" max="10" width="10.75" style="86" customWidth="1"/>
    <col min="11" max="11" width="10.75" style="88" customWidth="1"/>
    <col min="12" max="12" width="10.75" style="86" customWidth="1"/>
    <col min="13" max="13" width="10.75" style="89" customWidth="1"/>
    <col min="14" max="14" width="10.75" style="86" customWidth="1"/>
    <col min="15" max="15" width="10.75" style="89" customWidth="1"/>
    <col min="16" max="16" width="10.75" style="86" customWidth="1"/>
    <col min="17" max="17" width="10.75" style="90" customWidth="1"/>
    <col min="18" max="18" width="10.75" style="86" customWidth="1"/>
    <col min="19" max="19" width="10.75" style="90" customWidth="1"/>
    <col min="20" max="20" width="10.75" style="86" customWidth="1"/>
    <col min="21" max="21" width="10.75" style="88" customWidth="1"/>
    <col min="22" max="22" width="10.75" style="86" customWidth="1"/>
    <col min="23" max="23" width="10.75" style="88" customWidth="1"/>
    <col min="24" max="24" width="10.75" style="86" customWidth="1"/>
    <col min="25" max="25" width="10.75" style="89" customWidth="1"/>
    <col min="26" max="26" width="10.75" style="86" customWidth="1"/>
    <col min="27" max="27" width="10.75" style="89" customWidth="1"/>
    <col min="28" max="28" width="10.75" style="86" customWidth="1"/>
    <col min="29" max="29" width="10.75" style="89" customWidth="1"/>
    <col min="30" max="30" width="10.75" style="86" customWidth="1"/>
    <col min="31" max="31" width="10.75" style="89" customWidth="1"/>
    <col min="32" max="32" width="10.75" style="86" customWidth="1"/>
    <col min="33" max="33" width="10.75" style="89" customWidth="1"/>
    <col min="34" max="34" width="10.75" style="86" customWidth="1"/>
    <col min="35" max="35" width="10.75" style="94" customWidth="1"/>
    <col min="36" max="36" width="10.75" style="86" customWidth="1"/>
    <col min="37" max="37" width="10.75" style="91" customWidth="1"/>
    <col min="38" max="16384" width="9" style="73"/>
  </cols>
  <sheetData>
    <row r="1" spans="1:37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  <c r="AJ1" s="156" t="s">
        <v>163</v>
      </c>
      <c r="AK1" s="157"/>
    </row>
    <row r="2" spans="1:37" x14ac:dyDescent="0.4">
      <c r="A2" s="72" t="s">
        <v>161</v>
      </c>
      <c r="B2" s="158"/>
      <c r="C2" s="159"/>
      <c r="D2" s="158"/>
      <c r="E2" s="159"/>
      <c r="F2" s="160">
        <v>0.98687084251343526</v>
      </c>
      <c r="G2" s="161"/>
      <c r="H2" s="160">
        <v>0.92354478794197503</v>
      </c>
      <c r="I2" s="161"/>
      <c r="J2" s="160">
        <v>0.96223402919209478</v>
      </c>
      <c r="K2" s="161"/>
      <c r="L2" s="160">
        <v>0.91122153127739935</v>
      </c>
      <c r="M2" s="161"/>
      <c r="N2" s="160">
        <v>0.85711105440227042</v>
      </c>
      <c r="O2" s="161"/>
      <c r="P2" s="160">
        <v>0.55013035119574016</v>
      </c>
      <c r="Q2" s="161"/>
      <c r="R2" s="160">
        <v>0.56289176199349766</v>
      </c>
      <c r="S2" s="161"/>
      <c r="T2" s="160">
        <v>0.81592512535788386</v>
      </c>
      <c r="U2" s="161"/>
      <c r="V2" s="160">
        <v>0.92031861147570526</v>
      </c>
      <c r="W2" s="161"/>
      <c r="X2" s="160">
        <v>0.64924827043220756</v>
      </c>
      <c r="Y2" s="161"/>
      <c r="Z2" s="160">
        <v>0.45293696117516641</v>
      </c>
      <c r="AA2" s="161"/>
      <c r="AB2" s="160">
        <v>0.88051335449254275</v>
      </c>
      <c r="AC2" s="161"/>
      <c r="AD2" s="160">
        <v>0.89566491751960076</v>
      </c>
      <c r="AE2" s="161"/>
      <c r="AF2" s="160">
        <v>-0.58082826715311031</v>
      </c>
      <c r="AG2" s="161"/>
      <c r="AH2" s="160">
        <v>0.91837276251237721</v>
      </c>
      <c r="AI2" s="161"/>
      <c r="AJ2" s="160">
        <v>-0.19764757765831559</v>
      </c>
      <c r="AK2" s="161"/>
    </row>
    <row r="3" spans="1:37" x14ac:dyDescent="0.4">
      <c r="A3" s="74">
        <v>1</v>
      </c>
      <c r="B3" s="75" t="s">
        <v>127</v>
      </c>
      <c r="C3" s="76">
        <v>1585.4000000000003</v>
      </c>
      <c r="D3" s="77" t="s">
        <v>127</v>
      </c>
      <c r="E3" s="98">
        <v>25.990163934426235</v>
      </c>
      <c r="F3" s="77" t="s">
        <v>186</v>
      </c>
      <c r="G3" s="78">
        <v>1.3333333333333333</v>
      </c>
      <c r="H3" s="77" t="s">
        <v>186</v>
      </c>
      <c r="I3" s="79">
        <v>0.66666666666666663</v>
      </c>
      <c r="J3" s="77" t="s">
        <v>186</v>
      </c>
      <c r="K3" s="79">
        <v>0</v>
      </c>
      <c r="L3" s="77" t="s">
        <v>127</v>
      </c>
      <c r="M3" s="80">
        <v>0.41249999999999998</v>
      </c>
      <c r="N3" s="77" t="s">
        <v>186</v>
      </c>
      <c r="O3" s="80">
        <v>0.10526315789473684</v>
      </c>
      <c r="P3" s="77" t="s">
        <v>203</v>
      </c>
      <c r="Q3" s="81">
        <v>9555.5555555555547</v>
      </c>
      <c r="R3" s="77" t="s">
        <v>186</v>
      </c>
      <c r="S3" s="81">
        <v>-5150</v>
      </c>
      <c r="T3" s="77" t="s">
        <v>186</v>
      </c>
      <c r="U3" s="79">
        <v>0</v>
      </c>
      <c r="V3" s="77" t="s">
        <v>127</v>
      </c>
      <c r="W3" s="79">
        <v>0.22950819672131148</v>
      </c>
      <c r="X3" s="77" t="s">
        <v>127</v>
      </c>
      <c r="Y3" s="80">
        <v>0.33124999999999999</v>
      </c>
      <c r="Z3" s="77" t="s">
        <v>173</v>
      </c>
      <c r="AA3" s="80">
        <v>0.32710280373831774</v>
      </c>
      <c r="AB3" s="77" t="s">
        <v>187</v>
      </c>
      <c r="AC3" s="80">
        <v>0.7142857142857143</v>
      </c>
      <c r="AD3" s="77" t="s">
        <v>127</v>
      </c>
      <c r="AE3" s="80">
        <v>0.57391304347826089</v>
      </c>
      <c r="AF3" s="77" t="s">
        <v>203</v>
      </c>
      <c r="AG3" s="80">
        <v>0.66666666666666663</v>
      </c>
      <c r="AH3" s="77" t="s">
        <v>127</v>
      </c>
      <c r="AI3" s="93">
        <v>116000</v>
      </c>
      <c r="AJ3" s="77" t="s">
        <v>145</v>
      </c>
      <c r="AK3" s="82">
        <v>8</v>
      </c>
    </row>
    <row r="4" spans="1:37" x14ac:dyDescent="0.4">
      <c r="A4" s="83">
        <v>2</v>
      </c>
      <c r="B4" s="84" t="s">
        <v>186</v>
      </c>
      <c r="C4" s="85">
        <v>61</v>
      </c>
      <c r="D4" s="86" t="s">
        <v>186</v>
      </c>
      <c r="E4" s="99">
        <v>20.333333333333332</v>
      </c>
      <c r="F4" s="86" t="s">
        <v>127</v>
      </c>
      <c r="G4" s="87">
        <v>1.5081967213114753</v>
      </c>
      <c r="H4" s="86" t="s">
        <v>127</v>
      </c>
      <c r="I4" s="88">
        <v>0.62295081967213117</v>
      </c>
      <c r="J4" s="86" t="s">
        <v>203</v>
      </c>
      <c r="K4" s="88">
        <v>0</v>
      </c>
      <c r="L4" s="86" t="s">
        <v>173</v>
      </c>
      <c r="M4" s="89">
        <v>0.34579439252336447</v>
      </c>
      <c r="N4" s="86" t="s">
        <v>127</v>
      </c>
      <c r="O4" s="89">
        <v>0.13541666666666666</v>
      </c>
      <c r="P4" s="86" t="s">
        <v>127</v>
      </c>
      <c r="Q4" s="90">
        <v>9479.2929292929293</v>
      </c>
      <c r="R4" s="86" t="s">
        <v>203</v>
      </c>
      <c r="S4" s="90">
        <v>-5866.666666666667</v>
      </c>
      <c r="T4" s="86" t="s">
        <v>203</v>
      </c>
      <c r="U4" s="88">
        <v>0</v>
      </c>
      <c r="V4" s="86" t="s">
        <v>173</v>
      </c>
      <c r="W4" s="88">
        <v>0.11538461538461539</v>
      </c>
      <c r="X4" s="86" t="s">
        <v>203</v>
      </c>
      <c r="Y4" s="89">
        <v>0.30555555555555558</v>
      </c>
      <c r="Z4" s="86" t="s">
        <v>178</v>
      </c>
      <c r="AA4" s="89">
        <v>0.29203539823008851</v>
      </c>
      <c r="AB4" s="86" t="s">
        <v>127</v>
      </c>
      <c r="AC4" s="89">
        <v>0.62893081761006286</v>
      </c>
      <c r="AD4" s="86" t="s">
        <v>186</v>
      </c>
      <c r="AE4" s="89">
        <v>0.5</v>
      </c>
      <c r="AF4" s="86" t="s">
        <v>129</v>
      </c>
      <c r="AG4" s="89">
        <v>0.51219512195121952</v>
      </c>
      <c r="AH4" s="86" t="s">
        <v>145</v>
      </c>
      <c r="AI4" s="94">
        <v>116000</v>
      </c>
      <c r="AJ4" s="86" t="s">
        <v>128</v>
      </c>
      <c r="AK4" s="91">
        <v>4</v>
      </c>
    </row>
    <row r="5" spans="1:37" x14ac:dyDescent="0.4">
      <c r="A5" s="83">
        <v>3</v>
      </c>
      <c r="B5" s="84" t="s">
        <v>173</v>
      </c>
      <c r="C5" s="85">
        <v>32.900000000000006</v>
      </c>
      <c r="D5" s="86" t="s">
        <v>203</v>
      </c>
      <c r="E5" s="99">
        <v>4.8499999999999988</v>
      </c>
      <c r="F5" s="86" t="s">
        <v>203</v>
      </c>
      <c r="G5" s="87">
        <v>1.75</v>
      </c>
      <c r="H5" s="86" t="s">
        <v>178</v>
      </c>
      <c r="I5" s="88">
        <v>0.33333333333333331</v>
      </c>
      <c r="J5" s="86" t="s">
        <v>127</v>
      </c>
      <c r="K5" s="88">
        <v>0.13114754098360656</v>
      </c>
      <c r="L5" s="86" t="s">
        <v>145</v>
      </c>
      <c r="M5" s="89">
        <v>0.29912159038372632</v>
      </c>
      <c r="N5" s="86" t="s">
        <v>173</v>
      </c>
      <c r="O5" s="89">
        <v>0.14018691588785046</v>
      </c>
      <c r="P5" s="86" t="s">
        <v>128</v>
      </c>
      <c r="Q5" s="90">
        <v>9083.9160839160832</v>
      </c>
      <c r="R5" s="86" t="s">
        <v>172</v>
      </c>
      <c r="S5" s="90">
        <v>-7222.4489795918371</v>
      </c>
      <c r="T5" s="86" t="s">
        <v>172</v>
      </c>
      <c r="U5" s="88">
        <v>2.7777777777777776E-2</v>
      </c>
      <c r="V5" s="86" t="s">
        <v>172</v>
      </c>
      <c r="W5" s="88">
        <v>0.1111111111111111</v>
      </c>
      <c r="X5" s="86" t="s">
        <v>128</v>
      </c>
      <c r="Y5" s="89">
        <v>0.26862745098039215</v>
      </c>
      <c r="Z5" s="86" t="s">
        <v>203</v>
      </c>
      <c r="AA5" s="89">
        <v>0.27777777777777779</v>
      </c>
      <c r="AB5" s="86" t="s">
        <v>128</v>
      </c>
      <c r="AC5" s="89">
        <v>0.62773722627737227</v>
      </c>
      <c r="AD5" s="86" t="s">
        <v>173</v>
      </c>
      <c r="AE5" s="89">
        <v>0.41428571428571431</v>
      </c>
      <c r="AF5" s="86" t="s">
        <v>174</v>
      </c>
      <c r="AG5" s="89">
        <v>0.5</v>
      </c>
      <c r="AH5" s="86" t="s">
        <v>173</v>
      </c>
      <c r="AI5" s="94">
        <v>95700</v>
      </c>
      <c r="AJ5" s="86" t="s">
        <v>129</v>
      </c>
      <c r="AK5" s="91">
        <v>1</v>
      </c>
    </row>
    <row r="6" spans="1:37" x14ac:dyDescent="0.4">
      <c r="A6" s="83">
        <v>4</v>
      </c>
      <c r="B6" s="84" t="s">
        <v>203</v>
      </c>
      <c r="C6" s="85">
        <v>19.399999999999995</v>
      </c>
      <c r="D6" s="86" t="s">
        <v>173</v>
      </c>
      <c r="E6" s="99">
        <v>1.2653846153846156</v>
      </c>
      <c r="F6" s="86" t="s">
        <v>145</v>
      </c>
      <c r="G6" s="87">
        <v>2</v>
      </c>
      <c r="H6" s="86" t="s">
        <v>145</v>
      </c>
      <c r="I6" s="88">
        <v>0.33333333333333331</v>
      </c>
      <c r="J6" s="86" t="s">
        <v>128</v>
      </c>
      <c r="K6" s="88">
        <v>0.30645161290322581</v>
      </c>
      <c r="L6" s="86" t="s">
        <v>174</v>
      </c>
      <c r="M6" s="89">
        <v>0.28837209302325584</v>
      </c>
      <c r="N6" s="86" t="s">
        <v>172</v>
      </c>
      <c r="O6" s="89">
        <v>0.15960912052117263</v>
      </c>
      <c r="P6" s="86" t="s">
        <v>172</v>
      </c>
      <c r="Q6" s="90">
        <v>8487.8378378378384</v>
      </c>
      <c r="R6" s="86" t="s">
        <v>178</v>
      </c>
      <c r="S6" s="90">
        <v>-7250</v>
      </c>
      <c r="T6" s="86" t="s">
        <v>127</v>
      </c>
      <c r="U6" s="88">
        <v>3.2786885245901641E-2</v>
      </c>
      <c r="V6" s="86" t="s">
        <v>145</v>
      </c>
      <c r="W6" s="88">
        <v>0.10227272727272728</v>
      </c>
      <c r="X6" s="86" t="s">
        <v>186</v>
      </c>
      <c r="Y6" s="89">
        <v>0.26315789473684209</v>
      </c>
      <c r="Z6" s="86" t="s">
        <v>127</v>
      </c>
      <c r="AA6" s="89">
        <v>0.23958333333333334</v>
      </c>
      <c r="AB6" s="86" t="s">
        <v>186</v>
      </c>
      <c r="AC6" s="89">
        <v>0.6</v>
      </c>
      <c r="AD6" s="86" t="s">
        <v>178</v>
      </c>
      <c r="AE6" s="89">
        <v>0.39393939393939392</v>
      </c>
      <c r="AF6" s="86" t="s">
        <v>187</v>
      </c>
      <c r="AG6" s="89">
        <v>0.5</v>
      </c>
      <c r="AH6" s="86" t="s">
        <v>128</v>
      </c>
      <c r="AI6" s="94">
        <v>94000</v>
      </c>
      <c r="AJ6" s="86" t="s">
        <v>172</v>
      </c>
      <c r="AK6" s="91">
        <v>1</v>
      </c>
    </row>
    <row r="7" spans="1:37" x14ac:dyDescent="0.4">
      <c r="A7" s="83">
        <v>5</v>
      </c>
      <c r="B7" s="84" t="s">
        <v>145</v>
      </c>
      <c r="C7" s="85">
        <v>0</v>
      </c>
      <c r="D7" s="86" t="s">
        <v>145</v>
      </c>
      <c r="E7" s="99">
        <v>0</v>
      </c>
      <c r="F7" s="86" t="s">
        <v>173</v>
      </c>
      <c r="G7" s="87">
        <v>2.0384615384615383</v>
      </c>
      <c r="H7" s="86" t="s">
        <v>173</v>
      </c>
      <c r="I7" s="88">
        <v>0.30769230769230771</v>
      </c>
      <c r="J7" s="86" t="s">
        <v>145</v>
      </c>
      <c r="K7" s="88">
        <v>0.33333333333333331</v>
      </c>
      <c r="L7" s="86" t="s">
        <v>128</v>
      </c>
      <c r="M7" s="89">
        <v>0.2803921568627451</v>
      </c>
      <c r="N7" s="86" t="s">
        <v>203</v>
      </c>
      <c r="O7" s="89">
        <v>0.16666666666666666</v>
      </c>
      <c r="P7" s="86" t="s">
        <v>145</v>
      </c>
      <c r="Q7" s="90">
        <v>8377.8979907264293</v>
      </c>
      <c r="R7" s="86" t="s">
        <v>128</v>
      </c>
      <c r="S7" s="90">
        <v>-7253.9325842696626</v>
      </c>
      <c r="T7" s="86" t="s">
        <v>173</v>
      </c>
      <c r="U7" s="88">
        <v>7.6923076923076927E-2</v>
      </c>
      <c r="V7" s="86" t="s">
        <v>128</v>
      </c>
      <c r="W7" s="88">
        <v>8.0645161290322578E-2</v>
      </c>
      <c r="X7" s="86" t="s">
        <v>145</v>
      </c>
      <c r="Y7" s="89">
        <v>0.2602866389274156</v>
      </c>
      <c r="Z7" s="86" t="s">
        <v>187</v>
      </c>
      <c r="AA7" s="89">
        <v>0.22807017543859648</v>
      </c>
      <c r="AB7" s="86" t="s">
        <v>145</v>
      </c>
      <c r="AC7" s="89">
        <v>0.5950266429840142</v>
      </c>
      <c r="AD7" s="86" t="s">
        <v>187</v>
      </c>
      <c r="AE7" s="89">
        <v>0.38461538461538464</v>
      </c>
      <c r="AF7" s="86" t="s">
        <v>173</v>
      </c>
      <c r="AG7" s="89">
        <v>0.41891891891891891</v>
      </c>
      <c r="AH7" s="86" t="s">
        <v>172</v>
      </c>
      <c r="AI7" s="94">
        <v>91700</v>
      </c>
      <c r="AJ7" s="86" t="s">
        <v>174</v>
      </c>
      <c r="AK7" s="91">
        <v>1</v>
      </c>
    </row>
    <row r="8" spans="1:37" x14ac:dyDescent="0.4">
      <c r="A8" s="83">
        <v>6</v>
      </c>
      <c r="B8" s="84" t="s">
        <v>128</v>
      </c>
      <c r="C8" s="85">
        <v>-97.200000000000045</v>
      </c>
      <c r="D8" s="86" t="s">
        <v>128</v>
      </c>
      <c r="E8" s="99">
        <v>-1.5677419354838718</v>
      </c>
      <c r="F8" s="86" t="s">
        <v>128</v>
      </c>
      <c r="G8" s="87">
        <v>2.0483870967741935</v>
      </c>
      <c r="H8" s="86" t="s">
        <v>128</v>
      </c>
      <c r="I8" s="88">
        <v>0.25806451612903225</v>
      </c>
      <c r="J8" s="86" t="s">
        <v>173</v>
      </c>
      <c r="K8" s="88">
        <v>0.34615384615384615</v>
      </c>
      <c r="L8" s="86" t="s">
        <v>186</v>
      </c>
      <c r="M8" s="89">
        <v>0.26315789473684209</v>
      </c>
      <c r="N8" s="86" t="s">
        <v>145</v>
      </c>
      <c r="O8" s="89">
        <v>0.17198335644937587</v>
      </c>
      <c r="P8" s="86" t="s">
        <v>186</v>
      </c>
      <c r="Q8" s="90">
        <v>7860</v>
      </c>
      <c r="R8" s="86" t="s">
        <v>127</v>
      </c>
      <c r="S8" s="90">
        <v>-7740</v>
      </c>
      <c r="T8" s="86" t="s">
        <v>145</v>
      </c>
      <c r="U8" s="88">
        <v>0.10227272727272728</v>
      </c>
      <c r="V8" s="86" t="s">
        <v>174</v>
      </c>
      <c r="W8" s="88">
        <v>4.1666666666666664E-2</v>
      </c>
      <c r="X8" s="86" t="s">
        <v>129</v>
      </c>
      <c r="Y8" s="89">
        <v>0.24528301886792453</v>
      </c>
      <c r="Z8" s="86" t="s">
        <v>174</v>
      </c>
      <c r="AA8" s="89">
        <v>0.22790697674418606</v>
      </c>
      <c r="AB8" s="86" t="s">
        <v>173</v>
      </c>
      <c r="AC8" s="89">
        <v>0.57999999999999996</v>
      </c>
      <c r="AD8" s="86" t="s">
        <v>145</v>
      </c>
      <c r="AE8" s="89">
        <v>0.38347457627118642</v>
      </c>
      <c r="AF8" s="86" t="s">
        <v>145</v>
      </c>
      <c r="AG8" s="89">
        <v>0.41731066460587324</v>
      </c>
      <c r="AH8" s="86" t="s">
        <v>178</v>
      </c>
      <c r="AI8" s="94">
        <v>65000</v>
      </c>
      <c r="AJ8" s="86" t="s">
        <v>178</v>
      </c>
      <c r="AK8" s="91">
        <v>1</v>
      </c>
    </row>
    <row r="9" spans="1:37" x14ac:dyDescent="0.4">
      <c r="A9" s="83">
        <v>7</v>
      </c>
      <c r="B9" s="84" t="s">
        <v>172</v>
      </c>
      <c r="C9" s="85">
        <v>-130.69999999999999</v>
      </c>
      <c r="D9" s="86" t="s">
        <v>172</v>
      </c>
      <c r="E9" s="99">
        <v>-3.6305555555555551</v>
      </c>
      <c r="F9" s="86" t="s">
        <v>178</v>
      </c>
      <c r="G9" s="87">
        <v>2.1333333333333333</v>
      </c>
      <c r="H9" s="86" t="s">
        <v>172</v>
      </c>
      <c r="I9" s="88">
        <v>0.25</v>
      </c>
      <c r="J9" s="86" t="s">
        <v>174</v>
      </c>
      <c r="K9" s="88">
        <v>0.375</v>
      </c>
      <c r="L9" s="86" t="s">
        <v>178</v>
      </c>
      <c r="M9" s="89">
        <v>0.25663716814159293</v>
      </c>
      <c r="N9" s="86" t="s">
        <v>128</v>
      </c>
      <c r="O9" s="89">
        <v>0.17450980392156862</v>
      </c>
      <c r="P9" s="86" t="s">
        <v>129</v>
      </c>
      <c r="Q9" s="90">
        <v>7680.4878048780483</v>
      </c>
      <c r="R9" s="86" t="s">
        <v>145</v>
      </c>
      <c r="S9" s="90">
        <v>-8029.8387096774195</v>
      </c>
      <c r="T9" s="86" t="s">
        <v>174</v>
      </c>
      <c r="U9" s="88">
        <v>0.125</v>
      </c>
      <c r="V9" s="86" t="s">
        <v>129</v>
      </c>
      <c r="W9" s="88">
        <v>0</v>
      </c>
      <c r="X9" s="86" t="s">
        <v>172</v>
      </c>
      <c r="Y9" s="89">
        <v>0.24429967426710097</v>
      </c>
      <c r="Z9" s="86" t="s">
        <v>145</v>
      </c>
      <c r="AA9" s="89">
        <v>0.2182154415164124</v>
      </c>
      <c r="AB9" s="86" t="s">
        <v>172</v>
      </c>
      <c r="AC9" s="89">
        <v>0.57333333333333336</v>
      </c>
      <c r="AD9" s="86" t="s">
        <v>174</v>
      </c>
      <c r="AE9" s="89">
        <v>0.32653061224489793</v>
      </c>
      <c r="AF9" s="86" t="s">
        <v>128</v>
      </c>
      <c r="AG9" s="89">
        <v>0.40559440559440557</v>
      </c>
      <c r="AH9" s="86" t="s">
        <v>174</v>
      </c>
      <c r="AI9" s="94">
        <v>58900</v>
      </c>
      <c r="AJ9" s="86" t="s">
        <v>127</v>
      </c>
      <c r="AK9" s="91">
        <v>0</v>
      </c>
    </row>
    <row r="10" spans="1:37" x14ac:dyDescent="0.4">
      <c r="A10" s="83">
        <v>8</v>
      </c>
      <c r="B10" s="84" t="s">
        <v>178</v>
      </c>
      <c r="C10" s="85">
        <v>-146.19999999999999</v>
      </c>
      <c r="D10" s="86" t="s">
        <v>178</v>
      </c>
      <c r="E10" s="99">
        <v>-9.7466666666666661</v>
      </c>
      <c r="F10" s="86" t="s">
        <v>172</v>
      </c>
      <c r="G10" s="87">
        <v>2.1388888888888888</v>
      </c>
      <c r="H10" s="86" t="s">
        <v>203</v>
      </c>
      <c r="I10" s="88">
        <v>0.25</v>
      </c>
      <c r="J10" s="86" t="s">
        <v>172</v>
      </c>
      <c r="K10" s="88">
        <v>0.3888888888888889</v>
      </c>
      <c r="L10" s="86" t="s">
        <v>203</v>
      </c>
      <c r="M10" s="89">
        <v>0.25</v>
      </c>
      <c r="N10" s="86" t="s">
        <v>178</v>
      </c>
      <c r="O10" s="89">
        <v>0.17699115044247787</v>
      </c>
      <c r="P10" s="86" t="s">
        <v>173</v>
      </c>
      <c r="Q10" s="90">
        <v>6987.8378378378375</v>
      </c>
      <c r="R10" s="86" t="s">
        <v>174</v>
      </c>
      <c r="S10" s="90">
        <v>-8182.9787234042551</v>
      </c>
      <c r="T10" s="86" t="s">
        <v>128</v>
      </c>
      <c r="U10" s="88">
        <v>0.12903225806451613</v>
      </c>
      <c r="V10" s="86" t="s">
        <v>178</v>
      </c>
      <c r="W10" s="88">
        <v>0</v>
      </c>
      <c r="X10" s="86" t="s">
        <v>173</v>
      </c>
      <c r="Y10" s="89">
        <v>0.23364485981308411</v>
      </c>
      <c r="Z10" s="86" t="s">
        <v>186</v>
      </c>
      <c r="AA10" s="89">
        <v>0.21052631578947367</v>
      </c>
      <c r="AB10" s="86" t="s">
        <v>174</v>
      </c>
      <c r="AC10" s="89">
        <v>0.55319148936170215</v>
      </c>
      <c r="AD10" s="86" t="s">
        <v>172</v>
      </c>
      <c r="AE10" s="89">
        <v>0.30769230769230771</v>
      </c>
      <c r="AF10" s="86" t="s">
        <v>127</v>
      </c>
      <c r="AG10" s="89">
        <v>0.39898989898989901</v>
      </c>
      <c r="AH10" s="86" t="s">
        <v>203</v>
      </c>
      <c r="AI10" s="94">
        <v>54800</v>
      </c>
      <c r="AJ10" s="86" t="s">
        <v>173</v>
      </c>
      <c r="AK10" s="91">
        <v>0</v>
      </c>
    </row>
    <row r="11" spans="1:37" x14ac:dyDescent="0.4">
      <c r="A11" s="83">
        <v>9</v>
      </c>
      <c r="B11" s="84" t="s">
        <v>187</v>
      </c>
      <c r="C11" s="85">
        <v>-218.2</v>
      </c>
      <c r="D11" s="86" t="s">
        <v>174</v>
      </c>
      <c r="E11" s="99">
        <v>-11.995833333333332</v>
      </c>
      <c r="F11" s="86" t="s">
        <v>174</v>
      </c>
      <c r="G11" s="87">
        <v>2.1666666666666665</v>
      </c>
      <c r="H11" s="86" t="s">
        <v>174</v>
      </c>
      <c r="I11" s="88">
        <v>0.20833333333333334</v>
      </c>
      <c r="J11" s="86" t="s">
        <v>178</v>
      </c>
      <c r="K11" s="88">
        <v>0.46666666666666667</v>
      </c>
      <c r="L11" s="86" t="s">
        <v>172</v>
      </c>
      <c r="M11" s="89">
        <v>0.24104234527687296</v>
      </c>
      <c r="N11" s="86" t="s">
        <v>174</v>
      </c>
      <c r="O11" s="89">
        <v>0.21860465116279071</v>
      </c>
      <c r="P11" s="86" t="s">
        <v>187</v>
      </c>
      <c r="Q11" s="90">
        <v>6500</v>
      </c>
      <c r="R11" s="86" t="s">
        <v>187</v>
      </c>
      <c r="S11" s="90">
        <v>-8762.5</v>
      </c>
      <c r="T11" s="86" t="s">
        <v>187</v>
      </c>
      <c r="U11" s="88">
        <v>0.14285714285714285</v>
      </c>
      <c r="V11" s="86" t="s">
        <v>186</v>
      </c>
      <c r="W11" s="88">
        <v>0</v>
      </c>
      <c r="X11" s="86" t="s">
        <v>174</v>
      </c>
      <c r="Y11" s="89">
        <v>0.21860465116279071</v>
      </c>
      <c r="Z11" s="86" t="s">
        <v>128</v>
      </c>
      <c r="AA11" s="89">
        <v>0.19607843137254902</v>
      </c>
      <c r="AB11" s="86" t="s">
        <v>178</v>
      </c>
      <c r="AC11" s="89">
        <v>0.55000000000000004</v>
      </c>
      <c r="AD11" s="86" t="s">
        <v>203</v>
      </c>
      <c r="AE11" s="89">
        <v>0.3</v>
      </c>
      <c r="AF11" s="86" t="s">
        <v>178</v>
      </c>
      <c r="AG11" s="89">
        <v>0.37931034482758619</v>
      </c>
      <c r="AH11" s="86" t="s">
        <v>186</v>
      </c>
      <c r="AI11" s="94">
        <v>53500</v>
      </c>
      <c r="AJ11" s="86" t="s">
        <v>186</v>
      </c>
      <c r="AK11" s="91">
        <v>0</v>
      </c>
    </row>
    <row r="12" spans="1:37" x14ac:dyDescent="0.4">
      <c r="A12" s="83">
        <v>10</v>
      </c>
      <c r="B12" s="84" t="s">
        <v>174</v>
      </c>
      <c r="C12" s="85">
        <v>-287.89999999999998</v>
      </c>
      <c r="D12" s="86" t="s">
        <v>187</v>
      </c>
      <c r="E12" s="99">
        <v>-31.171428571428571</v>
      </c>
      <c r="F12" s="86" t="s">
        <v>129</v>
      </c>
      <c r="G12" s="87">
        <v>2.5384615384615383</v>
      </c>
      <c r="H12" s="86" t="s">
        <v>187</v>
      </c>
      <c r="I12" s="88">
        <v>0.14285714285714285</v>
      </c>
      <c r="J12" s="86" t="s">
        <v>129</v>
      </c>
      <c r="K12" s="88">
        <v>0.65384615384615385</v>
      </c>
      <c r="L12" s="86" t="s">
        <v>187</v>
      </c>
      <c r="M12" s="89">
        <v>0.21052631578947367</v>
      </c>
      <c r="N12" s="86" t="s">
        <v>129</v>
      </c>
      <c r="O12" s="89">
        <v>0.22641509433962265</v>
      </c>
      <c r="P12" s="86" t="s">
        <v>174</v>
      </c>
      <c r="Q12" s="90">
        <v>6398.3870967741932</v>
      </c>
      <c r="R12" s="86" t="s">
        <v>173</v>
      </c>
      <c r="S12" s="90">
        <v>-8900</v>
      </c>
      <c r="T12" s="86" t="s">
        <v>178</v>
      </c>
      <c r="U12" s="88">
        <v>0.2</v>
      </c>
      <c r="V12" s="86" t="s">
        <v>187</v>
      </c>
      <c r="W12" s="88">
        <v>0</v>
      </c>
      <c r="X12" s="86" t="s">
        <v>178</v>
      </c>
      <c r="Y12" s="89">
        <v>0.17699115044247787</v>
      </c>
      <c r="Z12" s="86" t="s">
        <v>172</v>
      </c>
      <c r="AA12" s="89">
        <v>0.16938110749185667</v>
      </c>
      <c r="AB12" s="86" t="s">
        <v>203</v>
      </c>
      <c r="AC12" s="89">
        <v>0.54545454545454541</v>
      </c>
      <c r="AD12" s="86" t="s">
        <v>128</v>
      </c>
      <c r="AE12" s="89">
        <v>0.27</v>
      </c>
      <c r="AF12" s="86" t="s">
        <v>172</v>
      </c>
      <c r="AG12" s="89">
        <v>0.35135135135135137</v>
      </c>
      <c r="AH12" s="86" t="s">
        <v>129</v>
      </c>
      <c r="AI12" s="94">
        <v>52200</v>
      </c>
      <c r="AJ12" s="86" t="s">
        <v>187</v>
      </c>
      <c r="AK12" s="91">
        <v>0</v>
      </c>
    </row>
    <row r="13" spans="1:37" x14ac:dyDescent="0.4">
      <c r="A13" s="83">
        <v>11</v>
      </c>
      <c r="B13" s="84" t="s">
        <v>129</v>
      </c>
      <c r="C13" s="85">
        <v>-818.49999999999989</v>
      </c>
      <c r="D13" s="86" t="s">
        <v>129</v>
      </c>
      <c r="E13" s="99">
        <v>-31.480769230769226</v>
      </c>
      <c r="F13" s="86" t="s">
        <v>187</v>
      </c>
      <c r="G13" s="87">
        <v>2.5714285714285716</v>
      </c>
      <c r="H13" s="86" t="s">
        <v>129</v>
      </c>
      <c r="I13" s="88">
        <v>0.11538461538461539</v>
      </c>
      <c r="J13" s="86" t="s">
        <v>187</v>
      </c>
      <c r="K13" s="88">
        <v>0.7142857142857143</v>
      </c>
      <c r="L13" s="86" t="s">
        <v>129</v>
      </c>
      <c r="M13" s="89">
        <v>0.19339622641509435</v>
      </c>
      <c r="N13" s="86" t="s">
        <v>187</v>
      </c>
      <c r="O13" s="89">
        <v>0.2807017543859649</v>
      </c>
      <c r="P13" s="86" t="s">
        <v>178</v>
      </c>
      <c r="Q13" s="90">
        <v>6362.0689655172409</v>
      </c>
      <c r="R13" s="86" t="s">
        <v>129</v>
      </c>
      <c r="S13" s="90">
        <v>-10462.5</v>
      </c>
      <c r="T13" s="86" t="s">
        <v>129</v>
      </c>
      <c r="U13" s="88">
        <v>0.26923076923076922</v>
      </c>
      <c r="V13" s="86" t="s">
        <v>203</v>
      </c>
      <c r="W13" s="88">
        <v>0</v>
      </c>
      <c r="X13" s="86" t="s">
        <v>187</v>
      </c>
      <c r="Y13" s="89">
        <v>0.12280701754385964</v>
      </c>
      <c r="Z13" s="86" t="s">
        <v>129</v>
      </c>
      <c r="AA13" s="89">
        <v>0.12264150943396226</v>
      </c>
      <c r="AB13" s="86" t="s">
        <v>129</v>
      </c>
      <c r="AC13" s="89">
        <v>0.5</v>
      </c>
      <c r="AD13" s="86" t="s">
        <v>129</v>
      </c>
      <c r="AE13" s="89">
        <v>0.15384615384615385</v>
      </c>
      <c r="AF13" s="86" t="s">
        <v>186</v>
      </c>
      <c r="AG13" s="89">
        <v>0.2</v>
      </c>
      <c r="AH13" s="86" t="s">
        <v>187</v>
      </c>
      <c r="AI13" s="94">
        <v>43600</v>
      </c>
      <c r="AJ13" s="86" t="s">
        <v>203</v>
      </c>
      <c r="AK13" s="91">
        <v>0</v>
      </c>
    </row>
  </sheetData>
  <sortState ref="AJ3:AK42">
    <sortCondition descending="1" ref="AK1"/>
  </sortState>
  <mergeCells count="36">
    <mergeCell ref="AF2:AG2"/>
    <mergeCell ref="AH2:AI2"/>
    <mergeCell ref="AJ2:AK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J1:AK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N1:O1"/>
    <mergeCell ref="AH1:AI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D75D8-072A-4355-A00A-9D7F1D05B62A}">
  <sheetPr codeName="Sheet4"/>
  <dimension ref="A1:Q26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145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264</v>
      </c>
      <c r="C2" s="149"/>
      <c r="E2" s="62" t="s">
        <v>67</v>
      </c>
      <c r="F2" s="59" t="s">
        <v>23</v>
      </c>
      <c r="G2" s="46">
        <v>475</v>
      </c>
      <c r="H2" s="134">
        <f>IF(B$17=0,0,G2/B$17)</f>
        <v>0.73415765069551775</v>
      </c>
      <c r="I2" s="95">
        <v>6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-18.939393939393938</v>
      </c>
      <c r="P2" s="120">
        <v>264</v>
      </c>
      <c r="Q2" s="104">
        <v>-5000</v>
      </c>
    </row>
    <row r="3" spans="1:17" x14ac:dyDescent="0.4">
      <c r="A3" s="55" t="s">
        <v>8</v>
      </c>
      <c r="B3" s="150">
        <v>2163</v>
      </c>
      <c r="C3" s="151"/>
      <c r="E3" s="63" t="s">
        <v>73</v>
      </c>
      <c r="F3" s="60" t="s">
        <v>28</v>
      </c>
      <c r="G3" s="47">
        <v>346</v>
      </c>
      <c r="H3" s="135">
        <f>IF(B$17=0,0,G3/B$17)</f>
        <v>0.53477588871715609</v>
      </c>
      <c r="I3" s="96">
        <v>7</v>
      </c>
      <c r="K3" s="38">
        <v>1</v>
      </c>
      <c r="L3" s="101">
        <v>-5.0999999999999996</v>
      </c>
      <c r="N3" s="117" t="s">
        <v>133</v>
      </c>
      <c r="O3" s="124">
        <f t="shared" si="0"/>
        <v>-11.494252873563218</v>
      </c>
      <c r="P3" s="121">
        <v>261</v>
      </c>
      <c r="Q3" s="105">
        <v>-3000</v>
      </c>
    </row>
    <row r="4" spans="1:17" x14ac:dyDescent="0.4">
      <c r="A4" s="55" t="s">
        <v>6</v>
      </c>
      <c r="B4" s="152">
        <v>0</v>
      </c>
      <c r="C4" s="153"/>
      <c r="E4" s="63" t="s">
        <v>65</v>
      </c>
      <c r="F4" s="60" t="s">
        <v>21</v>
      </c>
      <c r="G4" s="47">
        <v>321</v>
      </c>
      <c r="H4" s="135">
        <f>IF(B$17=0,0,G4/B$17)</f>
        <v>0.49613601236476046</v>
      </c>
      <c r="I4" s="96">
        <v>6</v>
      </c>
      <c r="K4" s="38">
        <v>2</v>
      </c>
      <c r="L4" s="101">
        <v>40.4</v>
      </c>
      <c r="N4" s="117" t="s">
        <v>134</v>
      </c>
      <c r="O4" s="124">
        <f t="shared" si="0"/>
        <v>16.460905349794238</v>
      </c>
      <c r="P4" s="121">
        <v>243</v>
      </c>
      <c r="Q4" s="105">
        <v>4000</v>
      </c>
    </row>
    <row r="5" spans="1:17" x14ac:dyDescent="0.4">
      <c r="A5" s="55" t="s">
        <v>7</v>
      </c>
      <c r="B5" s="154">
        <f>IF(B$2=0,0,B$4/B$2)</f>
        <v>0</v>
      </c>
      <c r="C5" s="155"/>
      <c r="E5" s="63" t="s">
        <v>182</v>
      </c>
      <c r="F5" s="60" t="s">
        <v>183</v>
      </c>
      <c r="G5" s="47">
        <v>246</v>
      </c>
      <c r="H5" s="135">
        <f>IF(B$17=0,0,G5/B$17)</f>
        <v>0.3802163833075734</v>
      </c>
      <c r="I5" s="96">
        <v>5</v>
      </c>
      <c r="K5" s="38">
        <v>3</v>
      </c>
      <c r="L5" s="101">
        <v>0</v>
      </c>
      <c r="N5" s="117" t="s">
        <v>135</v>
      </c>
      <c r="O5" s="124">
        <f t="shared" si="0"/>
        <v>13.698630136986301</v>
      </c>
      <c r="P5" s="121">
        <v>219</v>
      </c>
      <c r="Q5" s="105">
        <v>3000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69</v>
      </c>
      <c r="F6" s="60" t="s">
        <v>12</v>
      </c>
      <c r="G6" s="47">
        <v>185</v>
      </c>
      <c r="H6" s="135">
        <f>IF(B$17=0,0,G6/B$17)</f>
        <v>0.28593508500772796</v>
      </c>
      <c r="I6" s="96">
        <v>5</v>
      </c>
      <c r="K6" s="38">
        <v>4</v>
      </c>
      <c r="L6" s="101">
        <v>2.2000000000000002</v>
      </c>
      <c r="N6" s="117" t="s">
        <v>136</v>
      </c>
      <c r="O6" s="124">
        <f t="shared" si="0"/>
        <v>-24.875621890547265</v>
      </c>
      <c r="P6" s="121">
        <v>201</v>
      </c>
      <c r="Q6" s="105">
        <v>-5000</v>
      </c>
    </row>
    <row r="7" spans="1:17" x14ac:dyDescent="0.4">
      <c r="A7" s="55" t="s">
        <v>2</v>
      </c>
      <c r="B7" s="47">
        <v>88</v>
      </c>
      <c r="C7" s="39">
        <f>IF(B$2=0,0,B7/B$2)</f>
        <v>0.33333333333333331</v>
      </c>
      <c r="E7" s="63" t="s">
        <v>68</v>
      </c>
      <c r="F7" s="60" t="s">
        <v>24</v>
      </c>
      <c r="G7" s="47">
        <v>183</v>
      </c>
      <c r="H7" s="135">
        <f>IF(B$17=0,0,G7/B$17)</f>
        <v>0.28284389489953632</v>
      </c>
      <c r="I7" s="96">
        <v>6</v>
      </c>
      <c r="K7" s="38">
        <v>5</v>
      </c>
      <c r="L7" s="101">
        <v>-37</v>
      </c>
      <c r="N7" s="118" t="s">
        <v>137</v>
      </c>
      <c r="O7" s="125">
        <f t="shared" si="0"/>
        <v>31.746031746031747</v>
      </c>
      <c r="P7" s="122">
        <v>189</v>
      </c>
      <c r="Q7" s="106">
        <v>6000</v>
      </c>
    </row>
    <row r="8" spans="1:17" x14ac:dyDescent="0.4">
      <c r="A8" s="55" t="s">
        <v>3</v>
      </c>
      <c r="B8" s="47">
        <v>88</v>
      </c>
      <c r="C8" s="39">
        <f>IF(B$2=0,0,B8/B$2)</f>
        <v>0.33333333333333331</v>
      </c>
      <c r="E8" s="63" t="s">
        <v>70</v>
      </c>
      <c r="F8" s="60" t="s">
        <v>25</v>
      </c>
      <c r="G8" s="47">
        <v>117</v>
      </c>
      <c r="H8" s="135">
        <f>IF(B$17=0,0,G8/B$17)</f>
        <v>0.18083462132921174</v>
      </c>
      <c r="I8" s="96">
        <v>6</v>
      </c>
      <c r="K8" s="38">
        <v>6</v>
      </c>
      <c r="L8" s="101">
        <v>0</v>
      </c>
      <c r="N8" s="43"/>
      <c r="O8" s="129"/>
      <c r="P8" s="113"/>
      <c r="Q8" s="111"/>
    </row>
    <row r="9" spans="1:17" x14ac:dyDescent="0.4">
      <c r="A9" s="56" t="s">
        <v>4</v>
      </c>
      <c r="B9" s="48">
        <v>88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92</v>
      </c>
      <c r="H9" s="135">
        <f>IF(B$17=0,0,G9/B$17)</f>
        <v>0.14219474497681608</v>
      </c>
      <c r="I9" s="96">
        <v>6</v>
      </c>
      <c r="K9" s="38">
        <v>7</v>
      </c>
      <c r="L9" s="101">
        <v>73.3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27</v>
      </c>
      <c r="C10" s="40">
        <f>IF(B$2=0,0,B10/B$2)</f>
        <v>0.10227272727272728</v>
      </c>
      <c r="E10" s="63" t="s">
        <v>66</v>
      </c>
      <c r="F10" s="60" t="s">
        <v>22</v>
      </c>
      <c r="G10" s="47">
        <v>79</v>
      </c>
      <c r="H10" s="135">
        <f>IF(B$17=0,0,G10/B$17)</f>
        <v>0.12210200927357033</v>
      </c>
      <c r="I10" s="96">
        <v>5</v>
      </c>
      <c r="K10" s="38">
        <v>8</v>
      </c>
      <c r="L10" s="101">
        <v>19.699999999999996</v>
      </c>
      <c r="N10" s="116" t="s">
        <v>165</v>
      </c>
      <c r="O10" s="126">
        <f>IF(P10=0,0,Q10/P10)</f>
        <v>-5.0215909090909099</v>
      </c>
      <c r="P10" s="120">
        <v>88</v>
      </c>
      <c r="Q10" s="108">
        <v>-441.90000000000003</v>
      </c>
    </row>
    <row r="11" spans="1:17" x14ac:dyDescent="0.4">
      <c r="A11" s="56" t="s">
        <v>140</v>
      </c>
      <c r="B11" s="48">
        <v>27</v>
      </c>
      <c r="C11" s="40">
        <f>IF(B$2=0,0,B11/B$2)</f>
        <v>0.10227272727272728</v>
      </c>
      <c r="E11" s="63" t="s">
        <v>71</v>
      </c>
      <c r="F11" s="60" t="s">
        <v>26</v>
      </c>
      <c r="G11" s="47">
        <v>70</v>
      </c>
      <c r="H11" s="135">
        <f>IF(B$17=0,0,G11/B$17)</f>
        <v>0.10819165378670788</v>
      </c>
      <c r="I11" s="96">
        <v>5</v>
      </c>
      <c r="K11" s="38">
        <v>9</v>
      </c>
      <c r="L11" s="101">
        <v>-3.5527136788005009E-15</v>
      </c>
      <c r="N11" s="117" t="s">
        <v>166</v>
      </c>
      <c r="O11" s="127">
        <f>IF(P11=0,0,Q11/P11)</f>
        <v>-5.7522727272727288</v>
      </c>
      <c r="P11" s="121">
        <v>88</v>
      </c>
      <c r="Q11" s="109">
        <v>-506.2000000000001</v>
      </c>
    </row>
    <row r="12" spans="1:17" x14ac:dyDescent="0.4">
      <c r="A12" s="57" t="s">
        <v>160</v>
      </c>
      <c r="B12" s="49">
        <v>26</v>
      </c>
      <c r="C12" s="42">
        <f>IF(B$2=0,0,B12/B$2)</f>
        <v>9.8484848484848481E-2</v>
      </c>
      <c r="E12" s="63" t="s">
        <v>87</v>
      </c>
      <c r="F12" s="60" t="s">
        <v>42</v>
      </c>
      <c r="G12" s="47">
        <v>43</v>
      </c>
      <c r="H12" s="135">
        <f>IF(B$17=0,0,G12/B$17)</f>
        <v>6.6460587326120563E-2</v>
      </c>
      <c r="I12" s="96">
        <v>5</v>
      </c>
      <c r="K12" s="38">
        <v>10</v>
      </c>
      <c r="L12" s="101">
        <v>40.099999999999994</v>
      </c>
      <c r="N12" s="118" t="s">
        <v>167</v>
      </c>
      <c r="O12" s="128">
        <f>IF(P12=0,0,Q12/P12)</f>
        <v>10.773863636363636</v>
      </c>
      <c r="P12" s="122">
        <v>88</v>
      </c>
      <c r="Q12" s="110">
        <v>948.09999999999991</v>
      </c>
    </row>
    <row r="13" spans="1:17" x14ac:dyDescent="0.4">
      <c r="A13" s="58" t="s">
        <v>122</v>
      </c>
      <c r="B13" s="50">
        <v>563</v>
      </c>
      <c r="C13" s="44">
        <f>IF(B$3=0,0,B13/B$3)</f>
        <v>0.2602866389274156</v>
      </c>
      <c r="E13" s="63" t="s">
        <v>72</v>
      </c>
      <c r="F13" s="60" t="s">
        <v>27</v>
      </c>
      <c r="G13" s="47">
        <v>35</v>
      </c>
      <c r="H13" s="135">
        <f>IF(B$17=0,0,G13/B$17)</f>
        <v>5.4095826893353939E-2</v>
      </c>
      <c r="I13" s="96">
        <v>6</v>
      </c>
      <c r="K13" s="38">
        <v>11</v>
      </c>
      <c r="L13" s="101">
        <v>-11.100000000000009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472</v>
      </c>
      <c r="C14" s="39">
        <f>IF(B$3=0,0,B14/B$3)</f>
        <v>0.2182154415164124</v>
      </c>
      <c r="E14" s="63" t="s">
        <v>84</v>
      </c>
      <c r="F14" s="60" t="s">
        <v>39</v>
      </c>
      <c r="G14" s="47">
        <v>27</v>
      </c>
      <c r="H14" s="135">
        <f>IF(B$17=0,0,G14/B$17)</f>
        <v>4.1731066460587329E-2</v>
      </c>
      <c r="I14" s="96">
        <v>4</v>
      </c>
      <c r="K14" s="38">
        <v>12</v>
      </c>
      <c r="L14" s="101">
        <v>-8.8817841970012523E-15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335</v>
      </c>
      <c r="C15" s="37">
        <f>IF(B$13=0,0,B15/B$13)</f>
        <v>0.5950266429840142</v>
      </c>
      <c r="E15" s="63" t="s">
        <v>82</v>
      </c>
      <c r="F15" s="60" t="s">
        <v>37</v>
      </c>
      <c r="G15" s="47">
        <v>17</v>
      </c>
      <c r="H15" s="135">
        <f>IF(B$17=0,0,G15/B$17)</f>
        <v>2.6275115919629059E-2</v>
      </c>
      <c r="I15" s="96">
        <v>4</v>
      </c>
      <c r="K15" s="38">
        <v>13</v>
      </c>
      <c r="L15" s="101">
        <v>-42.100000000000009</v>
      </c>
      <c r="N15" s="116" t="s">
        <v>129</v>
      </c>
      <c r="O15" s="126">
        <f>IF(P15=0,0,Q15/P15)</f>
        <v>47.221153846153861</v>
      </c>
      <c r="P15" s="120">
        <v>52</v>
      </c>
      <c r="Q15" s="108">
        <v>2455.5000000000009</v>
      </c>
    </row>
    <row r="16" spans="1:17" x14ac:dyDescent="0.4">
      <c r="A16" s="54" t="s">
        <v>125</v>
      </c>
      <c r="B16" s="46">
        <v>181</v>
      </c>
      <c r="C16" s="37">
        <f>IF(B$14=0,0,B16/B$14)</f>
        <v>0.38347457627118642</v>
      </c>
      <c r="E16" s="63" t="s">
        <v>92</v>
      </c>
      <c r="F16" s="60" t="s">
        <v>47</v>
      </c>
      <c r="G16" s="47">
        <v>12</v>
      </c>
      <c r="H16" s="135">
        <f>IF(B$17=0,0,G16/B$17)</f>
        <v>1.8547140649149921E-2</v>
      </c>
      <c r="I16" s="96">
        <v>3</v>
      </c>
      <c r="K16" s="38">
        <v>14</v>
      </c>
      <c r="L16" s="101">
        <v>18.79999999999999</v>
      </c>
      <c r="N16" s="117" t="s">
        <v>187</v>
      </c>
      <c r="O16" s="127">
        <f>IF(P16=0,0,Q16/P16)</f>
        <v>46.75714285714286</v>
      </c>
      <c r="P16" s="121">
        <v>14</v>
      </c>
      <c r="Q16" s="109">
        <v>654.6</v>
      </c>
    </row>
    <row r="17" spans="1:17" x14ac:dyDescent="0.4">
      <c r="A17" s="54" t="s">
        <v>10</v>
      </c>
      <c r="B17" s="46">
        <f>B19+B18</f>
        <v>647</v>
      </c>
      <c r="C17" s="37">
        <f>IF(B$3=0,0,B17/B$3)</f>
        <v>0.29912159038372632</v>
      </c>
      <c r="E17" s="63" t="s">
        <v>79</v>
      </c>
      <c r="F17" s="60" t="s">
        <v>34</v>
      </c>
      <c r="G17" s="47">
        <v>11</v>
      </c>
      <c r="H17" s="135">
        <f>IF(B$17=0,0,G17/B$17)</f>
        <v>1.7001545595054096E-2</v>
      </c>
      <c r="I17" s="96">
        <v>5</v>
      </c>
      <c r="K17" s="38">
        <v>15</v>
      </c>
      <c r="L17" s="101">
        <v>-1.0658141036401503E-14</v>
      </c>
      <c r="N17" s="117" t="s">
        <v>174</v>
      </c>
      <c r="O17" s="127">
        <f>IF(P17=0,0,Q17/P17)</f>
        <v>17.993750000000002</v>
      </c>
      <c r="P17" s="121">
        <v>48</v>
      </c>
      <c r="Q17" s="109">
        <v>863.70000000000016</v>
      </c>
    </row>
    <row r="18" spans="1:17" x14ac:dyDescent="0.4">
      <c r="A18" s="55" t="s">
        <v>12</v>
      </c>
      <c r="B18" s="47">
        <v>270</v>
      </c>
      <c r="C18" s="39">
        <f>IF(B$17=0,0,B18/B$17)</f>
        <v>0.41731066460587324</v>
      </c>
      <c r="E18" s="63" t="s">
        <v>181</v>
      </c>
      <c r="F18" s="60" t="s">
        <v>184</v>
      </c>
      <c r="G18" s="47">
        <v>7</v>
      </c>
      <c r="H18" s="135">
        <f>IF(B$17=0,0,G18/B$17)</f>
        <v>1.0819165378670788E-2</v>
      </c>
      <c r="I18" s="96">
        <v>3</v>
      </c>
      <c r="K18" s="38">
        <v>16</v>
      </c>
      <c r="L18" s="101">
        <v>90.899999999999991</v>
      </c>
      <c r="N18" s="117" t="s">
        <v>178</v>
      </c>
      <c r="O18" s="127">
        <f>IF(P18=0,0,Q18/P18)</f>
        <v>14.619999999999997</v>
      </c>
      <c r="P18" s="121">
        <v>30</v>
      </c>
      <c r="Q18" s="109">
        <v>438.59999999999991</v>
      </c>
    </row>
    <row r="19" spans="1:17" x14ac:dyDescent="0.4">
      <c r="A19" s="55" t="s">
        <v>11</v>
      </c>
      <c r="B19" s="47">
        <v>377</v>
      </c>
      <c r="C19" s="39">
        <f>IF(B$17=0,0,B19/B$17)</f>
        <v>0.58268933539412671</v>
      </c>
      <c r="E19" s="63" t="s">
        <v>76</v>
      </c>
      <c r="F19" s="60" t="s">
        <v>31</v>
      </c>
      <c r="G19" s="47">
        <v>6</v>
      </c>
      <c r="H19" s="135">
        <f>IF(B$17=0,0,G19/B$17)</f>
        <v>9.2735703245749607E-3</v>
      </c>
      <c r="I19" s="96">
        <v>4</v>
      </c>
      <c r="K19" s="38">
        <v>17</v>
      </c>
      <c r="L19" s="101">
        <v>8.2999999999999972</v>
      </c>
      <c r="N19" s="117" t="s">
        <v>172</v>
      </c>
      <c r="O19" s="127">
        <f>IF(P19=0,0,Q19/P19)</f>
        <v>5.4458333333333364</v>
      </c>
      <c r="P19" s="121">
        <v>72</v>
      </c>
      <c r="Q19" s="109">
        <v>392.10000000000019</v>
      </c>
    </row>
    <row r="20" spans="1:17" x14ac:dyDescent="0.4">
      <c r="A20" s="55" t="s">
        <v>13</v>
      </c>
      <c r="B20" s="47">
        <v>372</v>
      </c>
      <c r="C20" s="39">
        <f>IF(B$3=0,0,B20/B$3)</f>
        <v>0.17198335644937587</v>
      </c>
      <c r="E20" s="63" t="s">
        <v>80</v>
      </c>
      <c r="F20" s="60" t="s">
        <v>35</v>
      </c>
      <c r="G20" s="47">
        <v>6</v>
      </c>
      <c r="H20" s="135">
        <f>IF(B$17=0,0,G20/B$17)</f>
        <v>9.2735703245749607E-3</v>
      </c>
      <c r="I20" s="96">
        <v>4</v>
      </c>
      <c r="K20" s="38">
        <v>18</v>
      </c>
      <c r="L20" s="101">
        <v>-3.5527136788005009E-15</v>
      </c>
      <c r="N20" s="117" t="s">
        <v>128</v>
      </c>
      <c r="O20" s="127">
        <f>IF(P20=0,0,Q20/P20)</f>
        <v>2.3516129032258046</v>
      </c>
      <c r="P20" s="121">
        <v>124</v>
      </c>
      <c r="Q20" s="109">
        <v>291.5999999999998</v>
      </c>
    </row>
    <row r="21" spans="1:17" x14ac:dyDescent="0.4">
      <c r="A21" s="55" t="s">
        <v>194</v>
      </c>
      <c r="B21" s="47">
        <v>7</v>
      </c>
      <c r="C21" s="137">
        <v>2</v>
      </c>
      <c r="E21" s="63" t="s">
        <v>74</v>
      </c>
      <c r="F21" s="60" t="s">
        <v>29</v>
      </c>
      <c r="G21" s="47">
        <v>4</v>
      </c>
      <c r="H21" s="135">
        <f>IF(B$17=0,0,G21/B$17)</f>
        <v>6.1823802163833074E-3</v>
      </c>
      <c r="I21" s="96">
        <v>4</v>
      </c>
      <c r="K21" s="38">
        <v>19</v>
      </c>
      <c r="L21" s="101">
        <v>30.999999999999996</v>
      </c>
      <c r="N21" s="117" t="s">
        <v>173</v>
      </c>
      <c r="O21" s="127">
        <f>IF(P21=0,0,Q21/P21)</f>
        <v>-1.8980769230769252</v>
      </c>
      <c r="P21" s="121">
        <v>52</v>
      </c>
      <c r="Q21" s="109">
        <v>-98.700000000000117</v>
      </c>
    </row>
    <row r="22" spans="1:17" x14ac:dyDescent="0.4">
      <c r="A22" s="55" t="s">
        <v>195</v>
      </c>
      <c r="B22" s="47">
        <v>31</v>
      </c>
      <c r="C22" s="137">
        <v>9</v>
      </c>
      <c r="E22" s="63" t="s">
        <v>93</v>
      </c>
      <c r="F22" s="60" t="s">
        <v>48</v>
      </c>
      <c r="G22" s="47">
        <v>3</v>
      </c>
      <c r="H22" s="135">
        <f>IF(B$17=0,0,G22/B$17)</f>
        <v>4.6367851622874804E-3</v>
      </c>
      <c r="I22" s="96">
        <v>4</v>
      </c>
      <c r="K22" s="38">
        <v>20</v>
      </c>
      <c r="L22" s="101">
        <v>0.79999999999999716</v>
      </c>
      <c r="N22" s="117" t="s">
        <v>203</v>
      </c>
      <c r="O22" s="127">
        <f>IF(P22=0,0,Q22/P22)</f>
        <v>-7.2750000000000021</v>
      </c>
      <c r="P22" s="121">
        <v>8</v>
      </c>
      <c r="Q22" s="109">
        <v>-58.200000000000017</v>
      </c>
    </row>
    <row r="23" spans="1:17" x14ac:dyDescent="0.4">
      <c r="A23" s="55" t="s">
        <v>5</v>
      </c>
      <c r="B23" s="51">
        <f>IF(B$17=0,0,C23/B$17)</f>
        <v>8377.8979907264293</v>
      </c>
      <c r="C23" s="41">
        <v>5420500</v>
      </c>
      <c r="E23" s="63" t="s">
        <v>75</v>
      </c>
      <c r="F23" s="60" t="s">
        <v>30</v>
      </c>
      <c r="G23" s="47">
        <v>2</v>
      </c>
      <c r="H23" s="135">
        <f>IF(B$17=0,0,G23/B$17)</f>
        <v>3.0911901081916537E-3</v>
      </c>
      <c r="I23" s="96">
        <v>2</v>
      </c>
      <c r="K23" s="38">
        <v>21</v>
      </c>
      <c r="L23" s="101">
        <v>-2.886579864025407E-15</v>
      </c>
      <c r="N23" s="117" t="s">
        <v>186</v>
      </c>
      <c r="O23" s="127">
        <f>IF(P23=0,0,Q23/P23)</f>
        <v>-30.5</v>
      </c>
      <c r="P23" s="121">
        <v>6</v>
      </c>
      <c r="Q23" s="109">
        <v>-183</v>
      </c>
    </row>
    <row r="24" spans="1:17" x14ac:dyDescent="0.4">
      <c r="A24" s="57" t="s">
        <v>14</v>
      </c>
      <c r="B24" s="52">
        <f>IF(B$20=0,0,C24/B$20)</f>
        <v>-8029.8387096774195</v>
      </c>
      <c r="C24" s="45">
        <v>-2987100</v>
      </c>
      <c r="E24" s="63" t="s">
        <v>78</v>
      </c>
      <c r="F24" s="60" t="s">
        <v>33</v>
      </c>
      <c r="G24" s="47">
        <v>2</v>
      </c>
      <c r="H24" s="135">
        <f>IF(B$17=0,0,G24/B$17)</f>
        <v>3.0911901081916537E-3</v>
      </c>
      <c r="I24" s="96">
        <v>3</v>
      </c>
      <c r="K24" s="38">
        <v>22</v>
      </c>
      <c r="L24" s="101">
        <v>23.699999999999996</v>
      </c>
      <c r="N24" s="117" t="s">
        <v>127</v>
      </c>
      <c r="O24" s="127">
        <f>IF(P24=0,0,Q24/P24)</f>
        <v>-38.985245901639331</v>
      </c>
      <c r="P24" s="121">
        <v>122</v>
      </c>
      <c r="Q24" s="109">
        <v>-4756.199999999998</v>
      </c>
    </row>
    <row r="25" spans="1:17" x14ac:dyDescent="0.4">
      <c r="A25" s="92" t="s">
        <v>142</v>
      </c>
      <c r="B25" s="142">
        <v>7</v>
      </c>
      <c r="C25" s="143"/>
      <c r="E25" s="63" t="s">
        <v>89</v>
      </c>
      <c r="F25" s="60" t="s">
        <v>44</v>
      </c>
      <c r="G25" s="47">
        <v>2</v>
      </c>
      <c r="H25" s="135">
        <f>IF(B$17=0,0,G25/B$17)</f>
        <v>3.0911901081916537E-3</v>
      </c>
      <c r="I25" s="96">
        <v>3</v>
      </c>
      <c r="K25" s="38">
        <v>23</v>
      </c>
      <c r="L25" s="101">
        <v>26.299999999999997</v>
      </c>
    </row>
    <row r="26" spans="1:17" x14ac:dyDescent="0.4">
      <c r="A26" s="58" t="s">
        <v>152</v>
      </c>
      <c r="B26" s="140">
        <v>116000</v>
      </c>
      <c r="C26" s="141"/>
      <c r="E26" s="63" t="s">
        <v>85</v>
      </c>
      <c r="F26" s="60" t="s">
        <v>40</v>
      </c>
      <c r="G26" s="47">
        <v>1</v>
      </c>
      <c r="H26" s="135">
        <f>IF(B$17=0,0,G26/B$17)</f>
        <v>1.5455950540958269E-3</v>
      </c>
      <c r="I26" s="96">
        <v>2</v>
      </c>
      <c r="K26" s="38">
        <v>24</v>
      </c>
      <c r="L26" s="101">
        <v>-3.5527136788005009E-15</v>
      </c>
    </row>
    <row r="27" spans="1:17" x14ac:dyDescent="0.4">
      <c r="A27" s="57" t="s">
        <v>143</v>
      </c>
      <c r="B27" s="65">
        <v>8</v>
      </c>
      <c r="C27" s="42">
        <f>IF(B$3=0,0,B27/B$3)</f>
        <v>3.6985668053629217E-3</v>
      </c>
      <c r="E27" s="63" t="s">
        <v>86</v>
      </c>
      <c r="F27" s="60" t="s">
        <v>41</v>
      </c>
      <c r="G27" s="47">
        <v>1</v>
      </c>
      <c r="H27" s="135">
        <f>IF(B$17=0,0,G27/B$17)</f>
        <v>1.5455950540958269E-3</v>
      </c>
      <c r="I27" s="96">
        <v>2</v>
      </c>
      <c r="K27" s="38">
        <v>25</v>
      </c>
      <c r="L27" s="101">
        <v>-31.300000000000004</v>
      </c>
    </row>
    <row r="28" spans="1:17" x14ac:dyDescent="0.4">
      <c r="E28" s="63" t="s">
        <v>88</v>
      </c>
      <c r="F28" s="60" t="s">
        <v>43</v>
      </c>
      <c r="G28" s="47">
        <v>1</v>
      </c>
      <c r="H28" s="135">
        <f>IF(B$17=0,0,G28/B$17)</f>
        <v>1.5455950540958269E-3</v>
      </c>
      <c r="I28" s="96">
        <v>2</v>
      </c>
      <c r="K28" s="38">
        <v>26</v>
      </c>
      <c r="L28" s="101">
        <v>1.8999999999999986</v>
      </c>
    </row>
    <row r="29" spans="1:17" x14ac:dyDescent="0.4">
      <c r="E29" s="63" t="s">
        <v>91</v>
      </c>
      <c r="F29" s="60" t="s">
        <v>46</v>
      </c>
      <c r="G29" s="47">
        <v>1</v>
      </c>
      <c r="H29" s="135">
        <f>IF(B$17=0,0,G29/B$17)</f>
        <v>1.5455950540958269E-3</v>
      </c>
      <c r="I29" s="96">
        <v>2</v>
      </c>
      <c r="K29" s="38">
        <v>27</v>
      </c>
      <c r="L29" s="101">
        <v>-1.3322676295501878E-15</v>
      </c>
    </row>
    <row r="30" spans="1:17" x14ac:dyDescent="0.4">
      <c r="E30" s="63" t="s">
        <v>94</v>
      </c>
      <c r="F30" s="60" t="s">
        <v>49</v>
      </c>
      <c r="G30" s="47">
        <v>1</v>
      </c>
      <c r="H30" s="135">
        <f>IF(B$17=0,0,G30/B$17)</f>
        <v>1.5455950540958269E-3</v>
      </c>
      <c r="I30" s="96">
        <v>2</v>
      </c>
      <c r="K30" s="38">
        <v>28</v>
      </c>
      <c r="L30" s="101">
        <v>-58.3</v>
      </c>
    </row>
    <row r="31" spans="1:17" x14ac:dyDescent="0.4">
      <c r="E31" s="63" t="s">
        <v>96</v>
      </c>
      <c r="F31" s="60" t="s">
        <v>51</v>
      </c>
      <c r="G31" s="47">
        <v>1</v>
      </c>
      <c r="H31" s="135">
        <f>IF(B$17=0,0,G31/B$17)</f>
        <v>1.5455950540958269E-3</v>
      </c>
      <c r="I31" s="96">
        <v>2</v>
      </c>
      <c r="K31" s="38">
        <v>29</v>
      </c>
      <c r="L31" s="101">
        <v>-9.5</v>
      </c>
    </row>
    <row r="32" spans="1:17" x14ac:dyDescent="0.4">
      <c r="E32" s="63" t="s">
        <v>77</v>
      </c>
      <c r="F32" s="60" t="s">
        <v>32</v>
      </c>
      <c r="G32" s="47">
        <v>0</v>
      </c>
      <c r="H32" s="135">
        <f>IF(B$17=0,0,G32/B$17)</f>
        <v>0</v>
      </c>
      <c r="I32" s="96">
        <v>1</v>
      </c>
      <c r="K32" s="38">
        <v>30</v>
      </c>
      <c r="L32" s="101">
        <v>0</v>
      </c>
    </row>
    <row r="33" spans="5:12" x14ac:dyDescent="0.4">
      <c r="E33" s="63" t="s">
        <v>81</v>
      </c>
      <c r="F33" s="60" t="s">
        <v>36</v>
      </c>
      <c r="G33" s="47">
        <v>0</v>
      </c>
      <c r="H33" s="135">
        <f>IF(B$17=0,0,G33/B$17)</f>
        <v>0</v>
      </c>
      <c r="I33" s="96">
        <v>1</v>
      </c>
      <c r="K33" s="38">
        <v>31</v>
      </c>
      <c r="L33" s="101">
        <v>29.1</v>
      </c>
    </row>
    <row r="34" spans="5:12" x14ac:dyDescent="0.4">
      <c r="E34" s="63" t="s">
        <v>83</v>
      </c>
      <c r="F34" s="60" t="s">
        <v>38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  <c r="K51" s="38">
        <v>49</v>
      </c>
      <c r="L51" s="101">
        <v>38.399999999999991</v>
      </c>
    </row>
    <row r="52" spans="5:12" x14ac:dyDescent="0.4">
      <c r="K52" s="38">
        <v>50</v>
      </c>
      <c r="L52" s="101">
        <v>4.0999999999999943</v>
      </c>
    </row>
    <row r="53" spans="5:12" x14ac:dyDescent="0.4">
      <c r="K53" s="38">
        <v>51</v>
      </c>
      <c r="L53" s="101">
        <v>-5.3290705182007514E-15</v>
      </c>
    </row>
    <row r="54" spans="5:12" x14ac:dyDescent="0.4">
      <c r="K54" s="38">
        <v>52</v>
      </c>
      <c r="L54" s="101">
        <v>27.799999999999997</v>
      </c>
    </row>
    <row r="55" spans="5:12" x14ac:dyDescent="0.4">
      <c r="K55" s="38">
        <v>53</v>
      </c>
      <c r="L55" s="101">
        <v>25.099999999999998</v>
      </c>
    </row>
    <row r="56" spans="5:12" x14ac:dyDescent="0.4">
      <c r="K56" s="38">
        <v>54</v>
      </c>
      <c r="L56" s="101">
        <v>-3.5527136788005009E-15</v>
      </c>
    </row>
    <row r="57" spans="5:12" x14ac:dyDescent="0.4">
      <c r="K57" s="38">
        <v>55</v>
      </c>
      <c r="L57" s="101">
        <v>47.2</v>
      </c>
    </row>
    <row r="58" spans="5:12" x14ac:dyDescent="0.4">
      <c r="K58" s="38">
        <v>56</v>
      </c>
      <c r="L58" s="101">
        <v>-3.5</v>
      </c>
    </row>
    <row r="59" spans="5:12" x14ac:dyDescent="0.4">
      <c r="K59" s="38">
        <v>57</v>
      </c>
      <c r="L59" s="101">
        <v>0</v>
      </c>
    </row>
    <row r="60" spans="5:12" x14ac:dyDescent="0.4">
      <c r="K60" s="38">
        <v>58</v>
      </c>
      <c r="L60" s="101">
        <v>-28.5</v>
      </c>
    </row>
    <row r="61" spans="5:12" x14ac:dyDescent="0.4">
      <c r="K61" s="38">
        <v>59</v>
      </c>
      <c r="L61" s="101">
        <v>-31.9</v>
      </c>
    </row>
    <row r="62" spans="5:12" x14ac:dyDescent="0.4">
      <c r="K62" s="38">
        <v>60</v>
      </c>
      <c r="L62" s="101">
        <v>0</v>
      </c>
    </row>
    <row r="63" spans="5:12" x14ac:dyDescent="0.4">
      <c r="K63" s="38">
        <v>61</v>
      </c>
      <c r="L63" s="101">
        <v>28.9</v>
      </c>
    </row>
    <row r="64" spans="5:12" x14ac:dyDescent="0.4">
      <c r="K64" s="38">
        <v>62</v>
      </c>
      <c r="L64" s="101">
        <v>3.5</v>
      </c>
    </row>
    <row r="65" spans="11:12" x14ac:dyDescent="0.4">
      <c r="K65" s="38">
        <v>63</v>
      </c>
      <c r="L65" s="101">
        <v>0</v>
      </c>
    </row>
    <row r="66" spans="11:12" x14ac:dyDescent="0.4">
      <c r="K66" s="38">
        <v>64</v>
      </c>
      <c r="L66" s="101">
        <v>-15.3</v>
      </c>
    </row>
    <row r="67" spans="11:12" x14ac:dyDescent="0.4">
      <c r="K67" s="38">
        <v>65</v>
      </c>
      <c r="L67" s="101">
        <v>41</v>
      </c>
    </row>
    <row r="68" spans="11:12" x14ac:dyDescent="0.4">
      <c r="K68" s="38">
        <v>66</v>
      </c>
      <c r="L68" s="101">
        <v>0</v>
      </c>
    </row>
    <row r="69" spans="11:12" x14ac:dyDescent="0.4">
      <c r="K69" s="38">
        <v>67</v>
      </c>
      <c r="L69" s="101">
        <v>-15.8</v>
      </c>
    </row>
    <row r="70" spans="11:12" x14ac:dyDescent="0.4">
      <c r="K70" s="38">
        <v>68</v>
      </c>
      <c r="L70" s="101">
        <v>57.8</v>
      </c>
    </row>
    <row r="71" spans="11:12" x14ac:dyDescent="0.4">
      <c r="K71" s="38">
        <v>69</v>
      </c>
      <c r="L71" s="101">
        <v>0</v>
      </c>
    </row>
    <row r="72" spans="11:12" x14ac:dyDescent="0.4">
      <c r="K72" s="38">
        <v>70</v>
      </c>
      <c r="L72" s="101">
        <v>54.6</v>
      </c>
    </row>
    <row r="73" spans="11:12" x14ac:dyDescent="0.4">
      <c r="K73" s="38">
        <v>71</v>
      </c>
      <c r="L73" s="101">
        <v>14.600000000000001</v>
      </c>
    </row>
    <row r="74" spans="11:12" x14ac:dyDescent="0.4">
      <c r="K74" s="38">
        <v>72</v>
      </c>
      <c r="L74" s="101">
        <v>1.7763568394002505E-15</v>
      </c>
    </row>
    <row r="75" spans="11:12" x14ac:dyDescent="0.4">
      <c r="K75" s="38">
        <v>73</v>
      </c>
      <c r="L75" s="101">
        <v>-43.7</v>
      </c>
    </row>
    <row r="76" spans="11:12" x14ac:dyDescent="0.4">
      <c r="K76" s="38">
        <v>74</v>
      </c>
      <c r="L76" s="101">
        <v>6.2999999999999972</v>
      </c>
    </row>
    <row r="77" spans="11:12" x14ac:dyDescent="0.4">
      <c r="K77" s="38">
        <v>75</v>
      </c>
      <c r="L77" s="101">
        <v>-2.6645352591003757E-15</v>
      </c>
    </row>
    <row r="78" spans="11:12" x14ac:dyDescent="0.4">
      <c r="K78" s="38">
        <v>76</v>
      </c>
      <c r="L78" s="101">
        <v>-32.5</v>
      </c>
    </row>
    <row r="79" spans="11:12" x14ac:dyDescent="0.4">
      <c r="K79" s="38">
        <v>77</v>
      </c>
      <c r="L79" s="101">
        <v>-37.1</v>
      </c>
    </row>
    <row r="80" spans="11:12" x14ac:dyDescent="0.4">
      <c r="K80" s="38">
        <v>78</v>
      </c>
      <c r="L80" s="101">
        <v>0</v>
      </c>
    </row>
    <row r="81" spans="11:12" x14ac:dyDescent="0.4">
      <c r="K81" s="38">
        <v>79</v>
      </c>
      <c r="L81" s="101">
        <v>8</v>
      </c>
    </row>
    <row r="82" spans="11:12" x14ac:dyDescent="0.4">
      <c r="K82" s="38">
        <v>80</v>
      </c>
      <c r="L82" s="101">
        <v>-29.299999999999997</v>
      </c>
    </row>
    <row r="83" spans="11:12" x14ac:dyDescent="0.4">
      <c r="K83" s="38">
        <v>81</v>
      </c>
      <c r="L83" s="101">
        <v>3.5527136788005009E-15</v>
      </c>
    </row>
    <row r="84" spans="11:12" x14ac:dyDescent="0.4">
      <c r="K84" s="38">
        <v>82</v>
      </c>
      <c r="L84" s="101">
        <v>-6.9999999999999964</v>
      </c>
    </row>
    <row r="85" spans="11:12" x14ac:dyDescent="0.4">
      <c r="K85" s="38">
        <v>83</v>
      </c>
      <c r="L85" s="101">
        <v>-38.5</v>
      </c>
    </row>
    <row r="86" spans="11:12" x14ac:dyDescent="0.4">
      <c r="K86" s="38">
        <v>84</v>
      </c>
      <c r="L86" s="101">
        <v>0</v>
      </c>
    </row>
    <row r="87" spans="11:12" x14ac:dyDescent="0.4">
      <c r="K87" s="38">
        <v>85</v>
      </c>
      <c r="L87" s="101">
        <v>52.9</v>
      </c>
    </row>
    <row r="88" spans="11:12" x14ac:dyDescent="0.4">
      <c r="K88" s="38">
        <v>86</v>
      </c>
      <c r="L88" s="101">
        <v>-3.1000000000000014</v>
      </c>
    </row>
    <row r="89" spans="11:12" x14ac:dyDescent="0.4">
      <c r="K89" s="38">
        <v>87</v>
      </c>
      <c r="L89" s="101">
        <v>-1.3322676295501878E-15</v>
      </c>
    </row>
    <row r="90" spans="11:12" x14ac:dyDescent="0.4">
      <c r="K90" s="38">
        <v>88</v>
      </c>
      <c r="L90" s="101">
        <v>22.1</v>
      </c>
    </row>
    <row r="91" spans="11:12" x14ac:dyDescent="0.4">
      <c r="K91" s="38">
        <v>89</v>
      </c>
      <c r="L91" s="101">
        <v>24</v>
      </c>
    </row>
    <row r="92" spans="11:12" x14ac:dyDescent="0.4">
      <c r="K92" s="38">
        <v>90</v>
      </c>
      <c r="L92" s="101">
        <v>0</v>
      </c>
    </row>
    <row r="93" spans="11:12" x14ac:dyDescent="0.4">
      <c r="K93" s="38">
        <v>91</v>
      </c>
      <c r="L93" s="101">
        <v>22.1</v>
      </c>
    </row>
    <row r="94" spans="11:12" x14ac:dyDescent="0.4">
      <c r="K94" s="38">
        <v>92</v>
      </c>
      <c r="L94" s="101">
        <v>24</v>
      </c>
    </row>
    <row r="95" spans="11:12" x14ac:dyDescent="0.4">
      <c r="K95" s="38">
        <v>93</v>
      </c>
      <c r="L95" s="101">
        <v>0</v>
      </c>
    </row>
    <row r="96" spans="11:12" x14ac:dyDescent="0.4">
      <c r="K96" s="38">
        <v>94</v>
      </c>
      <c r="L96" s="101">
        <v>25.7</v>
      </c>
    </row>
    <row r="97" spans="11:12" x14ac:dyDescent="0.4">
      <c r="K97" s="38">
        <v>95</v>
      </c>
      <c r="L97" s="101">
        <v>1.8000000000000007</v>
      </c>
    </row>
    <row r="98" spans="11:12" x14ac:dyDescent="0.4">
      <c r="K98" s="38">
        <v>96</v>
      </c>
      <c r="L98" s="101">
        <v>6.6613381477509392E-16</v>
      </c>
    </row>
    <row r="99" spans="11:12" x14ac:dyDescent="0.4">
      <c r="K99" s="38">
        <v>97</v>
      </c>
      <c r="L99" s="101">
        <v>39.6</v>
      </c>
    </row>
    <row r="100" spans="11:12" x14ac:dyDescent="0.4">
      <c r="K100" s="38">
        <v>98</v>
      </c>
      <c r="L100" s="101">
        <v>-64.199999999999989</v>
      </c>
    </row>
    <row r="101" spans="11:12" x14ac:dyDescent="0.4">
      <c r="K101" s="38">
        <v>99</v>
      </c>
      <c r="L101" s="101">
        <v>1.4210854715202004E-14</v>
      </c>
    </row>
    <row r="102" spans="11:12" x14ac:dyDescent="0.4">
      <c r="K102" s="38">
        <v>100</v>
      </c>
      <c r="L102" s="101">
        <v>-74.499999999999986</v>
      </c>
    </row>
    <row r="103" spans="11:12" x14ac:dyDescent="0.4">
      <c r="K103" s="38">
        <v>101</v>
      </c>
      <c r="L103" s="101">
        <v>2.2000000000000171</v>
      </c>
    </row>
    <row r="104" spans="11:12" x14ac:dyDescent="0.4">
      <c r="K104" s="38">
        <v>102</v>
      </c>
      <c r="L104" s="101">
        <v>1.6875389974302379E-14</v>
      </c>
    </row>
    <row r="105" spans="11:12" x14ac:dyDescent="0.4">
      <c r="K105" s="38">
        <v>103</v>
      </c>
      <c r="L105" s="101">
        <v>-31.599999999999984</v>
      </c>
    </row>
    <row r="106" spans="11:12" x14ac:dyDescent="0.4">
      <c r="K106" s="38">
        <v>104</v>
      </c>
      <c r="L106" s="101">
        <v>-35.799999999999983</v>
      </c>
    </row>
    <row r="107" spans="11:12" x14ac:dyDescent="0.4">
      <c r="K107" s="38">
        <v>105</v>
      </c>
      <c r="L107" s="101">
        <v>1.4210854715202004E-14</v>
      </c>
    </row>
    <row r="108" spans="11:12" x14ac:dyDescent="0.4">
      <c r="K108" s="38">
        <v>106</v>
      </c>
      <c r="L108" s="101">
        <v>35.300000000000011</v>
      </c>
    </row>
    <row r="109" spans="11:12" x14ac:dyDescent="0.4">
      <c r="K109" s="38">
        <v>107</v>
      </c>
      <c r="L109" s="101">
        <v>34.000000000000014</v>
      </c>
    </row>
    <row r="110" spans="11:12" x14ac:dyDescent="0.4">
      <c r="K110" s="38">
        <v>108</v>
      </c>
      <c r="L110" s="101">
        <v>1.4210854715202004E-14</v>
      </c>
    </row>
    <row r="111" spans="11:12" x14ac:dyDescent="0.4">
      <c r="K111" s="38">
        <v>109</v>
      </c>
      <c r="L111" s="101">
        <v>6.1000000000000139</v>
      </c>
    </row>
    <row r="112" spans="11:12" x14ac:dyDescent="0.4">
      <c r="K112" s="38">
        <v>110</v>
      </c>
      <c r="L112" s="101">
        <v>57.000000000000014</v>
      </c>
    </row>
    <row r="113" spans="11:12" x14ac:dyDescent="0.4">
      <c r="K113" s="38">
        <v>111</v>
      </c>
      <c r="L113" s="101">
        <v>1.4210854715202004E-14</v>
      </c>
    </row>
    <row r="114" spans="11:12" x14ac:dyDescent="0.4">
      <c r="K114" s="38">
        <v>112</v>
      </c>
      <c r="L114" s="101">
        <v>-5.0999999999999854</v>
      </c>
    </row>
    <row r="115" spans="11:12" x14ac:dyDescent="0.4">
      <c r="K115" s="38">
        <v>113</v>
      </c>
      <c r="L115" s="101">
        <v>31.600000000000016</v>
      </c>
    </row>
    <row r="116" spans="11:12" x14ac:dyDescent="0.4">
      <c r="K116" s="38">
        <v>114</v>
      </c>
      <c r="L116" s="101">
        <v>1.4210854715202004E-14</v>
      </c>
    </row>
    <row r="117" spans="11:12" x14ac:dyDescent="0.4">
      <c r="K117" s="38">
        <v>115</v>
      </c>
      <c r="L117" s="101">
        <v>5.2000000000000144</v>
      </c>
    </row>
    <row r="118" spans="11:12" x14ac:dyDescent="0.4">
      <c r="K118" s="38">
        <v>116</v>
      </c>
      <c r="L118" s="101">
        <v>41.500000000000014</v>
      </c>
    </row>
    <row r="119" spans="11:12" x14ac:dyDescent="0.4">
      <c r="K119" s="38">
        <v>117</v>
      </c>
      <c r="L119" s="101">
        <v>1.4210854715202004E-14</v>
      </c>
    </row>
    <row r="120" spans="11:12" x14ac:dyDescent="0.4">
      <c r="K120" s="38">
        <v>118</v>
      </c>
      <c r="L120" s="101">
        <v>-7.8999999999999861</v>
      </c>
    </row>
    <row r="121" spans="11:12" x14ac:dyDescent="0.4">
      <c r="K121" s="38">
        <v>119</v>
      </c>
      <c r="L121" s="101">
        <v>55.100000000000016</v>
      </c>
    </row>
    <row r="122" spans="11:12" x14ac:dyDescent="0.4">
      <c r="K122" s="38">
        <v>120</v>
      </c>
      <c r="L122" s="101">
        <v>1.4210854715202004E-14</v>
      </c>
    </row>
    <row r="123" spans="11:12" x14ac:dyDescent="0.4">
      <c r="K123" s="38">
        <v>121</v>
      </c>
      <c r="L123" s="101">
        <v>-0.99999999999998579</v>
      </c>
    </row>
    <row r="124" spans="11:12" x14ac:dyDescent="0.4">
      <c r="K124" s="38">
        <v>122</v>
      </c>
      <c r="L124" s="101">
        <v>-30.799999999999986</v>
      </c>
    </row>
    <row r="125" spans="11:12" x14ac:dyDescent="0.4">
      <c r="K125" s="38">
        <v>123</v>
      </c>
      <c r="L125" s="101">
        <v>1.4210854715202004E-14</v>
      </c>
    </row>
    <row r="126" spans="11:12" x14ac:dyDescent="0.4">
      <c r="K126" s="38">
        <v>124</v>
      </c>
      <c r="L126" s="101">
        <v>0.50000000000001421</v>
      </c>
    </row>
    <row r="127" spans="11:12" x14ac:dyDescent="0.4">
      <c r="K127" s="38">
        <v>125</v>
      </c>
      <c r="L127" s="101">
        <v>29.100000000000016</v>
      </c>
    </row>
    <row r="128" spans="11:12" x14ac:dyDescent="0.4">
      <c r="K128" s="38">
        <v>126</v>
      </c>
      <c r="L128" s="101">
        <v>1.4210854715202004E-14</v>
      </c>
    </row>
    <row r="129" spans="11:12" x14ac:dyDescent="0.4">
      <c r="K129" s="38">
        <v>127</v>
      </c>
      <c r="L129" s="101">
        <v>-45.299999999999983</v>
      </c>
    </row>
    <row r="130" spans="11:12" x14ac:dyDescent="0.4">
      <c r="K130" s="38">
        <v>128</v>
      </c>
      <c r="L130" s="101">
        <v>-59.299999999999983</v>
      </c>
    </row>
    <row r="131" spans="11:12" x14ac:dyDescent="0.4">
      <c r="K131" s="38">
        <v>129</v>
      </c>
      <c r="L131" s="101">
        <v>1.4210854715202004E-14</v>
      </c>
    </row>
    <row r="132" spans="11:12" x14ac:dyDescent="0.4">
      <c r="K132" s="38">
        <v>130</v>
      </c>
      <c r="L132" s="101">
        <v>-8.8999999999999861</v>
      </c>
    </row>
    <row r="133" spans="11:12" x14ac:dyDescent="0.4">
      <c r="K133" s="38">
        <v>131</v>
      </c>
      <c r="L133" s="101">
        <v>-47.499999999999986</v>
      </c>
    </row>
    <row r="134" spans="11:12" x14ac:dyDescent="0.4">
      <c r="K134" s="38">
        <v>132</v>
      </c>
      <c r="L134" s="101">
        <v>1.4210854715202004E-14</v>
      </c>
    </row>
    <row r="135" spans="11:12" x14ac:dyDescent="0.4">
      <c r="K135" s="38">
        <v>133</v>
      </c>
      <c r="L135" s="101">
        <v>-3.4999999999999858</v>
      </c>
    </row>
    <row r="136" spans="11:12" x14ac:dyDescent="0.4">
      <c r="K136" s="38">
        <v>134</v>
      </c>
      <c r="L136" s="101">
        <v>27.000000000000014</v>
      </c>
    </row>
    <row r="137" spans="11:12" x14ac:dyDescent="0.4">
      <c r="K137" s="38">
        <v>135</v>
      </c>
      <c r="L137" s="101">
        <v>1.4210854715202004E-14</v>
      </c>
    </row>
    <row r="138" spans="11:12" x14ac:dyDescent="0.4">
      <c r="K138" s="38">
        <v>136</v>
      </c>
      <c r="L138" s="101">
        <v>-55.199999999999989</v>
      </c>
    </row>
    <row r="139" spans="11:12" x14ac:dyDescent="0.4">
      <c r="K139" s="38">
        <v>137</v>
      </c>
      <c r="L139" s="101">
        <v>-80.699999999999989</v>
      </c>
    </row>
    <row r="140" spans="11:12" x14ac:dyDescent="0.4">
      <c r="K140" s="38">
        <v>138</v>
      </c>
      <c r="L140" s="101">
        <v>1.4210854715202004E-14</v>
      </c>
    </row>
    <row r="141" spans="11:12" x14ac:dyDescent="0.4">
      <c r="K141" s="38">
        <v>139</v>
      </c>
      <c r="L141" s="101">
        <v>8.0000000000000142</v>
      </c>
    </row>
    <row r="142" spans="11:12" x14ac:dyDescent="0.4">
      <c r="K142" s="38">
        <v>140</v>
      </c>
      <c r="L142" s="101">
        <v>-63.199999999999989</v>
      </c>
    </row>
    <row r="143" spans="11:12" x14ac:dyDescent="0.4">
      <c r="K143" s="38">
        <v>141</v>
      </c>
      <c r="L143" s="101">
        <v>1.4210854715202004E-14</v>
      </c>
    </row>
    <row r="144" spans="11:12" x14ac:dyDescent="0.4">
      <c r="K144" s="38">
        <v>142</v>
      </c>
      <c r="L144" s="101">
        <v>54.500000000000014</v>
      </c>
    </row>
    <row r="145" spans="11:12" x14ac:dyDescent="0.4">
      <c r="K145" s="38">
        <v>143</v>
      </c>
      <c r="L145" s="101">
        <v>8.5000000000000142</v>
      </c>
    </row>
    <row r="146" spans="11:12" x14ac:dyDescent="0.4">
      <c r="K146" s="38">
        <v>144</v>
      </c>
      <c r="L146" s="101">
        <v>1.4210854715202004E-14</v>
      </c>
    </row>
    <row r="147" spans="11:12" x14ac:dyDescent="0.4">
      <c r="K147" s="38">
        <v>145</v>
      </c>
      <c r="L147" s="101">
        <v>-10.599999999999985</v>
      </c>
    </row>
    <row r="148" spans="11:12" x14ac:dyDescent="0.4">
      <c r="K148" s="38">
        <v>146</v>
      </c>
      <c r="L148" s="101">
        <v>-61.79999999999999</v>
      </c>
    </row>
    <row r="149" spans="11:12" x14ac:dyDescent="0.4">
      <c r="K149" s="38">
        <v>147</v>
      </c>
      <c r="L149" s="101">
        <v>7.1054273576010019E-15</v>
      </c>
    </row>
    <row r="150" spans="11:12" x14ac:dyDescent="0.4">
      <c r="K150" s="38">
        <v>148</v>
      </c>
      <c r="L150" s="101">
        <v>4.6000000000000068</v>
      </c>
    </row>
    <row r="151" spans="11:12" x14ac:dyDescent="0.4">
      <c r="K151" s="38">
        <v>149</v>
      </c>
      <c r="L151" s="101">
        <v>-25.29999999999999</v>
      </c>
    </row>
    <row r="152" spans="11:12" x14ac:dyDescent="0.4">
      <c r="K152" s="38">
        <v>150</v>
      </c>
      <c r="L152" s="101">
        <v>1.0658141036401503E-14</v>
      </c>
    </row>
    <row r="153" spans="11:12" x14ac:dyDescent="0.4">
      <c r="K153" s="38">
        <v>151</v>
      </c>
      <c r="L153" s="101">
        <v>-2.4999999999999893</v>
      </c>
    </row>
    <row r="154" spans="11:12" x14ac:dyDescent="0.4">
      <c r="K154" s="38">
        <v>152</v>
      </c>
      <c r="L154" s="101">
        <v>-49.999999999999986</v>
      </c>
    </row>
    <row r="155" spans="11:12" x14ac:dyDescent="0.4">
      <c r="K155" s="38">
        <v>153</v>
      </c>
      <c r="L155" s="101">
        <v>1.4210854715202004E-14</v>
      </c>
    </row>
    <row r="156" spans="11:12" x14ac:dyDescent="0.4">
      <c r="K156" s="38">
        <v>154</v>
      </c>
      <c r="L156" s="101">
        <v>31.900000000000013</v>
      </c>
    </row>
    <row r="157" spans="11:12" x14ac:dyDescent="0.4">
      <c r="K157" s="38">
        <v>155</v>
      </c>
      <c r="L157" s="101">
        <v>28.100000000000012</v>
      </c>
    </row>
    <row r="158" spans="11:12" x14ac:dyDescent="0.4">
      <c r="K158" s="38">
        <v>156</v>
      </c>
      <c r="L158" s="101">
        <v>1.0658141036401503E-14</v>
      </c>
    </row>
    <row r="159" spans="11:12" x14ac:dyDescent="0.4">
      <c r="K159" s="38">
        <v>157</v>
      </c>
      <c r="L159" s="101">
        <v>-55.999999999999986</v>
      </c>
    </row>
    <row r="160" spans="11:12" x14ac:dyDescent="0.4">
      <c r="K160" s="38">
        <v>158</v>
      </c>
      <c r="L160" s="101">
        <v>13.000000000000014</v>
      </c>
    </row>
    <row r="161" spans="11:12" x14ac:dyDescent="0.4">
      <c r="K161" s="38">
        <v>159</v>
      </c>
      <c r="L161" s="101">
        <v>1.4210854715202004E-14</v>
      </c>
    </row>
    <row r="162" spans="11:12" x14ac:dyDescent="0.4">
      <c r="K162" s="38">
        <v>160</v>
      </c>
      <c r="L162" s="101">
        <v>12.400000000000015</v>
      </c>
    </row>
    <row r="163" spans="11:12" x14ac:dyDescent="0.4">
      <c r="K163" s="38">
        <v>161</v>
      </c>
      <c r="L163" s="101">
        <v>49.100000000000016</v>
      </c>
    </row>
    <row r="164" spans="11:12" x14ac:dyDescent="0.4">
      <c r="K164" s="38">
        <v>162</v>
      </c>
      <c r="L164" s="101">
        <v>1.4210854715202004E-14</v>
      </c>
    </row>
    <row r="165" spans="11:12" x14ac:dyDescent="0.4">
      <c r="K165" s="38">
        <v>163</v>
      </c>
      <c r="L165" s="101">
        <v>-60.299999999999983</v>
      </c>
    </row>
    <row r="166" spans="11:12" x14ac:dyDescent="0.4">
      <c r="K166" s="38">
        <v>164</v>
      </c>
      <c r="L166" s="101">
        <v>9.3000000000000114</v>
      </c>
    </row>
    <row r="167" spans="11:12" x14ac:dyDescent="0.4">
      <c r="K167" s="38">
        <v>165</v>
      </c>
      <c r="L167" s="101">
        <v>1.0658141036401503E-14</v>
      </c>
    </row>
    <row r="168" spans="11:12" x14ac:dyDescent="0.4">
      <c r="K168" s="38">
        <v>166</v>
      </c>
      <c r="L168" s="101">
        <v>48.500000000000014</v>
      </c>
    </row>
    <row r="169" spans="11:12" x14ac:dyDescent="0.4">
      <c r="K169" s="38">
        <v>167</v>
      </c>
      <c r="L169" s="101">
        <v>68.000000000000014</v>
      </c>
    </row>
    <row r="170" spans="11:12" x14ac:dyDescent="0.4">
      <c r="K170" s="38">
        <v>168</v>
      </c>
      <c r="L170" s="101">
        <v>1.4210854715202004E-14</v>
      </c>
    </row>
    <row r="171" spans="11:12" x14ac:dyDescent="0.4">
      <c r="K171" s="38">
        <v>169</v>
      </c>
      <c r="L171" s="101">
        <v>-1.4999999999999858</v>
      </c>
    </row>
    <row r="172" spans="11:12" x14ac:dyDescent="0.4">
      <c r="K172" s="38">
        <v>170</v>
      </c>
      <c r="L172" s="101">
        <v>-32.599999999999987</v>
      </c>
    </row>
    <row r="173" spans="11:12" x14ac:dyDescent="0.4">
      <c r="K173" s="38">
        <v>171</v>
      </c>
      <c r="L173" s="101">
        <v>1.4210854715202004E-14</v>
      </c>
    </row>
    <row r="174" spans="11:12" x14ac:dyDescent="0.4">
      <c r="K174" s="38">
        <v>172</v>
      </c>
      <c r="L174" s="101">
        <v>47.400000000000013</v>
      </c>
    </row>
    <row r="175" spans="11:12" x14ac:dyDescent="0.4">
      <c r="K175" s="38">
        <v>173</v>
      </c>
      <c r="L175" s="101">
        <v>52.300000000000011</v>
      </c>
    </row>
    <row r="176" spans="11:12" x14ac:dyDescent="0.4">
      <c r="K176" s="38">
        <v>174</v>
      </c>
      <c r="L176" s="101">
        <v>1.4210854715202004E-14</v>
      </c>
    </row>
    <row r="177" spans="11:12" x14ac:dyDescent="0.4">
      <c r="K177" s="38">
        <v>175</v>
      </c>
      <c r="L177" s="101">
        <v>73.600000000000009</v>
      </c>
    </row>
    <row r="178" spans="11:12" x14ac:dyDescent="0.4">
      <c r="K178" s="38">
        <v>176</v>
      </c>
      <c r="L178" s="101">
        <v>7.3000000000000114</v>
      </c>
    </row>
    <row r="179" spans="11:12" x14ac:dyDescent="0.4">
      <c r="K179" s="38">
        <v>177</v>
      </c>
      <c r="L179" s="101">
        <v>1.1546319456101628E-14</v>
      </c>
    </row>
    <row r="180" spans="11:12" x14ac:dyDescent="0.4">
      <c r="K180" s="38">
        <v>178</v>
      </c>
      <c r="L180" s="101">
        <v>-33.599999999999987</v>
      </c>
    </row>
    <row r="181" spans="11:12" x14ac:dyDescent="0.4">
      <c r="K181" s="38">
        <v>179</v>
      </c>
      <c r="L181" s="101">
        <v>-32.499999999999986</v>
      </c>
    </row>
    <row r="182" spans="11:12" x14ac:dyDescent="0.4">
      <c r="K182" s="38">
        <v>180</v>
      </c>
      <c r="L182" s="101">
        <v>1.4210854715202004E-14</v>
      </c>
    </row>
    <row r="183" spans="11:12" x14ac:dyDescent="0.4">
      <c r="K183" s="38">
        <v>181</v>
      </c>
      <c r="L183" s="101">
        <v>5.4000000000000146</v>
      </c>
    </row>
    <row r="184" spans="11:12" x14ac:dyDescent="0.4">
      <c r="K184" s="38">
        <v>182</v>
      </c>
      <c r="L184" s="101">
        <v>-26.899999999999984</v>
      </c>
    </row>
    <row r="185" spans="11:12" x14ac:dyDescent="0.4">
      <c r="K185" s="38">
        <v>183</v>
      </c>
      <c r="L185" s="101">
        <v>1.4210854715202004E-14</v>
      </c>
    </row>
    <row r="186" spans="11:12" x14ac:dyDescent="0.4">
      <c r="K186" s="38">
        <v>184</v>
      </c>
      <c r="L186" s="101">
        <v>15.100000000000014</v>
      </c>
    </row>
    <row r="187" spans="11:12" x14ac:dyDescent="0.4">
      <c r="K187" s="38">
        <v>185</v>
      </c>
      <c r="L187" s="101">
        <v>-35.199999999999982</v>
      </c>
    </row>
    <row r="188" spans="11:12" x14ac:dyDescent="0.4">
      <c r="K188" s="38">
        <v>186</v>
      </c>
      <c r="L188" s="101">
        <v>2.1316282072803006E-14</v>
      </c>
    </row>
    <row r="189" spans="11:12" x14ac:dyDescent="0.4">
      <c r="K189" s="38">
        <v>187</v>
      </c>
      <c r="L189" s="101">
        <v>-28.199999999999978</v>
      </c>
    </row>
    <row r="190" spans="11:12" x14ac:dyDescent="0.4">
      <c r="K190" s="38">
        <v>188</v>
      </c>
      <c r="L190" s="101">
        <v>-33.499999999999979</v>
      </c>
    </row>
    <row r="191" spans="11:12" x14ac:dyDescent="0.4">
      <c r="K191" s="38">
        <v>189</v>
      </c>
      <c r="L191" s="101">
        <v>2.1316282072803006E-14</v>
      </c>
    </row>
    <row r="192" spans="11:12" x14ac:dyDescent="0.4">
      <c r="K192" s="38">
        <v>190</v>
      </c>
      <c r="L192" s="101">
        <v>-60.899999999999977</v>
      </c>
    </row>
    <row r="193" spans="11:12" x14ac:dyDescent="0.4">
      <c r="K193" s="38">
        <v>191</v>
      </c>
      <c r="L193" s="101">
        <v>-57.399999999999977</v>
      </c>
    </row>
    <row r="194" spans="11:12" x14ac:dyDescent="0.4">
      <c r="K194" s="38">
        <v>192</v>
      </c>
      <c r="L194" s="101">
        <v>2.1316282072803006E-14</v>
      </c>
    </row>
    <row r="195" spans="11:12" x14ac:dyDescent="0.4">
      <c r="K195" s="38">
        <v>193</v>
      </c>
      <c r="L195" s="101">
        <v>-57.699999999999982</v>
      </c>
    </row>
    <row r="196" spans="11:12" x14ac:dyDescent="0.4">
      <c r="K196" s="38">
        <v>194</v>
      </c>
      <c r="L196" s="101">
        <v>-13.799999999999983</v>
      </c>
    </row>
    <row r="197" spans="11:12" x14ac:dyDescent="0.4">
      <c r="K197" s="38">
        <v>195</v>
      </c>
      <c r="L197" s="101">
        <v>1.7763568394002505E-14</v>
      </c>
    </row>
    <row r="198" spans="11:12" x14ac:dyDescent="0.4">
      <c r="K198" s="38">
        <v>196</v>
      </c>
      <c r="L198" s="101">
        <v>-55.499999999999986</v>
      </c>
    </row>
    <row r="199" spans="11:12" x14ac:dyDescent="0.4">
      <c r="K199" s="38">
        <v>197</v>
      </c>
      <c r="L199" s="101">
        <v>1.5000000000000142</v>
      </c>
    </row>
    <row r="200" spans="11:12" x14ac:dyDescent="0.4">
      <c r="K200" s="38">
        <v>198</v>
      </c>
      <c r="L200" s="101">
        <v>1.4210854715202004E-14</v>
      </c>
    </row>
    <row r="201" spans="11:12" x14ac:dyDescent="0.4">
      <c r="K201" s="38">
        <v>199</v>
      </c>
      <c r="L201" s="101">
        <v>46.900000000000013</v>
      </c>
    </row>
    <row r="202" spans="11:12" x14ac:dyDescent="0.4">
      <c r="K202" s="38">
        <v>200</v>
      </c>
      <c r="L202" s="101">
        <v>12.500000000000014</v>
      </c>
    </row>
    <row r="203" spans="11:12" x14ac:dyDescent="0.4">
      <c r="K203" s="38">
        <v>201</v>
      </c>
      <c r="L203" s="101">
        <v>1.4210854715202004E-14</v>
      </c>
    </row>
    <row r="204" spans="11:12" x14ac:dyDescent="0.4">
      <c r="K204" s="38">
        <v>202</v>
      </c>
      <c r="L204" s="101">
        <v>-59.899999999999984</v>
      </c>
    </row>
    <row r="205" spans="11:12" x14ac:dyDescent="0.4">
      <c r="K205" s="38">
        <v>203</v>
      </c>
      <c r="L205" s="101">
        <v>4.4000000000000128</v>
      </c>
    </row>
    <row r="206" spans="11:12" x14ac:dyDescent="0.4">
      <c r="K206" s="38">
        <v>204</v>
      </c>
      <c r="L206" s="101">
        <v>1.2434497875801753E-14</v>
      </c>
    </row>
    <row r="207" spans="11:12" x14ac:dyDescent="0.4">
      <c r="K207" s="38">
        <v>205</v>
      </c>
      <c r="L207" s="101">
        <v>54.500000000000014</v>
      </c>
    </row>
    <row r="208" spans="11:12" x14ac:dyDescent="0.4">
      <c r="K208" s="38">
        <v>206</v>
      </c>
      <c r="L208" s="101">
        <v>-8.9999999999999858</v>
      </c>
    </row>
    <row r="209" spans="11:12" x14ac:dyDescent="0.4">
      <c r="K209" s="38">
        <v>207</v>
      </c>
      <c r="L209" s="101">
        <v>1.4210854715202004E-14</v>
      </c>
    </row>
    <row r="210" spans="11:12" x14ac:dyDescent="0.4">
      <c r="K210" s="38">
        <v>208</v>
      </c>
      <c r="L210" s="101">
        <v>-55.399999999999984</v>
      </c>
    </row>
    <row r="211" spans="11:12" x14ac:dyDescent="0.4">
      <c r="K211" s="38">
        <v>209</v>
      </c>
      <c r="L211" s="101">
        <v>-51.899999999999984</v>
      </c>
    </row>
    <row r="212" spans="11:12" x14ac:dyDescent="0.4">
      <c r="K212" s="38">
        <v>210</v>
      </c>
      <c r="L212" s="101">
        <v>1.4210854715202004E-14</v>
      </c>
    </row>
    <row r="213" spans="11:12" x14ac:dyDescent="0.4">
      <c r="K213" s="38">
        <v>211</v>
      </c>
      <c r="L213" s="101">
        <v>4.1000000000000139</v>
      </c>
    </row>
    <row r="214" spans="11:12" x14ac:dyDescent="0.4">
      <c r="K214" s="38">
        <v>212</v>
      </c>
      <c r="L214" s="101">
        <v>35.200000000000017</v>
      </c>
    </row>
    <row r="215" spans="11:12" x14ac:dyDescent="0.4">
      <c r="K215" s="38">
        <v>213</v>
      </c>
      <c r="L215" s="101">
        <v>1.4210854715202004E-14</v>
      </c>
    </row>
    <row r="216" spans="11:12" x14ac:dyDescent="0.4">
      <c r="K216" s="38">
        <v>214</v>
      </c>
      <c r="L216" s="101">
        <v>-5.199999999999986</v>
      </c>
    </row>
    <row r="217" spans="11:12" x14ac:dyDescent="0.4">
      <c r="K217" s="38">
        <v>215</v>
      </c>
      <c r="L217" s="101">
        <v>-32.29999999999999</v>
      </c>
    </row>
    <row r="218" spans="11:12" x14ac:dyDescent="0.4">
      <c r="K218" s="38">
        <v>216</v>
      </c>
      <c r="L218" s="101">
        <v>7.1054273576010019E-15</v>
      </c>
    </row>
    <row r="219" spans="11:12" x14ac:dyDescent="0.4">
      <c r="K219" s="38">
        <v>217</v>
      </c>
      <c r="L219" s="101">
        <v>30.600000000000009</v>
      </c>
    </row>
    <row r="220" spans="11:12" x14ac:dyDescent="0.4">
      <c r="K220" s="38">
        <v>218</v>
      </c>
      <c r="L220" s="101">
        <v>-10.099999999999994</v>
      </c>
    </row>
    <row r="221" spans="11:12" x14ac:dyDescent="0.4">
      <c r="K221" s="38">
        <v>219</v>
      </c>
      <c r="L221" s="101">
        <v>5.3290705182007514E-15</v>
      </c>
    </row>
    <row r="222" spans="11:12" x14ac:dyDescent="0.4">
      <c r="K222" s="38">
        <v>220</v>
      </c>
      <c r="L222" s="101">
        <v>-28.599999999999994</v>
      </c>
    </row>
    <row r="223" spans="11:12" x14ac:dyDescent="0.4">
      <c r="K223" s="38">
        <v>221</v>
      </c>
      <c r="L223" s="101">
        <v>1.3000000000000043</v>
      </c>
    </row>
    <row r="224" spans="11:12" x14ac:dyDescent="0.4">
      <c r="K224" s="38">
        <v>222</v>
      </c>
      <c r="L224" s="101">
        <v>4.2188474935755949E-15</v>
      </c>
    </row>
    <row r="225" spans="11:12" x14ac:dyDescent="0.4">
      <c r="K225" s="38">
        <v>223</v>
      </c>
      <c r="L225" s="101">
        <v>-26.299999999999997</v>
      </c>
    </row>
    <row r="226" spans="11:12" x14ac:dyDescent="0.4">
      <c r="K226" s="38">
        <v>224</v>
      </c>
      <c r="L226" s="101">
        <v>4.1000000000000014</v>
      </c>
    </row>
    <row r="227" spans="11:12" x14ac:dyDescent="0.4">
      <c r="K227" s="38">
        <v>225</v>
      </c>
      <c r="L227" s="101">
        <v>1.7763568394002505E-15</v>
      </c>
    </row>
    <row r="228" spans="11:12" x14ac:dyDescent="0.4">
      <c r="K228" s="38">
        <v>226</v>
      </c>
      <c r="L228" s="101">
        <v>-39.5</v>
      </c>
    </row>
    <row r="229" spans="11:12" x14ac:dyDescent="0.4">
      <c r="K229" s="38">
        <v>227</v>
      </c>
      <c r="L229" s="101">
        <v>-33.700000000000003</v>
      </c>
    </row>
    <row r="230" spans="11:12" x14ac:dyDescent="0.4">
      <c r="K230" s="38">
        <v>228</v>
      </c>
      <c r="L230" s="101">
        <v>0</v>
      </c>
    </row>
    <row r="231" spans="11:12" x14ac:dyDescent="0.4">
      <c r="K231" s="38">
        <v>229</v>
      </c>
      <c r="L231" s="101">
        <v>4.0999999999999996</v>
      </c>
    </row>
    <row r="232" spans="11:12" x14ac:dyDescent="0.4">
      <c r="K232" s="38">
        <v>230</v>
      </c>
      <c r="L232" s="101">
        <v>-56</v>
      </c>
    </row>
    <row r="233" spans="11:12" x14ac:dyDescent="0.4">
      <c r="K233" s="38">
        <v>231</v>
      </c>
      <c r="L233" s="101">
        <v>0</v>
      </c>
    </row>
    <row r="234" spans="11:12" x14ac:dyDescent="0.4">
      <c r="K234" s="38">
        <v>232</v>
      </c>
      <c r="L234" s="101">
        <v>-21</v>
      </c>
    </row>
    <row r="235" spans="11:12" x14ac:dyDescent="0.4">
      <c r="K235" s="38">
        <v>233</v>
      </c>
      <c r="L235" s="101">
        <v>58</v>
      </c>
    </row>
    <row r="236" spans="11:12" x14ac:dyDescent="0.4">
      <c r="K236" s="38">
        <v>234</v>
      </c>
      <c r="L236" s="101">
        <v>0</v>
      </c>
    </row>
    <row r="237" spans="11:12" x14ac:dyDescent="0.4">
      <c r="K237" s="38">
        <v>235</v>
      </c>
      <c r="L237" s="101">
        <v>-34</v>
      </c>
    </row>
    <row r="238" spans="11:12" x14ac:dyDescent="0.4">
      <c r="K238" s="38">
        <v>236</v>
      </c>
      <c r="L238" s="101">
        <v>-101</v>
      </c>
    </row>
    <row r="239" spans="11:12" x14ac:dyDescent="0.4">
      <c r="K239" s="38">
        <v>237</v>
      </c>
      <c r="L239" s="101">
        <v>0</v>
      </c>
    </row>
    <row r="240" spans="11:12" x14ac:dyDescent="0.4">
      <c r="K240" s="38">
        <v>238</v>
      </c>
      <c r="L240" s="101">
        <v>-13</v>
      </c>
    </row>
    <row r="241" spans="11:12" x14ac:dyDescent="0.4">
      <c r="K241" s="38">
        <v>239</v>
      </c>
      <c r="L241" s="101">
        <v>-92.9</v>
      </c>
    </row>
    <row r="242" spans="11:12" x14ac:dyDescent="0.4">
      <c r="K242" s="38">
        <v>240</v>
      </c>
      <c r="L242" s="101">
        <v>0</v>
      </c>
    </row>
    <row r="243" spans="11:12" x14ac:dyDescent="0.4">
      <c r="K243" s="38">
        <v>241</v>
      </c>
      <c r="L243" s="101">
        <v>-3.1</v>
      </c>
    </row>
    <row r="244" spans="11:12" x14ac:dyDescent="0.4">
      <c r="K244" s="38">
        <v>242</v>
      </c>
      <c r="L244" s="101">
        <v>30.299999999999997</v>
      </c>
    </row>
    <row r="245" spans="11:12" x14ac:dyDescent="0.4">
      <c r="K245" s="38">
        <v>243</v>
      </c>
      <c r="L245" s="101">
        <v>-3.5527136788005009E-15</v>
      </c>
    </row>
    <row r="246" spans="11:12" x14ac:dyDescent="0.4">
      <c r="K246" s="38">
        <v>244</v>
      </c>
      <c r="L246" s="101">
        <v>5.3999999999999968</v>
      </c>
    </row>
    <row r="247" spans="11:12" x14ac:dyDescent="0.4">
      <c r="K247" s="38">
        <v>245</v>
      </c>
      <c r="L247" s="101">
        <v>-29.4</v>
      </c>
    </row>
    <row r="248" spans="11:12" x14ac:dyDescent="0.4">
      <c r="K248" s="38">
        <v>246</v>
      </c>
      <c r="L248" s="101">
        <v>0</v>
      </c>
    </row>
    <row r="249" spans="11:12" x14ac:dyDescent="0.4">
      <c r="K249" s="38">
        <v>247</v>
      </c>
      <c r="L249" s="101">
        <v>-61.2</v>
      </c>
    </row>
    <row r="250" spans="11:12" x14ac:dyDescent="0.4">
      <c r="K250" s="38">
        <v>248</v>
      </c>
      <c r="L250" s="101">
        <v>-9</v>
      </c>
    </row>
    <row r="251" spans="11:12" x14ac:dyDescent="0.4">
      <c r="K251" s="38">
        <v>249</v>
      </c>
      <c r="L251" s="101">
        <v>0</v>
      </c>
    </row>
    <row r="252" spans="11:12" x14ac:dyDescent="0.4">
      <c r="K252" s="38">
        <v>250</v>
      </c>
      <c r="L252" s="101">
        <v>-15.6</v>
      </c>
    </row>
    <row r="253" spans="11:12" x14ac:dyDescent="0.4">
      <c r="K253" s="38">
        <v>251</v>
      </c>
      <c r="L253" s="101">
        <v>-74.3</v>
      </c>
    </row>
    <row r="254" spans="11:12" x14ac:dyDescent="0.4">
      <c r="K254" s="38">
        <v>252</v>
      </c>
      <c r="L254" s="101">
        <v>0</v>
      </c>
    </row>
    <row r="255" spans="11:12" x14ac:dyDescent="0.4">
      <c r="K255" s="38">
        <v>253</v>
      </c>
      <c r="L255" s="101">
        <v>7.7</v>
      </c>
    </row>
    <row r="256" spans="11:12" x14ac:dyDescent="0.4">
      <c r="K256" s="38">
        <v>254</v>
      </c>
      <c r="L256" s="101">
        <v>38.5</v>
      </c>
    </row>
    <row r="257" spans="11:12" x14ac:dyDescent="0.4">
      <c r="K257" s="38">
        <v>255</v>
      </c>
      <c r="L257" s="101">
        <v>0</v>
      </c>
    </row>
    <row r="258" spans="11:12" x14ac:dyDescent="0.4">
      <c r="K258" s="38">
        <v>256</v>
      </c>
      <c r="L258" s="101">
        <v>3.4</v>
      </c>
    </row>
    <row r="259" spans="11:12" x14ac:dyDescent="0.4">
      <c r="K259" s="38">
        <v>257</v>
      </c>
      <c r="L259" s="101">
        <v>-28.3</v>
      </c>
    </row>
    <row r="260" spans="11:12" x14ac:dyDescent="0.4">
      <c r="K260" s="38">
        <v>258</v>
      </c>
      <c r="L260" s="101">
        <v>0</v>
      </c>
    </row>
    <row r="261" spans="11:12" x14ac:dyDescent="0.4">
      <c r="K261" s="38">
        <v>259</v>
      </c>
      <c r="L261" s="101">
        <v>-42.3</v>
      </c>
    </row>
    <row r="262" spans="11:12" x14ac:dyDescent="0.4">
      <c r="K262" s="38">
        <v>260</v>
      </c>
      <c r="L262" s="101">
        <v>-2.5</v>
      </c>
    </row>
    <row r="263" spans="11:12" x14ac:dyDescent="0.4">
      <c r="K263" s="38">
        <v>261</v>
      </c>
      <c r="L263" s="101">
        <v>0</v>
      </c>
    </row>
    <row r="264" spans="11:12" x14ac:dyDescent="0.4">
      <c r="K264" s="38">
        <v>262</v>
      </c>
      <c r="L264" s="101">
        <v>-28.8</v>
      </c>
    </row>
    <row r="265" spans="11:12" x14ac:dyDescent="0.4">
      <c r="K265" s="38">
        <v>263</v>
      </c>
      <c r="L265" s="101">
        <v>-36.4</v>
      </c>
    </row>
    <row r="266" spans="11:12" x14ac:dyDescent="0.4">
      <c r="K266" s="38">
        <v>264</v>
      </c>
      <c r="L266" s="101">
        <v>0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AF3C7-718A-4B12-AD91-410A3D295C7C}">
  <sheetPr codeName="Sheet7"/>
  <dimension ref="A1:Q6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127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61</v>
      </c>
      <c r="C2" s="149"/>
      <c r="E2" s="62" t="s">
        <v>67</v>
      </c>
      <c r="F2" s="59" t="s">
        <v>23</v>
      </c>
      <c r="G2" s="46">
        <v>154</v>
      </c>
      <c r="H2" s="134">
        <f>IF(B$17=0,0,G2/B$17)</f>
        <v>0.77777777777777779</v>
      </c>
      <c r="I2" s="95">
        <v>3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3604.9180327868853</v>
      </c>
      <c r="P2" s="120">
        <v>61</v>
      </c>
      <c r="Q2" s="104">
        <v>219900</v>
      </c>
    </row>
    <row r="3" spans="1:17" x14ac:dyDescent="0.4">
      <c r="A3" s="55" t="s">
        <v>8</v>
      </c>
      <c r="B3" s="150">
        <v>480</v>
      </c>
      <c r="C3" s="151"/>
      <c r="E3" s="63" t="s">
        <v>73</v>
      </c>
      <c r="F3" s="60" t="s">
        <v>28</v>
      </c>
      <c r="G3" s="47">
        <v>109</v>
      </c>
      <c r="H3" s="135">
        <f>IF(B$17=0,0,G3/B$17)</f>
        <v>0.5505050505050505</v>
      </c>
      <c r="I3" s="96">
        <v>6</v>
      </c>
      <c r="K3" s="38">
        <v>1</v>
      </c>
      <c r="L3" s="101">
        <v>-5.0999999999999996</v>
      </c>
      <c r="N3" s="117" t="s">
        <v>133</v>
      </c>
      <c r="O3" s="124">
        <f t="shared" si="0"/>
        <v>3693.3333333333335</v>
      </c>
      <c r="P3" s="121">
        <v>60</v>
      </c>
      <c r="Q3" s="105">
        <v>221600</v>
      </c>
    </row>
    <row r="4" spans="1:17" x14ac:dyDescent="0.4">
      <c r="A4" s="55" t="s">
        <v>6</v>
      </c>
      <c r="B4" s="152">
        <v>1585.4000000000003</v>
      </c>
      <c r="C4" s="153"/>
      <c r="E4" s="63" t="s">
        <v>65</v>
      </c>
      <c r="F4" s="60" t="s">
        <v>21</v>
      </c>
      <c r="G4" s="47">
        <v>96</v>
      </c>
      <c r="H4" s="135">
        <f>IF(B$17=0,0,G4/B$17)</f>
        <v>0.48484848484848486</v>
      </c>
      <c r="I4" s="96">
        <v>7</v>
      </c>
      <c r="K4" s="38">
        <v>2</v>
      </c>
      <c r="L4" s="101">
        <v>-2.8999999999999995</v>
      </c>
      <c r="N4" s="117" t="s">
        <v>134</v>
      </c>
      <c r="O4" s="124">
        <f t="shared" si="0"/>
        <v>3062.5</v>
      </c>
      <c r="P4" s="121">
        <v>56</v>
      </c>
      <c r="Q4" s="105">
        <v>171500</v>
      </c>
    </row>
    <row r="5" spans="1:17" x14ac:dyDescent="0.4">
      <c r="A5" s="55" t="s">
        <v>7</v>
      </c>
      <c r="B5" s="154">
        <f>IF(B$2=0,0,B$4/B$2)</f>
        <v>25.990163934426235</v>
      </c>
      <c r="C5" s="155"/>
      <c r="E5" s="63" t="s">
        <v>182</v>
      </c>
      <c r="F5" s="60" t="s">
        <v>183</v>
      </c>
      <c r="G5" s="47">
        <v>84</v>
      </c>
      <c r="H5" s="135">
        <f>IF(B$17=0,0,G5/B$17)</f>
        <v>0.42424242424242425</v>
      </c>
      <c r="I5" s="96">
        <v>2</v>
      </c>
      <c r="K5" s="38">
        <v>3</v>
      </c>
      <c r="L5" s="101">
        <v>70.399999999999991</v>
      </c>
      <c r="N5" s="117" t="s">
        <v>135</v>
      </c>
      <c r="O5" s="124">
        <f t="shared" si="0"/>
        <v>5732.6530612244896</v>
      </c>
      <c r="P5" s="121">
        <v>49</v>
      </c>
      <c r="Q5" s="105">
        <v>280900</v>
      </c>
    </row>
    <row r="6" spans="1:17" x14ac:dyDescent="0.4">
      <c r="A6" s="55" t="s">
        <v>1</v>
      </c>
      <c r="B6" s="144">
        <f>IF(B$2=0,0,(B$7*1+B$8*2+B$9*3)/B$2)</f>
        <v>1.5081967213114753</v>
      </c>
      <c r="C6" s="145"/>
      <c r="E6" s="63" t="s">
        <v>68</v>
      </c>
      <c r="F6" s="60" t="s">
        <v>24</v>
      </c>
      <c r="G6" s="47">
        <v>62</v>
      </c>
      <c r="H6" s="135">
        <f>IF(B$17=0,0,G6/B$17)</f>
        <v>0.31313131313131315</v>
      </c>
      <c r="I6" s="96">
        <v>5</v>
      </c>
      <c r="K6" s="38">
        <v>4</v>
      </c>
      <c r="L6" s="101">
        <v>110.5</v>
      </c>
      <c r="N6" s="117" t="s">
        <v>136</v>
      </c>
      <c r="O6" s="124">
        <f t="shared" si="0"/>
        <v>1188.6363636363637</v>
      </c>
      <c r="P6" s="121">
        <v>44</v>
      </c>
      <c r="Q6" s="105">
        <v>52300</v>
      </c>
    </row>
    <row r="7" spans="1:17" x14ac:dyDescent="0.4">
      <c r="A7" s="55" t="s">
        <v>2</v>
      </c>
      <c r="B7" s="47">
        <v>38</v>
      </c>
      <c r="C7" s="39">
        <f>IF(B$2=0,0,B7/B$2)</f>
        <v>0.62295081967213117</v>
      </c>
      <c r="E7" s="63" t="s">
        <v>69</v>
      </c>
      <c r="F7" s="60" t="s">
        <v>12</v>
      </c>
      <c r="G7" s="47">
        <v>45</v>
      </c>
      <c r="H7" s="135">
        <f>IF(B$17=0,0,G7/B$17)</f>
        <v>0.22727272727272727</v>
      </c>
      <c r="I7" s="96">
        <v>8</v>
      </c>
      <c r="K7" s="38">
        <v>5</v>
      </c>
      <c r="L7" s="101">
        <v>201.4</v>
      </c>
      <c r="N7" s="118" t="s">
        <v>137</v>
      </c>
      <c r="O7" s="125">
        <f t="shared" si="0"/>
        <v>834.14634146341461</v>
      </c>
      <c r="P7" s="122">
        <v>41</v>
      </c>
      <c r="Q7" s="106">
        <v>34200</v>
      </c>
    </row>
    <row r="8" spans="1:17" x14ac:dyDescent="0.4">
      <c r="A8" s="55" t="s">
        <v>3</v>
      </c>
      <c r="B8" s="47">
        <v>15</v>
      </c>
      <c r="C8" s="39">
        <f>IF(B$2=0,0,B8/B$2)</f>
        <v>0.24590163934426229</v>
      </c>
      <c r="E8" s="63" t="s">
        <v>90</v>
      </c>
      <c r="F8" s="60" t="s">
        <v>45</v>
      </c>
      <c r="G8" s="47">
        <v>38</v>
      </c>
      <c r="H8" s="135">
        <f>IF(B$17=0,0,G8/B$17)</f>
        <v>0.19191919191919191</v>
      </c>
      <c r="I8" s="96">
        <v>4</v>
      </c>
      <c r="K8" s="38">
        <v>6</v>
      </c>
      <c r="L8" s="101">
        <v>232.4</v>
      </c>
      <c r="N8" s="43"/>
      <c r="O8" s="129"/>
      <c r="P8" s="113"/>
      <c r="Q8" s="111"/>
    </row>
    <row r="9" spans="1:17" x14ac:dyDescent="0.4">
      <c r="A9" s="56" t="s">
        <v>4</v>
      </c>
      <c r="B9" s="48">
        <v>8</v>
      </c>
      <c r="C9" s="40">
        <f t="shared" ref="C9" si="1">IF(B$2=0,0,B9/B$2)</f>
        <v>0.13114754098360656</v>
      </c>
      <c r="E9" s="63" t="s">
        <v>70</v>
      </c>
      <c r="F9" s="60" t="s">
        <v>25</v>
      </c>
      <c r="G9" s="47">
        <v>34</v>
      </c>
      <c r="H9" s="135">
        <f>IF(B$17=0,0,G9/B$17)</f>
        <v>0.17171717171717171</v>
      </c>
      <c r="I9" s="96">
        <v>8</v>
      </c>
      <c r="K9" s="38">
        <v>7</v>
      </c>
      <c r="L9" s="101">
        <v>256.10000000000002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3.2786885245901641E-2</v>
      </c>
      <c r="E10" s="63" t="s">
        <v>66</v>
      </c>
      <c r="F10" s="60" t="s">
        <v>22</v>
      </c>
      <c r="G10" s="47">
        <v>28</v>
      </c>
      <c r="H10" s="135">
        <f>IF(B$17=0,0,G10/B$17)</f>
        <v>0.14141414141414141</v>
      </c>
      <c r="I10" s="96">
        <v>3</v>
      </c>
      <c r="K10" s="38">
        <v>8</v>
      </c>
      <c r="L10" s="101">
        <v>285.20000000000005</v>
      </c>
      <c r="N10" s="116" t="s">
        <v>165</v>
      </c>
      <c r="O10" s="126">
        <f>IF(P10=0,0,Q10/P10)</f>
        <v>22.222222222222221</v>
      </c>
      <c r="P10" s="120">
        <v>18</v>
      </c>
      <c r="Q10" s="108">
        <v>400</v>
      </c>
    </row>
    <row r="11" spans="1:17" x14ac:dyDescent="0.4">
      <c r="A11" s="56" t="s">
        <v>140</v>
      </c>
      <c r="B11" s="48">
        <v>14</v>
      </c>
      <c r="C11" s="40">
        <f>IF(B$2=0,0,B11/B$2)</f>
        <v>0.22950819672131148</v>
      </c>
      <c r="E11" s="63" t="s">
        <v>87</v>
      </c>
      <c r="F11" s="60" t="s">
        <v>42</v>
      </c>
      <c r="G11" s="47">
        <v>18</v>
      </c>
      <c r="H11" s="135">
        <f>IF(B$17=0,0,G11/B$17)</f>
        <v>9.0909090909090912E-2</v>
      </c>
      <c r="I11" s="96">
        <v>3</v>
      </c>
      <c r="K11" s="38">
        <v>9</v>
      </c>
      <c r="L11" s="101">
        <v>277.90000000000003</v>
      </c>
      <c r="N11" s="117" t="s">
        <v>166</v>
      </c>
      <c r="O11" s="127">
        <f>IF(P11=0,0,Q11/P11)</f>
        <v>19.033333333333331</v>
      </c>
      <c r="P11" s="121">
        <v>18</v>
      </c>
      <c r="Q11" s="109">
        <v>342.59999999999997</v>
      </c>
    </row>
    <row r="12" spans="1:17" x14ac:dyDescent="0.4">
      <c r="A12" s="57" t="s">
        <v>160</v>
      </c>
      <c r="B12" s="49">
        <v>14</v>
      </c>
      <c r="C12" s="42">
        <f>IF(B$2=0,0,B12/B$2)</f>
        <v>0.22950819672131148</v>
      </c>
      <c r="E12" s="63" t="s">
        <v>71</v>
      </c>
      <c r="F12" s="60" t="s">
        <v>26</v>
      </c>
      <c r="G12" s="47">
        <v>17</v>
      </c>
      <c r="H12" s="135">
        <f>IF(B$17=0,0,G12/B$17)</f>
        <v>8.5858585858585856E-2</v>
      </c>
      <c r="I12" s="96">
        <v>6</v>
      </c>
      <c r="K12" s="38">
        <v>10</v>
      </c>
      <c r="L12" s="101">
        <v>246.20000000000005</v>
      </c>
      <c r="N12" s="118" t="s">
        <v>167</v>
      </c>
      <c r="O12" s="128">
        <f>IF(P12=0,0,Q12/P12)</f>
        <v>33.712000000000003</v>
      </c>
      <c r="P12" s="122">
        <v>25</v>
      </c>
      <c r="Q12" s="110">
        <v>842.80000000000007</v>
      </c>
    </row>
    <row r="13" spans="1:17" x14ac:dyDescent="0.4">
      <c r="A13" s="58" t="s">
        <v>122</v>
      </c>
      <c r="B13" s="50">
        <v>159</v>
      </c>
      <c r="C13" s="44">
        <f>IF(B$3=0,0,B13/B$3)</f>
        <v>0.33124999999999999</v>
      </c>
      <c r="E13" s="63" t="s">
        <v>72</v>
      </c>
      <c r="F13" s="60" t="s">
        <v>27</v>
      </c>
      <c r="G13" s="47">
        <v>11</v>
      </c>
      <c r="H13" s="135">
        <f>IF(B$17=0,0,G13/B$17)</f>
        <v>5.5555555555555552E-2</v>
      </c>
      <c r="I13" s="96">
        <v>5</v>
      </c>
      <c r="K13" s="38">
        <v>11</v>
      </c>
      <c r="L13" s="101">
        <v>333.30000000000007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115</v>
      </c>
      <c r="C14" s="39">
        <f>IF(B$3=0,0,B14/B$3)</f>
        <v>0.23958333333333334</v>
      </c>
      <c r="E14" s="63" t="s">
        <v>84</v>
      </c>
      <c r="F14" s="60" t="s">
        <v>39</v>
      </c>
      <c r="G14" s="47">
        <v>10</v>
      </c>
      <c r="H14" s="135">
        <f>IF(B$17=0,0,G14/B$17)</f>
        <v>5.0505050505050504E-2</v>
      </c>
      <c r="I14" s="96">
        <v>3</v>
      </c>
      <c r="K14" s="38">
        <v>12</v>
      </c>
      <c r="L14" s="101">
        <v>371.70000000000005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100</v>
      </c>
      <c r="C15" s="37">
        <f>IF(B$13=0,0,B15/B$13)</f>
        <v>0.62893081761006286</v>
      </c>
      <c r="E15" s="63" t="s">
        <v>82</v>
      </c>
      <c r="F15" s="60" t="s">
        <v>37</v>
      </c>
      <c r="G15" s="47">
        <v>5</v>
      </c>
      <c r="H15" s="135">
        <f>IF(B$17=0,0,G15/B$17)</f>
        <v>2.5252525252525252E-2</v>
      </c>
      <c r="I15" s="96">
        <v>5</v>
      </c>
      <c r="K15" s="38">
        <v>13</v>
      </c>
      <c r="L15" s="101">
        <v>418.90000000000003</v>
      </c>
      <c r="N15" s="116" t="s">
        <v>186</v>
      </c>
      <c r="O15" s="126">
        <f>IF(P15=0,0,Q15/P15)</f>
        <v>69.2</v>
      </c>
      <c r="P15" s="120">
        <v>1</v>
      </c>
      <c r="Q15" s="108">
        <v>69.2</v>
      </c>
    </row>
    <row r="16" spans="1:17" x14ac:dyDescent="0.4">
      <c r="A16" s="54" t="s">
        <v>125</v>
      </c>
      <c r="B16" s="46">
        <v>66</v>
      </c>
      <c r="C16" s="37">
        <f>IF(B$14=0,0,B16/B$14)</f>
        <v>0.57391304347826089</v>
      </c>
      <c r="E16" s="63" t="s">
        <v>79</v>
      </c>
      <c r="F16" s="60" t="s">
        <v>34</v>
      </c>
      <c r="G16" s="47">
        <v>3</v>
      </c>
      <c r="H16" s="135">
        <f>IF(B$17=0,0,G16/B$17)</f>
        <v>1.5151515151515152E-2</v>
      </c>
      <c r="I16" s="96">
        <v>6</v>
      </c>
      <c r="K16" s="38">
        <v>14</v>
      </c>
      <c r="L16" s="101">
        <v>473.50000000000006</v>
      </c>
      <c r="N16" s="117" t="s">
        <v>129</v>
      </c>
      <c r="O16" s="127">
        <f>IF(P16=0,0,Q16/P16)</f>
        <v>62.058823529411768</v>
      </c>
      <c r="P16" s="121">
        <v>17</v>
      </c>
      <c r="Q16" s="109">
        <v>1055</v>
      </c>
    </row>
    <row r="17" spans="1:17" x14ac:dyDescent="0.4">
      <c r="A17" s="54" t="s">
        <v>10</v>
      </c>
      <c r="B17" s="46">
        <f>B19+B18</f>
        <v>198</v>
      </c>
      <c r="C17" s="37">
        <f>IF(B$3=0,0,B17/B$3)</f>
        <v>0.41249999999999998</v>
      </c>
      <c r="E17" s="63" t="s">
        <v>92</v>
      </c>
      <c r="F17" s="60" t="s">
        <v>47</v>
      </c>
      <c r="G17" s="47">
        <v>3</v>
      </c>
      <c r="H17" s="135">
        <f>IF(B$17=0,0,G17/B$17)</f>
        <v>1.5151515151515152E-2</v>
      </c>
      <c r="I17" s="96">
        <v>5</v>
      </c>
      <c r="K17" s="38">
        <v>15</v>
      </c>
      <c r="L17" s="101">
        <v>481.50000000000006</v>
      </c>
      <c r="N17" s="117" t="s">
        <v>187</v>
      </c>
      <c r="O17" s="127">
        <f>IF(P17=0,0,Q17/P17)</f>
        <v>56.8</v>
      </c>
      <c r="P17" s="121">
        <v>4</v>
      </c>
      <c r="Q17" s="109">
        <v>227.2</v>
      </c>
    </row>
    <row r="18" spans="1:17" x14ac:dyDescent="0.4">
      <c r="A18" s="55" t="s">
        <v>12</v>
      </c>
      <c r="B18" s="47">
        <v>79</v>
      </c>
      <c r="C18" s="39">
        <f>IF(B$17=0,0,B18/B$17)</f>
        <v>0.39898989898989901</v>
      </c>
      <c r="E18" s="63" t="s">
        <v>74</v>
      </c>
      <c r="F18" s="60" t="s">
        <v>29</v>
      </c>
      <c r="G18" s="47">
        <v>2</v>
      </c>
      <c r="H18" s="135">
        <f>IF(B$17=0,0,G18/B$17)</f>
        <v>1.0101010101010102E-2</v>
      </c>
      <c r="I18" s="96">
        <v>2</v>
      </c>
      <c r="K18" s="38">
        <v>16</v>
      </c>
      <c r="L18" s="101">
        <v>425.50000000000006</v>
      </c>
      <c r="N18" s="117" t="s">
        <v>174</v>
      </c>
      <c r="O18" s="127">
        <f>IF(P18=0,0,Q18/P18)</f>
        <v>49.41</v>
      </c>
      <c r="P18" s="121">
        <v>10</v>
      </c>
      <c r="Q18" s="109">
        <v>494.09999999999997</v>
      </c>
    </row>
    <row r="19" spans="1:17" x14ac:dyDescent="0.4">
      <c r="A19" s="55" t="s">
        <v>11</v>
      </c>
      <c r="B19" s="47">
        <v>119</v>
      </c>
      <c r="C19" s="39">
        <f>IF(B$17=0,0,B19/B$17)</f>
        <v>0.60101010101010099</v>
      </c>
      <c r="E19" s="63" t="s">
        <v>181</v>
      </c>
      <c r="F19" s="60" t="s">
        <v>184</v>
      </c>
      <c r="G19" s="47">
        <v>2</v>
      </c>
      <c r="H19" s="135">
        <f>IF(B$17=0,0,G19/B$17)</f>
        <v>1.0101010101010102E-2</v>
      </c>
      <c r="I19" s="96">
        <v>4</v>
      </c>
      <c r="K19" s="38">
        <v>17</v>
      </c>
      <c r="L19" s="101">
        <v>427.40000000000003</v>
      </c>
      <c r="N19" s="117" t="s">
        <v>178</v>
      </c>
      <c r="O19" s="127">
        <f>IF(P19=0,0,Q19/P19)</f>
        <v>48.9375</v>
      </c>
      <c r="P19" s="121">
        <v>8</v>
      </c>
      <c r="Q19" s="109">
        <v>391.5</v>
      </c>
    </row>
    <row r="20" spans="1:17" x14ac:dyDescent="0.4">
      <c r="A20" s="55" t="s">
        <v>13</v>
      </c>
      <c r="B20" s="47">
        <v>65</v>
      </c>
      <c r="C20" s="39">
        <f>IF(B$3=0,0,B20/B$3)</f>
        <v>0.13541666666666666</v>
      </c>
      <c r="E20" s="63" t="s">
        <v>76</v>
      </c>
      <c r="F20" s="60" t="s">
        <v>31</v>
      </c>
      <c r="G20" s="47">
        <v>1</v>
      </c>
      <c r="H20" s="135">
        <f>IF(B$17=0,0,G20/B$17)</f>
        <v>5.0505050505050509E-3</v>
      </c>
      <c r="I20" s="96">
        <v>5</v>
      </c>
      <c r="K20" s="38">
        <v>18</v>
      </c>
      <c r="L20" s="101">
        <v>429.3</v>
      </c>
      <c r="N20" s="117" t="s">
        <v>173</v>
      </c>
      <c r="O20" s="127">
        <f>IF(P20=0,0,Q20/P20)</f>
        <v>48.616666666666667</v>
      </c>
      <c r="P20" s="121">
        <v>12</v>
      </c>
      <c r="Q20" s="109">
        <v>583.4</v>
      </c>
    </row>
    <row r="21" spans="1:17" x14ac:dyDescent="0.4">
      <c r="A21" s="55" t="s">
        <v>194</v>
      </c>
      <c r="B21" s="47">
        <v>7</v>
      </c>
      <c r="C21" s="137">
        <v>2</v>
      </c>
      <c r="E21" s="63" t="s">
        <v>78</v>
      </c>
      <c r="F21" s="60" t="s">
        <v>33</v>
      </c>
      <c r="G21" s="47">
        <v>1</v>
      </c>
      <c r="H21" s="135">
        <f>IF(B$17=0,0,G21/B$17)</f>
        <v>5.0505050505050509E-3</v>
      </c>
      <c r="I21" s="96">
        <v>2</v>
      </c>
      <c r="K21" s="38">
        <v>19</v>
      </c>
      <c r="L21" s="101">
        <v>405.40000000000003</v>
      </c>
      <c r="N21" s="117" t="s">
        <v>128</v>
      </c>
      <c r="O21" s="127">
        <f>IF(P21=0,0,Q21/P21)</f>
        <v>28.472340425531922</v>
      </c>
      <c r="P21" s="121">
        <v>47</v>
      </c>
      <c r="Q21" s="109">
        <v>1338.2000000000003</v>
      </c>
    </row>
    <row r="22" spans="1:17" x14ac:dyDescent="0.4">
      <c r="A22" s="55" t="s">
        <v>195</v>
      </c>
      <c r="B22" s="47">
        <v>27</v>
      </c>
      <c r="C22" s="137">
        <v>19</v>
      </c>
      <c r="E22" s="63" t="s">
        <v>80</v>
      </c>
      <c r="F22" s="60" t="s">
        <v>35</v>
      </c>
      <c r="G22" s="47">
        <v>1</v>
      </c>
      <c r="H22" s="135">
        <f>IF(B$17=0,0,G22/B$17)</f>
        <v>5.0505050505050509E-3</v>
      </c>
      <c r="I22" s="96">
        <v>5</v>
      </c>
      <c r="K22" s="38">
        <v>20</v>
      </c>
      <c r="L22" s="101">
        <v>469.6</v>
      </c>
      <c r="N22" s="117" t="s">
        <v>172</v>
      </c>
      <c r="O22" s="127">
        <f>IF(P22=0,0,Q22/P22)</f>
        <v>26.11363636363636</v>
      </c>
      <c r="P22" s="121">
        <v>22</v>
      </c>
      <c r="Q22" s="109">
        <v>574.49999999999989</v>
      </c>
    </row>
    <row r="23" spans="1:17" x14ac:dyDescent="0.4">
      <c r="A23" s="55" t="s">
        <v>5</v>
      </c>
      <c r="B23" s="51">
        <f>IF(B$17=0,0,C23/B$17)</f>
        <v>9479.2929292929293</v>
      </c>
      <c r="C23" s="41">
        <v>1876900</v>
      </c>
      <c r="E23" s="63" t="s">
        <v>88</v>
      </c>
      <c r="F23" s="60" t="s">
        <v>43</v>
      </c>
      <c r="G23" s="47">
        <v>1</v>
      </c>
      <c r="H23" s="135">
        <f>IF(B$17=0,0,G23/B$17)</f>
        <v>5.0505050505050509E-3</v>
      </c>
      <c r="I23" s="96">
        <v>1</v>
      </c>
      <c r="K23" s="38">
        <v>21</v>
      </c>
      <c r="L23" s="101">
        <v>468.3</v>
      </c>
      <c r="N23" s="117" t="s">
        <v>203</v>
      </c>
      <c r="O23" s="127">
        <f>IF(P23=0,0,Q23/P23)</f>
        <v>23.1</v>
      </c>
      <c r="P23" s="121">
        <v>1</v>
      </c>
      <c r="Q23" s="109">
        <v>23.1</v>
      </c>
    </row>
    <row r="24" spans="1:17" x14ac:dyDescent="0.4">
      <c r="A24" s="57" t="s">
        <v>14</v>
      </c>
      <c r="B24" s="52">
        <f>IF(B$20=0,0,C24/B$20)</f>
        <v>-7740</v>
      </c>
      <c r="C24" s="45">
        <v>-503100</v>
      </c>
      <c r="E24" s="63" t="s">
        <v>91</v>
      </c>
      <c r="F24" s="60" t="s">
        <v>46</v>
      </c>
      <c r="G24" s="47">
        <v>1</v>
      </c>
      <c r="H24" s="135">
        <f>IF(B$17=0,0,G24/B$17)</f>
        <v>5.0505050505050509E-3</v>
      </c>
      <c r="I24" s="96">
        <v>1</v>
      </c>
      <c r="K24" s="38">
        <v>22</v>
      </c>
      <c r="L24" s="101">
        <v>519.20000000000005</v>
      </c>
    </row>
    <row r="25" spans="1:17" x14ac:dyDescent="0.4">
      <c r="A25" s="92" t="s">
        <v>142</v>
      </c>
      <c r="B25" s="142">
        <v>7</v>
      </c>
      <c r="C25" s="143"/>
      <c r="E25" s="63" t="s">
        <v>93</v>
      </c>
      <c r="F25" s="60" t="s">
        <v>48</v>
      </c>
      <c r="G25" s="47">
        <v>1</v>
      </c>
      <c r="H25" s="135">
        <f>IF(B$17=0,0,G25/B$17)</f>
        <v>5.0505050505050509E-3</v>
      </c>
      <c r="I25" s="96">
        <v>3</v>
      </c>
      <c r="K25" s="38">
        <v>23</v>
      </c>
      <c r="L25" s="101">
        <v>555.90000000000009</v>
      </c>
    </row>
    <row r="26" spans="1:17" x14ac:dyDescent="0.4">
      <c r="A26" s="58" t="s">
        <v>152</v>
      </c>
      <c r="B26" s="140">
        <v>116000</v>
      </c>
      <c r="C26" s="141"/>
      <c r="E26" s="63" t="s">
        <v>94</v>
      </c>
      <c r="F26" s="60" t="s">
        <v>49</v>
      </c>
      <c r="G26" s="47">
        <v>1</v>
      </c>
      <c r="H26" s="135">
        <f>IF(B$17=0,0,G26/B$17)</f>
        <v>5.0505050505050509E-3</v>
      </c>
      <c r="I26" s="96">
        <v>1</v>
      </c>
      <c r="K26" s="38">
        <v>24</v>
      </c>
      <c r="L26" s="101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96</v>
      </c>
      <c r="F27" s="60" t="s">
        <v>51</v>
      </c>
      <c r="G27" s="47">
        <v>1</v>
      </c>
      <c r="H27" s="135">
        <f>IF(B$17=0,0,G27/B$17)</f>
        <v>5.0505050505050509E-3</v>
      </c>
      <c r="I27" s="96">
        <v>1</v>
      </c>
      <c r="K27" s="38">
        <v>25</v>
      </c>
      <c r="L27" s="101">
        <v>655.20000000000005</v>
      </c>
    </row>
    <row r="28" spans="1:17" x14ac:dyDescent="0.4">
      <c r="E28" s="63" t="s">
        <v>75</v>
      </c>
      <c r="F28" s="60" t="s">
        <v>30</v>
      </c>
      <c r="G28" s="47">
        <v>0</v>
      </c>
      <c r="H28" s="135">
        <f>IF(B$17=0,0,G28/B$17)</f>
        <v>0</v>
      </c>
      <c r="I28" s="96">
        <v>3</v>
      </c>
      <c r="K28" s="38">
        <v>26</v>
      </c>
      <c r="L28" s="101">
        <v>625.40000000000009</v>
      </c>
    </row>
    <row r="29" spans="1:17" x14ac:dyDescent="0.4">
      <c r="E29" s="63" t="s">
        <v>77</v>
      </c>
      <c r="F29" s="60" t="s">
        <v>32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596.30000000000007</v>
      </c>
    </row>
    <row r="30" spans="1:17" x14ac:dyDescent="0.4">
      <c r="E30" s="63" t="s">
        <v>81</v>
      </c>
      <c r="F30" s="60" t="s">
        <v>36</v>
      </c>
      <c r="G30" s="47">
        <v>0</v>
      </c>
      <c r="H30" s="135">
        <f>IF(B$17=0,0,G30/B$17)</f>
        <v>0</v>
      </c>
      <c r="I30" s="96">
        <v>1</v>
      </c>
      <c r="K30" s="38">
        <v>28</v>
      </c>
      <c r="L30" s="101">
        <v>655.6</v>
      </c>
    </row>
    <row r="31" spans="1:17" x14ac:dyDescent="0.4">
      <c r="E31" s="63" t="s">
        <v>83</v>
      </c>
      <c r="F31" s="60" t="s">
        <v>38</v>
      </c>
      <c r="G31" s="47">
        <v>0</v>
      </c>
      <c r="H31" s="135">
        <f>IF(B$17=0,0,G31/B$17)</f>
        <v>0</v>
      </c>
      <c r="I31" s="96">
        <v>1</v>
      </c>
      <c r="K31" s="38">
        <v>29</v>
      </c>
      <c r="L31" s="101">
        <v>703.1</v>
      </c>
    </row>
    <row r="32" spans="1:17" x14ac:dyDescent="0.4">
      <c r="E32" s="63" t="s">
        <v>85</v>
      </c>
      <c r="F32" s="60" t="s">
        <v>40</v>
      </c>
      <c r="G32" s="47">
        <v>0</v>
      </c>
      <c r="H32" s="135">
        <f>IF(B$17=0,0,G32/B$17)</f>
        <v>0</v>
      </c>
      <c r="I32" s="96">
        <v>3</v>
      </c>
      <c r="K32" s="38">
        <v>30</v>
      </c>
      <c r="L32" s="101">
        <v>733.6</v>
      </c>
    </row>
    <row r="33" spans="5:12" x14ac:dyDescent="0.4">
      <c r="E33" s="63" t="s">
        <v>86</v>
      </c>
      <c r="F33" s="60" t="s">
        <v>41</v>
      </c>
      <c r="G33" s="47">
        <v>0</v>
      </c>
      <c r="H33" s="135">
        <f>IF(B$17=0,0,G33/B$17)</f>
        <v>0</v>
      </c>
      <c r="I33" s="96">
        <v>3</v>
      </c>
      <c r="K33" s="38">
        <v>31</v>
      </c>
      <c r="L33" s="101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5">
        <f>IF(B$17=0,0,G34/B$17)</f>
        <v>0</v>
      </c>
      <c r="I34" s="96">
        <v>4</v>
      </c>
      <c r="K34" s="38">
        <v>32</v>
      </c>
      <c r="L34" s="101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  <c r="K51" s="38">
        <v>49</v>
      </c>
      <c r="L51" s="101">
        <v>1289.8999999999999</v>
      </c>
    </row>
    <row r="52" spans="5:12" x14ac:dyDescent="0.4">
      <c r="K52" s="38">
        <v>50</v>
      </c>
      <c r="L52" s="101">
        <v>1288.5999999999999</v>
      </c>
    </row>
    <row r="53" spans="5:12" x14ac:dyDescent="0.4">
      <c r="K53" s="38">
        <v>51</v>
      </c>
      <c r="L53" s="101">
        <v>1284.5</v>
      </c>
    </row>
    <row r="54" spans="5:12" x14ac:dyDescent="0.4">
      <c r="K54" s="38">
        <v>52</v>
      </c>
      <c r="L54" s="101">
        <v>1318.2</v>
      </c>
    </row>
    <row r="55" spans="5:12" x14ac:dyDescent="0.4">
      <c r="K55" s="38">
        <v>53</v>
      </c>
      <c r="L55" s="101">
        <v>1374.2</v>
      </c>
    </row>
    <row r="56" spans="5:12" x14ac:dyDescent="0.4">
      <c r="K56" s="38">
        <v>54</v>
      </c>
      <c r="L56" s="101">
        <v>1316.2</v>
      </c>
    </row>
    <row r="57" spans="5:12" x14ac:dyDescent="0.4">
      <c r="K57" s="38">
        <v>55</v>
      </c>
      <c r="L57" s="101">
        <v>1417.2</v>
      </c>
    </row>
    <row r="58" spans="5:12" x14ac:dyDescent="0.4">
      <c r="K58" s="38">
        <v>56</v>
      </c>
      <c r="L58" s="101">
        <v>1510.1000000000001</v>
      </c>
    </row>
    <row r="59" spans="5:12" x14ac:dyDescent="0.4">
      <c r="K59" s="38">
        <v>57</v>
      </c>
      <c r="L59" s="101">
        <v>1479.8000000000002</v>
      </c>
    </row>
    <row r="60" spans="5:12" x14ac:dyDescent="0.4">
      <c r="K60" s="38">
        <v>58</v>
      </c>
      <c r="L60" s="101">
        <v>1509.2000000000003</v>
      </c>
    </row>
    <row r="61" spans="5:12" x14ac:dyDescent="0.4">
      <c r="K61" s="38">
        <v>59</v>
      </c>
      <c r="L61" s="101">
        <v>1518.2000000000003</v>
      </c>
    </row>
    <row r="62" spans="5:12" x14ac:dyDescent="0.4">
      <c r="K62" s="38">
        <v>60</v>
      </c>
      <c r="L62" s="101">
        <v>1549.0000000000002</v>
      </c>
    </row>
    <row r="63" spans="5:12" x14ac:dyDescent="0.4">
      <c r="K63" s="38">
        <v>61</v>
      </c>
      <c r="L63" s="101">
        <v>1585.4000000000003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CA727-DF41-40D9-AD6B-6479B9B6C2F4}">
  <sheetPr codeName="Sheet9"/>
  <dimension ref="A1:Q6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128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62</v>
      </c>
      <c r="C2" s="149"/>
      <c r="E2" s="62" t="s">
        <v>67</v>
      </c>
      <c r="F2" s="59" t="s">
        <v>23</v>
      </c>
      <c r="G2" s="46">
        <v>99</v>
      </c>
      <c r="H2" s="134">
        <f>IF(B$17=0,0,G2/B$17)</f>
        <v>0.69230769230769229</v>
      </c>
      <c r="I2" s="95">
        <v>9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1103.2258064516129</v>
      </c>
      <c r="P2" s="120">
        <v>62</v>
      </c>
      <c r="Q2" s="104">
        <v>68400</v>
      </c>
    </row>
    <row r="3" spans="1:17" x14ac:dyDescent="0.4">
      <c r="A3" s="55" t="s">
        <v>8</v>
      </c>
      <c r="B3" s="150">
        <v>510</v>
      </c>
      <c r="C3" s="151"/>
      <c r="E3" s="63" t="s">
        <v>65</v>
      </c>
      <c r="F3" s="60" t="s">
        <v>21</v>
      </c>
      <c r="G3" s="47">
        <v>81</v>
      </c>
      <c r="H3" s="135">
        <f>IF(B$17=0,0,G3/B$17)</f>
        <v>0.56643356643356646</v>
      </c>
      <c r="I3" s="96">
        <v>4</v>
      </c>
      <c r="K3" s="38">
        <v>1</v>
      </c>
      <c r="L3" s="101">
        <v>45.5</v>
      </c>
      <c r="N3" s="117" t="s">
        <v>133</v>
      </c>
      <c r="O3" s="124">
        <f t="shared" si="0"/>
        <v>-1524.5901639344263</v>
      </c>
      <c r="P3" s="121">
        <v>61</v>
      </c>
      <c r="Q3" s="105">
        <v>-93000</v>
      </c>
    </row>
    <row r="4" spans="1:17" x14ac:dyDescent="0.4">
      <c r="A4" s="55" t="s">
        <v>6</v>
      </c>
      <c r="B4" s="152">
        <v>-97.200000000000045</v>
      </c>
      <c r="C4" s="153"/>
      <c r="E4" s="63" t="s">
        <v>73</v>
      </c>
      <c r="F4" s="60" t="s">
        <v>28</v>
      </c>
      <c r="G4" s="47">
        <v>65</v>
      </c>
      <c r="H4" s="135">
        <f>IF(B$17=0,0,G4/B$17)</f>
        <v>0.45454545454545453</v>
      </c>
      <c r="I4" s="96">
        <v>10</v>
      </c>
      <c r="K4" s="38">
        <v>2</v>
      </c>
      <c r="L4" s="101">
        <v>6.2999999999999972</v>
      </c>
      <c r="N4" s="117" t="s">
        <v>134</v>
      </c>
      <c r="O4" s="124">
        <f t="shared" si="0"/>
        <v>-1910.1694915254238</v>
      </c>
      <c r="P4" s="121">
        <v>59</v>
      </c>
      <c r="Q4" s="105">
        <v>-112700</v>
      </c>
    </row>
    <row r="5" spans="1:17" x14ac:dyDescent="0.4">
      <c r="A5" s="55" t="s">
        <v>7</v>
      </c>
      <c r="B5" s="154">
        <f>IF(B$2=0,0,B$4/B$2)</f>
        <v>-1.5677419354838718</v>
      </c>
      <c r="C5" s="155"/>
      <c r="E5" s="63" t="s">
        <v>182</v>
      </c>
      <c r="F5" s="60" t="s">
        <v>183</v>
      </c>
      <c r="G5" s="47">
        <v>59</v>
      </c>
      <c r="H5" s="135">
        <f>IF(B$17=0,0,G5/B$17)</f>
        <v>0.41258741258741261</v>
      </c>
      <c r="I5" s="96">
        <v>3</v>
      </c>
      <c r="K5" s="38">
        <v>3</v>
      </c>
      <c r="L5" s="101">
        <v>-47.300000000000004</v>
      </c>
      <c r="N5" s="117" t="s">
        <v>135</v>
      </c>
      <c r="O5" s="124">
        <f t="shared" si="0"/>
        <v>184.61538461538461</v>
      </c>
      <c r="P5" s="121">
        <v>52</v>
      </c>
      <c r="Q5" s="105">
        <v>9600</v>
      </c>
    </row>
    <row r="6" spans="1:17" x14ac:dyDescent="0.4">
      <c r="A6" s="55" t="s">
        <v>1</v>
      </c>
      <c r="B6" s="144">
        <f>IF(B$2=0,0,(B$7*1+B$8*2+B$9*3)/B$2)</f>
        <v>2.0483870967741935</v>
      </c>
      <c r="C6" s="145"/>
      <c r="E6" s="63" t="s">
        <v>68</v>
      </c>
      <c r="F6" s="60" t="s">
        <v>24</v>
      </c>
      <c r="G6" s="47">
        <v>51</v>
      </c>
      <c r="H6" s="135">
        <f>IF(B$17=0,0,G6/B$17)</f>
        <v>0.35664335664335667</v>
      </c>
      <c r="I6" s="96">
        <v>4</v>
      </c>
      <c r="K6" s="38">
        <v>4</v>
      </c>
      <c r="L6" s="101">
        <v>13.599999999999994</v>
      </c>
      <c r="N6" s="117" t="s">
        <v>136</v>
      </c>
      <c r="O6" s="124">
        <f t="shared" si="0"/>
        <v>1227.0833333333333</v>
      </c>
      <c r="P6" s="121">
        <v>48</v>
      </c>
      <c r="Q6" s="105">
        <v>58900</v>
      </c>
    </row>
    <row r="7" spans="1:17" x14ac:dyDescent="0.4">
      <c r="A7" s="55" t="s">
        <v>2</v>
      </c>
      <c r="B7" s="47">
        <v>16</v>
      </c>
      <c r="C7" s="39">
        <f>IF(B$2=0,0,B7/B$2)</f>
        <v>0.25806451612903225</v>
      </c>
      <c r="E7" s="63" t="s">
        <v>69</v>
      </c>
      <c r="F7" s="60" t="s">
        <v>12</v>
      </c>
      <c r="G7" s="47">
        <v>48</v>
      </c>
      <c r="H7" s="135">
        <f>IF(B$17=0,0,G7/B$17)</f>
        <v>0.33566433566433568</v>
      </c>
      <c r="I7" s="96">
        <v>4</v>
      </c>
      <c r="K7" s="38">
        <v>5</v>
      </c>
      <c r="L7" s="101">
        <v>-16.600000000000005</v>
      </c>
      <c r="N7" s="118" t="s">
        <v>137</v>
      </c>
      <c r="O7" s="125">
        <f t="shared" si="0"/>
        <v>702.22222222222217</v>
      </c>
      <c r="P7" s="122">
        <v>45</v>
      </c>
      <c r="Q7" s="106">
        <v>31600</v>
      </c>
    </row>
    <row r="8" spans="1:17" x14ac:dyDescent="0.4">
      <c r="A8" s="55" t="s">
        <v>3</v>
      </c>
      <c r="B8" s="47">
        <v>27</v>
      </c>
      <c r="C8" s="39">
        <f>IF(B$2=0,0,B8/B$2)</f>
        <v>0.43548387096774194</v>
      </c>
      <c r="E8" s="63" t="s">
        <v>70</v>
      </c>
      <c r="F8" s="60" t="s">
        <v>25</v>
      </c>
      <c r="G8" s="47">
        <v>31</v>
      </c>
      <c r="H8" s="135">
        <f>IF(B$17=0,0,G8/B$17)</f>
        <v>0.21678321678321677</v>
      </c>
      <c r="I8" s="96">
        <v>2</v>
      </c>
      <c r="K8" s="38">
        <v>6</v>
      </c>
      <c r="L8" s="101">
        <v>-14.000000000000005</v>
      </c>
      <c r="N8" s="43"/>
      <c r="O8" s="129"/>
      <c r="P8" s="113"/>
      <c r="Q8" s="111"/>
    </row>
    <row r="9" spans="1:17" x14ac:dyDescent="0.4">
      <c r="A9" s="56" t="s">
        <v>4</v>
      </c>
      <c r="B9" s="48">
        <v>19</v>
      </c>
      <c r="C9" s="40">
        <f t="shared" ref="C9" si="1">IF(B$2=0,0,B9/B$2)</f>
        <v>0.30645161290322581</v>
      </c>
      <c r="E9" s="63" t="s">
        <v>66</v>
      </c>
      <c r="F9" s="60" t="s">
        <v>22</v>
      </c>
      <c r="G9" s="47">
        <v>21</v>
      </c>
      <c r="H9" s="135">
        <f>IF(B$17=0,0,G9/B$17)</f>
        <v>0.14685314685314685</v>
      </c>
      <c r="I9" s="96">
        <v>2</v>
      </c>
      <c r="K9" s="38">
        <v>7</v>
      </c>
      <c r="L9" s="101">
        <v>-45.300000000000004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0.12903225806451613</v>
      </c>
      <c r="E10" s="63" t="s">
        <v>71</v>
      </c>
      <c r="F10" s="60" t="s">
        <v>26</v>
      </c>
      <c r="G10" s="47">
        <v>20</v>
      </c>
      <c r="H10" s="135">
        <f>IF(B$17=0,0,G10/B$17)</f>
        <v>0.13986013986013987</v>
      </c>
      <c r="I10" s="96">
        <v>2</v>
      </c>
      <c r="K10" s="38">
        <v>8</v>
      </c>
      <c r="L10" s="101">
        <v>-49.6</v>
      </c>
      <c r="N10" s="116" t="s">
        <v>165</v>
      </c>
      <c r="O10" s="126">
        <f>IF(P10=0,0,Q10/P10)</f>
        <v>-4.580000000000001</v>
      </c>
      <c r="P10" s="120">
        <v>30</v>
      </c>
      <c r="Q10" s="108">
        <v>-137.40000000000003</v>
      </c>
    </row>
    <row r="11" spans="1:17" x14ac:dyDescent="0.4">
      <c r="A11" s="56" t="s">
        <v>140</v>
      </c>
      <c r="B11" s="48">
        <v>5</v>
      </c>
      <c r="C11" s="40">
        <f>IF(B$2=0,0,B11/B$2)</f>
        <v>8.0645161290322578E-2</v>
      </c>
      <c r="E11" s="63" t="s">
        <v>90</v>
      </c>
      <c r="F11" s="60" t="s">
        <v>45</v>
      </c>
      <c r="G11" s="47">
        <v>16</v>
      </c>
      <c r="H11" s="135">
        <f>IF(B$17=0,0,G11/B$17)</f>
        <v>0.11188811188811189</v>
      </c>
      <c r="I11" s="96">
        <v>9</v>
      </c>
      <c r="K11" s="38">
        <v>9</v>
      </c>
      <c r="L11" s="101">
        <v>-79.5</v>
      </c>
      <c r="N11" s="117" t="s">
        <v>166</v>
      </c>
      <c r="O11" s="127">
        <f>IF(P11=0,0,Q11/P11)</f>
        <v>-9.0833333333333321</v>
      </c>
      <c r="P11" s="121">
        <v>18</v>
      </c>
      <c r="Q11" s="109">
        <v>-163.49999999999997</v>
      </c>
    </row>
    <row r="12" spans="1:17" x14ac:dyDescent="0.4">
      <c r="A12" s="57" t="s">
        <v>160</v>
      </c>
      <c r="B12" s="49">
        <v>4</v>
      </c>
      <c r="C12" s="42">
        <f>IF(B$2=0,0,B12/B$2)</f>
        <v>6.4516129032258063E-2</v>
      </c>
      <c r="E12" s="63" t="s">
        <v>87</v>
      </c>
      <c r="F12" s="60" t="s">
        <v>42</v>
      </c>
      <c r="G12" s="47">
        <v>9</v>
      </c>
      <c r="H12" s="135">
        <f>IF(B$17=0,0,G12/B$17)</f>
        <v>6.2937062937062943E-2</v>
      </c>
      <c r="I12" s="96">
        <v>6</v>
      </c>
      <c r="K12" s="38">
        <v>10</v>
      </c>
      <c r="L12" s="101">
        <v>-80.900000000000006</v>
      </c>
      <c r="N12" s="118" t="s">
        <v>167</v>
      </c>
      <c r="O12" s="128">
        <f>IF(P12=0,0,Q12/P12)</f>
        <v>14.55</v>
      </c>
      <c r="P12" s="122">
        <v>14</v>
      </c>
      <c r="Q12" s="110">
        <v>203.70000000000002</v>
      </c>
    </row>
    <row r="13" spans="1:17" x14ac:dyDescent="0.4">
      <c r="A13" s="58" t="s">
        <v>122</v>
      </c>
      <c r="B13" s="50">
        <v>137</v>
      </c>
      <c r="C13" s="44">
        <f>IF(B$3=0,0,B13/B$3)</f>
        <v>0.26862745098039215</v>
      </c>
      <c r="E13" s="63" t="s">
        <v>82</v>
      </c>
      <c r="F13" s="60" t="s">
        <v>37</v>
      </c>
      <c r="G13" s="47">
        <v>7</v>
      </c>
      <c r="H13" s="135">
        <f>IF(B$17=0,0,G13/B$17)</f>
        <v>4.8951048951048952E-2</v>
      </c>
      <c r="I13" s="96">
        <v>2</v>
      </c>
      <c r="K13" s="38">
        <v>11</v>
      </c>
      <c r="L13" s="101">
        <v>-53.100000000000009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100</v>
      </c>
      <c r="C14" s="39">
        <f>IF(B$3=0,0,B14/B$3)</f>
        <v>0.19607843137254902</v>
      </c>
      <c r="E14" s="63" t="s">
        <v>72</v>
      </c>
      <c r="F14" s="60" t="s">
        <v>27</v>
      </c>
      <c r="G14" s="47">
        <v>5</v>
      </c>
      <c r="H14" s="135">
        <f>IF(B$17=0,0,G14/B$17)</f>
        <v>3.4965034965034968E-2</v>
      </c>
      <c r="I14" s="96">
        <v>7</v>
      </c>
      <c r="K14" s="38">
        <v>12</v>
      </c>
      <c r="L14" s="101">
        <v>-56.500000000000007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86</v>
      </c>
      <c r="C15" s="37">
        <f>IF(B$13=0,0,B15/B$13)</f>
        <v>0.62773722627737227</v>
      </c>
      <c r="E15" s="63" t="s">
        <v>84</v>
      </c>
      <c r="F15" s="60" t="s">
        <v>39</v>
      </c>
      <c r="G15" s="47">
        <v>5</v>
      </c>
      <c r="H15" s="135">
        <f>IF(B$17=0,0,G15/B$17)</f>
        <v>3.4965034965034968E-2</v>
      </c>
      <c r="I15" s="96">
        <v>6</v>
      </c>
      <c r="K15" s="38">
        <v>13</v>
      </c>
      <c r="L15" s="101">
        <v>-81.900000000000006</v>
      </c>
      <c r="N15" s="116" t="s">
        <v>187</v>
      </c>
      <c r="O15" s="126">
        <f>IF(P15=0,0,Q15/P15)</f>
        <v>64.425000000000011</v>
      </c>
      <c r="P15" s="120">
        <v>4</v>
      </c>
      <c r="Q15" s="108">
        <v>257.70000000000005</v>
      </c>
    </row>
    <row r="16" spans="1:17" x14ac:dyDescent="0.4">
      <c r="A16" s="54" t="s">
        <v>125</v>
      </c>
      <c r="B16" s="46">
        <v>27</v>
      </c>
      <c r="C16" s="37">
        <f>IF(B$14=0,0,B16/B$14)</f>
        <v>0.27</v>
      </c>
      <c r="E16" s="63" t="s">
        <v>92</v>
      </c>
      <c r="F16" s="60" t="s">
        <v>47</v>
      </c>
      <c r="G16" s="47">
        <v>5</v>
      </c>
      <c r="H16" s="135">
        <f>IF(B$17=0,0,G16/B$17)</f>
        <v>3.4965034965034968E-2</v>
      </c>
      <c r="I16" s="96">
        <v>2</v>
      </c>
      <c r="K16" s="38">
        <v>14</v>
      </c>
      <c r="L16" s="101">
        <v>-25.600000000000009</v>
      </c>
      <c r="N16" s="117" t="s">
        <v>129</v>
      </c>
      <c r="O16" s="127">
        <f>IF(P16=0,0,Q16/P16)</f>
        <v>23.638888888888886</v>
      </c>
      <c r="P16" s="121">
        <v>18</v>
      </c>
      <c r="Q16" s="109">
        <v>425.49999999999994</v>
      </c>
    </row>
    <row r="17" spans="1:17" x14ac:dyDescent="0.4">
      <c r="A17" s="54" t="s">
        <v>10</v>
      </c>
      <c r="B17" s="46">
        <f>B19+B18</f>
        <v>143</v>
      </c>
      <c r="C17" s="37">
        <f>IF(B$3=0,0,B17/B$3)</f>
        <v>0.2803921568627451</v>
      </c>
      <c r="E17" s="63" t="s">
        <v>181</v>
      </c>
      <c r="F17" s="60" t="s">
        <v>184</v>
      </c>
      <c r="G17" s="47">
        <v>3</v>
      </c>
      <c r="H17" s="135">
        <f>IF(B$17=0,0,G17/B$17)</f>
        <v>2.097902097902098E-2</v>
      </c>
      <c r="I17" s="96">
        <v>2</v>
      </c>
      <c r="K17" s="38">
        <v>15</v>
      </c>
      <c r="L17" s="101">
        <v>47.999999999999986</v>
      </c>
      <c r="N17" s="117" t="s">
        <v>172</v>
      </c>
      <c r="O17" s="127">
        <f>IF(P17=0,0,Q17/P17)</f>
        <v>16.305555555555564</v>
      </c>
      <c r="P17" s="121">
        <v>18</v>
      </c>
      <c r="Q17" s="109">
        <v>293.50000000000017</v>
      </c>
    </row>
    <row r="18" spans="1:17" x14ac:dyDescent="0.4">
      <c r="A18" s="55" t="s">
        <v>12</v>
      </c>
      <c r="B18" s="47">
        <v>58</v>
      </c>
      <c r="C18" s="39">
        <f>IF(B$17=0,0,B18/B$17)</f>
        <v>0.40559440559440557</v>
      </c>
      <c r="E18" s="63" t="s">
        <v>75</v>
      </c>
      <c r="F18" s="60" t="s">
        <v>30</v>
      </c>
      <c r="G18" s="47">
        <v>2</v>
      </c>
      <c r="H18" s="135">
        <f>IF(B$17=0,0,G18/B$17)</f>
        <v>1.3986013986013986E-2</v>
      </c>
      <c r="I18" s="96">
        <v>1</v>
      </c>
      <c r="K18" s="38">
        <v>16</v>
      </c>
      <c r="L18" s="101">
        <v>41.699999999999989</v>
      </c>
      <c r="N18" s="117" t="s">
        <v>174</v>
      </c>
      <c r="O18" s="127">
        <f>IF(P18=0,0,Q18/P18)</f>
        <v>4.9499999999999984</v>
      </c>
      <c r="P18" s="121">
        <v>14</v>
      </c>
      <c r="Q18" s="109">
        <v>69.299999999999983</v>
      </c>
    </row>
    <row r="19" spans="1:17" x14ac:dyDescent="0.4">
      <c r="A19" s="55" t="s">
        <v>11</v>
      </c>
      <c r="B19" s="47">
        <v>85</v>
      </c>
      <c r="C19" s="39">
        <f>IF(B$17=0,0,B19/B$17)</f>
        <v>0.59440559440559437</v>
      </c>
      <c r="E19" s="63" t="s">
        <v>76</v>
      </c>
      <c r="F19" s="60" t="s">
        <v>31</v>
      </c>
      <c r="G19" s="47">
        <v>2</v>
      </c>
      <c r="H19" s="135">
        <f>IF(B$17=0,0,G19/B$17)</f>
        <v>1.3986013986013986E-2</v>
      </c>
      <c r="I19" s="96">
        <v>3</v>
      </c>
      <c r="K19" s="38">
        <v>17</v>
      </c>
      <c r="L19" s="101">
        <v>94.6</v>
      </c>
      <c r="N19" s="117" t="s">
        <v>173</v>
      </c>
      <c r="O19" s="127">
        <f>IF(P19=0,0,Q19/P19)</f>
        <v>0.62307692307692375</v>
      </c>
      <c r="P19" s="121">
        <v>13</v>
      </c>
      <c r="Q19" s="109">
        <v>8.1000000000000085</v>
      </c>
    </row>
    <row r="20" spans="1:17" x14ac:dyDescent="0.4">
      <c r="A20" s="55" t="s">
        <v>13</v>
      </c>
      <c r="B20" s="47">
        <v>89</v>
      </c>
      <c r="C20" s="39">
        <f>IF(B$3=0,0,B20/B$3)</f>
        <v>0.17450980392156862</v>
      </c>
      <c r="E20" s="63" t="s">
        <v>80</v>
      </c>
      <c r="F20" s="60" t="s">
        <v>35</v>
      </c>
      <c r="G20" s="47">
        <v>2</v>
      </c>
      <c r="H20" s="135">
        <f>IF(B$17=0,0,G20/B$17)</f>
        <v>1.3986013986013986E-2</v>
      </c>
      <c r="I20" s="96">
        <v>3</v>
      </c>
      <c r="K20" s="38">
        <v>18</v>
      </c>
      <c r="L20" s="101">
        <v>116.69999999999999</v>
      </c>
      <c r="N20" s="117" t="s">
        <v>178</v>
      </c>
      <c r="O20" s="127">
        <f>IF(P20=0,0,Q20/P20)</f>
        <v>-0.75</v>
      </c>
      <c r="P20" s="121">
        <v>10</v>
      </c>
      <c r="Q20" s="109">
        <v>-7.5</v>
      </c>
    </row>
    <row r="21" spans="1:17" x14ac:dyDescent="0.4">
      <c r="A21" s="55" t="s">
        <v>194</v>
      </c>
      <c r="B21" s="47">
        <v>5</v>
      </c>
      <c r="C21" s="137">
        <v>0</v>
      </c>
      <c r="E21" s="63" t="s">
        <v>74</v>
      </c>
      <c r="F21" s="60" t="s">
        <v>29</v>
      </c>
      <c r="G21" s="47">
        <v>1</v>
      </c>
      <c r="H21" s="135">
        <f>IF(B$17=0,0,G21/B$17)</f>
        <v>6.993006993006993E-3</v>
      </c>
      <c r="I21" s="96">
        <v>3</v>
      </c>
      <c r="K21" s="38">
        <v>19</v>
      </c>
      <c r="L21" s="101">
        <v>138.79999999999998</v>
      </c>
      <c r="N21" s="117" t="s">
        <v>127</v>
      </c>
      <c r="O21" s="127">
        <f>IF(P21=0,0,Q21/P21)</f>
        <v>-28.472340425531922</v>
      </c>
      <c r="P21" s="121">
        <v>47</v>
      </c>
      <c r="Q21" s="109">
        <v>-1338.2000000000003</v>
      </c>
    </row>
    <row r="22" spans="1:17" x14ac:dyDescent="0.4">
      <c r="A22" s="55" t="s">
        <v>195</v>
      </c>
      <c r="B22" s="47">
        <v>24</v>
      </c>
      <c r="C22" s="137">
        <v>0</v>
      </c>
      <c r="E22" s="63" t="s">
        <v>78</v>
      </c>
      <c r="F22" s="60" t="s">
        <v>33</v>
      </c>
      <c r="G22" s="47">
        <v>1</v>
      </c>
      <c r="H22" s="135">
        <f>IF(B$17=0,0,G22/B$17)</f>
        <v>6.993006993006993E-3</v>
      </c>
      <c r="I22" s="96">
        <v>1</v>
      </c>
      <c r="K22" s="38">
        <v>20</v>
      </c>
      <c r="L22" s="101">
        <v>164.49999999999997</v>
      </c>
    </row>
    <row r="23" spans="1:17" x14ac:dyDescent="0.4">
      <c r="A23" s="55" t="s">
        <v>5</v>
      </c>
      <c r="B23" s="51">
        <f>IF(B$17=0,0,C23/B$17)</f>
        <v>9083.9160839160832</v>
      </c>
      <c r="C23" s="41">
        <v>1299000</v>
      </c>
      <c r="E23" s="63" t="s">
        <v>79</v>
      </c>
      <c r="F23" s="60" t="s">
        <v>34</v>
      </c>
      <c r="G23" s="47">
        <v>1</v>
      </c>
      <c r="H23" s="135">
        <f>IF(B$17=0,0,G23/B$17)</f>
        <v>6.993006993006993E-3</v>
      </c>
      <c r="I23" s="96">
        <v>7</v>
      </c>
      <c r="K23" s="38">
        <v>21</v>
      </c>
      <c r="L23" s="101">
        <v>204.09999999999997</v>
      </c>
    </row>
    <row r="24" spans="1:17" x14ac:dyDescent="0.4">
      <c r="A24" s="57" t="s">
        <v>14</v>
      </c>
      <c r="B24" s="52">
        <f>IF(B$20=0,0,C24/B$20)</f>
        <v>-7253.9325842696626</v>
      </c>
      <c r="C24" s="45">
        <v>-645600</v>
      </c>
      <c r="E24" s="63" t="s">
        <v>85</v>
      </c>
      <c r="F24" s="60" t="s">
        <v>40</v>
      </c>
      <c r="G24" s="47">
        <v>1</v>
      </c>
      <c r="H24" s="135">
        <f>IF(B$17=0,0,G24/B$17)</f>
        <v>6.993006993006993E-3</v>
      </c>
      <c r="I24" s="96">
        <v>1</v>
      </c>
      <c r="K24" s="38">
        <v>22</v>
      </c>
      <c r="L24" s="101">
        <v>239.39999999999998</v>
      </c>
    </row>
    <row r="25" spans="1:17" x14ac:dyDescent="0.4">
      <c r="A25" s="92" t="s">
        <v>142</v>
      </c>
      <c r="B25" s="142">
        <v>7</v>
      </c>
      <c r="C25" s="143"/>
      <c r="E25" s="63" t="s">
        <v>89</v>
      </c>
      <c r="F25" s="60" t="s">
        <v>44</v>
      </c>
      <c r="G25" s="47">
        <v>1</v>
      </c>
      <c r="H25" s="135">
        <f>IF(B$17=0,0,G25/B$17)</f>
        <v>6.993006993006993E-3</v>
      </c>
      <c r="I25" s="96">
        <v>2</v>
      </c>
      <c r="K25" s="38">
        <v>23</v>
      </c>
      <c r="L25" s="101">
        <v>245.49999999999997</v>
      </c>
    </row>
    <row r="26" spans="1:17" x14ac:dyDescent="0.4">
      <c r="A26" s="58" t="s">
        <v>152</v>
      </c>
      <c r="B26" s="140">
        <v>94000</v>
      </c>
      <c r="C26" s="141"/>
      <c r="E26" s="63" t="s">
        <v>93</v>
      </c>
      <c r="F26" s="60" t="s">
        <v>48</v>
      </c>
      <c r="G26" s="47">
        <v>1</v>
      </c>
      <c r="H26" s="135">
        <f>IF(B$17=0,0,G26/B$17)</f>
        <v>6.993006993006993E-3</v>
      </c>
      <c r="I26" s="96">
        <v>2</v>
      </c>
      <c r="K26" s="38">
        <v>24</v>
      </c>
      <c r="L26" s="101">
        <v>240.39999999999998</v>
      </c>
    </row>
    <row r="27" spans="1:17" x14ac:dyDescent="0.4">
      <c r="A27" s="57" t="s">
        <v>143</v>
      </c>
      <c r="B27" s="65">
        <v>4</v>
      </c>
      <c r="C27" s="42">
        <f>IF(B$3=0,0,B27/B$3)</f>
        <v>7.8431372549019607E-3</v>
      </c>
      <c r="E27" s="63" t="s">
        <v>77</v>
      </c>
      <c r="F27" s="60" t="s">
        <v>32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245.59999999999997</v>
      </c>
    </row>
    <row r="28" spans="1:17" x14ac:dyDescent="0.4">
      <c r="E28" s="63" t="s">
        <v>81</v>
      </c>
      <c r="F28" s="60" t="s">
        <v>36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237.69999999999996</v>
      </c>
    </row>
    <row r="29" spans="1:17" x14ac:dyDescent="0.4">
      <c r="E29" s="63" t="s">
        <v>83</v>
      </c>
      <c r="F29" s="60" t="s">
        <v>38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236.69999999999996</v>
      </c>
    </row>
    <row r="30" spans="1:17" x14ac:dyDescent="0.4">
      <c r="E30" s="63" t="s">
        <v>86</v>
      </c>
      <c r="F30" s="60" t="s">
        <v>41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191.39999999999998</v>
      </c>
    </row>
    <row r="31" spans="1:17" x14ac:dyDescent="0.4">
      <c r="E31" s="63" t="s">
        <v>88</v>
      </c>
      <c r="F31" s="60" t="s">
        <v>43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182.49999999999997</v>
      </c>
    </row>
    <row r="32" spans="1:17" x14ac:dyDescent="0.4">
      <c r="E32" s="63" t="s">
        <v>91</v>
      </c>
      <c r="F32" s="60" t="s">
        <v>46</v>
      </c>
      <c r="G32" s="47">
        <v>0</v>
      </c>
      <c r="H32" s="135">
        <f>IF(B$17=0,0,G32/B$17)</f>
        <v>0</v>
      </c>
      <c r="I32" s="96">
        <v>3</v>
      </c>
      <c r="K32" s="38">
        <v>30</v>
      </c>
      <c r="L32" s="101">
        <v>178.99999999999997</v>
      </c>
    </row>
    <row r="33" spans="5:12" x14ac:dyDescent="0.4">
      <c r="E33" s="63" t="s">
        <v>94</v>
      </c>
      <c r="F33" s="60" t="s">
        <v>49</v>
      </c>
      <c r="G33" s="47">
        <v>0</v>
      </c>
      <c r="H33" s="135">
        <f>IF(B$17=0,0,G33/B$17)</f>
        <v>0</v>
      </c>
      <c r="I33" s="96">
        <v>3</v>
      </c>
      <c r="K33" s="38">
        <v>31</v>
      </c>
      <c r="L33" s="101">
        <v>186.99999999999997</v>
      </c>
    </row>
    <row r="34" spans="5:12" x14ac:dyDescent="0.4">
      <c r="E34" s="63" t="s">
        <v>95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241.49999999999997</v>
      </c>
    </row>
    <row r="35" spans="5:12" x14ac:dyDescent="0.4">
      <c r="E35" s="63" t="s">
        <v>96</v>
      </c>
      <c r="F35" s="60" t="s">
        <v>51</v>
      </c>
      <c r="G35" s="47">
        <v>0</v>
      </c>
      <c r="H35" s="135">
        <f>IF(B$17=0,0,G35/B$17)</f>
        <v>0</v>
      </c>
      <c r="I35" s="96">
        <v>3</v>
      </c>
      <c r="K35" s="38">
        <v>33</v>
      </c>
      <c r="L35" s="101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  <c r="K51" s="38">
        <v>49</v>
      </c>
      <c r="L51" s="101">
        <v>-4.8000000000000398</v>
      </c>
    </row>
    <row r="52" spans="5:12" x14ac:dyDescent="0.4">
      <c r="K52" s="38">
        <v>50</v>
      </c>
      <c r="L52" s="101">
        <v>-0.70000000000004015</v>
      </c>
    </row>
    <row r="53" spans="5:12" x14ac:dyDescent="0.4">
      <c r="K53" s="38">
        <v>51</v>
      </c>
      <c r="L53" s="101">
        <v>-29.30000000000004</v>
      </c>
    </row>
    <row r="54" spans="5:12" x14ac:dyDescent="0.4">
      <c r="K54" s="38">
        <v>52</v>
      </c>
      <c r="L54" s="101">
        <v>-55.600000000000037</v>
      </c>
    </row>
    <row r="55" spans="5:12" x14ac:dyDescent="0.4">
      <c r="K55" s="38">
        <v>53</v>
      </c>
      <c r="L55" s="101">
        <v>-95.100000000000037</v>
      </c>
    </row>
    <row r="56" spans="5:12" x14ac:dyDescent="0.4">
      <c r="K56" s="38">
        <v>54</v>
      </c>
      <c r="L56" s="101">
        <v>-91.000000000000043</v>
      </c>
    </row>
    <row r="57" spans="5:12" x14ac:dyDescent="0.4">
      <c r="K57" s="38">
        <v>55</v>
      </c>
      <c r="L57" s="101">
        <v>-12.000000000000043</v>
      </c>
    </row>
    <row r="58" spans="5:12" x14ac:dyDescent="0.4">
      <c r="K58" s="38">
        <v>56</v>
      </c>
      <c r="L58" s="101">
        <v>-46.000000000000043</v>
      </c>
    </row>
    <row r="59" spans="5:12" x14ac:dyDescent="0.4">
      <c r="K59" s="38">
        <v>57</v>
      </c>
      <c r="L59" s="101">
        <v>-59.000000000000043</v>
      </c>
    </row>
    <row r="60" spans="5:12" x14ac:dyDescent="0.4">
      <c r="K60" s="38">
        <v>58</v>
      </c>
      <c r="L60" s="101">
        <v>-62.100000000000044</v>
      </c>
    </row>
    <row r="61" spans="5:12" x14ac:dyDescent="0.4">
      <c r="K61" s="38">
        <v>59</v>
      </c>
      <c r="L61" s="101">
        <v>-56.700000000000045</v>
      </c>
    </row>
    <row r="62" spans="5:12" x14ac:dyDescent="0.4">
      <c r="K62" s="38">
        <v>60</v>
      </c>
      <c r="L62" s="101">
        <v>-117.90000000000005</v>
      </c>
    </row>
    <row r="63" spans="5:12" x14ac:dyDescent="0.4">
      <c r="K63" s="38">
        <v>61</v>
      </c>
      <c r="L63" s="101">
        <v>-89.600000000000051</v>
      </c>
    </row>
    <row r="64" spans="5:12" x14ac:dyDescent="0.4">
      <c r="K64" s="38">
        <v>62</v>
      </c>
      <c r="L64" s="101">
        <v>-97.200000000000045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81263-7A8A-4424-9157-3FDDE8AB073C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129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26</v>
      </c>
      <c r="C2" s="149"/>
      <c r="E2" s="62" t="s">
        <v>67</v>
      </c>
      <c r="F2" s="59" t="s">
        <v>23</v>
      </c>
      <c r="G2" s="46">
        <v>36</v>
      </c>
      <c r="H2" s="134">
        <f>IF(B$17=0,0,G2/B$17)</f>
        <v>0.87804878048780488</v>
      </c>
      <c r="I2" s="95">
        <v>1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-3515.3846153846152</v>
      </c>
      <c r="P2" s="120">
        <v>26</v>
      </c>
      <c r="Q2" s="104">
        <v>-91400</v>
      </c>
    </row>
    <row r="3" spans="1:17" x14ac:dyDescent="0.4">
      <c r="A3" s="55" t="s">
        <v>8</v>
      </c>
      <c r="B3" s="150">
        <v>212</v>
      </c>
      <c r="C3" s="151"/>
      <c r="E3" s="63" t="s">
        <v>65</v>
      </c>
      <c r="F3" s="60" t="s">
        <v>21</v>
      </c>
      <c r="G3" s="47">
        <v>25</v>
      </c>
      <c r="H3" s="135">
        <f>IF(B$17=0,0,G3/B$17)</f>
        <v>0.6097560975609756</v>
      </c>
      <c r="I3" s="96">
        <v>2</v>
      </c>
      <c r="K3" s="38">
        <v>1</v>
      </c>
      <c r="L3" s="101">
        <v>-40.4</v>
      </c>
      <c r="N3" s="117" t="s">
        <v>133</v>
      </c>
      <c r="O3" s="124">
        <f t="shared" si="0"/>
        <v>-4453.8461538461543</v>
      </c>
      <c r="P3" s="121">
        <v>26</v>
      </c>
      <c r="Q3" s="105">
        <v>-115800</v>
      </c>
    </row>
    <row r="4" spans="1:17" x14ac:dyDescent="0.4">
      <c r="A4" s="55" t="s">
        <v>6</v>
      </c>
      <c r="B4" s="152">
        <v>-818.49999999999989</v>
      </c>
      <c r="C4" s="153"/>
      <c r="E4" s="63" t="s">
        <v>69</v>
      </c>
      <c r="F4" s="60" t="s">
        <v>12</v>
      </c>
      <c r="G4" s="47">
        <v>17</v>
      </c>
      <c r="H4" s="135">
        <f>IF(B$17=0,0,G4/B$17)</f>
        <v>0.41463414634146339</v>
      </c>
      <c r="I4" s="96">
        <v>2</v>
      </c>
      <c r="K4" s="38">
        <v>2</v>
      </c>
      <c r="L4" s="101">
        <v>-3.3999999999999986</v>
      </c>
      <c r="N4" s="117" t="s">
        <v>134</v>
      </c>
      <c r="O4" s="124">
        <f t="shared" si="0"/>
        <v>-3691.304347826087</v>
      </c>
      <c r="P4" s="121">
        <v>23</v>
      </c>
      <c r="Q4" s="105">
        <v>-84900</v>
      </c>
    </row>
    <row r="5" spans="1:17" x14ac:dyDescent="0.4">
      <c r="A5" s="55" t="s">
        <v>7</v>
      </c>
      <c r="B5" s="154">
        <f>IF(B$2=0,0,B$4/B$2)</f>
        <v>-31.480769230769226</v>
      </c>
      <c r="C5" s="155"/>
      <c r="E5" s="63" t="s">
        <v>68</v>
      </c>
      <c r="F5" s="60" t="s">
        <v>24</v>
      </c>
      <c r="G5" s="47">
        <v>15</v>
      </c>
      <c r="H5" s="135">
        <f>IF(B$17=0,0,G5/B$17)</f>
        <v>0.36585365853658536</v>
      </c>
      <c r="I5" s="96">
        <v>3</v>
      </c>
      <c r="K5" s="38">
        <v>3</v>
      </c>
      <c r="L5" s="101">
        <v>-23.099999999999998</v>
      </c>
      <c r="N5" s="117" t="s">
        <v>135</v>
      </c>
      <c r="O5" s="124">
        <f t="shared" si="0"/>
        <v>-7305</v>
      </c>
      <c r="P5" s="121">
        <v>20</v>
      </c>
      <c r="Q5" s="105">
        <v>-146100</v>
      </c>
    </row>
    <row r="6" spans="1:17" x14ac:dyDescent="0.4">
      <c r="A6" s="55" t="s">
        <v>1</v>
      </c>
      <c r="B6" s="144">
        <f>IF(B$2=0,0,(B$7*1+B$8*2+B$9*3)/B$2)</f>
        <v>2.5384615384615383</v>
      </c>
      <c r="C6" s="145"/>
      <c r="E6" s="63" t="s">
        <v>182</v>
      </c>
      <c r="F6" s="60" t="s">
        <v>183</v>
      </c>
      <c r="G6" s="47">
        <v>14</v>
      </c>
      <c r="H6" s="135">
        <f>IF(B$17=0,0,G6/B$17)</f>
        <v>0.34146341463414637</v>
      </c>
      <c r="I6" s="96">
        <v>8</v>
      </c>
      <c r="K6" s="38">
        <v>4</v>
      </c>
      <c r="L6" s="101">
        <v>-31.4</v>
      </c>
      <c r="N6" s="117" t="s">
        <v>136</v>
      </c>
      <c r="O6" s="124">
        <f t="shared" si="0"/>
        <v>-2405.5555555555557</v>
      </c>
      <c r="P6" s="121">
        <v>18</v>
      </c>
      <c r="Q6" s="105">
        <v>-43300</v>
      </c>
    </row>
    <row r="7" spans="1:17" x14ac:dyDescent="0.4">
      <c r="A7" s="55" t="s">
        <v>2</v>
      </c>
      <c r="B7" s="47">
        <v>3</v>
      </c>
      <c r="C7" s="39">
        <f>IF(B$2=0,0,B7/B$2)</f>
        <v>0.11538461538461539</v>
      </c>
      <c r="E7" s="63" t="s">
        <v>73</v>
      </c>
      <c r="F7" s="60" t="s">
        <v>28</v>
      </c>
      <c r="G7" s="47">
        <v>12</v>
      </c>
      <c r="H7" s="135">
        <f>IF(B$17=0,0,G7/B$17)</f>
        <v>0.29268292682926828</v>
      </c>
      <c r="I7" s="96">
        <v>11</v>
      </c>
      <c r="K7" s="38">
        <v>5</v>
      </c>
      <c r="L7" s="101">
        <v>-32.199999999999996</v>
      </c>
      <c r="N7" s="118" t="s">
        <v>137</v>
      </c>
      <c r="O7" s="125">
        <f t="shared" si="0"/>
        <v>-2116.6666666666665</v>
      </c>
      <c r="P7" s="122">
        <v>18</v>
      </c>
      <c r="Q7" s="106">
        <v>-38100</v>
      </c>
    </row>
    <row r="8" spans="1:17" x14ac:dyDescent="0.4">
      <c r="A8" s="55" t="s">
        <v>3</v>
      </c>
      <c r="B8" s="47">
        <v>6</v>
      </c>
      <c r="C8" s="39">
        <f>IF(B$2=0,0,B8/B$2)</f>
        <v>0.23076923076923078</v>
      </c>
      <c r="E8" s="63" t="s">
        <v>71</v>
      </c>
      <c r="F8" s="60" t="s">
        <v>26</v>
      </c>
      <c r="G8" s="47">
        <v>9</v>
      </c>
      <c r="H8" s="135">
        <f>IF(B$17=0,0,G8/B$17)</f>
        <v>0.21951219512195122</v>
      </c>
      <c r="I8" s="96">
        <v>1</v>
      </c>
      <c r="K8" s="38">
        <v>6</v>
      </c>
      <c r="L8" s="101">
        <v>-58.5</v>
      </c>
      <c r="N8" s="43"/>
      <c r="O8" s="129"/>
      <c r="P8" s="113"/>
      <c r="Q8" s="111"/>
    </row>
    <row r="9" spans="1:17" x14ac:dyDescent="0.4">
      <c r="A9" s="56" t="s">
        <v>4</v>
      </c>
      <c r="B9" s="48">
        <v>17</v>
      </c>
      <c r="C9" s="40">
        <f t="shared" ref="C9" si="1">IF(B$2=0,0,B9/B$2)</f>
        <v>0.65384615384615385</v>
      </c>
      <c r="E9" s="63" t="s">
        <v>70</v>
      </c>
      <c r="F9" s="60" t="s">
        <v>25</v>
      </c>
      <c r="G9" s="47">
        <v>8</v>
      </c>
      <c r="H9" s="135">
        <f>IF(B$17=0,0,G9/B$17)</f>
        <v>0.1951219512195122</v>
      </c>
      <c r="I9" s="96">
        <v>5</v>
      </c>
      <c r="K9" s="38">
        <v>7</v>
      </c>
      <c r="L9" s="101">
        <v>-116.8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0.26923076923076922</v>
      </c>
      <c r="E10" s="63" t="s">
        <v>72</v>
      </c>
      <c r="F10" s="60" t="s">
        <v>27</v>
      </c>
      <c r="G10" s="47">
        <v>5</v>
      </c>
      <c r="H10" s="135">
        <f>IF(B$17=0,0,G10/B$17)</f>
        <v>0.12195121951219512</v>
      </c>
      <c r="I10" s="96">
        <v>2</v>
      </c>
      <c r="K10" s="38">
        <v>8</v>
      </c>
      <c r="L10" s="101">
        <v>-79.599999999999994</v>
      </c>
      <c r="N10" s="116" t="s">
        <v>165</v>
      </c>
      <c r="O10" s="126">
        <f>IF(P10=0,0,Q10/P10)</f>
        <v>-29.977777777777774</v>
      </c>
      <c r="P10" s="120">
        <v>9</v>
      </c>
      <c r="Q10" s="108">
        <v>-269.79999999999995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90</v>
      </c>
      <c r="F11" s="60" t="s">
        <v>45</v>
      </c>
      <c r="G11" s="47">
        <v>5</v>
      </c>
      <c r="H11" s="135">
        <f>IF(B$17=0,0,G11/B$17)</f>
        <v>0.12195121951219512</v>
      </c>
      <c r="I11" s="96">
        <v>7</v>
      </c>
      <c r="K11" s="38">
        <v>9</v>
      </c>
      <c r="L11" s="101">
        <v>-127.6</v>
      </c>
      <c r="N11" s="117" t="s">
        <v>166</v>
      </c>
      <c r="O11" s="127">
        <f>IF(P11=0,0,Q11/P11)</f>
        <v>-31.090000000000003</v>
      </c>
      <c r="P11" s="121">
        <v>10</v>
      </c>
      <c r="Q11" s="109">
        <v>-310.90000000000003</v>
      </c>
    </row>
    <row r="12" spans="1:17" x14ac:dyDescent="0.4">
      <c r="A12" s="57" t="s">
        <v>160</v>
      </c>
      <c r="B12" s="49">
        <v>1</v>
      </c>
      <c r="C12" s="42">
        <f>IF(B$2=0,0,B12/B$2)</f>
        <v>3.8461538461538464E-2</v>
      </c>
      <c r="E12" s="63" t="s">
        <v>66</v>
      </c>
      <c r="F12" s="60" t="s">
        <v>22</v>
      </c>
      <c r="G12" s="47">
        <v>4</v>
      </c>
      <c r="H12" s="135">
        <f>IF(B$17=0,0,G12/B$17)</f>
        <v>9.7560975609756101E-2</v>
      </c>
      <c r="I12" s="96">
        <v>7</v>
      </c>
      <c r="K12" s="38">
        <v>10</v>
      </c>
      <c r="L12" s="101">
        <v>-231.39999999999998</v>
      </c>
      <c r="N12" s="118" t="s">
        <v>167</v>
      </c>
      <c r="O12" s="128">
        <f>IF(P12=0,0,Q12/P12)</f>
        <v>-33.971428571428568</v>
      </c>
      <c r="P12" s="122">
        <v>7</v>
      </c>
      <c r="Q12" s="110">
        <v>-237.79999999999998</v>
      </c>
    </row>
    <row r="13" spans="1:17" x14ac:dyDescent="0.4">
      <c r="A13" s="58" t="s">
        <v>122</v>
      </c>
      <c r="B13" s="50">
        <v>52</v>
      </c>
      <c r="C13" s="44">
        <f>IF(B$3=0,0,B13/B$3)</f>
        <v>0.24528301886792453</v>
      </c>
      <c r="E13" s="63" t="s">
        <v>87</v>
      </c>
      <c r="F13" s="60" t="s">
        <v>42</v>
      </c>
      <c r="G13" s="47">
        <v>2</v>
      </c>
      <c r="H13" s="135">
        <f>IF(B$17=0,0,G13/B$17)</f>
        <v>4.878048780487805E-2</v>
      </c>
      <c r="I13" s="96">
        <v>7</v>
      </c>
      <c r="K13" s="38">
        <v>11</v>
      </c>
      <c r="L13" s="101">
        <v>-305.89999999999998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26</v>
      </c>
      <c r="C14" s="39">
        <f>IF(B$3=0,0,B14/B$3)</f>
        <v>0.12264150943396226</v>
      </c>
      <c r="E14" s="63" t="s">
        <v>79</v>
      </c>
      <c r="F14" s="60" t="s">
        <v>34</v>
      </c>
      <c r="G14" s="47">
        <v>1</v>
      </c>
      <c r="H14" s="135">
        <f>IF(B$17=0,0,G14/B$17)</f>
        <v>2.4390243902439025E-2</v>
      </c>
      <c r="I14" s="96">
        <v>4</v>
      </c>
      <c r="K14" s="38">
        <v>12</v>
      </c>
      <c r="L14" s="101">
        <v>-337.5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26</v>
      </c>
      <c r="C15" s="37">
        <f>IF(B$13=0,0,B15/B$13)</f>
        <v>0.5</v>
      </c>
      <c r="E15" s="63" t="s">
        <v>84</v>
      </c>
      <c r="F15" s="60" t="s">
        <v>39</v>
      </c>
      <c r="G15" s="47">
        <v>1</v>
      </c>
      <c r="H15" s="135">
        <f>IF(B$17=0,0,G15/B$17)</f>
        <v>2.4390243902439025E-2</v>
      </c>
      <c r="I15" s="96">
        <v>9</v>
      </c>
      <c r="K15" s="38">
        <v>13</v>
      </c>
      <c r="L15" s="101">
        <v>-369.1</v>
      </c>
      <c r="N15" s="116" t="s">
        <v>178</v>
      </c>
      <c r="O15" s="126">
        <f>IF(P15=0,0,Q15/P15)</f>
        <v>29.700000000000003</v>
      </c>
      <c r="P15" s="120">
        <v>1</v>
      </c>
      <c r="Q15" s="108">
        <v>29.700000000000003</v>
      </c>
    </row>
    <row r="16" spans="1:17" x14ac:dyDescent="0.4">
      <c r="A16" s="54" t="s">
        <v>125</v>
      </c>
      <c r="B16" s="46">
        <v>4</v>
      </c>
      <c r="C16" s="37">
        <f>IF(B$14=0,0,B16/B$14)</f>
        <v>0.15384615384615385</v>
      </c>
      <c r="E16" s="63" t="s">
        <v>89</v>
      </c>
      <c r="F16" s="60" t="s">
        <v>44</v>
      </c>
      <c r="G16" s="47">
        <v>1</v>
      </c>
      <c r="H16" s="135">
        <f>IF(B$17=0,0,G16/B$17)</f>
        <v>2.4390243902439025E-2</v>
      </c>
      <c r="I16" s="96">
        <v>1</v>
      </c>
      <c r="K16" s="38">
        <v>14</v>
      </c>
      <c r="L16" s="101">
        <v>-394.6</v>
      </c>
      <c r="N16" s="117" t="s">
        <v>174</v>
      </c>
      <c r="O16" s="127">
        <f>IF(P16=0,0,Q16/P16)</f>
        <v>-19.3</v>
      </c>
      <c r="P16" s="121">
        <v>4</v>
      </c>
      <c r="Q16" s="109">
        <v>-77.2</v>
      </c>
    </row>
    <row r="17" spans="1:17" x14ac:dyDescent="0.4">
      <c r="A17" s="54" t="s">
        <v>10</v>
      </c>
      <c r="B17" s="46">
        <f>B19+B18</f>
        <v>41</v>
      </c>
      <c r="C17" s="37">
        <f>IF(B$3=0,0,B17/B$3)</f>
        <v>0.19339622641509435</v>
      </c>
      <c r="E17" s="63" t="s">
        <v>74</v>
      </c>
      <c r="F17" s="60" t="s">
        <v>29</v>
      </c>
      <c r="G17" s="47">
        <v>0</v>
      </c>
      <c r="H17" s="135">
        <f>IF(B$17=0,0,G17/B$17)</f>
        <v>0</v>
      </c>
      <c r="I17" s="96">
        <v>5</v>
      </c>
      <c r="K17" s="38">
        <v>15</v>
      </c>
      <c r="L17" s="101">
        <v>-424.5</v>
      </c>
      <c r="N17" s="117" t="s">
        <v>128</v>
      </c>
      <c r="O17" s="127">
        <f>IF(P17=0,0,Q17/P17)</f>
        <v>-23.638888888888886</v>
      </c>
      <c r="P17" s="121">
        <v>18</v>
      </c>
      <c r="Q17" s="109">
        <v>-425.49999999999994</v>
      </c>
    </row>
    <row r="18" spans="1:17" x14ac:dyDescent="0.4">
      <c r="A18" s="55" t="s">
        <v>12</v>
      </c>
      <c r="B18" s="47">
        <v>21</v>
      </c>
      <c r="C18" s="39">
        <f>IF(B$17=0,0,B18/B$17)</f>
        <v>0.51219512195121952</v>
      </c>
      <c r="E18" s="63" t="s">
        <v>75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K18" s="38">
        <v>16</v>
      </c>
      <c r="L18" s="101">
        <v>-472</v>
      </c>
      <c r="N18" s="117" t="s">
        <v>127</v>
      </c>
      <c r="O18" s="127">
        <f>IF(P18=0,0,Q18/P18)</f>
        <v>-62.058823529411775</v>
      </c>
      <c r="P18" s="121">
        <v>17</v>
      </c>
      <c r="Q18" s="109">
        <v>-1055.0000000000002</v>
      </c>
    </row>
    <row r="19" spans="1:17" x14ac:dyDescent="0.4">
      <c r="A19" s="55" t="s">
        <v>11</v>
      </c>
      <c r="B19" s="47">
        <v>20</v>
      </c>
      <c r="C19" s="39">
        <f>IF(B$17=0,0,B19/B$17)</f>
        <v>0.48780487804878048</v>
      </c>
      <c r="E19" s="63" t="s">
        <v>76</v>
      </c>
      <c r="F19" s="60" t="s">
        <v>31</v>
      </c>
      <c r="G19" s="47">
        <v>0</v>
      </c>
      <c r="H19" s="135">
        <f>IF(B$17=0,0,G19/B$17)</f>
        <v>0</v>
      </c>
      <c r="I19" s="96">
        <v>6</v>
      </c>
      <c r="K19" s="38">
        <v>17</v>
      </c>
      <c r="L19" s="101">
        <v>-538.29999999999995</v>
      </c>
      <c r="N19" s="117" t="s">
        <v>173</v>
      </c>
      <c r="O19" s="127">
        <f>IF(P19=0,0,Q19/P19)</f>
        <v>-70.183333333333323</v>
      </c>
      <c r="P19" s="121">
        <v>6</v>
      </c>
      <c r="Q19" s="109">
        <v>-421.09999999999997</v>
      </c>
    </row>
    <row r="20" spans="1:17" x14ac:dyDescent="0.4">
      <c r="A20" s="55" t="s">
        <v>13</v>
      </c>
      <c r="B20" s="47">
        <v>48</v>
      </c>
      <c r="C20" s="39">
        <f>IF(B$3=0,0,B20/B$3)</f>
        <v>0.22641509433962265</v>
      </c>
      <c r="E20" s="63" t="s">
        <v>77</v>
      </c>
      <c r="F20" s="60" t="s">
        <v>32</v>
      </c>
      <c r="G20" s="47">
        <v>0</v>
      </c>
      <c r="H20" s="135">
        <f>IF(B$17=0,0,G20/B$17)</f>
        <v>0</v>
      </c>
      <c r="I20" s="96">
        <v>1</v>
      </c>
      <c r="K20" s="38">
        <v>18</v>
      </c>
      <c r="L20" s="101">
        <v>-537.19999999999993</v>
      </c>
      <c r="N20" s="117" t="s">
        <v>187</v>
      </c>
      <c r="O20" s="127">
        <f>IF(P20=0,0,Q20/P20)</f>
        <v>-72.3</v>
      </c>
      <c r="P20" s="121">
        <v>1</v>
      </c>
      <c r="Q20" s="109">
        <v>-72.3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78</v>
      </c>
      <c r="F21" s="60" t="s">
        <v>33</v>
      </c>
      <c r="G21" s="47">
        <v>0</v>
      </c>
      <c r="H21" s="135">
        <f>IF(B$17=0,0,G21/B$17)</f>
        <v>0</v>
      </c>
      <c r="I21" s="96">
        <v>4</v>
      </c>
      <c r="K21" s="38">
        <v>19</v>
      </c>
      <c r="L21" s="101">
        <v>-569.49999999999989</v>
      </c>
      <c r="N21" s="117" t="s">
        <v>172</v>
      </c>
      <c r="O21" s="127">
        <f>IF(P21=0,0,Q21/P21)</f>
        <v>-86.820000000000007</v>
      </c>
      <c r="P21" s="121">
        <v>5</v>
      </c>
      <c r="Q21" s="109">
        <v>-434.1</v>
      </c>
    </row>
    <row r="22" spans="1:17" x14ac:dyDescent="0.4">
      <c r="A22" s="55" t="s">
        <v>195</v>
      </c>
      <c r="B22" s="47">
        <v>19</v>
      </c>
      <c r="C22" s="137">
        <v>0</v>
      </c>
      <c r="E22" s="63" t="s">
        <v>80</v>
      </c>
      <c r="F22" s="60" t="s">
        <v>35</v>
      </c>
      <c r="G22" s="47">
        <v>0</v>
      </c>
      <c r="H22" s="135">
        <f>IF(B$17=0,0,G22/B$17)</f>
        <v>0</v>
      </c>
      <c r="I22" s="96">
        <v>6</v>
      </c>
      <c r="K22" s="38">
        <v>20</v>
      </c>
      <c r="L22" s="101">
        <v>-632.99999999999989</v>
      </c>
    </row>
    <row r="23" spans="1:17" x14ac:dyDescent="0.4">
      <c r="A23" s="55" t="s">
        <v>5</v>
      </c>
      <c r="B23" s="51">
        <f>IF(B$17=0,0,C23/B$17)</f>
        <v>7680.4878048780483</v>
      </c>
      <c r="C23" s="41">
        <v>314900</v>
      </c>
      <c r="E23" s="63" t="s">
        <v>81</v>
      </c>
      <c r="F23" s="60" t="s">
        <v>36</v>
      </c>
      <c r="G23" s="47">
        <v>0</v>
      </c>
      <c r="H23" s="135">
        <f>IF(B$17=0,0,G23/B$17)</f>
        <v>0</v>
      </c>
      <c r="I23" s="96">
        <v>1</v>
      </c>
      <c r="K23" s="38">
        <v>21</v>
      </c>
      <c r="L23" s="101">
        <v>-629.49999999999989</v>
      </c>
    </row>
    <row r="24" spans="1:17" x14ac:dyDescent="0.4">
      <c r="A24" s="57" t="s">
        <v>14</v>
      </c>
      <c r="B24" s="52">
        <f>IF(B$20=0,0,C24/B$20)</f>
        <v>-10462.5</v>
      </c>
      <c r="C24" s="45">
        <v>-502200</v>
      </c>
      <c r="E24" s="63" t="s">
        <v>82</v>
      </c>
      <c r="F24" s="60" t="s">
        <v>37</v>
      </c>
      <c r="G24" s="47">
        <v>0</v>
      </c>
      <c r="H24" s="135">
        <f>IF(B$17=0,0,G24/B$17)</f>
        <v>0</v>
      </c>
      <c r="I24" s="96">
        <v>7</v>
      </c>
      <c r="K24" s="38">
        <v>22</v>
      </c>
      <c r="L24" s="101">
        <v>-670.19999999999993</v>
      </c>
    </row>
    <row r="25" spans="1:17" x14ac:dyDescent="0.4">
      <c r="A25" s="92" t="s">
        <v>142</v>
      </c>
      <c r="B25" s="142">
        <v>7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-737.19999999999993</v>
      </c>
    </row>
    <row r="26" spans="1:17" x14ac:dyDescent="0.4">
      <c r="A26" s="58" t="s">
        <v>152</v>
      </c>
      <c r="B26" s="140">
        <v>52200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  <c r="K26" s="38">
        <v>24</v>
      </c>
      <c r="L26" s="101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4.7169811320754715E-3</v>
      </c>
      <c r="E27" s="63" t="s">
        <v>86</v>
      </c>
      <c r="F27" s="60" t="s">
        <v>41</v>
      </c>
      <c r="G27" s="47">
        <v>0</v>
      </c>
      <c r="H27" s="135">
        <f>IF(B$17=0,0,G27/B$17)</f>
        <v>0</v>
      </c>
      <c r="I27" s="96">
        <v>3</v>
      </c>
      <c r="K27" s="38">
        <v>25</v>
      </c>
      <c r="L27" s="101">
        <v>-783.69999999999993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  <c r="K28" s="38">
        <v>26</v>
      </c>
      <c r="L28" s="101">
        <v>-818.49999999999989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9F1E5-1B4E-4DD0-BD00-E98E072E44D1}">
  <sheetPr codeName="Sheet1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172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36</v>
      </c>
      <c r="C2" s="149"/>
      <c r="E2" s="62" t="s">
        <v>67</v>
      </c>
      <c r="F2" s="59" t="s">
        <v>23</v>
      </c>
      <c r="G2" s="46">
        <v>54</v>
      </c>
      <c r="H2" s="134">
        <f>IF(B$17=0,0,G2/B$17)</f>
        <v>0.72972972972972971</v>
      </c>
      <c r="I2" s="95">
        <v>7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-205.55555555555554</v>
      </c>
      <c r="P2" s="120">
        <v>36</v>
      </c>
      <c r="Q2" s="104">
        <v>-7400</v>
      </c>
    </row>
    <row r="3" spans="1:17" x14ac:dyDescent="0.4">
      <c r="A3" s="55" t="s">
        <v>8</v>
      </c>
      <c r="B3" s="150">
        <v>307</v>
      </c>
      <c r="C3" s="151"/>
      <c r="E3" s="63" t="s">
        <v>65</v>
      </c>
      <c r="F3" s="60" t="s">
        <v>21</v>
      </c>
      <c r="G3" s="47">
        <v>40</v>
      </c>
      <c r="H3" s="135">
        <f>IF(B$17=0,0,G3/B$17)</f>
        <v>0.54054054054054057</v>
      </c>
      <c r="I3" s="96">
        <v>5</v>
      </c>
      <c r="K3" s="38">
        <v>1</v>
      </c>
      <c r="L3" s="101">
        <v>-51.2</v>
      </c>
      <c r="N3" s="117" t="s">
        <v>133</v>
      </c>
      <c r="O3" s="124">
        <f t="shared" si="0"/>
        <v>852.77777777777783</v>
      </c>
      <c r="P3" s="121">
        <v>36</v>
      </c>
      <c r="Q3" s="105">
        <v>30700</v>
      </c>
    </row>
    <row r="4" spans="1:17" x14ac:dyDescent="0.4">
      <c r="A4" s="55" t="s">
        <v>6</v>
      </c>
      <c r="B4" s="152">
        <v>-130.69999999999999</v>
      </c>
      <c r="C4" s="153"/>
      <c r="E4" s="63" t="s">
        <v>73</v>
      </c>
      <c r="F4" s="60" t="s">
        <v>28</v>
      </c>
      <c r="G4" s="47">
        <v>37</v>
      </c>
      <c r="H4" s="135">
        <f>IF(B$17=0,0,G4/B$17)</f>
        <v>0.5</v>
      </c>
      <c r="I4" s="96">
        <v>8</v>
      </c>
      <c r="K4" s="38">
        <v>2</v>
      </c>
      <c r="L4" s="101">
        <v>-93.300000000000011</v>
      </c>
      <c r="N4" s="117" t="s">
        <v>134</v>
      </c>
      <c r="O4" s="124">
        <f t="shared" si="0"/>
        <v>1055.8823529411766</v>
      </c>
      <c r="P4" s="121">
        <v>34</v>
      </c>
      <c r="Q4" s="105">
        <v>35900</v>
      </c>
    </row>
    <row r="5" spans="1:17" x14ac:dyDescent="0.4">
      <c r="A5" s="55" t="s">
        <v>7</v>
      </c>
      <c r="B5" s="154">
        <f>IF(B$2=0,0,B$4/B$2)</f>
        <v>-3.6305555555555551</v>
      </c>
      <c r="C5" s="155"/>
      <c r="E5" s="63" t="s">
        <v>182</v>
      </c>
      <c r="F5" s="60" t="s">
        <v>183</v>
      </c>
      <c r="G5" s="47">
        <v>22</v>
      </c>
      <c r="H5" s="135">
        <f>IF(B$17=0,0,G5/B$17)</f>
        <v>0.29729729729729731</v>
      </c>
      <c r="I5" s="96">
        <v>10</v>
      </c>
      <c r="K5" s="38">
        <v>3</v>
      </c>
      <c r="L5" s="101">
        <v>-60.100000000000009</v>
      </c>
      <c r="N5" s="117" t="s">
        <v>135</v>
      </c>
      <c r="O5" s="124">
        <f t="shared" si="0"/>
        <v>-2183.8709677419356</v>
      </c>
      <c r="P5" s="121">
        <v>31</v>
      </c>
      <c r="Q5" s="105">
        <v>-67700</v>
      </c>
    </row>
    <row r="6" spans="1:17" x14ac:dyDescent="0.4">
      <c r="A6" s="55" t="s">
        <v>1</v>
      </c>
      <c r="B6" s="144">
        <f>IF(B$2=0,0,(B$7*1+B$8*2+B$9*3)/B$2)</f>
        <v>2.1388888888888888</v>
      </c>
      <c r="C6" s="145"/>
      <c r="E6" s="63" t="s">
        <v>69</v>
      </c>
      <c r="F6" s="60" t="s">
        <v>12</v>
      </c>
      <c r="G6" s="47">
        <v>18</v>
      </c>
      <c r="H6" s="135">
        <f>IF(B$17=0,0,G6/B$17)</f>
        <v>0.24324324324324326</v>
      </c>
      <c r="I6" s="96">
        <v>7</v>
      </c>
      <c r="K6" s="38">
        <v>4</v>
      </c>
      <c r="L6" s="101">
        <v>-11.300000000000011</v>
      </c>
      <c r="N6" s="117" t="s">
        <v>136</v>
      </c>
      <c r="O6" s="124">
        <f t="shared" si="0"/>
        <v>-913.79310344827582</v>
      </c>
      <c r="P6" s="121">
        <v>29</v>
      </c>
      <c r="Q6" s="105">
        <v>-26500</v>
      </c>
    </row>
    <row r="7" spans="1:17" x14ac:dyDescent="0.4">
      <c r="A7" s="55" t="s">
        <v>2</v>
      </c>
      <c r="B7" s="47">
        <v>9</v>
      </c>
      <c r="C7" s="39">
        <f>IF(B$2=0,0,B7/B$2)</f>
        <v>0.25</v>
      </c>
      <c r="E7" s="63" t="s">
        <v>68</v>
      </c>
      <c r="F7" s="60" t="s">
        <v>24</v>
      </c>
      <c r="G7" s="47">
        <v>17</v>
      </c>
      <c r="H7" s="135">
        <f>IF(B$17=0,0,G7/B$17)</f>
        <v>0.22972972972972974</v>
      </c>
      <c r="I7" s="96">
        <v>7</v>
      </c>
      <c r="K7" s="38">
        <v>5</v>
      </c>
      <c r="L7" s="101">
        <v>-36.100000000000009</v>
      </c>
      <c r="N7" s="118" t="s">
        <v>137</v>
      </c>
      <c r="O7" s="125">
        <f t="shared" si="0"/>
        <v>455.55555555555554</v>
      </c>
      <c r="P7" s="122">
        <v>27</v>
      </c>
      <c r="Q7" s="106">
        <v>12300</v>
      </c>
    </row>
    <row r="8" spans="1:17" x14ac:dyDescent="0.4">
      <c r="A8" s="55" t="s">
        <v>3</v>
      </c>
      <c r="B8" s="47">
        <v>13</v>
      </c>
      <c r="C8" s="39">
        <f>IF(B$2=0,0,B8/B$2)</f>
        <v>0.3611111111111111</v>
      </c>
      <c r="E8" s="63" t="s">
        <v>70</v>
      </c>
      <c r="F8" s="60" t="s">
        <v>25</v>
      </c>
      <c r="G8" s="47">
        <v>16</v>
      </c>
      <c r="H8" s="135">
        <f>IF(B$17=0,0,G8/B$17)</f>
        <v>0.21621621621621623</v>
      </c>
      <c r="I8" s="96">
        <v>3</v>
      </c>
      <c r="K8" s="38">
        <v>6</v>
      </c>
      <c r="L8" s="101">
        <v>9.0999999999999943</v>
      </c>
      <c r="N8" s="43"/>
      <c r="O8" s="129"/>
      <c r="P8" s="113"/>
      <c r="Q8" s="111"/>
    </row>
    <row r="9" spans="1:17" x14ac:dyDescent="0.4">
      <c r="A9" s="56" t="s">
        <v>4</v>
      </c>
      <c r="B9" s="48">
        <v>14</v>
      </c>
      <c r="C9" s="40">
        <f t="shared" ref="C9" si="1">IF(B$2=0,0,B9/B$2)</f>
        <v>0.3888888888888889</v>
      </c>
      <c r="E9" s="63" t="s">
        <v>66</v>
      </c>
      <c r="F9" s="60" t="s">
        <v>22</v>
      </c>
      <c r="G9" s="47">
        <v>13</v>
      </c>
      <c r="H9" s="135">
        <f>IF(B$17=0,0,G9/B$17)</f>
        <v>0.17567567567567569</v>
      </c>
      <c r="I9" s="96">
        <v>1</v>
      </c>
      <c r="K9" s="38">
        <v>7</v>
      </c>
      <c r="L9" s="101">
        <v>-51.300000000000004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2.7777777777777776E-2</v>
      </c>
      <c r="E10" s="63" t="s">
        <v>90</v>
      </c>
      <c r="F10" s="60" t="s">
        <v>45</v>
      </c>
      <c r="G10" s="47">
        <v>11</v>
      </c>
      <c r="H10" s="135">
        <f>IF(B$17=0,0,G10/B$17)</f>
        <v>0.14864864864864866</v>
      </c>
      <c r="I10" s="96">
        <v>5</v>
      </c>
      <c r="K10" s="38">
        <v>8</v>
      </c>
      <c r="L10" s="101">
        <v>-1.7000000000000028</v>
      </c>
      <c r="N10" s="116" t="s">
        <v>165</v>
      </c>
      <c r="O10" s="126">
        <f>IF(P10=0,0,Q10/P10)</f>
        <v>1.2285714285714278</v>
      </c>
      <c r="P10" s="120">
        <v>7</v>
      </c>
      <c r="Q10" s="108">
        <v>8.5999999999999943</v>
      </c>
    </row>
    <row r="11" spans="1:17" x14ac:dyDescent="0.4">
      <c r="A11" s="56" t="s">
        <v>140</v>
      </c>
      <c r="B11" s="48">
        <v>4</v>
      </c>
      <c r="C11" s="40">
        <f>IF(B$2=0,0,B11/B$2)</f>
        <v>0.1111111111111111</v>
      </c>
      <c r="E11" s="63" t="s">
        <v>71</v>
      </c>
      <c r="F11" s="60" t="s">
        <v>26</v>
      </c>
      <c r="G11" s="47">
        <v>10</v>
      </c>
      <c r="H11" s="135">
        <f>IF(B$17=0,0,G11/B$17)</f>
        <v>0.13513513513513514</v>
      </c>
      <c r="I11" s="96">
        <v>3</v>
      </c>
      <c r="K11" s="38">
        <v>9</v>
      </c>
      <c r="L11" s="101">
        <v>-5.8000000000000025</v>
      </c>
      <c r="N11" s="117" t="s">
        <v>166</v>
      </c>
      <c r="O11" s="127">
        <f>IF(P11=0,0,Q11/P11)</f>
        <v>-8.639999999999997</v>
      </c>
      <c r="P11" s="121">
        <v>15</v>
      </c>
      <c r="Q11" s="109">
        <v>-129.59999999999997</v>
      </c>
    </row>
    <row r="12" spans="1:17" x14ac:dyDescent="0.4">
      <c r="A12" s="57" t="s">
        <v>160</v>
      </c>
      <c r="B12" s="49">
        <v>3</v>
      </c>
      <c r="C12" s="42">
        <f>IF(B$2=0,0,B12/B$2)</f>
        <v>8.3333333333333329E-2</v>
      </c>
      <c r="E12" s="63" t="s">
        <v>72</v>
      </c>
      <c r="F12" s="60" t="s">
        <v>27</v>
      </c>
      <c r="G12" s="47">
        <v>6</v>
      </c>
      <c r="H12" s="135">
        <f>IF(B$17=0,0,G12/B$17)</f>
        <v>8.1081081081081086E-2</v>
      </c>
      <c r="I12" s="96">
        <v>3</v>
      </c>
      <c r="K12" s="38">
        <v>10</v>
      </c>
      <c r="L12" s="101">
        <v>-56.500000000000007</v>
      </c>
      <c r="N12" s="118" t="s">
        <v>167</v>
      </c>
      <c r="O12" s="128">
        <f>IF(P12=0,0,Q12/P12)</f>
        <v>-0.69285714285714317</v>
      </c>
      <c r="P12" s="122">
        <v>14</v>
      </c>
      <c r="Q12" s="110">
        <v>-9.7000000000000046</v>
      </c>
    </row>
    <row r="13" spans="1:17" x14ac:dyDescent="0.4">
      <c r="A13" s="58" t="s">
        <v>122</v>
      </c>
      <c r="B13" s="50">
        <v>75</v>
      </c>
      <c r="C13" s="44">
        <f>IF(B$3=0,0,B13/B$3)</f>
        <v>0.24429967426710097</v>
      </c>
      <c r="E13" s="63" t="s">
        <v>87</v>
      </c>
      <c r="F13" s="60" t="s">
        <v>42</v>
      </c>
      <c r="G13" s="47">
        <v>6</v>
      </c>
      <c r="H13" s="135">
        <f>IF(B$17=0,0,G13/B$17)</f>
        <v>8.1081081081081086E-2</v>
      </c>
      <c r="I13" s="96">
        <v>4</v>
      </c>
      <c r="K13" s="38">
        <v>11</v>
      </c>
      <c r="L13" s="101">
        <v>-27.600000000000009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52</v>
      </c>
      <c r="C14" s="39">
        <f>IF(B$3=0,0,B14/B$3)</f>
        <v>0.16938110749185667</v>
      </c>
      <c r="E14" s="63" t="s">
        <v>84</v>
      </c>
      <c r="F14" s="60" t="s">
        <v>39</v>
      </c>
      <c r="G14" s="47">
        <v>4</v>
      </c>
      <c r="H14" s="135">
        <f>IF(B$17=0,0,G14/B$17)</f>
        <v>5.4054054054054057E-2</v>
      </c>
      <c r="I14" s="96">
        <v>2</v>
      </c>
      <c r="K14" s="38">
        <v>12</v>
      </c>
      <c r="L14" s="101">
        <v>-42.900000000000006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43</v>
      </c>
      <c r="C15" s="37">
        <f>IF(B$13=0,0,B15/B$13)</f>
        <v>0.57333333333333336</v>
      </c>
      <c r="E15" s="63" t="s">
        <v>79</v>
      </c>
      <c r="F15" s="60" t="s">
        <v>34</v>
      </c>
      <c r="G15" s="47">
        <v>3</v>
      </c>
      <c r="H15" s="135">
        <f>IF(B$17=0,0,G15/B$17)</f>
        <v>4.0540540540540543E-2</v>
      </c>
      <c r="I15" s="96">
        <v>2</v>
      </c>
      <c r="K15" s="38">
        <v>13</v>
      </c>
      <c r="L15" s="101">
        <v>-58.7</v>
      </c>
      <c r="N15" s="116" t="s">
        <v>129</v>
      </c>
      <c r="O15" s="126">
        <f>IF(P15=0,0,Q15/P15)</f>
        <v>86.820000000000007</v>
      </c>
      <c r="P15" s="120">
        <v>5</v>
      </c>
      <c r="Q15" s="108">
        <v>434.1</v>
      </c>
    </row>
    <row r="16" spans="1:17" x14ac:dyDescent="0.4">
      <c r="A16" s="54" t="s">
        <v>125</v>
      </c>
      <c r="B16" s="46">
        <v>16</v>
      </c>
      <c r="C16" s="37">
        <f>IF(B$14=0,0,B16/B$14)</f>
        <v>0.30769230769230771</v>
      </c>
      <c r="E16" s="63" t="s">
        <v>76</v>
      </c>
      <c r="F16" s="60" t="s">
        <v>31</v>
      </c>
      <c r="G16" s="47">
        <v>2</v>
      </c>
      <c r="H16" s="135">
        <f>IF(B$17=0,0,G16/B$17)</f>
        <v>2.7027027027027029E-2</v>
      </c>
      <c r="I16" s="96">
        <v>2</v>
      </c>
      <c r="K16" s="38">
        <v>14</v>
      </c>
      <c r="L16" s="101">
        <v>-29.400000000000002</v>
      </c>
      <c r="N16" s="117" t="s">
        <v>187</v>
      </c>
      <c r="O16" s="127">
        <f>IF(P16=0,0,Q16/P16)</f>
        <v>25.400000000000002</v>
      </c>
      <c r="P16" s="121">
        <v>2</v>
      </c>
      <c r="Q16" s="109">
        <v>50.800000000000004</v>
      </c>
    </row>
    <row r="17" spans="1:17" x14ac:dyDescent="0.4">
      <c r="A17" s="54" t="s">
        <v>10</v>
      </c>
      <c r="B17" s="46">
        <f>B19+B18</f>
        <v>74</v>
      </c>
      <c r="C17" s="37">
        <f>IF(B$3=0,0,B17/B$3)</f>
        <v>0.24104234527687296</v>
      </c>
      <c r="E17" s="63" t="s">
        <v>181</v>
      </c>
      <c r="F17" s="60" t="s">
        <v>184</v>
      </c>
      <c r="G17" s="47">
        <v>2</v>
      </c>
      <c r="H17" s="135">
        <f>IF(B$17=0,0,G17/B$17)</f>
        <v>2.7027027027027029E-2</v>
      </c>
      <c r="I17" s="96">
        <v>1</v>
      </c>
      <c r="K17" s="38">
        <v>15</v>
      </c>
      <c r="L17" s="101">
        <v>-26.3</v>
      </c>
      <c r="N17" s="117" t="s">
        <v>174</v>
      </c>
      <c r="O17" s="127">
        <f>IF(P17=0,0,Q17/P17)</f>
        <v>10.618181818181817</v>
      </c>
      <c r="P17" s="121">
        <v>11</v>
      </c>
      <c r="Q17" s="109">
        <v>116.8</v>
      </c>
    </row>
    <row r="18" spans="1:17" x14ac:dyDescent="0.4">
      <c r="A18" s="55" t="s">
        <v>12</v>
      </c>
      <c r="B18" s="47">
        <v>26</v>
      </c>
      <c r="C18" s="39">
        <f>IF(B$17=0,0,B18/B$17)</f>
        <v>0.35135135135135137</v>
      </c>
      <c r="E18" s="63" t="s">
        <v>82</v>
      </c>
      <c r="F18" s="60" t="s">
        <v>37</v>
      </c>
      <c r="G18" s="47">
        <v>1</v>
      </c>
      <c r="H18" s="135">
        <f>IF(B$17=0,0,G18/B$17)</f>
        <v>1.3513513513513514E-2</v>
      </c>
      <c r="I18" s="96">
        <v>6</v>
      </c>
      <c r="K18" s="38">
        <v>16</v>
      </c>
      <c r="L18" s="101">
        <v>-50.3</v>
      </c>
      <c r="N18" s="117" t="s">
        <v>173</v>
      </c>
      <c r="O18" s="127">
        <f>IF(P18=0,0,Q18/P18)</f>
        <v>0.24999999999999928</v>
      </c>
      <c r="P18" s="121">
        <v>10</v>
      </c>
      <c r="Q18" s="109">
        <v>2.4999999999999929</v>
      </c>
    </row>
    <row r="19" spans="1:17" x14ac:dyDescent="0.4">
      <c r="A19" s="55" t="s">
        <v>11</v>
      </c>
      <c r="B19" s="47">
        <v>48</v>
      </c>
      <c r="C19" s="39">
        <f>IF(B$17=0,0,B19/B$17)</f>
        <v>0.64864864864864868</v>
      </c>
      <c r="E19" s="63" t="s">
        <v>93</v>
      </c>
      <c r="F19" s="60" t="s">
        <v>48</v>
      </c>
      <c r="G19" s="47">
        <v>1</v>
      </c>
      <c r="H19" s="135">
        <f>IF(B$17=0,0,G19/B$17)</f>
        <v>1.3513513513513514E-2</v>
      </c>
      <c r="I19" s="96">
        <v>1</v>
      </c>
      <c r="K19" s="38">
        <v>17</v>
      </c>
      <c r="L19" s="101">
        <v>-74.3</v>
      </c>
      <c r="N19" s="117" t="s">
        <v>178</v>
      </c>
      <c r="O19" s="127">
        <f>IF(P19=0,0,Q19/P19)</f>
        <v>-12.149999999999999</v>
      </c>
      <c r="P19" s="121">
        <v>2</v>
      </c>
      <c r="Q19" s="109">
        <v>-24.299999999999997</v>
      </c>
    </row>
    <row r="20" spans="1:17" x14ac:dyDescent="0.4">
      <c r="A20" s="55" t="s">
        <v>13</v>
      </c>
      <c r="B20" s="47">
        <v>49</v>
      </c>
      <c r="C20" s="39">
        <f>IF(B$3=0,0,B20/B$3)</f>
        <v>0.15960912052117263</v>
      </c>
      <c r="E20" s="63" t="s">
        <v>74</v>
      </c>
      <c r="F20" s="60" t="s">
        <v>29</v>
      </c>
      <c r="G20" s="47">
        <v>0</v>
      </c>
      <c r="H20" s="135">
        <f>IF(B$17=0,0,G20/B$17)</f>
        <v>0</v>
      </c>
      <c r="I20" s="96">
        <v>5</v>
      </c>
      <c r="K20" s="38">
        <v>18</v>
      </c>
      <c r="L20" s="101">
        <v>-76.099999999999994</v>
      </c>
      <c r="N20" s="117" t="s">
        <v>128</v>
      </c>
      <c r="O20" s="127">
        <f>IF(P20=0,0,Q20/P20)</f>
        <v>-16.305555555555564</v>
      </c>
      <c r="P20" s="121">
        <v>18</v>
      </c>
      <c r="Q20" s="109">
        <v>-293.50000000000017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75</v>
      </c>
      <c r="F21" s="60" t="s">
        <v>30</v>
      </c>
      <c r="G21" s="47">
        <v>0</v>
      </c>
      <c r="H21" s="135">
        <f>IF(B$17=0,0,G21/B$17)</f>
        <v>0</v>
      </c>
      <c r="I21" s="96">
        <v>3</v>
      </c>
      <c r="K21" s="38">
        <v>19</v>
      </c>
      <c r="L21" s="101">
        <v>0.60000000000000853</v>
      </c>
      <c r="N21" s="117" t="s">
        <v>127</v>
      </c>
      <c r="O21" s="127">
        <f>IF(P21=0,0,Q21/P21)</f>
        <v>-26.113636363636363</v>
      </c>
      <c r="P21" s="121">
        <v>22</v>
      </c>
      <c r="Q21" s="109">
        <v>-574.5</v>
      </c>
    </row>
    <row r="22" spans="1:17" x14ac:dyDescent="0.4">
      <c r="A22" s="55" t="s">
        <v>195</v>
      </c>
      <c r="B22" s="47">
        <v>20</v>
      </c>
      <c r="C22" s="137">
        <v>7</v>
      </c>
      <c r="E22" s="63" t="s">
        <v>77</v>
      </c>
      <c r="F22" s="60" t="s">
        <v>32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-3.5999999999999917</v>
      </c>
      <c r="N22" s="117" t="s">
        <v>203</v>
      </c>
      <c r="O22" s="127">
        <f>IF(P22=0,0,Q22/P22)</f>
        <v>-51.999999999999993</v>
      </c>
      <c r="P22" s="121">
        <v>2</v>
      </c>
      <c r="Q22" s="109">
        <v>-103.99999999999999</v>
      </c>
    </row>
    <row r="23" spans="1:17" x14ac:dyDescent="0.4">
      <c r="A23" s="55" t="s">
        <v>5</v>
      </c>
      <c r="B23" s="51">
        <f>IF(B$17=0,0,C23/B$17)</f>
        <v>8487.8378378378384</v>
      </c>
      <c r="C23" s="41">
        <v>628100</v>
      </c>
      <c r="E23" s="63" t="s">
        <v>78</v>
      </c>
      <c r="F23" s="60" t="s">
        <v>33</v>
      </c>
      <c r="G23" s="47">
        <v>0</v>
      </c>
      <c r="H23" s="135">
        <f>IF(B$17=0,0,G23/B$17)</f>
        <v>0</v>
      </c>
      <c r="I23" s="96">
        <v>4</v>
      </c>
      <c r="K23" s="38">
        <v>21</v>
      </c>
      <c r="L23" s="101">
        <v>-3.0999999999999917</v>
      </c>
    </row>
    <row r="24" spans="1:17" x14ac:dyDescent="0.4">
      <c r="A24" s="57" t="s">
        <v>14</v>
      </c>
      <c r="B24" s="52">
        <f>IF(B$20=0,0,C24/B$20)</f>
        <v>-7222.4489795918371</v>
      </c>
      <c r="C24" s="45">
        <v>-353900</v>
      </c>
      <c r="E24" s="63" t="s">
        <v>80</v>
      </c>
      <c r="F24" s="60" t="s">
        <v>35</v>
      </c>
      <c r="G24" s="47">
        <v>0</v>
      </c>
      <c r="H24" s="135">
        <f>IF(B$17=0,0,G24/B$17)</f>
        <v>0</v>
      </c>
      <c r="I24" s="96">
        <v>6</v>
      </c>
      <c r="K24" s="38">
        <v>22</v>
      </c>
      <c r="L24" s="101">
        <v>-17.099999999999991</v>
      </c>
    </row>
    <row r="25" spans="1:17" x14ac:dyDescent="0.4">
      <c r="A25" s="92" t="s">
        <v>142</v>
      </c>
      <c r="B25" s="142">
        <v>4</v>
      </c>
      <c r="C25" s="143"/>
      <c r="E25" s="63" t="s">
        <v>81</v>
      </c>
      <c r="F25" s="60" t="s">
        <v>36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-55.699999999999989</v>
      </c>
    </row>
    <row r="26" spans="1:17" x14ac:dyDescent="0.4">
      <c r="A26" s="58" t="s">
        <v>152</v>
      </c>
      <c r="B26" s="140">
        <v>91700</v>
      </c>
      <c r="C26" s="141"/>
      <c r="E26" s="63" t="s">
        <v>83</v>
      </c>
      <c r="F26" s="60" t="s">
        <v>38</v>
      </c>
      <c r="G26" s="47">
        <v>0</v>
      </c>
      <c r="H26" s="135">
        <f>IF(B$17=0,0,G26/B$17)</f>
        <v>0</v>
      </c>
      <c r="I26" s="96">
        <v>1</v>
      </c>
      <c r="K26" s="38">
        <v>24</v>
      </c>
      <c r="L26" s="101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3.2573289902280132E-3</v>
      </c>
      <c r="E27" s="63" t="s">
        <v>85</v>
      </c>
      <c r="F27" s="60" t="s">
        <v>40</v>
      </c>
      <c r="G27" s="47">
        <v>0</v>
      </c>
      <c r="H27" s="135">
        <f>IF(B$17=0,0,G27/B$17)</f>
        <v>0</v>
      </c>
      <c r="I27" s="96">
        <v>3</v>
      </c>
      <c r="K27" s="38">
        <v>25</v>
      </c>
      <c r="L27" s="101">
        <v>-39.999999999999986</v>
      </c>
    </row>
    <row r="28" spans="1:17" x14ac:dyDescent="0.4">
      <c r="E28" s="63" t="s">
        <v>86</v>
      </c>
      <c r="F28" s="60" t="s">
        <v>41</v>
      </c>
      <c r="G28" s="47">
        <v>0</v>
      </c>
      <c r="H28" s="135">
        <f>IF(B$17=0,0,G28/B$17)</f>
        <v>0</v>
      </c>
      <c r="I28" s="96">
        <v>3</v>
      </c>
      <c r="K28" s="38">
        <v>26</v>
      </c>
      <c r="L28" s="101">
        <v>-71.099999999999994</v>
      </c>
    </row>
    <row r="29" spans="1:17" x14ac:dyDescent="0.4">
      <c r="E29" s="63" t="s">
        <v>88</v>
      </c>
      <c r="F29" s="60" t="s">
        <v>43</v>
      </c>
      <c r="G29" s="47">
        <v>0</v>
      </c>
      <c r="H29" s="135">
        <f>IF(B$17=0,0,G29/B$17)</f>
        <v>0</v>
      </c>
      <c r="I29" s="96">
        <v>3</v>
      </c>
      <c r="K29" s="38">
        <v>27</v>
      </c>
      <c r="L29" s="101">
        <v>-66.199999999999989</v>
      </c>
    </row>
    <row r="30" spans="1:17" x14ac:dyDescent="0.4">
      <c r="E30" s="63" t="s">
        <v>89</v>
      </c>
      <c r="F30" s="60" t="s">
        <v>44</v>
      </c>
      <c r="G30" s="47">
        <v>0</v>
      </c>
      <c r="H30" s="135">
        <f>IF(B$17=0,0,G30/B$17)</f>
        <v>0</v>
      </c>
      <c r="I30" s="96">
        <v>4</v>
      </c>
      <c r="K30" s="38">
        <v>28</v>
      </c>
      <c r="L30" s="101">
        <v>-116.49999999999999</v>
      </c>
    </row>
    <row r="31" spans="1:17" x14ac:dyDescent="0.4">
      <c r="E31" s="63" t="s">
        <v>91</v>
      </c>
      <c r="F31" s="60" t="s">
        <v>46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-121.79999999999998</v>
      </c>
    </row>
    <row r="32" spans="1:17" x14ac:dyDescent="0.4">
      <c r="E32" s="63" t="s">
        <v>92</v>
      </c>
      <c r="F32" s="60" t="s">
        <v>47</v>
      </c>
      <c r="G32" s="47">
        <v>0</v>
      </c>
      <c r="H32" s="135">
        <f>IF(B$17=0,0,G32/B$17)</f>
        <v>0</v>
      </c>
      <c r="I32" s="96">
        <v>7</v>
      </c>
      <c r="K32" s="38">
        <v>30</v>
      </c>
      <c r="L32" s="101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5">
        <f>IF(B$17=0,0,G33/B$17)</f>
        <v>0</v>
      </c>
      <c r="I33" s="96">
        <v>3</v>
      </c>
      <c r="K33" s="38">
        <v>31</v>
      </c>
      <c r="L33" s="101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5">
        <f>IF(B$17=0,0,G35/B$17)</f>
        <v>0</v>
      </c>
      <c r="I35" s="96">
        <v>3</v>
      </c>
      <c r="K35" s="38">
        <v>33</v>
      </c>
      <c r="L35" s="101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38383-63F5-4EE4-9C94-835B55F58CFE}">
  <sheetPr codeName="Sheet1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173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26</v>
      </c>
      <c r="C2" s="149"/>
      <c r="E2" s="62" t="s">
        <v>67</v>
      </c>
      <c r="F2" s="59" t="s">
        <v>23</v>
      </c>
      <c r="G2" s="46">
        <v>52</v>
      </c>
      <c r="H2" s="134">
        <f>IF(B$17=0,0,G2/B$17)</f>
        <v>0.70270270270270274</v>
      </c>
      <c r="I2" s="95">
        <v>8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161.53846153846155</v>
      </c>
      <c r="P2" s="120">
        <v>26</v>
      </c>
      <c r="Q2" s="104">
        <v>4200</v>
      </c>
    </row>
    <row r="3" spans="1:17" x14ac:dyDescent="0.4">
      <c r="A3" s="55" t="s">
        <v>8</v>
      </c>
      <c r="B3" s="150">
        <v>214</v>
      </c>
      <c r="C3" s="151"/>
      <c r="E3" s="63" t="s">
        <v>73</v>
      </c>
      <c r="F3" s="60" t="s">
        <v>28</v>
      </c>
      <c r="G3" s="47">
        <v>52</v>
      </c>
      <c r="H3" s="135">
        <f>IF(B$17=0,0,G3/B$17)</f>
        <v>0.70270270270270274</v>
      </c>
      <c r="I3" s="96">
        <v>3</v>
      </c>
      <c r="K3" s="38">
        <v>1</v>
      </c>
      <c r="L3" s="101">
        <v>11.1</v>
      </c>
      <c r="N3" s="117" t="s">
        <v>133</v>
      </c>
      <c r="O3" s="124">
        <f t="shared" si="0"/>
        <v>992.30769230769226</v>
      </c>
      <c r="P3" s="121">
        <v>26</v>
      </c>
      <c r="Q3" s="105">
        <v>25800</v>
      </c>
    </row>
    <row r="4" spans="1:17" x14ac:dyDescent="0.4">
      <c r="A4" s="55" t="s">
        <v>6</v>
      </c>
      <c r="B4" s="152">
        <v>32.900000000000006</v>
      </c>
      <c r="C4" s="153"/>
      <c r="E4" s="63" t="s">
        <v>65</v>
      </c>
      <c r="F4" s="60" t="s">
        <v>21</v>
      </c>
      <c r="G4" s="47">
        <v>28</v>
      </c>
      <c r="H4" s="135">
        <f>IF(B$17=0,0,G4/B$17)</f>
        <v>0.3783783783783784</v>
      </c>
      <c r="I4" s="96">
        <v>11</v>
      </c>
      <c r="K4" s="38">
        <v>2</v>
      </c>
      <c r="L4" s="101">
        <v>-7.7000000000000011</v>
      </c>
      <c r="N4" s="117" t="s">
        <v>134</v>
      </c>
      <c r="O4" s="124">
        <f t="shared" si="0"/>
        <v>2240.909090909091</v>
      </c>
      <c r="P4" s="121">
        <v>22</v>
      </c>
      <c r="Q4" s="105">
        <v>49300</v>
      </c>
    </row>
    <row r="5" spans="1:17" x14ac:dyDescent="0.4">
      <c r="A5" s="55" t="s">
        <v>7</v>
      </c>
      <c r="B5" s="154">
        <f>IF(B$2=0,0,B$4/B$2)</f>
        <v>1.2653846153846156</v>
      </c>
      <c r="C5" s="155"/>
      <c r="E5" s="63" t="s">
        <v>182</v>
      </c>
      <c r="F5" s="60" t="s">
        <v>183</v>
      </c>
      <c r="G5" s="47">
        <v>28</v>
      </c>
      <c r="H5" s="135">
        <f>IF(B$17=0,0,G5/B$17)</f>
        <v>0.3783783783783784</v>
      </c>
      <c r="I5" s="96">
        <v>6</v>
      </c>
      <c r="K5" s="38">
        <v>3</v>
      </c>
      <c r="L5" s="101">
        <v>1.7999999999999989</v>
      </c>
      <c r="N5" s="117" t="s">
        <v>135</v>
      </c>
      <c r="O5" s="124">
        <f t="shared" si="0"/>
        <v>1405</v>
      </c>
      <c r="P5" s="121">
        <v>20</v>
      </c>
      <c r="Q5" s="105">
        <v>28100</v>
      </c>
    </row>
    <row r="6" spans="1:17" x14ac:dyDescent="0.4">
      <c r="A6" s="55" t="s">
        <v>1</v>
      </c>
      <c r="B6" s="144">
        <f>IF(B$2=0,0,(B$7*1+B$8*2+B$9*3)/B$2)</f>
        <v>2.0384615384615383</v>
      </c>
      <c r="C6" s="145"/>
      <c r="E6" s="63" t="s">
        <v>69</v>
      </c>
      <c r="F6" s="60" t="s">
        <v>12</v>
      </c>
      <c r="G6" s="47">
        <v>20</v>
      </c>
      <c r="H6" s="135">
        <f>IF(B$17=0,0,G6/B$17)</f>
        <v>0.27027027027027029</v>
      </c>
      <c r="I6" s="96">
        <v>6</v>
      </c>
      <c r="K6" s="38">
        <v>4</v>
      </c>
      <c r="L6" s="101">
        <v>34.9</v>
      </c>
      <c r="N6" s="117" t="s">
        <v>136</v>
      </c>
      <c r="O6" s="124">
        <f t="shared" si="0"/>
        <v>-4752.6315789473683</v>
      </c>
      <c r="P6" s="121">
        <v>19</v>
      </c>
      <c r="Q6" s="105">
        <v>-90300</v>
      </c>
    </row>
    <row r="7" spans="1:17" x14ac:dyDescent="0.4">
      <c r="A7" s="55" t="s">
        <v>2</v>
      </c>
      <c r="B7" s="47">
        <v>8</v>
      </c>
      <c r="C7" s="39">
        <f>IF(B$2=0,0,B7/B$2)</f>
        <v>0.30769230769230771</v>
      </c>
      <c r="E7" s="63" t="s">
        <v>68</v>
      </c>
      <c r="F7" s="60" t="s">
        <v>24</v>
      </c>
      <c r="G7" s="47">
        <v>16</v>
      </c>
      <c r="H7" s="135">
        <f>IF(B$17=0,0,G7/B$17)</f>
        <v>0.21621621621621623</v>
      </c>
      <c r="I7" s="96">
        <v>8</v>
      </c>
      <c r="K7" s="38">
        <v>5</v>
      </c>
      <c r="L7" s="101">
        <v>29.4</v>
      </c>
      <c r="N7" s="118" t="s">
        <v>137</v>
      </c>
      <c r="O7" s="125">
        <f t="shared" si="0"/>
        <v>-1076.4705882352941</v>
      </c>
      <c r="P7" s="122">
        <v>17</v>
      </c>
      <c r="Q7" s="106">
        <v>-18300</v>
      </c>
    </row>
    <row r="8" spans="1:17" x14ac:dyDescent="0.4">
      <c r="A8" s="55" t="s">
        <v>3</v>
      </c>
      <c r="B8" s="47">
        <v>9</v>
      </c>
      <c r="C8" s="39">
        <f>IF(B$2=0,0,B8/B$2)</f>
        <v>0.34615384615384615</v>
      </c>
      <c r="E8" s="63" t="s">
        <v>70</v>
      </c>
      <c r="F8" s="60" t="s">
        <v>25</v>
      </c>
      <c r="G8" s="47">
        <v>11</v>
      </c>
      <c r="H8" s="135">
        <f>IF(B$17=0,0,G8/B$17)</f>
        <v>0.14864864864864866</v>
      </c>
      <c r="I8" s="96">
        <v>10</v>
      </c>
      <c r="K8" s="38">
        <v>6</v>
      </c>
      <c r="L8" s="101">
        <v>4.2999999999999972</v>
      </c>
      <c r="N8" s="43"/>
      <c r="O8" s="129"/>
      <c r="P8" s="113"/>
      <c r="Q8" s="111"/>
    </row>
    <row r="9" spans="1:17" x14ac:dyDescent="0.4">
      <c r="A9" s="56" t="s">
        <v>4</v>
      </c>
      <c r="B9" s="48">
        <v>9</v>
      </c>
      <c r="C9" s="40">
        <f t="shared" ref="C9" si="1">IF(B$2=0,0,B9/B$2)</f>
        <v>0.34615384615384615</v>
      </c>
      <c r="E9" s="63" t="s">
        <v>66</v>
      </c>
      <c r="F9" s="60" t="s">
        <v>22</v>
      </c>
      <c r="G9" s="47">
        <v>6</v>
      </c>
      <c r="H9" s="135">
        <f>IF(B$17=0,0,G9/B$17)</f>
        <v>8.1081081081081086E-2</v>
      </c>
      <c r="I9" s="96">
        <v>8</v>
      </c>
      <c r="K9" s="38">
        <v>7</v>
      </c>
      <c r="L9" s="101">
        <v>7.7999999999999972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7.6923076923076927E-2</v>
      </c>
      <c r="E10" s="63" t="s">
        <v>71</v>
      </c>
      <c r="F10" s="60" t="s">
        <v>26</v>
      </c>
      <c r="G10" s="47">
        <v>6</v>
      </c>
      <c r="H10" s="135">
        <f>IF(B$17=0,0,G10/B$17)</f>
        <v>8.1081081081081086E-2</v>
      </c>
      <c r="I10" s="96">
        <v>8</v>
      </c>
      <c r="K10" s="38">
        <v>8</v>
      </c>
      <c r="L10" s="101">
        <v>-29.5</v>
      </c>
      <c r="N10" s="116" t="s">
        <v>165</v>
      </c>
      <c r="O10" s="126">
        <f>IF(P10=0,0,Q10/P10)</f>
        <v>-18.020000000000003</v>
      </c>
      <c r="P10" s="120">
        <v>10</v>
      </c>
      <c r="Q10" s="108">
        <v>-180.20000000000002</v>
      </c>
    </row>
    <row r="11" spans="1:17" x14ac:dyDescent="0.4">
      <c r="A11" s="56" t="s">
        <v>140</v>
      </c>
      <c r="B11" s="48">
        <v>3</v>
      </c>
      <c r="C11" s="40">
        <f>IF(B$2=0,0,B11/B$2)</f>
        <v>0.11538461538461539</v>
      </c>
      <c r="E11" s="63" t="s">
        <v>90</v>
      </c>
      <c r="F11" s="60" t="s">
        <v>45</v>
      </c>
      <c r="G11" s="47">
        <v>5</v>
      </c>
      <c r="H11" s="135">
        <f>IF(B$17=0,0,G11/B$17)</f>
        <v>6.7567567567567571E-2</v>
      </c>
      <c r="I11" s="96">
        <v>11</v>
      </c>
      <c r="K11" s="38">
        <v>9</v>
      </c>
      <c r="L11" s="101">
        <v>-56.5</v>
      </c>
      <c r="N11" s="117" t="s">
        <v>166</v>
      </c>
      <c r="O11" s="127">
        <f>IF(P11=0,0,Q11/P11)</f>
        <v>20.7</v>
      </c>
      <c r="P11" s="121">
        <v>6</v>
      </c>
      <c r="Q11" s="109">
        <v>124.19999999999999</v>
      </c>
    </row>
    <row r="12" spans="1:17" x14ac:dyDescent="0.4">
      <c r="A12" s="57" t="s">
        <v>160</v>
      </c>
      <c r="B12" s="49">
        <v>1</v>
      </c>
      <c r="C12" s="42">
        <f>IF(B$2=0,0,B12/B$2)</f>
        <v>3.8461538461538464E-2</v>
      </c>
      <c r="E12" s="63" t="s">
        <v>82</v>
      </c>
      <c r="F12" s="60" t="s">
        <v>37</v>
      </c>
      <c r="G12" s="47">
        <v>3</v>
      </c>
      <c r="H12" s="135">
        <f>IF(B$17=0,0,G12/B$17)</f>
        <v>4.0540540540540543E-2</v>
      </c>
      <c r="I12" s="96">
        <v>3</v>
      </c>
      <c r="K12" s="38">
        <v>10</v>
      </c>
      <c r="L12" s="101">
        <v>24.200000000000003</v>
      </c>
      <c r="N12" s="118" t="s">
        <v>167</v>
      </c>
      <c r="O12" s="128">
        <f>IF(P12=0,0,Q12/P12)</f>
        <v>8.89</v>
      </c>
      <c r="P12" s="122">
        <v>10</v>
      </c>
      <c r="Q12" s="110">
        <v>88.9</v>
      </c>
    </row>
    <row r="13" spans="1:17" x14ac:dyDescent="0.4">
      <c r="A13" s="58" t="s">
        <v>122</v>
      </c>
      <c r="B13" s="50">
        <v>50</v>
      </c>
      <c r="C13" s="44">
        <f>IF(B$3=0,0,B13/B$3)</f>
        <v>0.23364485981308411</v>
      </c>
      <c r="E13" s="63" t="s">
        <v>84</v>
      </c>
      <c r="F13" s="60" t="s">
        <v>39</v>
      </c>
      <c r="G13" s="47">
        <v>3</v>
      </c>
      <c r="H13" s="135">
        <f>IF(B$17=0,0,G13/B$17)</f>
        <v>4.0540540540540543E-2</v>
      </c>
      <c r="I13" s="96">
        <v>5</v>
      </c>
      <c r="K13" s="38">
        <v>11</v>
      </c>
      <c r="L13" s="101">
        <v>74.2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70</v>
      </c>
      <c r="C14" s="39">
        <f>IF(B$3=0,0,B14/B$3)</f>
        <v>0.32710280373831774</v>
      </c>
      <c r="E14" s="63" t="s">
        <v>87</v>
      </c>
      <c r="F14" s="60" t="s">
        <v>42</v>
      </c>
      <c r="G14" s="47">
        <v>3</v>
      </c>
      <c r="H14" s="135">
        <f>IF(B$17=0,0,G14/B$17)</f>
        <v>4.0540540540540543E-2</v>
      </c>
      <c r="I14" s="96">
        <v>9</v>
      </c>
      <c r="K14" s="38">
        <v>12</v>
      </c>
      <c r="L14" s="101">
        <v>46.1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29</v>
      </c>
      <c r="C15" s="37">
        <f>IF(B$13=0,0,B15/B$13)</f>
        <v>0.57999999999999996</v>
      </c>
      <c r="E15" s="63" t="s">
        <v>72</v>
      </c>
      <c r="F15" s="60" t="s">
        <v>27</v>
      </c>
      <c r="G15" s="47">
        <v>2</v>
      </c>
      <c r="H15" s="135">
        <f>IF(B$17=0,0,G15/B$17)</f>
        <v>2.7027027027027029E-2</v>
      </c>
      <c r="I15" s="96">
        <v>9</v>
      </c>
      <c r="K15" s="38">
        <v>13</v>
      </c>
      <c r="L15" s="101">
        <v>-3</v>
      </c>
      <c r="N15" s="116" t="s">
        <v>129</v>
      </c>
      <c r="O15" s="126">
        <f>IF(P15=0,0,Q15/P15)</f>
        <v>70.183333333333323</v>
      </c>
      <c r="P15" s="120">
        <v>6</v>
      </c>
      <c r="Q15" s="108">
        <v>421.09999999999997</v>
      </c>
    </row>
    <row r="16" spans="1:17" x14ac:dyDescent="0.4">
      <c r="A16" s="54" t="s">
        <v>125</v>
      </c>
      <c r="B16" s="46">
        <v>29</v>
      </c>
      <c r="C16" s="37">
        <f>IF(B$14=0,0,B16/B$14)</f>
        <v>0.41428571428571431</v>
      </c>
      <c r="E16" s="63" t="s">
        <v>79</v>
      </c>
      <c r="F16" s="60" t="s">
        <v>34</v>
      </c>
      <c r="G16" s="47">
        <v>2</v>
      </c>
      <c r="H16" s="135">
        <f>IF(B$17=0,0,G16/B$17)</f>
        <v>2.7027027027027029E-2</v>
      </c>
      <c r="I16" s="96">
        <v>3</v>
      </c>
      <c r="K16" s="38">
        <v>14</v>
      </c>
      <c r="L16" s="101">
        <v>-12.3</v>
      </c>
      <c r="N16" s="117" t="s">
        <v>178</v>
      </c>
      <c r="O16" s="127">
        <f>IF(P16=0,0,Q16/P16)</f>
        <v>34.799999999999997</v>
      </c>
      <c r="P16" s="121">
        <v>2</v>
      </c>
      <c r="Q16" s="109">
        <v>69.599999999999994</v>
      </c>
    </row>
    <row r="17" spans="1:17" x14ac:dyDescent="0.4">
      <c r="A17" s="54" t="s">
        <v>10</v>
      </c>
      <c r="B17" s="46">
        <f>B19+B18</f>
        <v>74</v>
      </c>
      <c r="C17" s="37">
        <f>IF(B$3=0,0,B17/B$3)</f>
        <v>0.34579439252336447</v>
      </c>
      <c r="E17" s="63" t="s">
        <v>80</v>
      </c>
      <c r="F17" s="60" t="s">
        <v>35</v>
      </c>
      <c r="G17" s="47">
        <v>2</v>
      </c>
      <c r="H17" s="135">
        <f>IF(B$17=0,0,G17/B$17)</f>
        <v>2.7027027027027029E-2</v>
      </c>
      <c r="I17" s="96">
        <v>1</v>
      </c>
      <c r="K17" s="38">
        <v>15</v>
      </c>
      <c r="L17" s="101">
        <v>-80.3</v>
      </c>
      <c r="N17" s="117" t="s">
        <v>174</v>
      </c>
      <c r="O17" s="127">
        <f>IF(P17=0,0,Q17/P17)</f>
        <v>27.24</v>
      </c>
      <c r="P17" s="121">
        <v>5</v>
      </c>
      <c r="Q17" s="109">
        <v>136.19999999999999</v>
      </c>
    </row>
    <row r="18" spans="1:17" x14ac:dyDescent="0.4">
      <c r="A18" s="55" t="s">
        <v>12</v>
      </c>
      <c r="B18" s="47">
        <v>31</v>
      </c>
      <c r="C18" s="39">
        <f>IF(B$17=0,0,B18/B$17)</f>
        <v>0.41891891891891891</v>
      </c>
      <c r="E18" s="63" t="s">
        <v>92</v>
      </c>
      <c r="F18" s="60" t="s">
        <v>47</v>
      </c>
      <c r="G18" s="47">
        <v>1</v>
      </c>
      <c r="H18" s="135">
        <f>IF(B$17=0,0,G18/B$17)</f>
        <v>1.3513513513513514E-2</v>
      </c>
      <c r="I18" s="96">
        <v>6</v>
      </c>
      <c r="K18" s="38">
        <v>16</v>
      </c>
      <c r="L18" s="101">
        <v>-87.6</v>
      </c>
      <c r="N18" s="117" t="s">
        <v>203</v>
      </c>
      <c r="O18" s="127">
        <f>IF(P18=0,0,Q18/P18)</f>
        <v>16.449999999999996</v>
      </c>
      <c r="P18" s="121">
        <v>4</v>
      </c>
      <c r="Q18" s="109">
        <v>65.799999999999983</v>
      </c>
    </row>
    <row r="19" spans="1:17" x14ac:dyDescent="0.4">
      <c r="A19" s="55" t="s">
        <v>11</v>
      </c>
      <c r="B19" s="47">
        <v>43</v>
      </c>
      <c r="C19" s="39">
        <f>IF(B$17=0,0,B19/B$17)</f>
        <v>0.58108108108108103</v>
      </c>
      <c r="E19" s="63" t="s">
        <v>74</v>
      </c>
      <c r="F19" s="60" t="s">
        <v>29</v>
      </c>
      <c r="G19" s="47">
        <v>0</v>
      </c>
      <c r="H19" s="135">
        <f>IF(B$17=0,0,G19/B$17)</f>
        <v>0</v>
      </c>
      <c r="I19" s="96">
        <v>5</v>
      </c>
      <c r="K19" s="38">
        <v>17</v>
      </c>
      <c r="L19" s="101">
        <v>-55.099999999999994</v>
      </c>
      <c r="N19" s="117" t="s">
        <v>172</v>
      </c>
      <c r="O19" s="127">
        <f>IF(P19=0,0,Q19/P19)</f>
        <v>-0.25000000000000211</v>
      </c>
      <c r="P19" s="121">
        <v>10</v>
      </c>
      <c r="Q19" s="109">
        <v>-2.5000000000000213</v>
      </c>
    </row>
    <row r="20" spans="1:17" x14ac:dyDescent="0.4">
      <c r="A20" s="55" t="s">
        <v>13</v>
      </c>
      <c r="B20" s="47">
        <v>30</v>
      </c>
      <c r="C20" s="39">
        <f>IF(B$3=0,0,B20/B$3)</f>
        <v>0.14018691588785046</v>
      </c>
      <c r="E20" s="63" t="s">
        <v>75</v>
      </c>
      <c r="F20" s="60" t="s">
        <v>30</v>
      </c>
      <c r="G20" s="47">
        <v>0</v>
      </c>
      <c r="H20" s="135">
        <f>IF(B$17=0,0,G20/B$17)</f>
        <v>0</v>
      </c>
      <c r="I20" s="96">
        <v>3</v>
      </c>
      <c r="K20" s="38">
        <v>18</v>
      </c>
      <c r="L20" s="101">
        <v>-28.199999999999996</v>
      </c>
      <c r="N20" s="117" t="s">
        <v>128</v>
      </c>
      <c r="O20" s="127">
        <f>IF(P20=0,0,Q20/P20)</f>
        <v>-0.6230769230769263</v>
      </c>
      <c r="P20" s="121">
        <v>13</v>
      </c>
      <c r="Q20" s="109">
        <v>-8.1000000000000423</v>
      </c>
    </row>
    <row r="21" spans="1:17" x14ac:dyDescent="0.4">
      <c r="A21" s="55" t="s">
        <v>194</v>
      </c>
      <c r="B21" s="47">
        <v>10</v>
      </c>
      <c r="C21" s="137">
        <v>0</v>
      </c>
      <c r="E21" s="63" t="s">
        <v>76</v>
      </c>
      <c r="F21" s="60" t="s">
        <v>31</v>
      </c>
      <c r="G21" s="47">
        <v>0</v>
      </c>
      <c r="H21" s="135">
        <f>IF(B$17=0,0,G21/B$17)</f>
        <v>0</v>
      </c>
      <c r="I21" s="96">
        <v>6</v>
      </c>
      <c r="K21" s="38">
        <v>19</v>
      </c>
      <c r="L21" s="101">
        <v>29.200000000000003</v>
      </c>
      <c r="N21" s="117" t="s">
        <v>127</v>
      </c>
      <c r="O21" s="127">
        <f>IF(P21=0,0,Q21/P21)</f>
        <v>-48.616666666666667</v>
      </c>
      <c r="P21" s="121">
        <v>12</v>
      </c>
      <c r="Q21" s="109">
        <v>-583.4</v>
      </c>
    </row>
    <row r="22" spans="1:17" x14ac:dyDescent="0.4">
      <c r="A22" s="55" t="s">
        <v>195</v>
      </c>
      <c r="B22" s="47">
        <v>23</v>
      </c>
      <c r="C22" s="137">
        <v>8</v>
      </c>
      <c r="E22" s="63" t="s">
        <v>77</v>
      </c>
      <c r="F22" s="60" t="s">
        <v>32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43</v>
      </c>
    </row>
    <row r="23" spans="1:17" x14ac:dyDescent="0.4">
      <c r="A23" s="55" t="s">
        <v>5</v>
      </c>
      <c r="B23" s="51">
        <f>IF(B$17=0,0,C23/B$17)</f>
        <v>6987.8378378378375</v>
      </c>
      <c r="C23" s="41">
        <v>517100</v>
      </c>
      <c r="E23" s="63" t="s">
        <v>78</v>
      </c>
      <c r="F23" s="60" t="s">
        <v>33</v>
      </c>
      <c r="G23" s="47">
        <v>0</v>
      </c>
      <c r="H23" s="135">
        <f>IF(B$17=0,0,G23/B$17)</f>
        <v>0</v>
      </c>
      <c r="I23" s="96">
        <v>4</v>
      </c>
      <c r="K23" s="38">
        <v>21</v>
      </c>
      <c r="L23" s="101">
        <v>89.9</v>
      </c>
    </row>
    <row r="24" spans="1:17" x14ac:dyDescent="0.4">
      <c r="A24" s="57" t="s">
        <v>14</v>
      </c>
      <c r="B24" s="52">
        <f>IF(B$20=0,0,C24/B$20)</f>
        <v>-8900</v>
      </c>
      <c r="C24" s="45">
        <v>-267000</v>
      </c>
      <c r="E24" s="63" t="s">
        <v>81</v>
      </c>
      <c r="F24" s="60" t="s">
        <v>36</v>
      </c>
      <c r="G24" s="47">
        <v>0</v>
      </c>
      <c r="H24" s="135">
        <f>IF(B$17=0,0,G24/B$17)</f>
        <v>0</v>
      </c>
      <c r="I24" s="96">
        <v>1</v>
      </c>
      <c r="K24" s="38">
        <v>22</v>
      </c>
      <c r="L24" s="101">
        <v>54.7</v>
      </c>
    </row>
    <row r="25" spans="1:17" x14ac:dyDescent="0.4">
      <c r="A25" s="92" t="s">
        <v>142</v>
      </c>
      <c r="B25" s="142">
        <v>7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-5.3999999999999986</v>
      </c>
    </row>
    <row r="26" spans="1:17" x14ac:dyDescent="0.4">
      <c r="A26" s="58" t="s">
        <v>152</v>
      </c>
      <c r="B26" s="140">
        <v>95700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  <c r="K26" s="38">
        <v>24</v>
      </c>
      <c r="L26" s="101">
        <v>68.900000000000006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5">
        <f>IF(B$17=0,0,G27/B$17)</f>
        <v>0</v>
      </c>
      <c r="I27" s="96">
        <v>3</v>
      </c>
      <c r="K27" s="38">
        <v>25</v>
      </c>
      <c r="L27" s="101">
        <v>30.400000000000006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  <c r="K28" s="38">
        <v>26</v>
      </c>
      <c r="L28" s="101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5">
        <f>IF(B$17=0,0,G29/B$17)</f>
        <v>0</v>
      </c>
      <c r="I29" s="96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09C84-C3E3-4625-BE4A-4205D5F4A3F0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174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24</v>
      </c>
      <c r="C2" s="149"/>
      <c r="E2" s="62" t="s">
        <v>67</v>
      </c>
      <c r="F2" s="59" t="s">
        <v>23</v>
      </c>
      <c r="G2" s="46">
        <v>48</v>
      </c>
      <c r="H2" s="134">
        <f>IF(B$17=0,0,G2/B$17)</f>
        <v>0.77419354838709675</v>
      </c>
      <c r="I2" s="95">
        <v>5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-3575</v>
      </c>
      <c r="P2" s="120">
        <v>24</v>
      </c>
      <c r="Q2" s="104">
        <v>-85800</v>
      </c>
    </row>
    <row r="3" spans="1:17" x14ac:dyDescent="0.4">
      <c r="A3" s="55" t="s">
        <v>8</v>
      </c>
      <c r="B3" s="150">
        <v>215</v>
      </c>
      <c r="C3" s="151"/>
      <c r="E3" s="63" t="s">
        <v>73</v>
      </c>
      <c r="F3" s="60" t="s">
        <v>28</v>
      </c>
      <c r="G3" s="47">
        <v>30</v>
      </c>
      <c r="H3" s="135">
        <f>IF(B$17=0,0,G3/B$17)</f>
        <v>0.4838709677419355</v>
      </c>
      <c r="I3" s="96">
        <v>9</v>
      </c>
      <c r="K3" s="38">
        <v>1</v>
      </c>
      <c r="L3" s="101">
        <v>-82.6</v>
      </c>
      <c r="N3" s="117" t="s">
        <v>133</v>
      </c>
      <c r="O3" s="124">
        <f t="shared" si="0"/>
        <v>-745.83333333333337</v>
      </c>
      <c r="P3" s="121">
        <v>24</v>
      </c>
      <c r="Q3" s="105">
        <v>-17900</v>
      </c>
    </row>
    <row r="4" spans="1:17" x14ac:dyDescent="0.4">
      <c r="A4" s="55" t="s">
        <v>6</v>
      </c>
      <c r="B4" s="152">
        <v>-287.89999999999998</v>
      </c>
      <c r="C4" s="153"/>
      <c r="E4" s="63" t="s">
        <v>65</v>
      </c>
      <c r="F4" s="60" t="s">
        <v>21</v>
      </c>
      <c r="G4" s="47">
        <v>26</v>
      </c>
      <c r="H4" s="135">
        <f>IF(B$17=0,0,G4/B$17)</f>
        <v>0.41935483870967744</v>
      </c>
      <c r="I4" s="96">
        <v>8</v>
      </c>
      <c r="K4" s="38">
        <v>2</v>
      </c>
      <c r="L4" s="101">
        <v>-122.3</v>
      </c>
      <c r="N4" s="117" t="s">
        <v>134</v>
      </c>
      <c r="O4" s="124">
        <f t="shared" si="0"/>
        <v>-2377.2727272727275</v>
      </c>
      <c r="P4" s="121">
        <v>22</v>
      </c>
      <c r="Q4" s="105">
        <v>-52300</v>
      </c>
    </row>
    <row r="5" spans="1:17" x14ac:dyDescent="0.4">
      <c r="A5" s="55" t="s">
        <v>7</v>
      </c>
      <c r="B5" s="154">
        <f>IF(B$2=0,0,B$4/B$2)</f>
        <v>-11.995833333333332</v>
      </c>
      <c r="C5" s="155"/>
      <c r="E5" s="63" t="s">
        <v>69</v>
      </c>
      <c r="F5" s="60" t="s">
        <v>12</v>
      </c>
      <c r="G5" s="47">
        <v>24</v>
      </c>
      <c r="H5" s="135">
        <f>IF(B$17=0,0,G5/B$17)</f>
        <v>0.38709677419354838</v>
      </c>
      <c r="I5" s="96">
        <v>3</v>
      </c>
      <c r="K5" s="38">
        <v>3</v>
      </c>
      <c r="L5" s="101">
        <v>-149</v>
      </c>
      <c r="N5" s="117" t="s">
        <v>135</v>
      </c>
      <c r="O5" s="124">
        <f t="shared" si="0"/>
        <v>-3452.3809523809523</v>
      </c>
      <c r="P5" s="121">
        <v>21</v>
      </c>
      <c r="Q5" s="105">
        <v>-72500</v>
      </c>
    </row>
    <row r="6" spans="1:17" x14ac:dyDescent="0.4">
      <c r="A6" s="55" t="s">
        <v>1</v>
      </c>
      <c r="B6" s="144">
        <f>IF(B$2=0,0,(B$7*1+B$8*2+B$9*3)/B$2)</f>
        <v>2.1666666666666665</v>
      </c>
      <c r="C6" s="145"/>
      <c r="E6" s="63" t="s">
        <v>182</v>
      </c>
      <c r="F6" s="60" t="s">
        <v>183</v>
      </c>
      <c r="G6" s="47">
        <v>18</v>
      </c>
      <c r="H6" s="135">
        <f>IF(B$17=0,0,G6/B$17)</f>
        <v>0.29032258064516131</v>
      </c>
      <c r="I6" s="96">
        <v>11</v>
      </c>
      <c r="K6" s="38">
        <v>4</v>
      </c>
      <c r="L6" s="101">
        <v>-150.6</v>
      </c>
      <c r="N6" s="117" t="s">
        <v>136</v>
      </c>
      <c r="O6" s="124">
        <f t="shared" si="0"/>
        <v>1684.2105263157894</v>
      </c>
      <c r="P6" s="121">
        <v>19</v>
      </c>
      <c r="Q6" s="105">
        <v>32000</v>
      </c>
    </row>
    <row r="7" spans="1:17" x14ac:dyDescent="0.4">
      <c r="A7" s="55" t="s">
        <v>2</v>
      </c>
      <c r="B7" s="47">
        <v>5</v>
      </c>
      <c r="C7" s="39">
        <f>IF(B$2=0,0,B7/B$2)</f>
        <v>0.20833333333333334</v>
      </c>
      <c r="E7" s="63" t="s">
        <v>68</v>
      </c>
      <c r="F7" s="60" t="s">
        <v>24</v>
      </c>
      <c r="G7" s="47">
        <v>11</v>
      </c>
      <c r="H7" s="135">
        <f>IF(B$17=0,0,G7/B$17)</f>
        <v>0.17741935483870969</v>
      </c>
      <c r="I7" s="96">
        <v>9</v>
      </c>
      <c r="K7" s="38">
        <v>5</v>
      </c>
      <c r="L7" s="101">
        <v>-184.89999999999998</v>
      </c>
      <c r="N7" s="118" t="s">
        <v>137</v>
      </c>
      <c r="O7" s="125">
        <f t="shared" si="0"/>
        <v>-633.33333333333337</v>
      </c>
      <c r="P7" s="122">
        <v>18</v>
      </c>
      <c r="Q7" s="106">
        <v>-11400</v>
      </c>
    </row>
    <row r="8" spans="1:17" x14ac:dyDescent="0.4">
      <c r="A8" s="55" t="s">
        <v>3</v>
      </c>
      <c r="B8" s="47">
        <v>10</v>
      </c>
      <c r="C8" s="39">
        <f>IF(B$2=0,0,B8/B$2)</f>
        <v>0.41666666666666669</v>
      </c>
      <c r="E8" s="63" t="s">
        <v>71</v>
      </c>
      <c r="F8" s="60" t="s">
        <v>26</v>
      </c>
      <c r="G8" s="47">
        <v>7</v>
      </c>
      <c r="H8" s="135">
        <f>IF(B$17=0,0,G8/B$17)</f>
        <v>0.11290322580645161</v>
      </c>
      <c r="I8" s="96">
        <v>4</v>
      </c>
      <c r="K8" s="38">
        <v>6</v>
      </c>
      <c r="L8" s="101">
        <v>-187.59999999999997</v>
      </c>
      <c r="N8" s="43"/>
      <c r="O8" s="129"/>
      <c r="P8" s="113"/>
      <c r="Q8" s="111"/>
    </row>
    <row r="9" spans="1:17" x14ac:dyDescent="0.4">
      <c r="A9" s="56" t="s">
        <v>4</v>
      </c>
      <c r="B9" s="48">
        <v>9</v>
      </c>
      <c r="C9" s="40">
        <f t="shared" ref="C9" si="1">IF(B$2=0,0,B9/B$2)</f>
        <v>0.375</v>
      </c>
      <c r="E9" s="63" t="s">
        <v>90</v>
      </c>
      <c r="F9" s="60" t="s">
        <v>45</v>
      </c>
      <c r="G9" s="47">
        <v>7</v>
      </c>
      <c r="H9" s="135">
        <f>IF(B$17=0,0,G9/B$17)</f>
        <v>0.11290322580645161</v>
      </c>
      <c r="I9" s="96">
        <v>8</v>
      </c>
      <c r="K9" s="38">
        <v>7</v>
      </c>
      <c r="L9" s="101">
        <v>-216.09999999999997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0.125</v>
      </c>
      <c r="E10" s="63" t="s">
        <v>70</v>
      </c>
      <c r="F10" s="60" t="s">
        <v>25</v>
      </c>
      <c r="G10" s="47">
        <v>6</v>
      </c>
      <c r="H10" s="135">
        <f>IF(B$17=0,0,G10/B$17)</f>
        <v>9.6774193548387094E-2</v>
      </c>
      <c r="I10" s="96">
        <v>11</v>
      </c>
      <c r="K10" s="38">
        <v>8</v>
      </c>
      <c r="L10" s="101">
        <v>-219.59999999999997</v>
      </c>
      <c r="N10" s="116" t="s">
        <v>165</v>
      </c>
      <c r="O10" s="126">
        <f>IF(P10=0,0,Q10/P10)</f>
        <v>-13.285714285714286</v>
      </c>
      <c r="P10" s="120">
        <v>7</v>
      </c>
      <c r="Q10" s="108">
        <v>-93</v>
      </c>
    </row>
    <row r="11" spans="1:17" x14ac:dyDescent="0.4">
      <c r="A11" s="56" t="s">
        <v>140</v>
      </c>
      <c r="B11" s="48">
        <v>1</v>
      </c>
      <c r="C11" s="40">
        <f>IF(B$2=0,0,B11/B$2)</f>
        <v>4.1666666666666664E-2</v>
      </c>
      <c r="E11" s="63" t="s">
        <v>72</v>
      </c>
      <c r="F11" s="60" t="s">
        <v>27</v>
      </c>
      <c r="G11" s="47">
        <v>4</v>
      </c>
      <c r="H11" s="135">
        <f>IF(B$17=0,0,G11/B$17)</f>
        <v>6.4516129032258063E-2</v>
      </c>
      <c r="I11" s="96">
        <v>4</v>
      </c>
      <c r="K11" s="38">
        <v>9</v>
      </c>
      <c r="L11" s="101">
        <v>-260.59999999999997</v>
      </c>
      <c r="N11" s="117" t="s">
        <v>166</v>
      </c>
      <c r="O11" s="127">
        <f>IF(P11=0,0,Q11/P11)</f>
        <v>-9.8769230769230756</v>
      </c>
      <c r="P11" s="121">
        <v>13</v>
      </c>
      <c r="Q11" s="109">
        <v>-128.39999999999998</v>
      </c>
    </row>
    <row r="12" spans="1:17" x14ac:dyDescent="0.4">
      <c r="A12" s="57" t="s">
        <v>160</v>
      </c>
      <c r="B12" s="49">
        <v>1</v>
      </c>
      <c r="C12" s="42">
        <f>IF(B$2=0,0,B12/B$2)</f>
        <v>4.1666666666666664E-2</v>
      </c>
      <c r="E12" s="63" t="s">
        <v>87</v>
      </c>
      <c r="F12" s="60" t="s">
        <v>42</v>
      </c>
      <c r="G12" s="47">
        <v>3</v>
      </c>
      <c r="H12" s="135">
        <f>IF(B$17=0,0,G12/B$17)</f>
        <v>4.8387096774193547E-2</v>
      </c>
      <c r="I12" s="96">
        <v>8</v>
      </c>
      <c r="K12" s="38">
        <v>10</v>
      </c>
      <c r="L12" s="101">
        <v>-318.39999999999998</v>
      </c>
      <c r="N12" s="118" t="s">
        <v>167</v>
      </c>
      <c r="O12" s="128">
        <f>IF(P12=0,0,Q12/P12)</f>
        <v>-16.625</v>
      </c>
      <c r="P12" s="122">
        <v>4</v>
      </c>
      <c r="Q12" s="110">
        <v>-66.5</v>
      </c>
    </row>
    <row r="13" spans="1:17" x14ac:dyDescent="0.4">
      <c r="A13" s="58" t="s">
        <v>122</v>
      </c>
      <c r="B13" s="50">
        <v>47</v>
      </c>
      <c r="C13" s="44">
        <f>IF(B$3=0,0,B13/B$3)</f>
        <v>0.21860465116279071</v>
      </c>
      <c r="E13" s="63" t="s">
        <v>66</v>
      </c>
      <c r="F13" s="60" t="s">
        <v>22</v>
      </c>
      <c r="G13" s="47">
        <v>2</v>
      </c>
      <c r="H13" s="135">
        <f>IF(B$17=0,0,G13/B$17)</f>
        <v>3.2258064516129031E-2</v>
      </c>
      <c r="I13" s="96">
        <v>9</v>
      </c>
      <c r="K13" s="38">
        <v>11</v>
      </c>
      <c r="L13" s="101">
        <v>-325.39999999999998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49</v>
      </c>
      <c r="C14" s="39">
        <f>IF(B$3=0,0,B14/B$3)</f>
        <v>0.22790697674418606</v>
      </c>
      <c r="E14" s="63" t="s">
        <v>84</v>
      </c>
      <c r="F14" s="60" t="s">
        <v>39</v>
      </c>
      <c r="G14" s="47">
        <v>2</v>
      </c>
      <c r="H14" s="135">
        <f>IF(B$17=0,0,G14/B$17)</f>
        <v>3.2258064516129031E-2</v>
      </c>
      <c r="I14" s="96">
        <v>8</v>
      </c>
      <c r="K14" s="38">
        <v>12</v>
      </c>
      <c r="L14" s="101">
        <v>-289.59999999999997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26</v>
      </c>
      <c r="C15" s="37">
        <f>IF(B$13=0,0,B15/B$13)</f>
        <v>0.55319148936170215</v>
      </c>
      <c r="E15" s="63" t="s">
        <v>74</v>
      </c>
      <c r="F15" s="60" t="s">
        <v>29</v>
      </c>
      <c r="G15" s="47">
        <v>1</v>
      </c>
      <c r="H15" s="135">
        <f>IF(B$17=0,0,G15/B$17)</f>
        <v>1.6129032258064516E-2</v>
      </c>
      <c r="I15" s="96">
        <v>1</v>
      </c>
      <c r="K15" s="38">
        <v>13</v>
      </c>
      <c r="L15" s="101">
        <v>-302.59999999999997</v>
      </c>
      <c r="N15" s="116" t="s">
        <v>129</v>
      </c>
      <c r="O15" s="126">
        <f>IF(P15=0,0,Q15/P15)</f>
        <v>19.3</v>
      </c>
      <c r="P15" s="120">
        <v>4</v>
      </c>
      <c r="Q15" s="108">
        <v>77.2</v>
      </c>
    </row>
    <row r="16" spans="1:17" x14ac:dyDescent="0.4">
      <c r="A16" s="54" t="s">
        <v>125</v>
      </c>
      <c r="B16" s="46">
        <v>16</v>
      </c>
      <c r="C16" s="37">
        <f>IF(B$14=0,0,B16/B$14)</f>
        <v>0.32653061224489793</v>
      </c>
      <c r="E16" s="63" t="s">
        <v>80</v>
      </c>
      <c r="F16" s="60" t="s">
        <v>35</v>
      </c>
      <c r="G16" s="47">
        <v>1</v>
      </c>
      <c r="H16" s="135">
        <f>IF(B$17=0,0,G16/B$17)</f>
        <v>1.6129032258064516E-2</v>
      </c>
      <c r="I16" s="96">
        <v>2</v>
      </c>
      <c r="K16" s="38">
        <v>14</v>
      </c>
      <c r="L16" s="101">
        <v>-269.99999999999994</v>
      </c>
      <c r="N16" s="117" t="s">
        <v>128</v>
      </c>
      <c r="O16" s="127">
        <f>IF(P16=0,0,Q16/P16)</f>
        <v>-4.9499999999999984</v>
      </c>
      <c r="P16" s="121">
        <v>14</v>
      </c>
      <c r="Q16" s="109">
        <v>-69.299999999999983</v>
      </c>
    </row>
    <row r="17" spans="1:17" x14ac:dyDescent="0.4">
      <c r="A17" s="54" t="s">
        <v>10</v>
      </c>
      <c r="B17" s="46">
        <f>B19+B18</f>
        <v>62</v>
      </c>
      <c r="C17" s="37">
        <f>IF(B$3=0,0,B17/B$3)</f>
        <v>0.28837209302325584</v>
      </c>
      <c r="E17" s="63" t="s">
        <v>92</v>
      </c>
      <c r="F17" s="60" t="s">
        <v>47</v>
      </c>
      <c r="G17" s="47">
        <v>1</v>
      </c>
      <c r="H17" s="135">
        <f>IF(B$17=0,0,G17/B$17)</f>
        <v>1.6129032258064516E-2</v>
      </c>
      <c r="I17" s="96">
        <v>4</v>
      </c>
      <c r="K17" s="38">
        <v>15</v>
      </c>
      <c r="L17" s="101">
        <v>-264.59999999999997</v>
      </c>
      <c r="N17" s="117" t="s">
        <v>172</v>
      </c>
      <c r="O17" s="127">
        <f>IF(P17=0,0,Q17/P17)</f>
        <v>-10.618181818181816</v>
      </c>
      <c r="P17" s="121">
        <v>11</v>
      </c>
      <c r="Q17" s="109">
        <v>-116.79999999999997</v>
      </c>
    </row>
    <row r="18" spans="1:17" x14ac:dyDescent="0.4">
      <c r="A18" s="55" t="s">
        <v>12</v>
      </c>
      <c r="B18" s="47">
        <v>31</v>
      </c>
      <c r="C18" s="39">
        <f>IF(B$17=0,0,B18/B$17)</f>
        <v>0.5</v>
      </c>
      <c r="E18" s="63" t="s">
        <v>75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K18" s="38">
        <v>16</v>
      </c>
      <c r="L18" s="101">
        <v>-292.79999999999995</v>
      </c>
      <c r="N18" s="117" t="s">
        <v>178</v>
      </c>
      <c r="O18" s="127">
        <f>IF(P18=0,0,Q18/P18)</f>
        <v>-17.950000000000003</v>
      </c>
      <c r="P18" s="121">
        <v>2</v>
      </c>
      <c r="Q18" s="109">
        <v>-35.900000000000006</v>
      </c>
    </row>
    <row r="19" spans="1:17" x14ac:dyDescent="0.4">
      <c r="A19" s="55" t="s">
        <v>11</v>
      </c>
      <c r="B19" s="47">
        <v>31</v>
      </c>
      <c r="C19" s="39">
        <f>IF(B$17=0,0,B19/B$17)</f>
        <v>0.5</v>
      </c>
      <c r="E19" s="63" t="s">
        <v>76</v>
      </c>
      <c r="F19" s="60" t="s">
        <v>31</v>
      </c>
      <c r="G19" s="47">
        <v>0</v>
      </c>
      <c r="H19" s="135">
        <f>IF(B$17=0,0,G19/B$17)</f>
        <v>0</v>
      </c>
      <c r="I19" s="96">
        <v>6</v>
      </c>
      <c r="K19" s="38">
        <v>17</v>
      </c>
      <c r="L19" s="101">
        <v>-248.89999999999995</v>
      </c>
      <c r="N19" s="117" t="s">
        <v>173</v>
      </c>
      <c r="O19" s="127">
        <f>IF(P19=0,0,Q19/P19)</f>
        <v>-27.24</v>
      </c>
      <c r="P19" s="121">
        <v>5</v>
      </c>
      <c r="Q19" s="109">
        <v>-136.19999999999999</v>
      </c>
    </row>
    <row r="20" spans="1:17" x14ac:dyDescent="0.4">
      <c r="A20" s="55" t="s">
        <v>13</v>
      </c>
      <c r="B20" s="47">
        <v>47</v>
      </c>
      <c r="C20" s="39">
        <f>IF(B$3=0,0,B20/B$3)</f>
        <v>0.21860465116279071</v>
      </c>
      <c r="E20" s="63" t="s">
        <v>77</v>
      </c>
      <c r="F20" s="60" t="s">
        <v>32</v>
      </c>
      <c r="G20" s="47">
        <v>0</v>
      </c>
      <c r="H20" s="135">
        <f>IF(B$17=0,0,G20/B$17)</f>
        <v>0</v>
      </c>
      <c r="I20" s="96">
        <v>1</v>
      </c>
      <c r="K20" s="38">
        <v>18</v>
      </c>
      <c r="L20" s="101">
        <v>-218.99999999999994</v>
      </c>
      <c r="N20" s="117" t="s">
        <v>203</v>
      </c>
      <c r="O20" s="127">
        <f>IF(P20=0,0,Q20/P20)</f>
        <v>-43.1</v>
      </c>
      <c r="P20" s="121">
        <v>1</v>
      </c>
      <c r="Q20" s="109">
        <v>-43.1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78</v>
      </c>
      <c r="F21" s="60" t="s">
        <v>33</v>
      </c>
      <c r="G21" s="47">
        <v>0</v>
      </c>
      <c r="H21" s="135">
        <f>IF(B$17=0,0,G21/B$17)</f>
        <v>0</v>
      </c>
      <c r="I21" s="96">
        <v>4</v>
      </c>
      <c r="K21" s="38">
        <v>19</v>
      </c>
      <c r="L21" s="101">
        <v>-188.59999999999994</v>
      </c>
      <c r="N21" s="117" t="s">
        <v>186</v>
      </c>
      <c r="O21" s="127">
        <f>IF(P21=0,0,Q21/P21)</f>
        <v>-45.5</v>
      </c>
      <c r="P21" s="121">
        <v>1</v>
      </c>
      <c r="Q21" s="109">
        <v>-45.5</v>
      </c>
    </row>
    <row r="22" spans="1:17" x14ac:dyDescent="0.4">
      <c r="A22" s="55" t="s">
        <v>195</v>
      </c>
      <c r="B22" s="47">
        <v>14</v>
      </c>
      <c r="C22" s="137">
        <v>5</v>
      </c>
      <c r="E22" s="63" t="s">
        <v>79</v>
      </c>
      <c r="F22" s="60" t="s">
        <v>34</v>
      </c>
      <c r="G22" s="47">
        <v>0</v>
      </c>
      <c r="H22" s="135">
        <f>IF(B$17=0,0,G22/B$17)</f>
        <v>0</v>
      </c>
      <c r="I22" s="96">
        <v>8</v>
      </c>
      <c r="K22" s="38">
        <v>20</v>
      </c>
      <c r="L22" s="101">
        <v>-182.79999999999993</v>
      </c>
      <c r="N22" s="117" t="s">
        <v>127</v>
      </c>
      <c r="O22" s="127">
        <f>IF(P22=0,0,Q22/P22)</f>
        <v>-49.409999999999989</v>
      </c>
      <c r="P22" s="121">
        <v>10</v>
      </c>
      <c r="Q22" s="109">
        <v>-494.09999999999991</v>
      </c>
    </row>
    <row r="23" spans="1:17" x14ac:dyDescent="0.4">
      <c r="A23" s="55" t="s">
        <v>5</v>
      </c>
      <c r="B23" s="51">
        <f>IF(B$17=0,0,C23/B$17)</f>
        <v>6398.3870967741932</v>
      </c>
      <c r="C23" s="41">
        <v>396700</v>
      </c>
      <c r="E23" s="63" t="s">
        <v>81</v>
      </c>
      <c r="F23" s="60" t="s">
        <v>36</v>
      </c>
      <c r="G23" s="47">
        <v>0</v>
      </c>
      <c r="H23" s="135">
        <f>IF(B$17=0,0,G23/B$17)</f>
        <v>0</v>
      </c>
      <c r="I23" s="96">
        <v>1</v>
      </c>
      <c r="K23" s="38">
        <v>21</v>
      </c>
      <c r="L23" s="101">
        <v>-203.79999999999993</v>
      </c>
    </row>
    <row r="24" spans="1:17" x14ac:dyDescent="0.4">
      <c r="A24" s="57" t="s">
        <v>14</v>
      </c>
      <c r="B24" s="52">
        <f>IF(B$20=0,0,C24/B$20)</f>
        <v>-8182.9787234042551</v>
      </c>
      <c r="C24" s="45">
        <v>-384600</v>
      </c>
      <c r="E24" s="63" t="s">
        <v>82</v>
      </c>
      <c r="F24" s="60" t="s">
        <v>37</v>
      </c>
      <c r="G24" s="47">
        <v>0</v>
      </c>
      <c r="H24" s="135">
        <f>IF(B$17=0,0,G24/B$17)</f>
        <v>0</v>
      </c>
      <c r="I24" s="96">
        <v>7</v>
      </c>
      <c r="K24" s="38">
        <v>22</v>
      </c>
      <c r="L24" s="101">
        <v>-262.49999999999994</v>
      </c>
    </row>
    <row r="25" spans="1:17" x14ac:dyDescent="0.4">
      <c r="A25" s="92" t="s">
        <v>142</v>
      </c>
      <c r="B25" s="142">
        <v>6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-259.09999999999997</v>
      </c>
    </row>
    <row r="26" spans="1:17" x14ac:dyDescent="0.4">
      <c r="A26" s="58" t="s">
        <v>152</v>
      </c>
      <c r="B26" s="140">
        <v>58900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  <c r="K26" s="38">
        <v>24</v>
      </c>
      <c r="L26" s="101">
        <v>-287.89999999999998</v>
      </c>
    </row>
    <row r="27" spans="1:17" x14ac:dyDescent="0.4">
      <c r="A27" s="57" t="s">
        <v>143</v>
      </c>
      <c r="B27" s="65">
        <v>1</v>
      </c>
      <c r="C27" s="42">
        <f>IF(B$3=0,0,B27/B$3)</f>
        <v>4.6511627906976744E-3</v>
      </c>
      <c r="E27" s="63" t="s">
        <v>86</v>
      </c>
      <c r="F27" s="60" t="s">
        <v>41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5">
        <f>IF(B$17=0,0,G29/B$17)</f>
        <v>0</v>
      </c>
      <c r="I29" s="96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B6048-F477-4A35-82CB-520BE6AA0359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178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15</v>
      </c>
      <c r="C2" s="149"/>
      <c r="E2" s="62" t="s">
        <v>73</v>
      </c>
      <c r="F2" s="59" t="s">
        <v>28</v>
      </c>
      <c r="G2" s="46">
        <v>22</v>
      </c>
      <c r="H2" s="134">
        <f>IF(B$17=0,0,G2/B$17)</f>
        <v>0.75862068965517238</v>
      </c>
      <c r="I2" s="95">
        <v>2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-4773.333333333333</v>
      </c>
      <c r="P2" s="120">
        <v>15</v>
      </c>
      <c r="Q2" s="104">
        <v>-71600</v>
      </c>
    </row>
    <row r="3" spans="1:17" x14ac:dyDescent="0.4">
      <c r="A3" s="55" t="s">
        <v>8</v>
      </c>
      <c r="B3" s="150">
        <v>113</v>
      </c>
      <c r="C3" s="151"/>
      <c r="E3" s="63" t="s">
        <v>67</v>
      </c>
      <c r="F3" s="60" t="s">
        <v>23</v>
      </c>
      <c r="G3" s="47">
        <v>12</v>
      </c>
      <c r="H3" s="135">
        <f>IF(B$17=0,0,G3/B$17)</f>
        <v>0.41379310344827586</v>
      </c>
      <c r="I3" s="96">
        <v>11</v>
      </c>
      <c r="K3" s="38">
        <v>1</v>
      </c>
      <c r="L3" s="101">
        <v>-1.9</v>
      </c>
      <c r="N3" s="117" t="s">
        <v>133</v>
      </c>
      <c r="O3" s="124">
        <f t="shared" si="0"/>
        <v>-3307.1428571428573</v>
      </c>
      <c r="P3" s="121">
        <v>14</v>
      </c>
      <c r="Q3" s="105">
        <v>-46300</v>
      </c>
    </row>
    <row r="4" spans="1:17" x14ac:dyDescent="0.4">
      <c r="A4" s="55" t="s">
        <v>6</v>
      </c>
      <c r="B4" s="152">
        <v>-146.19999999999999</v>
      </c>
      <c r="C4" s="153"/>
      <c r="E4" s="63" t="s">
        <v>65</v>
      </c>
      <c r="F4" s="60" t="s">
        <v>21</v>
      </c>
      <c r="G4" s="47">
        <v>11</v>
      </c>
      <c r="H4" s="135">
        <f>IF(B$17=0,0,G4/B$17)</f>
        <v>0.37931034482758619</v>
      </c>
      <c r="I4" s="96">
        <v>10</v>
      </c>
      <c r="K4" s="38">
        <v>2</v>
      </c>
      <c r="L4" s="101">
        <v>30</v>
      </c>
      <c r="N4" s="117" t="s">
        <v>134</v>
      </c>
      <c r="O4" s="124">
        <f t="shared" si="0"/>
        <v>1069.2307692307693</v>
      </c>
      <c r="P4" s="121">
        <v>13</v>
      </c>
      <c r="Q4" s="105">
        <v>13900</v>
      </c>
    </row>
    <row r="5" spans="1:17" x14ac:dyDescent="0.4">
      <c r="A5" s="55" t="s">
        <v>7</v>
      </c>
      <c r="B5" s="154">
        <f>IF(B$2=0,0,B$4/B$2)</f>
        <v>-9.7466666666666661</v>
      </c>
      <c r="C5" s="155"/>
      <c r="E5" s="63" t="s">
        <v>182</v>
      </c>
      <c r="F5" s="60" t="s">
        <v>183</v>
      </c>
      <c r="G5" s="47">
        <v>10</v>
      </c>
      <c r="H5" s="135">
        <f>IF(B$17=0,0,G5/B$17)</f>
        <v>0.34482758620689657</v>
      </c>
      <c r="I5" s="96">
        <v>7</v>
      </c>
      <c r="K5" s="38">
        <v>3</v>
      </c>
      <c r="L5" s="101">
        <v>-10</v>
      </c>
      <c r="N5" s="117" t="s">
        <v>135</v>
      </c>
      <c r="O5" s="124">
        <f t="shared" si="0"/>
        <v>-76.92307692307692</v>
      </c>
      <c r="P5" s="121">
        <v>13</v>
      </c>
      <c r="Q5" s="105">
        <v>-1000</v>
      </c>
    </row>
    <row r="6" spans="1:17" x14ac:dyDescent="0.4">
      <c r="A6" s="55" t="s">
        <v>1</v>
      </c>
      <c r="B6" s="144">
        <f>IF(B$2=0,0,(B$7*1+B$8*2+B$9*3)/B$2)</f>
        <v>2.1333333333333333</v>
      </c>
      <c r="C6" s="145"/>
      <c r="E6" s="63" t="s">
        <v>69</v>
      </c>
      <c r="F6" s="60" t="s">
        <v>12</v>
      </c>
      <c r="G6" s="47">
        <v>5</v>
      </c>
      <c r="H6" s="135">
        <f>IF(B$17=0,0,G6/B$17)</f>
        <v>0.17241379310344829</v>
      </c>
      <c r="I6" s="96">
        <v>10</v>
      </c>
      <c r="K6" s="38">
        <v>4</v>
      </c>
      <c r="L6" s="101">
        <v>40</v>
      </c>
      <c r="N6" s="117" t="s">
        <v>136</v>
      </c>
      <c r="O6" s="124">
        <f t="shared" si="0"/>
        <v>-375</v>
      </c>
      <c r="P6" s="121">
        <v>12</v>
      </c>
      <c r="Q6" s="105">
        <v>-4500</v>
      </c>
    </row>
    <row r="7" spans="1:17" x14ac:dyDescent="0.4">
      <c r="A7" s="55" t="s">
        <v>2</v>
      </c>
      <c r="B7" s="47">
        <v>5</v>
      </c>
      <c r="C7" s="39">
        <f>IF(B$2=0,0,B7/B$2)</f>
        <v>0.33333333333333331</v>
      </c>
      <c r="E7" s="63" t="s">
        <v>70</v>
      </c>
      <c r="F7" s="60" t="s">
        <v>25</v>
      </c>
      <c r="G7" s="47">
        <v>5</v>
      </c>
      <c r="H7" s="135">
        <f>IF(B$17=0,0,G7/B$17)</f>
        <v>0.17241379310344829</v>
      </c>
      <c r="I7" s="96">
        <v>7</v>
      </c>
      <c r="K7" s="38">
        <v>5</v>
      </c>
      <c r="L7" s="101">
        <v>35.4</v>
      </c>
      <c r="N7" s="118" t="s">
        <v>137</v>
      </c>
      <c r="O7" s="125">
        <f t="shared" si="0"/>
        <v>3227.2727272727275</v>
      </c>
      <c r="P7" s="122">
        <v>11</v>
      </c>
      <c r="Q7" s="106">
        <v>35500</v>
      </c>
    </row>
    <row r="8" spans="1:17" x14ac:dyDescent="0.4">
      <c r="A8" s="55" t="s">
        <v>3</v>
      </c>
      <c r="B8" s="47">
        <v>3</v>
      </c>
      <c r="C8" s="39">
        <f>IF(B$2=0,0,B8/B$2)</f>
        <v>0.2</v>
      </c>
      <c r="E8" s="63" t="s">
        <v>66</v>
      </c>
      <c r="F8" s="60" t="s">
        <v>22</v>
      </c>
      <c r="G8" s="47">
        <v>4</v>
      </c>
      <c r="H8" s="135">
        <f>IF(B$17=0,0,G8/B$17)</f>
        <v>0.13793103448275862</v>
      </c>
      <c r="I8" s="96">
        <v>4</v>
      </c>
      <c r="K8" s="38">
        <v>6</v>
      </c>
      <c r="L8" s="101">
        <v>3.8999999999999986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0.46666666666666667</v>
      </c>
      <c r="E9" s="63" t="s">
        <v>68</v>
      </c>
      <c r="F9" s="60" t="s">
        <v>24</v>
      </c>
      <c r="G9" s="47">
        <v>4</v>
      </c>
      <c r="H9" s="135">
        <f>IF(B$17=0,0,G9/B$17)</f>
        <v>0.13793103448275862</v>
      </c>
      <c r="I9" s="96">
        <v>10</v>
      </c>
      <c r="K9" s="38">
        <v>7</v>
      </c>
      <c r="L9" s="101">
        <v>-30.1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0.2</v>
      </c>
      <c r="E10" s="63" t="s">
        <v>90</v>
      </c>
      <c r="F10" s="60" t="s">
        <v>45</v>
      </c>
      <c r="G10" s="47">
        <v>3</v>
      </c>
      <c r="H10" s="135">
        <f>IF(B$17=0,0,G10/B$17)</f>
        <v>0.10344827586206896</v>
      </c>
      <c r="I10" s="96">
        <v>10</v>
      </c>
      <c r="K10" s="38">
        <v>8</v>
      </c>
      <c r="L10" s="101">
        <v>-87.1</v>
      </c>
      <c r="N10" s="116" t="s">
        <v>165</v>
      </c>
      <c r="O10" s="126">
        <f>IF(P10=0,0,Q10/P10)</f>
        <v>-8.2666666666666675</v>
      </c>
      <c r="P10" s="120">
        <v>3</v>
      </c>
      <c r="Q10" s="108">
        <v>-24.800000000000004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92</v>
      </c>
      <c r="F11" s="60" t="s">
        <v>47</v>
      </c>
      <c r="G11" s="47">
        <v>2</v>
      </c>
      <c r="H11" s="135">
        <f>IF(B$17=0,0,G11/B$17)</f>
        <v>6.8965517241379309E-2</v>
      </c>
      <c r="I11" s="96">
        <v>1</v>
      </c>
      <c r="K11" s="38">
        <v>9</v>
      </c>
      <c r="L11" s="101">
        <v>-128.6</v>
      </c>
      <c r="N11" s="117" t="s">
        <v>166</v>
      </c>
      <c r="O11" s="127">
        <f>IF(P11=0,0,Q11/P11)</f>
        <v>-32.799999999999997</v>
      </c>
      <c r="P11" s="121">
        <v>4</v>
      </c>
      <c r="Q11" s="109">
        <v>-131.19999999999999</v>
      </c>
    </row>
    <row r="12" spans="1:17" x14ac:dyDescent="0.4">
      <c r="A12" s="57" t="s">
        <v>160</v>
      </c>
      <c r="B12" s="49">
        <v>2</v>
      </c>
      <c r="C12" s="42">
        <f>IF(B$2=0,0,B12/B$2)</f>
        <v>0.13333333333333333</v>
      </c>
      <c r="E12" s="63" t="s">
        <v>72</v>
      </c>
      <c r="F12" s="60" t="s">
        <v>27</v>
      </c>
      <c r="G12" s="47">
        <v>1</v>
      </c>
      <c r="H12" s="135">
        <f>IF(B$17=0,0,G12/B$17)</f>
        <v>3.4482758620689655E-2</v>
      </c>
      <c r="I12" s="96">
        <v>8</v>
      </c>
      <c r="K12" s="38">
        <v>10</v>
      </c>
      <c r="L12" s="101">
        <v>-183.7</v>
      </c>
      <c r="N12" s="118" t="s">
        <v>167</v>
      </c>
      <c r="O12" s="128">
        <f>IF(P12=0,0,Q12/P12)</f>
        <v>1.225000000000001</v>
      </c>
      <c r="P12" s="122">
        <v>8</v>
      </c>
      <c r="Q12" s="110">
        <v>9.8000000000000078</v>
      </c>
    </row>
    <row r="13" spans="1:17" x14ac:dyDescent="0.4">
      <c r="A13" s="58" t="s">
        <v>122</v>
      </c>
      <c r="B13" s="50">
        <v>20</v>
      </c>
      <c r="C13" s="44">
        <f>IF(B$3=0,0,B13/B$3)</f>
        <v>0.17699115044247787</v>
      </c>
      <c r="E13" s="63" t="s">
        <v>76</v>
      </c>
      <c r="F13" s="60" t="s">
        <v>31</v>
      </c>
      <c r="G13" s="47">
        <v>1</v>
      </c>
      <c r="H13" s="135">
        <f>IF(B$17=0,0,G13/B$17)</f>
        <v>3.4482758620689655E-2</v>
      </c>
      <c r="I13" s="96">
        <v>1</v>
      </c>
      <c r="K13" s="38">
        <v>11</v>
      </c>
      <c r="L13" s="101">
        <v>-152.89999999999998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33</v>
      </c>
      <c r="C14" s="39">
        <f>IF(B$3=0,0,B14/B$3)</f>
        <v>0.29203539823008851</v>
      </c>
      <c r="E14" s="63" t="s">
        <v>84</v>
      </c>
      <c r="F14" s="60" t="s">
        <v>39</v>
      </c>
      <c r="G14" s="47">
        <v>1</v>
      </c>
      <c r="H14" s="135">
        <f>IF(B$17=0,0,G14/B$17)</f>
        <v>3.4482758620689655E-2</v>
      </c>
      <c r="I14" s="96">
        <v>7</v>
      </c>
      <c r="K14" s="38">
        <v>12</v>
      </c>
      <c r="L14" s="101">
        <v>-208.09999999999997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11</v>
      </c>
      <c r="C15" s="37">
        <f>IF(B$13=0,0,B15/B$13)</f>
        <v>0.55000000000000004</v>
      </c>
      <c r="E15" s="63" t="s">
        <v>86</v>
      </c>
      <c r="F15" s="60" t="s">
        <v>41</v>
      </c>
      <c r="G15" s="47">
        <v>1</v>
      </c>
      <c r="H15" s="135">
        <f>IF(B$17=0,0,G15/B$17)</f>
        <v>3.4482758620689655E-2</v>
      </c>
      <c r="I15" s="96">
        <v>1</v>
      </c>
      <c r="K15" s="38">
        <v>13</v>
      </c>
      <c r="L15" s="101">
        <v>-209.59999999999997</v>
      </c>
      <c r="N15" s="116" t="s">
        <v>187</v>
      </c>
      <c r="O15" s="126">
        <f>IF(P15=0,0,Q15/P15)</f>
        <v>60.800000000000004</v>
      </c>
      <c r="P15" s="120">
        <v>2</v>
      </c>
      <c r="Q15" s="108">
        <v>121.60000000000001</v>
      </c>
    </row>
    <row r="16" spans="1:17" x14ac:dyDescent="0.4">
      <c r="A16" s="54" t="s">
        <v>125</v>
      </c>
      <c r="B16" s="46">
        <v>13</v>
      </c>
      <c r="C16" s="37">
        <f>IF(B$14=0,0,B16/B$14)</f>
        <v>0.39393939393939392</v>
      </c>
      <c r="E16" s="63" t="s">
        <v>71</v>
      </c>
      <c r="F16" s="60" t="s">
        <v>26</v>
      </c>
      <c r="G16" s="47">
        <v>0</v>
      </c>
      <c r="H16" s="135">
        <f>IF(B$17=0,0,G16/B$17)</f>
        <v>0</v>
      </c>
      <c r="I16" s="96">
        <v>9</v>
      </c>
      <c r="K16" s="38">
        <v>14</v>
      </c>
      <c r="L16" s="101">
        <v>-178.49999999999997</v>
      </c>
      <c r="N16" s="117" t="s">
        <v>174</v>
      </c>
      <c r="O16" s="127">
        <f>IF(P16=0,0,Q16/P16)</f>
        <v>17.95</v>
      </c>
      <c r="P16" s="121">
        <v>2</v>
      </c>
      <c r="Q16" s="109">
        <v>35.9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0.25663716814159293</v>
      </c>
      <c r="E17" s="63" t="s">
        <v>74</v>
      </c>
      <c r="F17" s="60" t="s">
        <v>29</v>
      </c>
      <c r="G17" s="47">
        <v>0</v>
      </c>
      <c r="H17" s="135">
        <f>IF(B$17=0,0,G17/B$17)</f>
        <v>0</v>
      </c>
      <c r="I17" s="96">
        <v>5</v>
      </c>
      <c r="K17" s="38">
        <v>15</v>
      </c>
      <c r="L17" s="101">
        <v>-146.19999999999999</v>
      </c>
      <c r="N17" s="117" t="s">
        <v>172</v>
      </c>
      <c r="O17" s="127">
        <f>IF(P17=0,0,Q17/P17)</f>
        <v>12.149999999999999</v>
      </c>
      <c r="P17" s="121">
        <v>2</v>
      </c>
      <c r="Q17" s="109">
        <v>24.299999999999997</v>
      </c>
    </row>
    <row r="18" spans="1:17" x14ac:dyDescent="0.4">
      <c r="A18" s="55" t="s">
        <v>12</v>
      </c>
      <c r="B18" s="47">
        <v>11</v>
      </c>
      <c r="C18" s="39">
        <f>IF(B$17=0,0,B18/B$17)</f>
        <v>0.37931034482758619</v>
      </c>
      <c r="E18" s="63" t="s">
        <v>75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N18" s="117" t="s">
        <v>128</v>
      </c>
      <c r="O18" s="127">
        <f>IF(P18=0,0,Q18/P18)</f>
        <v>0.75000000000000022</v>
      </c>
      <c r="P18" s="121">
        <v>10</v>
      </c>
      <c r="Q18" s="109">
        <v>7.5000000000000018</v>
      </c>
    </row>
    <row r="19" spans="1:17" x14ac:dyDescent="0.4">
      <c r="A19" s="55" t="s">
        <v>11</v>
      </c>
      <c r="B19" s="47">
        <v>18</v>
      </c>
      <c r="C19" s="39">
        <f>IF(B$17=0,0,B19/B$17)</f>
        <v>0.62068965517241381</v>
      </c>
      <c r="E19" s="63" t="s">
        <v>77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N19" s="117" t="s">
        <v>129</v>
      </c>
      <c r="O19" s="127">
        <f>IF(P19=0,0,Q19/P19)</f>
        <v>-29.700000000000003</v>
      </c>
      <c r="P19" s="121">
        <v>1</v>
      </c>
      <c r="Q19" s="109">
        <v>-29.700000000000003</v>
      </c>
    </row>
    <row r="20" spans="1:17" x14ac:dyDescent="0.4">
      <c r="A20" s="55" t="s">
        <v>13</v>
      </c>
      <c r="B20" s="47">
        <v>20</v>
      </c>
      <c r="C20" s="39">
        <f>IF(B$3=0,0,B20/B$3)</f>
        <v>0.17699115044247787</v>
      </c>
      <c r="E20" s="63" t="s">
        <v>78</v>
      </c>
      <c r="F20" s="60" t="s">
        <v>33</v>
      </c>
      <c r="G20" s="47">
        <v>0</v>
      </c>
      <c r="H20" s="135">
        <f>IF(B$17=0,0,G20/B$17)</f>
        <v>0</v>
      </c>
      <c r="I20" s="96">
        <v>4</v>
      </c>
      <c r="N20" s="117" t="s">
        <v>173</v>
      </c>
      <c r="O20" s="127">
        <f>IF(P20=0,0,Q20/P20)</f>
        <v>-34.800000000000004</v>
      </c>
      <c r="P20" s="121">
        <v>2</v>
      </c>
      <c r="Q20" s="109">
        <v>-69.600000000000009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79</v>
      </c>
      <c r="F21" s="60" t="s">
        <v>34</v>
      </c>
      <c r="G21" s="47">
        <v>0</v>
      </c>
      <c r="H21" s="135">
        <f>IF(B$17=0,0,G21/B$17)</f>
        <v>0</v>
      </c>
      <c r="I21" s="96">
        <v>8</v>
      </c>
      <c r="N21" s="117" t="s">
        <v>186</v>
      </c>
      <c r="O21" s="127">
        <f>IF(P21=0,0,Q21/P21)</f>
        <v>-45.699999999999996</v>
      </c>
      <c r="P21" s="121">
        <v>3</v>
      </c>
      <c r="Q21" s="109">
        <v>-137.1</v>
      </c>
    </row>
    <row r="22" spans="1:17" x14ac:dyDescent="0.4">
      <c r="A22" s="55" t="s">
        <v>195</v>
      </c>
      <c r="B22" s="47">
        <v>16</v>
      </c>
      <c r="C22" s="137">
        <v>6</v>
      </c>
      <c r="E22" s="63" t="s">
        <v>80</v>
      </c>
      <c r="F22" s="60" t="s">
        <v>35</v>
      </c>
      <c r="G22" s="47">
        <v>0</v>
      </c>
      <c r="H22" s="135">
        <f>IF(B$17=0,0,G22/B$17)</f>
        <v>0</v>
      </c>
      <c r="I22" s="96">
        <v>6</v>
      </c>
      <c r="N22" s="117" t="s">
        <v>127</v>
      </c>
      <c r="O22" s="127">
        <f>IF(P22=0,0,Q22/P22)</f>
        <v>-48.937500000000007</v>
      </c>
      <c r="P22" s="121">
        <v>8</v>
      </c>
      <c r="Q22" s="109">
        <v>-391.50000000000006</v>
      </c>
    </row>
    <row r="23" spans="1:17" x14ac:dyDescent="0.4">
      <c r="A23" s="55" t="s">
        <v>5</v>
      </c>
      <c r="B23" s="51">
        <f>IF(B$17=0,0,C23/B$17)</f>
        <v>6362.0689655172409</v>
      </c>
      <c r="C23" s="41">
        <v>184500</v>
      </c>
      <c r="E23" s="63" t="s">
        <v>81</v>
      </c>
      <c r="F23" s="60" t="s">
        <v>36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-7250</v>
      </c>
      <c r="C24" s="45">
        <v>-145000</v>
      </c>
      <c r="E24" s="63" t="s">
        <v>82</v>
      </c>
      <c r="F24" s="60" t="s">
        <v>37</v>
      </c>
      <c r="G24" s="47">
        <v>0</v>
      </c>
      <c r="H24" s="135">
        <f>IF(B$17=0,0,G24/B$17)</f>
        <v>0</v>
      </c>
      <c r="I24" s="96">
        <v>7</v>
      </c>
    </row>
    <row r="25" spans="1:17" x14ac:dyDescent="0.4">
      <c r="A25" s="92" t="s">
        <v>142</v>
      </c>
      <c r="B25" s="142">
        <v>5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152</v>
      </c>
      <c r="B26" s="140">
        <v>65000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1</v>
      </c>
      <c r="C27" s="42">
        <f>IF(B$3=0,0,B27/B$3)</f>
        <v>8.8495575221238937E-3</v>
      </c>
      <c r="E27" s="63" t="s">
        <v>87</v>
      </c>
      <c r="F27" s="60" t="s">
        <v>42</v>
      </c>
      <c r="G27" s="47">
        <v>0</v>
      </c>
      <c r="H27" s="135">
        <f>IF(B$17=0,0,G27/B$17)</f>
        <v>0</v>
      </c>
      <c r="I27" s="96">
        <v>10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5">
        <f>IF(B$17=0,0,G29/B$17)</f>
        <v>0</v>
      </c>
      <c r="I29" s="96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1D03F-BF2A-4712-9B61-2DB9613197BE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186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3</v>
      </c>
      <c r="C2" s="149"/>
      <c r="E2" s="62" t="s">
        <v>65</v>
      </c>
      <c r="F2" s="59" t="s">
        <v>21</v>
      </c>
      <c r="G2" s="46">
        <v>3</v>
      </c>
      <c r="H2" s="134">
        <f>IF(B$17=0,0,G2/B$17)</f>
        <v>0.6</v>
      </c>
      <c r="I2" s="95">
        <v>3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3000</v>
      </c>
      <c r="P2" s="120">
        <v>3</v>
      </c>
      <c r="Q2" s="104">
        <v>9000</v>
      </c>
    </row>
    <row r="3" spans="1:17" x14ac:dyDescent="0.4">
      <c r="A3" s="55" t="s">
        <v>8</v>
      </c>
      <c r="B3" s="150">
        <v>19</v>
      </c>
      <c r="C3" s="151"/>
      <c r="E3" s="63" t="s">
        <v>67</v>
      </c>
      <c r="F3" s="60" t="s">
        <v>23</v>
      </c>
      <c r="G3" s="47">
        <v>3</v>
      </c>
      <c r="H3" s="135">
        <f>IF(B$17=0,0,G3/B$17)</f>
        <v>0.6</v>
      </c>
      <c r="I3" s="96">
        <v>10</v>
      </c>
      <c r="K3" s="38">
        <v>1</v>
      </c>
      <c r="L3" s="101">
        <v>-14.6</v>
      </c>
      <c r="N3" s="117" t="s">
        <v>133</v>
      </c>
      <c r="O3" s="124">
        <f t="shared" si="0"/>
        <v>2233.3333333333335</v>
      </c>
      <c r="P3" s="121">
        <v>3</v>
      </c>
      <c r="Q3" s="105">
        <v>6700</v>
      </c>
    </row>
    <row r="4" spans="1:17" x14ac:dyDescent="0.4">
      <c r="A4" s="55" t="s">
        <v>6</v>
      </c>
      <c r="B4" s="152">
        <v>61</v>
      </c>
      <c r="C4" s="153"/>
      <c r="E4" s="63" t="s">
        <v>73</v>
      </c>
      <c r="F4" s="60" t="s">
        <v>28</v>
      </c>
      <c r="G4" s="47">
        <v>3</v>
      </c>
      <c r="H4" s="135">
        <f>IF(B$17=0,0,G4/B$17)</f>
        <v>0.6</v>
      </c>
      <c r="I4" s="96">
        <v>5</v>
      </c>
      <c r="K4" s="38">
        <v>2</v>
      </c>
      <c r="L4" s="101">
        <v>22.5</v>
      </c>
      <c r="N4" s="117" t="s">
        <v>134</v>
      </c>
      <c r="O4" s="124">
        <f t="shared" si="0"/>
        <v>-1000</v>
      </c>
      <c r="P4" s="121">
        <v>3</v>
      </c>
      <c r="Q4" s="105">
        <v>-3000</v>
      </c>
    </row>
    <row r="5" spans="1:17" x14ac:dyDescent="0.4">
      <c r="A5" s="55" t="s">
        <v>7</v>
      </c>
      <c r="B5" s="154">
        <f>IF(B$2=0,0,B$4/B$2)</f>
        <v>20.333333333333332</v>
      </c>
      <c r="C5" s="155"/>
      <c r="E5" s="63" t="s">
        <v>68</v>
      </c>
      <c r="F5" s="60" t="s">
        <v>24</v>
      </c>
      <c r="G5" s="47">
        <v>2</v>
      </c>
      <c r="H5" s="135">
        <f>IF(B$17=0,0,G5/B$17)</f>
        <v>0.4</v>
      </c>
      <c r="I5" s="96">
        <v>2</v>
      </c>
      <c r="K5" s="38">
        <v>3</v>
      </c>
      <c r="L5" s="101">
        <v>61</v>
      </c>
      <c r="N5" s="117" t="s">
        <v>135</v>
      </c>
      <c r="O5" s="124">
        <f t="shared" si="0"/>
        <v>6233.333333333333</v>
      </c>
      <c r="P5" s="121">
        <v>3</v>
      </c>
      <c r="Q5" s="105">
        <v>18700</v>
      </c>
    </row>
    <row r="6" spans="1:17" x14ac:dyDescent="0.4">
      <c r="A6" s="55" t="s">
        <v>1</v>
      </c>
      <c r="B6" s="144">
        <f>IF(B$2=0,0,(B$7*1+B$8*2+B$9*3)/B$2)</f>
        <v>1.3333333333333333</v>
      </c>
      <c r="C6" s="145"/>
      <c r="E6" s="63" t="s">
        <v>90</v>
      </c>
      <c r="F6" s="60" t="s">
        <v>45</v>
      </c>
      <c r="G6" s="47">
        <v>2</v>
      </c>
      <c r="H6" s="135">
        <f>IF(B$17=0,0,G6/B$17)</f>
        <v>0.4</v>
      </c>
      <c r="I6" s="96">
        <v>1</v>
      </c>
      <c r="N6" s="117" t="s">
        <v>136</v>
      </c>
      <c r="O6" s="124">
        <f t="shared" si="0"/>
        <v>100</v>
      </c>
      <c r="P6" s="121">
        <v>3</v>
      </c>
      <c r="Q6" s="105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182</v>
      </c>
      <c r="F7" s="60" t="s">
        <v>183</v>
      </c>
      <c r="G7" s="47">
        <v>2</v>
      </c>
      <c r="H7" s="135">
        <f>IF(B$17=0,0,G7/B$17)</f>
        <v>0.4</v>
      </c>
      <c r="I7" s="96">
        <v>4</v>
      </c>
      <c r="N7" s="118" t="s">
        <v>137</v>
      </c>
      <c r="O7" s="125">
        <f t="shared" si="0"/>
        <v>-3566.6666666666665</v>
      </c>
      <c r="P7" s="122">
        <v>3</v>
      </c>
      <c r="Q7" s="106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5">
        <f>IF(B$17=0,0,G8/B$17)</f>
        <v>0.2</v>
      </c>
      <c r="I8" s="96">
        <v>9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5">
        <f>IF(B$17=0,0,G9/B$17)</f>
        <v>0.2</v>
      </c>
      <c r="I9" s="96">
        <v>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5">
        <f>IF(B$17=0,0,G10/B$17)</f>
        <v>0.2</v>
      </c>
      <c r="I10" s="96">
        <v>1</v>
      </c>
      <c r="N10" s="116" t="s">
        <v>165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5">
        <f>IF(B$17=0,0,G11/B$17)</f>
        <v>0.2</v>
      </c>
      <c r="I11" s="96">
        <v>1</v>
      </c>
      <c r="N11" s="117" t="s">
        <v>166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5">
        <f>IF(B$17=0,0,G12/B$17)</f>
        <v>0</v>
      </c>
      <c r="I12" s="96">
        <v>10</v>
      </c>
      <c r="N12" s="118" t="s">
        <v>167</v>
      </c>
      <c r="O12" s="128">
        <f>IF(P12=0,0,Q12/P12)</f>
        <v>20.333333333333332</v>
      </c>
      <c r="P12" s="122">
        <v>3</v>
      </c>
      <c r="Q12" s="110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5">
        <f>IF(B$17=0,0,G13/B$17)</f>
        <v>0</v>
      </c>
      <c r="I13" s="96">
        <v>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5">
        <f>IF(B$17=0,0,G14/B$17)</f>
        <v>0</v>
      </c>
      <c r="I14" s="96">
        <v>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5">
        <f>IF(B$17=0,0,G15/B$17)</f>
        <v>0</v>
      </c>
      <c r="I15" s="96">
        <v>3</v>
      </c>
      <c r="N15" s="116" t="s">
        <v>187</v>
      </c>
      <c r="O15" s="126">
        <f>IF(P15=0,0,Q15/P15)</f>
        <v>69.599999999999994</v>
      </c>
      <c r="P15" s="120">
        <v>1</v>
      </c>
      <c r="Q15" s="108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5">
        <f>IF(B$17=0,0,G16/B$17)</f>
        <v>0</v>
      </c>
      <c r="I16" s="96">
        <v>6</v>
      </c>
      <c r="N16" s="117" t="s">
        <v>178</v>
      </c>
      <c r="O16" s="127">
        <f>IF(P16=0,0,Q16/P16)</f>
        <v>45.699999999999996</v>
      </c>
      <c r="P16" s="121">
        <v>3</v>
      </c>
      <c r="Q16" s="109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5">
        <f>IF(B$17=0,0,G17/B$17)</f>
        <v>0</v>
      </c>
      <c r="I17" s="96">
        <v>1</v>
      </c>
      <c r="N17" s="117" t="s">
        <v>174</v>
      </c>
      <c r="O17" s="127">
        <f>IF(P17=0,0,Q17/P17)</f>
        <v>45.5</v>
      </c>
      <c r="P17" s="121">
        <v>1</v>
      </c>
      <c r="Q17" s="109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5">
        <f>IF(B$17=0,0,G18/B$17)</f>
        <v>0</v>
      </c>
      <c r="I18" s="96">
        <v>4</v>
      </c>
      <c r="N18" s="117" t="s">
        <v>127</v>
      </c>
      <c r="O18" s="127">
        <f>IF(P18=0,0,Q18/P18)</f>
        <v>-69.2</v>
      </c>
      <c r="P18" s="121">
        <v>1</v>
      </c>
      <c r="Q18" s="109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5">
        <f>IF(B$17=0,0,G19/B$17)</f>
        <v>0</v>
      </c>
      <c r="I19" s="96">
        <v>8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5">
        <f>IF(B$17=0,0,G20/B$17)</f>
        <v>0</v>
      </c>
      <c r="I20" s="96">
        <v>6</v>
      </c>
    </row>
    <row r="21" spans="1:17" x14ac:dyDescent="0.4">
      <c r="A21" s="55" t="s">
        <v>194</v>
      </c>
      <c r="B21" s="47">
        <v>2</v>
      </c>
      <c r="C21" s="137">
        <v>0</v>
      </c>
      <c r="E21" s="63" t="s">
        <v>81</v>
      </c>
      <c r="F21" s="60" t="s">
        <v>36</v>
      </c>
      <c r="G21" s="47">
        <v>0</v>
      </c>
      <c r="H21" s="135">
        <f>IF(B$17=0,0,G21/B$17)</f>
        <v>0</v>
      </c>
      <c r="I21" s="96">
        <v>1</v>
      </c>
    </row>
    <row r="22" spans="1:17" x14ac:dyDescent="0.4">
      <c r="A22" s="55" t="s">
        <v>195</v>
      </c>
      <c r="B22" s="47">
        <v>12</v>
      </c>
      <c r="C22" s="137">
        <v>12</v>
      </c>
      <c r="E22" s="63" t="s">
        <v>82</v>
      </c>
      <c r="F22" s="60" t="s">
        <v>37</v>
      </c>
      <c r="G22" s="47">
        <v>0</v>
      </c>
      <c r="H22" s="135">
        <f>IF(B$17=0,0,G22/B$17)</f>
        <v>0</v>
      </c>
      <c r="I22" s="96">
        <v>7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5">
        <f>IF(B$17=0,0,G24/B$17)</f>
        <v>0</v>
      </c>
      <c r="I24" s="96">
        <v>10</v>
      </c>
    </row>
    <row r="25" spans="1:17" x14ac:dyDescent="0.4">
      <c r="A25" s="92" t="s">
        <v>142</v>
      </c>
      <c r="B25" s="142">
        <v>3</v>
      </c>
      <c r="C25" s="143"/>
      <c r="E25" s="63" t="s">
        <v>85</v>
      </c>
      <c r="F25" s="60" t="s">
        <v>40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152</v>
      </c>
      <c r="B26" s="140">
        <v>53500</v>
      </c>
      <c r="C26" s="141"/>
      <c r="E26" s="63" t="s">
        <v>86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6A6B0-05E4-4CF0-9DE9-E31725DB4109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187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7</v>
      </c>
      <c r="C2" s="149"/>
      <c r="E2" s="62" t="s">
        <v>67</v>
      </c>
      <c r="F2" s="59" t="s">
        <v>23</v>
      </c>
      <c r="G2" s="46">
        <v>10</v>
      </c>
      <c r="H2" s="134">
        <f>IF(B$17=0,0,G2/B$17)</f>
        <v>0.83333333333333337</v>
      </c>
      <c r="I2" s="95">
        <v>2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-3742.8571428571427</v>
      </c>
      <c r="P2" s="120">
        <v>7</v>
      </c>
      <c r="Q2" s="104">
        <v>-26200</v>
      </c>
    </row>
    <row r="3" spans="1:17" x14ac:dyDescent="0.4">
      <c r="A3" s="55" t="s">
        <v>8</v>
      </c>
      <c r="B3" s="150">
        <v>57</v>
      </c>
      <c r="C3" s="151"/>
      <c r="E3" s="63" t="s">
        <v>73</v>
      </c>
      <c r="F3" s="60" t="s">
        <v>28</v>
      </c>
      <c r="G3" s="47">
        <v>10</v>
      </c>
      <c r="H3" s="135">
        <f>IF(B$17=0,0,G3/B$17)</f>
        <v>0.83333333333333337</v>
      </c>
      <c r="I3" s="96">
        <v>1</v>
      </c>
      <c r="K3" s="38">
        <v>1</v>
      </c>
      <c r="L3" s="101">
        <v>-43.7</v>
      </c>
      <c r="N3" s="117" t="s">
        <v>133</v>
      </c>
      <c r="O3" s="124">
        <f t="shared" si="0"/>
        <v>-4085.7142857142858</v>
      </c>
      <c r="P3" s="121">
        <v>7</v>
      </c>
      <c r="Q3" s="105">
        <v>-28600</v>
      </c>
    </row>
    <row r="4" spans="1:17" x14ac:dyDescent="0.4">
      <c r="A4" s="55" t="s">
        <v>6</v>
      </c>
      <c r="B4" s="152">
        <v>-218.2</v>
      </c>
      <c r="C4" s="153"/>
      <c r="E4" s="63" t="s">
        <v>65</v>
      </c>
      <c r="F4" s="60" t="s">
        <v>21</v>
      </c>
      <c r="G4" s="47">
        <v>5</v>
      </c>
      <c r="H4" s="135">
        <f>IF(B$17=0,0,G4/B$17)</f>
        <v>0.41666666666666669</v>
      </c>
      <c r="I4" s="96">
        <v>9</v>
      </c>
      <c r="K4" s="38">
        <v>2</v>
      </c>
      <c r="L4" s="101">
        <v>-76.2</v>
      </c>
      <c r="N4" s="117" t="s">
        <v>134</v>
      </c>
      <c r="O4" s="124">
        <f t="shared" si="0"/>
        <v>128.57142857142858</v>
      </c>
      <c r="P4" s="121">
        <v>7</v>
      </c>
      <c r="Q4" s="105">
        <v>900</v>
      </c>
    </row>
    <row r="5" spans="1:17" x14ac:dyDescent="0.4">
      <c r="A5" s="55" t="s">
        <v>7</v>
      </c>
      <c r="B5" s="154">
        <f>IF(B$2=0,0,B$4/B$2)</f>
        <v>-31.171428571428571</v>
      </c>
      <c r="C5" s="155"/>
      <c r="E5" s="63" t="s">
        <v>182</v>
      </c>
      <c r="F5" s="60" t="s">
        <v>183</v>
      </c>
      <c r="G5" s="47">
        <v>4</v>
      </c>
      <c r="H5" s="135">
        <f>IF(B$17=0,0,G5/B$17)</f>
        <v>0.33333333333333331</v>
      </c>
      <c r="I5" s="96">
        <v>9</v>
      </c>
      <c r="K5" s="38">
        <v>3</v>
      </c>
      <c r="L5" s="101">
        <v>-78.400000000000006</v>
      </c>
      <c r="N5" s="117" t="s">
        <v>135</v>
      </c>
      <c r="O5" s="124">
        <f t="shared" si="0"/>
        <v>-7000</v>
      </c>
      <c r="P5" s="121">
        <v>6</v>
      </c>
      <c r="Q5" s="105">
        <v>-42000</v>
      </c>
    </row>
    <row r="6" spans="1:17" x14ac:dyDescent="0.4">
      <c r="A6" s="55" t="s">
        <v>1</v>
      </c>
      <c r="B6" s="144">
        <f>IF(B$2=0,0,(B$7*1+B$8*2+B$9*3)/B$2)</f>
        <v>2.5714285714285716</v>
      </c>
      <c r="C6" s="145"/>
      <c r="E6" s="63" t="s">
        <v>90</v>
      </c>
      <c r="F6" s="60" t="s">
        <v>45</v>
      </c>
      <c r="G6" s="47">
        <v>3</v>
      </c>
      <c r="H6" s="135">
        <f>IF(B$17=0,0,G6/B$17)</f>
        <v>0.25</v>
      </c>
      <c r="I6" s="96">
        <v>2</v>
      </c>
      <c r="K6" s="38">
        <v>4</v>
      </c>
      <c r="L6" s="101">
        <v>-49.800000000000004</v>
      </c>
      <c r="N6" s="117" t="s">
        <v>136</v>
      </c>
      <c r="O6" s="124">
        <f t="shared" si="0"/>
        <v>-2950</v>
      </c>
      <c r="P6" s="121">
        <v>6</v>
      </c>
      <c r="Q6" s="105">
        <v>-17700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69</v>
      </c>
      <c r="F7" s="60" t="s">
        <v>12</v>
      </c>
      <c r="G7" s="47">
        <v>2</v>
      </c>
      <c r="H7" s="135">
        <f>IF(B$17=0,0,G7/B$17)</f>
        <v>0.16666666666666666</v>
      </c>
      <c r="I7" s="96">
        <v>11</v>
      </c>
      <c r="K7" s="38">
        <v>5</v>
      </c>
      <c r="L7" s="101">
        <v>-121</v>
      </c>
      <c r="N7" s="118" t="s">
        <v>137</v>
      </c>
      <c r="O7" s="125">
        <f t="shared" si="0"/>
        <v>-4100</v>
      </c>
      <c r="P7" s="122">
        <v>6</v>
      </c>
      <c r="Q7" s="106">
        <v>-24600</v>
      </c>
    </row>
    <row r="8" spans="1:17" x14ac:dyDescent="0.4">
      <c r="A8" s="55" t="s">
        <v>3</v>
      </c>
      <c r="B8" s="47">
        <v>1</v>
      </c>
      <c r="C8" s="39">
        <f>IF(B$2=0,0,B8/B$2)</f>
        <v>0.14285714285714285</v>
      </c>
      <c r="E8" s="63" t="s">
        <v>70</v>
      </c>
      <c r="F8" s="60" t="s">
        <v>25</v>
      </c>
      <c r="G8" s="47">
        <v>2</v>
      </c>
      <c r="H8" s="135">
        <f>IF(B$17=0,0,G8/B$17)</f>
        <v>0.16666666666666666</v>
      </c>
      <c r="I8" s="96">
        <v>9</v>
      </c>
      <c r="K8" s="38">
        <v>6</v>
      </c>
      <c r="L8" s="101">
        <v>-167</v>
      </c>
      <c r="N8" s="43"/>
      <c r="O8" s="129"/>
      <c r="P8" s="113"/>
      <c r="Q8" s="111"/>
    </row>
    <row r="9" spans="1:17" x14ac:dyDescent="0.4">
      <c r="A9" s="56" t="s">
        <v>4</v>
      </c>
      <c r="B9" s="48">
        <v>5</v>
      </c>
      <c r="C9" s="40">
        <f t="shared" ref="C9" si="1">IF(B$2=0,0,B9/B$2)</f>
        <v>0.7142857142857143</v>
      </c>
      <c r="E9" s="63" t="s">
        <v>71</v>
      </c>
      <c r="F9" s="60" t="s">
        <v>26</v>
      </c>
      <c r="G9" s="47">
        <v>1</v>
      </c>
      <c r="H9" s="135">
        <f>IF(B$17=0,0,G9/B$17)</f>
        <v>8.3333333333333329E-2</v>
      </c>
      <c r="I9" s="96">
        <v>7</v>
      </c>
      <c r="K9" s="38">
        <v>7</v>
      </c>
      <c r="L9" s="101">
        <v>-218.2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0.14285714285714285</v>
      </c>
      <c r="E10" s="63" t="s">
        <v>82</v>
      </c>
      <c r="F10" s="60" t="s">
        <v>37</v>
      </c>
      <c r="G10" s="47">
        <v>1</v>
      </c>
      <c r="H10" s="135">
        <f>IF(B$17=0,0,G10/B$17)</f>
        <v>8.3333333333333329E-2</v>
      </c>
      <c r="I10" s="96">
        <v>1</v>
      </c>
      <c r="N10" s="116" t="s">
        <v>165</v>
      </c>
      <c r="O10" s="126">
        <f>IF(P10=0,0,Q10/P10)</f>
        <v>-43.233333333333327</v>
      </c>
      <c r="P10" s="120">
        <v>3</v>
      </c>
      <c r="Q10" s="108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1</v>
      </c>
      <c r="H11" s="135">
        <f>IF(B$17=0,0,G11/B$17)</f>
        <v>8.3333333333333329E-2</v>
      </c>
      <c r="I11" s="96">
        <v>1</v>
      </c>
      <c r="N11" s="117" t="s">
        <v>166</v>
      </c>
      <c r="O11" s="127">
        <f>IF(P11=0,0,Q11/P11)</f>
        <v>-39.033333333333339</v>
      </c>
      <c r="P11" s="121">
        <v>3</v>
      </c>
      <c r="Q11" s="109">
        <v>-117.10000000000001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5">
        <f>IF(B$17=0,0,G12/B$17)</f>
        <v>0</v>
      </c>
      <c r="I12" s="96">
        <v>10</v>
      </c>
      <c r="N12" s="118" t="s">
        <v>167</v>
      </c>
      <c r="O12" s="128">
        <f>IF(P12=0,0,Q12/P12)</f>
        <v>28.6</v>
      </c>
      <c r="P12" s="122">
        <v>1</v>
      </c>
      <c r="Q12" s="110">
        <v>28.6</v>
      </c>
    </row>
    <row r="13" spans="1:17" x14ac:dyDescent="0.4">
      <c r="A13" s="58" t="s">
        <v>122</v>
      </c>
      <c r="B13" s="50">
        <v>7</v>
      </c>
      <c r="C13" s="44">
        <f>IF(B$3=0,0,B13/B$3)</f>
        <v>0.12280701754385964</v>
      </c>
      <c r="E13" s="63" t="s">
        <v>68</v>
      </c>
      <c r="F13" s="60" t="s">
        <v>24</v>
      </c>
      <c r="G13" s="47">
        <v>0</v>
      </c>
      <c r="H13" s="135">
        <f>IF(B$17=0,0,G13/B$17)</f>
        <v>0</v>
      </c>
      <c r="I13" s="96">
        <v>11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13</v>
      </c>
      <c r="C14" s="39">
        <f>IF(B$3=0,0,B14/B$3)</f>
        <v>0.22807017543859648</v>
      </c>
      <c r="E14" s="63" t="s">
        <v>72</v>
      </c>
      <c r="F14" s="60" t="s">
        <v>27</v>
      </c>
      <c r="G14" s="47">
        <v>0</v>
      </c>
      <c r="H14" s="135">
        <f>IF(B$17=0,0,G14/B$17)</f>
        <v>0</v>
      </c>
      <c r="I14" s="96">
        <v>10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74</v>
      </c>
      <c r="F15" s="60" t="s">
        <v>29</v>
      </c>
      <c r="G15" s="47">
        <v>0</v>
      </c>
      <c r="H15" s="135">
        <f>IF(B$17=0,0,G15/B$17)</f>
        <v>0</v>
      </c>
      <c r="I15" s="96">
        <v>5</v>
      </c>
      <c r="N15" s="116" t="s">
        <v>129</v>
      </c>
      <c r="O15" s="126">
        <f>IF(P15=0,0,Q15/P15)</f>
        <v>72.3</v>
      </c>
      <c r="P15" s="120">
        <v>1</v>
      </c>
      <c r="Q15" s="108">
        <v>72.3</v>
      </c>
    </row>
    <row r="16" spans="1:17" x14ac:dyDescent="0.4">
      <c r="A16" s="54" t="s">
        <v>125</v>
      </c>
      <c r="B16" s="46">
        <v>5</v>
      </c>
      <c r="C16" s="37">
        <f>IF(B$14=0,0,B16/B$14)</f>
        <v>0.38461538461538464</v>
      </c>
      <c r="E16" s="63" t="s">
        <v>75</v>
      </c>
      <c r="F16" s="60" t="s">
        <v>30</v>
      </c>
      <c r="G16" s="47">
        <v>0</v>
      </c>
      <c r="H16" s="135">
        <f>IF(B$17=0,0,G16/B$17)</f>
        <v>0</v>
      </c>
      <c r="I16" s="96">
        <v>3</v>
      </c>
      <c r="N16" s="117" t="s">
        <v>172</v>
      </c>
      <c r="O16" s="127">
        <f>IF(P16=0,0,Q16/P16)</f>
        <v>-25.400000000000002</v>
      </c>
      <c r="P16" s="121">
        <v>2</v>
      </c>
      <c r="Q16" s="109">
        <v>-50.800000000000004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0.21052631578947367</v>
      </c>
      <c r="E17" s="63" t="s">
        <v>76</v>
      </c>
      <c r="F17" s="60" t="s">
        <v>31</v>
      </c>
      <c r="G17" s="47">
        <v>0</v>
      </c>
      <c r="H17" s="135">
        <f>IF(B$17=0,0,G17/B$17)</f>
        <v>0</v>
      </c>
      <c r="I17" s="96">
        <v>6</v>
      </c>
      <c r="N17" s="117" t="s">
        <v>127</v>
      </c>
      <c r="O17" s="127">
        <f>IF(P17=0,0,Q17/P17)</f>
        <v>-56.8</v>
      </c>
      <c r="P17" s="121">
        <v>4</v>
      </c>
      <c r="Q17" s="109">
        <v>-227.2</v>
      </c>
    </row>
    <row r="18" spans="1:17" x14ac:dyDescent="0.4">
      <c r="A18" s="55" t="s">
        <v>12</v>
      </c>
      <c r="B18" s="47">
        <v>6</v>
      </c>
      <c r="C18" s="39">
        <f>IF(B$17=0,0,B18/B$17)</f>
        <v>0.5</v>
      </c>
      <c r="E18" s="63" t="s">
        <v>77</v>
      </c>
      <c r="F18" s="60" t="s">
        <v>32</v>
      </c>
      <c r="G18" s="47">
        <v>0</v>
      </c>
      <c r="H18" s="135">
        <f>IF(B$17=0,0,G18/B$17)</f>
        <v>0</v>
      </c>
      <c r="I18" s="96">
        <v>1</v>
      </c>
      <c r="N18" s="117" t="s">
        <v>178</v>
      </c>
      <c r="O18" s="127">
        <f>IF(P18=0,0,Q18/P18)</f>
        <v>-60.800000000000004</v>
      </c>
      <c r="P18" s="121">
        <v>2</v>
      </c>
      <c r="Q18" s="109">
        <v>-121.60000000000001</v>
      </c>
    </row>
    <row r="19" spans="1:17" x14ac:dyDescent="0.4">
      <c r="A19" s="55" t="s">
        <v>11</v>
      </c>
      <c r="B19" s="47">
        <v>6</v>
      </c>
      <c r="C19" s="39">
        <f>IF(B$17=0,0,B19/B$17)</f>
        <v>0.5</v>
      </c>
      <c r="E19" s="63" t="s">
        <v>78</v>
      </c>
      <c r="F19" s="60" t="s">
        <v>33</v>
      </c>
      <c r="G19" s="47">
        <v>0</v>
      </c>
      <c r="H19" s="135">
        <f>IF(B$17=0,0,G19/B$17)</f>
        <v>0</v>
      </c>
      <c r="I19" s="96">
        <v>4</v>
      </c>
      <c r="N19" s="117" t="s">
        <v>128</v>
      </c>
      <c r="O19" s="127">
        <f>IF(P19=0,0,Q19/P19)</f>
        <v>-64.424999999999997</v>
      </c>
      <c r="P19" s="121">
        <v>4</v>
      </c>
      <c r="Q19" s="109">
        <v>-257.7</v>
      </c>
    </row>
    <row r="20" spans="1:17" x14ac:dyDescent="0.4">
      <c r="A20" s="55" t="s">
        <v>13</v>
      </c>
      <c r="B20" s="47">
        <v>16</v>
      </c>
      <c r="C20" s="39">
        <f>IF(B$3=0,0,B20/B$3)</f>
        <v>0.2807017543859649</v>
      </c>
      <c r="E20" s="63" t="s">
        <v>79</v>
      </c>
      <c r="F20" s="60" t="s">
        <v>34</v>
      </c>
      <c r="G20" s="47">
        <v>0</v>
      </c>
      <c r="H20" s="135">
        <f>IF(B$17=0,0,G20/B$17)</f>
        <v>0</v>
      </c>
      <c r="I20" s="96">
        <v>8</v>
      </c>
      <c r="N20" s="117" t="s">
        <v>186</v>
      </c>
      <c r="O20" s="127">
        <f>IF(P20=0,0,Q20/P20)</f>
        <v>-69.599999999999994</v>
      </c>
      <c r="P20" s="121">
        <v>1</v>
      </c>
      <c r="Q20" s="109">
        <v>-69.599999999999994</v>
      </c>
    </row>
    <row r="21" spans="1:17" x14ac:dyDescent="0.4">
      <c r="A21" s="55" t="s">
        <v>194</v>
      </c>
      <c r="B21" s="47">
        <v>2</v>
      </c>
      <c r="C21" s="137">
        <v>0</v>
      </c>
      <c r="E21" s="63" t="s">
        <v>80</v>
      </c>
      <c r="F21" s="60" t="s">
        <v>35</v>
      </c>
      <c r="G21" s="47">
        <v>0</v>
      </c>
      <c r="H21" s="135">
        <f>IF(B$17=0,0,G21/B$17)</f>
        <v>0</v>
      </c>
      <c r="I21" s="96">
        <v>6</v>
      </c>
    </row>
    <row r="22" spans="1:17" x14ac:dyDescent="0.4">
      <c r="A22" s="55" t="s">
        <v>195</v>
      </c>
      <c r="B22" s="47">
        <v>10</v>
      </c>
      <c r="C22" s="137">
        <v>4</v>
      </c>
      <c r="E22" s="63" t="s">
        <v>81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6500</v>
      </c>
      <c r="C23" s="41">
        <v>78000</v>
      </c>
      <c r="E23" s="63" t="s">
        <v>83</v>
      </c>
      <c r="F23" s="60" t="s">
        <v>38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-8762.5</v>
      </c>
      <c r="C24" s="45">
        <v>-140200</v>
      </c>
      <c r="E24" s="63" t="s">
        <v>85</v>
      </c>
      <c r="F24" s="60" t="s">
        <v>40</v>
      </c>
      <c r="G24" s="47">
        <v>0</v>
      </c>
      <c r="H24" s="135">
        <f>IF(B$17=0,0,G24/B$17)</f>
        <v>0</v>
      </c>
      <c r="I24" s="96">
        <v>3</v>
      </c>
    </row>
    <row r="25" spans="1:17" x14ac:dyDescent="0.4">
      <c r="A25" s="92" t="s">
        <v>142</v>
      </c>
      <c r="B25" s="142">
        <v>5</v>
      </c>
      <c r="C25" s="143"/>
      <c r="E25" s="63" t="s">
        <v>86</v>
      </c>
      <c r="F25" s="60" t="s">
        <v>41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152</v>
      </c>
      <c r="B26" s="140">
        <v>43600</v>
      </c>
      <c r="C26" s="141"/>
      <c r="E26" s="63" t="s">
        <v>87</v>
      </c>
      <c r="F26" s="60" t="s">
        <v>42</v>
      </c>
      <c r="G26" s="47">
        <v>0</v>
      </c>
      <c r="H26" s="135">
        <f>IF(B$17=0,0,G26/B$17)</f>
        <v>0</v>
      </c>
      <c r="I26" s="96">
        <v>10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94CA3-E8AD-42C8-B1F7-E85D2D19DC6E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203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4</v>
      </c>
      <c r="C2" s="149"/>
      <c r="E2" s="62" t="s">
        <v>67</v>
      </c>
      <c r="F2" s="59" t="s">
        <v>23</v>
      </c>
      <c r="G2" s="46">
        <v>7</v>
      </c>
      <c r="H2" s="134">
        <f>IF(B$17=0,0,G2/B$17)</f>
        <v>0.77777777777777779</v>
      </c>
      <c r="I2" s="95">
        <v>3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-6025</v>
      </c>
      <c r="P2" s="120">
        <v>4</v>
      </c>
      <c r="Q2" s="104">
        <v>-24100</v>
      </c>
    </row>
    <row r="3" spans="1:17" x14ac:dyDescent="0.4">
      <c r="A3" s="55" t="s">
        <v>8</v>
      </c>
      <c r="B3" s="150">
        <v>36</v>
      </c>
      <c r="C3" s="151"/>
      <c r="E3" s="63" t="s">
        <v>65</v>
      </c>
      <c r="F3" s="60" t="s">
        <v>21</v>
      </c>
      <c r="G3" s="47">
        <v>6</v>
      </c>
      <c r="H3" s="135">
        <f>IF(B$17=0,0,G3/B$17)</f>
        <v>0.66666666666666663</v>
      </c>
      <c r="I3" s="96">
        <v>1</v>
      </c>
      <c r="K3" s="38">
        <v>1</v>
      </c>
      <c r="L3" s="101">
        <v>-12.5</v>
      </c>
      <c r="N3" s="117" t="s">
        <v>133</v>
      </c>
      <c r="O3" s="124">
        <f t="shared" si="0"/>
        <v>3450</v>
      </c>
      <c r="P3" s="121">
        <v>4</v>
      </c>
      <c r="Q3" s="105">
        <v>13800</v>
      </c>
    </row>
    <row r="4" spans="1:17" x14ac:dyDescent="0.4">
      <c r="A4" s="55" t="s">
        <v>6</v>
      </c>
      <c r="B4" s="152">
        <v>19.399999999999995</v>
      </c>
      <c r="C4" s="153"/>
      <c r="E4" s="63" t="s">
        <v>73</v>
      </c>
      <c r="F4" s="60" t="s">
        <v>28</v>
      </c>
      <c r="G4" s="47">
        <v>6</v>
      </c>
      <c r="H4" s="135">
        <f>IF(B$17=0,0,G4/B$17)</f>
        <v>0.66666666666666663</v>
      </c>
      <c r="I4" s="96">
        <v>4</v>
      </c>
      <c r="K4" s="38">
        <v>2</v>
      </c>
      <c r="L4" s="101">
        <v>-28.1</v>
      </c>
      <c r="N4" s="117" t="s">
        <v>134</v>
      </c>
      <c r="O4" s="124">
        <f t="shared" si="0"/>
        <v>-3650</v>
      </c>
      <c r="P4" s="121">
        <v>4</v>
      </c>
      <c r="Q4" s="105">
        <v>-14600</v>
      </c>
    </row>
    <row r="5" spans="1:17" x14ac:dyDescent="0.4">
      <c r="A5" s="55" t="s">
        <v>7</v>
      </c>
      <c r="B5" s="154">
        <f>IF(B$2=0,0,B$4/B$2)</f>
        <v>4.8499999999999988</v>
      </c>
      <c r="C5" s="155"/>
      <c r="E5" s="63" t="s">
        <v>68</v>
      </c>
      <c r="F5" s="60" t="s">
        <v>24</v>
      </c>
      <c r="G5" s="47">
        <v>5</v>
      </c>
      <c r="H5" s="135">
        <f>IF(B$17=0,0,G5/B$17)</f>
        <v>0.55555555555555558</v>
      </c>
      <c r="I5" s="96">
        <v>1</v>
      </c>
      <c r="K5" s="38">
        <v>3</v>
      </c>
      <c r="L5" s="101">
        <v>-20.400000000000002</v>
      </c>
      <c r="N5" s="117" t="s">
        <v>135</v>
      </c>
      <c r="O5" s="124">
        <f t="shared" si="0"/>
        <v>-1250</v>
      </c>
      <c r="P5" s="121">
        <v>4</v>
      </c>
      <c r="Q5" s="105">
        <v>-5000</v>
      </c>
    </row>
    <row r="6" spans="1:17" x14ac:dyDescent="0.4">
      <c r="A6" s="55" t="s">
        <v>1</v>
      </c>
      <c r="B6" s="144">
        <f>IF(B$2=0,0,(B$7*1+B$8*2+B$9*3)/B$2)</f>
        <v>1.75</v>
      </c>
      <c r="C6" s="145"/>
      <c r="E6" s="63" t="s">
        <v>69</v>
      </c>
      <c r="F6" s="60" t="s">
        <v>12</v>
      </c>
      <c r="G6" s="47">
        <v>5</v>
      </c>
      <c r="H6" s="135">
        <f>IF(B$17=0,0,G6/B$17)</f>
        <v>0.55555555555555558</v>
      </c>
      <c r="I6" s="96">
        <v>1</v>
      </c>
      <c r="K6" s="38">
        <v>4</v>
      </c>
      <c r="L6" s="101">
        <v>19.399999999999995</v>
      </c>
      <c r="N6" s="117" t="s">
        <v>136</v>
      </c>
      <c r="O6" s="124">
        <f t="shared" si="0"/>
        <v>11266.666666666666</v>
      </c>
      <c r="P6" s="121">
        <v>3</v>
      </c>
      <c r="Q6" s="105">
        <v>33800</v>
      </c>
    </row>
    <row r="7" spans="1:17" x14ac:dyDescent="0.4">
      <c r="A7" s="55" t="s">
        <v>2</v>
      </c>
      <c r="B7" s="47">
        <v>1</v>
      </c>
      <c r="C7" s="39">
        <f>IF(B$2=0,0,B7/B$2)</f>
        <v>0.25</v>
      </c>
      <c r="E7" s="63" t="s">
        <v>182</v>
      </c>
      <c r="F7" s="60" t="s">
        <v>183</v>
      </c>
      <c r="G7" s="47">
        <v>5</v>
      </c>
      <c r="H7" s="135">
        <f>IF(B$17=0,0,G7/B$17)</f>
        <v>0.55555555555555558</v>
      </c>
      <c r="I7" s="96">
        <v>1</v>
      </c>
      <c r="N7" s="118" t="s">
        <v>137</v>
      </c>
      <c r="O7" s="125">
        <f t="shared" si="0"/>
        <v>-1500</v>
      </c>
      <c r="P7" s="122">
        <v>3</v>
      </c>
      <c r="Q7" s="106">
        <v>-4500</v>
      </c>
    </row>
    <row r="8" spans="1:17" x14ac:dyDescent="0.4">
      <c r="A8" s="55" t="s">
        <v>3</v>
      </c>
      <c r="B8" s="47">
        <v>3</v>
      </c>
      <c r="C8" s="39">
        <f>IF(B$2=0,0,B8/B$2)</f>
        <v>0.75</v>
      </c>
      <c r="E8" s="63" t="s">
        <v>70</v>
      </c>
      <c r="F8" s="60" t="s">
        <v>25</v>
      </c>
      <c r="G8" s="47">
        <v>3</v>
      </c>
      <c r="H8" s="135">
        <f>IF(B$17=0,0,G8/B$17)</f>
        <v>0.33333333333333331</v>
      </c>
      <c r="I8" s="96">
        <v>1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90</v>
      </c>
      <c r="F9" s="60" t="s">
        <v>45</v>
      </c>
      <c r="G9" s="47">
        <v>2</v>
      </c>
      <c r="H9" s="135">
        <f>IF(B$17=0,0,G9/B$17)</f>
        <v>0.22222222222222221</v>
      </c>
      <c r="I9" s="96">
        <v>3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66</v>
      </c>
      <c r="F10" s="60" t="s">
        <v>22</v>
      </c>
      <c r="G10" s="47">
        <v>1</v>
      </c>
      <c r="H10" s="135">
        <f>IF(B$17=0,0,G10/B$17)</f>
        <v>0.1111111111111111</v>
      </c>
      <c r="I10" s="96">
        <v>6</v>
      </c>
      <c r="N10" s="116" t="s">
        <v>165</v>
      </c>
      <c r="O10" s="126">
        <f>IF(P10=0,0,Q10/P10)</f>
        <v>-15.6</v>
      </c>
      <c r="P10" s="120">
        <v>1</v>
      </c>
      <c r="Q10" s="108">
        <v>-15.6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79</v>
      </c>
      <c r="F11" s="60" t="s">
        <v>34</v>
      </c>
      <c r="G11" s="47">
        <v>1</v>
      </c>
      <c r="H11" s="135">
        <f>IF(B$17=0,0,G11/B$17)</f>
        <v>0.1111111111111111</v>
      </c>
      <c r="I11" s="96">
        <v>1</v>
      </c>
      <c r="N11" s="117" t="s">
        <v>166</v>
      </c>
      <c r="O11" s="127">
        <f>IF(P11=0,0,Q11/P11)</f>
        <v>7.7</v>
      </c>
      <c r="P11" s="121">
        <v>1</v>
      </c>
      <c r="Q11" s="109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87</v>
      </c>
      <c r="F12" s="60" t="s">
        <v>42</v>
      </c>
      <c r="G12" s="47">
        <v>1</v>
      </c>
      <c r="H12" s="135">
        <f>IF(B$17=0,0,G12/B$17)</f>
        <v>0.1111111111111111</v>
      </c>
      <c r="I12" s="96">
        <v>2</v>
      </c>
      <c r="N12" s="118" t="s">
        <v>167</v>
      </c>
      <c r="O12" s="128">
        <f>IF(P12=0,0,Q12/P12)</f>
        <v>13.649999999999999</v>
      </c>
      <c r="P12" s="122">
        <v>2</v>
      </c>
      <c r="Q12" s="110">
        <v>27.299999999999997</v>
      </c>
    </row>
    <row r="13" spans="1:17" x14ac:dyDescent="0.4">
      <c r="A13" s="58" t="s">
        <v>122</v>
      </c>
      <c r="B13" s="50">
        <v>11</v>
      </c>
      <c r="C13" s="44">
        <f>IF(B$3=0,0,B13/B$3)</f>
        <v>0.30555555555555558</v>
      </c>
      <c r="E13" s="63" t="s">
        <v>71</v>
      </c>
      <c r="F13" s="60" t="s">
        <v>26</v>
      </c>
      <c r="G13" s="47">
        <v>0</v>
      </c>
      <c r="H13" s="135">
        <f>IF(B$17=0,0,G13/B$17)</f>
        <v>0</v>
      </c>
      <c r="I13" s="96">
        <v>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10</v>
      </c>
      <c r="C14" s="39">
        <f>IF(B$3=0,0,B14/B$3)</f>
        <v>0.27777777777777779</v>
      </c>
      <c r="E14" s="63" t="s">
        <v>72</v>
      </c>
      <c r="F14" s="60" t="s">
        <v>27</v>
      </c>
      <c r="G14" s="47">
        <v>0</v>
      </c>
      <c r="H14" s="135">
        <f>IF(B$17=0,0,G14/B$17)</f>
        <v>0</v>
      </c>
      <c r="I14" s="96">
        <v>10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6</v>
      </c>
      <c r="C15" s="37">
        <f>IF(B$13=0,0,B15/B$13)</f>
        <v>0.54545454545454541</v>
      </c>
      <c r="E15" s="63" t="s">
        <v>74</v>
      </c>
      <c r="F15" s="60" t="s">
        <v>29</v>
      </c>
      <c r="G15" s="47">
        <v>0</v>
      </c>
      <c r="H15" s="135">
        <f>IF(B$17=0,0,G15/B$17)</f>
        <v>0</v>
      </c>
      <c r="I15" s="96">
        <v>5</v>
      </c>
      <c r="N15" s="116" t="s">
        <v>172</v>
      </c>
      <c r="O15" s="126">
        <f>IF(P15=0,0,Q15/P15)</f>
        <v>52</v>
      </c>
      <c r="P15" s="120">
        <v>2</v>
      </c>
      <c r="Q15" s="108">
        <v>104</v>
      </c>
    </row>
    <row r="16" spans="1:17" x14ac:dyDescent="0.4">
      <c r="A16" s="54" t="s">
        <v>125</v>
      </c>
      <c r="B16" s="46">
        <v>3</v>
      </c>
      <c r="C16" s="37">
        <f>IF(B$14=0,0,B16/B$14)</f>
        <v>0.3</v>
      </c>
      <c r="E16" s="63" t="s">
        <v>75</v>
      </c>
      <c r="F16" s="60" t="s">
        <v>30</v>
      </c>
      <c r="G16" s="47">
        <v>0</v>
      </c>
      <c r="H16" s="135">
        <f>IF(B$17=0,0,G16/B$17)</f>
        <v>0</v>
      </c>
      <c r="I16" s="96">
        <v>3</v>
      </c>
      <c r="N16" s="117" t="s">
        <v>174</v>
      </c>
      <c r="O16" s="127">
        <f>IF(P16=0,0,Q16/P16)</f>
        <v>43.1</v>
      </c>
      <c r="P16" s="121">
        <v>1</v>
      </c>
      <c r="Q16" s="109">
        <v>43.1</v>
      </c>
    </row>
    <row r="17" spans="1:17" x14ac:dyDescent="0.4">
      <c r="A17" s="54" t="s">
        <v>10</v>
      </c>
      <c r="B17" s="46">
        <f>B19+B18</f>
        <v>9</v>
      </c>
      <c r="C17" s="37">
        <f>IF(B$3=0,0,B17/B$3)</f>
        <v>0.25</v>
      </c>
      <c r="E17" s="63" t="s">
        <v>76</v>
      </c>
      <c r="F17" s="60" t="s">
        <v>31</v>
      </c>
      <c r="G17" s="47">
        <v>0</v>
      </c>
      <c r="H17" s="135">
        <f>IF(B$17=0,0,G17/B$17)</f>
        <v>0</v>
      </c>
      <c r="I17" s="96">
        <v>6</v>
      </c>
      <c r="N17" s="117" t="s">
        <v>173</v>
      </c>
      <c r="O17" s="127">
        <f>IF(P17=0,0,Q17/P17)</f>
        <v>-16.450000000000006</v>
      </c>
      <c r="P17" s="121">
        <v>4</v>
      </c>
      <c r="Q17" s="109">
        <v>-65.800000000000026</v>
      </c>
    </row>
    <row r="18" spans="1:17" x14ac:dyDescent="0.4">
      <c r="A18" s="55" t="s">
        <v>12</v>
      </c>
      <c r="B18" s="47">
        <v>6</v>
      </c>
      <c r="C18" s="39">
        <f>IF(B$17=0,0,B18/B$17)</f>
        <v>0.66666666666666663</v>
      </c>
      <c r="E18" s="63" t="s">
        <v>77</v>
      </c>
      <c r="F18" s="60" t="s">
        <v>32</v>
      </c>
      <c r="G18" s="47">
        <v>0</v>
      </c>
      <c r="H18" s="135">
        <f>IF(B$17=0,0,G18/B$17)</f>
        <v>0</v>
      </c>
      <c r="I18" s="96">
        <v>1</v>
      </c>
      <c r="N18" s="117" t="s">
        <v>127</v>
      </c>
      <c r="O18" s="127">
        <f>IF(P18=0,0,Q18/P18)</f>
        <v>-23.1</v>
      </c>
      <c r="P18" s="121">
        <v>1</v>
      </c>
      <c r="Q18" s="109">
        <v>-23.1</v>
      </c>
    </row>
    <row r="19" spans="1:17" x14ac:dyDescent="0.4">
      <c r="A19" s="55" t="s">
        <v>11</v>
      </c>
      <c r="B19" s="47">
        <v>3</v>
      </c>
      <c r="C19" s="39">
        <f>IF(B$17=0,0,B19/B$17)</f>
        <v>0.33333333333333331</v>
      </c>
      <c r="E19" s="63" t="s">
        <v>78</v>
      </c>
      <c r="F19" s="60" t="s">
        <v>33</v>
      </c>
      <c r="G19" s="47">
        <v>0</v>
      </c>
      <c r="H19" s="135">
        <f>IF(B$17=0,0,G19/B$17)</f>
        <v>0</v>
      </c>
      <c r="I19" s="96">
        <v>4</v>
      </c>
    </row>
    <row r="20" spans="1:17" x14ac:dyDescent="0.4">
      <c r="A20" s="55" t="s">
        <v>13</v>
      </c>
      <c r="B20" s="47">
        <v>6</v>
      </c>
      <c r="C20" s="39">
        <f>IF(B$3=0,0,B20/B$3)</f>
        <v>0.16666666666666666</v>
      </c>
      <c r="E20" s="63" t="s">
        <v>80</v>
      </c>
      <c r="F20" s="60" t="s">
        <v>35</v>
      </c>
      <c r="G20" s="47">
        <v>0</v>
      </c>
      <c r="H20" s="135">
        <f>IF(B$17=0,0,G20/B$17)</f>
        <v>0</v>
      </c>
      <c r="I20" s="96">
        <v>6</v>
      </c>
    </row>
    <row r="21" spans="1:17" x14ac:dyDescent="0.4">
      <c r="A21" s="55" t="s">
        <v>194</v>
      </c>
      <c r="B21" s="47">
        <v>3</v>
      </c>
      <c r="C21" s="137">
        <v>3</v>
      </c>
      <c r="E21" s="63" t="s">
        <v>81</v>
      </c>
      <c r="F21" s="60" t="s">
        <v>36</v>
      </c>
      <c r="G21" s="47">
        <v>0</v>
      </c>
      <c r="H21" s="135">
        <f>IF(B$17=0,0,G21/B$17)</f>
        <v>0</v>
      </c>
      <c r="I21" s="96">
        <v>1</v>
      </c>
    </row>
    <row r="22" spans="1:17" x14ac:dyDescent="0.4">
      <c r="A22" s="55" t="s">
        <v>195</v>
      </c>
      <c r="B22" s="47">
        <v>8</v>
      </c>
      <c r="C22" s="137">
        <v>4</v>
      </c>
      <c r="E22" s="63" t="s">
        <v>82</v>
      </c>
      <c r="F22" s="60" t="s">
        <v>37</v>
      </c>
      <c r="G22" s="47">
        <v>0</v>
      </c>
      <c r="H22" s="135">
        <f>IF(B$17=0,0,G22/B$17)</f>
        <v>0</v>
      </c>
      <c r="I22" s="96">
        <v>7</v>
      </c>
    </row>
    <row r="23" spans="1:17" x14ac:dyDescent="0.4">
      <c r="A23" s="55" t="s">
        <v>5</v>
      </c>
      <c r="B23" s="51">
        <f>IF(B$17=0,0,C23/B$17)</f>
        <v>9555.5555555555547</v>
      </c>
      <c r="C23" s="41">
        <v>86000</v>
      </c>
      <c r="E23" s="63" t="s">
        <v>83</v>
      </c>
      <c r="F23" s="60" t="s">
        <v>38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-5866.666666666667</v>
      </c>
      <c r="C24" s="45">
        <v>-35200</v>
      </c>
      <c r="E24" s="63" t="s">
        <v>84</v>
      </c>
      <c r="F24" s="60" t="s">
        <v>39</v>
      </c>
      <c r="G24" s="47">
        <v>0</v>
      </c>
      <c r="H24" s="135">
        <f>IF(B$17=0,0,G24/B$17)</f>
        <v>0</v>
      </c>
      <c r="I24" s="96">
        <v>10</v>
      </c>
    </row>
    <row r="25" spans="1:17" x14ac:dyDescent="0.4">
      <c r="A25" s="92" t="s">
        <v>142</v>
      </c>
      <c r="B25" s="142">
        <v>4</v>
      </c>
      <c r="C25" s="143"/>
      <c r="E25" s="63" t="s">
        <v>85</v>
      </c>
      <c r="F25" s="60" t="s">
        <v>40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152</v>
      </c>
      <c r="B26" s="140">
        <v>54800</v>
      </c>
      <c r="C26" s="141"/>
      <c r="E26" s="63" t="s">
        <v>86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1C06C-F6B1-4408-B78C-98E0FA7A30E7}">
  <sheetPr codeName="Sheet26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203</v>
      </c>
      <c r="B1" s="70" t="s">
        <v>203</v>
      </c>
      <c r="C1" s="70" t="s">
        <v>203</v>
      </c>
      <c r="D1" s="71" t="s">
        <v>203</v>
      </c>
      <c r="E1" s="70" t="s">
        <v>203</v>
      </c>
      <c r="F1" s="70" t="s">
        <v>203</v>
      </c>
      <c r="G1" s="70" t="s">
        <v>203</v>
      </c>
      <c r="H1" s="70" t="s">
        <v>203</v>
      </c>
      <c r="I1" s="70" t="s">
        <v>203</v>
      </c>
      <c r="J1" s="70" t="s">
        <v>203</v>
      </c>
      <c r="K1" s="70" t="s">
        <v>203</v>
      </c>
      <c r="L1" s="70" t="s">
        <v>203</v>
      </c>
      <c r="M1" s="70" t="s">
        <v>203</v>
      </c>
      <c r="N1" s="70" t="s">
        <v>203</v>
      </c>
      <c r="O1" s="70" t="s">
        <v>203</v>
      </c>
      <c r="P1" s="70" t="s">
        <v>203</v>
      </c>
      <c r="Q1" s="70" t="s">
        <v>203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31849-9C80-4C49-A5FF-CB4E8C0E271E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187</v>
      </c>
      <c r="B1" s="70" t="s">
        <v>187</v>
      </c>
      <c r="C1" s="70" t="s">
        <v>187</v>
      </c>
      <c r="D1" s="71" t="s">
        <v>187</v>
      </c>
      <c r="E1" s="70" t="s">
        <v>187</v>
      </c>
      <c r="F1" s="70" t="s">
        <v>187</v>
      </c>
      <c r="G1" s="70" t="s">
        <v>187</v>
      </c>
      <c r="H1" s="70" t="s">
        <v>187</v>
      </c>
      <c r="I1" s="70" t="s">
        <v>187</v>
      </c>
      <c r="J1" s="70" t="s">
        <v>187</v>
      </c>
      <c r="K1" s="70" t="s">
        <v>187</v>
      </c>
      <c r="L1" s="70" t="s">
        <v>187</v>
      </c>
      <c r="M1" s="70" t="s">
        <v>187</v>
      </c>
      <c r="N1" s="70" t="s">
        <v>187</v>
      </c>
      <c r="O1" s="70" t="s">
        <v>187</v>
      </c>
      <c r="P1" s="70" t="s">
        <v>187</v>
      </c>
      <c r="Q1" s="70" t="s">
        <v>187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15205-B04A-4346-9B15-95D4663AD99C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B08B5-7DE7-4BCD-A0B9-DEE0293F913F}">
  <sheetPr codeName="Sheet20"/>
  <dimension ref="A1:Q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52799-FB6F-4282-96EA-D744AAC8D56A}">
  <sheetPr codeName="Sheet18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174</v>
      </c>
      <c r="B1" s="70" t="s">
        <v>174</v>
      </c>
      <c r="C1" s="70" t="s">
        <v>174</v>
      </c>
      <c r="D1" s="71" t="s">
        <v>174</v>
      </c>
      <c r="E1" s="70" t="s">
        <v>174</v>
      </c>
      <c r="F1" s="70" t="s">
        <v>174</v>
      </c>
      <c r="G1" s="70" t="s">
        <v>174</v>
      </c>
      <c r="H1" s="70" t="s">
        <v>174</v>
      </c>
      <c r="I1" s="70" t="s">
        <v>174</v>
      </c>
      <c r="J1" s="70" t="s">
        <v>174</v>
      </c>
      <c r="K1" s="70" t="s">
        <v>174</v>
      </c>
      <c r="L1" s="70" t="s">
        <v>174</v>
      </c>
      <c r="M1" s="70" t="s">
        <v>174</v>
      </c>
      <c r="N1" s="70" t="s">
        <v>174</v>
      </c>
      <c r="O1" s="70" t="s">
        <v>174</v>
      </c>
      <c r="P1" s="70" t="s">
        <v>174</v>
      </c>
      <c r="Q1" s="70" t="s">
        <v>174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FD9C8-82D5-46F6-BA49-BB5C118D33E2}">
  <sheetPr codeName="Sheet16"/>
  <dimension ref="A1:Q2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64E43-3195-4878-A523-F23FC291FF83}">
  <sheetPr codeName="Sheet14"/>
  <dimension ref="A1:Q3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1FC7F-9A79-4979-B59B-115D0EDA25D8}">
  <sheetPr codeName="Sheet12"/>
  <dimension ref="A1:Q2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AF85A-E00F-4FE3-9F31-1CE446517B48}">
  <sheetPr codeName="Sheet10"/>
  <dimension ref="A1:Q6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87DDB-B7FA-4789-92CD-BFCA376B0F87}">
  <sheetPr codeName="Sheet8"/>
  <dimension ref="A1:Q6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98F4C-17A9-4C3F-9171-AB6A25CF1137}">
  <sheetPr codeName="Sheet6"/>
  <dimension ref="A1:Q9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2019-04-21T12:53:12Z</dcterms:modified>
</cp:coreProperties>
</file>