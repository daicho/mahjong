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5FEE679-475D-42A4-B20C-8AE0C6A52F8F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27" r:id="rId6"/>
    <sheet name="だいち" sheetId="5429" r:id="rId7"/>
    <sheet name="りくと" sheetId="5431" r:id="rId8"/>
    <sheet name="ただ" sheetId="5433" r:id="rId9"/>
    <sheet name="れんたろう" sheetId="5435" r:id="rId10"/>
    <sheet name="たかの" sheetId="5437" r:id="rId11"/>
    <sheet name="ぱぱ" sheetId="5439" r:id="rId12"/>
    <sheet name="まっつん" sheetId="5441" r:id="rId13"/>
    <sheet name="あさひ" sheetId="5443" r:id="rId14"/>
    <sheet name="いっしー" sheetId="5445" r:id="rId15"/>
    <sheet name="ほたに" sheetId="5447" r:id="rId16"/>
    <sheet name="かわたつ" sheetId="5449" r:id="rId17"/>
    <sheet name="やがさき" sheetId="5451" r:id="rId18"/>
    <sheet name="やがさき2" sheetId="5452" state="hidden" r:id="rId19"/>
    <sheet name="かわたつ2" sheetId="5450" state="hidden" r:id="rId20"/>
    <sheet name="ほたに2" sheetId="5448" state="hidden" r:id="rId21"/>
    <sheet name="いっしー2" sheetId="5446" state="hidden" r:id="rId22"/>
    <sheet name="あさひ2" sheetId="5444" state="hidden" r:id="rId23"/>
    <sheet name="まっつん2" sheetId="5442" state="hidden" r:id="rId24"/>
    <sheet name="ぱぱ2" sheetId="5440" state="hidden" r:id="rId25"/>
    <sheet name="たかの2" sheetId="5438" state="hidden" r:id="rId26"/>
    <sheet name="れんたろう2" sheetId="5436" state="hidden" r:id="rId27"/>
    <sheet name="ただ2" sheetId="5434" state="hidden" r:id="rId28"/>
    <sheet name="りくと2" sheetId="5432" state="hidden" r:id="rId29"/>
    <sheet name="だいち2" sheetId="5430" state="hidden" r:id="rId30"/>
    <sheet name="全体2" sheetId="542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29" l="1"/>
  <c r="O15" i="5451"/>
  <c r="O15" i="5433" l="1"/>
  <c r="O16" i="5437"/>
  <c r="O16" i="5427"/>
  <c r="O17" i="5451"/>
  <c r="O16" i="5451"/>
  <c r="C27" i="5451"/>
  <c r="B24" i="5451"/>
  <c r="C20" i="5451"/>
  <c r="B17" i="5451"/>
  <c r="H48" i="5451" s="1"/>
  <c r="C16" i="5451"/>
  <c r="C15" i="5451"/>
  <c r="C14" i="5451"/>
  <c r="C13" i="5451"/>
  <c r="O12" i="5451"/>
  <c r="C12" i="5451"/>
  <c r="O11" i="5451"/>
  <c r="C11" i="5451"/>
  <c r="O10" i="5451"/>
  <c r="H10" i="5451"/>
  <c r="C10" i="5451"/>
  <c r="C9" i="5451"/>
  <c r="H8" i="5451"/>
  <c r="C8" i="5451"/>
  <c r="O7" i="5451"/>
  <c r="C7" i="5451"/>
  <c r="O6" i="5451"/>
  <c r="B6" i="5451"/>
  <c r="O5" i="5451"/>
  <c r="B5" i="5451"/>
  <c r="O4" i="5451"/>
  <c r="H4" i="5451"/>
  <c r="O3" i="5451"/>
  <c r="O2" i="5451"/>
  <c r="H2" i="5451"/>
  <c r="O15" i="5449"/>
  <c r="O16" i="5449"/>
  <c r="C27" i="5449"/>
  <c r="B24" i="5449"/>
  <c r="C20" i="5449"/>
  <c r="C17" i="5449"/>
  <c r="B17" i="5449"/>
  <c r="H48" i="5449" s="1"/>
  <c r="C16" i="5449"/>
  <c r="C15" i="5449"/>
  <c r="C14" i="5449"/>
  <c r="C13" i="5449"/>
  <c r="O12" i="5449"/>
  <c r="C12" i="5449"/>
  <c r="O11" i="5449"/>
  <c r="C11" i="5449"/>
  <c r="O10" i="5449"/>
  <c r="H10" i="5449"/>
  <c r="C10" i="5449"/>
  <c r="C9" i="5449"/>
  <c r="H8" i="5449"/>
  <c r="C8" i="5449"/>
  <c r="O7" i="5449"/>
  <c r="C7" i="5449"/>
  <c r="O6" i="5449"/>
  <c r="B6" i="5449"/>
  <c r="O5" i="5449"/>
  <c r="B5" i="5449"/>
  <c r="O4" i="5449"/>
  <c r="H4" i="5449"/>
  <c r="O3" i="5449"/>
  <c r="O2" i="5449"/>
  <c r="H2" i="5449"/>
  <c r="O23" i="5435"/>
  <c r="O17" i="5429"/>
  <c r="O25" i="5427"/>
  <c r="C17" i="5451" l="1"/>
  <c r="H18" i="5451"/>
  <c r="H20" i="5451"/>
  <c r="H23" i="5451"/>
  <c r="H26" i="5451"/>
  <c r="H29" i="5451"/>
  <c r="H33" i="5451"/>
  <c r="H37" i="5451"/>
  <c r="H41" i="5451"/>
  <c r="H45" i="5451"/>
  <c r="H49" i="5451"/>
  <c r="H7" i="5451"/>
  <c r="H13" i="5451"/>
  <c r="H15" i="5451"/>
  <c r="C19" i="5451"/>
  <c r="H21" i="5451"/>
  <c r="H30" i="5451"/>
  <c r="H34" i="5451"/>
  <c r="H38" i="5451"/>
  <c r="H42" i="5451"/>
  <c r="H46" i="5451"/>
  <c r="H50" i="5451"/>
  <c r="H3" i="5451"/>
  <c r="H6" i="5451"/>
  <c r="H9" i="5451"/>
  <c r="H12" i="5451"/>
  <c r="H17" i="5451"/>
  <c r="H19" i="5451"/>
  <c r="H22" i="5451"/>
  <c r="H24" i="5451"/>
  <c r="H27" i="5451"/>
  <c r="H31" i="5451"/>
  <c r="H35" i="5451"/>
  <c r="H39" i="5451"/>
  <c r="H43" i="5451"/>
  <c r="H47" i="5451"/>
  <c r="H51" i="5451"/>
  <c r="H5" i="5451"/>
  <c r="H11" i="5451"/>
  <c r="H14" i="5451"/>
  <c r="H16" i="5451"/>
  <c r="C18" i="5451"/>
  <c r="B23" i="5451"/>
  <c r="H25" i="5451"/>
  <c r="H28" i="5451"/>
  <c r="H32" i="5451"/>
  <c r="H36" i="5451"/>
  <c r="H40" i="5451"/>
  <c r="H44" i="5451"/>
  <c r="H18" i="5449"/>
  <c r="H20" i="5449"/>
  <c r="H23" i="5449"/>
  <c r="H26" i="5449"/>
  <c r="H29" i="5449"/>
  <c r="H33" i="5449"/>
  <c r="H37" i="5449"/>
  <c r="H41" i="5449"/>
  <c r="H45" i="5449"/>
  <c r="H49" i="5449"/>
  <c r="H7" i="5449"/>
  <c r="H13" i="5449"/>
  <c r="H15" i="5449"/>
  <c r="C19" i="5449"/>
  <c r="H21" i="5449"/>
  <c r="H30" i="5449"/>
  <c r="H34" i="5449"/>
  <c r="H38" i="5449"/>
  <c r="H42" i="5449"/>
  <c r="H46" i="5449"/>
  <c r="H50" i="5449"/>
  <c r="H3" i="5449"/>
  <c r="H6" i="5449"/>
  <c r="H9" i="5449"/>
  <c r="H12" i="5449"/>
  <c r="H17" i="5449"/>
  <c r="H19" i="5449"/>
  <c r="H22" i="5449"/>
  <c r="H24" i="5449"/>
  <c r="H27" i="5449"/>
  <c r="H31" i="5449"/>
  <c r="H35" i="5449"/>
  <c r="H39" i="5449"/>
  <c r="H43" i="5449"/>
  <c r="H47" i="5449"/>
  <c r="H51" i="5449"/>
  <c r="H5" i="5449"/>
  <c r="H11" i="5449"/>
  <c r="H14" i="5449"/>
  <c r="H16" i="5449"/>
  <c r="C18" i="5449"/>
  <c r="B23" i="5449"/>
  <c r="H25" i="5449"/>
  <c r="H28" i="5449"/>
  <c r="H32" i="5449"/>
  <c r="H36" i="5449"/>
  <c r="H40" i="5449"/>
  <c r="H44" i="5449"/>
  <c r="O17" i="5437" l="1"/>
  <c r="O16" i="5445"/>
  <c r="O20" i="5447" l="1"/>
  <c r="O18" i="5447"/>
  <c r="O15" i="5441"/>
  <c r="O20" i="5431"/>
  <c r="O24" i="5429" l="1"/>
  <c r="O16" i="5447"/>
  <c r="O21" i="5439"/>
  <c r="O15" i="5447"/>
  <c r="O17" i="5447" l="1"/>
  <c r="O19" i="5447"/>
  <c r="C27" i="5447"/>
  <c r="B24" i="5447"/>
  <c r="C20" i="5447"/>
  <c r="B17" i="5447"/>
  <c r="H48" i="5447" s="1"/>
  <c r="C16" i="5447"/>
  <c r="C15" i="5447"/>
  <c r="C14" i="5447"/>
  <c r="C13" i="5447"/>
  <c r="O12" i="5447"/>
  <c r="C12" i="5447"/>
  <c r="O11" i="5447"/>
  <c r="C11" i="5447"/>
  <c r="O10" i="5447"/>
  <c r="C10" i="5447"/>
  <c r="C9" i="5447"/>
  <c r="C8" i="5447"/>
  <c r="O7" i="5447"/>
  <c r="C7" i="5447"/>
  <c r="O6" i="5447"/>
  <c r="B6" i="5447"/>
  <c r="O5" i="5447"/>
  <c r="B5" i="5447"/>
  <c r="O4" i="5447"/>
  <c r="O3" i="5447"/>
  <c r="O2" i="5447"/>
  <c r="H2" i="5447"/>
  <c r="O21" i="5435"/>
  <c r="O18" i="5437"/>
  <c r="O19" i="5427"/>
  <c r="H8" i="5447" l="1"/>
  <c r="C17" i="5447"/>
  <c r="H4" i="5447"/>
  <c r="H10" i="5447"/>
  <c r="H18" i="5447"/>
  <c r="H20" i="5447"/>
  <c r="H23" i="5447"/>
  <c r="H26" i="5447"/>
  <c r="H29" i="5447"/>
  <c r="H33" i="5447"/>
  <c r="H37" i="5447"/>
  <c r="H41" i="5447"/>
  <c r="H45" i="5447"/>
  <c r="H49" i="5447"/>
  <c r="H7" i="5447"/>
  <c r="H13" i="5447"/>
  <c r="H15" i="5447"/>
  <c r="C19" i="5447"/>
  <c r="H21" i="5447"/>
  <c r="H30" i="5447"/>
  <c r="H34" i="5447"/>
  <c r="H38" i="5447"/>
  <c r="H42" i="5447"/>
  <c r="H46" i="5447"/>
  <c r="H50" i="5447"/>
  <c r="H3" i="5447"/>
  <c r="H6" i="5447"/>
  <c r="H9" i="5447"/>
  <c r="H12" i="5447"/>
  <c r="H17" i="5447"/>
  <c r="H19" i="5447"/>
  <c r="H22" i="5447"/>
  <c r="H24" i="5447"/>
  <c r="H27" i="5447"/>
  <c r="H31" i="5447"/>
  <c r="H35" i="5447"/>
  <c r="H39" i="5447"/>
  <c r="H43" i="5447"/>
  <c r="H47" i="5447"/>
  <c r="H51" i="5447"/>
  <c r="H5" i="5447"/>
  <c r="H11" i="5447"/>
  <c r="H14" i="5447"/>
  <c r="H16" i="5447"/>
  <c r="C18" i="5447"/>
  <c r="B23" i="5447"/>
  <c r="H25" i="5447"/>
  <c r="H28" i="5447"/>
  <c r="H32" i="5447"/>
  <c r="H36" i="5447"/>
  <c r="H40" i="5447"/>
  <c r="H44" i="5447"/>
  <c r="O20" i="5437" l="1"/>
  <c r="O16" i="5433"/>
  <c r="O21" i="5441"/>
  <c r="O20" i="5441"/>
  <c r="O21" i="5429" l="1"/>
  <c r="O17" i="5445"/>
  <c r="O20" i="5445" l="1"/>
  <c r="O15" i="5445"/>
  <c r="O16" i="5435"/>
  <c r="O22" i="5433"/>
  <c r="O17" i="5443" l="1"/>
  <c r="O22" i="5439"/>
  <c r="O15" i="5443"/>
  <c r="O21" i="5445"/>
  <c r="O15" i="5431"/>
  <c r="O17" i="5441"/>
  <c r="O17" i="5427"/>
  <c r="O19" i="5445"/>
  <c r="O18" i="5445"/>
  <c r="C27" i="5445"/>
  <c r="B24" i="5445"/>
  <c r="C20" i="5445"/>
  <c r="B17" i="5445"/>
  <c r="H48" i="5445" s="1"/>
  <c r="C16" i="5445"/>
  <c r="C15" i="5445"/>
  <c r="C14" i="5445"/>
  <c r="C13" i="5445"/>
  <c r="O12" i="5445"/>
  <c r="C12" i="5445"/>
  <c r="O11" i="5445"/>
  <c r="C11" i="5445"/>
  <c r="O10" i="5445"/>
  <c r="H10" i="5445"/>
  <c r="C10" i="5445"/>
  <c r="C9" i="5445"/>
  <c r="H8" i="5445"/>
  <c r="C8" i="5445"/>
  <c r="O7" i="5445"/>
  <c r="C7" i="5445"/>
  <c r="O6" i="5445"/>
  <c r="B6" i="5445"/>
  <c r="O5" i="5445"/>
  <c r="B5" i="5445"/>
  <c r="O4" i="5445"/>
  <c r="H4" i="5445"/>
  <c r="O3" i="5445"/>
  <c r="O2" i="5445"/>
  <c r="H2" i="5445"/>
  <c r="O16" i="5443"/>
  <c r="O18" i="5443"/>
  <c r="C27" i="5443"/>
  <c r="B24" i="5443"/>
  <c r="C20" i="5443"/>
  <c r="B17" i="5443"/>
  <c r="H48" i="5443" s="1"/>
  <c r="C16" i="5443"/>
  <c r="C15" i="5443"/>
  <c r="C14" i="5443"/>
  <c r="C13" i="5443"/>
  <c r="O12" i="5443"/>
  <c r="C12" i="5443"/>
  <c r="O11" i="5443"/>
  <c r="C11" i="5443"/>
  <c r="O10" i="5443"/>
  <c r="C10" i="5443"/>
  <c r="C9" i="5443"/>
  <c r="C8" i="5443"/>
  <c r="O7" i="5443"/>
  <c r="C7" i="5443"/>
  <c r="O6" i="5443"/>
  <c r="B6" i="5443"/>
  <c r="O5" i="5443"/>
  <c r="B5" i="5443"/>
  <c r="O4" i="5443"/>
  <c r="O3" i="5443"/>
  <c r="O2" i="5443"/>
  <c r="O22" i="5441"/>
  <c r="O23" i="5441"/>
  <c r="O15" i="5429"/>
  <c r="O16" i="5429"/>
  <c r="O26" i="5427"/>
  <c r="H8" i="5443" l="1"/>
  <c r="H2" i="5443"/>
  <c r="H4" i="5443"/>
  <c r="H10" i="5443"/>
  <c r="C17" i="5443"/>
  <c r="C17" i="5445"/>
  <c r="H18" i="5445"/>
  <c r="H20" i="5445"/>
  <c r="H23" i="5445"/>
  <c r="H26" i="5445"/>
  <c r="H29" i="5445"/>
  <c r="H33" i="5445"/>
  <c r="H37" i="5445"/>
  <c r="H41" i="5445"/>
  <c r="H45" i="5445"/>
  <c r="H49" i="5445"/>
  <c r="H7" i="5445"/>
  <c r="H13" i="5445"/>
  <c r="H15" i="5445"/>
  <c r="C19" i="5445"/>
  <c r="H21" i="5445"/>
  <c r="H30" i="5445"/>
  <c r="H34" i="5445"/>
  <c r="H38" i="5445"/>
  <c r="H42" i="5445"/>
  <c r="H46" i="5445"/>
  <c r="H50" i="5445"/>
  <c r="H3" i="5445"/>
  <c r="H6" i="5445"/>
  <c r="H9" i="5445"/>
  <c r="H12" i="5445"/>
  <c r="H17" i="5445"/>
  <c r="H19" i="5445"/>
  <c r="H22" i="5445"/>
  <c r="H24" i="5445"/>
  <c r="H27" i="5445"/>
  <c r="H31" i="5445"/>
  <c r="H35" i="5445"/>
  <c r="H39" i="5445"/>
  <c r="H43" i="5445"/>
  <c r="H47" i="5445"/>
  <c r="H51" i="5445"/>
  <c r="H5" i="5445"/>
  <c r="H11" i="5445"/>
  <c r="H14" i="5445"/>
  <c r="H16" i="5445"/>
  <c r="C18" i="5445"/>
  <c r="B23" i="5445"/>
  <c r="H25" i="5445"/>
  <c r="H28" i="5445"/>
  <c r="H32" i="5445"/>
  <c r="H36" i="5445"/>
  <c r="H40" i="5445"/>
  <c r="H44" i="5445"/>
  <c r="H18" i="5443"/>
  <c r="H20" i="5443"/>
  <c r="H23" i="5443"/>
  <c r="H26" i="5443"/>
  <c r="H29" i="5443"/>
  <c r="H33" i="5443"/>
  <c r="H37" i="5443"/>
  <c r="H41" i="5443"/>
  <c r="H45" i="5443"/>
  <c r="H49" i="5443"/>
  <c r="H7" i="5443"/>
  <c r="H13" i="5443"/>
  <c r="H15" i="5443"/>
  <c r="C19" i="5443"/>
  <c r="H21" i="5443"/>
  <c r="H30" i="5443"/>
  <c r="H34" i="5443"/>
  <c r="H38" i="5443"/>
  <c r="H42" i="5443"/>
  <c r="H46" i="5443"/>
  <c r="H50" i="5443"/>
  <c r="H3" i="5443"/>
  <c r="H6" i="5443"/>
  <c r="H9" i="5443"/>
  <c r="H12" i="5443"/>
  <c r="H17" i="5443"/>
  <c r="H19" i="5443"/>
  <c r="H22" i="5443"/>
  <c r="H24" i="5443"/>
  <c r="H27" i="5443"/>
  <c r="H31" i="5443"/>
  <c r="H35" i="5443"/>
  <c r="H39" i="5443"/>
  <c r="H43" i="5443"/>
  <c r="H47" i="5443"/>
  <c r="H51" i="5443"/>
  <c r="H5" i="5443"/>
  <c r="H11" i="5443"/>
  <c r="H14" i="5443"/>
  <c r="H16" i="5443"/>
  <c r="C18" i="5443"/>
  <c r="B23" i="5443"/>
  <c r="H25" i="5443"/>
  <c r="H28" i="5443"/>
  <c r="H32" i="5443"/>
  <c r="H36" i="5443"/>
  <c r="H40" i="5443"/>
  <c r="H44" i="5443"/>
  <c r="O19" i="5441" l="1"/>
  <c r="O18" i="5439"/>
  <c r="O16" i="5439"/>
  <c r="O17" i="5431"/>
  <c r="O19" i="5437" l="1"/>
  <c r="O17" i="5435"/>
  <c r="O17" i="5439"/>
  <c r="O19" i="5439"/>
  <c r="O15" i="5437" l="1"/>
  <c r="O15" i="5435"/>
  <c r="O21" i="5433"/>
  <c r="O20" i="5433"/>
  <c r="O16" i="5441"/>
  <c r="O18" i="5441"/>
  <c r="C27" i="5441"/>
  <c r="B24" i="5441"/>
  <c r="C20" i="5441"/>
  <c r="B17" i="5441"/>
  <c r="H51" i="5441" s="1"/>
  <c r="C16" i="5441"/>
  <c r="C15" i="5441"/>
  <c r="C14" i="5441"/>
  <c r="C13" i="5441"/>
  <c r="O12" i="5441"/>
  <c r="C12" i="5441"/>
  <c r="O11" i="5441"/>
  <c r="C11" i="5441"/>
  <c r="O10" i="5441"/>
  <c r="C10" i="5441"/>
  <c r="C9" i="5441"/>
  <c r="C8" i="5441"/>
  <c r="O7" i="5441"/>
  <c r="C7" i="5441"/>
  <c r="O6" i="5441"/>
  <c r="B6" i="5441"/>
  <c r="O5" i="5441"/>
  <c r="B5" i="5441"/>
  <c r="O4" i="5441"/>
  <c r="O3" i="5441"/>
  <c r="O2" i="5441"/>
  <c r="O22" i="5435"/>
  <c r="O21" i="5431"/>
  <c r="O22" i="5427"/>
  <c r="H25" i="5441" l="1"/>
  <c r="H36" i="5441"/>
  <c r="H4" i="5441"/>
  <c r="H10" i="5441"/>
  <c r="H2" i="5441"/>
  <c r="H8" i="5441"/>
  <c r="C18" i="5441"/>
  <c r="H11" i="5441"/>
  <c r="H16" i="5441"/>
  <c r="H40" i="5441"/>
  <c r="B23" i="5441"/>
  <c r="H28" i="5441"/>
  <c r="H44" i="5441"/>
  <c r="H14" i="5441"/>
  <c r="H5" i="5441"/>
  <c r="C17" i="5441"/>
  <c r="H32" i="5441"/>
  <c r="H48" i="5441"/>
  <c r="H18" i="5441"/>
  <c r="H20" i="5441"/>
  <c r="H23" i="5441"/>
  <c r="H26" i="5441"/>
  <c r="H29" i="5441"/>
  <c r="H33" i="5441"/>
  <c r="H37" i="5441"/>
  <c r="H41" i="5441"/>
  <c r="H45" i="5441"/>
  <c r="H49" i="5441"/>
  <c r="H7" i="5441"/>
  <c r="H13" i="5441"/>
  <c r="H15" i="5441"/>
  <c r="C19" i="5441"/>
  <c r="H21" i="5441"/>
  <c r="H30" i="5441"/>
  <c r="H34" i="5441"/>
  <c r="H38" i="5441"/>
  <c r="H42" i="5441"/>
  <c r="H46" i="5441"/>
  <c r="H50" i="5441"/>
  <c r="H3" i="5441"/>
  <c r="H6" i="5441"/>
  <c r="H9" i="5441"/>
  <c r="H12" i="5441"/>
  <c r="H17" i="5441"/>
  <c r="H19" i="5441"/>
  <c r="H22" i="5441"/>
  <c r="H24" i="5441"/>
  <c r="H27" i="5441"/>
  <c r="H31" i="5441"/>
  <c r="H35" i="5441"/>
  <c r="H39" i="5441"/>
  <c r="H43" i="5441"/>
  <c r="H47" i="5441"/>
  <c r="O18" i="5433" l="1"/>
  <c r="O20" i="5439"/>
  <c r="O15" i="5439"/>
  <c r="C27" i="5439"/>
  <c r="B24" i="5439"/>
  <c r="C20" i="5439"/>
  <c r="B17" i="5439"/>
  <c r="H51" i="5439" s="1"/>
  <c r="C16" i="5439"/>
  <c r="C15" i="5439"/>
  <c r="C14" i="5439"/>
  <c r="C13" i="5439"/>
  <c r="O12" i="5439"/>
  <c r="C12" i="5439"/>
  <c r="O11" i="5439"/>
  <c r="C11" i="5439"/>
  <c r="O10" i="5439"/>
  <c r="C10" i="5439"/>
  <c r="C9" i="5439"/>
  <c r="C8" i="5439"/>
  <c r="O7" i="5439"/>
  <c r="C7" i="5439"/>
  <c r="O6" i="5439"/>
  <c r="B6" i="5439"/>
  <c r="O5" i="5439"/>
  <c r="B5" i="5439"/>
  <c r="O4" i="5439"/>
  <c r="O3" i="5439"/>
  <c r="O2" i="5439"/>
  <c r="O20" i="5429"/>
  <c r="O18" i="5427"/>
  <c r="O21" i="5437"/>
  <c r="O19" i="5431"/>
  <c r="O18" i="5431"/>
  <c r="O19" i="5435"/>
  <c r="O22" i="5437"/>
  <c r="O23" i="5437"/>
  <c r="C27" i="5437"/>
  <c r="B24" i="5437"/>
  <c r="C20" i="5437"/>
  <c r="B17" i="5437"/>
  <c r="H4" i="5437" s="1"/>
  <c r="C16" i="5437"/>
  <c r="C15" i="5437"/>
  <c r="C14" i="5437"/>
  <c r="C13" i="5437"/>
  <c r="O12" i="5437"/>
  <c r="C12" i="5437"/>
  <c r="O11" i="5437"/>
  <c r="C11" i="5437"/>
  <c r="O10" i="5437"/>
  <c r="C10" i="5437"/>
  <c r="C9" i="5437"/>
  <c r="C8" i="5437"/>
  <c r="O7" i="5437"/>
  <c r="C7" i="5437"/>
  <c r="O6" i="5437"/>
  <c r="B6" i="5437"/>
  <c r="O5" i="5437"/>
  <c r="B5" i="5437"/>
  <c r="O4" i="5437"/>
  <c r="O3" i="5437"/>
  <c r="O2" i="5437"/>
  <c r="O20" i="5435"/>
  <c r="O18" i="5435"/>
  <c r="C27" i="5435"/>
  <c r="B24" i="5435"/>
  <c r="C20" i="5435"/>
  <c r="B17" i="5435"/>
  <c r="H48" i="5435" s="1"/>
  <c r="C16" i="5435"/>
  <c r="C15" i="5435"/>
  <c r="C14" i="5435"/>
  <c r="C13" i="5435"/>
  <c r="O12" i="5435"/>
  <c r="C12" i="5435"/>
  <c r="O11" i="5435"/>
  <c r="C11" i="5435"/>
  <c r="O10" i="5435"/>
  <c r="C10" i="5435"/>
  <c r="C9" i="5435"/>
  <c r="C8" i="5435"/>
  <c r="O7" i="5435"/>
  <c r="C7" i="5435"/>
  <c r="O6" i="5435"/>
  <c r="B6" i="5435"/>
  <c r="O5" i="5435"/>
  <c r="B5" i="5435"/>
  <c r="O4" i="5435"/>
  <c r="O3" i="5435"/>
  <c r="O2" i="5435"/>
  <c r="O19" i="5429"/>
  <c r="O23" i="5429"/>
  <c r="O21" i="5427"/>
  <c r="O23" i="5427"/>
  <c r="H6" i="5439" l="1"/>
  <c r="H11" i="5439"/>
  <c r="H3" i="5439"/>
  <c r="H46" i="5439"/>
  <c r="H5" i="5439"/>
  <c r="C17" i="5439"/>
  <c r="H13" i="5439"/>
  <c r="H2" i="5439"/>
  <c r="C19" i="5439"/>
  <c r="H30" i="5439"/>
  <c r="H10" i="5439"/>
  <c r="H15" i="5439"/>
  <c r="H4" i="5439"/>
  <c r="H8" i="5439"/>
  <c r="H7" i="5439"/>
  <c r="H14" i="5439"/>
  <c r="H16" i="5439"/>
  <c r="H38" i="5439"/>
  <c r="H42" i="5439"/>
  <c r="H3" i="5437"/>
  <c r="H2" i="5437"/>
  <c r="H5" i="5437"/>
  <c r="H12" i="5437"/>
  <c r="H8" i="5435"/>
  <c r="H2" i="5435"/>
  <c r="H21" i="5439"/>
  <c r="H34" i="5439"/>
  <c r="H50" i="5439"/>
  <c r="C18" i="5439"/>
  <c r="B23" i="5439"/>
  <c r="H25" i="5439"/>
  <c r="H28" i="5439"/>
  <c r="H32" i="5439"/>
  <c r="H36" i="5439"/>
  <c r="H40" i="5439"/>
  <c r="H44" i="5439"/>
  <c r="H48" i="5439"/>
  <c r="H18" i="5439"/>
  <c r="H20" i="5439"/>
  <c r="H23" i="5439"/>
  <c r="H26" i="5439"/>
  <c r="H29" i="5439"/>
  <c r="H33" i="5439"/>
  <c r="H37" i="5439"/>
  <c r="H41" i="5439"/>
  <c r="H45" i="5439"/>
  <c r="H49" i="5439"/>
  <c r="H9" i="5439"/>
  <c r="H12" i="5439"/>
  <c r="H17" i="5439"/>
  <c r="H19" i="5439"/>
  <c r="H22" i="5439"/>
  <c r="H24" i="5439"/>
  <c r="H27" i="5439"/>
  <c r="H31" i="5439"/>
  <c r="H35" i="5439"/>
  <c r="H39" i="5439"/>
  <c r="H43" i="5439"/>
  <c r="H47" i="5439"/>
  <c r="C17" i="5437"/>
  <c r="C17" i="5435"/>
  <c r="H4" i="5435"/>
  <c r="H10" i="5435"/>
  <c r="H26" i="5437"/>
  <c r="H29" i="5437"/>
  <c r="H18" i="5437"/>
  <c r="H46" i="5437"/>
  <c r="H8" i="5437"/>
  <c r="H21" i="5437"/>
  <c r="H13" i="5437"/>
  <c r="H39" i="5437"/>
  <c r="H47" i="5437"/>
  <c r="H7" i="5437"/>
  <c r="H19" i="5437"/>
  <c r="H24" i="5437"/>
  <c r="H16" i="5437"/>
  <c r="C18" i="5437"/>
  <c r="B23" i="5437"/>
  <c r="H22" i="5437"/>
  <c r="H23" i="5437"/>
  <c r="H33" i="5437"/>
  <c r="H37" i="5437"/>
  <c r="H41" i="5437"/>
  <c r="H45" i="5437"/>
  <c r="H49" i="5437"/>
  <c r="H27" i="5437"/>
  <c r="H30" i="5437"/>
  <c r="H34" i="5437"/>
  <c r="H38" i="5437"/>
  <c r="H42" i="5437"/>
  <c r="H50" i="5437"/>
  <c r="H25" i="5437"/>
  <c r="C19" i="5437"/>
  <c r="H31" i="5437"/>
  <c r="H35" i="5437"/>
  <c r="H43" i="5437"/>
  <c r="H51" i="5437"/>
  <c r="H9" i="5437"/>
  <c r="H6" i="5437"/>
  <c r="H10" i="5437"/>
  <c r="H20" i="5437"/>
  <c r="H17" i="5437"/>
  <c r="H15" i="5437"/>
  <c r="H28" i="5437"/>
  <c r="H14" i="5437"/>
  <c r="H11" i="5437"/>
  <c r="H32" i="5437"/>
  <c r="H36" i="5437"/>
  <c r="H40" i="5437"/>
  <c r="H44" i="5437"/>
  <c r="H48" i="5437"/>
  <c r="H18" i="5435"/>
  <c r="H20" i="5435"/>
  <c r="H23" i="5435"/>
  <c r="H26" i="5435"/>
  <c r="H29" i="5435"/>
  <c r="H33" i="5435"/>
  <c r="H37" i="5435"/>
  <c r="H41" i="5435"/>
  <c r="H45" i="5435"/>
  <c r="H49" i="5435"/>
  <c r="H7" i="5435"/>
  <c r="H13" i="5435"/>
  <c r="H15" i="5435"/>
  <c r="C19" i="5435"/>
  <c r="H21" i="5435"/>
  <c r="H30" i="5435"/>
  <c r="H34" i="5435"/>
  <c r="H38" i="5435"/>
  <c r="H42" i="5435"/>
  <c r="H46" i="5435"/>
  <c r="H50" i="5435"/>
  <c r="H3" i="5435"/>
  <c r="H6" i="5435"/>
  <c r="H9" i="5435"/>
  <c r="H12" i="5435"/>
  <c r="H17" i="5435"/>
  <c r="H19" i="5435"/>
  <c r="H22" i="5435"/>
  <c r="H24" i="5435"/>
  <c r="H27" i="5435"/>
  <c r="H31" i="5435"/>
  <c r="H35" i="5435"/>
  <c r="H39" i="5435"/>
  <c r="H43" i="5435"/>
  <c r="H47" i="5435"/>
  <c r="H51" i="5435"/>
  <c r="H5" i="5435"/>
  <c r="H11" i="5435"/>
  <c r="H14" i="5435"/>
  <c r="H16" i="5435"/>
  <c r="C18" i="5435"/>
  <c r="B23" i="5435"/>
  <c r="H25" i="5435"/>
  <c r="H28" i="5435"/>
  <c r="H32" i="5435"/>
  <c r="H36" i="5435"/>
  <c r="H40" i="5435"/>
  <c r="H44" i="5435"/>
  <c r="O17" i="5433" l="1"/>
  <c r="O19" i="5433"/>
  <c r="C27" i="5433"/>
  <c r="B24" i="5433"/>
  <c r="C20" i="5433"/>
  <c r="B17" i="5433"/>
  <c r="H6" i="5433" s="1"/>
  <c r="C16" i="5433"/>
  <c r="C15" i="5433"/>
  <c r="C14" i="5433"/>
  <c r="C13" i="5433"/>
  <c r="O12" i="5433"/>
  <c r="C12" i="5433"/>
  <c r="O11" i="5433"/>
  <c r="C11" i="5433"/>
  <c r="O10" i="5433"/>
  <c r="C10" i="5433"/>
  <c r="C9" i="5433"/>
  <c r="C8" i="5433"/>
  <c r="O7" i="5433"/>
  <c r="C7" i="5433"/>
  <c r="O6" i="5433"/>
  <c r="B6" i="5433"/>
  <c r="O5" i="5433"/>
  <c r="B5" i="5433"/>
  <c r="O4" i="5433"/>
  <c r="O3" i="5433"/>
  <c r="O2" i="5433"/>
  <c r="O22" i="5431"/>
  <c r="O16" i="5431"/>
  <c r="C27" i="5431"/>
  <c r="B24" i="5431"/>
  <c r="C20" i="5431"/>
  <c r="B17" i="5431"/>
  <c r="H50" i="5431" s="1"/>
  <c r="C16" i="5431"/>
  <c r="C15" i="5431"/>
  <c r="C14" i="5431"/>
  <c r="C13" i="5431"/>
  <c r="O12" i="5431"/>
  <c r="C12" i="5431"/>
  <c r="O11" i="5431"/>
  <c r="C11" i="5431"/>
  <c r="O10" i="5431"/>
  <c r="C10" i="5431"/>
  <c r="C9" i="5431"/>
  <c r="C8" i="5431"/>
  <c r="O7" i="5431"/>
  <c r="C7" i="5431"/>
  <c r="O6" i="5431"/>
  <c r="B6" i="5431"/>
  <c r="O5" i="5431"/>
  <c r="B5" i="5431"/>
  <c r="O4" i="5431"/>
  <c r="O3" i="5431"/>
  <c r="O2" i="5431"/>
  <c r="O24" i="5427"/>
  <c r="O18" i="5429"/>
  <c r="O22" i="5429"/>
  <c r="C27" i="5429"/>
  <c r="B24" i="5429"/>
  <c r="C20" i="5429"/>
  <c r="B17" i="5429"/>
  <c r="H51" i="5429" s="1"/>
  <c r="C16" i="5429"/>
  <c r="C15" i="5429"/>
  <c r="C14" i="5429"/>
  <c r="C13" i="5429"/>
  <c r="O12" i="5429"/>
  <c r="C12" i="5429"/>
  <c r="O11" i="5429"/>
  <c r="C11" i="5429"/>
  <c r="O10" i="5429"/>
  <c r="C10" i="5429"/>
  <c r="C9" i="5429"/>
  <c r="C8" i="5429"/>
  <c r="O7" i="5429"/>
  <c r="C7" i="5429"/>
  <c r="O6" i="5429"/>
  <c r="B6" i="5429"/>
  <c r="O5" i="5429"/>
  <c r="B5" i="5429"/>
  <c r="O4" i="5429"/>
  <c r="O3" i="5429"/>
  <c r="O2" i="5429"/>
  <c r="O15" i="5427"/>
  <c r="O20" i="5427"/>
  <c r="C27" i="5427"/>
  <c r="B24" i="5427"/>
  <c r="C20" i="5427"/>
  <c r="B17" i="5427"/>
  <c r="H5" i="5427" s="1"/>
  <c r="C16" i="5427"/>
  <c r="C15" i="5427"/>
  <c r="C14" i="5427"/>
  <c r="C13" i="5427"/>
  <c r="O12" i="5427"/>
  <c r="C12" i="5427"/>
  <c r="O11" i="5427"/>
  <c r="C11" i="5427"/>
  <c r="O10" i="5427"/>
  <c r="C10" i="5427"/>
  <c r="C9" i="5427"/>
  <c r="C8" i="5427"/>
  <c r="O7" i="5427"/>
  <c r="C7" i="5427"/>
  <c r="O6" i="5427"/>
  <c r="B6" i="5427"/>
  <c r="O5" i="5427"/>
  <c r="B5" i="5427"/>
  <c r="O4" i="5427"/>
  <c r="O3" i="5427"/>
  <c r="O2" i="5427"/>
  <c r="H9" i="5433" l="1"/>
  <c r="H14" i="5433"/>
  <c r="H5" i="5433"/>
  <c r="H2" i="5433"/>
  <c r="H3" i="5433"/>
  <c r="H17" i="5433"/>
  <c r="H39" i="5433"/>
  <c r="H27" i="5433"/>
  <c r="H47" i="5433"/>
  <c r="H10" i="5433"/>
  <c r="H25" i="5433"/>
  <c r="C18" i="5433"/>
  <c r="H11" i="5433"/>
  <c r="H4" i="5433"/>
  <c r="C19" i="5433"/>
  <c r="H32" i="5433"/>
  <c r="B23" i="5433"/>
  <c r="H24" i="5433"/>
  <c r="C17" i="5431"/>
  <c r="H9" i="5431"/>
  <c r="H4" i="5431"/>
  <c r="H2" i="5431"/>
  <c r="H6" i="5431"/>
  <c r="H8" i="5431"/>
  <c r="H3" i="5431"/>
  <c r="H10" i="5431"/>
  <c r="H4" i="5429"/>
  <c r="H20" i="5429"/>
  <c r="H6" i="5429"/>
  <c r="H2" i="5429"/>
  <c r="H2" i="5427"/>
  <c r="H37" i="5433"/>
  <c r="H45" i="5433"/>
  <c r="H18" i="5433"/>
  <c r="H33" i="5433"/>
  <c r="H41" i="5433"/>
  <c r="H49" i="5433"/>
  <c r="H7" i="5433"/>
  <c r="H8" i="5433"/>
  <c r="H26" i="5433"/>
  <c r="H20" i="5433"/>
  <c r="C17" i="5433"/>
  <c r="H15" i="5433"/>
  <c r="H35" i="5433"/>
  <c r="H43" i="5433"/>
  <c r="H51" i="5433"/>
  <c r="H28" i="5433"/>
  <c r="H29" i="5433"/>
  <c r="H31" i="5433"/>
  <c r="H22" i="5433"/>
  <c r="H23" i="5433"/>
  <c r="H34" i="5433"/>
  <c r="H38" i="5433"/>
  <c r="H42" i="5433"/>
  <c r="H46" i="5433"/>
  <c r="H50" i="5433"/>
  <c r="H21" i="5433"/>
  <c r="H16" i="5433"/>
  <c r="H30" i="5433"/>
  <c r="H13" i="5433"/>
  <c r="H12" i="5433"/>
  <c r="H19" i="5433"/>
  <c r="H36" i="5433"/>
  <c r="H40" i="5433"/>
  <c r="H44" i="5433"/>
  <c r="H48" i="5433"/>
  <c r="H12" i="5431"/>
  <c r="H17" i="5431"/>
  <c r="H19" i="5431"/>
  <c r="H22" i="5431"/>
  <c r="H24" i="5431"/>
  <c r="H27" i="5431"/>
  <c r="H31" i="5431"/>
  <c r="H35" i="5431"/>
  <c r="H39" i="5431"/>
  <c r="H43" i="5431"/>
  <c r="H47" i="5431"/>
  <c r="H51" i="5431"/>
  <c r="H5" i="5431"/>
  <c r="H11" i="5431"/>
  <c r="H14" i="5431"/>
  <c r="H16" i="5431"/>
  <c r="C18" i="5431"/>
  <c r="B23" i="5431"/>
  <c r="H25" i="5431"/>
  <c r="H28" i="5431"/>
  <c r="H32" i="5431"/>
  <c r="H36" i="5431"/>
  <c r="H40" i="5431"/>
  <c r="H44" i="5431"/>
  <c r="H48" i="5431"/>
  <c r="H18" i="5431"/>
  <c r="H20" i="5431"/>
  <c r="H23" i="5431"/>
  <c r="H26" i="5431"/>
  <c r="H29" i="5431"/>
  <c r="H33" i="5431"/>
  <c r="H37" i="5431"/>
  <c r="H41" i="5431"/>
  <c r="H45" i="5431"/>
  <c r="H49" i="5431"/>
  <c r="H7" i="5431"/>
  <c r="H13" i="5431"/>
  <c r="H15" i="5431"/>
  <c r="C19" i="5431"/>
  <c r="H21" i="5431"/>
  <c r="H30" i="5431"/>
  <c r="H34" i="5431"/>
  <c r="H38" i="5431"/>
  <c r="H42" i="5431"/>
  <c r="H46" i="5431"/>
  <c r="H31" i="5429"/>
  <c r="H17" i="5429"/>
  <c r="C18" i="5429"/>
  <c r="H28" i="5429"/>
  <c r="H44" i="5429"/>
  <c r="H36" i="5429"/>
  <c r="H25" i="5429"/>
  <c r="H21" i="5429"/>
  <c r="H40" i="5429"/>
  <c r="H49" i="5429"/>
  <c r="H11" i="5429"/>
  <c r="H3" i="5429"/>
  <c r="H16" i="5429"/>
  <c r="H13" i="5429"/>
  <c r="H48" i="5429"/>
  <c r="H8" i="5429"/>
  <c r="C17" i="5429"/>
  <c r="H10" i="5429"/>
  <c r="H7" i="5429"/>
  <c r="H12" i="5429"/>
  <c r="H30" i="5429"/>
  <c r="H19" i="5429"/>
  <c r="H14" i="5429"/>
  <c r="H24" i="5429"/>
  <c r="H41" i="5429"/>
  <c r="H15" i="5429"/>
  <c r="C19" i="5429"/>
  <c r="H26" i="5429"/>
  <c r="H9" i="5429"/>
  <c r="H37" i="5429"/>
  <c r="H45" i="5429"/>
  <c r="H5" i="5429"/>
  <c r="B23" i="5429"/>
  <c r="H27" i="5429"/>
  <c r="H23" i="5429"/>
  <c r="H35" i="5429"/>
  <c r="H38" i="5429"/>
  <c r="H42" i="5429"/>
  <c r="H46" i="5429"/>
  <c r="H50" i="5429"/>
  <c r="H32" i="5429"/>
  <c r="H33" i="5429"/>
  <c r="H22" i="5429"/>
  <c r="H34" i="5429"/>
  <c r="H18" i="5429"/>
  <c r="H29" i="5429"/>
  <c r="H39" i="5429"/>
  <c r="H43" i="5429"/>
  <c r="H47" i="5429"/>
  <c r="C17" i="5427"/>
  <c r="H3" i="5427"/>
  <c r="H11" i="5427"/>
  <c r="H34" i="5427"/>
  <c r="H28" i="5427"/>
  <c r="H30" i="5427"/>
  <c r="H31" i="5427"/>
  <c r="H43" i="5427"/>
  <c r="H51" i="5427"/>
  <c r="H8" i="5427"/>
  <c r="H26" i="5427"/>
  <c r="C19" i="5427"/>
  <c r="H14" i="5427"/>
  <c r="H22" i="5427"/>
  <c r="H37" i="5427"/>
  <c r="H41" i="5427"/>
  <c r="H44" i="5427"/>
  <c r="H48" i="5427"/>
  <c r="H18" i="5427"/>
  <c r="H10" i="5427"/>
  <c r="H6" i="5427"/>
  <c r="H12" i="5427"/>
  <c r="H23" i="5427"/>
  <c r="H19" i="5427"/>
  <c r="H15" i="5427"/>
  <c r="H13" i="5427"/>
  <c r="H9" i="5427"/>
  <c r="H25" i="5427"/>
  <c r="H32" i="5427"/>
  <c r="H45" i="5427"/>
  <c r="H49" i="5427"/>
  <c r="H7" i="5427"/>
  <c r="H20" i="5427"/>
  <c r="H33" i="5427"/>
  <c r="H16" i="5427"/>
  <c r="C18" i="5427"/>
  <c r="B23" i="5427"/>
  <c r="H24" i="5427"/>
  <c r="H29" i="5427"/>
  <c r="H36" i="5427"/>
  <c r="H39" i="5427"/>
  <c r="H42" i="5427"/>
  <c r="H46" i="5427"/>
  <c r="H50" i="5427"/>
  <c r="H4" i="5427"/>
  <c r="H35" i="5427"/>
  <c r="H17" i="5427"/>
  <c r="H40" i="5427"/>
  <c r="H47" i="5427"/>
  <c r="H21" i="5427"/>
  <c r="H27" i="5427"/>
  <c r="H38" i="542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<sst xmlns="http://schemas.openxmlformats.org/spreadsheetml/2006/main" count="3250" uniqueCount="247">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</sst>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全体!$K$2:$K$611</c:f>
              <c:numCache>
                <c:formatCode>General</c:formatCode>
                <c:ptCount val="6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</c:numCache>
            </c:numRef>
          </c:xVal>
          <c:yVal>
            <c:numRef>
              <c:f>全体!$L$2:$L$611</c:f>
              <c:numCache>
                <c:formatCode>\+0.0;\-0.0;\±0</c:formatCode>
                <c:ptCount val="61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01-426C-8750-FD0716AE5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-13.136288998357964</c:v>
                </c:pt>
                <c:pt idx="1">
                  <c:v>-10.1010101010101</c:v>
                </c:pt>
                <c:pt idx="2">
                  <c:v>8.9126559714795004</c:v>
                </c:pt>
                <c:pt idx="3">
                  <c:v>11.695906432748538</c:v>
                </c:pt>
                <c:pt idx="4">
                  <c:v>-15.151515151515152</c:v>
                </c:pt>
                <c:pt idx="5">
                  <c:v>24.154589371980677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F-4733-97E9-544A6E32D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だいち!$K$2:$K$140</c:f>
              <c:numCache>
                <c:formatCode>General</c:formatCode>
                <c:ptCount val="1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</c:numCache>
            </c:numRef>
          </c:xVal>
          <c:yVal>
            <c:numRef>
              <c:f>だいち!$L$2:$L$140</c:f>
              <c:numCache>
                <c:formatCode>\+0.0;\-0.0;\±0</c:formatCode>
                <c:ptCount val="13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FE-481F-A7B5-DD78DAFA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1723.1884057971015</c:v>
                </c:pt>
                <c:pt idx="1">
                  <c:v>1202.9850746268658</c:v>
                </c:pt>
                <c:pt idx="2">
                  <c:v>1134.6456692913387</c:v>
                </c:pt>
                <c:pt idx="3">
                  <c:v>2609.4017094017095</c:v>
                </c:pt>
                <c:pt idx="4">
                  <c:v>355.33980582524271</c:v>
                </c:pt>
                <c:pt idx="5">
                  <c:v>664.44444444444446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F-4841-B64B-7DB5E1F2D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りくと!$L$2:$L$119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A-4B30-90FA-AD8E0A480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492.30769230769232</c:v>
                </c:pt>
                <c:pt idx="1">
                  <c:v>-2277.8761061946902</c:v>
                </c:pt>
                <c:pt idx="2">
                  <c:v>94.545454545454547</c:v>
                </c:pt>
                <c:pt idx="3">
                  <c:v>142.85714285714286</c:v>
                </c:pt>
                <c:pt idx="4">
                  <c:v>390.80459770114942</c:v>
                </c:pt>
                <c:pt idx="5">
                  <c:v>555.55555555555554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2-4A1F-AA78-3EE1CA1BB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ただ!$L$2:$L$80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B-4C7C-A119-B6635559A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-2541.0256410256411</c:v>
                </c:pt>
                <c:pt idx="1">
                  <c:v>-1084.2105263157894</c:v>
                </c:pt>
                <c:pt idx="2">
                  <c:v>-220.83333333333334</c:v>
                </c:pt>
                <c:pt idx="3">
                  <c:v>-4645.3125</c:v>
                </c:pt>
                <c:pt idx="4">
                  <c:v>-1567.2413793103449</c:v>
                </c:pt>
                <c:pt idx="5">
                  <c:v>-1477.3584905660377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0-4339-B7C7-3F558479A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れんたろう!$L$2:$L$87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3-4841-BBCD-A6DF32A16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-372.94117647058823</c:v>
                </c:pt>
                <c:pt idx="1">
                  <c:v>791.56626506024099</c:v>
                </c:pt>
                <c:pt idx="2">
                  <c:v>1650.6493506493507</c:v>
                </c:pt>
                <c:pt idx="3">
                  <c:v>1331.3432835820895</c:v>
                </c:pt>
                <c:pt idx="4">
                  <c:v>-522.03389830508479</c:v>
                </c:pt>
                <c:pt idx="5">
                  <c:v>-285.18518518518516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13F-B167-6220FE3AD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49-41C0-8043-FA901CE85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704.3478260869565</c:v>
                </c:pt>
                <c:pt idx="1">
                  <c:v>-755.07246376811599</c:v>
                </c:pt>
                <c:pt idx="2">
                  <c:v>-1608.0645161290322</c:v>
                </c:pt>
                <c:pt idx="3">
                  <c:v>715.25423728813564</c:v>
                </c:pt>
                <c:pt idx="4">
                  <c:v>943.85964912280701</c:v>
                </c:pt>
                <c:pt idx="5">
                  <c:v>-255.10204081632654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74-4C20-ADA0-48B059520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9-4367-8D8A-33DF8A31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5-4F8D-AC20-749F33ED5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A-4547-8366-97547C9D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327.45098039215685</c:v>
                </c:pt>
                <c:pt idx="1">
                  <c:v>908.33333333333337</c:v>
                </c:pt>
                <c:pt idx="2">
                  <c:v>-1147.7272727272727</c:v>
                </c:pt>
                <c:pt idx="3">
                  <c:v>1418.6046511627908</c:v>
                </c:pt>
                <c:pt idx="4">
                  <c:v>-1741.0256410256411</c:v>
                </c:pt>
                <c:pt idx="5">
                  <c:v>571.875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8-4ED9-8E52-EEB0A752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0-4C24-AC91-A38D97DB9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8-4764-B3C8-438A0568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7-426D-A594-5A553762D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D-4759-910E-061DA8C5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6-4C9C-82C8-913921675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F-4AD6-B94B-C5B5636B0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666-9931-1732730FF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5-4425-AF61-CEBA338F5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0-439C-AE4D-89DAC3977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441-9752-DCC1EF38D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たかの2!$B$3:$B$72</c:f>
              <c:numCache>
                <c:formatCode>\+0.0;\-0.0;\±0</c:formatCode>
                <c:ptCount val="7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たかの2!$C$3:$C$72</c:f>
              <c:numCache>
                <c:formatCode>\+0.0;\-0.0;\±0</c:formatCode>
                <c:ptCount val="70"/>
                <c:pt idx="1">
                  <c:v>11.1</c:v>
                </c:pt>
                <c:pt idx="2">
                  <c:v>-3.8500000000000005</c:v>
                </c:pt>
                <c:pt idx="3">
                  <c:v>0.59999999999999964</c:v>
                </c:pt>
                <c:pt idx="4">
                  <c:v>8.7249999999999996</c:v>
                </c:pt>
                <c:pt idx="5">
                  <c:v>5.88</c:v>
                </c:pt>
                <c:pt idx="6">
                  <c:v>0.71666666666666623</c:v>
                </c:pt>
                <c:pt idx="7">
                  <c:v>1.1142857142857139</c:v>
                </c:pt>
                <c:pt idx="8">
                  <c:v>-3.6875</c:v>
                </c:pt>
                <c:pt idx="9">
                  <c:v>-6.2777777777777777</c:v>
                </c:pt>
                <c:pt idx="10">
                  <c:v>2.4200000000000004</c:v>
                </c:pt>
                <c:pt idx="11">
                  <c:v>6.745454545454546</c:v>
                </c:pt>
                <c:pt idx="12">
                  <c:v>3.8416666666666668</c:v>
                </c:pt>
                <c:pt idx="13">
                  <c:v>-0.23076923076923078</c:v>
                </c:pt>
                <c:pt idx="14">
                  <c:v>-0.87857142857142867</c:v>
                </c:pt>
                <c:pt idx="15">
                  <c:v>-5.3533333333333335</c:v>
                </c:pt>
                <c:pt idx="16">
                  <c:v>-5.4749999999999996</c:v>
                </c:pt>
                <c:pt idx="17">
                  <c:v>-3.2411764705882349</c:v>
                </c:pt>
                <c:pt idx="18">
                  <c:v>-1.5666666666666664</c:v>
                </c:pt>
                <c:pt idx="19">
                  <c:v>1.536842105263158</c:v>
                </c:pt>
                <c:pt idx="20">
                  <c:v>2.15</c:v>
                </c:pt>
                <c:pt idx="21">
                  <c:v>4.2809523809523808</c:v>
                </c:pt>
                <c:pt idx="22">
                  <c:v>2.4863636363636363</c:v>
                </c:pt>
                <c:pt idx="23">
                  <c:v>-0.23478260869565212</c:v>
                </c:pt>
                <c:pt idx="24">
                  <c:v>2.8708333333333336</c:v>
                </c:pt>
                <c:pt idx="25">
                  <c:v>1.2160000000000002</c:v>
                </c:pt>
                <c:pt idx="26">
                  <c:v>1.2653846153846156</c:v>
                </c:pt>
                <c:pt idx="27">
                  <c:v>1.4962962962962965</c:v>
                </c:pt>
                <c:pt idx="28">
                  <c:v>0.2964285714285716</c:v>
                </c:pt>
                <c:pt idx="29">
                  <c:v>3.1310344827586212</c:v>
                </c:pt>
                <c:pt idx="30">
                  <c:v>2.1100000000000003</c:v>
                </c:pt>
                <c:pt idx="31">
                  <c:v>3.6903225806451614</c:v>
                </c:pt>
                <c:pt idx="32">
                  <c:v>2.4031250000000002</c:v>
                </c:pt>
                <c:pt idx="33">
                  <c:v>1.2878787878787881</c:v>
                </c:pt>
                <c:pt idx="34">
                  <c:v>0.2882352941176472</c:v>
                </c:pt>
                <c:pt idx="35">
                  <c:v>-0.23714285714285707</c:v>
                </c:pt>
                <c:pt idx="36">
                  <c:v>-0.26944444444444438</c:v>
                </c:pt>
                <c:pt idx="37">
                  <c:v>0.81081081081081097</c:v>
                </c:pt>
                <c:pt idx="38">
                  <c:v>0.84473684210526334</c:v>
                </c:pt>
                <c:pt idx="39">
                  <c:v>1.6102564102564105</c:v>
                </c:pt>
                <c:pt idx="40">
                  <c:v>0.94250000000000023</c:v>
                </c:pt>
                <c:pt idx="41">
                  <c:v>1.1439024390243904</c:v>
                </c:pt>
                <c:pt idx="42">
                  <c:v>1.0071428571428573</c:v>
                </c:pt>
                <c:pt idx="43">
                  <c:v>-0.76744186046511609</c:v>
                </c:pt>
                <c:pt idx="44">
                  <c:v>-0.63636363636363624</c:v>
                </c:pt>
                <c:pt idx="45">
                  <c:v>-0.56222222222222207</c:v>
                </c:pt>
                <c:pt idx="46">
                  <c:v>0.28043478260869587</c:v>
                </c:pt>
                <c:pt idx="47">
                  <c:v>0.9765957446808512</c:v>
                </c:pt>
                <c:pt idx="48">
                  <c:v>2.3208333333333333</c:v>
                </c:pt>
                <c:pt idx="49">
                  <c:v>2.306122448979592</c:v>
                </c:pt>
                <c:pt idx="50">
                  <c:v>2.1259999999999999</c:v>
                </c:pt>
                <c:pt idx="51">
                  <c:v>2.2235294117647055</c:v>
                </c:pt>
                <c:pt idx="52">
                  <c:v>1.9</c:v>
                </c:pt>
                <c:pt idx="53">
                  <c:v>1.2301886792452827</c:v>
                </c:pt>
                <c:pt idx="54">
                  <c:v>1.0296296296296295</c:v>
                </c:pt>
                <c:pt idx="55">
                  <c:v>0.63090909090909075</c:v>
                </c:pt>
                <c:pt idx="56">
                  <c:v>-0.1428571428571431</c:v>
                </c:pt>
                <c:pt idx="57">
                  <c:v>-0.10526315789473709</c:v>
                </c:pt>
                <c:pt idx="58">
                  <c:v>-6.8965517241381825E-3</c:v>
                </c:pt>
                <c:pt idx="59">
                  <c:v>0.37288135593220317</c:v>
                </c:pt>
                <c:pt idx="60">
                  <c:v>1.1166666666666665</c:v>
                </c:pt>
                <c:pt idx="61">
                  <c:v>0.65245901639344239</c:v>
                </c:pt>
                <c:pt idx="62">
                  <c:v>0.12903225806451585</c:v>
                </c:pt>
                <c:pt idx="63">
                  <c:v>0.71587301587301555</c:v>
                </c:pt>
                <c:pt idx="64">
                  <c:v>0.71718749999999964</c:v>
                </c:pt>
                <c:pt idx="65">
                  <c:v>0.58769230769230729</c:v>
                </c:pt>
                <c:pt idx="66">
                  <c:v>-8.1818181818182234E-2</c:v>
                </c:pt>
                <c:pt idx="67">
                  <c:v>2.8358208955223476E-2</c:v>
                </c:pt>
                <c:pt idx="68">
                  <c:v>-0.58088235294117685</c:v>
                </c:pt>
                <c:pt idx="69">
                  <c:v>-0.11014492753623231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00210520985715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たかの2!$D$3:$D$72</c:f>
              <c:numCache>
                <c:formatCode>0.00\ "位"</c:formatCode>
                <c:ptCount val="70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2.1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2.2000000000000002</c:v>
                </c:pt>
                <c:pt idx="16">
                  <c:v>2.1875</c:v>
                </c:pt>
                <c:pt idx="17">
                  <c:v>2.1176470588235294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1.9523809523809523</c:v>
                </c:pt>
                <c:pt idx="22">
                  <c:v>2</c:v>
                </c:pt>
                <c:pt idx="23">
                  <c:v>2.0434782608695654</c:v>
                </c:pt>
                <c:pt idx="24">
                  <c:v>2</c:v>
                </c:pt>
                <c:pt idx="25">
                  <c:v>2.04</c:v>
                </c:pt>
                <c:pt idx="26">
                  <c:v>2.0384615384615383</c:v>
                </c:pt>
                <c:pt idx="27">
                  <c:v>2.0370370370370372</c:v>
                </c:pt>
                <c:pt idx="28">
                  <c:v>2.0714285714285716</c:v>
                </c:pt>
                <c:pt idx="29">
                  <c:v>2.0344827586206895</c:v>
                </c:pt>
                <c:pt idx="30">
                  <c:v>2.0666666666666669</c:v>
                </c:pt>
                <c:pt idx="31">
                  <c:v>2.032258064516129</c:v>
                </c:pt>
                <c:pt idx="32">
                  <c:v>2.0625</c:v>
                </c:pt>
                <c:pt idx="33">
                  <c:v>2.0909090909090908</c:v>
                </c:pt>
                <c:pt idx="34">
                  <c:v>2.1176470588235294</c:v>
                </c:pt>
                <c:pt idx="35">
                  <c:v>2.1142857142857143</c:v>
                </c:pt>
                <c:pt idx="36">
                  <c:v>2.1111111111111112</c:v>
                </c:pt>
                <c:pt idx="37">
                  <c:v>2.0810810810810811</c:v>
                </c:pt>
                <c:pt idx="38">
                  <c:v>2.0789473684210527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2.0731707317073171</c:v>
                </c:pt>
                <c:pt idx="42">
                  <c:v>2.0714285714285716</c:v>
                </c:pt>
                <c:pt idx="43">
                  <c:v>2.0930232558139537</c:v>
                </c:pt>
                <c:pt idx="44">
                  <c:v>2.0909090909090908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2.0425531914893615</c:v>
                </c:pt>
                <c:pt idx="48">
                  <c:v>2.0208333333333335</c:v>
                </c:pt>
                <c:pt idx="49">
                  <c:v>2.0204081632653059</c:v>
                </c:pt>
                <c:pt idx="50">
                  <c:v>2.02</c:v>
                </c:pt>
                <c:pt idx="51">
                  <c:v>2.0196078431372548</c:v>
                </c:pt>
                <c:pt idx="52">
                  <c:v>2.0192307692307692</c:v>
                </c:pt>
                <c:pt idx="53">
                  <c:v>2.0377358490566038</c:v>
                </c:pt>
                <c:pt idx="54">
                  <c:v>2.0370370370370372</c:v>
                </c:pt>
                <c:pt idx="55">
                  <c:v>2.0363636363636362</c:v>
                </c:pt>
                <c:pt idx="56">
                  <c:v>2.0535714285714284</c:v>
                </c:pt>
                <c:pt idx="57">
                  <c:v>2.0526315789473686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2.0166666666666666</c:v>
                </c:pt>
                <c:pt idx="61">
                  <c:v>2.0163934426229506</c:v>
                </c:pt>
                <c:pt idx="62">
                  <c:v>2.032258064516129</c:v>
                </c:pt>
                <c:pt idx="63">
                  <c:v>2.0158730158730158</c:v>
                </c:pt>
                <c:pt idx="64">
                  <c:v>2.015625</c:v>
                </c:pt>
                <c:pt idx="65">
                  <c:v>2.0153846153846153</c:v>
                </c:pt>
                <c:pt idx="66">
                  <c:v>2.0303030303030303</c:v>
                </c:pt>
                <c:pt idx="67">
                  <c:v>2.0298507462686568</c:v>
                </c:pt>
                <c:pt idx="68">
                  <c:v>2.0441176470588234</c:v>
                </c:pt>
                <c:pt idx="69">
                  <c:v>2.0289855072463769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たかの2!$E$3:$E$72</c:f>
              <c:numCache>
                <c:formatCode>0.0%</c:formatCode>
                <c:ptCount val="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  <c:pt idx="35">
                  <c:v>0.2857142857142857</c:v>
                </c:pt>
                <c:pt idx="36">
                  <c:v>0.27777777777777779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</c:v>
                </c:pt>
                <c:pt idx="41">
                  <c:v>0.29268292682926828</c:v>
                </c:pt>
                <c:pt idx="42">
                  <c:v>0.2857142857142857</c:v>
                </c:pt>
                <c:pt idx="43">
                  <c:v>0.27906976744186046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0.2978723404255319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0.29411764705882354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0.26865671641791045</c:v>
                </c:pt>
                <c:pt idx="68">
                  <c:v>0.26470588235294118</c:v>
                </c:pt>
                <c:pt idx="69">
                  <c:v>0.27536231884057971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たかの2!$F$3:$F$72</c:f>
              <c:numCache>
                <c:formatCode>0.0%</c:formatCode>
                <c:ptCount val="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0.39393939393939392</c:v>
                </c:pt>
                <c:pt idx="34">
                  <c:v>0.41176470588235292</c:v>
                </c:pt>
                <c:pt idx="35">
                  <c:v>0.4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0.375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0.37209302325581395</c:v>
                </c:pt>
                <c:pt idx="44">
                  <c:v>0.36363636363636365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0.34042553191489361</c:v>
                </c:pt>
                <c:pt idx="48">
                  <c:v>0.33333333333333331</c:v>
                </c:pt>
                <c:pt idx="49">
                  <c:v>0.32653061224489793</c:v>
                </c:pt>
                <c:pt idx="50">
                  <c:v>0.32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0.30645161290322581</c:v>
                </c:pt>
                <c:pt idx="63">
                  <c:v>0.30158730158730157</c:v>
                </c:pt>
                <c:pt idx="64">
                  <c:v>0.296875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0.30882352941176472</c:v>
                </c:pt>
                <c:pt idx="69">
                  <c:v>0.30434782608695654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たかの2!$G$3:$G$72</c:f>
              <c:numCache>
                <c:formatCode>0.0%</c:formatCode>
                <c:ptCount val="70"/>
                <c:pt idx="1">
                  <c:v>0.14285714285714285</c:v>
                </c:pt>
                <c:pt idx="2">
                  <c:v>0.125</c:v>
                </c:pt>
                <c:pt idx="3">
                  <c:v>0.25</c:v>
                </c:pt>
                <c:pt idx="4">
                  <c:v>0.2857142857142857</c:v>
                </c:pt>
                <c:pt idx="5">
                  <c:v>0.27500000000000002</c:v>
                </c:pt>
                <c:pt idx="6">
                  <c:v>0.2978723404255319</c:v>
                </c:pt>
                <c:pt idx="7">
                  <c:v>0.30909090909090908</c:v>
                </c:pt>
                <c:pt idx="8">
                  <c:v>0.27868852459016391</c:v>
                </c:pt>
                <c:pt idx="9">
                  <c:v>0.29577464788732394</c:v>
                </c:pt>
                <c:pt idx="10">
                  <c:v>0.35064935064935066</c:v>
                </c:pt>
                <c:pt idx="11">
                  <c:v>0.3707865168539326</c:v>
                </c:pt>
                <c:pt idx="12">
                  <c:v>0.375</c:v>
                </c:pt>
                <c:pt idx="13">
                  <c:v>0.3619047619047619</c:v>
                </c:pt>
                <c:pt idx="14">
                  <c:v>0.35135135135135137</c:v>
                </c:pt>
                <c:pt idx="15">
                  <c:v>0.32773109243697479</c:v>
                </c:pt>
                <c:pt idx="16">
                  <c:v>0.32258064516129031</c:v>
                </c:pt>
                <c:pt idx="17">
                  <c:v>0.32575757575757575</c:v>
                </c:pt>
                <c:pt idx="18">
                  <c:v>0.33571428571428569</c:v>
                </c:pt>
                <c:pt idx="19">
                  <c:v>0.34693877551020408</c:v>
                </c:pt>
                <c:pt idx="20">
                  <c:v>0.35802469135802467</c:v>
                </c:pt>
                <c:pt idx="21">
                  <c:v>0.35260115606936415</c:v>
                </c:pt>
                <c:pt idx="22">
                  <c:v>0.34615384615384615</c:v>
                </c:pt>
                <c:pt idx="23">
                  <c:v>0.33333333333333331</c:v>
                </c:pt>
                <c:pt idx="24">
                  <c:v>0.34358974358974359</c:v>
                </c:pt>
                <c:pt idx="25">
                  <c:v>0.3446601941747573</c:v>
                </c:pt>
                <c:pt idx="26">
                  <c:v>0.34579439252336447</c:v>
                </c:pt>
                <c:pt idx="27">
                  <c:v>0.34080717488789236</c:v>
                </c:pt>
                <c:pt idx="28">
                  <c:v>0.34334763948497854</c:v>
                </c:pt>
                <c:pt idx="29">
                  <c:v>0.35390946502057613</c:v>
                </c:pt>
                <c:pt idx="30">
                  <c:v>0.34901960784313724</c:v>
                </c:pt>
                <c:pt idx="31">
                  <c:v>0.35114503816793891</c:v>
                </c:pt>
                <c:pt idx="32">
                  <c:v>0.35164835164835168</c:v>
                </c:pt>
                <c:pt idx="33">
                  <c:v>0.3475177304964539</c:v>
                </c:pt>
                <c:pt idx="34">
                  <c:v>0.34602076124567471</c:v>
                </c:pt>
                <c:pt idx="35">
                  <c:v>0.35016835016835018</c:v>
                </c:pt>
                <c:pt idx="36">
                  <c:v>0.35197368421052633</c:v>
                </c:pt>
                <c:pt idx="37">
                  <c:v>0.35576923076923078</c:v>
                </c:pt>
                <c:pt idx="38">
                  <c:v>0.3611111111111111</c:v>
                </c:pt>
                <c:pt idx="39">
                  <c:v>0.36445783132530118</c:v>
                </c:pt>
                <c:pt idx="40">
                  <c:v>0.36549707602339182</c:v>
                </c:pt>
                <c:pt idx="41">
                  <c:v>0.36752136752136755</c:v>
                </c:pt>
                <c:pt idx="42">
                  <c:v>0.36684782608695654</c:v>
                </c:pt>
                <c:pt idx="43">
                  <c:v>0.36533333333333334</c:v>
                </c:pt>
                <c:pt idx="44">
                  <c:v>0.36363636363636365</c:v>
                </c:pt>
                <c:pt idx="45">
                  <c:v>0.36479591836734693</c:v>
                </c:pt>
                <c:pt idx="46">
                  <c:v>0.36724565756823824</c:v>
                </c:pt>
                <c:pt idx="47">
                  <c:v>0.36407766990291263</c:v>
                </c:pt>
                <c:pt idx="48">
                  <c:v>0.36966824644549762</c:v>
                </c:pt>
                <c:pt idx="49">
                  <c:v>0.37296037296037299</c:v>
                </c:pt>
                <c:pt idx="50">
                  <c:v>0.36842105263157893</c:v>
                </c:pt>
                <c:pt idx="51">
                  <c:v>0.3724604966139955</c:v>
                </c:pt>
                <c:pt idx="52">
                  <c:v>0.37333333333333335</c:v>
                </c:pt>
                <c:pt idx="53">
                  <c:v>0.36899563318777295</c:v>
                </c:pt>
                <c:pt idx="54">
                  <c:v>0.37130801687763715</c:v>
                </c:pt>
                <c:pt idx="55">
                  <c:v>0.36776859504132231</c:v>
                </c:pt>
                <c:pt idx="56">
                  <c:v>0.36456211812627293</c:v>
                </c:pt>
                <c:pt idx="57">
                  <c:v>0.36363636363636365</c:v>
                </c:pt>
                <c:pt idx="58">
                  <c:v>0.36220472440944884</c:v>
                </c:pt>
                <c:pt idx="59">
                  <c:v>0.36434108527131781</c:v>
                </c:pt>
                <c:pt idx="60">
                  <c:v>0.36608863198458574</c:v>
                </c:pt>
                <c:pt idx="61">
                  <c:v>0.36174242424242425</c:v>
                </c:pt>
                <c:pt idx="62">
                  <c:v>0.35887850467289717</c:v>
                </c:pt>
                <c:pt idx="63">
                  <c:v>0.3596330275229358</c:v>
                </c:pt>
                <c:pt idx="64">
                  <c:v>0.3579136690647482</c:v>
                </c:pt>
                <c:pt idx="65">
                  <c:v>0.35879218472468916</c:v>
                </c:pt>
                <c:pt idx="66">
                  <c:v>0.35602094240837695</c:v>
                </c:pt>
                <c:pt idx="67">
                  <c:v>0.35689655172413792</c:v>
                </c:pt>
                <c:pt idx="68">
                  <c:v>0.35204081632653061</c:v>
                </c:pt>
                <c:pt idx="69">
                  <c:v>0.35175879396984927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842395587076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たかの2!$H$3:$H$72</c:f>
              <c:numCache>
                <c:formatCode>0.0%</c:formatCode>
                <c:ptCount val="70"/>
                <c:pt idx="1">
                  <c:v>0.14285714285714285</c:v>
                </c:pt>
                <c:pt idx="2">
                  <c:v>0.125</c:v>
                </c:pt>
                <c:pt idx="3">
                  <c:v>0.1</c:v>
                </c:pt>
                <c:pt idx="4">
                  <c:v>0.10714285714285714</c:v>
                </c:pt>
                <c:pt idx="5">
                  <c:v>0.125</c:v>
                </c:pt>
                <c:pt idx="6">
                  <c:v>0.1702127659574468</c:v>
                </c:pt>
                <c:pt idx="7">
                  <c:v>0.16363636363636364</c:v>
                </c:pt>
                <c:pt idx="8">
                  <c:v>0.16393442622950818</c:v>
                </c:pt>
                <c:pt idx="9">
                  <c:v>0.18309859154929578</c:v>
                </c:pt>
                <c:pt idx="10">
                  <c:v>0.16883116883116883</c:v>
                </c:pt>
                <c:pt idx="11">
                  <c:v>0.14606741573033707</c:v>
                </c:pt>
                <c:pt idx="12">
                  <c:v>0.15625</c:v>
                </c:pt>
                <c:pt idx="13">
                  <c:v>0.16190476190476191</c:v>
                </c:pt>
                <c:pt idx="14">
                  <c:v>0.15315315315315314</c:v>
                </c:pt>
                <c:pt idx="15">
                  <c:v>0.15966386554621848</c:v>
                </c:pt>
                <c:pt idx="16">
                  <c:v>0.15322580645161291</c:v>
                </c:pt>
                <c:pt idx="17">
                  <c:v>0.14393939393939395</c:v>
                </c:pt>
                <c:pt idx="18">
                  <c:v>0.1357142857142857</c:v>
                </c:pt>
                <c:pt idx="19">
                  <c:v>0.1360544217687075</c:v>
                </c:pt>
                <c:pt idx="20">
                  <c:v>0.13580246913580246</c:v>
                </c:pt>
                <c:pt idx="21">
                  <c:v>0.13294797687861271</c:v>
                </c:pt>
                <c:pt idx="22">
                  <c:v>0.13736263736263737</c:v>
                </c:pt>
                <c:pt idx="23">
                  <c:v>0.14285714285714285</c:v>
                </c:pt>
                <c:pt idx="24">
                  <c:v>0.13846153846153847</c:v>
                </c:pt>
                <c:pt idx="25">
                  <c:v>0.14563106796116504</c:v>
                </c:pt>
                <c:pt idx="26">
                  <c:v>0.14018691588785046</c:v>
                </c:pt>
                <c:pt idx="27">
                  <c:v>0.13452914798206278</c:v>
                </c:pt>
                <c:pt idx="28">
                  <c:v>0.14592274678111589</c:v>
                </c:pt>
                <c:pt idx="29">
                  <c:v>0.1440329218106996</c:v>
                </c:pt>
                <c:pt idx="30">
                  <c:v>0.14509803921568629</c:v>
                </c:pt>
                <c:pt idx="31">
                  <c:v>0.14503816793893129</c:v>
                </c:pt>
                <c:pt idx="32">
                  <c:v>0.14285714285714285</c:v>
                </c:pt>
                <c:pt idx="33">
                  <c:v>0.14184397163120568</c:v>
                </c:pt>
                <c:pt idx="34">
                  <c:v>0.14878892733564014</c:v>
                </c:pt>
                <c:pt idx="35">
                  <c:v>0.14814814814814814</c:v>
                </c:pt>
                <c:pt idx="36">
                  <c:v>0.14473684210526316</c:v>
                </c:pt>
                <c:pt idx="37">
                  <c:v>0.14102564102564102</c:v>
                </c:pt>
                <c:pt idx="38">
                  <c:v>0.14506172839506173</c:v>
                </c:pt>
                <c:pt idx="39">
                  <c:v>0.14156626506024098</c:v>
                </c:pt>
                <c:pt idx="40">
                  <c:v>0.14035087719298245</c:v>
                </c:pt>
                <c:pt idx="41">
                  <c:v>0.1396011396011396</c:v>
                </c:pt>
                <c:pt idx="42">
                  <c:v>0.1358695652173913</c:v>
                </c:pt>
                <c:pt idx="43">
                  <c:v>0.14133333333333334</c:v>
                </c:pt>
                <c:pt idx="44">
                  <c:v>0.13766233766233765</c:v>
                </c:pt>
                <c:pt idx="45">
                  <c:v>0.13520408163265307</c:v>
                </c:pt>
                <c:pt idx="46">
                  <c:v>0.13399503722084366</c:v>
                </c:pt>
                <c:pt idx="47">
                  <c:v>0.13349514563106796</c:v>
                </c:pt>
                <c:pt idx="48">
                  <c:v>0.13033175355450238</c:v>
                </c:pt>
                <c:pt idx="49">
                  <c:v>0.13053613053613053</c:v>
                </c:pt>
                <c:pt idx="50">
                  <c:v>0.13043478260869565</c:v>
                </c:pt>
                <c:pt idx="51">
                  <c:v>0.12866817155756208</c:v>
                </c:pt>
                <c:pt idx="52">
                  <c:v>0.13333333333333333</c:v>
                </c:pt>
                <c:pt idx="53">
                  <c:v>0.1331877729257642</c:v>
                </c:pt>
                <c:pt idx="54">
                  <c:v>0.13291139240506328</c:v>
                </c:pt>
                <c:pt idx="55">
                  <c:v>0.13016528925619836</c:v>
                </c:pt>
                <c:pt idx="56">
                  <c:v>0.13238289205702647</c:v>
                </c:pt>
                <c:pt idx="57">
                  <c:v>0.13131313131313133</c:v>
                </c:pt>
                <c:pt idx="58">
                  <c:v>0.12992125984251968</c:v>
                </c:pt>
                <c:pt idx="59">
                  <c:v>0.12790697674418605</c:v>
                </c:pt>
                <c:pt idx="60">
                  <c:v>0.12716763005780346</c:v>
                </c:pt>
                <c:pt idx="61">
                  <c:v>0.12878787878787878</c:v>
                </c:pt>
                <c:pt idx="62">
                  <c:v>0.12897196261682242</c:v>
                </c:pt>
                <c:pt idx="63">
                  <c:v>0.13027522935779817</c:v>
                </c:pt>
                <c:pt idx="64">
                  <c:v>0.12949640287769784</c:v>
                </c:pt>
                <c:pt idx="65">
                  <c:v>0.12966252220248667</c:v>
                </c:pt>
                <c:pt idx="66">
                  <c:v>0.13263525305410123</c:v>
                </c:pt>
                <c:pt idx="67">
                  <c:v>0.13275862068965516</c:v>
                </c:pt>
                <c:pt idx="68">
                  <c:v>0.1326530612244898</c:v>
                </c:pt>
                <c:pt idx="69">
                  <c:v>0.13400335008375208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045705279747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たかの2!$I$3:$I$72</c:f>
              <c:numCache>
                <c:formatCode>0</c:formatCode>
                <c:ptCount val="70"/>
                <c:pt idx="1">
                  <c:v>8000</c:v>
                </c:pt>
                <c:pt idx="2">
                  <c:v>5050</c:v>
                </c:pt>
                <c:pt idx="3">
                  <c:v>3520</c:v>
                </c:pt>
                <c:pt idx="4">
                  <c:v>4662.5</c:v>
                </c:pt>
                <c:pt idx="5">
                  <c:v>5318.181818181818</c:v>
                </c:pt>
                <c:pt idx="6">
                  <c:v>5121.4285714285716</c:v>
                </c:pt>
                <c:pt idx="7">
                  <c:v>5858.8235294117649</c:v>
                </c:pt>
                <c:pt idx="8">
                  <c:v>5858.8235294117649</c:v>
                </c:pt>
                <c:pt idx="9">
                  <c:v>6409.5238095238092</c:v>
                </c:pt>
                <c:pt idx="10">
                  <c:v>6788.8888888888887</c:v>
                </c:pt>
                <c:pt idx="11">
                  <c:v>6690.909090909091</c:v>
                </c:pt>
                <c:pt idx="12">
                  <c:v>6500</c:v>
                </c:pt>
                <c:pt idx="13">
                  <c:v>6339.4736842105267</c:v>
                </c:pt>
                <c:pt idx="14">
                  <c:v>6382.0512820512822</c:v>
                </c:pt>
                <c:pt idx="15">
                  <c:v>6382.0512820512822</c:v>
                </c:pt>
                <c:pt idx="16">
                  <c:v>6422.5</c:v>
                </c:pt>
                <c:pt idx="17">
                  <c:v>6330.2325581395353</c:v>
                </c:pt>
                <c:pt idx="18">
                  <c:v>6131.9148936170213</c:v>
                </c:pt>
                <c:pt idx="19">
                  <c:v>6884.3137254901958</c:v>
                </c:pt>
                <c:pt idx="20">
                  <c:v>6710.3448275862065</c:v>
                </c:pt>
                <c:pt idx="21">
                  <c:v>6804.9180327868853</c:v>
                </c:pt>
                <c:pt idx="22">
                  <c:v>6749.2063492063489</c:v>
                </c:pt>
                <c:pt idx="23">
                  <c:v>6749.2063492063489</c:v>
                </c:pt>
                <c:pt idx="24">
                  <c:v>7256.7164179104475</c:v>
                </c:pt>
                <c:pt idx="25">
                  <c:v>7145.070422535211</c:v>
                </c:pt>
                <c:pt idx="26">
                  <c:v>6987.8378378378375</c:v>
                </c:pt>
                <c:pt idx="27">
                  <c:v>7038.1578947368425</c:v>
                </c:pt>
                <c:pt idx="28">
                  <c:v>6993.75</c:v>
                </c:pt>
                <c:pt idx="29">
                  <c:v>7065.1162790697672</c:v>
                </c:pt>
                <c:pt idx="30">
                  <c:v>7180.8988764044943</c:v>
                </c:pt>
                <c:pt idx="31">
                  <c:v>7370.652173913043</c:v>
                </c:pt>
                <c:pt idx="32">
                  <c:v>7340.625</c:v>
                </c:pt>
                <c:pt idx="33">
                  <c:v>7260.2040816326535</c:v>
                </c:pt>
                <c:pt idx="34">
                  <c:v>7256</c:v>
                </c:pt>
                <c:pt idx="35">
                  <c:v>7118.2692307692305</c:v>
                </c:pt>
                <c:pt idx="36">
                  <c:v>7055.1401869158881</c:v>
                </c:pt>
                <c:pt idx="37">
                  <c:v>7009.9099099099103</c:v>
                </c:pt>
                <c:pt idx="38">
                  <c:v>6950.4273504273506</c:v>
                </c:pt>
                <c:pt idx="39">
                  <c:v>6833.0578512396696</c:v>
                </c:pt>
                <c:pt idx="40">
                  <c:v>6813.6</c:v>
                </c:pt>
                <c:pt idx="41">
                  <c:v>6808.5271317829456</c:v>
                </c:pt>
                <c:pt idx="42">
                  <c:v>6739.2592592592591</c:v>
                </c:pt>
                <c:pt idx="43">
                  <c:v>6741.6058394160582</c:v>
                </c:pt>
                <c:pt idx="44">
                  <c:v>6724.2857142857147</c:v>
                </c:pt>
                <c:pt idx="45">
                  <c:v>6638.4615384615381</c:v>
                </c:pt>
                <c:pt idx="46">
                  <c:v>6645.27027027027</c:v>
                </c:pt>
                <c:pt idx="47">
                  <c:v>6696</c:v>
                </c:pt>
                <c:pt idx="48">
                  <c:v>6666.0256410256407</c:v>
                </c:pt>
                <c:pt idx="49">
                  <c:v>6588.75</c:v>
                </c:pt>
                <c:pt idx="50">
                  <c:v>6597.5155279503106</c:v>
                </c:pt>
                <c:pt idx="51">
                  <c:v>6523.030303030303</c:v>
                </c:pt>
                <c:pt idx="52">
                  <c:v>6516.0714285714284</c:v>
                </c:pt>
                <c:pt idx="53">
                  <c:v>6523.0769230769229</c:v>
                </c:pt>
                <c:pt idx="54">
                  <c:v>6500.568181818182</c:v>
                </c:pt>
                <c:pt idx="55">
                  <c:v>6504.4943820224717</c:v>
                </c:pt>
                <c:pt idx="56">
                  <c:v>6535.1955307262569</c:v>
                </c:pt>
                <c:pt idx="57">
                  <c:v>6510</c:v>
                </c:pt>
                <c:pt idx="58">
                  <c:v>6528.260869565217</c:v>
                </c:pt>
                <c:pt idx="59">
                  <c:v>6579.255319148936</c:v>
                </c:pt>
                <c:pt idx="60">
                  <c:v>6636.3157894736842</c:v>
                </c:pt>
                <c:pt idx="61">
                  <c:v>6628.7958115183246</c:v>
                </c:pt>
                <c:pt idx="62">
                  <c:v>6635.9375</c:v>
                </c:pt>
                <c:pt idx="63">
                  <c:v>6662.2448979591836</c:v>
                </c:pt>
                <c:pt idx="64">
                  <c:v>6665.8291457286432</c:v>
                </c:pt>
                <c:pt idx="65">
                  <c:v>6670.7920792079212</c:v>
                </c:pt>
                <c:pt idx="66">
                  <c:v>6635.7843137254904</c:v>
                </c:pt>
                <c:pt idx="67">
                  <c:v>6609.6618357487923</c:v>
                </c:pt>
                <c:pt idx="68">
                  <c:v>6609.6618357487923</c:v>
                </c:pt>
                <c:pt idx="69">
                  <c:v>6635.7142857142853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70.30223390275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たかの2!$J$3:$J$72</c:f>
              <c:numCache>
                <c:formatCode>0</c:formatCode>
                <c:ptCount val="70"/>
                <c:pt idx="1">
                  <c:v>-3900</c:v>
                </c:pt>
                <c:pt idx="2">
                  <c:v>-6750</c:v>
                </c:pt>
                <c:pt idx="3">
                  <c:v>-6750</c:v>
                </c:pt>
                <c:pt idx="4">
                  <c:v>-8366.6666666666661</c:v>
                </c:pt>
                <c:pt idx="5">
                  <c:v>-7400</c:v>
                </c:pt>
                <c:pt idx="6">
                  <c:v>-6487.5</c:v>
                </c:pt>
                <c:pt idx="7">
                  <c:v>-7100</c:v>
                </c:pt>
                <c:pt idx="8">
                  <c:v>-7190</c:v>
                </c:pt>
                <c:pt idx="9">
                  <c:v>-7530.7692307692305</c:v>
                </c:pt>
                <c:pt idx="10">
                  <c:v>-7530.7692307692305</c:v>
                </c:pt>
                <c:pt idx="11">
                  <c:v>-7530.7692307692305</c:v>
                </c:pt>
                <c:pt idx="12">
                  <c:v>-7213.333333333333</c:v>
                </c:pt>
                <c:pt idx="13">
                  <c:v>-7376.4705882352937</c:v>
                </c:pt>
                <c:pt idx="14">
                  <c:v>-7376.4705882352937</c:v>
                </c:pt>
                <c:pt idx="15">
                  <c:v>-8494.7368421052633</c:v>
                </c:pt>
                <c:pt idx="16">
                  <c:v>-8494.7368421052633</c:v>
                </c:pt>
                <c:pt idx="17">
                  <c:v>-8494.7368421052633</c:v>
                </c:pt>
                <c:pt idx="18">
                  <c:v>-8494.7368421052633</c:v>
                </c:pt>
                <c:pt idx="19">
                  <c:v>-8670</c:v>
                </c:pt>
                <c:pt idx="20">
                  <c:v>-8440.9090909090901</c:v>
                </c:pt>
                <c:pt idx="21">
                  <c:v>-8160.869565217391</c:v>
                </c:pt>
                <c:pt idx="22">
                  <c:v>-8384</c:v>
                </c:pt>
                <c:pt idx="23">
                  <c:v>-8785.1851851851843</c:v>
                </c:pt>
                <c:pt idx="24">
                  <c:v>-8785.1851851851843</c:v>
                </c:pt>
                <c:pt idx="25">
                  <c:v>-8900</c:v>
                </c:pt>
                <c:pt idx="26">
                  <c:v>-8900</c:v>
                </c:pt>
                <c:pt idx="27">
                  <c:v>-8900</c:v>
                </c:pt>
                <c:pt idx="28">
                  <c:v>-8932.3529411764703</c:v>
                </c:pt>
                <c:pt idx="29">
                  <c:v>-8751.4285714285706</c:v>
                </c:pt>
                <c:pt idx="30">
                  <c:v>-8851.3513513513517</c:v>
                </c:pt>
                <c:pt idx="31">
                  <c:v>-8686.8421052631584</c:v>
                </c:pt>
                <c:pt idx="32">
                  <c:v>-8612.8205128205136</c:v>
                </c:pt>
                <c:pt idx="33">
                  <c:v>-8495</c:v>
                </c:pt>
                <c:pt idx="34">
                  <c:v>-8306.9767441860458</c:v>
                </c:pt>
                <c:pt idx="35">
                  <c:v>-8481.818181818182</c:v>
                </c:pt>
                <c:pt idx="36">
                  <c:v>-8481.818181818182</c:v>
                </c:pt>
                <c:pt idx="37">
                  <c:v>-8481.818181818182</c:v>
                </c:pt>
                <c:pt idx="38">
                  <c:v>-8706.3829787234044</c:v>
                </c:pt>
                <c:pt idx="39">
                  <c:v>-8706.3829787234044</c:v>
                </c:pt>
                <c:pt idx="40">
                  <c:v>-8858.3333333333339</c:v>
                </c:pt>
                <c:pt idx="41">
                  <c:v>-8834.6938775510207</c:v>
                </c:pt>
                <c:pt idx="42">
                  <c:v>-8898</c:v>
                </c:pt>
                <c:pt idx="43">
                  <c:v>-9500</c:v>
                </c:pt>
                <c:pt idx="44">
                  <c:v>-9500</c:v>
                </c:pt>
                <c:pt idx="45">
                  <c:v>-9500</c:v>
                </c:pt>
                <c:pt idx="46">
                  <c:v>-9546.2962962962956</c:v>
                </c:pt>
                <c:pt idx="47">
                  <c:v>-9443.636363636364</c:v>
                </c:pt>
                <c:pt idx="48">
                  <c:v>-9443.636363636364</c:v>
                </c:pt>
                <c:pt idx="49">
                  <c:v>-9412.5</c:v>
                </c:pt>
                <c:pt idx="50">
                  <c:v>-9282.4561403508778</c:v>
                </c:pt>
                <c:pt idx="51">
                  <c:v>-9282.4561403508778</c:v>
                </c:pt>
                <c:pt idx="52">
                  <c:v>-9285</c:v>
                </c:pt>
                <c:pt idx="53">
                  <c:v>-9157.377049180328</c:v>
                </c:pt>
                <c:pt idx="54">
                  <c:v>-9374.6031746031749</c:v>
                </c:pt>
                <c:pt idx="55">
                  <c:v>-9374.6031746031749</c:v>
                </c:pt>
                <c:pt idx="56">
                  <c:v>-9289.2307692307695</c:v>
                </c:pt>
                <c:pt idx="57">
                  <c:v>-9289.2307692307695</c:v>
                </c:pt>
                <c:pt idx="58">
                  <c:v>-9269.69696969697</c:v>
                </c:pt>
                <c:pt idx="59">
                  <c:v>-9269.69696969697</c:v>
                </c:pt>
                <c:pt idx="60">
                  <c:v>-9269.69696969697</c:v>
                </c:pt>
                <c:pt idx="61">
                  <c:v>-9379.4117647058829</c:v>
                </c:pt>
                <c:pt idx="62">
                  <c:v>-9417.391304347826</c:v>
                </c:pt>
                <c:pt idx="63">
                  <c:v>-9350.7042253521122</c:v>
                </c:pt>
                <c:pt idx="64">
                  <c:v>-9381.9444444444453</c:v>
                </c:pt>
                <c:pt idx="65">
                  <c:v>-9324.6575342465749</c:v>
                </c:pt>
                <c:pt idx="66">
                  <c:v>-9127.6315789473683</c:v>
                </c:pt>
                <c:pt idx="67">
                  <c:v>-9035.0649350649346</c:v>
                </c:pt>
                <c:pt idx="68">
                  <c:v>-9073.0769230769238</c:v>
                </c:pt>
                <c:pt idx="69">
                  <c:v>-8927.5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00.93786635404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たかの2!$K$3:$K$72</c:f>
              <c:numCache>
                <c:formatCode>0.0%</c:formatCode>
                <c:ptCount val="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  <c:pt idx="45">
                  <c:v>6.6666666666666666E-2</c:v>
                </c:pt>
                <c:pt idx="46">
                  <c:v>6.5217391304347824E-2</c:v>
                </c:pt>
                <c:pt idx="47">
                  <c:v>6.3829787234042548E-2</c:v>
                </c:pt>
                <c:pt idx="48">
                  <c:v>6.25E-2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5.5555555555555552E-2</c:v>
                </c:pt>
                <c:pt idx="55">
                  <c:v>5.4545454545454543E-2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たかの2!$L$3:$L$72</c:f>
              <c:numCache>
                <c:formatCode>0.0%</c:formatCode>
                <c:ptCount val="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0.10909090909090909</c:v>
                </c:pt>
                <c:pt idx="56">
                  <c:v>0.10714285714285714</c:v>
                </c:pt>
                <c:pt idx="57">
                  <c:v>0.10526315789473684</c:v>
                </c:pt>
                <c:pt idx="58">
                  <c:v>0.10344827586206896</c:v>
                </c:pt>
                <c:pt idx="59">
                  <c:v>0.10169491525423729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0.1076923076923077</c:v>
                </c:pt>
                <c:pt idx="66">
                  <c:v>0.10606060606060606</c:v>
                </c:pt>
                <c:pt idx="67">
                  <c:v>0.1044776119402985</c:v>
                </c:pt>
                <c:pt idx="68">
                  <c:v>0.10294117647058823</c:v>
                </c:pt>
                <c:pt idx="69">
                  <c:v>0.10144927536231885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94252873563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たかの2!$M$3:$M$72</c:f>
              <c:numCache>
                <c:formatCode>0.0%</c:formatCode>
                <c:ptCount val="70"/>
                <c:pt idx="1">
                  <c:v>0</c:v>
                </c:pt>
                <c:pt idx="2">
                  <c:v>0.125</c:v>
                </c:pt>
                <c:pt idx="3">
                  <c:v>0.15</c:v>
                </c:pt>
                <c:pt idx="4">
                  <c:v>0.14285714285714285</c:v>
                </c:pt>
                <c:pt idx="5">
                  <c:v>0.15</c:v>
                </c:pt>
                <c:pt idx="6">
                  <c:v>0.14893617021276595</c:v>
                </c:pt>
                <c:pt idx="7">
                  <c:v>0.18181818181818182</c:v>
                </c:pt>
                <c:pt idx="8">
                  <c:v>0.18032786885245902</c:v>
                </c:pt>
                <c:pt idx="9">
                  <c:v>0.18309859154929578</c:v>
                </c:pt>
                <c:pt idx="10">
                  <c:v>0.23376623376623376</c:v>
                </c:pt>
                <c:pt idx="11">
                  <c:v>0.2247191011235955</c:v>
                </c:pt>
                <c:pt idx="12">
                  <c:v>0.20833333333333334</c:v>
                </c:pt>
                <c:pt idx="13">
                  <c:v>0.2</c:v>
                </c:pt>
                <c:pt idx="14">
                  <c:v>0.2072072072072072</c:v>
                </c:pt>
                <c:pt idx="15">
                  <c:v>0.20168067226890757</c:v>
                </c:pt>
                <c:pt idx="16">
                  <c:v>0.20161290322580644</c:v>
                </c:pt>
                <c:pt idx="17">
                  <c:v>0.20454545454545456</c:v>
                </c:pt>
                <c:pt idx="18">
                  <c:v>0.2</c:v>
                </c:pt>
                <c:pt idx="19">
                  <c:v>0.21088435374149661</c:v>
                </c:pt>
                <c:pt idx="20">
                  <c:v>0.20987654320987653</c:v>
                </c:pt>
                <c:pt idx="21">
                  <c:v>0.2138728323699422</c:v>
                </c:pt>
                <c:pt idx="22">
                  <c:v>0.21978021978021978</c:v>
                </c:pt>
                <c:pt idx="23">
                  <c:v>0.2275132275132275</c:v>
                </c:pt>
                <c:pt idx="24">
                  <c:v>0.23589743589743589</c:v>
                </c:pt>
                <c:pt idx="25">
                  <c:v>0.23300970873786409</c:v>
                </c:pt>
                <c:pt idx="26">
                  <c:v>0.23364485981308411</c:v>
                </c:pt>
                <c:pt idx="27">
                  <c:v>0.22421524663677131</c:v>
                </c:pt>
                <c:pt idx="28">
                  <c:v>0.22317596566523606</c:v>
                </c:pt>
                <c:pt idx="29">
                  <c:v>0.22633744855967078</c:v>
                </c:pt>
                <c:pt idx="30">
                  <c:v>0.21568627450980393</c:v>
                </c:pt>
                <c:pt idx="31">
                  <c:v>0.22137404580152673</c:v>
                </c:pt>
                <c:pt idx="32">
                  <c:v>0.21978021978021978</c:v>
                </c:pt>
                <c:pt idx="33">
                  <c:v>0.22695035460992907</c:v>
                </c:pt>
                <c:pt idx="34">
                  <c:v>0.23183391003460208</c:v>
                </c:pt>
                <c:pt idx="35">
                  <c:v>0.22895622895622897</c:v>
                </c:pt>
                <c:pt idx="36">
                  <c:v>0.23026315789473684</c:v>
                </c:pt>
                <c:pt idx="37">
                  <c:v>0.23076923076923078</c:v>
                </c:pt>
                <c:pt idx="38">
                  <c:v>0.23148148148148148</c:v>
                </c:pt>
                <c:pt idx="39">
                  <c:v>0.2289156626506024</c:v>
                </c:pt>
                <c:pt idx="40">
                  <c:v>0.23391812865497075</c:v>
                </c:pt>
                <c:pt idx="41">
                  <c:v>0.23646723646723647</c:v>
                </c:pt>
                <c:pt idx="42">
                  <c:v>0.23369565217391305</c:v>
                </c:pt>
                <c:pt idx="43">
                  <c:v>0.23200000000000001</c:v>
                </c:pt>
                <c:pt idx="44">
                  <c:v>0.23376623376623376</c:v>
                </c:pt>
                <c:pt idx="45">
                  <c:v>0.22959183673469388</c:v>
                </c:pt>
                <c:pt idx="46">
                  <c:v>0.22580645161290322</c:v>
                </c:pt>
                <c:pt idx="47">
                  <c:v>0.22330097087378642</c:v>
                </c:pt>
                <c:pt idx="48">
                  <c:v>0.22274881516587677</c:v>
                </c:pt>
                <c:pt idx="49">
                  <c:v>0.21911421911421911</c:v>
                </c:pt>
                <c:pt idx="50">
                  <c:v>0.2219679633867277</c:v>
                </c:pt>
                <c:pt idx="51">
                  <c:v>0.21896162528216703</c:v>
                </c:pt>
                <c:pt idx="52">
                  <c:v>0.22222222222222221</c:v>
                </c:pt>
                <c:pt idx="53">
                  <c:v>0.2205240174672489</c:v>
                </c:pt>
                <c:pt idx="54">
                  <c:v>0.22151898734177214</c:v>
                </c:pt>
                <c:pt idx="55">
                  <c:v>0.21694214876033058</c:v>
                </c:pt>
                <c:pt idx="56">
                  <c:v>0.21588594704684319</c:v>
                </c:pt>
                <c:pt idx="57">
                  <c:v>0.21414141414141413</c:v>
                </c:pt>
                <c:pt idx="58">
                  <c:v>0.22244094488188976</c:v>
                </c:pt>
                <c:pt idx="59">
                  <c:v>0.22093023255813954</c:v>
                </c:pt>
                <c:pt idx="60">
                  <c:v>0.21965317919075145</c:v>
                </c:pt>
                <c:pt idx="61">
                  <c:v>0.2178030303030303</c:v>
                </c:pt>
                <c:pt idx="62">
                  <c:v>0.21869158878504674</c:v>
                </c:pt>
                <c:pt idx="63">
                  <c:v>0.21834862385321102</c:v>
                </c:pt>
                <c:pt idx="64">
                  <c:v>0.21942446043165467</c:v>
                </c:pt>
                <c:pt idx="65">
                  <c:v>0.2202486678507993</c:v>
                </c:pt>
                <c:pt idx="66">
                  <c:v>0.21989528795811519</c:v>
                </c:pt>
                <c:pt idx="67">
                  <c:v>0.2189655172413793</c:v>
                </c:pt>
                <c:pt idx="68">
                  <c:v>0.21598639455782312</c:v>
                </c:pt>
                <c:pt idx="69">
                  <c:v>0.21608040201005024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535855003940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たかの2!$N$3:$N$72</c:f>
              <c:numCache>
                <c:formatCode>0.0%</c:formatCode>
                <c:ptCount val="70"/>
                <c:pt idx="1">
                  <c:v>0.42857142857142855</c:v>
                </c:pt>
                <c:pt idx="2">
                  <c:v>0.375</c:v>
                </c:pt>
                <c:pt idx="3">
                  <c:v>0.4</c:v>
                </c:pt>
                <c:pt idx="4">
                  <c:v>0.39285714285714285</c:v>
                </c:pt>
                <c:pt idx="5">
                  <c:v>0.35</c:v>
                </c:pt>
                <c:pt idx="6">
                  <c:v>0.36170212765957449</c:v>
                </c:pt>
                <c:pt idx="7">
                  <c:v>0.34545454545454546</c:v>
                </c:pt>
                <c:pt idx="8">
                  <c:v>0.34426229508196721</c:v>
                </c:pt>
                <c:pt idx="9">
                  <c:v>0.38028169014084506</c:v>
                </c:pt>
                <c:pt idx="10">
                  <c:v>0.36363636363636365</c:v>
                </c:pt>
                <c:pt idx="11">
                  <c:v>0.3707865168539326</c:v>
                </c:pt>
                <c:pt idx="12">
                  <c:v>0.375</c:v>
                </c:pt>
                <c:pt idx="13">
                  <c:v>0.38095238095238093</c:v>
                </c:pt>
                <c:pt idx="14">
                  <c:v>0.3783783783783784</c:v>
                </c:pt>
                <c:pt idx="15">
                  <c:v>0.36974789915966388</c:v>
                </c:pt>
                <c:pt idx="16">
                  <c:v>0.35483870967741937</c:v>
                </c:pt>
                <c:pt idx="17">
                  <c:v>0.34090909090909088</c:v>
                </c:pt>
                <c:pt idx="18">
                  <c:v>0.35714285714285715</c:v>
                </c:pt>
                <c:pt idx="19">
                  <c:v>0.35374149659863946</c:v>
                </c:pt>
                <c:pt idx="20">
                  <c:v>0.36419753086419754</c:v>
                </c:pt>
                <c:pt idx="21">
                  <c:v>0.36416184971098264</c:v>
                </c:pt>
                <c:pt idx="22">
                  <c:v>0.35164835164835168</c:v>
                </c:pt>
                <c:pt idx="23">
                  <c:v>0.3439153439153439</c:v>
                </c:pt>
                <c:pt idx="24">
                  <c:v>0.33846153846153848</c:v>
                </c:pt>
                <c:pt idx="25">
                  <c:v>0.3300970873786408</c:v>
                </c:pt>
                <c:pt idx="26">
                  <c:v>0.32710280373831774</c:v>
                </c:pt>
                <c:pt idx="27">
                  <c:v>0.3452914798206278</c:v>
                </c:pt>
                <c:pt idx="28">
                  <c:v>0.33476394849785407</c:v>
                </c:pt>
                <c:pt idx="29">
                  <c:v>0.34156378600823045</c:v>
                </c:pt>
                <c:pt idx="30">
                  <c:v>0.34509803921568627</c:v>
                </c:pt>
                <c:pt idx="31">
                  <c:v>0.33969465648854963</c:v>
                </c:pt>
                <c:pt idx="32">
                  <c:v>0.32600732600732601</c:v>
                </c:pt>
                <c:pt idx="33">
                  <c:v>0.31914893617021278</c:v>
                </c:pt>
                <c:pt idx="34">
                  <c:v>0.31833910034602075</c:v>
                </c:pt>
                <c:pt idx="35">
                  <c:v>0.3164983164983165</c:v>
                </c:pt>
                <c:pt idx="36">
                  <c:v>0.3125</c:v>
                </c:pt>
                <c:pt idx="37">
                  <c:v>0.30448717948717946</c:v>
                </c:pt>
                <c:pt idx="38">
                  <c:v>0.30246913580246915</c:v>
                </c:pt>
                <c:pt idx="39">
                  <c:v>0.30120481927710846</c:v>
                </c:pt>
                <c:pt idx="40">
                  <c:v>0.30116959064327486</c:v>
                </c:pt>
                <c:pt idx="41">
                  <c:v>0.29629629629629628</c:v>
                </c:pt>
                <c:pt idx="42">
                  <c:v>0.29891304347826086</c:v>
                </c:pt>
                <c:pt idx="43">
                  <c:v>0.29866666666666669</c:v>
                </c:pt>
                <c:pt idx="44">
                  <c:v>0.29350649350649349</c:v>
                </c:pt>
                <c:pt idx="45">
                  <c:v>0.29336734693877553</c:v>
                </c:pt>
                <c:pt idx="46">
                  <c:v>0.29776674937965258</c:v>
                </c:pt>
                <c:pt idx="47">
                  <c:v>0.30339805825242716</c:v>
                </c:pt>
                <c:pt idx="48">
                  <c:v>0.30331753554502372</c:v>
                </c:pt>
                <c:pt idx="49">
                  <c:v>0.30769230769230771</c:v>
                </c:pt>
                <c:pt idx="50">
                  <c:v>0.30205949656750575</c:v>
                </c:pt>
                <c:pt idx="51">
                  <c:v>0.30474040632054178</c:v>
                </c:pt>
                <c:pt idx="52">
                  <c:v>0.30444444444444446</c:v>
                </c:pt>
                <c:pt idx="53">
                  <c:v>0.29912663755458513</c:v>
                </c:pt>
                <c:pt idx="54">
                  <c:v>0.29535864978902954</c:v>
                </c:pt>
                <c:pt idx="55">
                  <c:v>0.29545454545454547</c:v>
                </c:pt>
                <c:pt idx="56">
                  <c:v>0.29124236252545826</c:v>
                </c:pt>
                <c:pt idx="57">
                  <c:v>0.29090909090909089</c:v>
                </c:pt>
                <c:pt idx="58">
                  <c:v>0.2874015748031496</c:v>
                </c:pt>
                <c:pt idx="59">
                  <c:v>0.28875968992248063</c:v>
                </c:pt>
                <c:pt idx="60">
                  <c:v>0.2928709055876686</c:v>
                </c:pt>
                <c:pt idx="61">
                  <c:v>0.29545454545454547</c:v>
                </c:pt>
                <c:pt idx="62">
                  <c:v>0.29532710280373831</c:v>
                </c:pt>
                <c:pt idx="63">
                  <c:v>0.29541284403669726</c:v>
                </c:pt>
                <c:pt idx="64">
                  <c:v>0.29136690647482016</c:v>
                </c:pt>
                <c:pt idx="65">
                  <c:v>0.29129662522202487</c:v>
                </c:pt>
                <c:pt idx="66">
                  <c:v>0.29319371727748689</c:v>
                </c:pt>
                <c:pt idx="67">
                  <c:v>0.2982758620689655</c:v>
                </c:pt>
                <c:pt idx="68">
                  <c:v>0.29421768707482993</c:v>
                </c:pt>
                <c:pt idx="69">
                  <c:v>0.29145728643216079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431836091410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たかの2!$O$3:$O$72</c:f>
              <c:numCache>
                <c:formatCode>0.0%</c:formatCode>
                <c:ptCount val="70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0.5714285714285714</c:v>
                </c:pt>
                <c:pt idx="7">
                  <c:v>0.7</c:v>
                </c:pt>
                <c:pt idx="8">
                  <c:v>0.63636363636363635</c:v>
                </c:pt>
                <c:pt idx="9">
                  <c:v>0.61538461538461542</c:v>
                </c:pt>
                <c:pt idx="10">
                  <c:v>0.72222222222222221</c:v>
                </c:pt>
                <c:pt idx="11">
                  <c:v>0.7</c:v>
                </c:pt>
                <c:pt idx="12">
                  <c:v>0.7</c:v>
                </c:pt>
                <c:pt idx="13">
                  <c:v>0.66666666666666663</c:v>
                </c:pt>
                <c:pt idx="14">
                  <c:v>0.65217391304347827</c:v>
                </c:pt>
                <c:pt idx="15">
                  <c:v>0.625</c:v>
                </c:pt>
                <c:pt idx="16">
                  <c:v>0.64</c:v>
                </c:pt>
                <c:pt idx="17">
                  <c:v>0.62962962962962965</c:v>
                </c:pt>
                <c:pt idx="18">
                  <c:v>0.6071428571428571</c:v>
                </c:pt>
                <c:pt idx="19">
                  <c:v>0.64516129032258063</c:v>
                </c:pt>
                <c:pt idx="20">
                  <c:v>0.6470588235294118</c:v>
                </c:pt>
                <c:pt idx="21">
                  <c:v>0.64864864864864868</c:v>
                </c:pt>
                <c:pt idx="22">
                  <c:v>0.625</c:v>
                </c:pt>
                <c:pt idx="23">
                  <c:v>0.58139534883720934</c:v>
                </c:pt>
                <c:pt idx="24">
                  <c:v>0.58695652173913049</c:v>
                </c:pt>
                <c:pt idx="25">
                  <c:v>0.58333333333333337</c:v>
                </c:pt>
                <c:pt idx="26">
                  <c:v>0.57999999999999996</c:v>
                </c:pt>
                <c:pt idx="27">
                  <c:v>0.57999999999999996</c:v>
                </c:pt>
                <c:pt idx="28">
                  <c:v>0.57692307692307687</c:v>
                </c:pt>
                <c:pt idx="29">
                  <c:v>0.58181818181818179</c:v>
                </c:pt>
                <c:pt idx="30">
                  <c:v>0.58181818181818179</c:v>
                </c:pt>
                <c:pt idx="31">
                  <c:v>0.58620689655172409</c:v>
                </c:pt>
                <c:pt idx="32">
                  <c:v>0.58333333333333337</c:v>
                </c:pt>
                <c:pt idx="33">
                  <c:v>0.578125</c:v>
                </c:pt>
                <c:pt idx="34">
                  <c:v>0.56716417910447758</c:v>
                </c:pt>
                <c:pt idx="35">
                  <c:v>0.55882352941176472</c:v>
                </c:pt>
                <c:pt idx="36">
                  <c:v>0.5714285714285714</c:v>
                </c:pt>
                <c:pt idx="37">
                  <c:v>0.58333333333333337</c:v>
                </c:pt>
                <c:pt idx="38">
                  <c:v>0.58666666666666667</c:v>
                </c:pt>
                <c:pt idx="39">
                  <c:v>0.59210526315789469</c:v>
                </c:pt>
                <c:pt idx="40">
                  <c:v>0.58750000000000002</c:v>
                </c:pt>
                <c:pt idx="41">
                  <c:v>0.60240963855421692</c:v>
                </c:pt>
                <c:pt idx="42">
                  <c:v>0.59302325581395354</c:v>
                </c:pt>
                <c:pt idx="43">
                  <c:v>0.5977011494252874</c:v>
                </c:pt>
                <c:pt idx="44">
                  <c:v>0.6</c:v>
                </c:pt>
                <c:pt idx="45">
                  <c:v>0.6</c:v>
                </c:pt>
                <c:pt idx="46">
                  <c:v>0.60439560439560436</c:v>
                </c:pt>
                <c:pt idx="47">
                  <c:v>0.59782608695652173</c:v>
                </c:pt>
                <c:pt idx="48">
                  <c:v>0.6063829787234043</c:v>
                </c:pt>
                <c:pt idx="49">
                  <c:v>0.6063829787234043</c:v>
                </c:pt>
                <c:pt idx="50">
                  <c:v>0.58762886597938147</c:v>
                </c:pt>
                <c:pt idx="51">
                  <c:v>0.58762886597938147</c:v>
                </c:pt>
                <c:pt idx="52">
                  <c:v>0.6</c:v>
                </c:pt>
                <c:pt idx="53">
                  <c:v>0.59405940594059403</c:v>
                </c:pt>
                <c:pt idx="54">
                  <c:v>0.59047619047619049</c:v>
                </c:pt>
                <c:pt idx="55">
                  <c:v>0.59047619047619049</c:v>
                </c:pt>
                <c:pt idx="56">
                  <c:v>0.59433962264150941</c:v>
                </c:pt>
                <c:pt idx="57">
                  <c:v>0.59433962264150941</c:v>
                </c:pt>
                <c:pt idx="58">
                  <c:v>0.5752212389380531</c:v>
                </c:pt>
                <c:pt idx="59">
                  <c:v>0.57894736842105265</c:v>
                </c:pt>
                <c:pt idx="60">
                  <c:v>0.57894736842105265</c:v>
                </c:pt>
                <c:pt idx="61">
                  <c:v>0.57391304347826089</c:v>
                </c:pt>
                <c:pt idx="62">
                  <c:v>0.5641025641025641</c:v>
                </c:pt>
                <c:pt idx="63">
                  <c:v>0.56302521008403361</c:v>
                </c:pt>
                <c:pt idx="64">
                  <c:v>0.56557377049180324</c:v>
                </c:pt>
                <c:pt idx="65">
                  <c:v>0.55645161290322576</c:v>
                </c:pt>
                <c:pt idx="66">
                  <c:v>0.54761904761904767</c:v>
                </c:pt>
                <c:pt idx="67">
                  <c:v>0.55118110236220474</c:v>
                </c:pt>
                <c:pt idx="68">
                  <c:v>0.55118110236220474</c:v>
                </c:pt>
                <c:pt idx="69">
                  <c:v>0.55813953488372092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05617977528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たかの2!$P$3:$P$72</c:f>
              <c:numCache>
                <c:formatCode>0.0%</c:formatCode>
                <c:ptCount val="70"/>
                <c:pt idx="1">
                  <c:v>0</c:v>
                </c:pt>
                <c:pt idx="2">
                  <c:v>0.16666666666666666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0.42857142857142855</c:v>
                </c:pt>
                <c:pt idx="6">
                  <c:v>0.41176470588235292</c:v>
                </c:pt>
                <c:pt idx="7">
                  <c:v>0.36842105263157893</c:v>
                </c:pt>
                <c:pt idx="8">
                  <c:v>0.33333333333333331</c:v>
                </c:pt>
                <c:pt idx="9">
                  <c:v>0.37037037037037035</c:v>
                </c:pt>
                <c:pt idx="10">
                  <c:v>0.39285714285714285</c:v>
                </c:pt>
                <c:pt idx="11">
                  <c:v>0.42424242424242425</c:v>
                </c:pt>
                <c:pt idx="12">
                  <c:v>0.44444444444444442</c:v>
                </c:pt>
                <c:pt idx="13">
                  <c:v>0.45</c:v>
                </c:pt>
                <c:pt idx="14">
                  <c:v>0.42857142857142855</c:v>
                </c:pt>
                <c:pt idx="15">
                  <c:v>0.40909090909090912</c:v>
                </c:pt>
                <c:pt idx="16">
                  <c:v>0.40909090909090912</c:v>
                </c:pt>
                <c:pt idx="17">
                  <c:v>0.42222222222222222</c:v>
                </c:pt>
                <c:pt idx="18">
                  <c:v>0.44</c:v>
                </c:pt>
                <c:pt idx="19">
                  <c:v>0.44230769230769229</c:v>
                </c:pt>
                <c:pt idx="20">
                  <c:v>0.44067796610169491</c:v>
                </c:pt>
                <c:pt idx="21">
                  <c:v>0.41269841269841268</c:v>
                </c:pt>
                <c:pt idx="22">
                  <c:v>0.421875</c:v>
                </c:pt>
                <c:pt idx="23">
                  <c:v>0.41538461538461541</c:v>
                </c:pt>
                <c:pt idx="24">
                  <c:v>0.42424242424242425</c:v>
                </c:pt>
                <c:pt idx="25">
                  <c:v>0.41176470588235292</c:v>
                </c:pt>
                <c:pt idx="26">
                  <c:v>0.41428571428571431</c:v>
                </c:pt>
                <c:pt idx="27">
                  <c:v>0.40259740259740262</c:v>
                </c:pt>
                <c:pt idx="28">
                  <c:v>0.39743589743589741</c:v>
                </c:pt>
                <c:pt idx="29">
                  <c:v>0.40963855421686746</c:v>
                </c:pt>
                <c:pt idx="30">
                  <c:v>0.42045454545454547</c:v>
                </c:pt>
                <c:pt idx="31">
                  <c:v>0.4157303370786517</c:v>
                </c:pt>
                <c:pt idx="32">
                  <c:v>0.4157303370786517</c:v>
                </c:pt>
                <c:pt idx="33">
                  <c:v>0.41111111111111109</c:v>
                </c:pt>
                <c:pt idx="34">
                  <c:v>0.41304347826086957</c:v>
                </c:pt>
                <c:pt idx="35">
                  <c:v>0.42553191489361702</c:v>
                </c:pt>
                <c:pt idx="36">
                  <c:v>0.42105263157894735</c:v>
                </c:pt>
                <c:pt idx="37">
                  <c:v>0.42105263157894735</c:v>
                </c:pt>
                <c:pt idx="38">
                  <c:v>0.41836734693877553</c:v>
                </c:pt>
                <c:pt idx="39">
                  <c:v>0.42</c:v>
                </c:pt>
                <c:pt idx="40">
                  <c:v>0.41747572815533979</c:v>
                </c:pt>
                <c:pt idx="41">
                  <c:v>0.41346153846153844</c:v>
                </c:pt>
                <c:pt idx="42">
                  <c:v>0.41818181818181815</c:v>
                </c:pt>
                <c:pt idx="43">
                  <c:v>0.4107142857142857</c:v>
                </c:pt>
                <c:pt idx="44">
                  <c:v>0.41592920353982299</c:v>
                </c:pt>
                <c:pt idx="45">
                  <c:v>0.42608695652173911</c:v>
                </c:pt>
                <c:pt idx="46">
                  <c:v>0.42499999999999999</c:v>
                </c:pt>
                <c:pt idx="47">
                  <c:v>0.42399999999999999</c:v>
                </c:pt>
                <c:pt idx="48">
                  <c:v>0.4296875</c:v>
                </c:pt>
                <c:pt idx="49">
                  <c:v>0.43181818181818182</c:v>
                </c:pt>
                <c:pt idx="50">
                  <c:v>0.43181818181818182</c:v>
                </c:pt>
                <c:pt idx="51">
                  <c:v>0.43703703703703706</c:v>
                </c:pt>
                <c:pt idx="52">
                  <c:v>0.43065693430656932</c:v>
                </c:pt>
                <c:pt idx="53">
                  <c:v>0.43065693430656932</c:v>
                </c:pt>
                <c:pt idx="54">
                  <c:v>0.43571428571428572</c:v>
                </c:pt>
                <c:pt idx="55">
                  <c:v>0.44055944055944057</c:v>
                </c:pt>
                <c:pt idx="56">
                  <c:v>0.44055944055944057</c:v>
                </c:pt>
                <c:pt idx="57">
                  <c:v>0.44444444444444442</c:v>
                </c:pt>
                <c:pt idx="58">
                  <c:v>0.43835616438356162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0.44230769230769229</c:v>
                </c:pt>
                <c:pt idx="62">
                  <c:v>0.44303797468354428</c:v>
                </c:pt>
                <c:pt idx="63">
                  <c:v>0.44099378881987578</c:v>
                </c:pt>
                <c:pt idx="64">
                  <c:v>0.43827160493827161</c:v>
                </c:pt>
                <c:pt idx="65">
                  <c:v>0.43902439024390244</c:v>
                </c:pt>
                <c:pt idx="66">
                  <c:v>0.43452380952380953</c:v>
                </c:pt>
                <c:pt idx="67">
                  <c:v>0.43352601156069365</c:v>
                </c:pt>
                <c:pt idx="68">
                  <c:v>0.43352601156069365</c:v>
                </c:pt>
                <c:pt idx="69">
                  <c:v>0.43103448275862066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1947069943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たかの2!$Q$1:$Q$2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たかの2!$A$3:$A$72</c:f>
              <c:numCache>
                <c:formatCode>0\ "回"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たかの2!$Q$3:$Q$72</c:f>
              <c:numCache>
                <c:formatCode>0.0%</c:formatCode>
                <c:ptCount val="70"/>
                <c:pt idx="1">
                  <c:v>0</c:v>
                </c:pt>
                <c:pt idx="2">
                  <c:v>0.5</c:v>
                </c:pt>
                <c:pt idx="3">
                  <c:v>0.4</c:v>
                </c:pt>
                <c:pt idx="4">
                  <c:v>0.5</c:v>
                </c:pt>
                <c:pt idx="5">
                  <c:v>0.45454545454545453</c:v>
                </c:pt>
                <c:pt idx="6">
                  <c:v>0.42857142857142855</c:v>
                </c:pt>
                <c:pt idx="7">
                  <c:v>0.35294117647058826</c:v>
                </c:pt>
                <c:pt idx="8">
                  <c:v>0.35294117647058826</c:v>
                </c:pt>
                <c:pt idx="9">
                  <c:v>0.38095238095238093</c:v>
                </c:pt>
                <c:pt idx="10">
                  <c:v>0.40740740740740738</c:v>
                </c:pt>
                <c:pt idx="11">
                  <c:v>0.36363636363636365</c:v>
                </c:pt>
                <c:pt idx="12">
                  <c:v>0.3611111111111111</c:v>
                </c:pt>
                <c:pt idx="13">
                  <c:v>0.36842105263157893</c:v>
                </c:pt>
                <c:pt idx="14">
                  <c:v>0.35897435897435898</c:v>
                </c:pt>
                <c:pt idx="15">
                  <c:v>0.35897435897435898</c:v>
                </c:pt>
                <c:pt idx="16">
                  <c:v>0.35</c:v>
                </c:pt>
                <c:pt idx="17">
                  <c:v>0.34883720930232559</c:v>
                </c:pt>
                <c:pt idx="18">
                  <c:v>0.34042553191489361</c:v>
                </c:pt>
                <c:pt idx="19">
                  <c:v>0.37254901960784315</c:v>
                </c:pt>
                <c:pt idx="20">
                  <c:v>0.37931034482758619</c:v>
                </c:pt>
                <c:pt idx="21">
                  <c:v>0.39344262295081966</c:v>
                </c:pt>
                <c:pt idx="22">
                  <c:v>0.41269841269841268</c:v>
                </c:pt>
                <c:pt idx="23">
                  <c:v>0.41269841269841268</c:v>
                </c:pt>
                <c:pt idx="24">
                  <c:v>0.40298507462686567</c:v>
                </c:pt>
                <c:pt idx="25">
                  <c:v>0.40845070422535212</c:v>
                </c:pt>
                <c:pt idx="26">
                  <c:v>0.41891891891891891</c:v>
                </c:pt>
                <c:pt idx="27">
                  <c:v>0.42105263157894735</c:v>
                </c:pt>
                <c:pt idx="28">
                  <c:v>0.41249999999999998</c:v>
                </c:pt>
                <c:pt idx="29">
                  <c:v>0.40697674418604651</c:v>
                </c:pt>
                <c:pt idx="30">
                  <c:v>0.4044943820224719</c:v>
                </c:pt>
                <c:pt idx="31">
                  <c:v>0.41304347826086957</c:v>
                </c:pt>
                <c:pt idx="32">
                  <c:v>0.40625</c:v>
                </c:pt>
                <c:pt idx="33">
                  <c:v>0.41836734693877553</c:v>
                </c:pt>
                <c:pt idx="34">
                  <c:v>0.43</c:v>
                </c:pt>
                <c:pt idx="35">
                  <c:v>0.44230769230769229</c:v>
                </c:pt>
                <c:pt idx="36">
                  <c:v>0.43925233644859812</c:v>
                </c:pt>
                <c:pt idx="37">
                  <c:v>0.42342342342342343</c:v>
                </c:pt>
                <c:pt idx="38">
                  <c:v>0.42735042735042733</c:v>
                </c:pt>
                <c:pt idx="39">
                  <c:v>0.42148760330578511</c:v>
                </c:pt>
                <c:pt idx="40">
                  <c:v>0.41599999999999998</c:v>
                </c:pt>
                <c:pt idx="41">
                  <c:v>0.41860465116279072</c:v>
                </c:pt>
                <c:pt idx="42">
                  <c:v>0.42962962962962964</c:v>
                </c:pt>
                <c:pt idx="43">
                  <c:v>0.43795620437956206</c:v>
                </c:pt>
                <c:pt idx="44">
                  <c:v>0.43571428571428572</c:v>
                </c:pt>
                <c:pt idx="45">
                  <c:v>0.43356643356643354</c:v>
                </c:pt>
                <c:pt idx="46">
                  <c:v>0.43243243243243246</c:v>
                </c:pt>
                <c:pt idx="47">
                  <c:v>0.42666666666666669</c:v>
                </c:pt>
                <c:pt idx="48">
                  <c:v>0.42307692307692307</c:v>
                </c:pt>
                <c:pt idx="49">
                  <c:v>0.43125000000000002</c:v>
                </c:pt>
                <c:pt idx="50">
                  <c:v>0.42857142857142855</c:v>
                </c:pt>
                <c:pt idx="51">
                  <c:v>0.42424242424242425</c:v>
                </c:pt>
                <c:pt idx="52">
                  <c:v>0.42261904761904762</c:v>
                </c:pt>
                <c:pt idx="53">
                  <c:v>0.42011834319526625</c:v>
                </c:pt>
                <c:pt idx="54">
                  <c:v>0.42045454545454547</c:v>
                </c:pt>
                <c:pt idx="55">
                  <c:v>0.42134831460674155</c:v>
                </c:pt>
                <c:pt idx="56">
                  <c:v>0.42458100558659218</c:v>
                </c:pt>
                <c:pt idx="57">
                  <c:v>0.42222222222222222</c:v>
                </c:pt>
                <c:pt idx="58">
                  <c:v>0.41847826086956524</c:v>
                </c:pt>
                <c:pt idx="59">
                  <c:v>0.42021276595744683</c:v>
                </c:pt>
                <c:pt idx="60">
                  <c:v>0.42105263157894735</c:v>
                </c:pt>
                <c:pt idx="61">
                  <c:v>0.41884816753926701</c:v>
                </c:pt>
                <c:pt idx="62">
                  <c:v>0.421875</c:v>
                </c:pt>
                <c:pt idx="63">
                  <c:v>0.42346938775510207</c:v>
                </c:pt>
                <c:pt idx="64">
                  <c:v>0.42211055276381909</c:v>
                </c:pt>
                <c:pt idx="65">
                  <c:v>0.43069306930693069</c:v>
                </c:pt>
                <c:pt idx="66">
                  <c:v>0.4264705882352941</c:v>
                </c:pt>
                <c:pt idx="67">
                  <c:v>0.42028985507246375</c:v>
                </c:pt>
                <c:pt idx="68">
                  <c:v>0.42028985507246375</c:v>
                </c:pt>
                <c:pt idx="69">
                  <c:v>0.41904761904761906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982917214191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8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43613.63894675926</v>
      </c>
      <c r="C52" s="30" t="s">
        <v>130</v>
      </c>
    </row>
    <row r="53" spans="1:7" x14ac:dyDescent="0.4">
      <c r="A53" s="30" t="s">
        <v>241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242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243</v>
      </c>
      <c r="B55" s="31">
        <v>43618.036354166667</v>
      </c>
      <c r="C55" s="30" t="s">
        <v>130</v>
      </c>
    </row>
    <row r="56" spans="1:7" x14ac:dyDescent="0.4">
      <c r="A56" s="30" t="s">
        <v>244</v>
      </c>
      <c r="B56" s="31">
        <v>43619.976898148147</v>
      </c>
      <c r="C56" s="30" t="s">
        <v>130</v>
      </c>
    </row>
    <row r="57" spans="1:7" x14ac:dyDescent="0.4">
      <c r="A57" s="30" t="s">
        <v>245</v>
      </c>
      <c r="B57" s="31">
        <v>43620.019814814812</v>
      </c>
      <c r="C57" s="30" t="s">
        <v>130</v>
      </c>
    </row>
    <row r="58" spans="1:7" x14ac:dyDescent="0.4">
      <c r="A58" s="30" t="s">
        <v>246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609</v>
      </c>
    </row>
    <row r="2" spans="1:2" x14ac:dyDescent="0.4">
      <c r="A2" t="s">
        <v>127</v>
      </c>
      <c r="B2">
        <v>138</v>
      </c>
    </row>
    <row r="3" spans="1:2" x14ac:dyDescent="0.4">
      <c r="A3" t="s">
        <v>128</v>
      </c>
      <c r="B3">
        <v>117</v>
      </c>
    </row>
    <row r="4" spans="1:2" x14ac:dyDescent="0.4">
      <c r="A4" t="s">
        <v>129</v>
      </c>
      <c r="B4">
        <v>78</v>
      </c>
    </row>
    <row r="5" spans="1:2" x14ac:dyDescent="0.4">
      <c r="A5" t="s">
        <v>171</v>
      </c>
      <c r="B5">
        <v>85</v>
      </c>
    </row>
    <row r="6" spans="1:2" x14ac:dyDescent="0.4">
      <c r="A6" t="s">
        <v>172</v>
      </c>
      <c r="B6">
        <v>69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51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0.96779973912752137</v>
      </c>
      <c r="G2" s="155"/>
      <c r="H2" s="154">
        <v>0.71077677876077283</v>
      </c>
      <c r="I2" s="155"/>
      <c r="J2" s="154">
        <v>0.93398711396257839</v>
      </c>
      <c r="K2" s="155"/>
      <c r="L2" s="154">
        <v>0.74914015973745862</v>
      </c>
      <c r="M2" s="155"/>
      <c r="N2" s="154">
        <v>0.63323225624000268</v>
      </c>
      <c r="O2" s="155"/>
      <c r="P2" s="154">
        <v>0.30444910754433724</v>
      </c>
      <c r="Q2" s="155"/>
      <c r="R2" s="154">
        <v>0.3171165181426297</v>
      </c>
      <c r="S2" s="155"/>
      <c r="T2" s="154">
        <v>0.48123868032008615</v>
      </c>
      <c r="U2" s="155"/>
      <c r="V2" s="154">
        <v>0.71576095807785889</v>
      </c>
      <c r="W2" s="155"/>
      <c r="X2" s="154">
        <v>0.43943512878607566</v>
      </c>
      <c r="Y2" s="155"/>
      <c r="Z2" s="154">
        <v>0.26416629196453173</v>
      </c>
      <c r="AA2" s="155"/>
      <c r="AB2" s="154">
        <v>2.9297938367988732E-2</v>
      </c>
      <c r="AC2" s="155"/>
      <c r="AD2" s="154">
        <v>0.7288729708576247</v>
      </c>
      <c r="AE2" s="155"/>
      <c r="AF2" s="154">
        <v>-0.66040611005483318</v>
      </c>
      <c r="AG2" s="155"/>
      <c r="AH2" s="154">
        <v>0.63993448956442422</v>
      </c>
      <c r="AI2" s="155"/>
    </row>
    <row r="3" spans="1:35" x14ac:dyDescent="0.4">
      <c r="A3" s="74">
        <v>1</v>
      </c>
      <c r="B3" s="75" t="s">
        <v>127</v>
      </c>
      <c r="C3" s="76">
        <v>1633.8000000000009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0.35175879396984927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0.17391304347826086</v>
      </c>
      <c r="X3" s="77" t="s">
        <v>127</v>
      </c>
      <c r="Y3" s="80">
        <v>0.32146037399821903</v>
      </c>
      <c r="Z3" s="77" t="s">
        <v>172</v>
      </c>
      <c r="AA3" s="80">
        <v>0.29145728643216079</v>
      </c>
      <c r="AB3" s="77" t="s">
        <v>225</v>
      </c>
      <c r="AC3" s="80">
        <v>1</v>
      </c>
      <c r="AD3" s="77" t="s">
        <v>127</v>
      </c>
      <c r="AE3" s="80">
        <v>0.50813008130081305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213.10000000000002</v>
      </c>
      <c r="D4" s="85" t="s">
        <v>224</v>
      </c>
      <c r="E4" s="97">
        <v>13.3</v>
      </c>
      <c r="F4" s="85" t="s">
        <v>127</v>
      </c>
      <c r="G4" s="86">
        <v>1.7536231884057971</v>
      </c>
      <c r="H4" s="85" t="s">
        <v>127</v>
      </c>
      <c r="I4" s="87">
        <v>0.48550724637681159</v>
      </c>
      <c r="J4" s="85" t="s">
        <v>224</v>
      </c>
      <c r="K4" s="87">
        <v>0</v>
      </c>
      <c r="L4" s="85" t="s">
        <v>127</v>
      </c>
      <c r="M4" s="88">
        <v>0.34550311665182548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0.14117647058823529</v>
      </c>
      <c r="X4" s="85" t="s">
        <v>128</v>
      </c>
      <c r="Y4" s="88">
        <v>0.30051813471502592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11.839130434782614</v>
      </c>
      <c r="F5" s="85" t="s">
        <v>177</v>
      </c>
      <c r="G5" s="86">
        <v>1.9607843137254901</v>
      </c>
      <c r="H5" s="85" t="s">
        <v>177</v>
      </c>
      <c r="I5" s="87">
        <v>0.37254901960784315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0.13400335008375208</v>
      </c>
      <c r="P5" s="85" t="s">
        <v>171</v>
      </c>
      <c r="Q5" s="89">
        <v>10064.039408866995</v>
      </c>
      <c r="R5" s="85" t="s">
        <v>128</v>
      </c>
      <c r="S5" s="89">
        <v>-7742.6829268292686</v>
      </c>
      <c r="T5" s="85" t="s">
        <v>224</v>
      </c>
      <c r="U5" s="87">
        <v>0</v>
      </c>
      <c r="V5" s="85" t="s">
        <v>145</v>
      </c>
      <c r="W5" s="87">
        <v>0.11494252873563218</v>
      </c>
      <c r="X5" s="85" t="s">
        <v>171</v>
      </c>
      <c r="Y5" s="88">
        <v>0.2923728813559322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186</v>
      </c>
      <c r="AE5" s="88">
        <v>0.44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20.999999999999993</v>
      </c>
      <c r="D6" s="85" t="s">
        <v>171</v>
      </c>
      <c r="E6" s="97">
        <v>2.507058823529412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0.2391304347826087</v>
      </c>
      <c r="L6" s="85" t="s">
        <v>145</v>
      </c>
      <c r="M6" s="88">
        <v>0.29984239558707643</v>
      </c>
      <c r="N6" s="85" t="s">
        <v>177</v>
      </c>
      <c r="O6" s="88">
        <v>0.16144578313253011</v>
      </c>
      <c r="P6" s="85" t="s">
        <v>128</v>
      </c>
      <c r="Q6" s="89">
        <v>9302.6615969581744</v>
      </c>
      <c r="R6" s="85" t="s">
        <v>173</v>
      </c>
      <c r="S6" s="89">
        <v>-7866.1971830985913</v>
      </c>
      <c r="T6" s="85" t="s">
        <v>225</v>
      </c>
      <c r="U6" s="87">
        <v>0</v>
      </c>
      <c r="V6" s="85" t="s">
        <v>129</v>
      </c>
      <c r="W6" s="87">
        <v>0.10256410256410256</v>
      </c>
      <c r="X6" s="85" t="s">
        <v>129</v>
      </c>
      <c r="Y6" s="88">
        <v>0.28153846153846152</v>
      </c>
      <c r="Z6" s="85" t="s">
        <v>225</v>
      </c>
      <c r="AA6" s="88">
        <v>0.23529411764705882</v>
      </c>
      <c r="AB6" s="85" t="s">
        <v>177</v>
      </c>
      <c r="AC6" s="88">
        <v>0.66363636363636369</v>
      </c>
      <c r="AD6" s="85" t="s">
        <v>172</v>
      </c>
      <c r="AE6" s="88">
        <v>0.43103448275862066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0.41176470588235281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0.30434782608695654</v>
      </c>
      <c r="L7" s="85" t="s">
        <v>177</v>
      </c>
      <c r="M7" s="88">
        <v>0.29879518072289157</v>
      </c>
      <c r="N7" s="85" t="s">
        <v>127</v>
      </c>
      <c r="O7" s="88">
        <v>0.16206589492430989</v>
      </c>
      <c r="P7" s="85" t="s">
        <v>127</v>
      </c>
      <c r="Q7" s="89">
        <v>9176.8041237113393</v>
      </c>
      <c r="R7" s="85" t="s">
        <v>177</v>
      </c>
      <c r="S7" s="89">
        <v>-7931.3432835820895</v>
      </c>
      <c r="T7" s="85" t="s">
        <v>172</v>
      </c>
      <c r="U7" s="87">
        <v>4.3478260869565216E-2</v>
      </c>
      <c r="V7" s="85" t="s">
        <v>172</v>
      </c>
      <c r="W7" s="87">
        <v>0.10144927536231885</v>
      </c>
      <c r="X7" s="85" t="s">
        <v>145</v>
      </c>
      <c r="Y7" s="88">
        <v>0.28053585500394013</v>
      </c>
      <c r="Z7" s="85" t="s">
        <v>127</v>
      </c>
      <c r="AA7" s="88">
        <v>0.21905609973285842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-2.1316282072803006E-14</v>
      </c>
      <c r="D8" s="85" t="s">
        <v>145</v>
      </c>
      <c r="E8" s="97">
        <v>-3.5002105209857152E-17</v>
      </c>
      <c r="F8" s="85" t="s">
        <v>224</v>
      </c>
      <c r="G8" s="86">
        <v>2</v>
      </c>
      <c r="H8" s="85" t="s">
        <v>171</v>
      </c>
      <c r="I8" s="87">
        <v>0.31764705882352939</v>
      </c>
      <c r="J8" s="85" t="s">
        <v>171</v>
      </c>
      <c r="K8" s="87">
        <v>0.32941176470588235</v>
      </c>
      <c r="L8" s="85" t="s">
        <v>173</v>
      </c>
      <c r="M8" s="88">
        <v>0.29842931937172773</v>
      </c>
      <c r="N8" s="85" t="s">
        <v>145</v>
      </c>
      <c r="O8" s="88">
        <v>0.16804570527974783</v>
      </c>
      <c r="P8" s="85" t="s">
        <v>129</v>
      </c>
      <c r="Q8" s="89">
        <v>8882.3529411764703</v>
      </c>
      <c r="R8" s="85" t="s">
        <v>186</v>
      </c>
      <c r="S8" s="89">
        <v>-8107.6923076923076</v>
      </c>
      <c r="T8" s="85" t="s">
        <v>171</v>
      </c>
      <c r="U8" s="87">
        <v>8.2352941176470587E-2</v>
      </c>
      <c r="V8" s="85" t="s">
        <v>177</v>
      </c>
      <c r="W8" s="87">
        <v>9.8039215686274508E-2</v>
      </c>
      <c r="X8" s="85" t="s">
        <v>177</v>
      </c>
      <c r="Y8" s="88">
        <v>0.26506024096385544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0.41791044776119401</v>
      </c>
      <c r="AF8" s="85" t="s">
        <v>129</v>
      </c>
      <c r="AG8" s="88">
        <v>0.45751633986928103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-7.6000000000000298</v>
      </c>
      <c r="D9" s="85" t="s">
        <v>172</v>
      </c>
      <c r="E9" s="97">
        <v>-0.11014492753623231</v>
      </c>
      <c r="F9" s="85" t="s">
        <v>171</v>
      </c>
      <c r="G9" s="86">
        <v>2.0117647058823529</v>
      </c>
      <c r="H9" s="85" t="s">
        <v>173</v>
      </c>
      <c r="I9" s="87">
        <v>0.29545454545454547</v>
      </c>
      <c r="J9" s="85" t="s">
        <v>177</v>
      </c>
      <c r="K9" s="87">
        <v>0.33333333333333331</v>
      </c>
      <c r="L9" s="85" t="s">
        <v>225</v>
      </c>
      <c r="M9" s="88">
        <v>0.29411764705882354</v>
      </c>
      <c r="N9" s="85" t="s">
        <v>171</v>
      </c>
      <c r="O9" s="88">
        <v>0.16949152542372881</v>
      </c>
      <c r="P9" s="85" t="s">
        <v>145</v>
      </c>
      <c r="Q9" s="89">
        <v>8670.3022339027593</v>
      </c>
      <c r="R9" s="85" t="s">
        <v>127</v>
      </c>
      <c r="S9" s="89">
        <v>-8232.9670329670334</v>
      </c>
      <c r="T9" s="85" t="s">
        <v>127</v>
      </c>
      <c r="U9" s="87">
        <v>0.10869565217391304</v>
      </c>
      <c r="V9" s="85" t="s">
        <v>128</v>
      </c>
      <c r="W9" s="87">
        <v>9.4017094017094016E-2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0.58275862068965523</v>
      </c>
      <c r="AD9" s="85" t="s">
        <v>145</v>
      </c>
      <c r="AE9" s="88">
        <v>0.3931947069943289</v>
      </c>
      <c r="AF9" s="85" t="s">
        <v>177</v>
      </c>
      <c r="AG9" s="88">
        <v>0.43548387096774194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-2.6786324786324789</v>
      </c>
      <c r="F10" s="85" t="s">
        <v>172</v>
      </c>
      <c r="G10" s="86">
        <v>2.0289855072463769</v>
      </c>
      <c r="H10" s="85" t="s">
        <v>172</v>
      </c>
      <c r="I10" s="87">
        <v>0.27536231884057971</v>
      </c>
      <c r="J10" s="85" t="s">
        <v>145</v>
      </c>
      <c r="K10" s="87">
        <v>0.33333333333333331</v>
      </c>
      <c r="L10" s="85" t="s">
        <v>186</v>
      </c>
      <c r="M10" s="88">
        <v>0.28813559322033899</v>
      </c>
      <c r="N10" s="85" t="s">
        <v>128</v>
      </c>
      <c r="O10" s="88">
        <v>0.16994818652849741</v>
      </c>
      <c r="P10" s="85" t="s">
        <v>177</v>
      </c>
      <c r="Q10" s="89">
        <v>8587.0967741935492</v>
      </c>
      <c r="R10" s="85" t="s">
        <v>171</v>
      </c>
      <c r="S10" s="89">
        <v>-8291.6666666666661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145</v>
      </c>
      <c r="AA10" s="88">
        <v>0.20843183609141056</v>
      </c>
      <c r="AB10" s="85" t="s">
        <v>145</v>
      </c>
      <c r="AC10" s="88">
        <v>0.5800561797752809</v>
      </c>
      <c r="AD10" s="85" t="s">
        <v>177</v>
      </c>
      <c r="AE10" s="88">
        <v>0.37179487179487181</v>
      </c>
      <c r="AF10" s="85" t="s">
        <v>145</v>
      </c>
      <c r="AG10" s="88">
        <v>0.43298291721419185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0.26495726495726496</v>
      </c>
      <c r="J11" s="85" t="s">
        <v>128</v>
      </c>
      <c r="K11" s="87">
        <v>0.34188034188034189</v>
      </c>
      <c r="L11" s="85" t="s">
        <v>171</v>
      </c>
      <c r="M11" s="88">
        <v>0.2867231638418079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145</v>
      </c>
      <c r="S11" s="89">
        <v>-8300.9378663540447</v>
      </c>
      <c r="T11" s="85" t="s">
        <v>145</v>
      </c>
      <c r="U11" s="87">
        <v>0.11494252873563218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0.18926553672316385</v>
      </c>
      <c r="AB11" s="85" t="s">
        <v>127</v>
      </c>
      <c r="AC11" s="88">
        <v>0.57617728531855961</v>
      </c>
      <c r="AD11" s="85" t="s">
        <v>173</v>
      </c>
      <c r="AE11" s="88">
        <v>0.33673469387755101</v>
      </c>
      <c r="AF11" s="85" t="s">
        <v>128</v>
      </c>
      <c r="AG11" s="88">
        <v>0.4220532319391635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2.0769230769230771</v>
      </c>
      <c r="H12" s="85" t="s">
        <v>129</v>
      </c>
      <c r="I12" s="87">
        <v>0.24358974358974358</v>
      </c>
      <c r="J12" s="85" t="s">
        <v>173</v>
      </c>
      <c r="K12" s="87">
        <v>0.36363636363636365</v>
      </c>
      <c r="L12" s="85" t="s">
        <v>128</v>
      </c>
      <c r="M12" s="88">
        <v>0.27253886010362693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-8927.5</v>
      </c>
      <c r="T12" s="85" t="s">
        <v>128</v>
      </c>
      <c r="U12" s="87">
        <v>0.12820512820512819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0.18795180722891566</v>
      </c>
      <c r="AB12" s="85" t="s">
        <v>171</v>
      </c>
      <c r="AC12" s="88">
        <v>0.5748792270531401</v>
      </c>
      <c r="AD12" s="85" t="s">
        <v>128</v>
      </c>
      <c r="AE12" s="88">
        <v>0.2988505747126437</v>
      </c>
      <c r="AF12" s="85" t="s">
        <v>172</v>
      </c>
      <c r="AG12" s="88">
        <v>0.41904761904761906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129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0.19076923076923077</v>
      </c>
      <c r="P13" s="85" t="s">
        <v>202</v>
      </c>
      <c r="Q13" s="89">
        <v>7438.0952380952385</v>
      </c>
      <c r="R13" s="85" t="s">
        <v>129</v>
      </c>
      <c r="S13" s="89">
        <v>-9277.4193548387102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0.18031088082901556</v>
      </c>
      <c r="AB13" s="85" t="s">
        <v>172</v>
      </c>
      <c r="AC13" s="88">
        <v>0.55813953488372092</v>
      </c>
      <c r="AD13" s="85" t="s">
        <v>225</v>
      </c>
      <c r="AE13" s="88">
        <v>0.25</v>
      </c>
      <c r="AF13" s="85" t="s">
        <v>127</v>
      </c>
      <c r="AG13" s="88">
        <v>0.41237113402061853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-313.40000000000003</v>
      </c>
      <c r="D14" s="85" t="s">
        <v>225</v>
      </c>
      <c r="E14" s="97">
        <v>-12.35</v>
      </c>
      <c r="F14" s="85" t="s">
        <v>129</v>
      </c>
      <c r="G14" s="86">
        <v>2.2564102564102564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0.23538461538461539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0.17647058823529413</v>
      </c>
      <c r="V14" s="85" t="s">
        <v>224</v>
      </c>
      <c r="W14" s="87">
        <v>0</v>
      </c>
      <c r="X14" s="85" t="s">
        <v>172</v>
      </c>
      <c r="Y14" s="88">
        <v>0.21608040201005024</v>
      </c>
      <c r="Z14" s="85" t="s">
        <v>129</v>
      </c>
      <c r="AA14" s="88">
        <v>0.15538461538461537</v>
      </c>
      <c r="AB14" s="85" t="s">
        <v>129</v>
      </c>
      <c r="AC14" s="88">
        <v>0.51912568306010931</v>
      </c>
      <c r="AD14" s="85" t="s">
        <v>129</v>
      </c>
      <c r="AE14" s="88">
        <v>0.23762376237623761</v>
      </c>
      <c r="AF14" s="85" t="s">
        <v>171</v>
      </c>
      <c r="AG14" s="88">
        <v>0.40886699507389163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-1169.8999999999999</v>
      </c>
      <c r="D15" s="85" t="s">
        <v>129</v>
      </c>
      <c r="E15" s="97">
        <v>-14.998717948717948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225</v>
      </c>
      <c r="K15" s="87">
        <v>0.5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6635.7142857142853</v>
      </c>
      <c r="R15" s="85" t="s">
        <v>225</v>
      </c>
      <c r="S15" s="89">
        <v>-12425</v>
      </c>
      <c r="T15" s="85" t="s">
        <v>129</v>
      </c>
      <c r="U15" s="87">
        <v>0.17948717948717949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CDDD-2825-4E2E-9174-5041161ECB7E}">
  <sheetPr codeName="Sheet4"/>
  <dimension ref="A1:Q61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609</v>
      </c>
      <c r="C2" s="147"/>
      <c r="E2" s="62" t="s">
        <v>67</v>
      </c>
      <c r="F2" s="59" t="s">
        <v>23</v>
      </c>
      <c r="G2" s="46">
        <v>1130</v>
      </c>
      <c r="H2" s="132">
        <f>IF(B$17=0,0,G2/B$17)</f>
        <v>0.74244415243101181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-13.136288998357964</v>
      </c>
      <c r="P2" s="118">
        <v>609</v>
      </c>
      <c r="Q2" s="102">
        <v>-8000</v>
      </c>
    </row>
    <row r="3" spans="1:17" x14ac:dyDescent="0.4">
      <c r="A3" s="55" t="s">
        <v>8</v>
      </c>
      <c r="B3" s="148">
        <v>5076</v>
      </c>
      <c r="C3" s="149"/>
      <c r="E3" s="63" t="s">
        <v>65</v>
      </c>
      <c r="F3" s="60" t="s">
        <v>21</v>
      </c>
      <c r="G3" s="47">
        <v>787</v>
      </c>
      <c r="H3" s="133">
        <f>IF(B$17=0,0,G3/B$17)</f>
        <v>0.51708278580814715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-10.1010101010101</v>
      </c>
      <c r="P3" s="119">
        <v>594</v>
      </c>
      <c r="Q3" s="103">
        <v>-6000</v>
      </c>
    </row>
    <row r="4" spans="1:17" x14ac:dyDescent="0.4">
      <c r="A4" s="55" t="s">
        <v>6</v>
      </c>
      <c r="B4" s="150">
        <v>-2.1316282072803006E-14</v>
      </c>
      <c r="C4" s="151"/>
      <c r="E4" s="63" t="s">
        <v>73</v>
      </c>
      <c r="F4" s="60" t="s">
        <v>28</v>
      </c>
      <c r="G4" s="47">
        <v>767</v>
      </c>
      <c r="H4" s="133">
        <f>IF(B$17=0,0,G4/B$17)</f>
        <v>0.50394218134034163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8.9126559714795004</v>
      </c>
      <c r="P4" s="119">
        <v>561</v>
      </c>
      <c r="Q4" s="103">
        <v>5000</v>
      </c>
    </row>
    <row r="5" spans="1:17" x14ac:dyDescent="0.4">
      <c r="A5" s="55" t="s">
        <v>7</v>
      </c>
      <c r="B5" s="152">
        <f>IF(B$2=0,0,B$4/B$2)</f>
        <v>-3.5002105209857152E-17</v>
      </c>
      <c r="C5" s="153"/>
      <c r="E5" s="63" t="s">
        <v>181</v>
      </c>
      <c r="F5" s="60" t="s">
        <v>182</v>
      </c>
      <c r="G5" s="47">
        <v>628</v>
      </c>
      <c r="H5" s="133">
        <f>IF(B$17=0,0,G5/B$17)</f>
        <v>0.41261498028909332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11.695906432748538</v>
      </c>
      <c r="P5" s="119">
        <v>513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477</v>
      </c>
      <c r="H6" s="133">
        <f>IF(B$17=0,0,G6/B$17)</f>
        <v>0.31340341655716164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-15.151515151515152</v>
      </c>
      <c r="P6" s="119">
        <v>462</v>
      </c>
      <c r="Q6" s="103">
        <v>-7000</v>
      </c>
    </row>
    <row r="7" spans="1:17" x14ac:dyDescent="0.4">
      <c r="A7" s="55" t="s">
        <v>2</v>
      </c>
      <c r="B7" s="47">
        <v>203</v>
      </c>
      <c r="C7" s="39">
        <f>IF(B$2=0,0,B7/B$2)</f>
        <v>0.33333333333333331</v>
      </c>
      <c r="E7" s="63" t="s">
        <v>68</v>
      </c>
      <c r="F7" s="60" t="s">
        <v>24</v>
      </c>
      <c r="G7" s="47">
        <v>470</v>
      </c>
      <c r="H7" s="133">
        <f>IF(B$17=0,0,G7/B$17)</f>
        <v>0.3088042049934297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24.154589371980677</v>
      </c>
      <c r="P7" s="120">
        <v>414</v>
      </c>
      <c r="Q7" s="104">
        <v>10000</v>
      </c>
    </row>
    <row r="8" spans="1:17" x14ac:dyDescent="0.4">
      <c r="A8" s="55" t="s">
        <v>3</v>
      </c>
      <c r="B8" s="47">
        <v>203</v>
      </c>
      <c r="C8" s="39">
        <f>IF(B$2=0,0,B8/B$2)</f>
        <v>0.33333333333333331</v>
      </c>
      <c r="E8" s="63" t="s">
        <v>70</v>
      </c>
      <c r="F8" s="60" t="s">
        <v>25</v>
      </c>
      <c r="G8" s="47">
        <v>271</v>
      </c>
      <c r="H8" s="133">
        <f>IF(B$17=0,0,G8/B$17)</f>
        <v>0.17805519053876478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203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190</v>
      </c>
      <c r="H9" s="133">
        <f>IF(B$17=0,0,G9/B$17)</f>
        <v>0.12483574244415244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70</v>
      </c>
      <c r="C10" s="40">
        <f>IF(B$2=0,0,B10/B$2)</f>
        <v>0.11494252873563218</v>
      </c>
      <c r="E10" s="63" t="s">
        <v>66</v>
      </c>
      <c r="F10" s="60" t="s">
        <v>22</v>
      </c>
      <c r="G10" s="47">
        <v>186</v>
      </c>
      <c r="H10" s="133">
        <f>IF(B$17=0,0,G10/B$17)</f>
        <v>0.12220762155059132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-2.2748768472906402</v>
      </c>
      <c r="P10" s="118">
        <v>203</v>
      </c>
      <c r="Q10" s="106">
        <v>-461.79999999999995</v>
      </c>
    </row>
    <row r="11" spans="1:17" x14ac:dyDescent="0.4">
      <c r="A11" s="56" t="s">
        <v>140</v>
      </c>
      <c r="B11" s="48">
        <v>70</v>
      </c>
      <c r="C11" s="40">
        <f>IF(B$2=0,0,B11/B$2)</f>
        <v>0.11494252873563218</v>
      </c>
      <c r="E11" s="63" t="s">
        <v>71</v>
      </c>
      <c r="F11" s="60" t="s">
        <v>26</v>
      </c>
      <c r="G11" s="47">
        <v>149</v>
      </c>
      <c r="H11" s="133">
        <f>IF(B$17=0,0,G11/B$17)</f>
        <v>9.7897503285151122E-2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-0.21330049261083756</v>
      </c>
      <c r="P11" s="119">
        <v>203</v>
      </c>
      <c r="Q11" s="107">
        <v>-43.300000000000026</v>
      </c>
    </row>
    <row r="12" spans="1:17" x14ac:dyDescent="0.4">
      <c r="A12" s="57" t="s">
        <v>160</v>
      </c>
      <c r="B12" s="49">
        <v>52</v>
      </c>
      <c r="C12" s="42">
        <f>IF(B$2=0,0,B12/B$2)</f>
        <v>8.5385878489326772E-2</v>
      </c>
      <c r="E12" s="63" t="s">
        <v>72</v>
      </c>
      <c r="F12" s="60" t="s">
        <v>27</v>
      </c>
      <c r="G12" s="47">
        <v>103</v>
      </c>
      <c r="H12" s="133">
        <f>IF(B$17=0,0,G12/B$17)</f>
        <v>6.7674113009198428E-2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2.4881773399014779</v>
      </c>
      <c r="P12" s="120">
        <v>203</v>
      </c>
      <c r="Q12" s="108">
        <v>505.1</v>
      </c>
    </row>
    <row r="13" spans="1:17" x14ac:dyDescent="0.4">
      <c r="A13" s="58" t="s">
        <v>122</v>
      </c>
      <c r="B13" s="50">
        <v>1424</v>
      </c>
      <c r="C13" s="44">
        <f>IF(B$3=0,0,B13/B$3)</f>
        <v>0.28053585500394013</v>
      </c>
      <c r="E13" s="63" t="s">
        <v>87</v>
      </c>
      <c r="F13" s="60" t="s">
        <v>42</v>
      </c>
      <c r="G13" s="47">
        <v>84</v>
      </c>
      <c r="H13" s="133">
        <f>IF(B$17=0,0,G13/B$17)</f>
        <v>5.5190538764783179E-2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1058</v>
      </c>
      <c r="C14" s="39">
        <f>IF(B$3=0,0,B14/B$3)</f>
        <v>0.20843183609141056</v>
      </c>
      <c r="E14" s="63" t="s">
        <v>84</v>
      </c>
      <c r="F14" s="60" t="s">
        <v>39</v>
      </c>
      <c r="G14" s="47">
        <v>70</v>
      </c>
      <c r="H14" s="133">
        <f>IF(B$17=0,0,G14/B$17)</f>
        <v>4.5992115637319315E-2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826</v>
      </c>
      <c r="C15" s="37">
        <f>IF(B$13=0,0,B15/B$13)</f>
        <v>0.5800561797752809</v>
      </c>
      <c r="E15" s="63" t="s">
        <v>82</v>
      </c>
      <c r="F15" s="60" t="s">
        <v>37</v>
      </c>
      <c r="G15" s="47">
        <v>42</v>
      </c>
      <c r="H15" s="133">
        <f>IF(B$17=0,0,G15/B$17)</f>
        <v>2.7595269382391589E-2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22.498076923076955</v>
      </c>
      <c r="P15" s="118">
        <v>156</v>
      </c>
      <c r="Q15" s="106">
        <v>3509.7000000000048</v>
      </c>
    </row>
    <row r="16" spans="1:17" x14ac:dyDescent="0.4">
      <c r="A16" s="54" t="s">
        <v>125</v>
      </c>
      <c r="B16" s="46">
        <v>416</v>
      </c>
      <c r="C16" s="37">
        <f>IF(B$14=0,0,B16/B$14)</f>
        <v>0.3931947069943289</v>
      </c>
      <c r="E16" s="63" t="s">
        <v>79</v>
      </c>
      <c r="F16" s="60" t="s">
        <v>34</v>
      </c>
      <c r="G16" s="47">
        <v>40</v>
      </c>
      <c r="H16" s="133">
        <f>IF(B$17=0,0,G16/B$17)</f>
        <v>2.6281208935611037E-2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1522</v>
      </c>
      <c r="C17" s="37">
        <f>IF(B$3=0,0,B17/B$3)</f>
        <v>0.29984239558707643</v>
      </c>
      <c r="E17" s="63" t="s">
        <v>92</v>
      </c>
      <c r="F17" s="60" t="s">
        <v>47</v>
      </c>
      <c r="G17" s="47">
        <v>30</v>
      </c>
      <c r="H17" s="133">
        <f>IF(B$17=0,0,G17/B$17)</f>
        <v>1.9710906701708279E-2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659</v>
      </c>
      <c r="C18" s="39">
        <f>IF(B$17=0,0,B18/B$17)</f>
        <v>0.43298291721419185</v>
      </c>
      <c r="E18" s="63" t="s">
        <v>180</v>
      </c>
      <c r="F18" s="60" t="s">
        <v>183</v>
      </c>
      <c r="G18" s="47">
        <v>24</v>
      </c>
      <c r="H18" s="133">
        <f>IF(B$17=0,0,G18/B$17)</f>
        <v>1.5768725361366621E-2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863</v>
      </c>
      <c r="C19" s="39">
        <f>IF(B$17=0,0,B19/B$17)</f>
        <v>0.5670170827858082</v>
      </c>
      <c r="E19" s="63" t="s">
        <v>80</v>
      </c>
      <c r="F19" s="60" t="s">
        <v>35</v>
      </c>
      <c r="G19" s="47">
        <v>23</v>
      </c>
      <c r="H19" s="133">
        <f>IF(B$17=0,0,G19/B$17)</f>
        <v>1.5111695137976347E-2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853</v>
      </c>
      <c r="C20" s="39">
        <f>IF(B$3=0,0,B20/B$3)</f>
        <v>0.16804570527974783</v>
      </c>
      <c r="E20" s="63" t="s">
        <v>74</v>
      </c>
      <c r="F20" s="60" t="s">
        <v>29</v>
      </c>
      <c r="G20" s="47">
        <v>9</v>
      </c>
      <c r="H20" s="133">
        <f>IF(B$17=0,0,G20/B$17)</f>
        <v>5.9132720105124839E-3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4.0179487179487188</v>
      </c>
      <c r="P20" s="119">
        <v>234</v>
      </c>
      <c r="Q20" s="107">
        <v>940.20000000000027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5.9132720105124839E-3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0.16521739130434679</v>
      </c>
      <c r="P21" s="119">
        <v>138</v>
      </c>
      <c r="Q21" s="107">
        <v>22.799999999999855</v>
      </c>
    </row>
    <row r="22" spans="1:17" x14ac:dyDescent="0.4">
      <c r="A22" s="55" t="s">
        <v>194</v>
      </c>
      <c r="B22" s="47">
        <v>31</v>
      </c>
      <c r="C22" s="135">
        <v>8</v>
      </c>
      <c r="E22" s="63" t="s">
        <v>93</v>
      </c>
      <c r="F22" s="60" t="s">
        <v>48</v>
      </c>
      <c r="G22" s="47">
        <v>7</v>
      </c>
      <c r="H22" s="133">
        <f>IF(B$17=0,0,G22/B$17)</f>
        <v>4.5992115637319315E-3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-0.6176470588235311</v>
      </c>
      <c r="P22" s="119">
        <v>102</v>
      </c>
      <c r="Q22" s="107">
        <v>-63.000000000000178</v>
      </c>
    </row>
    <row r="23" spans="1:17" x14ac:dyDescent="0.4">
      <c r="A23" s="55" t="s">
        <v>5</v>
      </c>
      <c r="B23" s="51">
        <f>IF(B$17=0,0,C23/B$17)</f>
        <v>8670.3022339027593</v>
      </c>
      <c r="C23" s="41">
        <v>13196200</v>
      </c>
      <c r="E23" s="63" t="s">
        <v>75</v>
      </c>
      <c r="F23" s="60" t="s">
        <v>30</v>
      </c>
      <c r="G23" s="47">
        <v>6</v>
      </c>
      <c r="H23" s="133">
        <f>IF(B$17=0,0,G23/B$17)</f>
        <v>3.9421813403416554E-3</v>
      </c>
      <c r="I23" s="94">
        <v>5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-3.7605882352941156</v>
      </c>
      <c r="P23" s="119">
        <v>170</v>
      </c>
      <c r="Q23" s="107">
        <v>-639.29999999999961</v>
      </c>
    </row>
    <row r="24" spans="1:17" x14ac:dyDescent="0.4">
      <c r="A24" s="57" t="s">
        <v>14</v>
      </c>
      <c r="B24" s="52">
        <f>IF(B$20=0,0,C24/B$20)</f>
        <v>-8300.9378663540447</v>
      </c>
      <c r="C24" s="45">
        <v>-7080700</v>
      </c>
      <c r="E24" s="63" t="s">
        <v>88</v>
      </c>
      <c r="F24" s="60" t="s">
        <v>43</v>
      </c>
      <c r="G24" s="47">
        <v>6</v>
      </c>
      <c r="H24" s="133">
        <f>IF(B$17=0,0,G24/B$17)</f>
        <v>3.9421813403416554E-3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-17.758695652173891</v>
      </c>
      <c r="P24" s="119">
        <v>276</v>
      </c>
      <c r="Q24" s="107">
        <v>-4901.3999999999942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3.2851511169513796E-3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4</v>
      </c>
      <c r="H26" s="133">
        <f>IF(B$17=0,0,G26/B$17)</f>
        <v>2.6281208935611039E-3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2.7580772261623326E-3</v>
      </c>
      <c r="E27" s="63" t="s">
        <v>85</v>
      </c>
      <c r="F27" s="60" t="s">
        <v>40</v>
      </c>
      <c r="G27" s="47">
        <v>4</v>
      </c>
      <c r="H27" s="133">
        <f>IF(B$17=0,0,G27/B$17)</f>
        <v>2.6281208935611039E-3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4</v>
      </c>
      <c r="H28" s="133">
        <f>IF(B$17=0,0,G28/B$17)</f>
        <v>2.6281208935611039E-3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2.6281208935611039E-3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1.3140604467805519E-3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1.3140604467805519E-3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6.5703022339027597E-4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40F09-2D74-4164-93C8-C982AFCA8600}">
  <sheetPr codeName="Sheet7"/>
  <dimension ref="A1:Q14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138</v>
      </c>
      <c r="C2" s="147"/>
      <c r="E2" s="62" t="s">
        <v>67</v>
      </c>
      <c r="F2" s="59" t="s">
        <v>23</v>
      </c>
      <c r="G2" s="46">
        <v>286</v>
      </c>
      <c r="H2" s="132">
        <f>IF(B$17=0,0,G2/B$17)</f>
        <v>0.73711340206185572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1723.1884057971015</v>
      </c>
      <c r="P2" s="118">
        <v>138</v>
      </c>
      <c r="Q2" s="102">
        <v>237800</v>
      </c>
    </row>
    <row r="3" spans="1:17" x14ac:dyDescent="0.4">
      <c r="A3" s="55" t="s">
        <v>8</v>
      </c>
      <c r="B3" s="148">
        <v>1123</v>
      </c>
      <c r="C3" s="149"/>
      <c r="E3" s="63" t="s">
        <v>73</v>
      </c>
      <c r="F3" s="60" t="s">
        <v>28</v>
      </c>
      <c r="G3" s="47">
        <v>219</v>
      </c>
      <c r="H3" s="133">
        <f>IF(B$17=0,0,G3/B$17)</f>
        <v>0.56443298969072164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1202.9850746268658</v>
      </c>
      <c r="P3" s="119">
        <v>134</v>
      </c>
      <c r="Q3" s="103">
        <v>161200</v>
      </c>
    </row>
    <row r="4" spans="1:17" x14ac:dyDescent="0.4">
      <c r="A4" s="55" t="s">
        <v>6</v>
      </c>
      <c r="B4" s="150">
        <v>1633.8000000000009</v>
      </c>
      <c r="C4" s="151"/>
      <c r="E4" s="63" t="s">
        <v>65</v>
      </c>
      <c r="F4" s="60" t="s">
        <v>21</v>
      </c>
      <c r="G4" s="47">
        <v>191</v>
      </c>
      <c r="H4" s="133">
        <f>IF(B$17=0,0,G4/B$17)</f>
        <v>0.49226804123711343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1134.6456692913387</v>
      </c>
      <c r="P4" s="119">
        <v>127</v>
      </c>
      <c r="Q4" s="103">
        <v>144100</v>
      </c>
    </row>
    <row r="5" spans="1:17" x14ac:dyDescent="0.4">
      <c r="A5" s="55" t="s">
        <v>7</v>
      </c>
      <c r="B5" s="152">
        <f>IF(B$2=0,0,B$4/B$2)</f>
        <v>11.839130434782614</v>
      </c>
      <c r="C5" s="153"/>
      <c r="E5" s="63" t="s">
        <v>181</v>
      </c>
      <c r="F5" s="60" t="s">
        <v>182</v>
      </c>
      <c r="G5" s="47">
        <v>162</v>
      </c>
      <c r="H5" s="133">
        <f>IF(B$17=0,0,G5/B$17)</f>
        <v>0.4175257731958763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2609.4017094017095</v>
      </c>
      <c r="P5" s="119">
        <v>117</v>
      </c>
      <c r="Q5" s="103">
        <v>305300</v>
      </c>
    </row>
    <row r="6" spans="1:17" x14ac:dyDescent="0.4">
      <c r="A6" s="55" t="s">
        <v>1</v>
      </c>
      <c r="B6" s="142">
        <f>IF(B$2=0,0,(B$7*1+B$8*2+B$9*3)/B$2)</f>
        <v>1.7536231884057971</v>
      </c>
      <c r="C6" s="143"/>
      <c r="E6" s="63" t="s">
        <v>68</v>
      </c>
      <c r="F6" s="60" t="s">
        <v>24</v>
      </c>
      <c r="G6" s="47">
        <v>115</v>
      </c>
      <c r="H6" s="133">
        <f>IF(B$17=0,0,G6/B$17)</f>
        <v>0.29639175257731959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355.33980582524271</v>
      </c>
      <c r="P6" s="119">
        <v>103</v>
      </c>
      <c r="Q6" s="103">
        <v>36600</v>
      </c>
    </row>
    <row r="7" spans="1:17" x14ac:dyDescent="0.4">
      <c r="A7" s="55" t="s">
        <v>2</v>
      </c>
      <c r="B7" s="47">
        <v>67</v>
      </c>
      <c r="C7" s="39">
        <f>IF(B$2=0,0,B7/B$2)</f>
        <v>0.48550724637681159</v>
      </c>
      <c r="E7" s="63" t="s">
        <v>69</v>
      </c>
      <c r="F7" s="60" t="s">
        <v>12</v>
      </c>
      <c r="G7" s="47">
        <v>104</v>
      </c>
      <c r="H7" s="133">
        <f>IF(B$17=0,0,G7/B$17)</f>
        <v>0.26804123711340205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664.44444444444446</v>
      </c>
      <c r="P7" s="120">
        <v>90</v>
      </c>
      <c r="Q7" s="104">
        <v>59800</v>
      </c>
    </row>
    <row r="8" spans="1:17" x14ac:dyDescent="0.4">
      <c r="A8" s="55" t="s">
        <v>3</v>
      </c>
      <c r="B8" s="47">
        <v>38</v>
      </c>
      <c r="C8" s="39">
        <f>IF(B$2=0,0,B8/B$2)</f>
        <v>0.27536231884057971</v>
      </c>
      <c r="E8" s="63" t="s">
        <v>70</v>
      </c>
      <c r="F8" s="60" t="s">
        <v>25</v>
      </c>
      <c r="G8" s="47">
        <v>64</v>
      </c>
      <c r="H8" s="133">
        <f>IF(B$17=0,0,G8/B$17)</f>
        <v>0.16494845360824742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0.2391304347826087</v>
      </c>
      <c r="E9" s="63" t="s">
        <v>90</v>
      </c>
      <c r="F9" s="60" t="s">
        <v>45</v>
      </c>
      <c r="G9" s="47">
        <v>60</v>
      </c>
      <c r="H9" s="133">
        <f>IF(B$17=0,0,G9/B$17)</f>
        <v>0.15463917525773196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0.10869565217391304</v>
      </c>
      <c r="E10" s="63" t="s">
        <v>66</v>
      </c>
      <c r="F10" s="60" t="s">
        <v>22</v>
      </c>
      <c r="G10" s="47">
        <v>51</v>
      </c>
      <c r="H10" s="133">
        <f>IF(B$17=0,0,G10/B$17)</f>
        <v>0.13144329896907217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12.740476190476191</v>
      </c>
      <c r="P10" s="118">
        <v>42</v>
      </c>
      <c r="Q10" s="106">
        <v>535.1</v>
      </c>
    </row>
    <row r="11" spans="1:17" x14ac:dyDescent="0.4">
      <c r="A11" s="56" t="s">
        <v>140</v>
      </c>
      <c r="B11" s="48">
        <v>24</v>
      </c>
      <c r="C11" s="40">
        <f>IF(B$2=0,0,B11/B$2)</f>
        <v>0.17391304347826086</v>
      </c>
      <c r="E11" s="63" t="s">
        <v>71</v>
      </c>
      <c r="F11" s="60" t="s">
        <v>26</v>
      </c>
      <c r="G11" s="47">
        <v>35</v>
      </c>
      <c r="H11" s="133">
        <f>IF(B$17=0,0,G11/B$17)</f>
        <v>9.0206185567010308E-2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9.7666666666666657</v>
      </c>
      <c r="P11" s="119">
        <v>42</v>
      </c>
      <c r="Q11" s="107">
        <v>410.2</v>
      </c>
    </row>
    <row r="12" spans="1:17" x14ac:dyDescent="0.4">
      <c r="A12" s="57" t="s">
        <v>160</v>
      </c>
      <c r="B12" s="49">
        <v>20</v>
      </c>
      <c r="C12" s="42">
        <f>IF(B$2=0,0,B12/B$2)</f>
        <v>0.14492753623188406</v>
      </c>
      <c r="E12" s="63" t="s">
        <v>72</v>
      </c>
      <c r="F12" s="60" t="s">
        <v>27</v>
      </c>
      <c r="G12" s="47">
        <v>28</v>
      </c>
      <c r="H12" s="133">
        <f>IF(B$17=0,0,G12/B$17)</f>
        <v>7.2164948453608241E-2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12.750000000000002</v>
      </c>
      <c r="P12" s="120">
        <v>54</v>
      </c>
      <c r="Q12" s="108">
        <v>688.50000000000011</v>
      </c>
    </row>
    <row r="13" spans="1:17" x14ac:dyDescent="0.4">
      <c r="A13" s="58" t="s">
        <v>122</v>
      </c>
      <c r="B13" s="50">
        <v>361</v>
      </c>
      <c r="C13" s="44">
        <f>IF(B$3=0,0,B13/B$3)</f>
        <v>0.32146037399821903</v>
      </c>
      <c r="E13" s="63" t="s">
        <v>87</v>
      </c>
      <c r="F13" s="60" t="s">
        <v>42</v>
      </c>
      <c r="G13" s="47">
        <v>27</v>
      </c>
      <c r="H13" s="133">
        <f>IF(B$17=0,0,G13/B$17)</f>
        <v>6.9587628865979384E-2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246</v>
      </c>
      <c r="C14" s="39">
        <f>IF(B$3=0,0,B14/B$3)</f>
        <v>0.21905609973285842</v>
      </c>
      <c r="E14" s="63" t="s">
        <v>84</v>
      </c>
      <c r="F14" s="60" t="s">
        <v>39</v>
      </c>
      <c r="G14" s="47">
        <v>19</v>
      </c>
      <c r="H14" s="133">
        <f>IF(B$17=0,0,G14/B$17)</f>
        <v>4.8969072164948453E-2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208</v>
      </c>
      <c r="C15" s="37">
        <f>IF(B$13=0,0,B15/B$13)</f>
        <v>0.57617728531855961</v>
      </c>
      <c r="E15" s="63" t="s">
        <v>180</v>
      </c>
      <c r="F15" s="60" t="s">
        <v>183</v>
      </c>
      <c r="G15" s="47">
        <v>13</v>
      </c>
      <c r="H15" s="133">
        <f>IF(B$17=0,0,G15/B$17)</f>
        <v>3.3505154639175257E-2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125</v>
      </c>
      <c r="C16" s="37">
        <f>IF(B$14=0,0,B16/B$14)</f>
        <v>0.50813008130081305</v>
      </c>
      <c r="E16" s="63" t="s">
        <v>82</v>
      </c>
      <c r="F16" s="60" t="s">
        <v>37</v>
      </c>
      <c r="G16" s="47">
        <v>11</v>
      </c>
      <c r="H16" s="133">
        <f>IF(B$17=0,0,G16/B$17)</f>
        <v>2.8350515463917526E-2</v>
      </c>
      <c r="I16" s="94">
        <v>6</v>
      </c>
      <c r="K16" s="38">
        <v>14</v>
      </c>
      <c r="L16" s="99">
        <v>473.50000000000006</v>
      </c>
      <c r="N16" s="115" t="s">
        <v>177</v>
      </c>
      <c r="O16" s="125">
        <f>IF(P16=0,0,Q16/P16)</f>
        <v>30.80869565217392</v>
      </c>
      <c r="P16" s="119">
        <v>23</v>
      </c>
      <c r="Q16" s="107">
        <v>708.60000000000014</v>
      </c>
    </row>
    <row r="17" spans="1:17" x14ac:dyDescent="0.4">
      <c r="A17" s="54" t="s">
        <v>10</v>
      </c>
      <c r="B17" s="46">
        <f>B19+B18</f>
        <v>388</v>
      </c>
      <c r="C17" s="37">
        <f>IF(B$3=0,0,B17/B$3)</f>
        <v>0.34550311665182548</v>
      </c>
      <c r="E17" s="63" t="s">
        <v>79</v>
      </c>
      <c r="F17" s="60" t="s">
        <v>34</v>
      </c>
      <c r="G17" s="47">
        <v>9</v>
      </c>
      <c r="H17" s="133">
        <f>IF(B$17=0,0,G17/B$17)</f>
        <v>2.3195876288659795E-2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160</v>
      </c>
      <c r="C18" s="39">
        <f>IF(B$17=0,0,B18/B$17)</f>
        <v>0.41237113402061853</v>
      </c>
      <c r="E18" s="63" t="s">
        <v>92</v>
      </c>
      <c r="F18" s="60" t="s">
        <v>47</v>
      </c>
      <c r="G18" s="47">
        <v>8</v>
      </c>
      <c r="H18" s="133">
        <f>IF(B$17=0,0,G18/B$17)</f>
        <v>2.0618556701030927E-2</v>
      </c>
      <c r="I18" s="94">
        <v>4</v>
      </c>
      <c r="K18" s="38">
        <v>16</v>
      </c>
      <c r="L18" s="99">
        <v>425.50000000000006</v>
      </c>
      <c r="N18" s="115" t="s">
        <v>129</v>
      </c>
      <c r="O18" s="125">
        <f>IF(P18=0,0,Q18/P18)</f>
        <v>27.670833333333334</v>
      </c>
      <c r="P18" s="119">
        <v>48</v>
      </c>
      <c r="Q18" s="107">
        <v>1328.2</v>
      </c>
    </row>
    <row r="19" spans="1:17" x14ac:dyDescent="0.4">
      <c r="A19" s="55" t="s">
        <v>11</v>
      </c>
      <c r="B19" s="47">
        <v>228</v>
      </c>
      <c r="C19" s="39">
        <f>IF(B$17=0,0,B19/B$17)</f>
        <v>0.58762886597938147</v>
      </c>
      <c r="E19" s="63" t="s">
        <v>80</v>
      </c>
      <c r="F19" s="60" t="s">
        <v>35</v>
      </c>
      <c r="G19" s="47">
        <v>5</v>
      </c>
      <c r="H19" s="133">
        <f>IF(B$17=0,0,G19/B$17)</f>
        <v>1.2886597938144329E-2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22.883783783783784</v>
      </c>
      <c r="P19" s="119">
        <v>37</v>
      </c>
      <c r="Q19" s="107">
        <v>846.7</v>
      </c>
    </row>
    <row r="20" spans="1:17" x14ac:dyDescent="0.4">
      <c r="A20" s="55" t="s">
        <v>13</v>
      </c>
      <c r="B20" s="47">
        <v>182</v>
      </c>
      <c r="C20" s="39">
        <f>IF(B$3=0,0,B20/B$3)</f>
        <v>0.16206589492430989</v>
      </c>
      <c r="E20" s="63" t="s">
        <v>74</v>
      </c>
      <c r="F20" s="60" t="s">
        <v>29</v>
      </c>
      <c r="G20" s="47">
        <v>2</v>
      </c>
      <c r="H20" s="133">
        <f>IF(B$17=0,0,G20/B$17)</f>
        <v>5.1546391752577319E-3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78</v>
      </c>
      <c r="F21" s="60" t="s">
        <v>33</v>
      </c>
      <c r="G21" s="47">
        <v>2</v>
      </c>
      <c r="H21" s="133">
        <f>IF(B$17=0,0,G21/B$17)</f>
        <v>5.1546391752577319E-3</v>
      </c>
      <c r="I21" s="94">
        <v>2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1</v>
      </c>
      <c r="E22" s="63" t="s">
        <v>86</v>
      </c>
      <c r="F22" s="60" t="s">
        <v>41</v>
      </c>
      <c r="G22" s="47">
        <v>2</v>
      </c>
      <c r="H22" s="133">
        <f>IF(B$17=0,0,G22/B$17)</f>
        <v>5.1546391752577319E-3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16.777500000000003</v>
      </c>
      <c r="P22" s="119">
        <v>80</v>
      </c>
      <c r="Q22" s="107">
        <v>1342.2000000000003</v>
      </c>
    </row>
    <row r="23" spans="1:17" x14ac:dyDescent="0.4">
      <c r="A23" s="55" t="s">
        <v>5</v>
      </c>
      <c r="B23" s="51">
        <f>IF(B$17=0,0,C23/B$17)</f>
        <v>9176.8041237113393</v>
      </c>
      <c r="C23" s="41">
        <v>3560600</v>
      </c>
      <c r="E23" s="63" t="s">
        <v>91</v>
      </c>
      <c r="F23" s="60" t="s">
        <v>46</v>
      </c>
      <c r="G23" s="47">
        <v>2</v>
      </c>
      <c r="H23" s="133">
        <f>IF(B$17=0,0,G23/B$17)</f>
        <v>5.1546391752577319E-3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-8232.9670329670334</v>
      </c>
      <c r="C24" s="45">
        <v>-1498400</v>
      </c>
      <c r="E24" s="63" t="s">
        <v>93</v>
      </c>
      <c r="F24" s="60" t="s">
        <v>48</v>
      </c>
      <c r="G24" s="47">
        <v>2</v>
      </c>
      <c r="H24" s="133">
        <f>IF(B$17=0,0,G24/B$17)</f>
        <v>5.1546391752577319E-3</v>
      </c>
      <c r="I24" s="94">
        <v>4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1</v>
      </c>
      <c r="H25" s="133">
        <f>IF(B$17=0,0,G25/B$17)</f>
        <v>2.5773195876288659E-3</v>
      </c>
      <c r="I25" s="94">
        <v>7</v>
      </c>
      <c r="K25" s="38">
        <v>23</v>
      </c>
      <c r="L25" s="99">
        <v>555.90000000000009</v>
      </c>
      <c r="N25" s="115" t="s">
        <v>225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2.5773195876288659E-3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8.9047195013357077E-4</v>
      </c>
      <c r="E27" s="63" t="s">
        <v>88</v>
      </c>
      <c r="F27" s="60" t="s">
        <v>43</v>
      </c>
      <c r="G27" s="47">
        <v>1</v>
      </c>
      <c r="H27" s="133">
        <f>IF(B$17=0,0,G27/B$17)</f>
        <v>2.5773195876288659E-3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2.5773195876288659E-3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2.5773195876288659E-3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26B67-CF8E-4127-9DCC-1E136971E5D8}">
  <sheetPr codeName="Sheet9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65</v>
      </c>
      <c r="F2" s="59" t="s">
        <v>21</v>
      </c>
      <c r="G2" s="46">
        <v>160</v>
      </c>
      <c r="H2" s="132">
        <f>IF(B$17=0,0,G2/B$17)</f>
        <v>0.60836501901140683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492.30769230769232</v>
      </c>
      <c r="P2" s="118">
        <v>117</v>
      </c>
      <c r="Q2" s="102">
        <v>57600</v>
      </c>
    </row>
    <row r="3" spans="1:17" x14ac:dyDescent="0.4">
      <c r="A3" s="55" t="s">
        <v>8</v>
      </c>
      <c r="B3" s="148">
        <v>965</v>
      </c>
      <c r="C3" s="149"/>
      <c r="E3" s="63" t="s">
        <v>66</v>
      </c>
      <c r="F3" s="60" t="s">
        <v>22</v>
      </c>
      <c r="G3" s="47">
        <v>43</v>
      </c>
      <c r="H3" s="133">
        <f>IF(B$17=0,0,G3/B$17)</f>
        <v>0.1634980988593156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-2277.8761061946902</v>
      </c>
      <c r="P3" s="119">
        <v>113</v>
      </c>
      <c r="Q3" s="103">
        <v>-257400</v>
      </c>
    </row>
    <row r="4" spans="1:17" x14ac:dyDescent="0.4">
      <c r="A4" s="55" t="s">
        <v>6</v>
      </c>
      <c r="B4" s="150">
        <v>-313.40000000000003</v>
      </c>
      <c r="C4" s="151"/>
      <c r="E4" s="63" t="s">
        <v>67</v>
      </c>
      <c r="F4" s="60" t="s">
        <v>23</v>
      </c>
      <c r="G4" s="47">
        <v>200</v>
      </c>
      <c r="H4" s="133">
        <f>IF(B$17=0,0,G4/B$17)</f>
        <v>0.76045627376425851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94.545454545454547</v>
      </c>
      <c r="P4" s="119">
        <v>110</v>
      </c>
      <c r="Q4" s="103">
        <v>10400</v>
      </c>
    </row>
    <row r="5" spans="1:17" x14ac:dyDescent="0.4">
      <c r="A5" s="55" t="s">
        <v>7</v>
      </c>
      <c r="B5" s="152">
        <f>IF(B$2=0,0,B$4/B$2)</f>
        <v>-2.6786324786324789</v>
      </c>
      <c r="C5" s="153"/>
      <c r="E5" s="63" t="s">
        <v>68</v>
      </c>
      <c r="F5" s="60" t="s">
        <v>24</v>
      </c>
      <c r="G5" s="47">
        <v>99</v>
      </c>
      <c r="H5" s="133">
        <f>IF(B$17=0,0,G5/B$17)</f>
        <v>0.37642585551330798</v>
      </c>
      <c r="I5" s="94">
        <v>6</v>
      </c>
      <c r="K5" s="38">
        <v>3</v>
      </c>
      <c r="L5" s="99">
        <v>-47.300000000000004</v>
      </c>
      <c r="N5" s="115" t="s">
        <v>135</v>
      </c>
      <c r="O5" s="122">
        <f t="shared" si="0"/>
        <v>142.85714285714286</v>
      </c>
      <c r="P5" s="119">
        <v>98</v>
      </c>
      <c r="Q5" s="103">
        <v>14000</v>
      </c>
    </row>
    <row r="6" spans="1:17" x14ac:dyDescent="0.4">
      <c r="A6" s="55" t="s">
        <v>1</v>
      </c>
      <c r="B6" s="142">
        <f>IF(B$2=0,0,(B$7*1+B$8*2+B$9*3)/B$2)</f>
        <v>2.0769230769230771</v>
      </c>
      <c r="C6" s="143"/>
      <c r="E6" s="63" t="s">
        <v>69</v>
      </c>
      <c r="F6" s="60" t="s">
        <v>12</v>
      </c>
      <c r="G6" s="47">
        <v>89</v>
      </c>
      <c r="H6" s="133">
        <f>IF(B$17=0,0,G6/B$17)</f>
        <v>0.33840304182509506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390.80459770114942</v>
      </c>
      <c r="P6" s="119">
        <v>87</v>
      </c>
      <c r="Q6" s="103">
        <v>34000</v>
      </c>
    </row>
    <row r="7" spans="1:17" x14ac:dyDescent="0.4">
      <c r="A7" s="55" t="s">
        <v>2</v>
      </c>
      <c r="B7" s="47">
        <v>31</v>
      </c>
      <c r="C7" s="39">
        <f>IF(B$2=0,0,B7/B$2)</f>
        <v>0.26495726495726496</v>
      </c>
      <c r="E7" s="63" t="s">
        <v>70</v>
      </c>
      <c r="F7" s="60" t="s">
        <v>25</v>
      </c>
      <c r="G7" s="47">
        <v>60</v>
      </c>
      <c r="H7" s="133">
        <f>IF(B$17=0,0,G7/B$17)</f>
        <v>0.22813688212927757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555.55555555555554</v>
      </c>
      <c r="P7" s="120">
        <v>81</v>
      </c>
      <c r="Q7" s="104">
        <v>45000</v>
      </c>
    </row>
    <row r="8" spans="1:17" x14ac:dyDescent="0.4">
      <c r="A8" s="55" t="s">
        <v>3</v>
      </c>
      <c r="B8" s="47">
        <v>46</v>
      </c>
      <c r="C8" s="39">
        <f>IF(B$2=0,0,B8/B$2)</f>
        <v>0.39316239316239315</v>
      </c>
      <c r="E8" s="63" t="s">
        <v>71</v>
      </c>
      <c r="F8" s="60" t="s">
        <v>26</v>
      </c>
      <c r="G8" s="47">
        <v>32</v>
      </c>
      <c r="H8" s="133">
        <f>IF(B$17=0,0,G8/B$17)</f>
        <v>0.12167300380228137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0.34188034188034189</v>
      </c>
      <c r="E9" s="63" t="s">
        <v>72</v>
      </c>
      <c r="F9" s="60" t="s">
        <v>27</v>
      </c>
      <c r="G9" s="47">
        <v>15</v>
      </c>
      <c r="H9" s="133">
        <f>IF(B$17=0,0,G9/B$17)</f>
        <v>5.7034220532319393E-2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0.12820512820512819</v>
      </c>
      <c r="E10" s="63" t="s">
        <v>73</v>
      </c>
      <c r="F10" s="60" t="s">
        <v>28</v>
      </c>
      <c r="G10" s="47">
        <v>121</v>
      </c>
      <c r="H10" s="133">
        <f>IF(B$17=0,0,G10/B$17)</f>
        <v>0.46007604562737642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9.4017094017094016E-2</v>
      </c>
      <c r="E11" s="63" t="s">
        <v>74</v>
      </c>
      <c r="F11" s="60" t="s">
        <v>29</v>
      </c>
      <c r="G11" s="47">
        <v>2</v>
      </c>
      <c r="H11" s="133">
        <f>IF(B$17=0,0,G11/B$17)</f>
        <v>7.6045627376425855E-3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-2.199999999999998</v>
      </c>
      <c r="P11" s="119">
        <v>27</v>
      </c>
      <c r="Q11" s="107">
        <v>-59.399999999999949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6.8376068376068383E-2</v>
      </c>
      <c r="E12" s="63" t="s">
        <v>75</v>
      </c>
      <c r="F12" s="60" t="s">
        <v>30</v>
      </c>
      <c r="G12" s="47">
        <v>2</v>
      </c>
      <c r="H12" s="133">
        <f>IF(B$17=0,0,G12/B$17)</f>
        <v>7.6045627376425855E-3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290</v>
      </c>
      <c r="C13" s="44">
        <f>IF(B$3=0,0,B13/B$3)</f>
        <v>0.30051813471502592</v>
      </c>
      <c r="E13" s="63" t="s">
        <v>76</v>
      </c>
      <c r="F13" s="60" t="s">
        <v>31</v>
      </c>
      <c r="G13" s="47">
        <v>2</v>
      </c>
      <c r="H13" s="133">
        <f>IF(B$17=0,0,G13/B$17)</f>
        <v>7.6045627376425855E-3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0.18031088082901556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169</v>
      </c>
      <c r="C15" s="37">
        <f>IF(B$13=0,0,B15/B$13)</f>
        <v>0.58275862068965523</v>
      </c>
      <c r="E15" s="63" t="s">
        <v>78</v>
      </c>
      <c r="F15" s="60" t="s">
        <v>33</v>
      </c>
      <c r="G15" s="47">
        <v>1</v>
      </c>
      <c r="H15" s="133">
        <f>IF(B$17=0,0,G15/B$17)</f>
        <v>3.8022813688212928E-3</v>
      </c>
      <c r="I15" s="94">
        <v>3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0.2988505747126437</v>
      </c>
      <c r="E16" s="63" t="s">
        <v>79</v>
      </c>
      <c r="F16" s="60" t="s">
        <v>34</v>
      </c>
      <c r="G16" s="47">
        <v>4</v>
      </c>
      <c r="H16" s="133">
        <f>IF(B$17=0,0,G16/B$17)</f>
        <v>1.5209125475285171E-2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263</v>
      </c>
      <c r="C17" s="37">
        <f>IF(B$3=0,0,B17/B$3)</f>
        <v>0.27253886010362693</v>
      </c>
      <c r="E17" s="63" t="s">
        <v>80</v>
      </c>
      <c r="F17" s="60" t="s">
        <v>35</v>
      </c>
      <c r="G17" s="47">
        <v>5</v>
      </c>
      <c r="H17" s="133">
        <f>IF(B$17=0,0,G17/B$17)</f>
        <v>1.9011406844106463E-2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111</v>
      </c>
      <c r="C18" s="39">
        <f>IF(B$17=0,0,B18/B$17)</f>
        <v>0.4220532319391635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152</v>
      </c>
      <c r="C19" s="39">
        <f>IF(B$17=0,0,B19/B$17)</f>
        <v>0.57794676806083645</v>
      </c>
      <c r="E19" s="63" t="s">
        <v>82</v>
      </c>
      <c r="F19" s="60" t="s">
        <v>37</v>
      </c>
      <c r="G19" s="47">
        <v>8</v>
      </c>
      <c r="H19" s="133">
        <f>IF(B$17=0,0,G19/B$17)</f>
        <v>3.0418250950570342E-2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0.16994818652849741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3.8022813688212927E-2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85</v>
      </c>
      <c r="F22" s="60" t="s">
        <v>40</v>
      </c>
      <c r="G22" s="47">
        <v>1</v>
      </c>
      <c r="H22" s="133">
        <f>IF(B$17=0,0,G22/B$17)</f>
        <v>3.8022813688212928E-3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-16.777500000000003</v>
      </c>
      <c r="P22" s="119">
        <v>80</v>
      </c>
      <c r="Q22" s="107">
        <v>-1342.2000000000003</v>
      </c>
    </row>
    <row r="23" spans="1:17" x14ac:dyDescent="0.4">
      <c r="A23" s="55" t="s">
        <v>5</v>
      </c>
      <c r="B23" s="51">
        <f>IF(B$17=0,0,C23/B$17)</f>
        <v>9302.6615969581744</v>
      </c>
      <c r="C23" s="41">
        <v>2446600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87</v>
      </c>
      <c r="F24" s="60" t="s">
        <v>42</v>
      </c>
      <c r="G24" s="47">
        <v>14</v>
      </c>
      <c r="H24" s="133">
        <f>IF(B$17=0,0,G24/B$17)</f>
        <v>5.3231939163498096E-2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3.8022813688212928E-3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5.1813471502590676E-3</v>
      </c>
      <c r="E27" s="63" t="s">
        <v>90</v>
      </c>
      <c r="F27" s="60" t="s">
        <v>45</v>
      </c>
      <c r="G27" s="47">
        <v>26</v>
      </c>
      <c r="H27" s="133">
        <f>IF(B$17=0,0,G27/B$17)</f>
        <v>9.8859315589353611E-2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2.2813688212927757E-2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3.8022813688212928E-3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3.8022813688212928E-3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3.8022813688212928E-3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1.9011406844106463E-2</v>
      </c>
      <c r="I50" s="94">
        <v>3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117</v>
      </c>
      <c r="H51" s="134">
        <f>IF(B$17=0,0,G51/B$17)</f>
        <v>0.44486692015209123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</sheetData>
  <sortState ref="E2:I11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1C11B-2B17-4F1B-AFB7-DFEF87C890E0}">
  <sheetPr codeName="Sheet11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78</v>
      </c>
      <c r="C2" s="147"/>
      <c r="E2" s="62" t="s">
        <v>67</v>
      </c>
      <c r="F2" s="59" t="s">
        <v>23</v>
      </c>
      <c r="G2" s="46">
        <v>136</v>
      </c>
      <c r="H2" s="132">
        <f>IF(B$17=0,0,G2/B$17)</f>
        <v>0.88888888888888884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-2541.0256410256411</v>
      </c>
      <c r="P2" s="118">
        <v>78</v>
      </c>
      <c r="Q2" s="102">
        <v>-198200</v>
      </c>
    </row>
    <row r="3" spans="1:17" x14ac:dyDescent="0.4">
      <c r="A3" s="55" t="s">
        <v>8</v>
      </c>
      <c r="B3" s="148">
        <v>650</v>
      </c>
      <c r="C3" s="149"/>
      <c r="E3" s="63" t="s">
        <v>65</v>
      </c>
      <c r="F3" s="60" t="s">
        <v>21</v>
      </c>
      <c r="G3" s="47">
        <v>92</v>
      </c>
      <c r="H3" s="133">
        <f>IF(B$17=0,0,G3/B$17)</f>
        <v>0.60130718954248363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-1084.2105263157894</v>
      </c>
      <c r="P3" s="119">
        <v>76</v>
      </c>
      <c r="Q3" s="103">
        <v>-82400</v>
      </c>
    </row>
    <row r="4" spans="1:17" x14ac:dyDescent="0.4">
      <c r="A4" s="55" t="s">
        <v>6</v>
      </c>
      <c r="B4" s="150">
        <v>-1169.8999999999999</v>
      </c>
      <c r="C4" s="151"/>
      <c r="E4" s="63" t="s">
        <v>69</v>
      </c>
      <c r="F4" s="60" t="s">
        <v>12</v>
      </c>
      <c r="G4" s="47">
        <v>62</v>
      </c>
      <c r="H4" s="133">
        <f>IF(B$17=0,0,G4/B$17)</f>
        <v>0.40522875816993464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-220.83333333333334</v>
      </c>
      <c r="P4" s="119">
        <v>72</v>
      </c>
      <c r="Q4" s="103">
        <v>-15900</v>
      </c>
    </row>
    <row r="5" spans="1:17" x14ac:dyDescent="0.4">
      <c r="A5" s="55" t="s">
        <v>7</v>
      </c>
      <c r="B5" s="152">
        <f>IF(B$2=0,0,B$4/B$2)</f>
        <v>-14.998717948717948</v>
      </c>
      <c r="C5" s="153"/>
      <c r="E5" s="63" t="s">
        <v>68</v>
      </c>
      <c r="F5" s="60" t="s">
        <v>24</v>
      </c>
      <c r="G5" s="47">
        <v>58</v>
      </c>
      <c r="H5" s="133">
        <f>IF(B$17=0,0,G5/B$17)</f>
        <v>0.37908496732026142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-4645.3125</v>
      </c>
      <c r="P5" s="119">
        <v>64</v>
      </c>
      <c r="Q5" s="103">
        <v>-297300</v>
      </c>
    </row>
    <row r="6" spans="1:17" x14ac:dyDescent="0.4">
      <c r="A6" s="55" t="s">
        <v>1</v>
      </c>
      <c r="B6" s="142">
        <f>IF(B$2=0,0,(B$7*1+B$8*2+B$9*3)/B$2)</f>
        <v>2.2564102564102564</v>
      </c>
      <c r="C6" s="143"/>
      <c r="E6" s="63" t="s">
        <v>181</v>
      </c>
      <c r="F6" s="60" t="s">
        <v>182</v>
      </c>
      <c r="G6" s="47">
        <v>58</v>
      </c>
      <c r="H6" s="133">
        <f>IF(B$17=0,0,G6/B$17)</f>
        <v>0.37908496732026142</v>
      </c>
      <c r="I6" s="94">
        <v>10</v>
      </c>
      <c r="K6" s="38">
        <v>4</v>
      </c>
      <c r="L6" s="99">
        <v>-31.4</v>
      </c>
      <c r="N6" s="115" t="s">
        <v>136</v>
      </c>
      <c r="O6" s="122">
        <f t="shared" si="0"/>
        <v>-1567.2413793103449</v>
      </c>
      <c r="P6" s="119">
        <v>58</v>
      </c>
      <c r="Q6" s="103">
        <v>-90900</v>
      </c>
    </row>
    <row r="7" spans="1:17" x14ac:dyDescent="0.4">
      <c r="A7" s="55" t="s">
        <v>2</v>
      </c>
      <c r="B7" s="47">
        <v>19</v>
      </c>
      <c r="C7" s="39">
        <f>IF(B$2=0,0,B7/B$2)</f>
        <v>0.24358974358974358</v>
      </c>
      <c r="E7" s="63" t="s">
        <v>73</v>
      </c>
      <c r="F7" s="60" t="s">
        <v>28</v>
      </c>
      <c r="G7" s="47">
        <v>47</v>
      </c>
      <c r="H7" s="133">
        <f>IF(B$17=0,0,G7/B$17)</f>
        <v>0.30718954248366015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-1477.3584905660377</v>
      </c>
      <c r="P7" s="120">
        <v>53</v>
      </c>
      <c r="Q7" s="104">
        <v>-78300</v>
      </c>
    </row>
    <row r="8" spans="1:17" x14ac:dyDescent="0.4">
      <c r="A8" s="55" t="s">
        <v>3</v>
      </c>
      <c r="B8" s="47">
        <v>20</v>
      </c>
      <c r="C8" s="39">
        <f>IF(B$2=0,0,B8/B$2)</f>
        <v>0.25641025641025639</v>
      </c>
      <c r="E8" s="63" t="s">
        <v>70</v>
      </c>
      <c r="F8" s="60" t="s">
        <v>25</v>
      </c>
      <c r="G8" s="47">
        <v>31</v>
      </c>
      <c r="H8" s="133">
        <f>IF(B$17=0,0,G8/B$17)</f>
        <v>0.20261437908496732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22</v>
      </c>
      <c r="H9" s="133">
        <f>IF(B$17=0,0,G9/B$17)</f>
        <v>0.1437908496732026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0.17948717948717949</v>
      </c>
      <c r="E10" s="63" t="s">
        <v>72</v>
      </c>
      <c r="F10" s="60" t="s">
        <v>27</v>
      </c>
      <c r="G10" s="47">
        <v>16</v>
      </c>
      <c r="H10" s="133">
        <f>IF(B$17=0,0,G10/B$17)</f>
        <v>0.10457516339869281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-18.191666666666663</v>
      </c>
      <c r="P10" s="118">
        <v>24</v>
      </c>
      <c r="Q10" s="106">
        <v>-436.59999999999991</v>
      </c>
    </row>
    <row r="11" spans="1:17" x14ac:dyDescent="0.4">
      <c r="A11" s="56" t="s">
        <v>140</v>
      </c>
      <c r="B11" s="48">
        <v>8</v>
      </c>
      <c r="C11" s="40">
        <f>IF(B$2=0,0,B11/B$2)</f>
        <v>0.10256410256410256</v>
      </c>
      <c r="E11" s="63" t="s">
        <v>66</v>
      </c>
      <c r="F11" s="60" t="s">
        <v>22</v>
      </c>
      <c r="G11" s="47">
        <v>14</v>
      </c>
      <c r="H11" s="133">
        <f>IF(B$17=0,0,G11/B$17)</f>
        <v>9.1503267973856203E-2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-12.496875000000005</v>
      </c>
      <c r="P11" s="119">
        <v>32</v>
      </c>
      <c r="Q11" s="107">
        <v>-399.90000000000015</v>
      </c>
    </row>
    <row r="12" spans="1:17" x14ac:dyDescent="0.4">
      <c r="A12" s="57" t="s">
        <v>160</v>
      </c>
      <c r="B12" s="49">
        <v>5</v>
      </c>
      <c r="C12" s="42">
        <f>IF(B$2=0,0,B12/B$2)</f>
        <v>6.4102564102564097E-2</v>
      </c>
      <c r="E12" s="63" t="s">
        <v>90</v>
      </c>
      <c r="F12" s="60" t="s">
        <v>45</v>
      </c>
      <c r="G12" s="47">
        <v>12</v>
      </c>
      <c r="H12" s="133">
        <f>IF(B$17=0,0,G12/B$17)</f>
        <v>7.8431372549019607E-2</v>
      </c>
      <c r="I12" s="94">
        <v>12</v>
      </c>
      <c r="K12" s="38">
        <v>10</v>
      </c>
      <c r="L12" s="99">
        <v>-231.39999999999998</v>
      </c>
      <c r="N12" s="116" t="s">
        <v>166</v>
      </c>
      <c r="O12" s="126">
        <f>IF(P12=0,0,Q12/P12)</f>
        <v>-15.154545454545451</v>
      </c>
      <c r="P12" s="120">
        <v>22</v>
      </c>
      <c r="Q12" s="108">
        <v>-333.39999999999992</v>
      </c>
    </row>
    <row r="13" spans="1:17" x14ac:dyDescent="0.4">
      <c r="A13" s="58" t="s">
        <v>122</v>
      </c>
      <c r="B13" s="50">
        <v>183</v>
      </c>
      <c r="C13" s="44">
        <f>IF(B$3=0,0,B13/B$3)</f>
        <v>0.28153846153846152</v>
      </c>
      <c r="E13" s="63" t="s">
        <v>87</v>
      </c>
      <c r="F13" s="60" t="s">
        <v>42</v>
      </c>
      <c r="G13" s="47">
        <v>10</v>
      </c>
      <c r="H13" s="133">
        <f>IF(B$17=0,0,G13/B$17)</f>
        <v>6.535947712418301E-2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101</v>
      </c>
      <c r="C14" s="39">
        <f>IF(B$3=0,0,B14/B$3)</f>
        <v>0.15538461538461537</v>
      </c>
      <c r="E14" s="63" t="s">
        <v>79</v>
      </c>
      <c r="F14" s="60" t="s">
        <v>34</v>
      </c>
      <c r="G14" s="47">
        <v>5</v>
      </c>
      <c r="H14" s="133">
        <f>IF(B$17=0,0,G14/B$17)</f>
        <v>3.2679738562091505E-2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95</v>
      </c>
      <c r="C15" s="37">
        <f>IF(B$13=0,0,B15/B$13)</f>
        <v>0.51912568306010931</v>
      </c>
      <c r="E15" s="63" t="s">
        <v>84</v>
      </c>
      <c r="F15" s="60" t="s">
        <v>39</v>
      </c>
      <c r="G15" s="47">
        <v>5</v>
      </c>
      <c r="H15" s="133">
        <f>IF(B$17=0,0,G15/B$17)</f>
        <v>3.2679738562091505E-2</v>
      </c>
      <c r="I15" s="94">
        <v>10</v>
      </c>
      <c r="K15" s="38">
        <v>13</v>
      </c>
      <c r="L15" s="99">
        <v>-369.1</v>
      </c>
      <c r="N15" s="114" t="s">
        <v>225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24</v>
      </c>
      <c r="C16" s="37">
        <f>IF(B$14=0,0,B16/B$14)</f>
        <v>0.23762376237623761</v>
      </c>
      <c r="E16" s="63" t="s">
        <v>82</v>
      </c>
      <c r="F16" s="60" t="s">
        <v>37</v>
      </c>
      <c r="G16" s="47">
        <v>3</v>
      </c>
      <c r="H16" s="133">
        <f>IF(B$17=0,0,G16/B$17)</f>
        <v>1.9607843137254902E-2</v>
      </c>
      <c r="I16" s="94">
        <v>9</v>
      </c>
      <c r="K16" s="38">
        <v>14</v>
      </c>
      <c r="L16" s="99">
        <v>-394.6</v>
      </c>
      <c r="N16" s="115" t="s">
        <v>177</v>
      </c>
      <c r="O16" s="125">
        <f>IF(P16=0,0,Q16/P16)</f>
        <v>-1.4142857142857135</v>
      </c>
      <c r="P16" s="119">
        <v>14</v>
      </c>
      <c r="Q16" s="107">
        <v>-19.79999999999999</v>
      </c>
    </row>
    <row r="17" spans="1:17" x14ac:dyDescent="0.4">
      <c r="A17" s="54" t="s">
        <v>10</v>
      </c>
      <c r="B17" s="46">
        <f>B19+B18</f>
        <v>153</v>
      </c>
      <c r="C17" s="37">
        <f>IF(B$3=0,0,B17/B$3)</f>
        <v>0.23538461538461539</v>
      </c>
      <c r="E17" s="63" t="s">
        <v>75</v>
      </c>
      <c r="F17" s="60" t="s">
        <v>30</v>
      </c>
      <c r="G17" s="47">
        <v>2</v>
      </c>
      <c r="H17" s="133">
        <f>IF(B$17=0,0,G17/B$17)</f>
        <v>1.3071895424836602E-2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70</v>
      </c>
      <c r="C18" s="39">
        <f>IF(B$17=0,0,B18/B$17)</f>
        <v>0.45751633986928103</v>
      </c>
      <c r="E18" s="63" t="s">
        <v>88</v>
      </c>
      <c r="F18" s="60" t="s">
        <v>43</v>
      </c>
      <c r="G18" s="47">
        <v>2</v>
      </c>
      <c r="H18" s="133">
        <f>IF(B$17=0,0,G18/B$17)</f>
        <v>1.3071895424836602E-2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83</v>
      </c>
      <c r="C19" s="39">
        <f>IF(B$17=0,0,B19/B$17)</f>
        <v>0.54248366013071891</v>
      </c>
      <c r="E19" s="63" t="s">
        <v>94</v>
      </c>
      <c r="F19" s="60" t="s">
        <v>49</v>
      </c>
      <c r="G19" s="47">
        <v>2</v>
      </c>
      <c r="H19" s="133">
        <f>IF(B$17=0,0,G19/B$17)</f>
        <v>1.3071895424836602E-2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-27.670833333333338</v>
      </c>
      <c r="P19" s="119">
        <v>48</v>
      </c>
      <c r="Q19" s="107">
        <v>-1328.2000000000003</v>
      </c>
    </row>
    <row r="20" spans="1:17" x14ac:dyDescent="0.4">
      <c r="A20" s="55" t="s">
        <v>13</v>
      </c>
      <c r="B20" s="47">
        <v>124</v>
      </c>
      <c r="C20" s="39">
        <f>IF(B$3=0,0,B20/B$3)</f>
        <v>0.19076923076923077</v>
      </c>
      <c r="E20" s="63" t="s">
        <v>78</v>
      </c>
      <c r="F20" s="60" t="s">
        <v>33</v>
      </c>
      <c r="G20" s="47">
        <v>1</v>
      </c>
      <c r="H20" s="133">
        <f>IF(B$17=0,0,G20/B$17)</f>
        <v>6.5359477124183009E-3</v>
      </c>
      <c r="I20" s="94">
        <v>1</v>
      </c>
      <c r="K20" s="38">
        <v>18</v>
      </c>
      <c r="L20" s="99">
        <v>-537.19999999999993</v>
      </c>
      <c r="N20" s="115" t="s">
        <v>171</v>
      </c>
      <c r="O20" s="125">
        <f>IF(P20=0,0,Q20/P20)</f>
        <v>-28.057692307692303</v>
      </c>
      <c r="P20" s="119">
        <v>26</v>
      </c>
      <c r="Q20" s="107">
        <v>-729.49999999999989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6.5359477124183009E-3</v>
      </c>
      <c r="I21" s="94">
        <v>9</v>
      </c>
      <c r="K21" s="38">
        <v>19</v>
      </c>
      <c r="L21" s="99">
        <v>-569.49999999999989</v>
      </c>
      <c r="N21" s="115" t="s">
        <v>172</v>
      </c>
      <c r="O21" s="125">
        <f>IF(P21=0,0,Q21/P21)</f>
        <v>-34.278947368421044</v>
      </c>
      <c r="P21" s="119">
        <v>19</v>
      </c>
      <c r="Q21" s="107">
        <v>-651.29999999999984</v>
      </c>
    </row>
    <row r="22" spans="1:17" x14ac:dyDescent="0.4">
      <c r="A22" s="55" t="s">
        <v>194</v>
      </c>
      <c r="B22" s="47">
        <v>31</v>
      </c>
      <c r="C22" s="135">
        <v>8</v>
      </c>
      <c r="E22" s="63" t="s">
        <v>89</v>
      </c>
      <c r="F22" s="60" t="s">
        <v>44</v>
      </c>
      <c r="G22" s="47">
        <v>1</v>
      </c>
      <c r="H22" s="133">
        <f>IF(B$17=0,0,G22/B$17)</f>
        <v>6.5359477124183009E-3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8882.3529411764703</v>
      </c>
      <c r="C23" s="41">
        <v>1359000</v>
      </c>
      <c r="E23" s="63" t="s">
        <v>92</v>
      </c>
      <c r="F23" s="60" t="s">
        <v>47</v>
      </c>
      <c r="G23" s="47">
        <v>1</v>
      </c>
      <c r="H23" s="133">
        <f>IF(B$17=0,0,G23/B$17)</f>
        <v>6.5359477124183009E-3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-9277.4193548387102</v>
      </c>
      <c r="C24" s="45">
        <v>-1150400</v>
      </c>
      <c r="E24" s="63" t="s">
        <v>93</v>
      </c>
      <c r="F24" s="60" t="s">
        <v>48</v>
      </c>
      <c r="G24" s="47">
        <v>1</v>
      </c>
      <c r="H24" s="133">
        <f>IF(B$17=0,0,G24/B$17)</f>
        <v>6.5359477124183009E-3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76</v>
      </c>
      <c r="F26" s="60" t="s">
        <v>31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1.5384615384615385E-3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1C4A-8006-4AFC-9767-62F04D827C11}">
  <sheetPr codeName="Sheet13"/>
  <dimension ref="A1:Q8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85</v>
      </c>
      <c r="C2" s="147"/>
      <c r="E2" s="62" t="s">
        <v>65</v>
      </c>
      <c r="F2" s="59" t="s">
        <v>21</v>
      </c>
      <c r="G2" s="46">
        <v>111</v>
      </c>
      <c r="H2" s="132">
        <f>IF(B$17=0,0,G2/B$17)</f>
        <v>0.54679802955665024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-372.94117647058823</v>
      </c>
      <c r="P2" s="118">
        <v>85</v>
      </c>
      <c r="Q2" s="102">
        <v>-31700</v>
      </c>
    </row>
    <row r="3" spans="1:17" x14ac:dyDescent="0.4">
      <c r="A3" s="55" t="s">
        <v>8</v>
      </c>
      <c r="B3" s="148">
        <v>708</v>
      </c>
      <c r="C3" s="149"/>
      <c r="E3" s="63" t="s">
        <v>66</v>
      </c>
      <c r="F3" s="60" t="s">
        <v>22</v>
      </c>
      <c r="G3" s="47">
        <v>28</v>
      </c>
      <c r="H3" s="133">
        <f>IF(B$17=0,0,G3/B$17)</f>
        <v>0.13793103448275862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791.56626506024099</v>
      </c>
      <c r="P3" s="119">
        <v>83</v>
      </c>
      <c r="Q3" s="103">
        <v>65700</v>
      </c>
    </row>
    <row r="4" spans="1:17" x14ac:dyDescent="0.4">
      <c r="A4" s="55" t="s">
        <v>6</v>
      </c>
      <c r="B4" s="150">
        <v>213.10000000000002</v>
      </c>
      <c r="C4" s="151"/>
      <c r="E4" s="63" t="s">
        <v>67</v>
      </c>
      <c r="F4" s="60" t="s">
        <v>23</v>
      </c>
      <c r="G4" s="47">
        <v>172</v>
      </c>
      <c r="H4" s="133">
        <f>IF(B$17=0,0,G4/B$17)</f>
        <v>0.84729064039408863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1650.6493506493507</v>
      </c>
      <c r="P4" s="119">
        <v>77</v>
      </c>
      <c r="Q4" s="103">
        <v>127100</v>
      </c>
    </row>
    <row r="5" spans="1:17" x14ac:dyDescent="0.4">
      <c r="A5" s="55" t="s">
        <v>7</v>
      </c>
      <c r="B5" s="152">
        <f>IF(B$2=0,0,B$4/B$2)</f>
        <v>2.507058823529412</v>
      </c>
      <c r="C5" s="153"/>
      <c r="E5" s="63" t="s">
        <v>68</v>
      </c>
      <c r="F5" s="60" t="s">
        <v>24</v>
      </c>
      <c r="G5" s="47">
        <v>70</v>
      </c>
      <c r="H5" s="133">
        <f>IF(B$17=0,0,G5/B$17)</f>
        <v>0.34482758620689657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1331.3432835820895</v>
      </c>
      <c r="P5" s="119">
        <v>67</v>
      </c>
      <c r="Q5" s="103">
        <v>89200</v>
      </c>
    </row>
    <row r="6" spans="1:17" x14ac:dyDescent="0.4">
      <c r="A6" s="55" t="s">
        <v>1</v>
      </c>
      <c r="B6" s="142">
        <f>IF(B$2=0,0,(B$7*1+B$8*2+B$9*3)/B$2)</f>
        <v>2.0117647058823529</v>
      </c>
      <c r="C6" s="143"/>
      <c r="E6" s="63" t="s">
        <v>69</v>
      </c>
      <c r="F6" s="60" t="s">
        <v>12</v>
      </c>
      <c r="G6" s="47">
        <v>60</v>
      </c>
      <c r="H6" s="133">
        <f>IF(B$17=0,0,G6/B$17)</f>
        <v>0.29556650246305421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-522.03389830508479</v>
      </c>
      <c r="P6" s="119">
        <v>59</v>
      </c>
      <c r="Q6" s="103">
        <v>-30800</v>
      </c>
    </row>
    <row r="7" spans="1:17" x14ac:dyDescent="0.4">
      <c r="A7" s="55" t="s">
        <v>2</v>
      </c>
      <c r="B7" s="47">
        <v>27</v>
      </c>
      <c r="C7" s="39">
        <f>IF(B$2=0,0,B7/B$2)</f>
        <v>0.31764705882352939</v>
      </c>
      <c r="E7" s="63" t="s">
        <v>70</v>
      </c>
      <c r="F7" s="60" t="s">
        <v>25</v>
      </c>
      <c r="G7" s="47">
        <v>39</v>
      </c>
      <c r="H7" s="133">
        <f>IF(B$17=0,0,G7/B$17)</f>
        <v>0.19211822660098521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-285.18518518518516</v>
      </c>
      <c r="P7" s="120">
        <v>54</v>
      </c>
      <c r="Q7" s="104">
        <v>-15400</v>
      </c>
    </row>
    <row r="8" spans="1:17" x14ac:dyDescent="0.4">
      <c r="A8" s="55" t="s">
        <v>3</v>
      </c>
      <c r="B8" s="47">
        <v>30</v>
      </c>
      <c r="C8" s="39">
        <f>IF(B$2=0,0,B8/B$2)</f>
        <v>0.35294117647058826</v>
      </c>
      <c r="E8" s="63" t="s">
        <v>71</v>
      </c>
      <c r="F8" s="60" t="s">
        <v>26</v>
      </c>
      <c r="G8" s="47">
        <v>21</v>
      </c>
      <c r="H8" s="133">
        <f>IF(B$17=0,0,G8/B$17)</f>
        <v>0.10344827586206896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0.32941176470588235</v>
      </c>
      <c r="E9" s="63" t="s">
        <v>72</v>
      </c>
      <c r="F9" s="60" t="s">
        <v>27</v>
      </c>
      <c r="G9" s="47">
        <v>12</v>
      </c>
      <c r="H9" s="133">
        <f>IF(B$17=0,0,G9/B$17)</f>
        <v>5.9113300492610835E-2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8.2352941176470587E-2</v>
      </c>
      <c r="E10" s="63" t="s">
        <v>73</v>
      </c>
      <c r="F10" s="60" t="s">
        <v>28</v>
      </c>
      <c r="G10" s="47">
        <v>105</v>
      </c>
      <c r="H10" s="133">
        <f>IF(B$17=0,0,G10/B$17)</f>
        <v>0.51724137931034486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9</v>
      </c>
      <c r="P10" s="118">
        <v>22</v>
      </c>
      <c r="Q10" s="106">
        <v>198</v>
      </c>
    </row>
    <row r="11" spans="1:17" x14ac:dyDescent="0.4">
      <c r="A11" s="56" t="s">
        <v>140</v>
      </c>
      <c r="B11" s="48">
        <v>12</v>
      </c>
      <c r="C11" s="40">
        <f>IF(B$2=0,0,B11/B$2)</f>
        <v>0.14117647058823529</v>
      </c>
      <c r="E11" s="63" t="s">
        <v>74</v>
      </c>
      <c r="F11" s="60" t="s">
        <v>29</v>
      </c>
      <c r="G11" s="47">
        <v>1</v>
      </c>
      <c r="H11" s="133">
        <f>IF(B$17=0,0,G11/B$17)</f>
        <v>4.9261083743842365E-3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7.0588235294117646E-2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3.1206896551724137</v>
      </c>
      <c r="P12" s="120">
        <v>29</v>
      </c>
      <c r="Q12" s="108">
        <v>90.5</v>
      </c>
    </row>
    <row r="13" spans="1:17" x14ac:dyDescent="0.4">
      <c r="A13" s="58" t="s">
        <v>122</v>
      </c>
      <c r="B13" s="50">
        <v>207</v>
      </c>
      <c r="C13" s="44">
        <f>IF(B$3=0,0,B13/B$3)</f>
        <v>0.2923728813559322</v>
      </c>
      <c r="E13" s="63" t="s">
        <v>76</v>
      </c>
      <c r="F13" s="60" t="s">
        <v>31</v>
      </c>
      <c r="G13" s="47">
        <v>3</v>
      </c>
      <c r="H13" s="133">
        <f>IF(B$17=0,0,G13/B$17)</f>
        <v>1.4778325123152709E-2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0.18926553672316385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119</v>
      </c>
      <c r="C15" s="37">
        <f>IF(B$13=0,0,B15/B$13)</f>
        <v>0.5748792270531401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28.057692307692299</v>
      </c>
      <c r="P15" s="118">
        <v>26</v>
      </c>
      <c r="Q15" s="106">
        <v>729.49999999999977</v>
      </c>
    </row>
    <row r="16" spans="1:17" x14ac:dyDescent="0.4">
      <c r="A16" s="54" t="s">
        <v>125</v>
      </c>
      <c r="B16" s="46">
        <v>56</v>
      </c>
      <c r="C16" s="37">
        <f>IF(B$14=0,0,B16/B$14)</f>
        <v>0.41791044776119401</v>
      </c>
      <c r="E16" s="63" t="s">
        <v>79</v>
      </c>
      <c r="F16" s="60" t="s">
        <v>34</v>
      </c>
      <c r="G16" s="47">
        <v>9</v>
      </c>
      <c r="H16" s="133">
        <f>IF(B$17=0,0,G16/B$17)</f>
        <v>4.4334975369458129E-2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203</v>
      </c>
      <c r="C17" s="37">
        <f>IF(B$3=0,0,B17/B$3)</f>
        <v>0.2867231638418079</v>
      </c>
      <c r="E17" s="63" t="s">
        <v>80</v>
      </c>
      <c r="F17" s="60" t="s">
        <v>35</v>
      </c>
      <c r="G17" s="47">
        <v>3</v>
      </c>
      <c r="H17" s="133">
        <f>IF(B$17=0,0,G17/B$17)</f>
        <v>1.4778325123152709E-2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83</v>
      </c>
      <c r="C18" s="39">
        <f>IF(B$17=0,0,B18/B$17)</f>
        <v>0.40886699507389163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120</v>
      </c>
      <c r="C19" s="39">
        <f>IF(B$17=0,0,B19/B$17)</f>
        <v>0.59113300492610843</v>
      </c>
      <c r="E19" s="63" t="s">
        <v>82</v>
      </c>
      <c r="F19" s="60" t="s">
        <v>37</v>
      </c>
      <c r="G19" s="47">
        <v>8</v>
      </c>
      <c r="H19" s="133">
        <f>IF(B$17=0,0,G19/B$17)</f>
        <v>3.9408866995073892E-2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120</v>
      </c>
      <c r="C20" s="39">
        <f>IF(B$3=0,0,B20/B$3)</f>
        <v>0.16949152542372881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5.4187192118226604E-2</v>
      </c>
      <c r="I21" s="94">
        <v>4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32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9.852216748768473E-3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-27.985714285714288</v>
      </c>
      <c r="P22" s="119">
        <v>14</v>
      </c>
      <c r="Q22" s="107">
        <v>-391.8</v>
      </c>
    </row>
    <row r="23" spans="1:17" x14ac:dyDescent="0.4">
      <c r="A23" s="55" t="s">
        <v>5</v>
      </c>
      <c r="B23" s="51">
        <f>IF(B$17=0,0,C23/B$17)</f>
        <v>10064.039408866995</v>
      </c>
      <c r="C23" s="41">
        <v>2043000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-8291.6666666666661</v>
      </c>
      <c r="C24" s="45">
        <v>-995000</v>
      </c>
      <c r="E24" s="63" t="s">
        <v>87</v>
      </c>
      <c r="F24" s="60" t="s">
        <v>42</v>
      </c>
      <c r="G24" s="47">
        <v>15</v>
      </c>
      <c r="H24" s="133">
        <f>IF(B$17=0,0,G24/B$17)</f>
        <v>7.3891625615763554E-2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4.9261083743842365E-3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1.4124293785310734E-3</v>
      </c>
      <c r="E27" s="63" t="s">
        <v>90</v>
      </c>
      <c r="F27" s="60" t="s">
        <v>45</v>
      </c>
      <c r="G27" s="47">
        <v>35</v>
      </c>
      <c r="H27" s="133">
        <f>IF(B$17=0,0,G27/B$17)</f>
        <v>0.17241379310344829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2.9556650246305417E-2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9.852216748768473E-3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4.9261083743842365E-3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1.9704433497536946E-2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79</v>
      </c>
      <c r="H51" s="134">
        <f>IF(B$17=0,0,G51/B$17)</f>
        <v>0.3891625615763547</v>
      </c>
      <c r="I51" s="95">
        <v>9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</sheetData>
  <sortState ref="E2:I8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119D-E638-43FF-99C5-5C1267423604}">
  <sheetPr codeName="Sheet15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67</v>
      </c>
      <c r="F2" s="59" t="s">
        <v>23</v>
      </c>
      <c r="G2" s="46">
        <v>139</v>
      </c>
      <c r="H2" s="132">
        <f>IF(B$17=0,0,G2/B$17)</f>
        <v>0.66190476190476188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704.3478260869565</v>
      </c>
      <c r="P2" s="118">
        <v>69</v>
      </c>
      <c r="Q2" s="102">
        <v>48600</v>
      </c>
    </row>
    <row r="3" spans="1:17" x14ac:dyDescent="0.4">
      <c r="A3" s="55" t="s">
        <v>8</v>
      </c>
      <c r="B3" s="148">
        <v>597</v>
      </c>
      <c r="C3" s="149"/>
      <c r="E3" s="63" t="s">
        <v>73</v>
      </c>
      <c r="F3" s="60" t="s">
        <v>28</v>
      </c>
      <c r="G3" s="47">
        <v>118</v>
      </c>
      <c r="H3" s="133">
        <f>IF(B$17=0,0,G3/B$17)</f>
        <v>0.56190476190476191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-755.07246376811599</v>
      </c>
      <c r="P3" s="119">
        <v>69</v>
      </c>
      <c r="Q3" s="103">
        <v>-52100</v>
      </c>
    </row>
    <row r="4" spans="1:17" x14ac:dyDescent="0.4">
      <c r="A4" s="55" t="s">
        <v>6</v>
      </c>
      <c r="B4" s="150">
        <v>-7.6000000000000298</v>
      </c>
      <c r="C4" s="151"/>
      <c r="E4" s="63" t="s">
        <v>181</v>
      </c>
      <c r="F4" s="60" t="s">
        <v>182</v>
      </c>
      <c r="G4" s="47">
        <v>93</v>
      </c>
      <c r="H4" s="133">
        <f>IF(B$17=0,0,G4/B$17)</f>
        <v>0.44285714285714284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-1608.0645161290322</v>
      </c>
      <c r="P4" s="119">
        <v>62</v>
      </c>
      <c r="Q4" s="103">
        <v>-99700</v>
      </c>
    </row>
    <row r="5" spans="1:17" x14ac:dyDescent="0.4">
      <c r="A5" s="55" t="s">
        <v>7</v>
      </c>
      <c r="B5" s="152">
        <f>IF(B$2=0,0,B$4/B$2)</f>
        <v>-0.11014492753623231</v>
      </c>
      <c r="C5" s="153"/>
      <c r="E5" s="63" t="s">
        <v>65</v>
      </c>
      <c r="F5" s="60" t="s">
        <v>21</v>
      </c>
      <c r="G5" s="47">
        <v>72</v>
      </c>
      <c r="H5" s="133">
        <f>IF(B$17=0,0,G5/B$17)</f>
        <v>0.34285714285714286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715.25423728813564</v>
      </c>
      <c r="P5" s="119">
        <v>59</v>
      </c>
      <c r="Q5" s="103">
        <v>42200</v>
      </c>
    </row>
    <row r="6" spans="1:17" x14ac:dyDescent="0.4">
      <c r="A6" s="55" t="s">
        <v>1</v>
      </c>
      <c r="B6" s="142">
        <f>IF(B$2=0,0,(B$7*1+B$8*2+B$9*3)/B$2)</f>
        <v>2.0289855072463769</v>
      </c>
      <c r="C6" s="143"/>
      <c r="E6" s="63" t="s">
        <v>69</v>
      </c>
      <c r="F6" s="60" t="s">
        <v>12</v>
      </c>
      <c r="G6" s="47">
        <v>55</v>
      </c>
      <c r="H6" s="133">
        <f>IF(B$17=0,0,G6/B$17)</f>
        <v>0.26190476190476192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943.85964912280701</v>
      </c>
      <c r="P6" s="119">
        <v>57</v>
      </c>
      <c r="Q6" s="103">
        <v>53800</v>
      </c>
    </row>
    <row r="7" spans="1:17" x14ac:dyDescent="0.4">
      <c r="A7" s="55" t="s">
        <v>2</v>
      </c>
      <c r="B7" s="47">
        <v>19</v>
      </c>
      <c r="C7" s="39">
        <f>IF(B$2=0,0,B7/B$2)</f>
        <v>0.27536231884057971</v>
      </c>
      <c r="E7" s="63" t="s">
        <v>68</v>
      </c>
      <c r="F7" s="60" t="s">
        <v>24</v>
      </c>
      <c r="G7" s="47">
        <v>35</v>
      </c>
      <c r="H7" s="133">
        <f>IF(B$17=0,0,G7/B$17)</f>
        <v>0.16666666666666666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-255.10204081632654</v>
      </c>
      <c r="P7" s="120">
        <v>49</v>
      </c>
      <c r="Q7" s="104">
        <v>-12500</v>
      </c>
    </row>
    <row r="8" spans="1:17" x14ac:dyDescent="0.4">
      <c r="A8" s="55" t="s">
        <v>3</v>
      </c>
      <c r="B8" s="47">
        <v>29</v>
      </c>
      <c r="C8" s="39">
        <f>IF(B$2=0,0,B8/B$2)</f>
        <v>0.42028985507246375</v>
      </c>
      <c r="E8" s="63" t="s">
        <v>70</v>
      </c>
      <c r="F8" s="60" t="s">
        <v>25</v>
      </c>
      <c r="G8" s="47">
        <v>31</v>
      </c>
      <c r="H8" s="133">
        <f>IF(B$17=0,0,G8/B$17)</f>
        <v>0.14761904761904762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0.30434782608695654</v>
      </c>
      <c r="E9" s="63" t="s">
        <v>66</v>
      </c>
      <c r="F9" s="60" t="s">
        <v>22</v>
      </c>
      <c r="G9" s="47">
        <v>24</v>
      </c>
      <c r="H9" s="133">
        <f>IF(B$17=0,0,G9/B$17)</f>
        <v>0.11428571428571428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4.3478260869565216E-2</v>
      </c>
      <c r="E10" s="63" t="s">
        <v>72</v>
      </c>
      <c r="F10" s="60" t="s">
        <v>27</v>
      </c>
      <c r="G10" s="47">
        <v>17</v>
      </c>
      <c r="H10" s="133">
        <f>IF(B$17=0,0,G10/B$17)</f>
        <v>8.0952380952380956E-2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-7.3800000000000026</v>
      </c>
      <c r="P10" s="118">
        <v>20</v>
      </c>
      <c r="Q10" s="106">
        <v>-147.60000000000005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0.10144927536231885</v>
      </c>
      <c r="E11" s="63" t="s">
        <v>90</v>
      </c>
      <c r="F11" s="60" t="s">
        <v>45</v>
      </c>
      <c r="G11" s="47">
        <v>17</v>
      </c>
      <c r="H11" s="133">
        <f>IF(B$17=0,0,G11/B$17)</f>
        <v>8.0952380952380956E-2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5.8090909090909086</v>
      </c>
      <c r="P11" s="119">
        <v>22</v>
      </c>
      <c r="Q11" s="107">
        <v>127.8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71</v>
      </c>
      <c r="F12" s="60" t="s">
        <v>26</v>
      </c>
      <c r="G12" s="47">
        <v>13</v>
      </c>
      <c r="H12" s="133">
        <f>IF(B$17=0,0,G12/B$17)</f>
        <v>6.1904761904761907E-2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0.45185185185185184</v>
      </c>
      <c r="P12" s="120">
        <v>27</v>
      </c>
      <c r="Q12" s="108">
        <v>12.2</v>
      </c>
    </row>
    <row r="13" spans="1:17" x14ac:dyDescent="0.4">
      <c r="A13" s="58" t="s">
        <v>122</v>
      </c>
      <c r="B13" s="50">
        <v>129</v>
      </c>
      <c r="C13" s="44">
        <f>IF(B$3=0,0,B13/B$3)</f>
        <v>0.21608040201005024</v>
      </c>
      <c r="E13" s="63" t="s">
        <v>84</v>
      </c>
      <c r="F13" s="60" t="s">
        <v>39</v>
      </c>
      <c r="G13" s="47">
        <v>12</v>
      </c>
      <c r="H13" s="133">
        <f>IF(B$17=0,0,G13/B$17)</f>
        <v>5.7142857142857141E-2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0.29145728643216079</v>
      </c>
      <c r="E14" s="63" t="s">
        <v>87</v>
      </c>
      <c r="F14" s="60" t="s">
        <v>42</v>
      </c>
      <c r="G14" s="47">
        <v>8</v>
      </c>
      <c r="H14" s="133">
        <f>IF(B$17=0,0,G14/B$17)</f>
        <v>3.8095238095238099E-2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72</v>
      </c>
      <c r="C15" s="37">
        <f>IF(B$13=0,0,B15/B$13)</f>
        <v>0.55813953488372092</v>
      </c>
      <c r="E15" s="63" t="s">
        <v>82</v>
      </c>
      <c r="F15" s="60" t="s">
        <v>37</v>
      </c>
      <c r="G15" s="47">
        <v>7</v>
      </c>
      <c r="H15" s="133">
        <f>IF(B$17=0,0,G15/B$17)</f>
        <v>3.3333333333333333E-2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34.278947368421036</v>
      </c>
      <c r="P15" s="118">
        <v>19</v>
      </c>
      <c r="Q15" s="106">
        <v>651.29999999999973</v>
      </c>
    </row>
    <row r="16" spans="1:17" x14ac:dyDescent="0.4">
      <c r="A16" s="54" t="s">
        <v>125</v>
      </c>
      <c r="B16" s="46">
        <v>75</v>
      </c>
      <c r="C16" s="37">
        <f>IF(B$14=0,0,B16/B$14)</f>
        <v>0.43103448275862066</v>
      </c>
      <c r="E16" s="63" t="s">
        <v>79</v>
      </c>
      <c r="F16" s="60" t="s">
        <v>34</v>
      </c>
      <c r="G16" s="47">
        <v>3</v>
      </c>
      <c r="H16" s="133">
        <f>IF(B$17=0,0,G16/B$17)</f>
        <v>1.4285714285714285E-2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210</v>
      </c>
      <c r="C17" s="37">
        <f>IF(B$3=0,0,B17/B$3)</f>
        <v>0.35175879396984927</v>
      </c>
      <c r="E17" s="63" t="s">
        <v>80</v>
      </c>
      <c r="F17" s="60" t="s">
        <v>35</v>
      </c>
      <c r="G17" s="47">
        <v>3</v>
      </c>
      <c r="H17" s="133">
        <f>IF(B$17=0,0,G17/B$17)</f>
        <v>1.4285714285714285E-2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88</v>
      </c>
      <c r="C18" s="39">
        <f>IF(B$17=0,0,B18/B$17)</f>
        <v>0.41904761904761906</v>
      </c>
      <c r="E18" s="63" t="s">
        <v>92</v>
      </c>
      <c r="F18" s="60" t="s">
        <v>47</v>
      </c>
      <c r="G18" s="47">
        <v>2</v>
      </c>
      <c r="H18" s="133">
        <f>IF(B$17=0,0,G18/B$17)</f>
        <v>9.5238095238095247E-3</v>
      </c>
      <c r="I18" s="94">
        <v>7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122</v>
      </c>
      <c r="C19" s="39">
        <f>IF(B$17=0,0,B19/B$17)</f>
        <v>0.580952380952381</v>
      </c>
      <c r="E19" s="63" t="s">
        <v>74</v>
      </c>
      <c r="F19" s="60" t="s">
        <v>29</v>
      </c>
      <c r="G19" s="47">
        <v>1</v>
      </c>
      <c r="H19" s="133">
        <f>IF(B$17=0,0,G19/B$17)</f>
        <v>4.7619047619047623E-3</v>
      </c>
      <c r="I19" s="94">
        <v>7</v>
      </c>
      <c r="K19" s="38">
        <v>17</v>
      </c>
      <c r="L19" s="99">
        <v>-55.099999999999994</v>
      </c>
      <c r="N19" s="115" t="s">
        <v>173</v>
      </c>
      <c r="O19" s="125">
        <f>IF(P19=0,0,Q19/P19)</f>
        <v>6.6333333333333302</v>
      </c>
      <c r="P19" s="119">
        <v>12</v>
      </c>
      <c r="Q19" s="107">
        <v>79.599999999999966</v>
      </c>
    </row>
    <row r="20" spans="1:17" x14ac:dyDescent="0.4">
      <c r="A20" s="55" t="s">
        <v>13</v>
      </c>
      <c r="B20" s="47">
        <v>80</v>
      </c>
      <c r="C20" s="39">
        <f>IF(B$3=0,0,B20/B$3)</f>
        <v>0.13400335008375208</v>
      </c>
      <c r="E20" s="63" t="s">
        <v>75</v>
      </c>
      <c r="F20" s="60" t="s">
        <v>30</v>
      </c>
      <c r="G20" s="47">
        <v>1</v>
      </c>
      <c r="H20" s="133">
        <f>IF(B$17=0,0,G20/B$17)</f>
        <v>4.7619047619047623E-3</v>
      </c>
      <c r="I20" s="94">
        <v>4</v>
      </c>
      <c r="K20" s="38">
        <v>18</v>
      </c>
      <c r="L20" s="99">
        <v>-28.199999999999996</v>
      </c>
      <c r="N20" s="115" t="s">
        <v>177</v>
      </c>
      <c r="O20" s="125">
        <f>IF(P20=0,0,Q20/P20)</f>
        <v>5.1416666666666657</v>
      </c>
      <c r="P20" s="119">
        <v>12</v>
      </c>
      <c r="Q20" s="107">
        <v>61.699999999999989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4.7619047619047623E-3</v>
      </c>
      <c r="I21" s="94">
        <v>6</v>
      </c>
      <c r="K21" s="38">
        <v>19</v>
      </c>
      <c r="L21" s="99">
        <v>29.200000000000003</v>
      </c>
      <c r="N21" s="115" t="s">
        <v>128</v>
      </c>
      <c r="O21" s="125">
        <f>IF(P21=0,0,Q21/P21)</f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194</v>
      </c>
      <c r="B22" s="47">
        <v>23</v>
      </c>
      <c r="C22" s="135">
        <v>2</v>
      </c>
      <c r="E22" s="63" t="s">
        <v>88</v>
      </c>
      <c r="F22" s="60" t="s">
        <v>43</v>
      </c>
      <c r="G22" s="47">
        <v>1</v>
      </c>
      <c r="H22" s="133">
        <f>IF(B$17=0,0,G22/B$17)</f>
        <v>4.7619047619047623E-3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6635.7142857142853</v>
      </c>
      <c r="C23" s="41">
        <v>1393500</v>
      </c>
      <c r="E23" s="63" t="s">
        <v>91</v>
      </c>
      <c r="F23" s="60" t="s">
        <v>46</v>
      </c>
      <c r="G23" s="47">
        <v>1</v>
      </c>
      <c r="H23" s="133">
        <f>IF(B$17=0,0,G23/B$17)</f>
        <v>4.7619047619047623E-3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-22.883783783783784</v>
      </c>
      <c r="P23" s="119">
        <v>37</v>
      </c>
      <c r="Q23" s="107">
        <v>-846.7</v>
      </c>
    </row>
    <row r="24" spans="1:17" x14ac:dyDescent="0.4">
      <c r="A24" s="57" t="s">
        <v>14</v>
      </c>
      <c r="B24" s="52">
        <f>IF(B$20=0,0,C24/B$20)</f>
        <v>-8927.5</v>
      </c>
      <c r="C24" s="45">
        <v>-714200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1.6750418760469012E-3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0DEEF-52E6-4F2E-B49C-FF449D3A2E8E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04C5-73AB-4CFF-9CED-74AD6439E141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</v>
      </c>
      <c r="C2" s="147"/>
      <c r="E2" s="62" t="s">
        <v>65</v>
      </c>
      <c r="F2" s="59" t="s">
        <v>21</v>
      </c>
      <c r="G2" s="46">
        <v>73</v>
      </c>
      <c r="H2" s="132">
        <f>IF(B$17=0,0,G2/B$17)</f>
        <v>0.58870967741935487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327.45098039215685</v>
      </c>
      <c r="P2" s="118">
        <v>51</v>
      </c>
      <c r="Q2" s="102">
        <v>16700</v>
      </c>
    </row>
    <row r="3" spans="1:17" x14ac:dyDescent="0.4">
      <c r="A3" s="55" t="s">
        <v>8</v>
      </c>
      <c r="B3" s="148">
        <v>415</v>
      </c>
      <c r="C3" s="149"/>
      <c r="E3" s="63" t="s">
        <v>66</v>
      </c>
      <c r="F3" s="60" t="s">
        <v>22</v>
      </c>
      <c r="G3" s="47">
        <v>15</v>
      </c>
      <c r="H3" s="133">
        <f>IF(B$17=0,0,G3/B$17)</f>
        <v>0.12096774193548387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908.33333333333337</v>
      </c>
      <c r="P3" s="119">
        <v>48</v>
      </c>
      <c r="Q3" s="103">
        <v>43600</v>
      </c>
    </row>
    <row r="4" spans="1:17" x14ac:dyDescent="0.4">
      <c r="A4" s="55" t="s">
        <v>6</v>
      </c>
      <c r="B4" s="150">
        <v>20.999999999999993</v>
      </c>
      <c r="C4" s="151"/>
      <c r="E4" s="63" t="s">
        <v>67</v>
      </c>
      <c r="F4" s="60" t="s">
        <v>23</v>
      </c>
      <c r="G4" s="47">
        <v>71</v>
      </c>
      <c r="H4" s="133">
        <f>IF(B$17=0,0,G4/B$17)</f>
        <v>0.57258064516129037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-1147.7272727272727</v>
      </c>
      <c r="P4" s="119">
        <v>44</v>
      </c>
      <c r="Q4" s="103">
        <v>-50500</v>
      </c>
    </row>
    <row r="5" spans="1:17" x14ac:dyDescent="0.4">
      <c r="A5" s="55" t="s">
        <v>7</v>
      </c>
      <c r="B5" s="152">
        <f>IF(B$2=0,0,B$4/B$2)</f>
        <v>0.41176470588235281</v>
      </c>
      <c r="C5" s="153"/>
      <c r="E5" s="63" t="s">
        <v>68</v>
      </c>
      <c r="F5" s="60" t="s">
        <v>24</v>
      </c>
      <c r="G5" s="47">
        <v>44</v>
      </c>
      <c r="H5" s="133">
        <f>IF(B$17=0,0,G5/B$17)</f>
        <v>0.35483870967741937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1418.6046511627908</v>
      </c>
      <c r="P5" s="119">
        <v>43</v>
      </c>
      <c r="Q5" s="103">
        <v>61000</v>
      </c>
    </row>
    <row r="6" spans="1:17" x14ac:dyDescent="0.4">
      <c r="A6" s="55" t="s">
        <v>1</v>
      </c>
      <c r="B6" s="142">
        <f>IF(B$2=0,0,(B$7*1+B$8*2+B$9*3)/B$2)</f>
        <v>1.9607843137254901</v>
      </c>
      <c r="C6" s="143"/>
      <c r="E6" s="63" t="s">
        <v>69</v>
      </c>
      <c r="F6" s="60" t="s">
        <v>12</v>
      </c>
      <c r="G6" s="47">
        <v>38</v>
      </c>
      <c r="H6" s="133">
        <f>IF(B$17=0,0,G6/B$17)</f>
        <v>0.30645161290322581</v>
      </c>
      <c r="I6" s="94">
        <v>9</v>
      </c>
      <c r="K6" s="38">
        <v>4</v>
      </c>
      <c r="L6" s="99">
        <v>40</v>
      </c>
      <c r="N6" s="115" t="s">
        <v>136</v>
      </c>
      <c r="O6" s="122">
        <f t="shared" si="0"/>
        <v>-1741.0256410256411</v>
      </c>
      <c r="P6" s="119">
        <v>39</v>
      </c>
      <c r="Q6" s="103">
        <v>-67900</v>
      </c>
    </row>
    <row r="7" spans="1:17" x14ac:dyDescent="0.4">
      <c r="A7" s="55" t="s">
        <v>2</v>
      </c>
      <c r="B7" s="47">
        <v>19</v>
      </c>
      <c r="C7" s="39">
        <f>IF(B$2=0,0,B7/B$2)</f>
        <v>0.37254901960784315</v>
      </c>
      <c r="E7" s="63" t="s">
        <v>70</v>
      </c>
      <c r="F7" s="60" t="s">
        <v>25</v>
      </c>
      <c r="G7" s="47">
        <v>21</v>
      </c>
      <c r="H7" s="133">
        <f>IF(B$17=0,0,G7/B$17)</f>
        <v>0.16935483870967741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571.875</v>
      </c>
      <c r="P7" s="120">
        <v>32</v>
      </c>
      <c r="Q7" s="104">
        <v>18300</v>
      </c>
    </row>
    <row r="8" spans="1:17" x14ac:dyDescent="0.4">
      <c r="A8" s="55" t="s">
        <v>3</v>
      </c>
      <c r="B8" s="47">
        <v>15</v>
      </c>
      <c r="C8" s="39">
        <f>IF(B$2=0,0,B8/B$2)</f>
        <v>0.29411764705882354</v>
      </c>
      <c r="E8" s="63" t="s">
        <v>71</v>
      </c>
      <c r="F8" s="60" t="s">
        <v>26</v>
      </c>
      <c r="G8" s="47">
        <v>8</v>
      </c>
      <c r="H8" s="133">
        <f>IF(B$17=0,0,G8/B$17)</f>
        <v>6.4516129032258063E-2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4.8387096774193547E-2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0.17647058823529413</v>
      </c>
      <c r="E10" s="63" t="s">
        <v>73</v>
      </c>
      <c r="F10" s="60" t="s">
        <v>28</v>
      </c>
      <c r="G10" s="47">
        <v>56</v>
      </c>
      <c r="H10" s="133">
        <f>IF(B$17=0,0,G10/B$17)</f>
        <v>0.45161290322580644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9.8039215686274508E-2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5.5473684210526315</v>
      </c>
      <c r="P11" s="119">
        <v>19</v>
      </c>
      <c r="Q11" s="107">
        <v>105.39999999999999</v>
      </c>
    </row>
    <row r="12" spans="1:17" x14ac:dyDescent="0.4">
      <c r="A12" s="57" t="s">
        <v>160</v>
      </c>
      <c r="B12" s="49">
        <v>5</v>
      </c>
      <c r="C12" s="42">
        <f>IF(B$2=0,0,B12/B$2)</f>
        <v>9.8039215686274508E-2</v>
      </c>
      <c r="E12" s="63" t="s">
        <v>75</v>
      </c>
      <c r="F12" s="60" t="s">
        <v>30</v>
      </c>
      <c r="G12" s="47">
        <v>1</v>
      </c>
      <c r="H12" s="133">
        <f>IF(B$17=0,0,G12/B$17)</f>
        <v>8.0645161290322578E-3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-4.166666666666667</v>
      </c>
      <c r="P12" s="120">
        <v>18</v>
      </c>
      <c r="Q12" s="108">
        <v>-75</v>
      </c>
    </row>
    <row r="13" spans="1:17" x14ac:dyDescent="0.4">
      <c r="A13" s="58" t="s">
        <v>122</v>
      </c>
      <c r="B13" s="50">
        <v>110</v>
      </c>
      <c r="C13" s="44">
        <f>IF(B$3=0,0,B13/B$3)</f>
        <v>0.26506024096385544</v>
      </c>
      <c r="E13" s="63" t="s">
        <v>76</v>
      </c>
      <c r="F13" s="60" t="s">
        <v>31</v>
      </c>
      <c r="G13" s="47">
        <v>1</v>
      </c>
      <c r="H13" s="133">
        <f>IF(B$17=0,0,G13/B$17)</f>
        <v>8.0645161290322578E-3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0.18795180722891566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</v>
      </c>
      <c r="C15" s="37">
        <f>IF(B$13=0,0,B15/B$13)</f>
        <v>0.66363636363636369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0.37179487179487181</v>
      </c>
      <c r="E16" s="63" t="s">
        <v>79</v>
      </c>
      <c r="F16" s="60" t="s">
        <v>34</v>
      </c>
      <c r="G16" s="47">
        <v>5</v>
      </c>
      <c r="H16" s="133">
        <f>IF(B$17=0,0,G16/B$17)</f>
        <v>4.0322580645161289E-2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27.985714285714291</v>
      </c>
      <c r="P16" s="119">
        <v>14</v>
      </c>
      <c r="Q16" s="107">
        <v>391.80000000000007</v>
      </c>
    </row>
    <row r="17" spans="1:17" x14ac:dyDescent="0.4">
      <c r="A17" s="54" t="s">
        <v>10</v>
      </c>
      <c r="B17" s="46">
        <f>B19+B18</f>
        <v>124</v>
      </c>
      <c r="C17" s="37">
        <f>IF(B$3=0,0,B17/B$3)</f>
        <v>0.29879518072289157</v>
      </c>
      <c r="E17" s="63" t="s">
        <v>80</v>
      </c>
      <c r="F17" s="60" t="s">
        <v>35</v>
      </c>
      <c r="G17" s="47">
        <v>2</v>
      </c>
      <c r="H17" s="133">
        <f>IF(B$17=0,0,G17/B$17)</f>
        <v>1.6129032258064516E-2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54</v>
      </c>
      <c r="C18" s="39">
        <f>IF(B$17=0,0,B18/B$17)</f>
        <v>0.43548387096774194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70</v>
      </c>
      <c r="C19" s="39">
        <f>IF(B$17=0,0,B19/B$17)</f>
        <v>0.56451612903225812</v>
      </c>
      <c r="E19" s="63" t="s">
        <v>82</v>
      </c>
      <c r="F19" s="60" t="s">
        <v>37</v>
      </c>
      <c r="G19" s="47">
        <v>3</v>
      </c>
      <c r="H19" s="133">
        <f>IF(B$17=0,0,G19/B$17)</f>
        <v>2.4193548387096774E-2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0.16144578313253011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1.4142857142857115</v>
      </c>
      <c r="P20" s="119">
        <v>14</v>
      </c>
      <c r="Q20" s="107">
        <v>19.799999999999962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4.0322580645161289E-2</v>
      </c>
      <c r="I21" s="94">
        <v>8</v>
      </c>
      <c r="K21" s="38">
        <v>19</v>
      </c>
      <c r="L21" s="99">
        <v>-235.6</v>
      </c>
      <c r="N21" s="115" t="s">
        <v>172</v>
      </c>
      <c r="O21" s="125">
        <f t="shared" si="2"/>
        <v>-5.1416666666666702</v>
      </c>
      <c r="P21" s="119">
        <v>12</v>
      </c>
      <c r="Q21" s="107">
        <v>-61.700000000000038</v>
      </c>
    </row>
    <row r="22" spans="1:17" x14ac:dyDescent="0.4">
      <c r="A22" s="55" t="s">
        <v>194</v>
      </c>
      <c r="B22" s="47">
        <v>22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8587.0967741935492</v>
      </c>
      <c r="C23" s="41">
        <v>1064800</v>
      </c>
      <c r="E23" s="63" t="s">
        <v>86</v>
      </c>
      <c r="F23" s="60" t="s">
        <v>41</v>
      </c>
      <c r="G23" s="47">
        <v>2</v>
      </c>
      <c r="H23" s="133">
        <f>IF(B$17=0,0,G23/B$17)</f>
        <v>1.6129032258064516E-2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87</v>
      </c>
      <c r="F24" s="60" t="s">
        <v>42</v>
      </c>
      <c r="G24" s="47">
        <v>3</v>
      </c>
      <c r="H24" s="133">
        <f>IF(B$17=0,0,G24/B$17)</f>
        <v>2.4193548387096774E-2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7.2289156626506026E-3</v>
      </c>
      <c r="E27" s="63" t="s">
        <v>90</v>
      </c>
      <c r="F27" s="60" t="s">
        <v>45</v>
      </c>
      <c r="G27" s="47">
        <v>13</v>
      </c>
      <c r="H27" s="133">
        <f>IF(B$17=0,0,G27/B$17)</f>
        <v>0.10483870967741936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8.0645161290322578E-3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4.0322580645161289E-2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8.0645161290322578E-3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8.0645161290322578E-3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64" t="s">
        <v>181</v>
      </c>
      <c r="F51" s="61" t="s">
        <v>182</v>
      </c>
      <c r="G51" s="49">
        <v>51</v>
      </c>
      <c r="H51" s="134">
        <f>IF(B$17=0,0,G51/B$17)</f>
        <v>0.41129032258064518</v>
      </c>
      <c r="I51" s="95">
        <v>5</v>
      </c>
      <c r="K51" s="38">
        <v>49</v>
      </c>
      <c r="L51" s="99">
        <v>-29.900000000000006</v>
      </c>
    </row>
    <row r="52" spans="5:12" x14ac:dyDescent="0.4"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</sheetData>
  <sortState ref="E2:I5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F3FEE-3DB5-434D-826D-24AEF11A4FE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7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1E7F7-FBF3-4C65-9D8D-611E18494E2D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2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40980-0D86-4446-9B1C-723C163FF479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6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A77C-9959-47E3-AD89-E8EEEA8BE349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EAE5A-0DE7-491F-80DA-6928FC782EBE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47300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0.2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4F0C-C521-4AF5-B459-CA6116668AAC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954-B6E6-49CA-9537-93775BE6BAA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9A916-E978-46A5-A71F-C52AA6EC608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C9A5F-1C69-4FEB-B051-A7318CEAAC49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15BF-DE68-4E31-8BAD-1F255C2D35AA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A784-761C-45D6-896B-D4DEF90D40C9}">
  <sheetPr codeName="Sheet2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DA1EC-FAF1-4DB3-B7EB-F9939A87E3CD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C8D6-D65B-4801-BCCC-EB0FCB9E8C59}">
  <sheetPr codeName="Sheet16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D0EF-CC69-4F94-8434-490948463E4A}">
  <sheetPr codeName="Sheet14"/>
  <dimension ref="A1:Q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0D61-48AC-4822-9A28-5D2F5F3BD630}">
  <sheetPr codeName="Sheet12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BFE0-88CA-4416-9FAF-F907B63065A3}">
  <sheetPr codeName="Sheet10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8D93D-B11B-4E9D-9D8F-2FBED2D484AB}">
  <sheetPr codeName="Sheet8"/>
  <dimension ref="A1:Q1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E296-8936-4DBC-90CD-B0B3BC0EA157}">
  <sheetPr codeName="Sheet6"/>
  <dimension ref="A1:Q2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2019-06-04T09:22:42Z</dcterms:modified>
</cp:coreProperties>
</file>