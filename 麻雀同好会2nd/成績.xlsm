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B111A10-5471-49F2-AB7C-64BE09967C7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41" r:id="rId6"/>
    <sheet name="だいち" sheetId="5043" r:id="rId7"/>
    <sheet name="りくと" sheetId="5045" r:id="rId8"/>
    <sheet name="ただ" sheetId="5047" r:id="rId9"/>
    <sheet name="れんたろう" sheetId="5049" r:id="rId10"/>
    <sheet name="たかの" sheetId="5051" r:id="rId11"/>
    <sheet name="ぱぱ" sheetId="5053" r:id="rId12"/>
    <sheet name="まっつん" sheetId="5055" r:id="rId13"/>
    <sheet name="あさひ" sheetId="5057" r:id="rId14"/>
    <sheet name="いっしー" sheetId="5059" r:id="rId15"/>
    <sheet name="ほたに" sheetId="5061" r:id="rId16"/>
    <sheet name="ほたに2" sheetId="5062" state="hidden" r:id="rId17"/>
    <sheet name="いっしー2" sheetId="5060" state="hidden" r:id="rId18"/>
    <sheet name="あさひ2" sheetId="5058" state="hidden" r:id="rId19"/>
    <sheet name="まっつん2" sheetId="5056" state="hidden" r:id="rId20"/>
    <sheet name="ぱぱ2" sheetId="5054" state="hidden" r:id="rId21"/>
    <sheet name="たかの2" sheetId="5052" state="hidden" r:id="rId22"/>
    <sheet name="れんたろう2" sheetId="5050" state="hidden" r:id="rId23"/>
    <sheet name="ただ2" sheetId="5048" state="hidden" r:id="rId24"/>
    <sheet name="りくと2" sheetId="5046" state="hidden" r:id="rId25"/>
    <sheet name="だいち2" sheetId="5044" state="hidden" r:id="rId26"/>
    <sheet name="全体2" sheetId="504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043" l="1"/>
  <c r="O18" i="5061"/>
  <c r="O21" i="5053"/>
  <c r="O16" i="5061"/>
  <c r="O15" i="5061" l="1"/>
  <c r="O17" i="5061"/>
  <c r="C27" i="5061"/>
  <c r="B24" i="5061"/>
  <c r="C20" i="5061"/>
  <c r="B17" i="5061"/>
  <c r="H7" i="5061" s="1"/>
  <c r="C16" i="5061"/>
  <c r="C15" i="5061"/>
  <c r="C14" i="5061"/>
  <c r="C13" i="5061"/>
  <c r="O12" i="5061"/>
  <c r="C12" i="5061"/>
  <c r="O11" i="5061"/>
  <c r="C11" i="5061"/>
  <c r="O10" i="5061"/>
  <c r="C10" i="5061"/>
  <c r="C9" i="5061"/>
  <c r="C8" i="5061"/>
  <c r="O7" i="5061"/>
  <c r="C7" i="5061"/>
  <c r="O6" i="5061"/>
  <c r="B6" i="5061"/>
  <c r="O5" i="5061"/>
  <c r="B5" i="5061"/>
  <c r="O4" i="5061"/>
  <c r="O3" i="5061"/>
  <c r="O2" i="5061"/>
  <c r="O22" i="5049"/>
  <c r="O16" i="5051"/>
  <c r="O22" i="5041"/>
  <c r="H8" i="5061" l="1"/>
  <c r="H43" i="5061"/>
  <c r="H2" i="5061"/>
  <c r="B23" i="5061"/>
  <c r="H31" i="5061"/>
  <c r="H26" i="5061"/>
  <c r="H33" i="5061"/>
  <c r="H15" i="5061"/>
  <c r="H35" i="5061"/>
  <c r="H13" i="5061"/>
  <c r="H48" i="5061"/>
  <c r="H4" i="5061"/>
  <c r="C17" i="5061"/>
  <c r="C18" i="5061"/>
  <c r="H45" i="5061"/>
  <c r="H18" i="5061"/>
  <c r="H12" i="5061"/>
  <c r="H3" i="5061"/>
  <c r="H27" i="5061"/>
  <c r="H47" i="5061"/>
  <c r="H10" i="5061"/>
  <c r="H49" i="5061"/>
  <c r="H41" i="5061"/>
  <c r="H17" i="5061"/>
  <c r="H32" i="5061"/>
  <c r="H5" i="5061"/>
  <c r="H21" i="5061"/>
  <c r="H46" i="5061"/>
  <c r="C19" i="5061"/>
  <c r="H37" i="5061"/>
  <c r="H19" i="5061"/>
  <c r="H22" i="5061"/>
  <c r="H38" i="5061"/>
  <c r="H6" i="5061"/>
  <c r="H14" i="5061"/>
  <c r="H16" i="5061"/>
  <c r="H29" i="5061"/>
  <c r="H39" i="5061"/>
  <c r="H11" i="5061"/>
  <c r="H24" i="5061"/>
  <c r="H30" i="5061"/>
  <c r="H40" i="5061"/>
  <c r="H51" i="5061"/>
  <c r="H23" i="5061"/>
  <c r="H28" i="5061"/>
  <c r="H34" i="5061"/>
  <c r="H42" i="5061"/>
  <c r="H50" i="5061"/>
  <c r="H20" i="5061"/>
  <c r="H25" i="5061"/>
  <c r="H9" i="5061"/>
  <c r="H36" i="5061"/>
  <c r="H44" i="5061"/>
  <c r="O18" i="5051" l="1"/>
  <c r="O15" i="5047"/>
  <c r="O19" i="5055"/>
  <c r="O22" i="5055"/>
  <c r="O19" i="5043" l="1"/>
  <c r="O17" i="5059"/>
  <c r="O16" i="5059" l="1"/>
  <c r="O15" i="5059"/>
  <c r="O16" i="5049"/>
  <c r="O20" i="5047"/>
  <c r="O17" i="5057" l="1"/>
  <c r="O22" i="5053"/>
  <c r="O15" i="5057"/>
  <c r="O20" i="5059"/>
  <c r="O15" i="5045"/>
  <c r="O15" i="5055"/>
  <c r="O16" i="5041"/>
  <c r="O18" i="5059"/>
  <c r="O19" i="5059"/>
  <c r="C27" i="5059"/>
  <c r="B24" i="5059"/>
  <c r="C20" i="5059"/>
  <c r="B17" i="5059"/>
  <c r="H7" i="5059" s="1"/>
  <c r="C16" i="5059"/>
  <c r="C15" i="5059"/>
  <c r="C14" i="5059"/>
  <c r="C13" i="5059"/>
  <c r="O12" i="5059"/>
  <c r="C12" i="5059"/>
  <c r="O11" i="5059"/>
  <c r="C11" i="5059"/>
  <c r="O10" i="5059"/>
  <c r="C10" i="5059"/>
  <c r="C9" i="5059"/>
  <c r="C8" i="5059"/>
  <c r="O7" i="5059"/>
  <c r="C7" i="5059"/>
  <c r="O6" i="5059"/>
  <c r="B6" i="5059"/>
  <c r="O5" i="5059"/>
  <c r="B5" i="5059"/>
  <c r="O4" i="5059"/>
  <c r="O3" i="5059"/>
  <c r="O2" i="5059"/>
  <c r="O16" i="5057"/>
  <c r="O18" i="5057"/>
  <c r="C27" i="5057"/>
  <c r="B24" i="5057"/>
  <c r="C20" i="5057"/>
  <c r="B17" i="5057"/>
  <c r="H7" i="5057" s="1"/>
  <c r="C16" i="5057"/>
  <c r="C15" i="5057"/>
  <c r="C14" i="5057"/>
  <c r="C13" i="5057"/>
  <c r="O12" i="5057"/>
  <c r="C12" i="5057"/>
  <c r="O11" i="5057"/>
  <c r="C11" i="5057"/>
  <c r="O10" i="5057"/>
  <c r="C10" i="5057"/>
  <c r="C9" i="5057"/>
  <c r="C8" i="5057"/>
  <c r="O7" i="5057"/>
  <c r="C7" i="5057"/>
  <c r="O6" i="5057"/>
  <c r="B6" i="5057"/>
  <c r="O5" i="5057"/>
  <c r="B5" i="5057"/>
  <c r="O4" i="5057"/>
  <c r="O3" i="5057"/>
  <c r="O2" i="5057"/>
  <c r="O20" i="5055"/>
  <c r="O21" i="5055"/>
  <c r="O15" i="5043"/>
  <c r="O17" i="5043"/>
  <c r="O24" i="5041"/>
  <c r="H16" i="5059" l="1"/>
  <c r="H26" i="5059"/>
  <c r="H5" i="5059"/>
  <c r="H20" i="5059"/>
  <c r="H39" i="5059"/>
  <c r="H21" i="5059"/>
  <c r="H43" i="5059"/>
  <c r="H40" i="5059"/>
  <c r="H8" i="5059"/>
  <c r="H11" i="5059"/>
  <c r="H18" i="5059"/>
  <c r="H4" i="5059"/>
  <c r="H17" i="5059"/>
  <c r="H10" i="5059"/>
  <c r="C17" i="5057"/>
  <c r="H4" i="5057"/>
  <c r="H16" i="5057"/>
  <c r="H3" i="5057"/>
  <c r="H37" i="5057"/>
  <c r="H33" i="5057"/>
  <c r="H11" i="5057"/>
  <c r="H21" i="5057"/>
  <c r="C19" i="5057"/>
  <c r="H45" i="5057"/>
  <c r="H49" i="5057"/>
  <c r="C18" i="5057"/>
  <c r="H5" i="5057"/>
  <c r="H17" i="5057"/>
  <c r="H39" i="5057"/>
  <c r="H2" i="5057"/>
  <c r="H12" i="5057"/>
  <c r="H46" i="5057"/>
  <c r="H26" i="5057"/>
  <c r="H9" i="5057"/>
  <c r="H38" i="5057"/>
  <c r="H14" i="5057"/>
  <c r="H27" i="5057"/>
  <c r="H13" i="5057"/>
  <c r="H41" i="5057"/>
  <c r="H18" i="5057"/>
  <c r="H22" i="5057"/>
  <c r="H29" i="5057"/>
  <c r="H8" i="5057"/>
  <c r="H10" i="5057"/>
  <c r="H15" i="5057"/>
  <c r="H30" i="5057"/>
  <c r="H19" i="5057"/>
  <c r="B23" i="5057"/>
  <c r="H31" i="5057"/>
  <c r="H47" i="5057"/>
  <c r="H3" i="5059"/>
  <c r="H30" i="5059"/>
  <c r="H22" i="5059"/>
  <c r="H19" i="5059"/>
  <c r="H31" i="5059"/>
  <c r="H2" i="5059"/>
  <c r="H29" i="5059"/>
  <c r="C19" i="5059"/>
  <c r="H15" i="5059"/>
  <c r="H12" i="5059"/>
  <c r="H38" i="5059"/>
  <c r="H45" i="5059"/>
  <c r="B23" i="5059"/>
  <c r="H32" i="5059"/>
  <c r="H46" i="5059"/>
  <c r="C17" i="5059"/>
  <c r="H25" i="5059"/>
  <c r="H35" i="5059"/>
  <c r="H47" i="5059"/>
  <c r="H9" i="5059"/>
  <c r="H13" i="5059"/>
  <c r="C18" i="5059"/>
  <c r="H37" i="5059"/>
  <c r="H48" i="5059"/>
  <c r="H27" i="5059"/>
  <c r="H33" i="5059"/>
  <c r="H41" i="5059"/>
  <c r="H49" i="5059"/>
  <c r="H23" i="5059"/>
  <c r="H28" i="5059"/>
  <c r="H34" i="5059"/>
  <c r="H42" i="5059"/>
  <c r="H50" i="5059"/>
  <c r="H51" i="5059"/>
  <c r="H14" i="5059"/>
  <c r="H24" i="5059"/>
  <c r="H6" i="5059"/>
  <c r="H36" i="5059"/>
  <c r="H44" i="5059"/>
  <c r="H32" i="5057"/>
  <c r="H40" i="5057"/>
  <c r="H48" i="5057"/>
  <c r="H23" i="5057"/>
  <c r="H28" i="5057"/>
  <c r="H34" i="5057"/>
  <c r="H42" i="5057"/>
  <c r="H50" i="5057"/>
  <c r="H24" i="5057"/>
  <c r="H35" i="5057"/>
  <c r="H43" i="5057"/>
  <c r="H51" i="5057"/>
  <c r="H20" i="5057"/>
  <c r="H25" i="5057"/>
  <c r="H6" i="5057"/>
  <c r="H36" i="5057"/>
  <c r="H44" i="5057"/>
  <c r="O16" i="5055" l="1"/>
  <c r="O19" i="5053"/>
  <c r="O16" i="5053"/>
  <c r="O20" i="5045"/>
  <c r="O17" i="5051" l="1"/>
  <c r="O17" i="5049"/>
  <c r="O18" i="5053"/>
  <c r="O17" i="5053"/>
  <c r="O15" i="5051" l="1"/>
  <c r="O15" i="5049"/>
  <c r="O21" i="5047"/>
  <c r="O19" i="5047"/>
  <c r="O17" i="5055"/>
  <c r="O18" i="5055"/>
  <c r="H10" i="5055"/>
  <c r="C27" i="5055"/>
  <c r="B24" i="5055"/>
  <c r="C20" i="5055"/>
  <c r="B17" i="5055"/>
  <c r="H50" i="5055" s="1"/>
  <c r="C16" i="5055"/>
  <c r="C15" i="5055"/>
  <c r="C14" i="5055"/>
  <c r="C13" i="5055"/>
  <c r="O12" i="5055"/>
  <c r="C12" i="5055"/>
  <c r="O11" i="5055"/>
  <c r="C11" i="5055"/>
  <c r="O10" i="5055"/>
  <c r="C10" i="5055"/>
  <c r="C9" i="5055"/>
  <c r="C8" i="5055"/>
  <c r="O7" i="5055"/>
  <c r="C7" i="5055"/>
  <c r="O6" i="5055"/>
  <c r="B6" i="5055"/>
  <c r="O5" i="5055"/>
  <c r="B5" i="5055"/>
  <c r="O4" i="5055"/>
  <c r="O3" i="5055"/>
  <c r="O2" i="5055"/>
  <c r="O20" i="5049"/>
  <c r="O16" i="5045"/>
  <c r="O17" i="5041"/>
  <c r="H35" i="5055" l="1"/>
  <c r="H7" i="5055"/>
  <c r="H22" i="5055"/>
  <c r="H9" i="5055"/>
  <c r="H28" i="5055"/>
  <c r="H14" i="5055"/>
  <c r="H16" i="5055"/>
  <c r="H36" i="5055"/>
  <c r="H19" i="5055"/>
  <c r="H44" i="5055"/>
  <c r="H45" i="5055"/>
  <c r="H8" i="5055"/>
  <c r="H3" i="5055"/>
  <c r="C17" i="5055"/>
  <c r="H38" i="5055"/>
  <c r="H12" i="5055"/>
  <c r="H6" i="5055"/>
  <c r="H17" i="5055"/>
  <c r="H49" i="5055"/>
  <c r="H46" i="5055"/>
  <c r="H26" i="5055"/>
  <c r="H47" i="5055"/>
  <c r="H23" i="5055"/>
  <c r="H48" i="5055"/>
  <c r="C18" i="5055"/>
  <c r="H40" i="5055"/>
  <c r="H32" i="5055"/>
  <c r="H51" i="5055"/>
  <c r="H2" i="5055"/>
  <c r="H11" i="5055"/>
  <c r="H37" i="5055"/>
  <c r="H15" i="5055"/>
  <c r="H30" i="5055"/>
  <c r="B23" i="5055"/>
  <c r="H39" i="5055"/>
  <c r="H18" i="5055"/>
  <c r="H20" i="5055"/>
  <c r="H31" i="5055"/>
  <c r="H4" i="5055"/>
  <c r="H13" i="5055"/>
  <c r="H24" i="5055"/>
  <c r="H41" i="5055"/>
  <c r="H21" i="5055"/>
  <c r="C19" i="5055"/>
  <c r="H27" i="5055"/>
  <c r="H33" i="5055"/>
  <c r="H43" i="5055"/>
  <c r="H5" i="5055"/>
  <c r="H25" i="5055"/>
  <c r="H29" i="5055"/>
  <c r="H34" i="5055"/>
  <c r="H42" i="5055"/>
  <c r="O17" i="5047" l="1"/>
  <c r="O20" i="5053"/>
  <c r="O15" i="5053"/>
  <c r="C27" i="5053"/>
  <c r="B24" i="5053"/>
  <c r="C20" i="5053"/>
  <c r="B17" i="5053"/>
  <c r="H51" i="5053" s="1"/>
  <c r="C16" i="5053"/>
  <c r="C15" i="5053"/>
  <c r="C14" i="5053"/>
  <c r="C13" i="5053"/>
  <c r="O12" i="5053"/>
  <c r="C12" i="5053"/>
  <c r="O11" i="5053"/>
  <c r="C11" i="5053"/>
  <c r="O10" i="5053"/>
  <c r="C10" i="5053"/>
  <c r="C9" i="5053"/>
  <c r="C8" i="5053"/>
  <c r="O7" i="5053"/>
  <c r="C7" i="5053"/>
  <c r="O6" i="5053"/>
  <c r="B6" i="5053"/>
  <c r="O5" i="5053"/>
  <c r="B5" i="5053"/>
  <c r="O4" i="5053"/>
  <c r="O3" i="5053"/>
  <c r="O2" i="5053"/>
  <c r="O20" i="5043"/>
  <c r="O18" i="5041"/>
  <c r="O20" i="5051"/>
  <c r="O19" i="5045"/>
  <c r="O18" i="5045"/>
  <c r="O18" i="5049"/>
  <c r="O19" i="5051"/>
  <c r="O21" i="5051"/>
  <c r="C27" i="5051"/>
  <c r="B24" i="5051"/>
  <c r="C20" i="5051"/>
  <c r="B17" i="5051"/>
  <c r="H50" i="5051" s="1"/>
  <c r="C16" i="5051"/>
  <c r="C15" i="5051"/>
  <c r="C14" i="5051"/>
  <c r="C13" i="5051"/>
  <c r="O12" i="5051"/>
  <c r="C12" i="5051"/>
  <c r="O11" i="5051"/>
  <c r="C11" i="5051"/>
  <c r="O10" i="5051"/>
  <c r="C10" i="5051"/>
  <c r="C9" i="5051"/>
  <c r="C8" i="5051"/>
  <c r="O7" i="5051"/>
  <c r="C7" i="5051"/>
  <c r="O6" i="5051"/>
  <c r="B6" i="5051"/>
  <c r="O5" i="5051"/>
  <c r="B5" i="5051"/>
  <c r="O4" i="5051"/>
  <c r="O3" i="5051"/>
  <c r="O2" i="5051"/>
  <c r="O21" i="5049"/>
  <c r="O19" i="5049"/>
  <c r="C27" i="5049"/>
  <c r="B24" i="5049"/>
  <c r="C20" i="5049"/>
  <c r="B17" i="5049"/>
  <c r="H51" i="5049" s="1"/>
  <c r="C16" i="5049"/>
  <c r="C15" i="5049"/>
  <c r="C14" i="5049"/>
  <c r="C13" i="5049"/>
  <c r="O12" i="5049"/>
  <c r="C12" i="5049"/>
  <c r="O11" i="5049"/>
  <c r="C11" i="5049"/>
  <c r="O10" i="5049"/>
  <c r="C10" i="5049"/>
  <c r="C9" i="5049"/>
  <c r="C8" i="5049"/>
  <c r="O7" i="5049"/>
  <c r="C7" i="5049"/>
  <c r="O6" i="5049"/>
  <c r="B6" i="5049"/>
  <c r="O5" i="5049"/>
  <c r="B5" i="5049"/>
  <c r="O4" i="5049"/>
  <c r="O3" i="5049"/>
  <c r="O2" i="5049"/>
  <c r="O18" i="5043"/>
  <c r="O22" i="5043"/>
  <c r="O21" i="5041"/>
  <c r="O20" i="5041"/>
  <c r="H44" i="5053" l="1"/>
  <c r="H12" i="5053"/>
  <c r="H3" i="5053"/>
  <c r="H14" i="5053"/>
  <c r="H47" i="5053"/>
  <c r="H5" i="5053"/>
  <c r="H46" i="5053"/>
  <c r="H49" i="5053"/>
  <c r="H45" i="5053"/>
  <c r="C18" i="5053"/>
  <c r="H24" i="5053"/>
  <c r="H16" i="5053"/>
  <c r="H32" i="5053"/>
  <c r="H7" i="5053"/>
  <c r="B23" i="5053"/>
  <c r="H36" i="5053"/>
  <c r="H13" i="5053"/>
  <c r="H2" i="5053"/>
  <c r="H22" i="5053"/>
  <c r="H8" i="5053"/>
  <c r="C19" i="5053"/>
  <c r="H9" i="5053"/>
  <c r="H23" i="5053"/>
  <c r="H33" i="5053"/>
  <c r="H4" i="5053"/>
  <c r="H11" i="5053"/>
  <c r="H20" i="5053"/>
  <c r="H17" i="5053"/>
  <c r="H28" i="5053"/>
  <c r="H37" i="5053"/>
  <c r="H39" i="5053"/>
  <c r="H9" i="5051"/>
  <c r="H6" i="5051"/>
  <c r="H35" i="5051"/>
  <c r="H15" i="5049"/>
  <c r="H22" i="5049"/>
  <c r="H39" i="5049"/>
  <c r="H3" i="5049"/>
  <c r="H12" i="5049"/>
  <c r="H7" i="5049"/>
  <c r="H13" i="5049"/>
  <c r="H20" i="5049"/>
  <c r="H25" i="5049"/>
  <c r="H44" i="5049"/>
  <c r="H23" i="5049"/>
  <c r="H50" i="5049"/>
  <c r="H2" i="5049"/>
  <c r="H10" i="5049"/>
  <c r="H16" i="5049"/>
  <c r="H24" i="5049"/>
  <c r="H33" i="5049"/>
  <c r="H40" i="5049"/>
  <c r="H9" i="5049"/>
  <c r="H41" i="5049"/>
  <c r="H26" i="5049"/>
  <c r="C19" i="5049"/>
  <c r="H49" i="5049"/>
  <c r="H21" i="5049"/>
  <c r="H32" i="5049"/>
  <c r="H5" i="5049"/>
  <c r="H11" i="5049"/>
  <c r="H14" i="5049"/>
  <c r="H37" i="5049"/>
  <c r="H25" i="5053"/>
  <c r="H38" i="5053"/>
  <c r="H48" i="5053"/>
  <c r="H15" i="5053"/>
  <c r="H31" i="5053"/>
  <c r="H40" i="5053"/>
  <c r="H19" i="5053"/>
  <c r="H10" i="5053"/>
  <c r="H21" i="5053"/>
  <c r="C17" i="5053"/>
  <c r="H27" i="5053"/>
  <c r="H18" i="5053"/>
  <c r="H41" i="5053"/>
  <c r="H6" i="5053"/>
  <c r="H29" i="5053"/>
  <c r="H34" i="5053"/>
  <c r="H42" i="5053"/>
  <c r="H50" i="5053"/>
  <c r="H26" i="5053"/>
  <c r="H30" i="5053"/>
  <c r="H35" i="5053"/>
  <c r="H43" i="5053"/>
  <c r="H44" i="5051"/>
  <c r="H20" i="5051"/>
  <c r="H16" i="5051"/>
  <c r="H14" i="5051"/>
  <c r="H15" i="5051"/>
  <c r="H28" i="5051"/>
  <c r="H45" i="5049"/>
  <c r="H29" i="5049"/>
  <c r="H34" i="5049"/>
  <c r="H47" i="5049"/>
  <c r="H4" i="5049"/>
  <c r="H8" i="5049"/>
  <c r="H17" i="5049"/>
  <c r="C17" i="5049"/>
  <c r="H36" i="5049"/>
  <c r="H48" i="5049"/>
  <c r="H46" i="5051"/>
  <c r="H36" i="5051"/>
  <c r="H3" i="5051"/>
  <c r="H21" i="5051"/>
  <c r="H47" i="5051"/>
  <c r="H37" i="5051"/>
  <c r="H26" i="5051"/>
  <c r="H18" i="5051"/>
  <c r="H7" i="5051"/>
  <c r="H19" i="5051"/>
  <c r="C18" i="5051"/>
  <c r="H27" i="5051"/>
  <c r="H31" i="5051"/>
  <c r="H40" i="5051"/>
  <c r="H49" i="5051"/>
  <c r="H10" i="5051"/>
  <c r="H8" i="5051"/>
  <c r="H30" i="5051"/>
  <c r="H17" i="5051"/>
  <c r="H48" i="5051"/>
  <c r="H4" i="5051"/>
  <c r="H11" i="5051"/>
  <c r="H24" i="5051"/>
  <c r="H32" i="5051"/>
  <c r="H41" i="5051"/>
  <c r="H51" i="5051"/>
  <c r="H45" i="5051"/>
  <c r="H2" i="5051"/>
  <c r="H12" i="5051"/>
  <c r="C17" i="5051"/>
  <c r="H38" i="5051"/>
  <c r="B23" i="5051"/>
  <c r="H39" i="5051"/>
  <c r="H22" i="5051"/>
  <c r="H23" i="5051"/>
  <c r="C19" i="5051"/>
  <c r="H13" i="5051"/>
  <c r="H33" i="5051"/>
  <c r="H43" i="5051"/>
  <c r="H5" i="5051"/>
  <c r="H25" i="5051"/>
  <c r="H29" i="5051"/>
  <c r="H34" i="5051"/>
  <c r="H42" i="5051"/>
  <c r="H19" i="5049"/>
  <c r="H28" i="5049"/>
  <c r="H18" i="5049"/>
  <c r="H42" i="5049"/>
  <c r="H6" i="5049"/>
  <c r="C18" i="5049"/>
  <c r="B23" i="5049"/>
  <c r="H31" i="5049"/>
  <c r="H38" i="5049"/>
  <c r="H46" i="5049"/>
  <c r="H27" i="5049"/>
  <c r="H30" i="5049"/>
  <c r="H35" i="5049"/>
  <c r="H43" i="5049"/>
  <c r="O16" i="5047" l="1"/>
  <c r="O18" i="5047"/>
  <c r="C27" i="5047"/>
  <c r="B24" i="5047"/>
  <c r="C20" i="5047"/>
  <c r="B17" i="5047"/>
  <c r="H5" i="5047" s="1"/>
  <c r="C16" i="5047"/>
  <c r="C15" i="5047"/>
  <c r="C14" i="5047"/>
  <c r="C13" i="5047"/>
  <c r="O12" i="5047"/>
  <c r="C12" i="5047"/>
  <c r="O11" i="5047"/>
  <c r="C11" i="5047"/>
  <c r="O10" i="5047"/>
  <c r="C10" i="5047"/>
  <c r="C9" i="5047"/>
  <c r="C8" i="5047"/>
  <c r="O7" i="5047"/>
  <c r="C7" i="5047"/>
  <c r="O6" i="5047"/>
  <c r="B6" i="5047"/>
  <c r="O5" i="5047"/>
  <c r="B5" i="5047"/>
  <c r="O4" i="5047"/>
  <c r="O3" i="5047"/>
  <c r="O2" i="5047"/>
  <c r="O21" i="5045"/>
  <c r="O17" i="5045"/>
  <c r="C27" i="5045"/>
  <c r="B24" i="5045"/>
  <c r="C20" i="5045"/>
  <c r="B17" i="5045"/>
  <c r="H51" i="5045" s="1"/>
  <c r="C16" i="5045"/>
  <c r="C15" i="5045"/>
  <c r="C14" i="5045"/>
  <c r="C13" i="5045"/>
  <c r="O12" i="5045"/>
  <c r="C12" i="5045"/>
  <c r="O11" i="5045"/>
  <c r="C11" i="5045"/>
  <c r="O10" i="5045"/>
  <c r="C10" i="5045"/>
  <c r="C9" i="5045"/>
  <c r="C8" i="5045"/>
  <c r="O7" i="5045"/>
  <c r="C7" i="5045"/>
  <c r="O6" i="5045"/>
  <c r="B6" i="5045"/>
  <c r="O5" i="5045"/>
  <c r="B5" i="5045"/>
  <c r="O4" i="5045"/>
  <c r="O3" i="5045"/>
  <c r="H9" i="5045"/>
  <c r="O2" i="5045"/>
  <c r="O23" i="5041"/>
  <c r="O16" i="5043"/>
  <c r="O23" i="5043"/>
  <c r="C27" i="5043"/>
  <c r="B24" i="5043"/>
  <c r="C20" i="5043"/>
  <c r="B17" i="5043"/>
  <c r="H51" i="5043" s="1"/>
  <c r="C16" i="5043"/>
  <c r="C15" i="5043"/>
  <c r="C14" i="5043"/>
  <c r="C13" i="5043"/>
  <c r="O12" i="5043"/>
  <c r="C12" i="5043"/>
  <c r="O11" i="5043"/>
  <c r="C11" i="5043"/>
  <c r="O10" i="5043"/>
  <c r="C10" i="5043"/>
  <c r="C9" i="5043"/>
  <c r="C8" i="5043"/>
  <c r="O7" i="5043"/>
  <c r="C7" i="5043"/>
  <c r="O6" i="5043"/>
  <c r="B6" i="5043"/>
  <c r="O5" i="5043"/>
  <c r="B5" i="5043"/>
  <c r="O4" i="5043"/>
  <c r="O3" i="5043"/>
  <c r="O2" i="5043"/>
  <c r="O15" i="5041"/>
  <c r="O19" i="5041"/>
  <c r="C27" i="5041"/>
  <c r="B24" i="5041"/>
  <c r="C20" i="5041"/>
  <c r="B17" i="5041"/>
  <c r="H51" i="5041" s="1"/>
  <c r="C16" i="5041"/>
  <c r="C15" i="5041"/>
  <c r="C14" i="5041"/>
  <c r="C13" i="5041"/>
  <c r="O12" i="5041"/>
  <c r="C12" i="5041"/>
  <c r="O11" i="5041"/>
  <c r="C11" i="5041"/>
  <c r="O10" i="5041"/>
  <c r="C10" i="5041"/>
  <c r="C9" i="5041"/>
  <c r="C8" i="5041"/>
  <c r="O7" i="5041"/>
  <c r="C7" i="5041"/>
  <c r="O6" i="5041"/>
  <c r="B6" i="5041"/>
  <c r="O5" i="5041"/>
  <c r="B5" i="5041"/>
  <c r="O4" i="5041"/>
  <c r="O3" i="5041"/>
  <c r="O2" i="5041"/>
  <c r="H36" i="5041" l="1"/>
  <c r="H21" i="5045"/>
  <c r="H3" i="5041"/>
  <c r="H6" i="5041"/>
  <c r="H28" i="5043"/>
  <c r="H18" i="5041"/>
  <c r="H10" i="5041"/>
  <c r="H29" i="5047"/>
  <c r="H37" i="5047"/>
  <c r="H7" i="5047"/>
  <c r="H38" i="5047"/>
  <c r="C17" i="5047"/>
  <c r="H8" i="5047"/>
  <c r="H22" i="5047"/>
  <c r="C18" i="5047"/>
  <c r="H13" i="5047"/>
  <c r="H39" i="5047"/>
  <c r="H26" i="5047"/>
  <c r="H40" i="5047"/>
  <c r="H6" i="5047"/>
  <c r="C19" i="5047"/>
  <c r="H30" i="5047"/>
  <c r="H45" i="5047"/>
  <c r="H2" i="5047"/>
  <c r="H46" i="5047"/>
  <c r="H23" i="5047"/>
  <c r="H3" i="5047"/>
  <c r="H9" i="5047"/>
  <c r="H31" i="5047"/>
  <c r="H24" i="5047"/>
  <c r="H32" i="5047"/>
  <c r="H47" i="5047"/>
  <c r="H20" i="5047"/>
  <c r="H15" i="5047"/>
  <c r="H12" i="5047"/>
  <c r="H4" i="5047"/>
  <c r="H10" i="5047"/>
  <c r="H21" i="5047"/>
  <c r="B23" i="5047"/>
  <c r="H19" i="5047"/>
  <c r="H48" i="5047"/>
  <c r="H14" i="5047"/>
  <c r="H17" i="5047"/>
  <c r="H33" i="5047"/>
  <c r="H41" i="5047"/>
  <c r="H49" i="5047"/>
  <c r="H27" i="5047"/>
  <c r="H18" i="5047"/>
  <c r="H34" i="5047"/>
  <c r="H42" i="5047"/>
  <c r="H50" i="5047"/>
  <c r="H16" i="5047"/>
  <c r="H35" i="5047"/>
  <c r="H43" i="5047"/>
  <c r="H51" i="5047"/>
  <c r="H25" i="5047"/>
  <c r="H28" i="5047"/>
  <c r="H11" i="5047"/>
  <c r="H36" i="5047"/>
  <c r="H44" i="5047"/>
  <c r="H36" i="5045"/>
  <c r="H32" i="5045"/>
  <c r="H13" i="5045"/>
  <c r="H7" i="5045"/>
  <c r="H37" i="5045"/>
  <c r="H45" i="5045"/>
  <c r="H19" i="5045"/>
  <c r="H14" i="5045"/>
  <c r="H46" i="5045"/>
  <c r="H47" i="5045"/>
  <c r="H8" i="5045"/>
  <c r="H48" i="5045"/>
  <c r="B23" i="5045"/>
  <c r="H11" i="5045"/>
  <c r="H20" i="5045"/>
  <c r="H39" i="5045"/>
  <c r="H16" i="5045"/>
  <c r="H6" i="5045"/>
  <c r="C18" i="5045"/>
  <c r="H41" i="5045"/>
  <c r="H50" i="5045"/>
  <c r="H15" i="5045"/>
  <c r="C17" i="5045"/>
  <c r="H24" i="5045"/>
  <c r="H17" i="5045"/>
  <c r="H49" i="5045"/>
  <c r="H22" i="5045"/>
  <c r="H31" i="5045"/>
  <c r="H27" i="5045"/>
  <c r="H18" i="5045"/>
  <c r="H2" i="5045"/>
  <c r="H4" i="5045"/>
  <c r="H38" i="5045"/>
  <c r="H33" i="5045"/>
  <c r="H40" i="5045"/>
  <c r="H28" i="5045"/>
  <c r="H26" i="5045"/>
  <c r="H3" i="5045"/>
  <c r="H10" i="5045"/>
  <c r="H29" i="5045"/>
  <c r="H42" i="5045"/>
  <c r="H23" i="5045"/>
  <c r="C19" i="5045"/>
  <c r="H12" i="5045"/>
  <c r="H34" i="5045"/>
  <c r="H44" i="5045"/>
  <c r="H5" i="5045"/>
  <c r="H30" i="5045"/>
  <c r="H25" i="5045"/>
  <c r="H35" i="5045"/>
  <c r="H43" i="5045"/>
  <c r="H14" i="5041"/>
  <c r="H23" i="5041"/>
  <c r="H36" i="5043"/>
  <c r="H15" i="5043"/>
  <c r="H13" i="5043"/>
  <c r="H23" i="5043"/>
  <c r="H7" i="5043"/>
  <c r="H10" i="5043"/>
  <c r="H17" i="5043"/>
  <c r="H45" i="5043"/>
  <c r="H46" i="5043"/>
  <c r="H9" i="5043"/>
  <c r="H32" i="5043"/>
  <c r="H8" i="5043"/>
  <c r="H3" i="5043"/>
  <c r="H47" i="5043"/>
  <c r="H48" i="5043"/>
  <c r="H18" i="5043"/>
  <c r="H6" i="5043"/>
  <c r="H20" i="5043"/>
  <c r="H33" i="5043"/>
  <c r="H50" i="5043"/>
  <c r="H38" i="5043"/>
  <c r="H21" i="5043"/>
  <c r="H39" i="5043"/>
  <c r="B23" i="5043"/>
  <c r="H40" i="5043"/>
  <c r="C18" i="5043"/>
  <c r="H25" i="5043"/>
  <c r="H11" i="5043"/>
  <c r="H26" i="5043"/>
  <c r="H16" i="5043"/>
  <c r="H37" i="5043"/>
  <c r="H2" i="5043"/>
  <c r="H14" i="5043"/>
  <c r="C17" i="5043"/>
  <c r="H24" i="5043"/>
  <c r="H19" i="5043"/>
  <c r="H49" i="5043"/>
  <c r="H29" i="5043"/>
  <c r="H41" i="5043"/>
  <c r="H4" i="5043"/>
  <c r="H30" i="5043"/>
  <c r="H42" i="5043"/>
  <c r="H22" i="5043"/>
  <c r="C19" i="5043"/>
  <c r="H12" i="5043"/>
  <c r="H35" i="5043"/>
  <c r="H44" i="5043"/>
  <c r="H5" i="5043"/>
  <c r="H31" i="5043"/>
  <c r="H34" i="5043"/>
  <c r="H27" i="5043"/>
  <c r="H43" i="5043"/>
  <c r="H45" i="5041"/>
  <c r="H37" i="5041"/>
  <c r="H25" i="5041"/>
  <c r="H15" i="5041"/>
  <c r="H13" i="5041"/>
  <c r="H46" i="5041"/>
  <c r="H47" i="5041"/>
  <c r="H8" i="5041"/>
  <c r="H28" i="5041"/>
  <c r="H48" i="5041"/>
  <c r="H16" i="5041"/>
  <c r="H41" i="5041"/>
  <c r="H9" i="5041"/>
  <c r="C17" i="5041"/>
  <c r="H30" i="5041"/>
  <c r="H19" i="5041"/>
  <c r="H49" i="5041"/>
  <c r="H7" i="5041"/>
  <c r="H32" i="5041"/>
  <c r="H29" i="5041"/>
  <c r="H4" i="5041"/>
  <c r="H17" i="5041"/>
  <c r="H2" i="5041"/>
  <c r="H38" i="5041"/>
  <c r="H20" i="5041"/>
  <c r="H39" i="5041"/>
  <c r="B23" i="5041"/>
  <c r="H40" i="5041"/>
  <c r="H21" i="5041"/>
  <c r="C18" i="5041"/>
  <c r="H22" i="5041"/>
  <c r="H50" i="5041"/>
  <c r="H11" i="5041"/>
  <c r="H33" i="5041"/>
  <c r="H24" i="5041"/>
  <c r="H42" i="5041"/>
  <c r="H26" i="5041"/>
  <c r="C19" i="5041"/>
  <c r="H12" i="5041"/>
  <c r="H35" i="5041"/>
  <c r="H44" i="5041"/>
  <c r="H5" i="5041"/>
  <c r="H34" i="5041"/>
  <c r="H27" i="5041"/>
  <c r="H31" i="5041"/>
  <c r="H43" i="504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<sst xmlns="http://schemas.openxmlformats.org/spreadsheetml/2006/main" count="2704" uniqueCount="217">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</sst>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全体!$K$2:$K$356</c:f>
              <c:numCache>
                <c:formatCode>General</c:formatCode>
                <c:ptCount val="3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</c:numCache>
            </c:numRef>
          </c:xVal>
          <c:yVal>
            <c:numRef>
              <c:f>全体!$L$2:$L$356</c:f>
              <c:numCache>
                <c:formatCode>\+0.0;\-0.0;\±0</c:formatCode>
                <c:ptCount val="35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-37.59999999999998</c:v>
                </c:pt>
                <c:pt idx="327">
                  <c:v>1.0000000000000213</c:v>
                </c:pt>
                <c:pt idx="328">
                  <c:v>33.500000000000021</c:v>
                </c:pt>
                <c:pt idx="329">
                  <c:v>39.600000000000023</c:v>
                </c:pt>
                <c:pt idx="330">
                  <c:v>1.0000000000000213</c:v>
                </c:pt>
                <c:pt idx="331">
                  <c:v>-35.799999999999976</c:v>
                </c:pt>
                <c:pt idx="332">
                  <c:v>2.400000000000027</c:v>
                </c:pt>
                <c:pt idx="333">
                  <c:v>1.0000000000000271</c:v>
                </c:pt>
                <c:pt idx="334">
                  <c:v>11.000000000000027</c:v>
                </c:pt>
                <c:pt idx="335">
                  <c:v>-38.699999999999974</c:v>
                </c:pt>
                <c:pt idx="336">
                  <c:v>1.0000000000000284</c:v>
                </c:pt>
                <c:pt idx="337">
                  <c:v>43.500000000000028</c:v>
                </c:pt>
                <c:pt idx="338">
                  <c:v>4.0000000000000284</c:v>
                </c:pt>
                <c:pt idx="339">
                  <c:v>1.0000000000000284</c:v>
                </c:pt>
                <c:pt idx="340">
                  <c:v>-5.9999999999999716</c:v>
                </c:pt>
                <c:pt idx="341">
                  <c:v>-40.799999999999969</c:v>
                </c:pt>
                <c:pt idx="342">
                  <c:v>1.0000000000000284</c:v>
                </c:pt>
                <c:pt idx="343">
                  <c:v>-33.199999999999974</c:v>
                </c:pt>
                <c:pt idx="344">
                  <c:v>1.3000000000000256</c:v>
                </c:pt>
                <c:pt idx="345">
                  <c:v>1.0000000000000255</c:v>
                </c:pt>
                <c:pt idx="346">
                  <c:v>-57.499999999999972</c:v>
                </c:pt>
                <c:pt idx="347">
                  <c:v>-43.999999999999972</c:v>
                </c:pt>
                <c:pt idx="348">
                  <c:v>1.0000000000000284</c:v>
                </c:pt>
                <c:pt idx="349">
                  <c:v>-76.999999999999972</c:v>
                </c:pt>
                <c:pt idx="350">
                  <c:v>-16.599999999999973</c:v>
                </c:pt>
                <c:pt idx="351">
                  <c:v>1.0000000000000284</c:v>
                </c:pt>
                <c:pt idx="352">
                  <c:v>3.1000000000000285</c:v>
                </c:pt>
                <c:pt idx="353">
                  <c:v>31.500000000000028</c:v>
                </c:pt>
                <c:pt idx="354">
                  <c:v>1.0000000000000284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4-4B74-A410-477AEE60A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-14.124293785310735</c:v>
                </c:pt>
                <c:pt idx="1">
                  <c:v>-14.245014245014245</c:v>
                </c:pt>
                <c:pt idx="2">
                  <c:v>18.181818181818183</c:v>
                </c:pt>
                <c:pt idx="3">
                  <c:v>10</c:v>
                </c:pt>
                <c:pt idx="4">
                  <c:v>-18.315018315018314</c:v>
                </c:pt>
                <c:pt idx="5">
                  <c:v>27.450980392156861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0-4205-B42E-1F0482D3E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74-48DA-88B8-201307B2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2409.7560975609758</c:v>
                </c:pt>
                <c:pt idx="1">
                  <c:v>2909.8765432098767</c:v>
                </c:pt>
                <c:pt idx="2">
                  <c:v>2788.3116883116882</c:v>
                </c:pt>
                <c:pt idx="3">
                  <c:v>2588.5714285714284</c:v>
                </c:pt>
                <c:pt idx="4">
                  <c:v>-69.354838709677423</c:v>
                </c:pt>
                <c:pt idx="5">
                  <c:v>1418.9655172413793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0-44B0-BCC8-846269362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りくと!$L$2:$L$89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F-4F2C-9E02-44F30ABC0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1032.183908045977</c:v>
                </c:pt>
                <c:pt idx="1">
                  <c:v>-2323.2558139534885</c:v>
                </c:pt>
                <c:pt idx="2">
                  <c:v>-1551.8072289156626</c:v>
                </c:pt>
                <c:pt idx="3">
                  <c:v>1076</c:v>
                </c:pt>
                <c:pt idx="4">
                  <c:v>483.8235294117647</c:v>
                </c:pt>
                <c:pt idx="5">
                  <c:v>287.5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9-441D-A271-C13F4B6DC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-837.69999999999993</c:v>
                </c:pt>
                <c:pt idx="33">
                  <c:v>-877.19999999999993</c:v>
                </c:pt>
                <c:pt idx="34">
                  <c:v>-832.19999999999993</c:v>
                </c:pt>
                <c:pt idx="35">
                  <c:v>-814.59999999999991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0A-4DAB-BB6A-151A2468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-2874.2857142857142</c:v>
                </c:pt>
                <c:pt idx="1">
                  <c:v>-3417.1428571428573</c:v>
                </c:pt>
                <c:pt idx="2">
                  <c:v>-1643.75</c:v>
                </c:pt>
                <c:pt idx="3">
                  <c:v>-6907.4074074074078</c:v>
                </c:pt>
                <c:pt idx="4">
                  <c:v>-1087.5</c:v>
                </c:pt>
                <c:pt idx="5">
                  <c:v>-1377.2727272727273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E-437C-9D07-A65C487F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れんたろう!$L$2:$L$46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F-47F9-9719-343C4B65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-100</c:v>
                </c:pt>
                <c:pt idx="1">
                  <c:v>802.27272727272725</c:v>
                </c:pt>
                <c:pt idx="2">
                  <c:v>626.19047619047615</c:v>
                </c:pt>
                <c:pt idx="3">
                  <c:v>1416.6666666666667</c:v>
                </c:pt>
                <c:pt idx="4">
                  <c:v>-966.66666666666663</c:v>
                </c:pt>
                <c:pt idx="5">
                  <c:v>3.225806451612903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8-4020-AE11-5C42E959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5-47AB-BBB5-94A64AABE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1742.1052631578948</c:v>
                </c:pt>
                <c:pt idx="1">
                  <c:v>113.15789473684211</c:v>
                </c:pt>
                <c:pt idx="2">
                  <c:v>112.12121212121212</c:v>
                </c:pt>
                <c:pt idx="3">
                  <c:v>1474.1935483870968</c:v>
                </c:pt>
                <c:pt idx="4">
                  <c:v>-1126.6666666666667</c:v>
                </c:pt>
                <c:pt idx="5">
                  <c:v>-1781.4814814814815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B-4590-A113-1F158B52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ぱぱ!$L$2:$L$36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0-4D4E-AE9B-363F9A9A8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-3038.2352941176468</c:v>
                </c:pt>
                <c:pt idx="1">
                  <c:v>1788.2352941176471</c:v>
                </c:pt>
                <c:pt idx="2">
                  <c:v>-831.25</c:v>
                </c:pt>
                <c:pt idx="3">
                  <c:v>-4610</c:v>
                </c:pt>
                <c:pt idx="4">
                  <c:v>970.37037037037032</c:v>
                </c:pt>
                <c:pt idx="5">
                  <c:v>638.46153846153845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2-4E5C-B412-7689B2146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6-4877-81E9-D853E97DC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-425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2-41ED-8C1F-52A61E24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D-4487-B7A4-60A712DCF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8-49D1-900E-3DD3A0E54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7-4A5F-9FFC-AF0E488F8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A-435F-9A15-7500B049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E-41B4-A755-D02774BC6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1-4C91-B329-C93E7296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000000000000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248587570622271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90598290598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20512820512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04.62753950338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1.99186991869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9491525423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9491525423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40170940170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777777777777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63959390862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1475667189952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66591422121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43593.733356481483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43593.780659722222</v>
      </c>
      <c r="C31" s="30" t="s">
        <v>130</v>
      </c>
      <c r="D31" s="30" t="s">
        <v>131</v>
      </c>
      <c r="E3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0.78881832587005951</v>
      </c>
      <c r="G2" s="159"/>
      <c r="H2" s="158">
        <v>0.84505771305404054</v>
      </c>
      <c r="I2" s="159"/>
      <c r="J2" s="158">
        <v>0.67154537908474066</v>
      </c>
      <c r="K2" s="159"/>
      <c r="L2" s="158">
        <v>0.62671193660847158</v>
      </c>
      <c r="M2" s="159"/>
      <c r="N2" s="158">
        <v>0.46205936272730314</v>
      </c>
      <c r="O2" s="159"/>
      <c r="P2" s="158">
        <v>0.60647153118749997</v>
      </c>
      <c r="Q2" s="159"/>
      <c r="R2" s="158">
        <v>-6.7727918387567379E-2</v>
      </c>
      <c r="S2" s="159"/>
      <c r="T2" s="158">
        <v>0.40375359731367688</v>
      </c>
      <c r="U2" s="159"/>
      <c r="V2" s="158">
        <v>0.7421857624746957</v>
      </c>
      <c r="W2" s="159"/>
      <c r="X2" s="158">
        <v>0.93976355051943161</v>
      </c>
      <c r="Y2" s="159"/>
      <c r="Z2" s="158">
        <v>-9.1668563980285764E-2</v>
      </c>
      <c r="AA2" s="159"/>
      <c r="AB2" s="158">
        <v>0.50234661291080318</v>
      </c>
      <c r="AC2" s="159"/>
      <c r="AD2" s="158">
        <v>0.53331571415221968</v>
      </c>
      <c r="AE2" s="159"/>
      <c r="AF2" s="158">
        <v>-4.6429326390651678E-2</v>
      </c>
      <c r="AG2" s="159"/>
      <c r="AH2" s="158">
        <v>0.88373098600169298</v>
      </c>
      <c r="AI2" s="159"/>
    </row>
    <row r="3" spans="1:35" x14ac:dyDescent="0.4">
      <c r="A3" s="74">
        <v>1</v>
      </c>
      <c r="B3" s="75" t="s">
        <v>127</v>
      </c>
      <c r="C3" s="76">
        <v>1552.2000000000007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0.38426626323751889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0.17073170731707318</v>
      </c>
      <c r="X3" s="77" t="s">
        <v>127</v>
      </c>
      <c r="Y3" s="80">
        <v>0.32980332829046899</v>
      </c>
      <c r="Z3" s="77" t="s">
        <v>172</v>
      </c>
      <c r="AA3" s="80">
        <v>0.30246913580246915</v>
      </c>
      <c r="AB3" s="77" t="s">
        <v>186</v>
      </c>
      <c r="AC3" s="80">
        <v>0.66666666666666663</v>
      </c>
      <c r="AD3" s="77" t="s">
        <v>127</v>
      </c>
      <c r="AE3" s="80">
        <v>0.53548387096774197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18.929268292682934</v>
      </c>
      <c r="F4" s="85" t="s">
        <v>127</v>
      </c>
      <c r="G4" s="86">
        <v>1.6097560975609757</v>
      </c>
      <c r="H4" s="85" t="s">
        <v>127</v>
      </c>
      <c r="I4" s="87">
        <v>0.57317073170731703</v>
      </c>
      <c r="J4" s="85" t="s">
        <v>202</v>
      </c>
      <c r="K4" s="87">
        <v>0</v>
      </c>
      <c r="L4" s="85" t="s">
        <v>172</v>
      </c>
      <c r="M4" s="88">
        <v>0.3611111111111111</v>
      </c>
      <c r="N4" s="85" t="s">
        <v>172</v>
      </c>
      <c r="O4" s="88">
        <v>0.14506172839506173</v>
      </c>
      <c r="P4" s="85" t="s">
        <v>171</v>
      </c>
      <c r="Q4" s="89">
        <v>9278.2608695652179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171</v>
      </c>
      <c r="W4" s="87">
        <v>0.13636363636363635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0.62135922330097082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32.100000000000009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0.18292682926829268</v>
      </c>
      <c r="L5" s="85" t="s">
        <v>173</v>
      </c>
      <c r="M5" s="88">
        <v>0.30592105263157893</v>
      </c>
      <c r="N5" s="85" t="s">
        <v>171</v>
      </c>
      <c r="O5" s="88">
        <v>0.15193370165745856</v>
      </c>
      <c r="P5" s="85" t="s">
        <v>127</v>
      </c>
      <c r="Q5" s="89">
        <v>9214.5669291338581</v>
      </c>
      <c r="R5" s="85" t="s">
        <v>177</v>
      </c>
      <c r="S5" s="89">
        <v>-7093.1034482758623</v>
      </c>
      <c r="T5" s="85" t="s">
        <v>171</v>
      </c>
      <c r="U5" s="87">
        <v>2.2727272727272728E-2</v>
      </c>
      <c r="V5" s="85" t="s">
        <v>172</v>
      </c>
      <c r="W5" s="87">
        <v>0.13157894736842105</v>
      </c>
      <c r="X5" s="85" t="s">
        <v>128</v>
      </c>
      <c r="Y5" s="88">
        <v>0.28650904033379693</v>
      </c>
      <c r="Z5" s="85" t="s">
        <v>177</v>
      </c>
      <c r="AA5" s="88">
        <v>0.25503355704697989</v>
      </c>
      <c r="AB5" s="85" t="s">
        <v>127</v>
      </c>
      <c r="AC5" s="88">
        <v>0.61009174311926606</v>
      </c>
      <c r="AD5" s="85" t="s">
        <v>186</v>
      </c>
      <c r="AE5" s="88">
        <v>0.46666666666666667</v>
      </c>
      <c r="AF5" s="85" t="s">
        <v>173</v>
      </c>
      <c r="AG5" s="88">
        <v>0.5268817204301075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0.84473684210526334</v>
      </c>
      <c r="F6" s="85" t="s">
        <v>145</v>
      </c>
      <c r="G6" s="86">
        <v>2</v>
      </c>
      <c r="H6" s="85" t="s">
        <v>172</v>
      </c>
      <c r="I6" s="87">
        <v>0.28947368421052633</v>
      </c>
      <c r="J6" s="85" t="s">
        <v>128</v>
      </c>
      <c r="K6" s="87">
        <v>0.33333333333333331</v>
      </c>
      <c r="L6" s="85" t="s">
        <v>145</v>
      </c>
      <c r="M6" s="88">
        <v>0.30290598290598292</v>
      </c>
      <c r="N6" s="85" t="s">
        <v>127</v>
      </c>
      <c r="O6" s="88">
        <v>0.15582450832072617</v>
      </c>
      <c r="P6" s="85" t="s">
        <v>128</v>
      </c>
      <c r="Q6" s="89">
        <v>9119.9029126213591</v>
      </c>
      <c r="R6" s="85" t="s">
        <v>171</v>
      </c>
      <c r="S6" s="89">
        <v>-7205.454545454545</v>
      </c>
      <c r="T6" s="85" t="s">
        <v>172</v>
      </c>
      <c r="U6" s="87">
        <v>5.2631578947368418E-2</v>
      </c>
      <c r="V6" s="85" t="s">
        <v>145</v>
      </c>
      <c r="W6" s="87">
        <v>0.10169491525423729</v>
      </c>
      <c r="X6" s="85" t="s">
        <v>145</v>
      </c>
      <c r="Y6" s="88">
        <v>0.26940170940170938</v>
      </c>
      <c r="Z6" s="85" t="s">
        <v>173</v>
      </c>
      <c r="AA6" s="88">
        <v>0.25</v>
      </c>
      <c r="AB6" s="85" t="s">
        <v>185</v>
      </c>
      <c r="AC6" s="88">
        <v>0.6</v>
      </c>
      <c r="AD6" s="85" t="s">
        <v>172</v>
      </c>
      <c r="AE6" s="88">
        <v>0.41836734693877553</v>
      </c>
      <c r="AF6" s="85" t="s">
        <v>129</v>
      </c>
      <c r="AG6" s="88">
        <v>0.51724137931034486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171</v>
      </c>
      <c r="C7" s="84">
        <v>8.3999999999999986</v>
      </c>
      <c r="D7" s="85" t="s">
        <v>171</v>
      </c>
      <c r="E7" s="97">
        <v>0.19090909090909089</v>
      </c>
      <c r="F7" s="85" t="s">
        <v>171</v>
      </c>
      <c r="G7" s="86">
        <v>2.0681818181818183</v>
      </c>
      <c r="H7" s="85" t="s">
        <v>171</v>
      </c>
      <c r="I7" s="87">
        <v>0.27272727272727271</v>
      </c>
      <c r="J7" s="85" t="s">
        <v>145</v>
      </c>
      <c r="K7" s="87">
        <v>0.33333333333333331</v>
      </c>
      <c r="L7" s="85" t="s">
        <v>128</v>
      </c>
      <c r="M7" s="88">
        <v>0.28650904033379693</v>
      </c>
      <c r="N7" s="85" t="s">
        <v>202</v>
      </c>
      <c r="O7" s="88">
        <v>0.16666666666666666</v>
      </c>
      <c r="P7" s="85" t="s">
        <v>129</v>
      </c>
      <c r="Q7" s="89">
        <v>8679.310344827587</v>
      </c>
      <c r="R7" s="85" t="s">
        <v>127</v>
      </c>
      <c r="S7" s="89">
        <v>-7877.6699029126212</v>
      </c>
      <c r="T7" s="85" t="s">
        <v>127</v>
      </c>
      <c r="U7" s="87">
        <v>6.097560975609756E-2</v>
      </c>
      <c r="V7" s="85" t="s">
        <v>128</v>
      </c>
      <c r="W7" s="87">
        <v>8.0459770114942528E-2</v>
      </c>
      <c r="X7" s="85" t="s">
        <v>185</v>
      </c>
      <c r="Y7" s="88">
        <v>0.26315789473684209</v>
      </c>
      <c r="Z7" s="85" t="s">
        <v>127</v>
      </c>
      <c r="AA7" s="88">
        <v>0.23449319213313161</v>
      </c>
      <c r="AB7" s="85" t="s">
        <v>173</v>
      </c>
      <c r="AC7" s="88">
        <v>0.59420289855072461</v>
      </c>
      <c r="AD7" s="85" t="s">
        <v>145</v>
      </c>
      <c r="AE7" s="88">
        <v>0.38147566718995291</v>
      </c>
      <c r="AF7" s="85" t="s">
        <v>145</v>
      </c>
      <c r="AG7" s="88">
        <v>0.43566591422121898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1.0000000000000284</v>
      </c>
      <c r="D8" s="85" t="s">
        <v>145</v>
      </c>
      <c r="E8" s="97">
        <v>2.8248587570622271E-3</v>
      </c>
      <c r="F8" s="85" t="s">
        <v>128</v>
      </c>
      <c r="G8" s="86">
        <v>2.0689655172413794</v>
      </c>
      <c r="H8" s="85" t="s">
        <v>173</v>
      </c>
      <c r="I8" s="87">
        <v>0.26470588235294118</v>
      </c>
      <c r="J8" s="85" t="s">
        <v>171</v>
      </c>
      <c r="K8" s="87">
        <v>0.34090909090909088</v>
      </c>
      <c r="L8" s="85" t="s">
        <v>185</v>
      </c>
      <c r="M8" s="88">
        <v>0.26315789473684209</v>
      </c>
      <c r="N8" s="85" t="s">
        <v>145</v>
      </c>
      <c r="O8" s="88">
        <v>0.1682051282051282</v>
      </c>
      <c r="P8" s="85" t="s">
        <v>145</v>
      </c>
      <c r="Q8" s="89">
        <v>8504.6275395033863</v>
      </c>
      <c r="R8" s="85" t="s">
        <v>128</v>
      </c>
      <c r="S8" s="89">
        <v>-7897.5409836065573</v>
      </c>
      <c r="T8" s="85" t="s">
        <v>145</v>
      </c>
      <c r="U8" s="87">
        <v>0.10169491525423729</v>
      </c>
      <c r="V8" s="85" t="s">
        <v>173</v>
      </c>
      <c r="W8" s="87">
        <v>5.8823529411764705E-2</v>
      </c>
      <c r="X8" s="85" t="s">
        <v>171</v>
      </c>
      <c r="Y8" s="88">
        <v>0.25966850828729282</v>
      </c>
      <c r="Z8" s="85" t="s">
        <v>186</v>
      </c>
      <c r="AA8" s="88">
        <v>0.22058823529411764</v>
      </c>
      <c r="AB8" s="85" t="s">
        <v>145</v>
      </c>
      <c r="AC8" s="88">
        <v>0.59263959390862941</v>
      </c>
      <c r="AD8" s="85" t="s">
        <v>177</v>
      </c>
      <c r="AE8" s="88">
        <v>0.36842105263157893</v>
      </c>
      <c r="AF8" s="85" t="s">
        <v>127</v>
      </c>
      <c r="AG8" s="88">
        <v>0.43307086614173229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186</v>
      </c>
      <c r="C9" s="84">
        <v>-170.5</v>
      </c>
      <c r="D9" s="85" t="s">
        <v>128</v>
      </c>
      <c r="E9" s="97">
        <v>-2.6068965517241383</v>
      </c>
      <c r="F9" s="85" t="s">
        <v>172</v>
      </c>
      <c r="G9" s="86">
        <v>2.0789473684210527</v>
      </c>
      <c r="H9" s="85" t="s">
        <v>128</v>
      </c>
      <c r="I9" s="87">
        <v>0.26436781609195403</v>
      </c>
      <c r="J9" s="85" t="s">
        <v>173</v>
      </c>
      <c r="K9" s="87">
        <v>0.35294117647058826</v>
      </c>
      <c r="L9" s="85" t="s">
        <v>171</v>
      </c>
      <c r="M9" s="88">
        <v>0.2541436464088398</v>
      </c>
      <c r="N9" s="85" t="s">
        <v>128</v>
      </c>
      <c r="O9" s="88">
        <v>0.16968011126564672</v>
      </c>
      <c r="P9" s="85" t="s">
        <v>185</v>
      </c>
      <c r="Q9" s="89">
        <v>7860</v>
      </c>
      <c r="R9" s="85" t="s">
        <v>173</v>
      </c>
      <c r="S9" s="89">
        <v>-7957.1428571428569</v>
      </c>
      <c r="T9" s="85" t="s">
        <v>173</v>
      </c>
      <c r="U9" s="87">
        <v>0.11764705882352941</v>
      </c>
      <c r="V9" s="85" t="s">
        <v>129</v>
      </c>
      <c r="W9" s="87">
        <v>5.7142857142857141E-2</v>
      </c>
      <c r="X9" s="85" t="s">
        <v>129</v>
      </c>
      <c r="Y9" s="88">
        <v>0.25088339222614842</v>
      </c>
      <c r="Z9" s="85" t="s">
        <v>145</v>
      </c>
      <c r="AA9" s="88">
        <v>0.21777777777777776</v>
      </c>
      <c r="AB9" s="85" t="s">
        <v>172</v>
      </c>
      <c r="AC9" s="88">
        <v>0.58666666666666667</v>
      </c>
      <c r="AD9" s="85" t="s">
        <v>173</v>
      </c>
      <c r="AE9" s="88">
        <v>0.34210526315789475</v>
      </c>
      <c r="AF9" s="85" t="s">
        <v>172</v>
      </c>
      <c r="AG9" s="88">
        <v>0.42735042735042733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173</v>
      </c>
      <c r="C10" s="84">
        <v>-224.6</v>
      </c>
      <c r="D10" s="85" t="s">
        <v>173</v>
      </c>
      <c r="E10" s="97">
        <v>-6.6058823529411761</v>
      </c>
      <c r="F10" s="85" t="s">
        <v>173</v>
      </c>
      <c r="G10" s="86">
        <v>2.0882352941176472</v>
      </c>
      <c r="H10" s="85" t="s">
        <v>177</v>
      </c>
      <c r="I10" s="87">
        <v>0.26315789473684209</v>
      </c>
      <c r="J10" s="85" t="s">
        <v>172</v>
      </c>
      <c r="K10" s="87">
        <v>0.36842105263157893</v>
      </c>
      <c r="L10" s="85" t="s">
        <v>186</v>
      </c>
      <c r="M10" s="88">
        <v>0.25</v>
      </c>
      <c r="N10" s="85" t="s">
        <v>173</v>
      </c>
      <c r="O10" s="88">
        <v>0.18421052631578946</v>
      </c>
      <c r="P10" s="85" t="s">
        <v>177</v>
      </c>
      <c r="Q10" s="89">
        <v>7431.4285714285716</v>
      </c>
      <c r="R10" s="85" t="s">
        <v>145</v>
      </c>
      <c r="S10" s="89">
        <v>-8061.9918699186992</v>
      </c>
      <c r="T10" s="85" t="s">
        <v>186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0.23148148148148148</v>
      </c>
      <c r="Z10" s="85" t="s">
        <v>185</v>
      </c>
      <c r="AA10" s="88">
        <v>0.21052631578947367</v>
      </c>
      <c r="AB10" s="85" t="s">
        <v>171</v>
      </c>
      <c r="AC10" s="88">
        <v>0.58510638297872342</v>
      </c>
      <c r="AD10" s="85" t="s">
        <v>171</v>
      </c>
      <c r="AE10" s="88">
        <v>0.33333333333333331</v>
      </c>
      <c r="AF10" s="85" t="s">
        <v>128</v>
      </c>
      <c r="AG10" s="88">
        <v>0.41262135922330095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128</v>
      </c>
      <c r="C11" s="84">
        <v>-226.80000000000004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202</v>
      </c>
      <c r="M11" s="88">
        <v>0.25</v>
      </c>
      <c r="N11" s="85" t="s">
        <v>129</v>
      </c>
      <c r="O11" s="88">
        <v>0.19434628975265017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128</v>
      </c>
      <c r="U11" s="87">
        <v>0.12643678160919541</v>
      </c>
      <c r="V11" s="85" t="s">
        <v>185</v>
      </c>
      <c r="W11" s="87">
        <v>0</v>
      </c>
      <c r="X11" s="85" t="s">
        <v>173</v>
      </c>
      <c r="Y11" s="88">
        <v>0.22697368421052633</v>
      </c>
      <c r="Z11" s="85" t="s">
        <v>128</v>
      </c>
      <c r="AA11" s="88">
        <v>0.19471488178025034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0.5714285714285714</v>
      </c>
      <c r="L12" s="85" t="s">
        <v>177</v>
      </c>
      <c r="M12" s="88">
        <v>0.2348993288590604</v>
      </c>
      <c r="N12" s="85" t="s">
        <v>177</v>
      </c>
      <c r="O12" s="88">
        <v>0.19463087248322147</v>
      </c>
      <c r="P12" s="85" t="s">
        <v>172</v>
      </c>
      <c r="Q12" s="89">
        <v>6950.4273504273506</v>
      </c>
      <c r="R12" s="85" t="s">
        <v>172</v>
      </c>
      <c r="S12" s="89">
        <v>-8706.3829787234044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0.16574585635359115</v>
      </c>
      <c r="AB12" s="85" t="s">
        <v>177</v>
      </c>
      <c r="AC12" s="88">
        <v>0.51851851851851849</v>
      </c>
      <c r="AD12" s="85" t="s">
        <v>128</v>
      </c>
      <c r="AE12" s="88">
        <v>0.2857142857142857</v>
      </c>
      <c r="AF12" s="85" t="s">
        <v>171</v>
      </c>
      <c r="AG12" s="88">
        <v>0.34782608695652173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-814.59999999999991</v>
      </c>
      <c r="D13" s="85" t="s">
        <v>129</v>
      </c>
      <c r="E13" s="97">
        <v>-23.27428571428571</v>
      </c>
      <c r="F13" s="85" t="s">
        <v>129</v>
      </c>
      <c r="G13" s="86">
        <v>2.4</v>
      </c>
      <c r="H13" s="85" t="s">
        <v>129</v>
      </c>
      <c r="I13" s="87">
        <v>0.17142857142857143</v>
      </c>
      <c r="J13" s="85" t="s">
        <v>186</v>
      </c>
      <c r="K13" s="87">
        <v>0.625</v>
      </c>
      <c r="L13" s="85" t="s">
        <v>129</v>
      </c>
      <c r="M13" s="88">
        <v>0.20494699646643111</v>
      </c>
      <c r="N13" s="85" t="s">
        <v>186</v>
      </c>
      <c r="O13" s="88">
        <v>0.25</v>
      </c>
      <c r="P13" s="85" t="s">
        <v>173</v>
      </c>
      <c r="Q13" s="89">
        <v>6829.0322580645161</v>
      </c>
      <c r="R13" s="85" t="s">
        <v>129</v>
      </c>
      <c r="S13" s="89">
        <v>-9960</v>
      </c>
      <c r="T13" s="85" t="s">
        <v>129</v>
      </c>
      <c r="U13" s="87">
        <v>0.22857142857142856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0.14487632508833923</v>
      </c>
      <c r="AB13" s="85" t="s">
        <v>129</v>
      </c>
      <c r="AC13" s="88">
        <v>0.49295774647887325</v>
      </c>
      <c r="AD13" s="85" t="s">
        <v>129</v>
      </c>
      <c r="AE13" s="88">
        <v>0.17073170731707318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A63D1-1EDE-4465-8BAF-F8FBB1CEE90C}">
  <sheetPr codeName="Sheet4"/>
  <dimension ref="A1:Q3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354</v>
      </c>
      <c r="C2" s="147"/>
      <c r="E2" s="62" t="s">
        <v>67</v>
      </c>
      <c r="F2" s="59" t="s">
        <v>23</v>
      </c>
      <c r="G2" s="46">
        <v>667</v>
      </c>
      <c r="H2" s="132">
        <f>IF(B$17=0,0,G2/B$17)</f>
        <v>0.75282167042889392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-14.124293785310735</v>
      </c>
      <c r="P2" s="118">
        <v>354</v>
      </c>
      <c r="Q2" s="102">
        <v>-5000</v>
      </c>
    </row>
    <row r="3" spans="1:17" x14ac:dyDescent="0.4">
      <c r="A3" s="55" t="s">
        <v>8</v>
      </c>
      <c r="B3" s="148">
        <v>2925</v>
      </c>
      <c r="C3" s="149"/>
      <c r="E3" s="63" t="s">
        <v>73</v>
      </c>
      <c r="F3" s="60" t="s">
        <v>28</v>
      </c>
      <c r="G3" s="47">
        <v>465</v>
      </c>
      <c r="H3" s="133">
        <f>IF(B$17=0,0,G3/B$17)</f>
        <v>0.52483069977426633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-14.245014245014245</v>
      </c>
      <c r="P3" s="119">
        <v>351</v>
      </c>
      <c r="Q3" s="103">
        <v>-5000</v>
      </c>
    </row>
    <row r="4" spans="1:17" x14ac:dyDescent="0.4">
      <c r="A4" s="55" t="s">
        <v>6</v>
      </c>
      <c r="B4" s="150">
        <v>1.0000000000000284</v>
      </c>
      <c r="C4" s="151"/>
      <c r="E4" s="63" t="s">
        <v>65</v>
      </c>
      <c r="F4" s="60" t="s">
        <v>21</v>
      </c>
      <c r="G4" s="47">
        <v>443</v>
      </c>
      <c r="H4" s="133">
        <f>IF(B$17=0,0,G4/B$17)</f>
        <v>0.5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18.181818181818183</v>
      </c>
      <c r="P4" s="119">
        <v>330</v>
      </c>
      <c r="Q4" s="103">
        <v>6000</v>
      </c>
    </row>
    <row r="5" spans="1:17" x14ac:dyDescent="0.4">
      <c r="A5" s="55" t="s">
        <v>7</v>
      </c>
      <c r="B5" s="152">
        <f>IF(B$2=0,0,B$4/B$2)</f>
        <v>2.8248587570622271E-3</v>
      </c>
      <c r="C5" s="153"/>
      <c r="E5" s="63" t="s">
        <v>181</v>
      </c>
      <c r="F5" s="60" t="s">
        <v>182</v>
      </c>
      <c r="G5" s="47">
        <v>343</v>
      </c>
      <c r="H5" s="133">
        <f>IF(B$17=0,0,G5/B$17)</f>
        <v>0.38713318284424381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</v>
      </c>
      <c r="P5" s="119">
        <v>300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267</v>
      </c>
      <c r="H6" s="133">
        <f>IF(B$17=0,0,G6/B$17)</f>
        <v>0.30135440180586909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-18.315018315018314</v>
      </c>
      <c r="P6" s="119">
        <v>273</v>
      </c>
      <c r="Q6" s="103">
        <v>-5000</v>
      </c>
    </row>
    <row r="7" spans="1:17" x14ac:dyDescent="0.4">
      <c r="A7" s="55" t="s">
        <v>2</v>
      </c>
      <c r="B7" s="47">
        <v>118</v>
      </c>
      <c r="C7" s="39">
        <f>IF(B$2=0,0,B7/B$2)</f>
        <v>0.33333333333333331</v>
      </c>
      <c r="E7" s="63" t="s">
        <v>68</v>
      </c>
      <c r="F7" s="60" t="s">
        <v>24</v>
      </c>
      <c r="G7" s="47">
        <v>264</v>
      </c>
      <c r="H7" s="133">
        <f>IF(B$17=0,0,G7/B$17)</f>
        <v>0.2979683972911964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27.450980392156861</v>
      </c>
      <c r="P7" s="120">
        <v>255</v>
      </c>
      <c r="Q7" s="104">
        <v>7000</v>
      </c>
    </row>
    <row r="8" spans="1:17" x14ac:dyDescent="0.4">
      <c r="A8" s="55" t="s">
        <v>3</v>
      </c>
      <c r="B8" s="47">
        <v>118</v>
      </c>
      <c r="C8" s="39">
        <f>IF(B$2=0,0,B8/B$2)</f>
        <v>0.33333333333333331</v>
      </c>
      <c r="E8" s="63" t="s">
        <v>70</v>
      </c>
      <c r="F8" s="60" t="s">
        <v>25</v>
      </c>
      <c r="G8" s="47">
        <v>160</v>
      </c>
      <c r="H8" s="133">
        <f>IF(B$17=0,0,G8/B$17)</f>
        <v>0.18058690744920994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116</v>
      </c>
      <c r="H9" s="133">
        <f>IF(B$17=0,0,G9/B$17)</f>
        <v>0.1309255079006772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36</v>
      </c>
      <c r="C10" s="40">
        <f>IF(B$2=0,0,B10/B$2)</f>
        <v>0.10169491525423729</v>
      </c>
      <c r="E10" s="63" t="s">
        <v>66</v>
      </c>
      <c r="F10" s="60" t="s">
        <v>22</v>
      </c>
      <c r="G10" s="47">
        <v>114</v>
      </c>
      <c r="H10" s="133">
        <f>IF(B$17=0,0,G10/B$17)</f>
        <v>0.12866817155756208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-1.5177966101694915</v>
      </c>
      <c r="P10" s="118">
        <v>118</v>
      </c>
      <c r="Q10" s="106">
        <v>-179.1</v>
      </c>
    </row>
    <row r="11" spans="1:17" x14ac:dyDescent="0.4">
      <c r="A11" s="56" t="s">
        <v>140</v>
      </c>
      <c r="B11" s="48">
        <v>36</v>
      </c>
      <c r="C11" s="40">
        <f>IF(B$2=0,0,B11/B$2)</f>
        <v>0.10169491525423729</v>
      </c>
      <c r="E11" s="63" t="s">
        <v>71</v>
      </c>
      <c r="F11" s="60" t="s">
        <v>26</v>
      </c>
      <c r="G11" s="47">
        <v>91</v>
      </c>
      <c r="H11" s="133">
        <f>IF(B$17=0,0,G11/B$17)</f>
        <v>0.10270880361173815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-2.4432203389830516</v>
      </c>
      <c r="P11" s="119">
        <v>118</v>
      </c>
      <c r="Q11" s="107">
        <v>-288.30000000000007</v>
      </c>
    </row>
    <row r="12" spans="1:17" x14ac:dyDescent="0.4">
      <c r="A12" s="57" t="s">
        <v>160</v>
      </c>
      <c r="B12" s="49">
        <v>36</v>
      </c>
      <c r="C12" s="42">
        <f>IF(B$2=0,0,B12/B$2)</f>
        <v>0.10169491525423729</v>
      </c>
      <c r="E12" s="63" t="s">
        <v>87</v>
      </c>
      <c r="F12" s="60" t="s">
        <v>42</v>
      </c>
      <c r="G12" s="47">
        <v>53</v>
      </c>
      <c r="H12" s="133">
        <f>IF(B$17=0,0,G12/B$17)</f>
        <v>5.9819413092550788E-2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3.9694915254237277</v>
      </c>
      <c r="P12" s="120">
        <v>118</v>
      </c>
      <c r="Q12" s="108">
        <v>468.39999999999986</v>
      </c>
    </row>
    <row r="13" spans="1:17" x14ac:dyDescent="0.4">
      <c r="A13" s="58" t="s">
        <v>122</v>
      </c>
      <c r="B13" s="50">
        <v>788</v>
      </c>
      <c r="C13" s="44">
        <f>IF(B$3=0,0,B13/B$3)</f>
        <v>0.26940170940170938</v>
      </c>
      <c r="E13" s="63" t="s">
        <v>72</v>
      </c>
      <c r="F13" s="60" t="s">
        <v>27</v>
      </c>
      <c r="G13" s="47">
        <v>50</v>
      </c>
      <c r="H13" s="133">
        <f>IF(B$17=0,0,G13/B$17)</f>
        <v>5.6433408577878104E-2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637</v>
      </c>
      <c r="C14" s="39">
        <f>IF(B$3=0,0,B14/B$3)</f>
        <v>0.21777777777777776</v>
      </c>
      <c r="E14" s="63" t="s">
        <v>84</v>
      </c>
      <c r="F14" s="60" t="s">
        <v>39</v>
      </c>
      <c r="G14" s="47">
        <v>39</v>
      </c>
      <c r="H14" s="133">
        <f>IF(B$17=0,0,G14/B$17)</f>
        <v>4.4018058690744918E-2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467</v>
      </c>
      <c r="C15" s="37">
        <f>IF(B$13=0,0,B15/B$13)</f>
        <v>0.59263959390862941</v>
      </c>
      <c r="E15" s="63" t="s">
        <v>82</v>
      </c>
      <c r="F15" s="60" t="s">
        <v>37</v>
      </c>
      <c r="G15" s="47">
        <v>27</v>
      </c>
      <c r="H15" s="133">
        <f>IF(B$17=0,0,G15/B$17)</f>
        <v>3.0474040632054177E-2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34.925714285714285</v>
      </c>
      <c r="P15" s="118">
        <v>70</v>
      </c>
      <c r="Q15" s="106">
        <v>2444.7999999999997</v>
      </c>
    </row>
    <row r="16" spans="1:17" x14ac:dyDescent="0.4">
      <c r="A16" s="54" t="s">
        <v>125</v>
      </c>
      <c r="B16" s="46">
        <v>243</v>
      </c>
      <c r="C16" s="37">
        <f>IF(B$14=0,0,B16/B$14)</f>
        <v>0.38147566718995291</v>
      </c>
      <c r="E16" s="63" t="s">
        <v>92</v>
      </c>
      <c r="F16" s="60" t="s">
        <v>47</v>
      </c>
      <c r="G16" s="47">
        <v>15</v>
      </c>
      <c r="H16" s="133">
        <f>IF(B$17=0,0,G16/B$17)</f>
        <v>1.6930022573363433E-2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886</v>
      </c>
      <c r="C17" s="37">
        <f>IF(B$3=0,0,B17/B$3)</f>
        <v>0.30290598290598292</v>
      </c>
      <c r="E17" s="63" t="s">
        <v>180</v>
      </c>
      <c r="F17" s="60" t="s">
        <v>183</v>
      </c>
      <c r="G17" s="47">
        <v>15</v>
      </c>
      <c r="H17" s="133">
        <f>IF(B$17=0,0,G17/B$17)</f>
        <v>1.6930022573363433E-2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386</v>
      </c>
      <c r="C18" s="39">
        <f>IF(B$17=0,0,B18/B$17)</f>
        <v>0.43566591422121898</v>
      </c>
      <c r="E18" s="63" t="s">
        <v>79</v>
      </c>
      <c r="F18" s="60" t="s">
        <v>34</v>
      </c>
      <c r="G18" s="47">
        <v>14</v>
      </c>
      <c r="H18" s="133">
        <f>IF(B$17=0,0,G18/B$17)</f>
        <v>1.580135440180587E-2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9.9088235294117624</v>
      </c>
      <c r="P18" s="119">
        <v>68</v>
      </c>
      <c r="Q18" s="107">
        <v>673.79999999999984</v>
      </c>
    </row>
    <row r="19" spans="1:17" x14ac:dyDescent="0.4">
      <c r="A19" s="55" t="s">
        <v>11</v>
      </c>
      <c r="B19" s="47">
        <v>500</v>
      </c>
      <c r="C19" s="39">
        <f>IF(B$17=0,0,B19/B$17)</f>
        <v>0.56433408577878108</v>
      </c>
      <c r="E19" s="63" t="s">
        <v>80</v>
      </c>
      <c r="F19" s="60" t="s">
        <v>35</v>
      </c>
      <c r="G19" s="47">
        <v>12</v>
      </c>
      <c r="H19" s="133">
        <f>IF(B$17=0,0,G19/B$17)</f>
        <v>1.3544018058690745E-2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3.916091954022987</v>
      </c>
      <c r="P19" s="119">
        <v>174</v>
      </c>
      <c r="Q19" s="107">
        <v>681.39999999999975</v>
      </c>
    </row>
    <row r="20" spans="1:17" x14ac:dyDescent="0.4">
      <c r="A20" s="55" t="s">
        <v>13</v>
      </c>
      <c r="B20" s="47">
        <v>492</v>
      </c>
      <c r="C20" s="39">
        <f>IF(B$3=0,0,B20/B$3)</f>
        <v>0.1682051282051282</v>
      </c>
      <c r="E20" s="63" t="s">
        <v>76</v>
      </c>
      <c r="F20" s="60" t="s">
        <v>31</v>
      </c>
      <c r="G20" s="47">
        <v>7</v>
      </c>
      <c r="H20" s="133">
        <f>IF(B$17=0,0,G20/B$17)</f>
        <v>7.900677200902935E-3</v>
      </c>
      <c r="I20" s="94">
        <v>5</v>
      </c>
      <c r="K20" s="38">
        <v>18</v>
      </c>
      <c r="L20" s="99">
        <v>-3.5527136788005009E-15</v>
      </c>
      <c r="N20" s="115" t="s">
        <v>171</v>
      </c>
      <c r="O20" s="125">
        <f>IF(P20=0,0,Q20/P20)</f>
        <v>-0.28636363636363371</v>
      </c>
      <c r="P20" s="119">
        <v>88</v>
      </c>
      <c r="Q20" s="107">
        <v>-25.199999999999768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5</v>
      </c>
      <c r="H21" s="133">
        <f>IF(B$17=0,0,G21/B$17)</f>
        <v>5.6433408577878106E-3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-1.2671052631578963</v>
      </c>
      <c r="P21" s="119">
        <v>76</v>
      </c>
      <c r="Q21" s="107">
        <v>-96.300000000000111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93</v>
      </c>
      <c r="F22" s="60" t="s">
        <v>48</v>
      </c>
      <c r="G22" s="47">
        <v>4</v>
      </c>
      <c r="H22" s="133">
        <f>IF(B$17=0,0,G22/B$17)</f>
        <v>4.5146726862302479E-3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8504.6275395033863</v>
      </c>
      <c r="C23" s="41">
        <v>7535100</v>
      </c>
      <c r="E23" s="63" t="s">
        <v>88</v>
      </c>
      <c r="F23" s="60" t="s">
        <v>43</v>
      </c>
      <c r="G23" s="47">
        <v>3</v>
      </c>
      <c r="H23" s="133">
        <f>IF(B$17=0,0,G23/B$17)</f>
        <v>3.3860045146726862E-3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-28.387804878048744</v>
      </c>
      <c r="P23" s="119">
        <v>164</v>
      </c>
      <c r="Q23" s="107">
        <v>-4655.599999999994</v>
      </c>
    </row>
    <row r="24" spans="1:17" x14ac:dyDescent="0.4">
      <c r="A24" s="57" t="s">
        <v>14</v>
      </c>
      <c r="B24" s="52">
        <f>IF(B$20=0,0,C24/B$20)</f>
        <v>-8061.9918699186992</v>
      </c>
      <c r="C24" s="45">
        <v>-3966500</v>
      </c>
      <c r="E24" s="63" t="s">
        <v>94</v>
      </c>
      <c r="F24" s="60" t="s">
        <v>49</v>
      </c>
      <c r="G24" s="47">
        <v>3</v>
      </c>
      <c r="H24" s="133">
        <f>IF(B$17=0,0,G24/B$17)</f>
        <v>3.3860045146726862E-3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75</v>
      </c>
      <c r="F25" s="60" t="s">
        <v>30</v>
      </c>
      <c r="G25" s="47">
        <v>2</v>
      </c>
      <c r="H25" s="133">
        <f>IF(B$17=0,0,G25/B$17)</f>
        <v>2.257336343115124E-3</v>
      </c>
      <c r="I25" s="94">
        <v>2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2</v>
      </c>
      <c r="H26" s="133">
        <f>IF(B$17=0,0,G26/B$17)</f>
        <v>2.257336343115124E-3</v>
      </c>
      <c r="I26" s="94">
        <v>3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3.4188034188034188E-3</v>
      </c>
      <c r="E27" s="63" t="s">
        <v>89</v>
      </c>
      <c r="F27" s="60" t="s">
        <v>44</v>
      </c>
      <c r="G27" s="47">
        <v>2</v>
      </c>
      <c r="H27" s="133">
        <f>IF(B$17=0,0,G27/B$17)</f>
        <v>2.257336343115124E-3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1.128668171557562E-3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1.128668171557562E-3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1.128668171557562E-3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1.128668171557562E-3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-37.59999999999998</v>
      </c>
    </row>
    <row r="329" spans="11:12" x14ac:dyDescent="0.4">
      <c r="K329" s="38">
        <v>327</v>
      </c>
      <c r="L329" s="99">
        <v>1.0000000000000213</v>
      </c>
    </row>
    <row r="330" spans="11:12" x14ac:dyDescent="0.4">
      <c r="K330" s="38">
        <v>328</v>
      </c>
      <c r="L330" s="99">
        <v>33.500000000000021</v>
      </c>
    </row>
    <row r="331" spans="11:12" x14ac:dyDescent="0.4">
      <c r="K331" s="38">
        <v>329</v>
      </c>
      <c r="L331" s="99">
        <v>39.600000000000023</v>
      </c>
    </row>
    <row r="332" spans="11:12" x14ac:dyDescent="0.4">
      <c r="K332" s="38">
        <v>330</v>
      </c>
      <c r="L332" s="99">
        <v>1.0000000000000213</v>
      </c>
    </row>
    <row r="333" spans="11:12" x14ac:dyDescent="0.4">
      <c r="K333" s="38">
        <v>331</v>
      </c>
      <c r="L333" s="99">
        <v>-35.799999999999976</v>
      </c>
    </row>
    <row r="334" spans="11:12" x14ac:dyDescent="0.4">
      <c r="K334" s="38">
        <v>332</v>
      </c>
      <c r="L334" s="99">
        <v>2.400000000000027</v>
      </c>
    </row>
    <row r="335" spans="11:12" x14ac:dyDescent="0.4">
      <c r="K335" s="38">
        <v>333</v>
      </c>
      <c r="L335" s="99">
        <v>1.0000000000000271</v>
      </c>
    </row>
    <row r="336" spans="11:12" x14ac:dyDescent="0.4">
      <c r="K336" s="38">
        <v>334</v>
      </c>
      <c r="L336" s="99">
        <v>11.000000000000027</v>
      </c>
    </row>
    <row r="337" spans="11:12" x14ac:dyDescent="0.4">
      <c r="K337" s="38">
        <v>335</v>
      </c>
      <c r="L337" s="99">
        <v>-38.699999999999974</v>
      </c>
    </row>
    <row r="338" spans="11:12" x14ac:dyDescent="0.4">
      <c r="K338" s="38">
        <v>336</v>
      </c>
      <c r="L338" s="99">
        <v>1.0000000000000284</v>
      </c>
    </row>
    <row r="339" spans="11:12" x14ac:dyDescent="0.4">
      <c r="K339" s="38">
        <v>337</v>
      </c>
      <c r="L339" s="99">
        <v>43.500000000000028</v>
      </c>
    </row>
    <row r="340" spans="11:12" x14ac:dyDescent="0.4">
      <c r="K340" s="38">
        <v>338</v>
      </c>
      <c r="L340" s="99">
        <v>4.0000000000000284</v>
      </c>
    </row>
    <row r="341" spans="11:12" x14ac:dyDescent="0.4">
      <c r="K341" s="38">
        <v>339</v>
      </c>
      <c r="L341" s="99">
        <v>1.0000000000000284</v>
      </c>
    </row>
    <row r="342" spans="11:12" x14ac:dyDescent="0.4">
      <c r="K342" s="38">
        <v>340</v>
      </c>
      <c r="L342" s="99">
        <v>-5.9999999999999716</v>
      </c>
    </row>
    <row r="343" spans="11:12" x14ac:dyDescent="0.4">
      <c r="K343" s="38">
        <v>341</v>
      </c>
      <c r="L343" s="99">
        <v>-40.799999999999969</v>
      </c>
    </row>
    <row r="344" spans="11:12" x14ac:dyDescent="0.4">
      <c r="K344" s="38">
        <v>342</v>
      </c>
      <c r="L344" s="99">
        <v>1.0000000000000284</v>
      </c>
    </row>
    <row r="345" spans="11:12" x14ac:dyDescent="0.4">
      <c r="K345" s="38">
        <v>343</v>
      </c>
      <c r="L345" s="99">
        <v>-33.199999999999974</v>
      </c>
    </row>
    <row r="346" spans="11:12" x14ac:dyDescent="0.4">
      <c r="K346" s="38">
        <v>344</v>
      </c>
      <c r="L346" s="99">
        <v>1.3000000000000256</v>
      </c>
    </row>
    <row r="347" spans="11:12" x14ac:dyDescent="0.4">
      <c r="K347" s="38">
        <v>345</v>
      </c>
      <c r="L347" s="99">
        <v>1.0000000000000255</v>
      </c>
    </row>
    <row r="348" spans="11:12" x14ac:dyDescent="0.4">
      <c r="K348" s="38">
        <v>346</v>
      </c>
      <c r="L348" s="99">
        <v>-57.499999999999972</v>
      </c>
    </row>
    <row r="349" spans="11:12" x14ac:dyDescent="0.4">
      <c r="K349" s="38">
        <v>347</v>
      </c>
      <c r="L349" s="99">
        <v>-43.999999999999972</v>
      </c>
    </row>
    <row r="350" spans="11:12" x14ac:dyDescent="0.4">
      <c r="K350" s="38">
        <v>348</v>
      </c>
      <c r="L350" s="99">
        <v>1.0000000000000284</v>
      </c>
    </row>
    <row r="351" spans="11:12" x14ac:dyDescent="0.4">
      <c r="K351" s="38">
        <v>349</v>
      </c>
      <c r="L351" s="99">
        <v>-76.999999999999972</v>
      </c>
    </row>
    <row r="352" spans="11:12" x14ac:dyDescent="0.4">
      <c r="K352" s="38">
        <v>350</v>
      </c>
      <c r="L352" s="99">
        <v>-16.599999999999973</v>
      </c>
    </row>
    <row r="353" spans="11:12" x14ac:dyDescent="0.4">
      <c r="K353" s="38">
        <v>351</v>
      </c>
      <c r="L353" s="99">
        <v>1.0000000000000284</v>
      </c>
    </row>
    <row r="354" spans="11:12" x14ac:dyDescent="0.4">
      <c r="K354" s="38">
        <v>352</v>
      </c>
      <c r="L354" s="99">
        <v>3.1000000000000285</v>
      </c>
    </row>
    <row r="355" spans="11:12" x14ac:dyDescent="0.4">
      <c r="K355" s="38">
        <v>353</v>
      </c>
      <c r="L355" s="99">
        <v>31.500000000000028</v>
      </c>
    </row>
    <row r="356" spans="11:12" x14ac:dyDescent="0.4">
      <c r="K356" s="38">
        <v>354</v>
      </c>
      <c r="L356" s="99">
        <v>1.0000000000000284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BF24A-3349-4DD0-A22E-99C19A4B38D7}">
  <sheetPr codeName="Sheet7"/>
  <dimension ref="A1:Q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82</v>
      </c>
      <c r="C2" s="147"/>
      <c r="E2" s="62" t="s">
        <v>67</v>
      </c>
      <c r="F2" s="59" t="s">
        <v>23</v>
      </c>
      <c r="G2" s="46">
        <v>191</v>
      </c>
      <c r="H2" s="132">
        <f>IF(B$17=0,0,G2/B$17)</f>
        <v>0.75196850393700787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2409.7560975609758</v>
      </c>
      <c r="P2" s="118">
        <v>82</v>
      </c>
      <c r="Q2" s="102">
        <v>197600</v>
      </c>
    </row>
    <row r="3" spans="1:17" x14ac:dyDescent="0.4">
      <c r="A3" s="55" t="s">
        <v>8</v>
      </c>
      <c r="B3" s="148">
        <v>661</v>
      </c>
      <c r="C3" s="149"/>
      <c r="E3" s="63" t="s">
        <v>73</v>
      </c>
      <c r="F3" s="60" t="s">
        <v>28</v>
      </c>
      <c r="G3" s="47">
        <v>134</v>
      </c>
      <c r="H3" s="133">
        <f>IF(B$17=0,0,G3/B$17)</f>
        <v>0.52755905511811019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2909.8765432098767</v>
      </c>
      <c r="P3" s="119">
        <v>81</v>
      </c>
      <c r="Q3" s="103">
        <v>235700</v>
      </c>
    </row>
    <row r="4" spans="1:17" x14ac:dyDescent="0.4">
      <c r="A4" s="55" t="s">
        <v>6</v>
      </c>
      <c r="B4" s="150">
        <v>1552.2000000000007</v>
      </c>
      <c r="C4" s="151"/>
      <c r="E4" s="63" t="s">
        <v>65</v>
      </c>
      <c r="F4" s="60" t="s">
        <v>21</v>
      </c>
      <c r="G4" s="47">
        <v>123</v>
      </c>
      <c r="H4" s="133">
        <f>IF(B$17=0,0,G4/B$17)</f>
        <v>0.48425196850393698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2788.3116883116882</v>
      </c>
      <c r="P4" s="119">
        <v>77</v>
      </c>
      <c r="Q4" s="103">
        <v>214700</v>
      </c>
    </row>
    <row r="5" spans="1:17" x14ac:dyDescent="0.4">
      <c r="A5" s="55" t="s">
        <v>7</v>
      </c>
      <c r="B5" s="152">
        <f>IF(B$2=0,0,B$4/B$2)</f>
        <v>18.929268292682934</v>
      </c>
      <c r="C5" s="153"/>
      <c r="E5" s="63" t="s">
        <v>181</v>
      </c>
      <c r="F5" s="60" t="s">
        <v>182</v>
      </c>
      <c r="G5" s="47">
        <v>105</v>
      </c>
      <c r="H5" s="133">
        <f>IF(B$17=0,0,G5/B$17)</f>
        <v>0.41338582677165353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2588.5714285714284</v>
      </c>
      <c r="P5" s="119">
        <v>70</v>
      </c>
      <c r="Q5" s="103">
        <v>181200</v>
      </c>
    </row>
    <row r="6" spans="1:17" x14ac:dyDescent="0.4">
      <c r="A6" s="55" t="s">
        <v>1</v>
      </c>
      <c r="B6" s="142">
        <f>IF(B$2=0,0,(B$7*1+B$8*2+B$9*3)/B$2)</f>
        <v>1.6097560975609757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0.32283464566929132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-69.354838709677423</v>
      </c>
      <c r="P6" s="119">
        <v>62</v>
      </c>
      <c r="Q6" s="103">
        <v>-4300</v>
      </c>
    </row>
    <row r="7" spans="1:17" x14ac:dyDescent="0.4">
      <c r="A7" s="55" t="s">
        <v>2</v>
      </c>
      <c r="B7" s="47">
        <v>47</v>
      </c>
      <c r="C7" s="39">
        <f>IF(B$2=0,0,B7/B$2)</f>
        <v>0.57317073170731703</v>
      </c>
      <c r="E7" s="63" t="s">
        <v>69</v>
      </c>
      <c r="F7" s="60" t="s">
        <v>12</v>
      </c>
      <c r="G7" s="47">
        <v>67</v>
      </c>
      <c r="H7" s="133">
        <f>IF(B$17=0,0,G7/B$17)</f>
        <v>0.26377952755905509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1418.9655172413793</v>
      </c>
      <c r="P7" s="120">
        <v>58</v>
      </c>
      <c r="Q7" s="104">
        <v>82300</v>
      </c>
    </row>
    <row r="8" spans="1:17" x14ac:dyDescent="0.4">
      <c r="A8" s="55" t="s">
        <v>3</v>
      </c>
      <c r="B8" s="47">
        <v>20</v>
      </c>
      <c r="C8" s="39">
        <f>IF(B$2=0,0,B8/B$2)</f>
        <v>0.24390243902439024</v>
      </c>
      <c r="E8" s="63" t="s">
        <v>70</v>
      </c>
      <c r="F8" s="60" t="s">
        <v>25</v>
      </c>
      <c r="G8" s="47">
        <v>46</v>
      </c>
      <c r="H8" s="133">
        <f>IF(B$17=0,0,G8/B$17)</f>
        <v>0.18110236220472442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0.18292682926829268</v>
      </c>
      <c r="E9" s="63" t="s">
        <v>90</v>
      </c>
      <c r="F9" s="60" t="s">
        <v>45</v>
      </c>
      <c r="G9" s="47">
        <v>44</v>
      </c>
      <c r="H9" s="133">
        <f>IF(B$17=0,0,G9/B$17)</f>
        <v>0.17322834645669291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6.097560975609756E-2</v>
      </c>
      <c r="E10" s="63" t="s">
        <v>66</v>
      </c>
      <c r="F10" s="60" t="s">
        <v>22</v>
      </c>
      <c r="G10" s="47">
        <v>39</v>
      </c>
      <c r="H10" s="133">
        <f>IF(B$17=0,0,G10/B$17)</f>
        <v>0.15354330708661418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22.245833333333334</v>
      </c>
      <c r="P10" s="118">
        <v>24</v>
      </c>
      <c r="Q10" s="106">
        <v>533.9</v>
      </c>
    </row>
    <row r="11" spans="1:17" x14ac:dyDescent="0.4">
      <c r="A11" s="56" t="s">
        <v>140</v>
      </c>
      <c r="B11" s="48">
        <v>14</v>
      </c>
      <c r="C11" s="40">
        <f>IF(B$2=0,0,B11/B$2)</f>
        <v>0.17073170731707318</v>
      </c>
      <c r="E11" s="63" t="s">
        <v>71</v>
      </c>
      <c r="F11" s="60" t="s">
        <v>26</v>
      </c>
      <c r="G11" s="47">
        <v>21</v>
      </c>
      <c r="H11" s="133">
        <f>IF(B$17=0,0,G11/B$17)</f>
        <v>8.2677165354330714E-2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14.383999999999999</v>
      </c>
      <c r="P11" s="119">
        <v>25</v>
      </c>
      <c r="Q11" s="107">
        <v>359.59999999999997</v>
      </c>
    </row>
    <row r="12" spans="1:17" x14ac:dyDescent="0.4">
      <c r="A12" s="57" t="s">
        <v>160</v>
      </c>
      <c r="B12" s="49">
        <v>17</v>
      </c>
      <c r="C12" s="42">
        <f>IF(B$2=0,0,B12/B$2)</f>
        <v>0.2073170731707317</v>
      </c>
      <c r="E12" s="63" t="s">
        <v>87</v>
      </c>
      <c r="F12" s="60" t="s">
        <v>42</v>
      </c>
      <c r="G12" s="47">
        <v>20</v>
      </c>
      <c r="H12" s="133">
        <f>IF(B$17=0,0,G12/B$17)</f>
        <v>7.874015748031496E-2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19.960606060606064</v>
      </c>
      <c r="P12" s="120">
        <v>33</v>
      </c>
      <c r="Q12" s="108">
        <v>658.70000000000016</v>
      </c>
    </row>
    <row r="13" spans="1:17" x14ac:dyDescent="0.4">
      <c r="A13" s="58" t="s">
        <v>122</v>
      </c>
      <c r="B13" s="50">
        <v>218</v>
      </c>
      <c r="C13" s="44">
        <f>IF(B$3=0,0,B13/B$3)</f>
        <v>0.32980332829046899</v>
      </c>
      <c r="E13" s="63" t="s">
        <v>72</v>
      </c>
      <c r="F13" s="60" t="s">
        <v>27</v>
      </c>
      <c r="G13" s="47">
        <v>15</v>
      </c>
      <c r="H13" s="133">
        <f>IF(B$17=0,0,G13/B$17)</f>
        <v>5.905511811023622E-2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155</v>
      </c>
      <c r="C14" s="39">
        <f>IF(B$3=0,0,B14/B$3)</f>
        <v>0.23449319213313161</v>
      </c>
      <c r="E14" s="63" t="s">
        <v>84</v>
      </c>
      <c r="F14" s="60" t="s">
        <v>39</v>
      </c>
      <c r="G14" s="47">
        <v>14</v>
      </c>
      <c r="H14" s="133">
        <f>IF(B$17=0,0,G14/B$17)</f>
        <v>5.5118110236220472E-2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0.61009174311926606</v>
      </c>
      <c r="E15" s="63" t="s">
        <v>82</v>
      </c>
      <c r="F15" s="60" t="s">
        <v>37</v>
      </c>
      <c r="G15" s="47">
        <v>8</v>
      </c>
      <c r="H15" s="133">
        <f>IF(B$17=0,0,G15/B$17)</f>
        <v>3.1496062992125984E-2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83</v>
      </c>
      <c r="C16" s="37">
        <f>IF(B$14=0,0,B16/B$14)</f>
        <v>0.53548387096774197</v>
      </c>
      <c r="E16" s="63" t="s">
        <v>180</v>
      </c>
      <c r="F16" s="60" t="s">
        <v>183</v>
      </c>
      <c r="G16" s="47">
        <v>8</v>
      </c>
      <c r="H16" s="133">
        <f>IF(B$17=0,0,G16/B$17)</f>
        <v>3.1496062992125984E-2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55.327272727272742</v>
      </c>
      <c r="P16" s="119">
        <v>22</v>
      </c>
      <c r="Q16" s="107">
        <v>1217.2000000000003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0.38426626323751889</v>
      </c>
      <c r="E17" s="63" t="s">
        <v>79</v>
      </c>
      <c r="F17" s="60" t="s">
        <v>34</v>
      </c>
      <c r="G17" s="47">
        <v>4</v>
      </c>
      <c r="H17" s="133">
        <f>IF(B$17=0,0,G17/B$17)</f>
        <v>1.5748031496062992E-2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110</v>
      </c>
      <c r="C18" s="39">
        <f>IF(B$17=0,0,B18/B$17)</f>
        <v>0.43307086614173229</v>
      </c>
      <c r="E18" s="63" t="s">
        <v>92</v>
      </c>
      <c r="F18" s="60" t="s">
        <v>47</v>
      </c>
      <c r="G18" s="47">
        <v>4</v>
      </c>
      <c r="H18" s="133">
        <f>IF(B$17=0,0,G18/B$17)</f>
        <v>1.5748031496062992E-2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31.495000000000005</v>
      </c>
      <c r="P18" s="119">
        <v>20</v>
      </c>
      <c r="Q18" s="107">
        <v>629.90000000000009</v>
      </c>
    </row>
    <row r="19" spans="1:17" x14ac:dyDescent="0.4">
      <c r="A19" s="55" t="s">
        <v>11</v>
      </c>
      <c r="B19" s="47">
        <v>144</v>
      </c>
      <c r="C19" s="39">
        <f>IF(B$17=0,0,B19/B$17)</f>
        <v>0.56692913385826771</v>
      </c>
      <c r="E19" s="63" t="s">
        <v>80</v>
      </c>
      <c r="F19" s="60" t="s">
        <v>35</v>
      </c>
      <c r="G19" s="47">
        <v>3</v>
      </c>
      <c r="H19" s="133">
        <f>IF(B$17=0,0,G19/B$17)</f>
        <v>1.1811023622047244E-2</v>
      </c>
      <c r="I19" s="94">
        <v>6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103</v>
      </c>
      <c r="C20" s="39">
        <f>IF(B$3=0,0,B20/B$3)</f>
        <v>0.15582450832072617</v>
      </c>
      <c r="E20" s="63" t="s">
        <v>74</v>
      </c>
      <c r="F20" s="60" t="s">
        <v>29</v>
      </c>
      <c r="G20" s="47">
        <v>2</v>
      </c>
      <c r="H20" s="133">
        <f>IF(B$17=0,0,G20/B$17)</f>
        <v>7.874015748031496E-3</v>
      </c>
      <c r="I20" s="94">
        <v>3</v>
      </c>
      <c r="K20" s="38">
        <v>18</v>
      </c>
      <c r="L20" s="99">
        <v>429.3</v>
      </c>
      <c r="N20" s="115" t="s">
        <v>173</v>
      </c>
      <c r="O20" s="125">
        <f>IF(P20=0,0,Q20/P20)</f>
        <v>28.249999999999996</v>
      </c>
      <c r="P20" s="119">
        <v>16</v>
      </c>
      <c r="Q20" s="107">
        <v>451.99999999999994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3.937007874015748E-3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6</v>
      </c>
      <c r="E22" s="63" t="s">
        <v>78</v>
      </c>
      <c r="F22" s="60" t="s">
        <v>33</v>
      </c>
      <c r="G22" s="47">
        <v>1</v>
      </c>
      <c r="H22" s="133">
        <f>IF(B$17=0,0,G22/B$17)</f>
        <v>3.937007874015748E-3</v>
      </c>
      <c r="I22" s="94">
        <v>2</v>
      </c>
      <c r="K22" s="38">
        <v>20</v>
      </c>
      <c r="L22" s="99">
        <v>469.6</v>
      </c>
      <c r="N22" s="115" t="s">
        <v>171</v>
      </c>
      <c r="O22" s="125">
        <f>IF(P22=0,0,Q22/P22)</f>
        <v>20.638461538461531</v>
      </c>
      <c r="P22" s="119">
        <v>26</v>
      </c>
      <c r="Q22" s="107">
        <v>536.5999999999998</v>
      </c>
    </row>
    <row r="23" spans="1:17" x14ac:dyDescent="0.4">
      <c r="A23" s="55" t="s">
        <v>5</v>
      </c>
      <c r="B23" s="51">
        <f>IF(B$17=0,0,C23/B$17)</f>
        <v>9214.5669291338581</v>
      </c>
      <c r="C23" s="41">
        <v>2340500</v>
      </c>
      <c r="E23" s="63" t="s">
        <v>88</v>
      </c>
      <c r="F23" s="60" t="s">
        <v>43</v>
      </c>
      <c r="G23" s="47">
        <v>1</v>
      </c>
      <c r="H23" s="133">
        <f>IF(B$17=0,0,G23/B$17)</f>
        <v>3.937007874015748E-3</v>
      </c>
      <c r="I23" s="94">
        <v>3</v>
      </c>
      <c r="K23" s="38">
        <v>21</v>
      </c>
      <c r="L23" s="99">
        <v>468.3</v>
      </c>
      <c r="N23" s="115" t="s">
        <v>128</v>
      </c>
      <c r="O23" s="125">
        <f>IF(P23=0,0,Q23/P23)</f>
        <v>19.103125000000006</v>
      </c>
      <c r="P23" s="119">
        <v>64</v>
      </c>
      <c r="Q23" s="107">
        <v>1222.6000000000004</v>
      </c>
    </row>
    <row r="24" spans="1:17" x14ac:dyDescent="0.4">
      <c r="A24" s="57" t="s">
        <v>14</v>
      </c>
      <c r="B24" s="52">
        <f>IF(B$20=0,0,C24/B$20)</f>
        <v>-7877.6699029126212</v>
      </c>
      <c r="C24" s="45">
        <v>-811400</v>
      </c>
      <c r="E24" s="63" t="s">
        <v>91</v>
      </c>
      <c r="F24" s="60" t="s">
        <v>46</v>
      </c>
      <c r="G24" s="47">
        <v>1</v>
      </c>
      <c r="H24" s="133">
        <f>IF(B$17=0,0,G24/B$17)</f>
        <v>3.937007874015748E-3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3.937007874015748E-3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3.937007874015748E-3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3.937007874015748E-3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F9E9E-D8D9-485E-8B7C-543D853FB32F}">
  <sheetPr codeName="Sheet9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87</v>
      </c>
      <c r="C2" s="147"/>
      <c r="E2" s="62" t="s">
        <v>67</v>
      </c>
      <c r="F2" s="59" t="s">
        <v>23</v>
      </c>
      <c r="G2" s="46">
        <v>152</v>
      </c>
      <c r="H2" s="132">
        <f>IF(B$17=0,0,G2/B$17)</f>
        <v>0.73786407766990292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1032.183908045977</v>
      </c>
      <c r="P2" s="118">
        <v>87</v>
      </c>
      <c r="Q2" s="102">
        <v>89800</v>
      </c>
    </row>
    <row r="3" spans="1:17" x14ac:dyDescent="0.4">
      <c r="A3" s="55" t="s">
        <v>8</v>
      </c>
      <c r="B3" s="148">
        <v>719</v>
      </c>
      <c r="C3" s="149"/>
      <c r="E3" s="63" t="s">
        <v>65</v>
      </c>
      <c r="F3" s="60" t="s">
        <v>21</v>
      </c>
      <c r="G3" s="47">
        <v>120</v>
      </c>
      <c r="H3" s="133">
        <f>IF(B$17=0,0,G3/B$17)</f>
        <v>0.58252427184466016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-2323.2558139534885</v>
      </c>
      <c r="P3" s="119">
        <v>86</v>
      </c>
      <c r="Q3" s="103">
        <v>-199800</v>
      </c>
    </row>
    <row r="4" spans="1:17" x14ac:dyDescent="0.4">
      <c r="A4" s="55" t="s">
        <v>6</v>
      </c>
      <c r="B4" s="150">
        <v>-226.80000000000004</v>
      </c>
      <c r="C4" s="151"/>
      <c r="E4" s="63" t="s">
        <v>73</v>
      </c>
      <c r="F4" s="60" t="s">
        <v>28</v>
      </c>
      <c r="G4" s="47">
        <v>98</v>
      </c>
      <c r="H4" s="133">
        <f>IF(B$17=0,0,G4/B$17)</f>
        <v>0.47572815533980584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-1551.8072289156626</v>
      </c>
      <c r="P4" s="119">
        <v>83</v>
      </c>
      <c r="Q4" s="103">
        <v>-128800</v>
      </c>
    </row>
    <row r="5" spans="1:17" x14ac:dyDescent="0.4">
      <c r="A5" s="55" t="s">
        <v>7</v>
      </c>
      <c r="B5" s="152">
        <f>IF(B$2=0,0,B$4/B$2)</f>
        <v>-2.6068965517241383</v>
      </c>
      <c r="C5" s="153"/>
      <c r="E5" s="63" t="s">
        <v>181</v>
      </c>
      <c r="F5" s="60" t="s">
        <v>182</v>
      </c>
      <c r="G5" s="47">
        <v>90</v>
      </c>
      <c r="H5" s="133">
        <f>IF(B$17=0,0,G5/B$17)</f>
        <v>0.43689320388349512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1076</v>
      </c>
      <c r="P5" s="119">
        <v>75</v>
      </c>
      <c r="Q5" s="103">
        <v>80700</v>
      </c>
    </row>
    <row r="6" spans="1:17" x14ac:dyDescent="0.4">
      <c r="A6" s="55" t="s">
        <v>1</v>
      </c>
      <c r="B6" s="142">
        <f>IF(B$2=0,0,(B$7*1+B$8*2+B$9*3)/B$2)</f>
        <v>2.0689655172413794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0.33980582524271846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483.8235294117647</v>
      </c>
      <c r="P6" s="119">
        <v>68</v>
      </c>
      <c r="Q6" s="103">
        <v>32900</v>
      </c>
    </row>
    <row r="7" spans="1:17" x14ac:dyDescent="0.4">
      <c r="A7" s="55" t="s">
        <v>2</v>
      </c>
      <c r="B7" s="47">
        <v>23</v>
      </c>
      <c r="C7" s="39">
        <f>IF(B$2=0,0,B7/B$2)</f>
        <v>0.26436781609195403</v>
      </c>
      <c r="E7" s="63" t="s">
        <v>69</v>
      </c>
      <c r="F7" s="60" t="s">
        <v>12</v>
      </c>
      <c r="G7" s="47">
        <v>67</v>
      </c>
      <c r="H7" s="133">
        <f>IF(B$17=0,0,G7/B$17)</f>
        <v>0.32524271844660196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287.5</v>
      </c>
      <c r="P7" s="120">
        <v>64</v>
      </c>
      <c r="Q7" s="104">
        <v>18400</v>
      </c>
    </row>
    <row r="8" spans="1:17" x14ac:dyDescent="0.4">
      <c r="A8" s="55" t="s">
        <v>3</v>
      </c>
      <c r="B8" s="47">
        <v>35</v>
      </c>
      <c r="C8" s="39">
        <f>IF(B$2=0,0,B8/B$2)</f>
        <v>0.40229885057471265</v>
      </c>
      <c r="E8" s="63" t="s">
        <v>70</v>
      </c>
      <c r="F8" s="60" t="s">
        <v>25</v>
      </c>
      <c r="G8" s="47">
        <v>44</v>
      </c>
      <c r="H8" s="133">
        <f>IF(B$17=0,0,G8/B$17)</f>
        <v>0.21359223300970873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36</v>
      </c>
      <c r="H9" s="133">
        <f>IF(B$17=0,0,G9/B$17)</f>
        <v>0.17475728155339806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0.12643678160919541</v>
      </c>
      <c r="E10" s="63" t="s">
        <v>71</v>
      </c>
      <c r="F10" s="60" t="s">
        <v>26</v>
      </c>
      <c r="G10" s="47">
        <v>26</v>
      </c>
      <c r="H10" s="133">
        <f>IF(B$17=0,0,G10/B$17)</f>
        <v>0.12621359223300971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-2.8804347826086962</v>
      </c>
      <c r="P10" s="118">
        <v>46</v>
      </c>
      <c r="Q10" s="106">
        <v>-132.50000000000003</v>
      </c>
    </row>
    <row r="11" spans="1:17" x14ac:dyDescent="0.4">
      <c r="A11" s="56" t="s">
        <v>140</v>
      </c>
      <c r="B11" s="48">
        <v>7</v>
      </c>
      <c r="C11" s="40">
        <f>IF(B$2=0,0,B11/B$2)</f>
        <v>8.0459770114942528E-2</v>
      </c>
      <c r="E11" s="63" t="s">
        <v>90</v>
      </c>
      <c r="F11" s="60" t="s">
        <v>45</v>
      </c>
      <c r="G11" s="47">
        <v>20</v>
      </c>
      <c r="H11" s="133">
        <f>IF(B$17=0,0,G11/B$17)</f>
        <v>9.7087378640776698E-2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6</v>
      </c>
      <c r="C12" s="42">
        <f>IF(B$2=0,0,B12/B$2)</f>
        <v>6.8965517241379309E-2</v>
      </c>
      <c r="E12" s="63" t="s">
        <v>87</v>
      </c>
      <c r="F12" s="60" t="s">
        <v>42</v>
      </c>
      <c r="G12" s="47">
        <v>11</v>
      </c>
      <c r="H12" s="133">
        <f>IF(B$17=0,0,G12/B$17)</f>
        <v>5.3398058252427182E-2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2.5699999999999994</v>
      </c>
      <c r="P12" s="120">
        <v>20</v>
      </c>
      <c r="Q12" s="108">
        <v>51.399999999999991</v>
      </c>
    </row>
    <row r="13" spans="1:17" x14ac:dyDescent="0.4">
      <c r="A13" s="58" t="s">
        <v>122</v>
      </c>
      <c r="B13" s="50">
        <v>206</v>
      </c>
      <c r="C13" s="44">
        <f>IF(B$3=0,0,B13/B$3)</f>
        <v>0.28650904033379693</v>
      </c>
      <c r="E13" s="63" t="s">
        <v>72</v>
      </c>
      <c r="F13" s="60" t="s">
        <v>27</v>
      </c>
      <c r="G13" s="47">
        <v>10</v>
      </c>
      <c r="H13" s="133">
        <f>IF(B$17=0,0,G13/B$17)</f>
        <v>4.8543689320388349E-2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0.19471488178025034</v>
      </c>
      <c r="E14" s="63" t="s">
        <v>82</v>
      </c>
      <c r="F14" s="60" t="s">
        <v>37</v>
      </c>
      <c r="G14" s="47">
        <v>8</v>
      </c>
      <c r="H14" s="133">
        <f>IF(B$17=0,0,G14/B$17)</f>
        <v>3.8834951456310676E-2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128</v>
      </c>
      <c r="C15" s="37">
        <f>IF(B$13=0,0,B15/B$13)</f>
        <v>0.62135922330097082</v>
      </c>
      <c r="E15" s="63" t="s">
        <v>84</v>
      </c>
      <c r="F15" s="60" t="s">
        <v>39</v>
      </c>
      <c r="G15" s="47">
        <v>6</v>
      </c>
      <c r="H15" s="133">
        <f>IF(B$17=0,0,G15/B$17)</f>
        <v>2.9126213592233011E-2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40</v>
      </c>
      <c r="C16" s="37">
        <f>IF(B$14=0,0,B16/B$14)</f>
        <v>0.2857142857142857</v>
      </c>
      <c r="E16" s="63" t="s">
        <v>92</v>
      </c>
      <c r="F16" s="60" t="s">
        <v>47</v>
      </c>
      <c r="G16" s="47">
        <v>6</v>
      </c>
      <c r="H16" s="133">
        <f>IF(B$17=0,0,G16/B$17)</f>
        <v>2.9126213592233011E-2</v>
      </c>
      <c r="I16" s="94">
        <v>2</v>
      </c>
      <c r="K16" s="38">
        <v>14</v>
      </c>
      <c r="L16" s="99">
        <v>-25.600000000000009</v>
      </c>
      <c r="N16" s="115" t="s">
        <v>177</v>
      </c>
      <c r="O16" s="125">
        <f>IF(P16=0,0,Q16/P16)</f>
        <v>10.178571428571429</v>
      </c>
      <c r="P16" s="119">
        <v>14</v>
      </c>
      <c r="Q16" s="107">
        <v>142.5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0.28650904033379693</v>
      </c>
      <c r="E17" s="63" t="s">
        <v>80</v>
      </c>
      <c r="F17" s="60" t="s">
        <v>35</v>
      </c>
      <c r="G17" s="47">
        <v>4</v>
      </c>
      <c r="H17" s="133">
        <f>IF(B$17=0,0,G17/B$17)</f>
        <v>1.9417475728155338E-2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8.6279999999999966</v>
      </c>
      <c r="P17" s="119">
        <v>25</v>
      </c>
      <c r="Q17" s="107">
        <v>215.6999999999999</v>
      </c>
    </row>
    <row r="18" spans="1:17" x14ac:dyDescent="0.4">
      <c r="A18" s="55" t="s">
        <v>12</v>
      </c>
      <c r="B18" s="47">
        <v>85</v>
      </c>
      <c r="C18" s="39">
        <f>IF(B$17=0,0,B18/B$17)</f>
        <v>0.41262135922330095</v>
      </c>
      <c r="E18" s="63" t="s">
        <v>180</v>
      </c>
      <c r="F18" s="60" t="s">
        <v>183</v>
      </c>
      <c r="G18" s="47">
        <v>4</v>
      </c>
      <c r="H18" s="133">
        <f>IF(B$17=0,0,G18/B$17)</f>
        <v>1.9417475728155338E-2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4.9727272727272727</v>
      </c>
      <c r="P18" s="119">
        <v>22</v>
      </c>
      <c r="Q18" s="107">
        <v>109.39999999999999</v>
      </c>
    </row>
    <row r="19" spans="1:17" x14ac:dyDescent="0.4">
      <c r="A19" s="55" t="s">
        <v>11</v>
      </c>
      <c r="B19" s="47">
        <v>121</v>
      </c>
      <c r="C19" s="39">
        <f>IF(B$17=0,0,B19/B$17)</f>
        <v>0.58737864077669899</v>
      </c>
      <c r="E19" s="63" t="s">
        <v>75</v>
      </c>
      <c r="F19" s="60" t="s">
        <v>30</v>
      </c>
      <c r="G19" s="47">
        <v>2</v>
      </c>
      <c r="H19" s="133">
        <f>IF(B$17=0,0,G19/B$17)</f>
        <v>9.7087378640776691E-3</v>
      </c>
      <c r="I19" s="94">
        <v>1</v>
      </c>
      <c r="K19" s="38">
        <v>17</v>
      </c>
      <c r="L19" s="99">
        <v>94.6</v>
      </c>
      <c r="N19" s="115" t="s">
        <v>171</v>
      </c>
      <c r="O19" s="125">
        <f>IF(P19=0,0,Q19/P19)</f>
        <v>-2.0958333333333252</v>
      </c>
      <c r="P19" s="119">
        <v>24</v>
      </c>
      <c r="Q19" s="107">
        <v>-50.299999999999805</v>
      </c>
    </row>
    <row r="20" spans="1:17" x14ac:dyDescent="0.4">
      <c r="A20" s="55" t="s">
        <v>13</v>
      </c>
      <c r="B20" s="47">
        <v>122</v>
      </c>
      <c r="C20" s="39">
        <f>IF(B$3=0,0,B20/B$3)</f>
        <v>0.16968011126564672</v>
      </c>
      <c r="E20" s="63" t="s">
        <v>76</v>
      </c>
      <c r="F20" s="60" t="s">
        <v>31</v>
      </c>
      <c r="G20" s="47">
        <v>2</v>
      </c>
      <c r="H20" s="133">
        <f>IF(B$17=0,0,G20/B$17)</f>
        <v>9.7087378640776691E-3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-3.6750000000000007</v>
      </c>
      <c r="P20" s="119">
        <v>20</v>
      </c>
      <c r="Q20" s="107">
        <v>-73.500000000000014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9.7087378640776691E-3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-19.103125000000006</v>
      </c>
      <c r="P21" s="119">
        <v>64</v>
      </c>
      <c r="Q21" s="107">
        <v>-1222.6000000000004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74</v>
      </c>
      <c r="F22" s="60" t="s">
        <v>29</v>
      </c>
      <c r="G22" s="47">
        <v>1</v>
      </c>
      <c r="H22" s="133">
        <f>IF(B$17=0,0,G22/B$17)</f>
        <v>4.8543689320388345E-3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9119.9029126213591</v>
      </c>
      <c r="C23" s="41">
        <v>1878700</v>
      </c>
      <c r="E23" s="63" t="s">
        <v>78</v>
      </c>
      <c r="F23" s="60" t="s">
        <v>33</v>
      </c>
      <c r="G23" s="47">
        <v>1</v>
      </c>
      <c r="H23" s="133">
        <f>IF(B$17=0,0,G23/B$17)</f>
        <v>4.8543689320388345E-3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-7897.5409836065573</v>
      </c>
      <c r="C24" s="45">
        <v>-963500</v>
      </c>
      <c r="E24" s="63" t="s">
        <v>85</v>
      </c>
      <c r="F24" s="60" t="s">
        <v>40</v>
      </c>
      <c r="G24" s="47">
        <v>1</v>
      </c>
      <c r="H24" s="133">
        <f>IF(B$17=0,0,G24/B$17)</f>
        <v>4.8543689320388345E-3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4.8543689320388345E-3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4.8543689320388345E-3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6.954102920723227E-3</v>
      </c>
      <c r="E27" s="63" t="s">
        <v>94</v>
      </c>
      <c r="F27" s="60" t="s">
        <v>49</v>
      </c>
      <c r="G27" s="47">
        <v>1</v>
      </c>
      <c r="H27" s="133">
        <f>IF(B$17=0,0,G27/B$17)</f>
        <v>4.8543689320388345E-3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EDFC-70C8-4760-807C-0725ED95ED50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50</v>
      </c>
      <c r="H2" s="132">
        <f>IF(B$17=0,0,G2/B$17)</f>
        <v>0.86206896551724133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-2874.2857142857142</v>
      </c>
      <c r="P2" s="118">
        <v>35</v>
      </c>
      <c r="Q2" s="102">
        <v>-100600</v>
      </c>
    </row>
    <row r="3" spans="1:17" x14ac:dyDescent="0.4">
      <c r="A3" s="55" t="s">
        <v>8</v>
      </c>
      <c r="B3" s="148">
        <v>283</v>
      </c>
      <c r="C3" s="149"/>
      <c r="E3" s="63" t="s">
        <v>65</v>
      </c>
      <c r="F3" s="60" t="s">
        <v>21</v>
      </c>
      <c r="G3" s="47">
        <v>34</v>
      </c>
      <c r="H3" s="133">
        <f>IF(B$17=0,0,G3/B$17)</f>
        <v>0.58620689655172409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-3417.1428571428573</v>
      </c>
      <c r="P3" s="119">
        <v>35</v>
      </c>
      <c r="Q3" s="103">
        <v>-119600</v>
      </c>
    </row>
    <row r="4" spans="1:17" x14ac:dyDescent="0.4">
      <c r="A4" s="55" t="s">
        <v>6</v>
      </c>
      <c r="B4" s="150">
        <v>-814.59999999999991</v>
      </c>
      <c r="C4" s="151"/>
      <c r="E4" s="63" t="s">
        <v>69</v>
      </c>
      <c r="F4" s="60" t="s">
        <v>12</v>
      </c>
      <c r="G4" s="47">
        <v>24</v>
      </c>
      <c r="H4" s="133">
        <f>IF(B$17=0,0,G4/B$17)</f>
        <v>0.41379310344827586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-1643.75</v>
      </c>
      <c r="P4" s="119">
        <v>32</v>
      </c>
      <c r="Q4" s="103">
        <v>-52600</v>
      </c>
    </row>
    <row r="5" spans="1:17" x14ac:dyDescent="0.4">
      <c r="A5" s="55" t="s">
        <v>7</v>
      </c>
      <c r="B5" s="152">
        <f>IF(B$2=0,0,B$4/B$2)</f>
        <v>-23.27428571428571</v>
      </c>
      <c r="C5" s="153"/>
      <c r="E5" s="63" t="s">
        <v>181</v>
      </c>
      <c r="F5" s="60" t="s">
        <v>182</v>
      </c>
      <c r="G5" s="47">
        <v>24</v>
      </c>
      <c r="H5" s="133">
        <f>IF(B$17=0,0,G5/B$17)</f>
        <v>0.41379310344827586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-6907.4074074074078</v>
      </c>
      <c r="P5" s="119">
        <v>27</v>
      </c>
      <c r="Q5" s="103">
        <v>-186500</v>
      </c>
    </row>
    <row r="6" spans="1:17" x14ac:dyDescent="0.4">
      <c r="A6" s="55" t="s">
        <v>1</v>
      </c>
      <c r="B6" s="142">
        <f>IF(B$2=0,0,(B$7*1+B$8*2+B$9*3)/B$2)</f>
        <v>2.4</v>
      </c>
      <c r="C6" s="143"/>
      <c r="E6" s="63" t="s">
        <v>68</v>
      </c>
      <c r="F6" s="60" t="s">
        <v>24</v>
      </c>
      <c r="G6" s="47">
        <v>22</v>
      </c>
      <c r="H6" s="133">
        <f>IF(B$17=0,0,G6/B$17)</f>
        <v>0.37931034482758619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-1087.5</v>
      </c>
      <c r="P6" s="119">
        <v>24</v>
      </c>
      <c r="Q6" s="103">
        <v>-26100</v>
      </c>
    </row>
    <row r="7" spans="1:17" x14ac:dyDescent="0.4">
      <c r="A7" s="55" t="s">
        <v>2</v>
      </c>
      <c r="B7" s="47">
        <v>6</v>
      </c>
      <c r="C7" s="39">
        <f>IF(B$2=0,0,B7/B$2)</f>
        <v>0.17142857142857143</v>
      </c>
      <c r="E7" s="63" t="s">
        <v>73</v>
      </c>
      <c r="F7" s="60" t="s">
        <v>28</v>
      </c>
      <c r="G7" s="47">
        <v>18</v>
      </c>
      <c r="H7" s="133">
        <f>IF(B$17=0,0,G7/B$17)</f>
        <v>0.31034482758620691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-1377.2727272727273</v>
      </c>
      <c r="P7" s="120">
        <v>22</v>
      </c>
      <c r="Q7" s="104">
        <v>-30300</v>
      </c>
    </row>
    <row r="8" spans="1:17" x14ac:dyDescent="0.4">
      <c r="A8" s="55" t="s">
        <v>3</v>
      </c>
      <c r="B8" s="47">
        <v>9</v>
      </c>
      <c r="C8" s="39">
        <f>IF(B$2=0,0,B8/B$2)</f>
        <v>0.25714285714285712</v>
      </c>
      <c r="E8" s="63" t="s">
        <v>70</v>
      </c>
      <c r="F8" s="60" t="s">
        <v>25</v>
      </c>
      <c r="G8" s="47">
        <v>14</v>
      </c>
      <c r="H8" s="133">
        <f>IF(B$17=0,0,G8/B$17)</f>
        <v>0.2413793103448276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0.5714285714285714</v>
      </c>
      <c r="E9" s="63" t="s">
        <v>71</v>
      </c>
      <c r="F9" s="60" t="s">
        <v>26</v>
      </c>
      <c r="G9" s="47">
        <v>12</v>
      </c>
      <c r="H9" s="133">
        <f>IF(B$17=0,0,G9/B$17)</f>
        <v>0.20689655172413793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0.22857142857142856</v>
      </c>
      <c r="E10" s="63" t="s">
        <v>72</v>
      </c>
      <c r="F10" s="60" t="s">
        <v>27</v>
      </c>
      <c r="G10" s="47">
        <v>6</v>
      </c>
      <c r="H10" s="133">
        <f>IF(B$17=0,0,G10/B$17)</f>
        <v>0.10344827586206896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-27.736363636363635</v>
      </c>
      <c r="P10" s="118">
        <v>11</v>
      </c>
      <c r="Q10" s="106">
        <v>-305.09999999999997</v>
      </c>
    </row>
    <row r="11" spans="1:17" x14ac:dyDescent="0.4">
      <c r="A11" s="56" t="s">
        <v>140</v>
      </c>
      <c r="B11" s="48">
        <v>2</v>
      </c>
      <c r="C11" s="40">
        <f>IF(B$2=0,0,B11/B$2)</f>
        <v>5.7142857142857141E-2</v>
      </c>
      <c r="E11" s="63" t="s">
        <v>90</v>
      </c>
      <c r="F11" s="60" t="s">
        <v>45</v>
      </c>
      <c r="G11" s="47">
        <v>6</v>
      </c>
      <c r="H11" s="133">
        <f>IF(B$17=0,0,G11/B$17)</f>
        <v>0.10344827586206896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-19.957142857142859</v>
      </c>
      <c r="P11" s="119">
        <v>14</v>
      </c>
      <c r="Q11" s="107">
        <v>-279.40000000000003</v>
      </c>
    </row>
    <row r="12" spans="1:17" x14ac:dyDescent="0.4">
      <c r="A12" s="57" t="s">
        <v>160</v>
      </c>
      <c r="B12" s="49">
        <v>4</v>
      </c>
      <c r="C12" s="42">
        <f>IF(B$2=0,0,B12/B$2)</f>
        <v>0.11428571428571428</v>
      </c>
      <c r="E12" s="63" t="s">
        <v>66</v>
      </c>
      <c r="F12" s="60" t="s">
        <v>22</v>
      </c>
      <c r="G12" s="47">
        <v>4</v>
      </c>
      <c r="H12" s="133">
        <f>IF(B$17=0,0,G12/B$17)</f>
        <v>6.8965517241379309E-2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71</v>
      </c>
      <c r="C13" s="44">
        <f>IF(B$3=0,0,B13/B$3)</f>
        <v>0.25088339222614842</v>
      </c>
      <c r="E13" s="63" t="s">
        <v>87</v>
      </c>
      <c r="F13" s="60" t="s">
        <v>42</v>
      </c>
      <c r="G13" s="47">
        <v>2</v>
      </c>
      <c r="H13" s="133">
        <f>IF(B$17=0,0,G13/B$17)</f>
        <v>3.4482758620689655E-2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0.14487632508833923</v>
      </c>
      <c r="E14" s="63" t="s">
        <v>79</v>
      </c>
      <c r="F14" s="60" t="s">
        <v>34</v>
      </c>
      <c r="G14" s="47">
        <v>1</v>
      </c>
      <c r="H14" s="133">
        <f>IF(B$17=0,0,G14/B$17)</f>
        <v>1.7241379310344827E-2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35</v>
      </c>
      <c r="C15" s="37">
        <f>IF(B$13=0,0,B15/B$13)</f>
        <v>0.49295774647887325</v>
      </c>
      <c r="E15" s="63" t="s">
        <v>82</v>
      </c>
      <c r="F15" s="60" t="s">
        <v>37</v>
      </c>
      <c r="G15" s="47">
        <v>1</v>
      </c>
      <c r="H15" s="133">
        <f>IF(B$17=0,0,G15/B$17)</f>
        <v>1.7241379310344827E-2</v>
      </c>
      <c r="I15" s="94">
        <v>8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7</v>
      </c>
      <c r="C16" s="37">
        <f>IF(B$14=0,0,B16/B$14)</f>
        <v>0.17073170731707318</v>
      </c>
      <c r="E16" s="63" t="s">
        <v>84</v>
      </c>
      <c r="F16" s="60" t="s">
        <v>39</v>
      </c>
      <c r="G16" s="47">
        <v>1</v>
      </c>
      <c r="H16" s="133">
        <f>IF(B$17=0,0,G16/B$17)</f>
        <v>1.7241379310344827E-2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-8.627999999999993</v>
      </c>
      <c r="P16" s="119">
        <v>25</v>
      </c>
      <c r="Q16" s="107">
        <v>-215.69999999999982</v>
      </c>
    </row>
    <row r="17" spans="1:17" x14ac:dyDescent="0.4">
      <c r="A17" s="54" t="s">
        <v>10</v>
      </c>
      <c r="B17" s="46">
        <f>B19+B18</f>
        <v>58</v>
      </c>
      <c r="C17" s="37">
        <f>IF(B$3=0,0,B17/B$3)</f>
        <v>0.20494699646643111</v>
      </c>
      <c r="E17" s="63" t="s">
        <v>88</v>
      </c>
      <c r="F17" s="60" t="s">
        <v>43</v>
      </c>
      <c r="G17" s="47">
        <v>1</v>
      </c>
      <c r="H17" s="133">
        <f>IF(B$17=0,0,G17/B$17)</f>
        <v>1.7241379310344827E-2</v>
      </c>
      <c r="I17" s="94">
        <v>1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30</v>
      </c>
      <c r="C18" s="39">
        <f>IF(B$17=0,0,B18/B$17)</f>
        <v>0.51724137931034486</v>
      </c>
      <c r="E18" s="63" t="s">
        <v>89</v>
      </c>
      <c r="F18" s="60" t="s">
        <v>44</v>
      </c>
      <c r="G18" s="47">
        <v>1</v>
      </c>
      <c r="H18" s="133">
        <f>IF(B$17=0,0,G18/B$17)</f>
        <v>1.7241379310344827E-2</v>
      </c>
      <c r="I18" s="94">
        <v>1</v>
      </c>
      <c r="K18" s="38">
        <v>16</v>
      </c>
      <c r="L18" s="99">
        <v>-472</v>
      </c>
      <c r="N18" s="115" t="s">
        <v>127</v>
      </c>
      <c r="O18" s="125">
        <f>IF(P18=0,0,Q18/P18)</f>
        <v>-55.327272727272749</v>
      </c>
      <c r="P18" s="119">
        <v>22</v>
      </c>
      <c r="Q18" s="107">
        <v>-1217.2000000000005</v>
      </c>
    </row>
    <row r="19" spans="1:17" x14ac:dyDescent="0.4">
      <c r="A19" s="55" t="s">
        <v>11</v>
      </c>
      <c r="B19" s="47">
        <v>28</v>
      </c>
      <c r="C19" s="39">
        <f>IF(B$17=0,0,B19/B$17)</f>
        <v>0.48275862068965519</v>
      </c>
      <c r="E19" s="63" t="s">
        <v>94</v>
      </c>
      <c r="F19" s="60" t="s">
        <v>49</v>
      </c>
      <c r="G19" s="47">
        <v>1</v>
      </c>
      <c r="H19" s="133">
        <f>IF(B$17=0,0,G19/B$17)</f>
        <v>1.7241379310344827E-2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-63.628571428571426</v>
      </c>
      <c r="P19" s="119">
        <v>7</v>
      </c>
      <c r="Q19" s="107">
        <v>-445.4</v>
      </c>
    </row>
    <row r="20" spans="1:17" x14ac:dyDescent="0.4">
      <c r="A20" s="55" t="s">
        <v>13</v>
      </c>
      <c r="B20" s="47">
        <v>55</v>
      </c>
      <c r="C20" s="39">
        <f>IF(B$3=0,0,B20/B$3)</f>
        <v>0.19434628975265017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8679.310344827587</v>
      </c>
      <c r="C23" s="41">
        <v>503400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-9960</v>
      </c>
      <c r="C24" s="45">
        <v>-547800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3.5335689045936395E-3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-837.69999999999993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-877.19999999999993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-832.19999999999993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-814.59999999999991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1685-D4AB-412F-AB16-5E6ABA1E412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71</v>
      </c>
      <c r="H2" s="132">
        <f>IF(B$17=0,0,G2/B$17)</f>
        <v>0.77173913043478259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-100</v>
      </c>
      <c r="P2" s="118">
        <v>44</v>
      </c>
      <c r="Q2" s="102">
        <v>-4400</v>
      </c>
    </row>
    <row r="3" spans="1:17" x14ac:dyDescent="0.4">
      <c r="A3" s="55" t="s">
        <v>8</v>
      </c>
      <c r="B3" s="148">
        <v>362</v>
      </c>
      <c r="C3" s="149"/>
      <c r="E3" s="63" t="s">
        <v>65</v>
      </c>
      <c r="F3" s="60" t="s">
        <v>21</v>
      </c>
      <c r="G3" s="47">
        <v>51</v>
      </c>
      <c r="H3" s="133">
        <f>IF(B$17=0,0,G3/B$17)</f>
        <v>0.55434782608695654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802.27272727272725</v>
      </c>
      <c r="P3" s="119">
        <v>44</v>
      </c>
      <c r="Q3" s="103">
        <v>35300</v>
      </c>
    </row>
    <row r="4" spans="1:17" x14ac:dyDescent="0.4">
      <c r="A4" s="55" t="s">
        <v>6</v>
      </c>
      <c r="B4" s="150">
        <v>8.3999999999999986</v>
      </c>
      <c r="C4" s="151"/>
      <c r="E4" s="63" t="s">
        <v>73</v>
      </c>
      <c r="F4" s="60" t="s">
        <v>28</v>
      </c>
      <c r="G4" s="47">
        <v>46</v>
      </c>
      <c r="H4" s="133">
        <f>IF(B$17=0,0,G4/B$17)</f>
        <v>0.5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626.19047619047615</v>
      </c>
      <c r="P4" s="119">
        <v>42</v>
      </c>
      <c r="Q4" s="103">
        <v>26300</v>
      </c>
    </row>
    <row r="5" spans="1:17" x14ac:dyDescent="0.4">
      <c r="A5" s="55" t="s">
        <v>7</v>
      </c>
      <c r="B5" s="152">
        <f>IF(B$2=0,0,B$4/B$2)</f>
        <v>0.19090909090909089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0.30434782608695654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1416.6666666666667</v>
      </c>
      <c r="P5" s="119">
        <v>36</v>
      </c>
      <c r="Q5" s="103">
        <v>51000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181</v>
      </c>
      <c r="F6" s="60" t="s">
        <v>182</v>
      </c>
      <c r="G6" s="47">
        <v>28</v>
      </c>
      <c r="H6" s="133">
        <f>IF(B$17=0,0,G6/B$17)</f>
        <v>0.30434782608695654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-966.66666666666663</v>
      </c>
      <c r="P6" s="119">
        <v>33</v>
      </c>
      <c r="Q6" s="103">
        <v>-31900</v>
      </c>
    </row>
    <row r="7" spans="1:17" x14ac:dyDescent="0.4">
      <c r="A7" s="55" t="s">
        <v>2</v>
      </c>
      <c r="B7" s="47">
        <v>12</v>
      </c>
      <c r="C7" s="39">
        <f>IF(B$2=0,0,B7/B$2)</f>
        <v>0.27272727272727271</v>
      </c>
      <c r="E7" s="63" t="s">
        <v>69</v>
      </c>
      <c r="F7" s="60" t="s">
        <v>12</v>
      </c>
      <c r="G7" s="47">
        <v>23</v>
      </c>
      <c r="H7" s="133">
        <f>IF(B$17=0,0,G7/B$17)</f>
        <v>0.25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3.225806451612903</v>
      </c>
      <c r="P7" s="120">
        <v>31</v>
      </c>
      <c r="Q7" s="104">
        <v>100</v>
      </c>
    </row>
    <row r="8" spans="1:17" x14ac:dyDescent="0.4">
      <c r="A8" s="55" t="s">
        <v>3</v>
      </c>
      <c r="B8" s="47">
        <v>17</v>
      </c>
      <c r="C8" s="39">
        <f>IF(B$2=0,0,B8/B$2)</f>
        <v>0.38636363636363635</v>
      </c>
      <c r="E8" s="63" t="s">
        <v>70</v>
      </c>
      <c r="F8" s="60" t="s">
        <v>25</v>
      </c>
      <c r="G8" s="47">
        <v>20</v>
      </c>
      <c r="H8" s="133">
        <f>IF(B$17=0,0,G8/B$17)</f>
        <v>0.21739130434782608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0.34090909090909088</v>
      </c>
      <c r="E9" s="63" t="s">
        <v>66</v>
      </c>
      <c r="F9" s="60" t="s">
        <v>22</v>
      </c>
      <c r="G9" s="47">
        <v>14</v>
      </c>
      <c r="H9" s="133">
        <f>IF(B$17=0,0,G9/B$17)</f>
        <v>0.15217391304347827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2.2727272727272728E-2</v>
      </c>
      <c r="E10" s="63" t="s">
        <v>90</v>
      </c>
      <c r="F10" s="60" t="s">
        <v>45</v>
      </c>
      <c r="G10" s="47">
        <v>13</v>
      </c>
      <c r="H10" s="133">
        <f>IF(B$17=0,0,G10/B$17)</f>
        <v>0.14130434782608695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12.188888888888888</v>
      </c>
      <c r="P10" s="118">
        <v>9</v>
      </c>
      <c r="Q10" s="106">
        <v>109.69999999999999</v>
      </c>
    </row>
    <row r="11" spans="1:17" x14ac:dyDescent="0.4">
      <c r="A11" s="56" t="s">
        <v>140</v>
      </c>
      <c r="B11" s="48">
        <v>6</v>
      </c>
      <c r="C11" s="40">
        <f>IF(B$2=0,0,B11/B$2)</f>
        <v>0.13636363636363635</v>
      </c>
      <c r="E11" s="63" t="s">
        <v>71</v>
      </c>
      <c r="F11" s="60" t="s">
        <v>26</v>
      </c>
      <c r="G11" s="47">
        <v>11</v>
      </c>
      <c r="H11" s="133">
        <f>IF(B$17=0,0,G11/B$17)</f>
        <v>0.11956521739130435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-3.2684210526315773</v>
      </c>
      <c r="P11" s="119">
        <v>19</v>
      </c>
      <c r="Q11" s="107">
        <v>-62.099999999999973</v>
      </c>
    </row>
    <row r="12" spans="1:17" x14ac:dyDescent="0.4">
      <c r="A12" s="57" t="s">
        <v>160</v>
      </c>
      <c r="B12" s="49">
        <v>4</v>
      </c>
      <c r="C12" s="42">
        <f>IF(B$2=0,0,B12/B$2)</f>
        <v>9.0909090909090912E-2</v>
      </c>
      <c r="E12" s="63" t="s">
        <v>87</v>
      </c>
      <c r="F12" s="60" t="s">
        <v>42</v>
      </c>
      <c r="G12" s="47">
        <v>8</v>
      </c>
      <c r="H12" s="133">
        <f>IF(B$17=0,0,G12/B$17)</f>
        <v>8.6956521739130432E-2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94</v>
      </c>
      <c r="C13" s="44">
        <f>IF(B$3=0,0,B13/B$3)</f>
        <v>0.25966850828729282</v>
      </c>
      <c r="E13" s="63" t="s">
        <v>72</v>
      </c>
      <c r="F13" s="60" t="s">
        <v>27</v>
      </c>
      <c r="G13" s="47">
        <v>7</v>
      </c>
      <c r="H13" s="133">
        <f>IF(B$17=0,0,G13/B$17)</f>
        <v>7.6086956521739135E-2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60</v>
      </c>
      <c r="C14" s="39">
        <f>IF(B$3=0,0,B14/B$3)</f>
        <v>0.16574585635359115</v>
      </c>
      <c r="E14" s="63" t="s">
        <v>84</v>
      </c>
      <c r="F14" s="60" t="s">
        <v>39</v>
      </c>
      <c r="G14" s="47">
        <v>5</v>
      </c>
      <c r="H14" s="133">
        <f>IF(B$17=0,0,G14/B$17)</f>
        <v>5.434782608695652E-2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0.58510638297872342</v>
      </c>
      <c r="E15" s="63" t="s">
        <v>79</v>
      </c>
      <c r="F15" s="60" t="s">
        <v>34</v>
      </c>
      <c r="G15" s="47">
        <v>3</v>
      </c>
      <c r="H15" s="133">
        <f>IF(B$17=0,0,G15/B$17)</f>
        <v>3.2608695652173912E-2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63.628571428571426</v>
      </c>
      <c r="P15" s="118">
        <v>7</v>
      </c>
      <c r="Q15" s="106">
        <v>445.4</v>
      </c>
    </row>
    <row r="16" spans="1:17" x14ac:dyDescent="0.4">
      <c r="A16" s="54" t="s">
        <v>125</v>
      </c>
      <c r="B16" s="46">
        <v>20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3</v>
      </c>
      <c r="H16" s="133">
        <f>IF(B$17=0,0,G16/B$17)</f>
        <v>3.2608695652173912E-2</v>
      </c>
      <c r="I16" s="94">
        <v>4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0.2541436464088398</v>
      </c>
      <c r="E17" s="63" t="s">
        <v>76</v>
      </c>
      <c r="F17" s="60" t="s">
        <v>31</v>
      </c>
      <c r="G17" s="47">
        <v>2</v>
      </c>
      <c r="H17" s="133">
        <f>IF(B$17=0,0,G17/B$17)</f>
        <v>2.1739130434782608E-2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32</v>
      </c>
      <c r="C18" s="39">
        <f>IF(B$17=0,0,B18/B$17)</f>
        <v>0.34782608695652173</v>
      </c>
      <c r="E18" s="63" t="s">
        <v>93</v>
      </c>
      <c r="F18" s="60" t="s">
        <v>48</v>
      </c>
      <c r="G18" s="47">
        <v>2</v>
      </c>
      <c r="H18" s="133">
        <f>IF(B$17=0,0,G18/B$17)</f>
        <v>2.1739130434782608E-2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2.0958333333333252</v>
      </c>
      <c r="P18" s="119">
        <v>24</v>
      </c>
      <c r="Q18" s="107">
        <v>50.299999999999805</v>
      </c>
    </row>
    <row r="19" spans="1:17" x14ac:dyDescent="0.4">
      <c r="A19" s="55" t="s">
        <v>11</v>
      </c>
      <c r="B19" s="47">
        <v>60</v>
      </c>
      <c r="C19" s="39">
        <f>IF(B$17=0,0,B19/B$17)</f>
        <v>0.65217391304347827</v>
      </c>
      <c r="E19" s="63" t="s">
        <v>180</v>
      </c>
      <c r="F19" s="60" t="s">
        <v>183</v>
      </c>
      <c r="G19" s="47">
        <v>2</v>
      </c>
      <c r="H19" s="133">
        <f>IF(B$17=0,0,G19/B$17)</f>
        <v>2.1739130434782608E-2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-3.9363636363636374</v>
      </c>
      <c r="P19" s="119">
        <v>11</v>
      </c>
      <c r="Q19" s="107">
        <v>-43.300000000000011</v>
      </c>
    </row>
    <row r="20" spans="1:17" x14ac:dyDescent="0.4">
      <c r="A20" s="55" t="s">
        <v>13</v>
      </c>
      <c r="B20" s="47">
        <v>55</v>
      </c>
      <c r="C20" s="39">
        <f>IF(B$3=0,0,B20/B$3)</f>
        <v>0.15193370165745856</v>
      </c>
      <c r="E20" s="63" t="s">
        <v>88</v>
      </c>
      <c r="F20" s="60" t="s">
        <v>43</v>
      </c>
      <c r="G20" s="47">
        <v>1</v>
      </c>
      <c r="H20" s="133">
        <f>IF(B$17=0,0,G20/B$17)</f>
        <v>1.0869565217391304E-2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-20.638461538461534</v>
      </c>
      <c r="P21" s="119">
        <v>26</v>
      </c>
      <c r="Q21" s="107">
        <v>-536.59999999999991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9278.2608695652179</v>
      </c>
      <c r="C23" s="41">
        <v>853600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-7205.454545454545</v>
      </c>
      <c r="C24" s="45">
        <v>-396300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2.7624309392265192E-3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5BAC-757C-4355-AF4D-04C773C08BF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86</v>
      </c>
      <c r="H2" s="132">
        <f>IF(B$17=0,0,G2/B$17)</f>
        <v>0.7350427350427351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1742.1052631578948</v>
      </c>
      <c r="P2" s="118">
        <v>38</v>
      </c>
      <c r="Q2" s="102">
        <v>66200</v>
      </c>
    </row>
    <row r="3" spans="1:17" x14ac:dyDescent="0.4">
      <c r="A3" s="55" t="s">
        <v>8</v>
      </c>
      <c r="B3" s="148">
        <v>324</v>
      </c>
      <c r="C3" s="149"/>
      <c r="E3" s="63" t="s">
        <v>73</v>
      </c>
      <c r="F3" s="60" t="s">
        <v>28</v>
      </c>
      <c r="G3" s="47">
        <v>71</v>
      </c>
      <c r="H3" s="133">
        <f>IF(B$17=0,0,G3/B$17)</f>
        <v>0.60683760683760679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113.15789473684211</v>
      </c>
      <c r="P3" s="119">
        <v>38</v>
      </c>
      <c r="Q3" s="103">
        <v>4300</v>
      </c>
    </row>
    <row r="4" spans="1:17" x14ac:dyDescent="0.4">
      <c r="A4" s="55" t="s">
        <v>6</v>
      </c>
      <c r="B4" s="150">
        <v>32.100000000000009</v>
      </c>
      <c r="C4" s="151"/>
      <c r="E4" s="63" t="s">
        <v>65</v>
      </c>
      <c r="F4" s="60" t="s">
        <v>21</v>
      </c>
      <c r="G4" s="47">
        <v>43</v>
      </c>
      <c r="H4" s="133">
        <f>IF(B$17=0,0,G4/B$17)</f>
        <v>0.36752136752136755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112.12121212121212</v>
      </c>
      <c r="P4" s="119">
        <v>33</v>
      </c>
      <c r="Q4" s="103">
        <v>3700</v>
      </c>
    </row>
    <row r="5" spans="1:17" x14ac:dyDescent="0.4">
      <c r="A5" s="55" t="s">
        <v>7</v>
      </c>
      <c r="B5" s="152">
        <f>IF(B$2=0,0,B$4/B$2)</f>
        <v>0.84473684210526334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0.35897435897435898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1474.1935483870968</v>
      </c>
      <c r="P5" s="119">
        <v>31</v>
      </c>
      <c r="Q5" s="103">
        <v>45700</v>
      </c>
    </row>
    <row r="6" spans="1:17" x14ac:dyDescent="0.4">
      <c r="A6" s="55" t="s">
        <v>1</v>
      </c>
      <c r="B6" s="142">
        <f>IF(B$2=0,0,(B$7*1+B$8*2+B$9*3)/B$2)</f>
        <v>2.0789473684210527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0.28205128205128205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-1126.6666666666667</v>
      </c>
      <c r="P6" s="119">
        <v>30</v>
      </c>
      <c r="Q6" s="103">
        <v>-33800</v>
      </c>
    </row>
    <row r="7" spans="1:17" x14ac:dyDescent="0.4">
      <c r="A7" s="55" t="s">
        <v>2</v>
      </c>
      <c r="B7" s="47">
        <v>11</v>
      </c>
      <c r="C7" s="39">
        <f>IF(B$2=0,0,B7/B$2)</f>
        <v>0.28947368421052633</v>
      </c>
      <c r="E7" s="63" t="s">
        <v>68</v>
      </c>
      <c r="F7" s="60" t="s">
        <v>24</v>
      </c>
      <c r="G7" s="47">
        <v>23</v>
      </c>
      <c r="H7" s="133">
        <f>IF(B$17=0,0,G7/B$17)</f>
        <v>0.19658119658119658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-1781.4814814814815</v>
      </c>
      <c r="P7" s="120">
        <v>27</v>
      </c>
      <c r="Q7" s="104">
        <v>-48100</v>
      </c>
    </row>
    <row r="8" spans="1:17" x14ac:dyDescent="0.4">
      <c r="A8" s="55" t="s">
        <v>3</v>
      </c>
      <c r="B8" s="47">
        <v>13</v>
      </c>
      <c r="C8" s="39">
        <f>IF(B$2=0,0,B8/B$2)</f>
        <v>0.34210526315789475</v>
      </c>
      <c r="E8" s="63" t="s">
        <v>70</v>
      </c>
      <c r="F8" s="60" t="s">
        <v>25</v>
      </c>
      <c r="G8" s="47">
        <v>16</v>
      </c>
      <c r="H8" s="133">
        <f>IF(B$17=0,0,G8/B$17)</f>
        <v>0.13675213675213677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0.36842105263157893</v>
      </c>
      <c r="E9" s="63" t="s">
        <v>66</v>
      </c>
      <c r="F9" s="60" t="s">
        <v>22</v>
      </c>
      <c r="G9" s="47">
        <v>11</v>
      </c>
      <c r="H9" s="133">
        <f>IF(B$17=0,0,G9/B$17)</f>
        <v>9.4017094017094016E-2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5.2631578947368418E-2</v>
      </c>
      <c r="E10" s="63" t="s">
        <v>90</v>
      </c>
      <c r="F10" s="60" t="s">
        <v>45</v>
      </c>
      <c r="G10" s="47">
        <v>9</v>
      </c>
      <c r="H10" s="133">
        <f>IF(B$17=0,0,G10/B$17)</f>
        <v>7.6923076923076927E-2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-11.884615384615387</v>
      </c>
      <c r="P10" s="118">
        <v>13</v>
      </c>
      <c r="Q10" s="106">
        <v>-154.50000000000003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0.13157894736842105</v>
      </c>
      <c r="E11" s="63" t="s">
        <v>71</v>
      </c>
      <c r="F11" s="60" t="s">
        <v>26</v>
      </c>
      <c r="G11" s="47">
        <v>8</v>
      </c>
      <c r="H11" s="133">
        <f>IF(B$17=0,0,G11/B$17)</f>
        <v>6.8376068376068383E-2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5.2631578947368418E-2</v>
      </c>
      <c r="E12" s="63" t="s">
        <v>84</v>
      </c>
      <c r="F12" s="60" t="s">
        <v>39</v>
      </c>
      <c r="G12" s="47">
        <v>7</v>
      </c>
      <c r="H12" s="133">
        <f>IF(B$17=0,0,G12/B$17)</f>
        <v>5.9829059829059832E-2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1.6600000000000004</v>
      </c>
      <c r="P12" s="120">
        <v>15</v>
      </c>
      <c r="Q12" s="108">
        <v>24.900000000000006</v>
      </c>
    </row>
    <row r="13" spans="1:17" x14ac:dyDescent="0.4">
      <c r="A13" s="58" t="s">
        <v>122</v>
      </c>
      <c r="B13" s="50">
        <v>75</v>
      </c>
      <c r="C13" s="44">
        <f>IF(B$3=0,0,B13/B$3)</f>
        <v>0.23148148148148148</v>
      </c>
      <c r="E13" s="63" t="s">
        <v>87</v>
      </c>
      <c r="F13" s="60" t="s">
        <v>42</v>
      </c>
      <c r="G13" s="47">
        <v>6</v>
      </c>
      <c r="H13" s="133">
        <f>IF(B$17=0,0,G13/B$17)</f>
        <v>5.128205128205128E-2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0.30246913580246915</v>
      </c>
      <c r="E14" s="63" t="s">
        <v>82</v>
      </c>
      <c r="F14" s="60" t="s">
        <v>37</v>
      </c>
      <c r="G14" s="47">
        <v>5</v>
      </c>
      <c r="H14" s="133">
        <f>IF(B$17=0,0,G14/B$17)</f>
        <v>4.2735042735042736E-2</v>
      </c>
      <c r="I14" s="94">
        <v>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72</v>
      </c>
      <c r="F15" s="60" t="s">
        <v>27</v>
      </c>
      <c r="G15" s="47">
        <v>4</v>
      </c>
      <c r="H15" s="133">
        <f>IF(B$17=0,0,G15/B$17)</f>
        <v>3.4188034188034191E-2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41</v>
      </c>
      <c r="C16" s="37">
        <f>IF(B$14=0,0,B16/B$14)</f>
        <v>0.41836734693877553</v>
      </c>
      <c r="E16" s="63" t="s">
        <v>79</v>
      </c>
      <c r="F16" s="60" t="s">
        <v>34</v>
      </c>
      <c r="G16" s="47">
        <v>2</v>
      </c>
      <c r="H16" s="133">
        <f>IF(B$17=0,0,G16/B$17)</f>
        <v>1.7094017094017096E-2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0.3611111111111111</v>
      </c>
      <c r="E17" s="63" t="s">
        <v>80</v>
      </c>
      <c r="F17" s="60" t="s">
        <v>35</v>
      </c>
      <c r="G17" s="47">
        <v>2</v>
      </c>
      <c r="H17" s="133">
        <f>IF(B$17=0,0,G17/B$17)</f>
        <v>1.7094017094017096E-2</v>
      </c>
      <c r="I17" s="94">
        <v>4</v>
      </c>
      <c r="K17" s="38">
        <v>15</v>
      </c>
      <c r="L17" s="99">
        <v>-80.3</v>
      </c>
      <c r="N17" s="115" t="s">
        <v>173</v>
      </c>
      <c r="O17" s="125">
        <f>IF(P17=0,0,Q17/P17)</f>
        <v>13.91111111111111</v>
      </c>
      <c r="P17" s="119">
        <v>9</v>
      </c>
      <c r="Q17" s="107">
        <v>125.19999999999999</v>
      </c>
    </row>
    <row r="18" spans="1:17" x14ac:dyDescent="0.4">
      <c r="A18" s="55" t="s">
        <v>12</v>
      </c>
      <c r="B18" s="47">
        <v>50</v>
      </c>
      <c r="C18" s="39">
        <f>IF(B$17=0,0,B18/B$17)</f>
        <v>0.42735042735042733</v>
      </c>
      <c r="E18" s="63" t="s">
        <v>92</v>
      </c>
      <c r="F18" s="60" t="s">
        <v>47</v>
      </c>
      <c r="G18" s="47">
        <v>2</v>
      </c>
      <c r="H18" s="133">
        <f>IF(B$17=0,0,G18/B$17)</f>
        <v>1.7094017094017096E-2</v>
      </c>
      <c r="I18" s="94">
        <v>3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67</v>
      </c>
      <c r="C19" s="39">
        <f>IF(B$17=0,0,B19/B$17)</f>
        <v>0.57264957264957261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47</v>
      </c>
      <c r="C20" s="39">
        <f>IF(B$3=0,0,B20/B$3)</f>
        <v>0.14506172839506173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-4.9727272727272736</v>
      </c>
      <c r="P20" s="119">
        <v>22</v>
      </c>
      <c r="Q20" s="107">
        <v>-109.40000000000002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-31.495000000000005</v>
      </c>
      <c r="P21" s="119">
        <v>20</v>
      </c>
      <c r="Q21" s="107">
        <v>-629.90000000000009</v>
      </c>
    </row>
    <row r="22" spans="1:17" x14ac:dyDescent="0.4">
      <c r="A22" s="55" t="s">
        <v>194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6950.4273504273506</v>
      </c>
      <c r="C23" s="41">
        <v>813200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-8706.3829787234044</v>
      </c>
      <c r="C24" s="45">
        <v>-409200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3.0864197530864196E-3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3A87E-75E9-44CB-B94C-F46921BAFE0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34</v>
      </c>
      <c r="C2" s="147"/>
      <c r="E2" s="62" t="s">
        <v>67</v>
      </c>
      <c r="F2" s="59" t="s">
        <v>23</v>
      </c>
      <c r="G2" s="46">
        <v>71</v>
      </c>
      <c r="H2" s="132">
        <f>IF(B$17=0,0,G2/B$17)</f>
        <v>0.76344086021505375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-3038.2352941176468</v>
      </c>
      <c r="P2" s="118">
        <v>34</v>
      </c>
      <c r="Q2" s="102">
        <v>-103300</v>
      </c>
    </row>
    <row r="3" spans="1:17" x14ac:dyDescent="0.4">
      <c r="A3" s="55" t="s">
        <v>8</v>
      </c>
      <c r="B3" s="148">
        <v>304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0.5376344086021505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1788.2352941176471</v>
      </c>
      <c r="P3" s="119">
        <v>34</v>
      </c>
      <c r="Q3" s="103">
        <v>60800</v>
      </c>
    </row>
    <row r="4" spans="1:17" x14ac:dyDescent="0.4">
      <c r="A4" s="55" t="s">
        <v>6</v>
      </c>
      <c r="B4" s="150">
        <v>-224.6</v>
      </c>
      <c r="C4" s="151"/>
      <c r="E4" s="63" t="s">
        <v>65</v>
      </c>
      <c r="F4" s="60" t="s">
        <v>21</v>
      </c>
      <c r="G4" s="47">
        <v>40</v>
      </c>
      <c r="H4" s="133">
        <f>IF(B$17=0,0,G4/B$17)</f>
        <v>0.43010752688172044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-831.25</v>
      </c>
      <c r="P4" s="119">
        <v>32</v>
      </c>
      <c r="Q4" s="103">
        <v>-26600</v>
      </c>
    </row>
    <row r="5" spans="1:17" x14ac:dyDescent="0.4">
      <c r="A5" s="55" t="s">
        <v>7</v>
      </c>
      <c r="B5" s="152">
        <f>IF(B$2=0,0,B$4/B$2)</f>
        <v>-6.6058823529411761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0.39784946236559138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-4610</v>
      </c>
      <c r="P5" s="119">
        <v>30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2.0882352941176472</v>
      </c>
      <c r="C6" s="143"/>
      <c r="E6" s="63" t="s">
        <v>181</v>
      </c>
      <c r="F6" s="60" t="s">
        <v>182</v>
      </c>
      <c r="G6" s="47">
        <v>32</v>
      </c>
      <c r="H6" s="133">
        <f>IF(B$17=0,0,G6/B$17)</f>
        <v>0.34408602150537637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970.37037037037032</v>
      </c>
      <c r="P6" s="119">
        <v>27</v>
      </c>
      <c r="Q6" s="103">
        <v>26200</v>
      </c>
    </row>
    <row r="7" spans="1:17" x14ac:dyDescent="0.4">
      <c r="A7" s="55" t="s">
        <v>2</v>
      </c>
      <c r="B7" s="47">
        <v>9</v>
      </c>
      <c r="C7" s="39">
        <f>IF(B$2=0,0,B7/B$2)</f>
        <v>0.26470588235294118</v>
      </c>
      <c r="E7" s="63" t="s">
        <v>68</v>
      </c>
      <c r="F7" s="60" t="s">
        <v>24</v>
      </c>
      <c r="G7" s="47">
        <v>21</v>
      </c>
      <c r="H7" s="133">
        <f>IF(B$17=0,0,G7/B$17)</f>
        <v>0.22580645161290322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638.46153846153845</v>
      </c>
      <c r="P7" s="120">
        <v>26</v>
      </c>
      <c r="Q7" s="104">
        <v>16600</v>
      </c>
    </row>
    <row r="8" spans="1:17" x14ac:dyDescent="0.4">
      <c r="A8" s="55" t="s">
        <v>3</v>
      </c>
      <c r="B8" s="47">
        <v>13</v>
      </c>
      <c r="C8" s="39">
        <f>IF(B$2=0,0,B8/B$2)</f>
        <v>0.38235294117647056</v>
      </c>
      <c r="E8" s="63" t="s">
        <v>90</v>
      </c>
      <c r="F8" s="60" t="s">
        <v>45</v>
      </c>
      <c r="G8" s="47">
        <v>12</v>
      </c>
      <c r="H8" s="133">
        <f>IF(B$17=0,0,G8/B$17)</f>
        <v>0.12903225806451613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0.35294117647058826</v>
      </c>
      <c r="E9" s="63" t="s">
        <v>71</v>
      </c>
      <c r="F9" s="60" t="s">
        <v>26</v>
      </c>
      <c r="G9" s="47">
        <v>11</v>
      </c>
      <c r="H9" s="133">
        <f>IF(B$17=0,0,G9/B$17)</f>
        <v>0.11827956989247312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0.11764705882352941</v>
      </c>
      <c r="E10" s="63" t="s">
        <v>70</v>
      </c>
      <c r="F10" s="60" t="s">
        <v>25</v>
      </c>
      <c r="G10" s="47">
        <v>9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6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2.9411764705882353E-2</v>
      </c>
      <c r="E12" s="63" t="s">
        <v>66</v>
      </c>
      <c r="F12" s="60" t="s">
        <v>22</v>
      </c>
      <c r="G12" s="47">
        <v>5</v>
      </c>
      <c r="H12" s="133">
        <f>IF(B$17=0,0,G12/B$17)</f>
        <v>5.3763440860215055E-2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-5.2666666666666657</v>
      </c>
      <c r="P12" s="120">
        <v>9</v>
      </c>
      <c r="Q12" s="108">
        <v>-47.399999999999991</v>
      </c>
    </row>
    <row r="13" spans="1:17" x14ac:dyDescent="0.4">
      <c r="A13" s="58" t="s">
        <v>122</v>
      </c>
      <c r="B13" s="50">
        <v>69</v>
      </c>
      <c r="C13" s="44">
        <f>IF(B$3=0,0,B13/B$3)</f>
        <v>0.22697368421052633</v>
      </c>
      <c r="E13" s="63" t="s">
        <v>87</v>
      </c>
      <c r="F13" s="60" t="s">
        <v>42</v>
      </c>
      <c r="G13" s="47">
        <v>4</v>
      </c>
      <c r="H13" s="133">
        <f>IF(B$17=0,0,G13/B$17)</f>
        <v>4.3010752688172046E-2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0.25</v>
      </c>
      <c r="E14" s="63" t="s">
        <v>80</v>
      </c>
      <c r="F14" s="60" t="s">
        <v>35</v>
      </c>
      <c r="G14" s="47">
        <v>2</v>
      </c>
      <c r="H14" s="133">
        <f>IF(B$17=0,0,G14/B$17)</f>
        <v>2.1505376344086023E-2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0.59420289855072461</v>
      </c>
      <c r="E15" s="63" t="s">
        <v>84</v>
      </c>
      <c r="F15" s="60" t="s">
        <v>39</v>
      </c>
      <c r="G15" s="47">
        <v>2</v>
      </c>
      <c r="H15" s="133">
        <f>IF(B$17=0,0,G15/B$17)</f>
        <v>2.1505376344086023E-2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0.34210526315789475</v>
      </c>
      <c r="E16" s="63" t="s">
        <v>74</v>
      </c>
      <c r="F16" s="60" t="s">
        <v>29</v>
      </c>
      <c r="G16" s="47">
        <v>1</v>
      </c>
      <c r="H16" s="133">
        <f>IF(B$17=0,0,G16/B$17)</f>
        <v>1.0752688172043012E-2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0.30592105263157893</v>
      </c>
      <c r="E17" s="63" t="s">
        <v>79</v>
      </c>
      <c r="F17" s="60" t="s">
        <v>34</v>
      </c>
      <c r="G17" s="47">
        <v>1</v>
      </c>
      <c r="H17" s="133">
        <f>IF(B$17=0,0,G17/B$17)</f>
        <v>1.0752688172043012E-2</v>
      </c>
      <c r="I17" s="94">
        <v>7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49</v>
      </c>
      <c r="C18" s="39">
        <f>IF(B$17=0,0,B18/B$17)</f>
        <v>0.5268817204301075</v>
      </c>
      <c r="E18" s="63" t="s">
        <v>92</v>
      </c>
      <c r="F18" s="60" t="s">
        <v>47</v>
      </c>
      <c r="G18" s="47">
        <v>1</v>
      </c>
      <c r="H18" s="133">
        <f>IF(B$17=0,0,G18/B$17)</f>
        <v>1.0752688172043012E-2</v>
      </c>
      <c r="I18" s="94">
        <v>6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44</v>
      </c>
      <c r="C19" s="39">
        <f>IF(B$17=0,0,B19/B$17)</f>
        <v>0.4731182795698925</v>
      </c>
      <c r="E19" s="63" t="s">
        <v>180</v>
      </c>
      <c r="F19" s="60" t="s">
        <v>183</v>
      </c>
      <c r="G19" s="47">
        <v>1</v>
      </c>
      <c r="H19" s="133">
        <f>IF(B$17=0,0,G19/B$17)</f>
        <v>1.0752688172043012E-2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56</v>
      </c>
      <c r="C20" s="39">
        <f>IF(B$3=0,0,B20/B$3)</f>
        <v>0.18421052631578946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-28.249999999999993</v>
      </c>
      <c r="P20" s="119">
        <v>16</v>
      </c>
      <c r="Q20" s="107">
        <v>-451.99999999999989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6829.0322580645161</v>
      </c>
      <c r="C23" s="41">
        <v>635100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-7957.1428571428569</v>
      </c>
      <c r="C24" s="45">
        <v>-445600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3.2894736842105261E-3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3DDD-79E0-428A-A490-06E170462D83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8</v>
      </c>
      <c r="K6" s="38">
        <v>4</v>
      </c>
      <c r="L6" s="99">
        <v>40</v>
      </c>
      <c r="N6" s="115" t="s">
        <v>136</v>
      </c>
      <c r="O6" s="122">
        <f t="shared" si="0"/>
        <v>-425</v>
      </c>
      <c r="P6" s="119">
        <v>16</v>
      </c>
      <c r="Q6" s="103">
        <v>-6800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7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7F690-7E2A-449F-8A1D-A24846F29284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4806-9F47-4829-9BBB-C99F04CC967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90EA4-A58D-495D-B828-96F3477F401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B391-7D4C-4E07-886B-32993B31698B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F586-850A-4171-8E70-4D14FFA91641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E5D8-EE22-4FA0-AB66-83CC1655F09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F7AB-E80C-4F07-97FE-25415A23412C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F77A-58D7-4D73-84B8-1C86ED6F1BB4}">
  <sheetPr codeName="Sheet18"/>
  <dimension ref="A1:Q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367B-3D47-4264-8F2D-E7402283CDBC}">
  <sheetPr codeName="Sheet16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AF8DF-D3F1-4C7B-B16C-78B9AAE1A93D}">
  <sheetPr codeName="Sheet14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F11B-E030-4716-B626-D4F5315FAB8A}">
  <sheetPr codeName="Sheet12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-837.69999999999993</v>
      </c>
      <c r="C35" s="66">
        <v>-26.178124999999998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-877.19999999999993</v>
      </c>
      <c r="C36" s="66">
        <v>-26.581818181818178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-832.19999999999993</v>
      </c>
      <c r="C37" s="66">
        <v>-24.476470588235291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-814.59999999999991</v>
      </c>
      <c r="C38" s="66">
        <v>-23.27428571428571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1882-D357-42B9-A6C6-6B6216637257}">
  <sheetPr codeName="Sheet10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4E81-D2A9-4D87-9317-440689BC3EBB}">
  <sheetPr codeName="Sheet8"/>
  <dimension ref="A1:Q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03C0-213D-4D98-8D87-5AD9E667EFFA}">
  <sheetPr codeName="Sheet6"/>
  <dimension ref="A1:Q1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1.0000000000000213</v>
      </c>
      <c r="C112" s="66">
        <v>3.0581039755352333E-3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1.0000000000000213</v>
      </c>
      <c r="C113" s="66">
        <v>3.0303030303030949E-3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1.0000000000000271</v>
      </c>
      <c r="C114" s="66">
        <v>3.0030030030030845E-3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1.0000000000000284</v>
      </c>
      <c r="C115" s="66">
        <v>2.9761904761905606E-3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1.0000000000000284</v>
      </c>
      <c r="C116" s="66">
        <v>2.9498525073747149E-3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1.0000000000000284</v>
      </c>
      <c r="C117" s="66">
        <v>2.9239766081872176E-3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1.0000000000000255</v>
      </c>
      <c r="C118" s="66">
        <v>2.8985507246377554E-3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1.0000000000000284</v>
      </c>
      <c r="C119" s="66">
        <v>2.8735632183908861E-3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1.0000000000000284</v>
      </c>
      <c r="C120" s="66">
        <v>2.8490028490029298E-3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1.0000000000000284</v>
      </c>
      <c r="C121" s="66">
        <v>2.8248587570622271E-3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2019-05-08T09:44:48Z</dcterms:modified>
</cp:coreProperties>
</file>