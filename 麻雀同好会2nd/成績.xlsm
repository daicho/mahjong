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E3BA9B0-59C4-4B2C-87A1-D01F4EBA6C7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1" l="1"/>
  <c r="O15" i="5519"/>
  <c r="O15" i="5505"/>
  <c r="O16" i="5531"/>
  <c r="O15" i="5531"/>
  <c r="H39" i="5531"/>
  <c r="H29" i="5531"/>
  <c r="C27" i="5531"/>
  <c r="B24" i="5531"/>
  <c r="C20" i="5531"/>
  <c r="B17" i="5531"/>
  <c r="H51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6" i="5531" l="1"/>
  <c r="H3" i="5531"/>
  <c r="H9" i="5531"/>
  <c r="H40" i="5531"/>
  <c r="H12" i="5531"/>
  <c r="H21" i="5531"/>
  <c r="H6" i="5531"/>
  <c r="H28" i="5531"/>
  <c r="B23" i="5531"/>
  <c r="H23" i="5531"/>
  <c r="H10" i="5531"/>
  <c r="C17" i="5531"/>
  <c r="H47" i="5531"/>
  <c r="H30" i="5531"/>
  <c r="H7" i="5531"/>
  <c r="H13" i="5531"/>
  <c r="H45" i="5531"/>
  <c r="C18" i="5531"/>
  <c r="H46" i="5531"/>
  <c r="H5" i="5531"/>
  <c r="H14" i="5531"/>
  <c r="H24" i="5531"/>
  <c r="C19" i="5531"/>
  <c r="H48" i="5531"/>
  <c r="H44" i="5531"/>
  <c r="H31" i="5531"/>
  <c r="H32" i="5531"/>
  <c r="H11" i="5531"/>
  <c r="H18" i="5531"/>
  <c r="H36" i="5531"/>
  <c r="H2" i="5531"/>
  <c r="H8" i="5531"/>
  <c r="H25" i="5531"/>
  <c r="H37" i="5531"/>
  <c r="H15" i="5531"/>
  <c r="H19" i="5531"/>
  <c r="H38" i="5531"/>
  <c r="H52" i="5531"/>
  <c r="H20" i="5531"/>
  <c r="H26" i="5531"/>
  <c r="H33" i="5531"/>
  <c r="H41" i="5531"/>
  <c r="H49" i="5531"/>
  <c r="H34" i="5531"/>
  <c r="H42" i="5531"/>
  <c r="H50" i="5531"/>
  <c r="H17" i="5531"/>
  <c r="H22" i="5531"/>
  <c r="H27" i="5531"/>
  <c r="H35" i="5531"/>
  <c r="H43" i="5531"/>
  <c r="O21" i="5525" l="1"/>
  <c r="O17" i="5511"/>
  <c r="O23" i="5523" l="1"/>
  <c r="O15" i="5529"/>
  <c r="O23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2" i="5519"/>
  <c r="O20" i="5509"/>
  <c r="O24" i="5507" l="1"/>
  <c r="O17" i="5525"/>
  <c r="O22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21" i="5525" l="1"/>
  <c r="H17" i="5525"/>
  <c r="H11" i="5525"/>
  <c r="H2" i="5525"/>
  <c r="H6" i="5525"/>
  <c r="C17" i="5525"/>
  <c r="H4" i="5525"/>
  <c r="H3" i="5525"/>
  <c r="H9" i="5525"/>
  <c r="H12" i="5525"/>
  <c r="H23" i="5525"/>
  <c r="H24" i="5525"/>
  <c r="H26" i="5525"/>
  <c r="H28" i="5525"/>
  <c r="H30" i="5525"/>
  <c r="H34" i="5525"/>
  <c r="H38" i="5525"/>
  <c r="H42" i="5525"/>
  <c r="H46" i="5525"/>
  <c r="H50" i="5525"/>
  <c r="C19" i="5525"/>
  <c r="H14" i="5525"/>
  <c r="H31" i="5525"/>
  <c r="H35" i="5525"/>
  <c r="H39" i="5525"/>
  <c r="H43" i="5525"/>
  <c r="H47" i="5525"/>
  <c r="H51" i="5525"/>
  <c r="H5" i="5525"/>
  <c r="H18" i="5525"/>
  <c r="H20" i="5525"/>
  <c r="H15" i="5525"/>
  <c r="H16" i="5525"/>
  <c r="H25" i="5525"/>
  <c r="H10" i="5525"/>
  <c r="H8" i="5525"/>
  <c r="H32" i="5525"/>
  <c r="H36" i="5525"/>
  <c r="H40" i="5525"/>
  <c r="H44" i="5525"/>
  <c r="H48" i="5525"/>
  <c r="H7" i="5525"/>
  <c r="H19" i="5525"/>
  <c r="H22" i="5525"/>
  <c r="H13" i="5525"/>
  <c r="C18" i="5525"/>
  <c r="B23" i="5525"/>
  <c r="H27" i="5525"/>
  <c r="H29" i="5525"/>
  <c r="H33" i="5525"/>
  <c r="H37" i="5525"/>
  <c r="H41" i="5525"/>
  <c r="H45" i="5525"/>
  <c r="H49" i="5525"/>
  <c r="O19" i="5515" l="1"/>
  <c r="O18" i="5511"/>
  <c r="O21" i="5519"/>
  <c r="O20" i="5519"/>
  <c r="O19" i="5507" l="1"/>
  <c r="O20" i="5523"/>
  <c r="O18" i="5523" l="1"/>
  <c r="O16" i="5523"/>
  <c r="O16" i="5513"/>
  <c r="O22" i="5511"/>
  <c r="O17" i="5521" l="1"/>
  <c r="O21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0" i="5517"/>
  <c r="O17" i="5517"/>
  <c r="O17" i="5509"/>
  <c r="O17" i="5515" l="1"/>
  <c r="O17" i="5513"/>
  <c r="O16" i="5517"/>
  <c r="O18" i="5517"/>
  <c r="O16" i="5515" l="1"/>
  <c r="O15" i="5513"/>
  <c r="O24" i="5511"/>
  <c r="O20" i="5511"/>
  <c r="O16" i="5519"/>
  <c r="O18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2" i="5505"/>
  <c r="H15" i="5519" l="1"/>
  <c r="H6" i="5519"/>
  <c r="H28" i="5519"/>
  <c r="H11" i="5519"/>
  <c r="H34" i="5519"/>
  <c r="H23" i="5519"/>
  <c r="H2" i="5519"/>
  <c r="H26" i="5519"/>
  <c r="H32" i="5519"/>
  <c r="H5" i="5519"/>
  <c r="C18" i="5519"/>
  <c r="H31" i="5519"/>
  <c r="H41" i="5519"/>
  <c r="H3" i="5519"/>
  <c r="H12" i="5519"/>
  <c r="H18" i="5519"/>
  <c r="B23" i="5519"/>
  <c r="H25" i="5519"/>
  <c r="H48" i="5519"/>
  <c r="H49" i="5519"/>
  <c r="H16" i="5519"/>
  <c r="H10" i="5519"/>
  <c r="H37" i="5519"/>
  <c r="H44" i="5519"/>
  <c r="H4" i="5519"/>
  <c r="H9" i="5519"/>
  <c r="H7" i="5519"/>
  <c r="H27" i="5519"/>
  <c r="C17" i="5519"/>
  <c r="H13" i="5519"/>
  <c r="H22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1" i="5519"/>
  <c r="C19" i="5519"/>
  <c r="H14" i="5519"/>
  <c r="H24" i="5519"/>
  <c r="H36" i="5519"/>
  <c r="H40" i="5519"/>
  <c r="H43" i="5519"/>
  <c r="H47" i="5519"/>
  <c r="O21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8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8" i="5515" l="1"/>
  <c r="H2" i="5515"/>
  <c r="H4" i="5515"/>
  <c r="H10" i="5515"/>
  <c r="H5" i="5513"/>
  <c r="C17" i="5517"/>
  <c r="H2" i="5517"/>
  <c r="H3" i="5517"/>
  <c r="H4" i="5517"/>
  <c r="H8" i="5517"/>
  <c r="H25" i="5517"/>
  <c r="H30" i="5517"/>
  <c r="H18" i="5517"/>
  <c r="H35" i="5517"/>
  <c r="H39" i="5517"/>
  <c r="H51" i="5517"/>
  <c r="H10" i="5517"/>
  <c r="H22" i="5517"/>
  <c r="H24" i="5517"/>
  <c r="C19" i="5517"/>
  <c r="H17" i="5517"/>
  <c r="H32" i="5517"/>
  <c r="H36" i="5517"/>
  <c r="H40" i="5517"/>
  <c r="H44" i="5517"/>
  <c r="H48" i="5517"/>
  <c r="H19" i="5517"/>
  <c r="H27" i="5517"/>
  <c r="H47" i="5517"/>
  <c r="H11" i="5517"/>
  <c r="H6" i="5517"/>
  <c r="H12" i="5517"/>
  <c r="H21" i="5517"/>
  <c r="H16" i="5517"/>
  <c r="H26" i="5517"/>
  <c r="H28" i="5517"/>
  <c r="H13" i="5517"/>
  <c r="H9" i="5517"/>
  <c r="H33" i="5517"/>
  <c r="H37" i="5517"/>
  <c r="H41" i="5517"/>
  <c r="H45" i="5517"/>
  <c r="H49" i="5517"/>
  <c r="H5" i="5517"/>
  <c r="H29" i="5517"/>
  <c r="H43" i="5517"/>
  <c r="H7" i="5517"/>
  <c r="H14" i="5517"/>
  <c r="H23" i="5517"/>
  <c r="H15" i="5517"/>
  <c r="C18" i="5517"/>
  <c r="B23" i="5517"/>
  <c r="H20" i="5517"/>
  <c r="H31" i="5517"/>
  <c r="H34" i="5517"/>
  <c r="H38" i="5517"/>
  <c r="H42" i="5517"/>
  <c r="H46" i="5517"/>
  <c r="H50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3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7" i="5507"/>
  <c r="O21" i="5507"/>
  <c r="C27" i="5507"/>
  <c r="B24" i="5507"/>
  <c r="C20" i="5507"/>
  <c r="B17" i="5507"/>
  <c r="H50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7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8" i="5507"/>
  <c r="H16" i="5507"/>
  <c r="H25" i="5507"/>
  <c r="H2" i="5511"/>
  <c r="H3" i="5511"/>
  <c r="H20" i="5505"/>
  <c r="H5" i="5507"/>
  <c r="H10" i="5507"/>
  <c r="H4" i="5511"/>
  <c r="H22" i="5511"/>
  <c r="H23" i="5511"/>
  <c r="C17" i="5511"/>
  <c r="B23" i="5511"/>
  <c r="H33" i="5511"/>
  <c r="H41" i="5511"/>
  <c r="H49" i="5511"/>
  <c r="H24" i="5511"/>
  <c r="H21" i="5511"/>
  <c r="H40" i="5511"/>
  <c r="H17" i="5511"/>
  <c r="H12" i="5511"/>
  <c r="H6" i="5511"/>
  <c r="H10" i="5511"/>
  <c r="H18" i="5511"/>
  <c r="H20" i="5511"/>
  <c r="H11" i="5511"/>
  <c r="H36" i="5511"/>
  <c r="H44" i="5511"/>
  <c r="H5" i="5511"/>
  <c r="H9" i="5511"/>
  <c r="C19" i="5511"/>
  <c r="H48" i="5511"/>
  <c r="H8" i="5511"/>
  <c r="H16" i="5511"/>
  <c r="H7" i="5511"/>
  <c r="H27" i="5511"/>
  <c r="H28" i="5511"/>
  <c r="H14" i="5511"/>
  <c r="C18" i="5511"/>
  <c r="H15" i="5511"/>
  <c r="H13" i="5511"/>
  <c r="H32" i="5511"/>
  <c r="H37" i="5511"/>
  <c r="H45" i="5511"/>
  <c r="H52" i="5511"/>
  <c r="H29" i="5511"/>
  <c r="H30" i="5511"/>
  <c r="H31" i="5511"/>
  <c r="H25" i="5511"/>
  <c r="H19" i="5511"/>
  <c r="H34" i="5511"/>
  <c r="H38" i="5511"/>
  <c r="H42" i="5511"/>
  <c r="H46" i="5511"/>
  <c r="H50" i="5511"/>
  <c r="H26" i="5511"/>
  <c r="H35" i="5511"/>
  <c r="H39" i="5511"/>
  <c r="H43" i="5511"/>
  <c r="H47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7" i="5505"/>
  <c r="H41" i="5505"/>
  <c r="H10" i="5505"/>
  <c r="H11" i="5505"/>
  <c r="H6" i="5505"/>
  <c r="H3" i="5505"/>
  <c r="H7" i="5505"/>
  <c r="H4" i="5505"/>
  <c r="H2" i="5505"/>
  <c r="H39" i="5507"/>
  <c r="H40" i="5507"/>
  <c r="H14" i="5507"/>
  <c r="H9" i="5507"/>
  <c r="H47" i="5507"/>
  <c r="H12" i="5507"/>
  <c r="H22" i="5507"/>
  <c r="H4" i="5507"/>
  <c r="H17" i="5507"/>
  <c r="B23" i="5507"/>
  <c r="H31" i="5507"/>
  <c r="H2" i="5507"/>
  <c r="C18" i="5507"/>
  <c r="H32" i="5507"/>
  <c r="H48" i="5507"/>
  <c r="H19" i="5507"/>
  <c r="H27" i="5507"/>
  <c r="H35" i="5507"/>
  <c r="H43" i="5507"/>
  <c r="H51" i="5507"/>
  <c r="H3" i="5507"/>
  <c r="H6" i="5507"/>
  <c r="H11" i="5507"/>
  <c r="C17" i="5507"/>
  <c r="H24" i="5507"/>
  <c r="H28" i="5507"/>
  <c r="H36" i="5507"/>
  <c r="H44" i="5507"/>
  <c r="H52" i="5507"/>
  <c r="H18" i="5507"/>
  <c r="H20" i="5507"/>
  <c r="H23" i="5507"/>
  <c r="H26" i="5507"/>
  <c r="H29" i="5507"/>
  <c r="H33" i="5507"/>
  <c r="H37" i="5507"/>
  <c r="H41" i="5507"/>
  <c r="H45" i="5507"/>
  <c r="H49" i="5507"/>
  <c r="H7" i="5507"/>
  <c r="H13" i="5507"/>
  <c r="H15" i="5507"/>
  <c r="C19" i="5507"/>
  <c r="H21" i="5507"/>
  <c r="H30" i="5507"/>
  <c r="H34" i="5507"/>
  <c r="H38" i="5507"/>
  <c r="H42" i="5507"/>
  <c r="H46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9" i="5505"/>
  <c r="H38" i="5505"/>
  <c r="H33" i="5505"/>
  <c r="H46" i="5505"/>
  <c r="H19" i="5505"/>
  <c r="C19" i="5505"/>
  <c r="H26" i="5505"/>
  <c r="H42" i="5505"/>
  <c r="H5" i="5505"/>
  <c r="H28" i="5505"/>
  <c r="H23" i="5505"/>
  <c r="H32" i="5505"/>
  <c r="H48" i="5505"/>
  <c r="H8" i="5505"/>
  <c r="H21" i="5505"/>
  <c r="H27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<sst xmlns="http://schemas.openxmlformats.org/spreadsheetml/2006/main" count="3574" uniqueCount="273">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</sst>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全体!$K$2:$K$767</c:f>
              <c:numCache>
                <c:formatCode>General</c:formatCode>
                <c:ptCount val="7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</c:numCache>
            </c:numRef>
          </c:xVal>
          <c:yVal>
            <c:numRef>
              <c:f>全体!$L$2:$L$767</c:f>
              <c:numCache>
                <c:formatCode>\+0.0;\-0.0;\±0</c:formatCode>
                <c:ptCount val="76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-16.993464052287582</c:v>
                </c:pt>
                <c:pt idx="1">
                  <c:v>-5.333333333333333</c:v>
                </c:pt>
                <c:pt idx="2">
                  <c:v>11.494252873563218</c:v>
                </c:pt>
                <c:pt idx="3">
                  <c:v>6.2305295950155761</c:v>
                </c:pt>
                <c:pt idx="4">
                  <c:v>-17.452006980802793</c:v>
                </c:pt>
                <c:pt idx="5">
                  <c:v>29.761904761904763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1901.840490797546</c:v>
                </c:pt>
                <c:pt idx="1">
                  <c:v>2079.8742138364778</c:v>
                </c:pt>
                <c:pt idx="2">
                  <c:v>637.74834437086088</c:v>
                </c:pt>
                <c:pt idx="3">
                  <c:v>2161.1510791366904</c:v>
                </c:pt>
                <c:pt idx="4">
                  <c:v>472.35772357723579</c:v>
                </c:pt>
                <c:pt idx="5">
                  <c:v>929.24528301886789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ただ!$L$2:$L$107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-2306.6666666666665</c:v>
                </c:pt>
                <c:pt idx="1">
                  <c:v>-1433.9805825242718</c:v>
                </c:pt>
                <c:pt idx="2">
                  <c:v>-160.82474226804123</c:v>
                </c:pt>
                <c:pt idx="3">
                  <c:v>-3836.7816091954023</c:v>
                </c:pt>
                <c:pt idx="4">
                  <c:v>-350.63291139240505</c:v>
                </c:pt>
                <c:pt idx="5">
                  <c:v>-446.47887323943661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591.9540229885057</c:v>
                </c:pt>
                <c:pt idx="1">
                  <c:v>-1175.8620689655172</c:v>
                </c:pt>
                <c:pt idx="2">
                  <c:v>-1442.8571428571429</c:v>
                </c:pt>
                <c:pt idx="3">
                  <c:v>1183.7837837837837</c:v>
                </c:pt>
                <c:pt idx="4">
                  <c:v>-41.176470588235297</c:v>
                </c:pt>
                <c:pt idx="5">
                  <c:v>-230.5084745762712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ぱぱ!$L$2:$L$51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-2824.4897959183672</c:v>
                </c:pt>
                <c:pt idx="1">
                  <c:v>1971.4285714285713</c:v>
                </c:pt>
                <c:pt idx="2">
                  <c:v>-319.56521739130437</c:v>
                </c:pt>
                <c:pt idx="3">
                  <c:v>-3760.4651162790697</c:v>
                </c:pt>
                <c:pt idx="4">
                  <c:v>-684.61538461538464</c:v>
                </c:pt>
                <c:pt idx="5">
                  <c:v>-2.7027027027027026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まっつん!$L$2:$L$83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958.02469135802471</c:v>
                </c:pt>
                <c:pt idx="1">
                  <c:v>448.71794871794873</c:v>
                </c:pt>
                <c:pt idx="2">
                  <c:v>160.56338028169014</c:v>
                </c:pt>
                <c:pt idx="3">
                  <c:v>2077.9411764705883</c:v>
                </c:pt>
                <c:pt idx="4">
                  <c:v>-1826.2295081967213</c:v>
                </c:pt>
                <c:pt idx="5">
                  <c:v>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-1562.5</c:v>
                </c:pt>
                <c:pt idx="1">
                  <c:v>2425</c:v>
                </c:pt>
                <c:pt idx="2">
                  <c:v>-6756.25</c:v>
                </c:pt>
                <c:pt idx="3">
                  <c:v>-575</c:v>
                </c:pt>
                <c:pt idx="4">
                  <c:v>10915.384615384615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のり!$L$2:$L$4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-7950</c:v>
                </c:pt>
                <c:pt idx="1">
                  <c:v>-7750</c:v>
                </c:pt>
                <c:pt idx="2">
                  <c:v>-1150</c:v>
                </c:pt>
                <c:pt idx="3">
                  <c:v>-3950</c:v>
                </c:pt>
                <c:pt idx="4">
                  <c:v>-2100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ほたに2!$B$3:$B$19</c:f>
              <c:numCache>
                <c:formatCode>\+0.0;\-0.0;\±0</c:formatCode>
                <c:ptCount val="17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287858708565181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ほたに2!$C$3:$C$19</c:f>
              <c:numCache>
                <c:formatCode>\+0.0;\-0.0;\±0</c:formatCode>
                <c:ptCount val="17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  <c:pt idx="8">
                  <c:v>1.1999999999999993</c:v>
                </c:pt>
                <c:pt idx="9">
                  <c:v>2.0111111111111106</c:v>
                </c:pt>
                <c:pt idx="10">
                  <c:v>10.94</c:v>
                </c:pt>
                <c:pt idx="11">
                  <c:v>9.1545454545454543</c:v>
                </c:pt>
                <c:pt idx="12">
                  <c:v>3.7999999999999989</c:v>
                </c:pt>
                <c:pt idx="13">
                  <c:v>6.4076923076923062</c:v>
                </c:pt>
                <c:pt idx="14">
                  <c:v>8.2142857142857135</c:v>
                </c:pt>
                <c:pt idx="15">
                  <c:v>10.513333333333332</c:v>
                </c:pt>
                <c:pt idx="16">
                  <c:v>6.2249999999999996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68347543603291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ほたに2!$D$3:$D$19</c:f>
              <c:numCache>
                <c:formatCode>0.00\ "位"</c:formatCode>
                <c:ptCount val="17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1.7857142857142858</c:v>
                </c:pt>
                <c:pt idx="15">
                  <c:v>1.7333333333333334</c:v>
                </c:pt>
                <c:pt idx="16">
                  <c:v>1.8125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ほたに2!$E$3:$E$19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ほたに2!$F$3:$F$19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ほたに2!$G$3:$G$19</c:f>
              <c:numCache>
                <c:formatCode>0.0%</c:formatCode>
                <c:ptCount val="17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  <c:pt idx="8">
                  <c:v>0.33766233766233766</c:v>
                </c:pt>
                <c:pt idx="9">
                  <c:v>0.3411764705882353</c:v>
                </c:pt>
                <c:pt idx="10">
                  <c:v>0.38297872340425532</c:v>
                </c:pt>
                <c:pt idx="11">
                  <c:v>0.38613861386138615</c:v>
                </c:pt>
                <c:pt idx="12">
                  <c:v>0.3783783783783784</c:v>
                </c:pt>
                <c:pt idx="13">
                  <c:v>0.36585365853658536</c:v>
                </c:pt>
                <c:pt idx="14">
                  <c:v>0.36363636363636365</c:v>
                </c:pt>
                <c:pt idx="15">
                  <c:v>0.36690647482014388</c:v>
                </c:pt>
                <c:pt idx="16">
                  <c:v>0.35333333333333333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60128870029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ほたに2!$H$3:$H$19</c:f>
              <c:numCache>
                <c:formatCode>0.0%</c:formatCode>
                <c:ptCount val="17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  <c:pt idx="8">
                  <c:v>0.16883116883116883</c:v>
                </c:pt>
                <c:pt idx="9">
                  <c:v>0.16470588235294117</c:v>
                </c:pt>
                <c:pt idx="10">
                  <c:v>0.1702127659574468</c:v>
                </c:pt>
                <c:pt idx="11">
                  <c:v>0.17821782178217821</c:v>
                </c:pt>
                <c:pt idx="12">
                  <c:v>0.18018018018018017</c:v>
                </c:pt>
                <c:pt idx="13">
                  <c:v>0.17073170731707318</c:v>
                </c:pt>
                <c:pt idx="14">
                  <c:v>0.15909090909090909</c:v>
                </c:pt>
                <c:pt idx="15">
                  <c:v>0.15827338129496402</c:v>
                </c:pt>
                <c:pt idx="16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116611661166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ほたに2!$I$3:$I$19</c:f>
              <c:numCache>
                <c:formatCode>0</c:formatCode>
                <c:ptCount val="17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  <c:pt idx="8">
                  <c:v>6973.0769230769229</c:v>
                </c:pt>
                <c:pt idx="9">
                  <c:v>6765.5172413793107</c:v>
                </c:pt>
                <c:pt idx="10">
                  <c:v>7680.5555555555557</c:v>
                </c:pt>
                <c:pt idx="11">
                  <c:v>7551.2820512820517</c:v>
                </c:pt>
                <c:pt idx="12">
                  <c:v>7535.7142857142853</c:v>
                </c:pt>
                <c:pt idx="13">
                  <c:v>7880</c:v>
                </c:pt>
                <c:pt idx="14">
                  <c:v>7858.333333333333</c:v>
                </c:pt>
                <c:pt idx="15">
                  <c:v>7968.6274509803925</c:v>
                </c:pt>
                <c:pt idx="16">
                  <c:v>8041.5094339622638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74.63157894736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ほたに2!$J$3:$J$19</c:f>
              <c:numCache>
                <c:formatCode>0</c:formatCode>
                <c:ptCount val="17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  <c:pt idx="8">
                  <c:v>-6569.2307692307695</c:v>
                </c:pt>
                <c:pt idx="9">
                  <c:v>-6378.5714285714284</c:v>
                </c:pt>
                <c:pt idx="10">
                  <c:v>-6831.25</c:v>
                </c:pt>
                <c:pt idx="11">
                  <c:v>-7388.8888888888887</c:v>
                </c:pt>
                <c:pt idx="12">
                  <c:v>-8280</c:v>
                </c:pt>
                <c:pt idx="13">
                  <c:v>-8071.4285714285716</c:v>
                </c:pt>
                <c:pt idx="14">
                  <c:v>-8071.4285714285716</c:v>
                </c:pt>
                <c:pt idx="15">
                  <c:v>-8068.181818181818</c:v>
                </c:pt>
                <c:pt idx="16">
                  <c:v>-8416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36.32923368022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ほたに2!$K$3:$K$19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8300653594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ほたに2!$L$3:$L$19</c:f>
              <c:numCache>
                <c:formatCode>0.0%</c:formatCode>
                <c:ptCount val="1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4183006535947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ほたに2!$M$3:$M$19</c:f>
              <c:numCache>
                <c:formatCode>0.0%</c:formatCode>
                <c:ptCount val="17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  <c:pt idx="8">
                  <c:v>0.23376623376623376</c:v>
                </c:pt>
                <c:pt idx="9">
                  <c:v>0.23529411764705882</c:v>
                </c:pt>
                <c:pt idx="10">
                  <c:v>0.24468085106382978</c:v>
                </c:pt>
                <c:pt idx="11">
                  <c:v>0.22772277227722773</c:v>
                </c:pt>
                <c:pt idx="12">
                  <c:v>0.22522522522522523</c:v>
                </c:pt>
                <c:pt idx="13">
                  <c:v>0.23577235772357724</c:v>
                </c:pt>
                <c:pt idx="14">
                  <c:v>0.22727272727272727</c:v>
                </c:pt>
                <c:pt idx="15">
                  <c:v>0.22302158273381295</c:v>
                </c:pt>
                <c:pt idx="16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441929907276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ほたに2!$N$3:$N$19</c:f>
              <c:numCache>
                <c:formatCode>0.0%</c:formatCode>
                <c:ptCount val="17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  <c:pt idx="8">
                  <c:v>0.31168831168831168</c:v>
                </c:pt>
                <c:pt idx="9">
                  <c:v>0.29411764705882354</c:v>
                </c:pt>
                <c:pt idx="10">
                  <c:v>0.31914893617021278</c:v>
                </c:pt>
                <c:pt idx="11">
                  <c:v>0.34653465346534651</c:v>
                </c:pt>
                <c:pt idx="12">
                  <c:v>0.34234234234234234</c:v>
                </c:pt>
                <c:pt idx="13">
                  <c:v>0.32520325203252032</c:v>
                </c:pt>
                <c:pt idx="14">
                  <c:v>0.34090909090909088</c:v>
                </c:pt>
                <c:pt idx="15">
                  <c:v>0.34532374100719426</c:v>
                </c:pt>
                <c:pt idx="16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692597831211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ほたに2!$O$3:$O$19</c:f>
              <c:numCache>
                <c:formatCode>0.0%</c:formatCode>
                <c:ptCount val="17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  <c:pt idx="8">
                  <c:v>0.72222222222222221</c:v>
                </c:pt>
                <c:pt idx="9">
                  <c:v>0.7</c:v>
                </c:pt>
                <c:pt idx="10">
                  <c:v>0.69565217391304346</c:v>
                </c:pt>
                <c:pt idx="11">
                  <c:v>0.69565217391304346</c:v>
                </c:pt>
                <c:pt idx="12">
                  <c:v>0.72</c:v>
                </c:pt>
                <c:pt idx="13">
                  <c:v>0.68965517241379315</c:v>
                </c:pt>
                <c:pt idx="14">
                  <c:v>0.66666666666666663</c:v>
                </c:pt>
                <c:pt idx="15">
                  <c:v>0.67741935483870963</c:v>
                </c:pt>
                <c:pt idx="16">
                  <c:v>0.63888888888888884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4638999431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ほたに2!$P$3:$P$19</c:f>
              <c:numCache>
                <c:formatCode>0.0%</c:formatCode>
                <c:ptCount val="17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  <c:pt idx="8">
                  <c:v>0.5</c:v>
                </c:pt>
                <c:pt idx="9">
                  <c:v>0.48</c:v>
                </c:pt>
                <c:pt idx="10">
                  <c:v>0.53333333333333333</c:v>
                </c:pt>
                <c:pt idx="11">
                  <c:v>0.51428571428571423</c:v>
                </c:pt>
                <c:pt idx="12">
                  <c:v>0.47368421052631576</c:v>
                </c:pt>
                <c:pt idx="13">
                  <c:v>0.45</c:v>
                </c:pt>
                <c:pt idx="14">
                  <c:v>0.46666666666666667</c:v>
                </c:pt>
                <c:pt idx="15">
                  <c:v>0.45833333333333331</c:v>
                </c:pt>
                <c:pt idx="16">
                  <c:v>0.44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982182628062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ほたに2!$A$3:$A$19</c:f>
              <c:numCache>
                <c:formatCode>0\ "回"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ほたに2!$Q$3:$Q$19</c:f>
              <c:numCache>
                <c:formatCode>0.0%</c:formatCode>
                <c:ptCount val="17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  <c:pt idx="8">
                  <c:v>0.57692307692307687</c:v>
                </c:pt>
                <c:pt idx="9">
                  <c:v>0.58620689655172409</c:v>
                </c:pt>
                <c:pt idx="10">
                  <c:v>0.63888888888888884</c:v>
                </c:pt>
                <c:pt idx="11">
                  <c:v>0.61538461538461542</c:v>
                </c:pt>
                <c:pt idx="12">
                  <c:v>0.61904761904761907</c:v>
                </c:pt>
                <c:pt idx="13">
                  <c:v>0.62222222222222223</c:v>
                </c:pt>
                <c:pt idx="14">
                  <c:v>0.60416666666666663</c:v>
                </c:pt>
                <c:pt idx="15">
                  <c:v>0.60784313725490191</c:v>
                </c:pt>
                <c:pt idx="16">
                  <c:v>0.60377358490566035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263157894736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1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43646.89403935185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43646.9846412037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765</v>
      </c>
    </row>
    <row r="2" spans="1:2" x14ac:dyDescent="0.4">
      <c r="A2" t="s">
        <v>127</v>
      </c>
      <c r="B2">
        <v>163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105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87</v>
      </c>
    </row>
    <row r="7" spans="1:2" x14ac:dyDescent="0.4">
      <c r="A7" t="s">
        <v>173</v>
      </c>
      <c r="B7">
        <v>49</v>
      </c>
    </row>
    <row r="8" spans="1:2" x14ac:dyDescent="0.4">
      <c r="A8" t="s">
        <v>177</v>
      </c>
      <c r="B8">
        <v>81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16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162</v>
      </c>
      <c r="K1" s="163"/>
      <c r="L1" s="162" t="s">
        <v>149</v>
      </c>
      <c r="M1" s="163"/>
      <c r="N1" s="162" t="s">
        <v>150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141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151</v>
      </c>
      <c r="AE1" s="163"/>
      <c r="AF1" s="162" t="s">
        <v>144</v>
      </c>
      <c r="AG1" s="163"/>
      <c r="AH1" s="162" t="s">
        <v>153</v>
      </c>
      <c r="AI1" s="163"/>
    </row>
    <row r="2" spans="1:35" x14ac:dyDescent="0.4">
      <c r="A2" s="72" t="s">
        <v>161</v>
      </c>
      <c r="B2" s="164"/>
      <c r="C2" s="165"/>
      <c r="D2" s="164"/>
      <c r="E2" s="165"/>
      <c r="F2" s="160">
        <v>0.96829074747197297</v>
      </c>
      <c r="G2" s="161"/>
      <c r="H2" s="160">
        <v>0.63986912546700148</v>
      </c>
      <c r="I2" s="161"/>
      <c r="J2" s="160">
        <v>0.91174832000867678</v>
      </c>
      <c r="K2" s="161"/>
      <c r="L2" s="160">
        <v>0.70538673288277287</v>
      </c>
      <c r="M2" s="161"/>
      <c r="N2" s="160">
        <v>0.69787231794813231</v>
      </c>
      <c r="O2" s="161"/>
      <c r="P2" s="160">
        <v>0.24791510292886534</v>
      </c>
      <c r="Q2" s="161"/>
      <c r="R2" s="160">
        <v>0.55209712272206068</v>
      </c>
      <c r="S2" s="161"/>
      <c r="T2" s="160">
        <v>0.65429791312047025</v>
      </c>
      <c r="U2" s="161"/>
      <c r="V2" s="160">
        <v>0.5646167060492181</v>
      </c>
      <c r="W2" s="161"/>
      <c r="X2" s="160">
        <v>0.49620592376635819</v>
      </c>
      <c r="Y2" s="161"/>
      <c r="Z2" s="160">
        <v>0.13724783498876442</v>
      </c>
      <c r="AA2" s="161"/>
      <c r="AB2" s="160">
        <v>3.4082164991532785E-2</v>
      </c>
      <c r="AC2" s="161"/>
      <c r="AD2" s="160">
        <v>0.70341132429567654</v>
      </c>
      <c r="AE2" s="161"/>
      <c r="AF2" s="160">
        <v>-1.7493536146267381E-2</v>
      </c>
      <c r="AG2" s="161"/>
      <c r="AH2" s="160">
        <v>0.82968390214895338</v>
      </c>
      <c r="AI2" s="161"/>
    </row>
    <row r="3" spans="1:35" x14ac:dyDescent="0.4">
      <c r="A3" s="74">
        <v>1</v>
      </c>
      <c r="B3" s="75" t="s">
        <v>127</v>
      </c>
      <c r="C3" s="76">
        <v>1950.5000000000005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0.35333333333333333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0.31292008961911877</v>
      </c>
      <c r="Z3" s="77" t="s">
        <v>271</v>
      </c>
      <c r="AA3" s="80">
        <v>0.47619047619047616</v>
      </c>
      <c r="AB3" s="77" t="s">
        <v>271</v>
      </c>
      <c r="AC3" s="80">
        <v>1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216.19999999999996</v>
      </c>
      <c r="D4" s="85" t="s">
        <v>223</v>
      </c>
      <c r="E4" s="97">
        <v>16.733333333333331</v>
      </c>
      <c r="F4" s="85" t="s">
        <v>127</v>
      </c>
      <c r="G4" s="86">
        <v>1.7668711656441718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223</v>
      </c>
      <c r="M4" s="88">
        <v>0.34782608695652173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-6140</v>
      </c>
      <c r="T4" s="85" t="s">
        <v>222</v>
      </c>
      <c r="U4" s="87">
        <v>0</v>
      </c>
      <c r="V4" s="85" t="s">
        <v>127</v>
      </c>
      <c r="W4" s="87">
        <v>0.17791411042944785</v>
      </c>
      <c r="X4" s="85" t="s">
        <v>128</v>
      </c>
      <c r="Y4" s="88">
        <v>0.29936305732484075</v>
      </c>
      <c r="Z4" s="85" t="s">
        <v>223</v>
      </c>
      <c r="AA4" s="88">
        <v>0.36956521739130432</v>
      </c>
      <c r="AB4" s="85" t="s">
        <v>223</v>
      </c>
      <c r="AC4" s="88">
        <v>0.7142857142857143</v>
      </c>
      <c r="AD4" s="85" t="s">
        <v>127</v>
      </c>
      <c r="AE4" s="88">
        <v>0.52127659574468088</v>
      </c>
      <c r="AF4" s="85" t="s">
        <v>200</v>
      </c>
      <c r="AG4" s="88">
        <v>0.60377358490566035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200</v>
      </c>
      <c r="G5" s="86">
        <v>1.8125</v>
      </c>
      <c r="H5" s="85" t="s">
        <v>127</v>
      </c>
      <c r="I5" s="87">
        <v>0.47239263803680981</v>
      </c>
      <c r="J5" s="85" t="s">
        <v>200</v>
      </c>
      <c r="K5" s="87">
        <v>0.1875</v>
      </c>
      <c r="L5" s="85" t="s">
        <v>172</v>
      </c>
      <c r="M5" s="88">
        <v>0.34515688949522511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-7119.5876288659792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177</v>
      </c>
      <c r="Y5" s="88">
        <v>0.29864253393665158</v>
      </c>
      <c r="Z5" s="85" t="s">
        <v>200</v>
      </c>
      <c r="AA5" s="88">
        <v>0.33333333333333331</v>
      </c>
      <c r="AB5" s="85" t="s">
        <v>184</v>
      </c>
      <c r="AC5" s="88">
        <v>0.65789473684210531</v>
      </c>
      <c r="AD5" s="85" t="s">
        <v>183</v>
      </c>
      <c r="AE5" s="88">
        <v>0.5</v>
      </c>
      <c r="AF5" s="85" t="s">
        <v>173</v>
      </c>
      <c r="AG5" s="88">
        <v>0.50406504065040647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99.6</v>
      </c>
      <c r="D6" s="85" t="s">
        <v>127</v>
      </c>
      <c r="E6" s="97">
        <v>11.966257668711659</v>
      </c>
      <c r="F6" s="85" t="s">
        <v>223</v>
      </c>
      <c r="G6" s="86">
        <v>1.8333333333333333</v>
      </c>
      <c r="H6" s="85" t="s">
        <v>200</v>
      </c>
      <c r="I6" s="87">
        <v>0.375</v>
      </c>
      <c r="J6" s="85" t="s">
        <v>127</v>
      </c>
      <c r="K6" s="87">
        <v>0.2392638036809816</v>
      </c>
      <c r="L6" s="85" t="s">
        <v>127</v>
      </c>
      <c r="M6" s="88">
        <v>0.34055265123226286</v>
      </c>
      <c r="N6" s="85" t="s">
        <v>172</v>
      </c>
      <c r="O6" s="88">
        <v>0.13642564802182811</v>
      </c>
      <c r="P6" s="85" t="s">
        <v>127</v>
      </c>
      <c r="Q6" s="89">
        <v>9309.4298245614027</v>
      </c>
      <c r="R6" s="85" t="s">
        <v>128</v>
      </c>
      <c r="S6" s="89">
        <v>-7700.5263157894733</v>
      </c>
      <c r="T6" s="85" t="s">
        <v>271</v>
      </c>
      <c r="U6" s="87">
        <v>0</v>
      </c>
      <c r="V6" s="85" t="s">
        <v>177</v>
      </c>
      <c r="W6" s="87">
        <v>0.13580246913580246</v>
      </c>
      <c r="X6" s="85" t="s">
        <v>171</v>
      </c>
      <c r="Y6" s="88">
        <v>0.2908863920099875</v>
      </c>
      <c r="Z6" s="85" t="s">
        <v>172</v>
      </c>
      <c r="AA6" s="88">
        <v>0.29195088676671216</v>
      </c>
      <c r="AB6" s="85" t="s">
        <v>200</v>
      </c>
      <c r="AC6" s="88">
        <v>0.63888888888888884</v>
      </c>
      <c r="AD6" s="85" t="s">
        <v>200</v>
      </c>
      <c r="AE6" s="88">
        <v>0.44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6.2249999999999996</v>
      </c>
      <c r="F7" s="85" t="s">
        <v>177</v>
      </c>
      <c r="G7" s="86">
        <v>1.9382716049382716</v>
      </c>
      <c r="H7" s="85" t="s">
        <v>184</v>
      </c>
      <c r="I7" s="87">
        <v>0.36363636363636365</v>
      </c>
      <c r="J7" s="85" t="s">
        <v>177</v>
      </c>
      <c r="K7" s="87">
        <v>0.29629629629629628</v>
      </c>
      <c r="L7" s="85" t="s">
        <v>145</v>
      </c>
      <c r="M7" s="88">
        <v>0.29860128870029862</v>
      </c>
      <c r="N7" s="85" t="s">
        <v>177</v>
      </c>
      <c r="O7" s="88">
        <v>0.14630467571644043</v>
      </c>
      <c r="P7" s="85" t="s">
        <v>128</v>
      </c>
      <c r="Q7" s="89">
        <v>9292.9292929292933</v>
      </c>
      <c r="R7" s="85" t="s">
        <v>127</v>
      </c>
      <c r="S7" s="89">
        <v>-8267.3170731707323</v>
      </c>
      <c r="T7" s="85" t="s">
        <v>172</v>
      </c>
      <c r="U7" s="87">
        <v>5.7471264367816091E-2</v>
      </c>
      <c r="V7" s="85" t="s">
        <v>145</v>
      </c>
      <c r="W7" s="87">
        <v>0.12418300653594772</v>
      </c>
      <c r="X7" s="85" t="s">
        <v>145</v>
      </c>
      <c r="Y7" s="88">
        <v>0.27644192990727645</v>
      </c>
      <c r="Z7" s="85" t="s">
        <v>173</v>
      </c>
      <c r="AA7" s="88">
        <v>0.24881516587677724</v>
      </c>
      <c r="AB7" s="85" t="s">
        <v>177</v>
      </c>
      <c r="AC7" s="88">
        <v>0.61111111111111116</v>
      </c>
      <c r="AD7" s="85" t="s">
        <v>172</v>
      </c>
      <c r="AE7" s="88">
        <v>0.42523364485981308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2.6691358024691354</v>
      </c>
      <c r="F8" s="85" t="s">
        <v>145</v>
      </c>
      <c r="G8" s="86">
        <v>2</v>
      </c>
      <c r="H8" s="85" t="s">
        <v>177</v>
      </c>
      <c r="I8" s="87">
        <v>0.35802469135802467</v>
      </c>
      <c r="J8" s="85" t="s">
        <v>172</v>
      </c>
      <c r="K8" s="87">
        <v>0.2988505747126437</v>
      </c>
      <c r="L8" s="85" t="s">
        <v>173</v>
      </c>
      <c r="M8" s="88">
        <v>0.29146919431279622</v>
      </c>
      <c r="N8" s="85" t="s">
        <v>127</v>
      </c>
      <c r="O8" s="88">
        <v>0.1530993278566094</v>
      </c>
      <c r="P8" s="85" t="s">
        <v>177</v>
      </c>
      <c r="Q8" s="89">
        <v>8883.6842105263149</v>
      </c>
      <c r="R8" s="85" t="s">
        <v>173</v>
      </c>
      <c r="S8" s="89">
        <v>-8300</v>
      </c>
      <c r="T8" s="85" t="s">
        <v>127</v>
      </c>
      <c r="U8" s="87">
        <v>9.202453987730061E-2</v>
      </c>
      <c r="V8" s="85" t="s">
        <v>128</v>
      </c>
      <c r="W8" s="87">
        <v>0.1044776119402985</v>
      </c>
      <c r="X8" s="85" t="s">
        <v>129</v>
      </c>
      <c r="Y8" s="88">
        <v>0.26905829596412556</v>
      </c>
      <c r="Z8" s="85" t="s">
        <v>184</v>
      </c>
      <c r="AA8" s="88">
        <v>0.24848484848484848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0.45614035087719296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145</v>
      </c>
      <c r="C9" s="84">
        <v>1.2878587085651816E-14</v>
      </c>
      <c r="D9" s="85" t="s">
        <v>145</v>
      </c>
      <c r="E9" s="97">
        <v>1.683475436032917E-17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177</v>
      </c>
      <c r="M9" s="88">
        <v>0.28657616892911009</v>
      </c>
      <c r="N9" s="85" t="s">
        <v>145</v>
      </c>
      <c r="O9" s="88">
        <v>0.16611661166116612</v>
      </c>
      <c r="P9" s="85" t="s">
        <v>129</v>
      </c>
      <c r="Q9" s="89">
        <v>8817.105263157895</v>
      </c>
      <c r="R9" s="85" t="s">
        <v>145</v>
      </c>
      <c r="S9" s="89">
        <v>-8336.3292336802278</v>
      </c>
      <c r="T9" s="85" t="s">
        <v>171</v>
      </c>
      <c r="U9" s="87">
        <v>0.11458333333333333</v>
      </c>
      <c r="V9" s="85" t="s">
        <v>172</v>
      </c>
      <c r="W9" s="87">
        <v>0.10344827586206896</v>
      </c>
      <c r="X9" s="85" t="s">
        <v>183</v>
      </c>
      <c r="Y9" s="88">
        <v>0.26315789473684209</v>
      </c>
      <c r="Z9" s="85" t="s">
        <v>145</v>
      </c>
      <c r="AA9" s="88">
        <v>0.21169259783121169</v>
      </c>
      <c r="AB9" s="85" t="s">
        <v>128</v>
      </c>
      <c r="AC9" s="88">
        <v>0.59270516717325228</v>
      </c>
      <c r="AD9" s="85" t="s">
        <v>145</v>
      </c>
      <c r="AE9" s="88">
        <v>0.39198218262806234</v>
      </c>
      <c r="AF9" s="85" t="s">
        <v>145</v>
      </c>
      <c r="AG9" s="88">
        <v>0.43526315789473685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2.0459770114942528</v>
      </c>
      <c r="H10" s="85" t="s">
        <v>171</v>
      </c>
      <c r="I10" s="87">
        <v>0.30208333333333331</v>
      </c>
      <c r="J10" s="85" t="s">
        <v>223</v>
      </c>
      <c r="K10" s="87">
        <v>0.33333333333333331</v>
      </c>
      <c r="L10" s="85" t="s">
        <v>171</v>
      </c>
      <c r="M10" s="88">
        <v>0.28339575530586769</v>
      </c>
      <c r="N10" s="85" t="s">
        <v>200</v>
      </c>
      <c r="O10" s="88">
        <v>0.16666666666666666</v>
      </c>
      <c r="P10" s="85" t="s">
        <v>145</v>
      </c>
      <c r="Q10" s="89">
        <v>8774.6315789473683</v>
      </c>
      <c r="R10" s="85" t="s">
        <v>200</v>
      </c>
      <c r="S10" s="89">
        <v>-8416</v>
      </c>
      <c r="T10" s="85" t="s">
        <v>145</v>
      </c>
      <c r="U10" s="87">
        <v>0.12418300653594772</v>
      </c>
      <c r="V10" s="85" t="s">
        <v>129</v>
      </c>
      <c r="W10" s="87">
        <v>9.5238095238095233E-2</v>
      </c>
      <c r="X10" s="85" t="s">
        <v>200</v>
      </c>
      <c r="Y10" s="88">
        <v>0.24</v>
      </c>
      <c r="Z10" s="85" t="s">
        <v>127</v>
      </c>
      <c r="AA10" s="88">
        <v>0.210604929051531</v>
      </c>
      <c r="AB10" s="85" t="s">
        <v>173</v>
      </c>
      <c r="AC10" s="88">
        <v>0.58510638297872342</v>
      </c>
      <c r="AD10" s="85" t="s">
        <v>184</v>
      </c>
      <c r="AE10" s="88">
        <v>0.3902439024390244</v>
      </c>
      <c r="AF10" s="85" t="s">
        <v>177</v>
      </c>
      <c r="AG10" s="88">
        <v>0.43157894736842106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271</v>
      </c>
      <c r="C11" s="84">
        <v>-96.5</v>
      </c>
      <c r="D11" s="85" t="s">
        <v>172</v>
      </c>
      <c r="E11" s="97">
        <v>-1.3632183908045981</v>
      </c>
      <c r="F11" s="85" t="s">
        <v>171</v>
      </c>
      <c r="G11" s="86">
        <v>2.0520833333333335</v>
      </c>
      <c r="H11" s="85" t="s">
        <v>173</v>
      </c>
      <c r="I11" s="87">
        <v>0.2857142857142857</v>
      </c>
      <c r="J11" s="85" t="s">
        <v>128</v>
      </c>
      <c r="K11" s="87">
        <v>0.34328358208955223</v>
      </c>
      <c r="L11" s="85" t="s">
        <v>184</v>
      </c>
      <c r="M11" s="88">
        <v>0.27878787878787881</v>
      </c>
      <c r="N11" s="85" t="s">
        <v>128</v>
      </c>
      <c r="O11" s="88">
        <v>0.17288444040036396</v>
      </c>
      <c r="P11" s="85" t="s">
        <v>184</v>
      </c>
      <c r="Q11" s="89">
        <v>8621.7391304347821</v>
      </c>
      <c r="R11" s="85" t="s">
        <v>171</v>
      </c>
      <c r="S11" s="89">
        <v>-8548.9510489510485</v>
      </c>
      <c r="T11" s="85" t="s">
        <v>200</v>
      </c>
      <c r="U11" s="87">
        <v>0.125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183</v>
      </c>
      <c r="AA11" s="88">
        <v>0.21052631578947367</v>
      </c>
      <c r="AB11" s="85" t="s">
        <v>145</v>
      </c>
      <c r="AC11" s="88">
        <v>0.5764638999431495</v>
      </c>
      <c r="AD11" s="85" t="s">
        <v>177</v>
      </c>
      <c r="AE11" s="88">
        <v>0.33620689655172414</v>
      </c>
      <c r="AF11" s="85" t="s">
        <v>128</v>
      </c>
      <c r="AG11" s="88">
        <v>0.42760942760942761</v>
      </c>
      <c r="AH11" s="85" t="s">
        <v>223</v>
      </c>
      <c r="AI11" s="92">
        <v>92100</v>
      </c>
    </row>
    <row r="12" spans="1:35" x14ac:dyDescent="0.4">
      <c r="A12" s="82">
        <v>10</v>
      </c>
      <c r="B12" s="83" t="s">
        <v>172</v>
      </c>
      <c r="C12" s="84">
        <v>-118.60000000000004</v>
      </c>
      <c r="D12" s="85" t="s">
        <v>128</v>
      </c>
      <c r="E12" s="97">
        <v>-2.5462686567164177</v>
      </c>
      <c r="F12" s="85" t="s">
        <v>128</v>
      </c>
      <c r="G12" s="86">
        <v>2.0746268656716418</v>
      </c>
      <c r="H12" s="85" t="s">
        <v>129</v>
      </c>
      <c r="I12" s="87">
        <v>0.27619047619047621</v>
      </c>
      <c r="J12" s="85" t="s">
        <v>171</v>
      </c>
      <c r="K12" s="87">
        <v>0.35416666666666669</v>
      </c>
      <c r="L12" s="85" t="s">
        <v>128</v>
      </c>
      <c r="M12" s="88">
        <v>0.27024567788899001</v>
      </c>
      <c r="N12" s="85" t="s">
        <v>171</v>
      </c>
      <c r="O12" s="88">
        <v>0.17852684144818975</v>
      </c>
      <c r="P12" s="85" t="s">
        <v>200</v>
      </c>
      <c r="Q12" s="89">
        <v>8041.5094339622638</v>
      </c>
      <c r="R12" s="85" t="s">
        <v>172</v>
      </c>
      <c r="S12" s="89">
        <v>-8632</v>
      </c>
      <c r="T12" s="85" t="s">
        <v>128</v>
      </c>
      <c r="U12" s="87">
        <v>0.13432835820895522</v>
      </c>
      <c r="V12" s="85" t="s">
        <v>200</v>
      </c>
      <c r="W12" s="87">
        <v>6.25E-2</v>
      </c>
      <c r="X12" s="85" t="s">
        <v>184</v>
      </c>
      <c r="Y12" s="88">
        <v>0.23030303030303031</v>
      </c>
      <c r="Z12" s="85" t="s">
        <v>171</v>
      </c>
      <c r="AA12" s="88">
        <v>0.19475655430711611</v>
      </c>
      <c r="AB12" s="85" t="s">
        <v>127</v>
      </c>
      <c r="AC12" s="88">
        <v>0.57279236276849643</v>
      </c>
      <c r="AD12" s="85" t="s">
        <v>173</v>
      </c>
      <c r="AE12" s="88">
        <v>0.33333333333333331</v>
      </c>
      <c r="AF12" s="85" t="s">
        <v>127</v>
      </c>
      <c r="AG12" s="88">
        <v>0.41885964912280704</v>
      </c>
      <c r="AH12" s="85" t="s">
        <v>184</v>
      </c>
      <c r="AI12" s="92">
        <v>92000</v>
      </c>
    </row>
    <row r="13" spans="1:35" x14ac:dyDescent="0.4">
      <c r="A13" s="82">
        <v>11</v>
      </c>
      <c r="B13" s="83" t="s">
        <v>184</v>
      </c>
      <c r="C13" s="84">
        <v>-264.39999999999998</v>
      </c>
      <c r="D13" s="85" t="s">
        <v>173</v>
      </c>
      <c r="E13" s="97">
        <v>-8.8367346938775508</v>
      </c>
      <c r="F13" s="85" t="s">
        <v>173</v>
      </c>
      <c r="G13" s="86">
        <v>2.1224489795918369</v>
      </c>
      <c r="H13" s="85" t="s">
        <v>128</v>
      </c>
      <c r="I13" s="87">
        <v>0.26865671641791045</v>
      </c>
      <c r="J13" s="85" t="s">
        <v>173</v>
      </c>
      <c r="K13" s="87">
        <v>0.40816326530612246</v>
      </c>
      <c r="L13" s="85" t="s">
        <v>183</v>
      </c>
      <c r="M13" s="88">
        <v>0.26315789473684209</v>
      </c>
      <c r="N13" s="85" t="s">
        <v>129</v>
      </c>
      <c r="O13" s="88">
        <v>0.18497757847533633</v>
      </c>
      <c r="P13" s="85" t="s">
        <v>183</v>
      </c>
      <c r="Q13" s="89">
        <v>7860</v>
      </c>
      <c r="R13" s="85" t="s">
        <v>129</v>
      </c>
      <c r="S13" s="89">
        <v>-9147.878787878788</v>
      </c>
      <c r="T13" s="85" t="s">
        <v>177</v>
      </c>
      <c r="U13" s="87">
        <v>0.13580246913580246</v>
      </c>
      <c r="V13" s="85" t="s">
        <v>173</v>
      </c>
      <c r="W13" s="87">
        <v>6.1224489795918366E-2</v>
      </c>
      <c r="X13" s="85" t="s">
        <v>173</v>
      </c>
      <c r="Y13" s="88">
        <v>0.22274881516587677</v>
      </c>
      <c r="Z13" s="85" t="s">
        <v>129</v>
      </c>
      <c r="AA13" s="88">
        <v>0.17713004484304934</v>
      </c>
      <c r="AB13" s="85" t="s">
        <v>171</v>
      </c>
      <c r="AC13" s="88">
        <v>0.5622317596566524</v>
      </c>
      <c r="AD13" s="85" t="s">
        <v>128</v>
      </c>
      <c r="AE13" s="88">
        <v>0.29533678756476683</v>
      </c>
      <c r="AF13" s="85" t="s">
        <v>171</v>
      </c>
      <c r="AG13" s="88">
        <v>0.40528634361233479</v>
      </c>
      <c r="AH13" s="85" t="s">
        <v>173</v>
      </c>
      <c r="AI13" s="92">
        <v>85900</v>
      </c>
    </row>
    <row r="14" spans="1:35" x14ac:dyDescent="0.4">
      <c r="A14" s="82">
        <v>12</v>
      </c>
      <c r="B14" s="83" t="s">
        <v>128</v>
      </c>
      <c r="C14" s="84">
        <v>-341.2</v>
      </c>
      <c r="D14" s="85" t="s">
        <v>129</v>
      </c>
      <c r="E14" s="97">
        <v>-10.844761904761908</v>
      </c>
      <c r="F14" s="85" t="s">
        <v>129</v>
      </c>
      <c r="G14" s="86">
        <v>2.1714285714285713</v>
      </c>
      <c r="H14" s="85" t="s">
        <v>172</v>
      </c>
      <c r="I14" s="87">
        <v>0.25287356321839083</v>
      </c>
      <c r="J14" s="85" t="s">
        <v>129</v>
      </c>
      <c r="K14" s="87">
        <v>0.44761904761904764</v>
      </c>
      <c r="L14" s="85" t="s">
        <v>129</v>
      </c>
      <c r="M14" s="88">
        <v>0.2556053811659193</v>
      </c>
      <c r="N14" s="85" t="s">
        <v>173</v>
      </c>
      <c r="O14" s="88">
        <v>0.1872037914691943</v>
      </c>
      <c r="P14" s="85" t="s">
        <v>173</v>
      </c>
      <c r="Q14" s="89">
        <v>6913.8211382113823</v>
      </c>
      <c r="R14" s="85" t="s">
        <v>184</v>
      </c>
      <c r="S14" s="89">
        <v>-9879.4871794871797</v>
      </c>
      <c r="T14" s="85" t="s">
        <v>173</v>
      </c>
      <c r="U14" s="87">
        <v>0.14285714285714285</v>
      </c>
      <c r="V14" s="85" t="s">
        <v>183</v>
      </c>
      <c r="W14" s="87">
        <v>0</v>
      </c>
      <c r="X14" s="85" t="s">
        <v>172</v>
      </c>
      <c r="Y14" s="88">
        <v>0.21282401091405184</v>
      </c>
      <c r="Z14" s="85" t="s">
        <v>128</v>
      </c>
      <c r="AA14" s="88">
        <v>0.17561419472247497</v>
      </c>
      <c r="AB14" s="85" t="s">
        <v>172</v>
      </c>
      <c r="AC14" s="88">
        <v>0.55769230769230771</v>
      </c>
      <c r="AD14" s="85" t="s">
        <v>129</v>
      </c>
      <c r="AE14" s="88">
        <v>0.27848101265822783</v>
      </c>
      <c r="AF14" s="85" t="s">
        <v>172</v>
      </c>
      <c r="AG14" s="88">
        <v>0.40316205533596838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-433</v>
      </c>
      <c r="D15" s="85" t="s">
        <v>184</v>
      </c>
      <c r="E15" s="97">
        <v>-12.018181818181818</v>
      </c>
      <c r="F15" s="85" t="s">
        <v>184</v>
      </c>
      <c r="G15" s="86">
        <v>2.1818181818181817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271</v>
      </c>
      <c r="M15" s="88">
        <v>0.19047619047619047</v>
      </c>
      <c r="N15" s="85" t="s">
        <v>184</v>
      </c>
      <c r="O15" s="88">
        <v>0.23636363636363636</v>
      </c>
      <c r="P15" s="85" t="s">
        <v>172</v>
      </c>
      <c r="Q15" s="89">
        <v>6910.276679841897</v>
      </c>
      <c r="R15" s="85" t="s">
        <v>223</v>
      </c>
      <c r="S15" s="89">
        <v>-10583.333333333334</v>
      </c>
      <c r="T15" s="85" t="s">
        <v>129</v>
      </c>
      <c r="U15" s="87">
        <v>0.18095238095238095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177</v>
      </c>
      <c r="AA15" s="88">
        <v>0.17496229260935142</v>
      </c>
      <c r="AB15" s="85" t="s">
        <v>129</v>
      </c>
      <c r="AC15" s="88">
        <v>0.52916666666666667</v>
      </c>
      <c r="AD15" s="85" t="s">
        <v>271</v>
      </c>
      <c r="AE15" s="88">
        <v>0.2</v>
      </c>
      <c r="AF15" s="85" t="s">
        <v>271</v>
      </c>
      <c r="AG15" s="88">
        <v>0.25</v>
      </c>
      <c r="AH15" s="85" t="s">
        <v>222</v>
      </c>
      <c r="AI15" s="92">
        <v>48300</v>
      </c>
    </row>
    <row r="16" spans="1:35" x14ac:dyDescent="0.4">
      <c r="A16" s="82">
        <v>14</v>
      </c>
      <c r="B16" s="83" t="s">
        <v>129</v>
      </c>
      <c r="C16" s="84">
        <v>-1138.7000000000003</v>
      </c>
      <c r="D16" s="85" t="s">
        <v>271</v>
      </c>
      <c r="E16" s="97">
        <v>-48.25</v>
      </c>
      <c r="F16" s="85" t="s">
        <v>271</v>
      </c>
      <c r="G16" s="86">
        <v>3</v>
      </c>
      <c r="H16" s="85" t="s">
        <v>271</v>
      </c>
      <c r="I16" s="87">
        <v>0</v>
      </c>
      <c r="J16" s="85" t="s">
        <v>271</v>
      </c>
      <c r="K16" s="87">
        <v>1</v>
      </c>
      <c r="L16" s="85" t="s">
        <v>222</v>
      </c>
      <c r="M16" s="88">
        <v>0.15384615384615385</v>
      </c>
      <c r="N16" s="85" t="s">
        <v>271</v>
      </c>
      <c r="O16" s="88">
        <v>0.23809523809523808</v>
      </c>
      <c r="P16" s="85" t="s">
        <v>271</v>
      </c>
      <c r="Q16" s="89">
        <v>4475</v>
      </c>
      <c r="R16" s="85" t="s">
        <v>222</v>
      </c>
      <c r="S16" s="89">
        <v>-12000</v>
      </c>
      <c r="T16" s="85" t="s">
        <v>184</v>
      </c>
      <c r="U16" s="87">
        <v>0.31818181818181818</v>
      </c>
      <c r="V16" s="85" t="s">
        <v>271</v>
      </c>
      <c r="W16" s="87">
        <v>0</v>
      </c>
      <c r="X16" s="85" t="s">
        <v>271</v>
      </c>
      <c r="Y16" s="88">
        <v>4.7619047619047616E-2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271</v>
      </c>
      <c r="AI16" s="92">
        <v>11800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6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765</v>
      </c>
      <c r="C2" s="153"/>
      <c r="E2" s="62" t="s">
        <v>67</v>
      </c>
      <c r="F2" s="59" t="s">
        <v>23</v>
      </c>
      <c r="G2" s="46">
        <v>1382</v>
      </c>
      <c r="H2" s="132">
        <f>IF(B$17=0,0,G2/B$17)</f>
        <v>0.72736842105263155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-16.993464052287582</v>
      </c>
      <c r="P2" s="118">
        <v>765</v>
      </c>
      <c r="Q2" s="102">
        <v>-13000</v>
      </c>
    </row>
    <row r="3" spans="1:17" x14ac:dyDescent="0.4">
      <c r="A3" s="55" t="s">
        <v>8</v>
      </c>
      <c r="B3" s="154">
        <v>6363</v>
      </c>
      <c r="C3" s="155"/>
      <c r="E3" s="63" t="s">
        <v>73</v>
      </c>
      <c r="F3" s="60" t="s">
        <v>28</v>
      </c>
      <c r="G3" s="47">
        <v>978</v>
      </c>
      <c r="H3" s="133">
        <f>IF(B$17=0,0,G3/B$17)</f>
        <v>0.51473684210526316</v>
      </c>
      <c r="I3" s="94">
        <v>10</v>
      </c>
      <c r="K3" s="38">
        <v>1</v>
      </c>
      <c r="L3" s="99">
        <v>-5.0999999999999996</v>
      </c>
      <c r="N3" s="115" t="s">
        <v>133</v>
      </c>
      <c r="O3" s="122">
        <f t="shared" si="0"/>
        <v>-5.333333333333333</v>
      </c>
      <c r="P3" s="119">
        <v>750</v>
      </c>
      <c r="Q3" s="103">
        <v>-4000</v>
      </c>
    </row>
    <row r="4" spans="1:17" x14ac:dyDescent="0.4">
      <c r="A4" s="55" t="s">
        <v>6</v>
      </c>
      <c r="B4" s="156">
        <v>1.2878587085651816E-14</v>
      </c>
      <c r="C4" s="157"/>
      <c r="E4" s="63" t="s">
        <v>65</v>
      </c>
      <c r="F4" s="60" t="s">
        <v>21</v>
      </c>
      <c r="G4" s="47">
        <v>969</v>
      </c>
      <c r="H4" s="133">
        <f>IF(B$17=0,0,G4/B$17)</f>
        <v>0.51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11.494252873563218</v>
      </c>
      <c r="P4" s="119">
        <v>696</v>
      </c>
      <c r="Q4" s="103">
        <v>8000</v>
      </c>
    </row>
    <row r="5" spans="1:17" x14ac:dyDescent="0.4">
      <c r="A5" s="55" t="s">
        <v>7</v>
      </c>
      <c r="B5" s="158">
        <f>IF(B$2=0,0,B$4/B$2)</f>
        <v>1.683475436032917E-17</v>
      </c>
      <c r="C5" s="159"/>
      <c r="E5" s="63" t="s">
        <v>245</v>
      </c>
      <c r="F5" s="60" t="s">
        <v>246</v>
      </c>
      <c r="G5" s="47">
        <v>789</v>
      </c>
      <c r="H5" s="133">
        <f>IF(B$17=0,0,G5/B$17)</f>
        <v>0.41526315789473683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6.2305295950155761</v>
      </c>
      <c r="P5" s="119">
        <v>642</v>
      </c>
      <c r="Q5" s="103">
        <v>4000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593</v>
      </c>
      <c r="H6" s="133">
        <f>IF(B$17=0,0,G6/B$17)</f>
        <v>0.31210526315789472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-17.452006980802793</v>
      </c>
      <c r="P6" s="119">
        <v>573</v>
      </c>
      <c r="Q6" s="103">
        <v>-10000</v>
      </c>
    </row>
    <row r="7" spans="1:17" x14ac:dyDescent="0.4">
      <c r="A7" s="55" t="s">
        <v>2</v>
      </c>
      <c r="B7" s="47">
        <v>255</v>
      </c>
      <c r="C7" s="39">
        <f>IF(B$2=0,0,B7/B$2)</f>
        <v>0.33333333333333331</v>
      </c>
      <c r="E7" s="63" t="s">
        <v>68</v>
      </c>
      <c r="F7" s="60" t="s">
        <v>24</v>
      </c>
      <c r="G7" s="47">
        <v>587</v>
      </c>
      <c r="H7" s="133">
        <f>IF(B$17=0,0,G7/B$17)</f>
        <v>0.30894736842105264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29.761904761904763</v>
      </c>
      <c r="P7" s="120">
        <v>504</v>
      </c>
      <c r="Q7" s="104">
        <v>15000</v>
      </c>
    </row>
    <row r="8" spans="1:17" x14ac:dyDescent="0.4">
      <c r="A8" s="55" t="s">
        <v>3</v>
      </c>
      <c r="B8" s="47">
        <v>255</v>
      </c>
      <c r="C8" s="39">
        <f>IF(B$2=0,0,B8/B$2)</f>
        <v>0.33333333333333331</v>
      </c>
      <c r="E8" s="63" t="s">
        <v>70</v>
      </c>
      <c r="F8" s="60" t="s">
        <v>25</v>
      </c>
      <c r="G8" s="47">
        <v>331</v>
      </c>
      <c r="H8" s="133">
        <f>IF(B$17=0,0,G8/B$17)</f>
        <v>0.17421052631578948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255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237</v>
      </c>
      <c r="H9" s="133">
        <f>IF(B$17=0,0,G9/B$17)</f>
        <v>0.12473684210526316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95</v>
      </c>
      <c r="C10" s="40">
        <f>IF(B$2=0,0,B10/B$2)</f>
        <v>0.12418300653594772</v>
      </c>
      <c r="E10" s="63" t="s">
        <v>66</v>
      </c>
      <c r="F10" s="60" t="s">
        <v>22</v>
      </c>
      <c r="G10" s="47">
        <v>216</v>
      </c>
      <c r="H10" s="133">
        <f>IF(B$17=0,0,G10/B$17)</f>
        <v>0.11368421052631579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-2.9631372549019592</v>
      </c>
      <c r="P10" s="118">
        <v>255</v>
      </c>
      <c r="Q10" s="106">
        <v>-755.59999999999957</v>
      </c>
    </row>
    <row r="11" spans="1:17" x14ac:dyDescent="0.4">
      <c r="A11" s="56" t="s">
        <v>140</v>
      </c>
      <c r="B11" s="48">
        <v>95</v>
      </c>
      <c r="C11" s="40">
        <f>IF(B$2=0,0,B11/B$2)</f>
        <v>0.12418300653594772</v>
      </c>
      <c r="E11" s="63" t="s">
        <v>71</v>
      </c>
      <c r="F11" s="60" t="s">
        <v>26</v>
      </c>
      <c r="G11" s="47">
        <v>193</v>
      </c>
      <c r="H11" s="133">
        <f>IF(B$17=0,0,G11/B$17)</f>
        <v>0.10157894736842105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1.869803921568628</v>
      </c>
      <c r="P11" s="119">
        <v>255</v>
      </c>
      <c r="Q11" s="107">
        <v>476.80000000000013</v>
      </c>
    </row>
    <row r="12" spans="1:17" x14ac:dyDescent="0.4">
      <c r="A12" s="57" t="s">
        <v>160</v>
      </c>
      <c r="B12" s="49">
        <v>66</v>
      </c>
      <c r="C12" s="42">
        <f>IF(B$2=0,0,B12/B$2)</f>
        <v>8.6274509803921567E-2</v>
      </c>
      <c r="E12" s="63" t="s">
        <v>72</v>
      </c>
      <c r="F12" s="60" t="s">
        <v>27</v>
      </c>
      <c r="G12" s="47">
        <v>131</v>
      </c>
      <c r="H12" s="133">
        <f>IF(B$17=0,0,G12/B$17)</f>
        <v>6.8947368421052632E-2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1.093333333333333</v>
      </c>
      <c r="P12" s="120">
        <v>255</v>
      </c>
      <c r="Q12" s="108">
        <v>278.79999999999995</v>
      </c>
    </row>
    <row r="13" spans="1:17" x14ac:dyDescent="0.4">
      <c r="A13" s="58" t="s">
        <v>122</v>
      </c>
      <c r="B13" s="50">
        <v>1759</v>
      </c>
      <c r="C13" s="44">
        <f>IF(B$3=0,0,B13/B$3)</f>
        <v>0.27644192990727645</v>
      </c>
      <c r="E13" s="63" t="s">
        <v>87</v>
      </c>
      <c r="F13" s="60" t="s">
        <v>42</v>
      </c>
      <c r="G13" s="47">
        <v>108</v>
      </c>
      <c r="H13" s="133">
        <f>IF(B$17=0,0,G13/B$17)</f>
        <v>5.6842105263157895E-2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1347</v>
      </c>
      <c r="C14" s="39">
        <f>IF(B$3=0,0,B14/B$3)</f>
        <v>0.21169259783121169</v>
      </c>
      <c r="E14" s="63" t="s">
        <v>84</v>
      </c>
      <c r="F14" s="60" t="s">
        <v>39</v>
      </c>
      <c r="G14" s="47">
        <v>92</v>
      </c>
      <c r="H14" s="133">
        <f>IF(B$17=0,0,G14/B$17)</f>
        <v>4.8421052631578948E-2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1014</v>
      </c>
      <c r="C15" s="37">
        <f>IF(B$13=0,0,B15/B$13)</f>
        <v>0.5764638999431495</v>
      </c>
      <c r="E15" s="63" t="s">
        <v>79</v>
      </c>
      <c r="F15" s="60" t="s">
        <v>34</v>
      </c>
      <c r="G15" s="47">
        <v>53</v>
      </c>
      <c r="H15" s="133">
        <f>IF(B$17=0,0,G15/B$17)</f>
        <v>2.7894736842105264E-2</v>
      </c>
      <c r="I15" s="94">
        <v>6</v>
      </c>
      <c r="K15" s="38">
        <v>13</v>
      </c>
      <c r="L15" s="99">
        <v>-42.100000000000009</v>
      </c>
      <c r="N15" s="114" t="s">
        <v>271</v>
      </c>
      <c r="O15" s="124">
        <f>IF(P15=0,0,Q15/P15)</f>
        <v>72.375</v>
      </c>
      <c r="P15" s="118">
        <v>4</v>
      </c>
      <c r="Q15" s="106">
        <v>289.5</v>
      </c>
    </row>
    <row r="16" spans="1:17" x14ac:dyDescent="0.4">
      <c r="A16" s="54" t="s">
        <v>125</v>
      </c>
      <c r="B16" s="46">
        <v>528</v>
      </c>
      <c r="C16" s="37">
        <f>IF(B$14=0,0,B16/B$14)</f>
        <v>0.39198218262806234</v>
      </c>
      <c r="E16" s="63" t="s">
        <v>82</v>
      </c>
      <c r="F16" s="60" t="s">
        <v>37</v>
      </c>
      <c r="G16" s="47">
        <v>53</v>
      </c>
      <c r="H16" s="133">
        <f>IF(B$17=0,0,G16/B$17)</f>
        <v>2.7894736842105264E-2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1900</v>
      </c>
      <c r="C17" s="37">
        <f>IF(B$3=0,0,B17/B$3)</f>
        <v>0.29860128870029862</v>
      </c>
      <c r="E17" s="63" t="s">
        <v>92</v>
      </c>
      <c r="F17" s="60" t="s">
        <v>47</v>
      </c>
      <c r="G17" s="47">
        <v>38</v>
      </c>
      <c r="H17" s="133">
        <f>IF(B$17=0,0,G17/B$17)</f>
        <v>0.02</v>
      </c>
      <c r="I17" s="94">
        <v>5</v>
      </c>
      <c r="K17" s="38">
        <v>15</v>
      </c>
      <c r="L17" s="99">
        <v>-1.0658141036401503E-14</v>
      </c>
      <c r="N17" s="115" t="s">
        <v>129</v>
      </c>
      <c r="O17" s="125">
        <f>IF(P17=0,0,Q17/P17)</f>
        <v>16.267142857142886</v>
      </c>
      <c r="P17" s="119">
        <v>210</v>
      </c>
      <c r="Q17" s="107">
        <v>3416.1000000000063</v>
      </c>
    </row>
    <row r="18" spans="1:17" x14ac:dyDescent="0.4">
      <c r="A18" s="55" t="s">
        <v>12</v>
      </c>
      <c r="B18" s="47">
        <v>827</v>
      </c>
      <c r="C18" s="39">
        <f>IF(B$17=0,0,B18/B$17)</f>
        <v>0.43526315789473685</v>
      </c>
      <c r="E18" s="63" t="s">
        <v>80</v>
      </c>
      <c r="F18" s="60" t="s">
        <v>35</v>
      </c>
      <c r="G18" s="47">
        <v>30</v>
      </c>
      <c r="H18" s="133">
        <f>IF(B$17=0,0,G18/B$17)</f>
        <v>1.5789473684210527E-2</v>
      </c>
      <c r="I18" s="94">
        <v>7</v>
      </c>
      <c r="K18" s="38">
        <v>16</v>
      </c>
      <c r="L18" s="99">
        <v>90.899999999999991</v>
      </c>
      <c r="N18" s="115" t="s">
        <v>173</v>
      </c>
      <c r="O18" s="125">
        <f>IF(P18=0,0,Q18/P18)</f>
        <v>13.255102040816322</v>
      </c>
      <c r="P18" s="119">
        <v>98</v>
      </c>
      <c r="Q18" s="107">
        <v>1298.9999999999995</v>
      </c>
    </row>
    <row r="19" spans="1:17" x14ac:dyDescent="0.4">
      <c r="A19" s="55" t="s">
        <v>11</v>
      </c>
      <c r="B19" s="47">
        <v>1073</v>
      </c>
      <c r="C19" s="39">
        <f>IF(B$17=0,0,B19/B$17)</f>
        <v>0.5647368421052632</v>
      </c>
      <c r="E19" s="63" t="s">
        <v>180</v>
      </c>
      <c r="F19" s="60" t="s">
        <v>181</v>
      </c>
      <c r="G19" s="47">
        <v>29</v>
      </c>
      <c r="H19" s="133">
        <f>IF(B$17=0,0,G19/B$17)</f>
        <v>1.5263157894736841E-2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3.8194029850746274</v>
      </c>
      <c r="P19" s="119">
        <v>268</v>
      </c>
      <c r="Q19" s="107">
        <v>1023.6000000000001</v>
      </c>
    </row>
    <row r="20" spans="1:17" x14ac:dyDescent="0.4">
      <c r="A20" s="55" t="s">
        <v>13</v>
      </c>
      <c r="B20" s="47">
        <v>1057</v>
      </c>
      <c r="C20" s="39">
        <f>IF(B$3=0,0,B20/B$3)</f>
        <v>0.16611661166116612</v>
      </c>
      <c r="E20" s="63" t="s">
        <v>74</v>
      </c>
      <c r="F20" s="60" t="s">
        <v>29</v>
      </c>
      <c r="G20" s="47">
        <v>13</v>
      </c>
      <c r="H20" s="133">
        <f>IF(B$17=0,0,G20/B$17)</f>
        <v>6.842105263157895E-3</v>
      </c>
      <c r="I20" s="94">
        <v>4</v>
      </c>
      <c r="K20" s="38">
        <v>18</v>
      </c>
      <c r="L20" s="99">
        <v>-3.5527136788005009E-15</v>
      </c>
      <c r="N20" s="115" t="s">
        <v>172</v>
      </c>
      <c r="O20" s="125">
        <f>IF(P20=0,0,Q20/P20)</f>
        <v>2.0448275862068961</v>
      </c>
      <c r="P20" s="119">
        <v>174</v>
      </c>
      <c r="Q20" s="107">
        <v>355.7999999999999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76</v>
      </c>
      <c r="F21" s="60" t="s">
        <v>31</v>
      </c>
      <c r="G21" s="47">
        <v>12</v>
      </c>
      <c r="H21" s="133">
        <f>IF(B$17=0,0,G21/B$17)</f>
        <v>6.3157894736842104E-3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0.75937500000000246</v>
      </c>
      <c r="P21" s="119">
        <v>192</v>
      </c>
      <c r="Q21" s="107">
        <v>145.80000000000047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75</v>
      </c>
      <c r="F22" s="60" t="s">
        <v>30</v>
      </c>
      <c r="G22" s="47">
        <v>9</v>
      </c>
      <c r="H22" s="133">
        <f>IF(B$17=0,0,G22/B$17)</f>
        <v>4.7368421052631582E-3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-4.0037037037037049</v>
      </c>
      <c r="P22" s="119">
        <v>162</v>
      </c>
      <c r="Q22" s="107">
        <v>-648.60000000000025</v>
      </c>
    </row>
    <row r="23" spans="1:17" x14ac:dyDescent="0.4">
      <c r="A23" s="55" t="s">
        <v>5</v>
      </c>
      <c r="B23" s="51">
        <f>IF(B$17=0,0,C23/B$17)</f>
        <v>8774.6315789473683</v>
      </c>
      <c r="C23" s="41">
        <v>16671800</v>
      </c>
      <c r="E23" s="63" t="s">
        <v>93</v>
      </c>
      <c r="F23" s="60" t="s">
        <v>48</v>
      </c>
      <c r="G23" s="47">
        <v>8</v>
      </c>
      <c r="H23" s="133">
        <f>IF(B$17=0,0,G23/B$17)</f>
        <v>4.2105263157894736E-3</v>
      </c>
      <c r="I23" s="94">
        <v>5</v>
      </c>
      <c r="K23" s="38">
        <v>21</v>
      </c>
      <c r="L23" s="99">
        <v>-2.886579864025407E-15</v>
      </c>
      <c r="N23" s="115" t="s">
        <v>200</v>
      </c>
      <c r="O23" s="125">
        <f>IF(P23=0,0,Q23/P23)</f>
        <v>-9.337499999999995</v>
      </c>
      <c r="P23" s="119">
        <v>32</v>
      </c>
      <c r="Q23" s="107">
        <v>-298.79999999999984</v>
      </c>
    </row>
    <row r="24" spans="1:17" x14ac:dyDescent="0.4">
      <c r="A24" s="57" t="s">
        <v>14</v>
      </c>
      <c r="B24" s="52">
        <f>IF(B$20=0,0,C24/B$20)</f>
        <v>-8336.3292336802278</v>
      </c>
      <c r="C24" s="45">
        <v>-8811500</v>
      </c>
      <c r="E24" s="63" t="s">
        <v>86</v>
      </c>
      <c r="F24" s="60" t="s">
        <v>41</v>
      </c>
      <c r="G24" s="47">
        <v>7</v>
      </c>
      <c r="H24" s="133">
        <f>IF(B$17=0,0,G24/B$17)</f>
        <v>3.6842105263157894E-3</v>
      </c>
      <c r="I24" s="94">
        <v>3</v>
      </c>
      <c r="K24" s="38">
        <v>22</v>
      </c>
      <c r="L24" s="99">
        <v>23.699999999999996</v>
      </c>
      <c r="N24" s="115" t="s">
        <v>127</v>
      </c>
      <c r="O24" s="125">
        <f>IF(P24=0,0,Q24/P24)</f>
        <v>-17.949386503067466</v>
      </c>
      <c r="P24" s="119">
        <v>326</v>
      </c>
      <c r="Q24" s="107">
        <v>-5851.4999999999936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3.6842105263157894E-3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3.1578947368421052E-3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17</v>
      </c>
      <c r="C27" s="42">
        <f>IF(B$3=0,0,B27/B$3)</f>
        <v>2.6716957410026715E-3</v>
      </c>
      <c r="E27" s="63" t="s">
        <v>78</v>
      </c>
      <c r="F27" s="60" t="s">
        <v>33</v>
      </c>
      <c r="G27" s="47">
        <v>5</v>
      </c>
      <c r="H27" s="133">
        <f>IF(B$17=0,0,G27/B$17)</f>
        <v>2.631578947368421E-3</v>
      </c>
      <c r="I27" s="94">
        <v>7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2.631578947368421E-3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2.631578947368421E-3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1.5789473684210526E-3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1.0526315789473684E-3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5.263157894736842E-4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5.263157894736842E-4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163</v>
      </c>
      <c r="C2" s="153"/>
      <c r="E2" s="62" t="s">
        <v>65</v>
      </c>
      <c r="F2" s="59" t="s">
        <v>21</v>
      </c>
      <c r="G2" s="46">
        <v>219</v>
      </c>
      <c r="H2" s="132">
        <f>IF(B$17=0,0,G2/B$17)</f>
        <v>0.48026315789473684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1901.840490797546</v>
      </c>
      <c r="P2" s="118">
        <v>163</v>
      </c>
      <c r="Q2" s="102">
        <v>310000</v>
      </c>
    </row>
    <row r="3" spans="1:17" x14ac:dyDescent="0.4">
      <c r="A3" s="55" t="s">
        <v>8</v>
      </c>
      <c r="B3" s="154">
        <v>1339</v>
      </c>
      <c r="C3" s="155"/>
      <c r="E3" s="63" t="s">
        <v>66</v>
      </c>
      <c r="F3" s="60" t="s">
        <v>22</v>
      </c>
      <c r="G3" s="47">
        <v>56</v>
      </c>
      <c r="H3" s="133">
        <f>IF(B$17=0,0,G3/B$17)</f>
        <v>0.12280701754385964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2079.8742138364778</v>
      </c>
      <c r="P3" s="119">
        <v>159</v>
      </c>
      <c r="Q3" s="103">
        <v>330700</v>
      </c>
    </row>
    <row r="4" spans="1:17" x14ac:dyDescent="0.4">
      <c r="A4" s="55" t="s">
        <v>6</v>
      </c>
      <c r="B4" s="156">
        <v>1950.5000000000005</v>
      </c>
      <c r="C4" s="157"/>
      <c r="E4" s="63" t="s">
        <v>67</v>
      </c>
      <c r="F4" s="60" t="s">
        <v>23</v>
      </c>
      <c r="G4" s="47">
        <v>327</v>
      </c>
      <c r="H4" s="133">
        <f>IF(B$17=0,0,G4/B$17)</f>
        <v>0.71710526315789469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637.74834437086088</v>
      </c>
      <c r="P4" s="119">
        <v>151</v>
      </c>
      <c r="Q4" s="103">
        <v>96300</v>
      </c>
    </row>
    <row r="5" spans="1:17" x14ac:dyDescent="0.4">
      <c r="A5" s="55" t="s">
        <v>7</v>
      </c>
      <c r="B5" s="158">
        <f>IF(B$2=0,0,B$4/B$2)</f>
        <v>11.966257668711659</v>
      </c>
      <c r="C5" s="159"/>
      <c r="E5" s="63" t="s">
        <v>68</v>
      </c>
      <c r="F5" s="60" t="s">
        <v>24</v>
      </c>
      <c r="G5" s="47">
        <v>132</v>
      </c>
      <c r="H5" s="133">
        <f>IF(B$17=0,0,G5/B$17)</f>
        <v>0.28947368421052633</v>
      </c>
      <c r="I5" s="94">
        <v>8</v>
      </c>
      <c r="K5" s="38">
        <v>3</v>
      </c>
      <c r="L5" s="99">
        <v>70.399999999999991</v>
      </c>
      <c r="N5" s="115" t="s">
        <v>135</v>
      </c>
      <c r="O5" s="122">
        <f t="shared" si="0"/>
        <v>2161.1510791366904</v>
      </c>
      <c r="P5" s="119">
        <v>139</v>
      </c>
      <c r="Q5" s="103">
        <v>300400</v>
      </c>
    </row>
    <row r="6" spans="1:17" x14ac:dyDescent="0.4">
      <c r="A6" s="55" t="s">
        <v>1</v>
      </c>
      <c r="B6" s="148">
        <f>IF(B$2=0,0,(B$7*1+B$8*2+B$9*3)/B$2)</f>
        <v>1.7668711656441718</v>
      </c>
      <c r="C6" s="149"/>
      <c r="E6" s="63" t="s">
        <v>69</v>
      </c>
      <c r="F6" s="60" t="s">
        <v>12</v>
      </c>
      <c r="G6" s="47">
        <v>124</v>
      </c>
      <c r="H6" s="133">
        <f>IF(B$17=0,0,G6/B$17)</f>
        <v>0.27192982456140352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472.35772357723579</v>
      </c>
      <c r="P6" s="119">
        <v>123</v>
      </c>
      <c r="Q6" s="103">
        <v>58100</v>
      </c>
    </row>
    <row r="7" spans="1:17" x14ac:dyDescent="0.4">
      <c r="A7" s="55" t="s">
        <v>2</v>
      </c>
      <c r="B7" s="47">
        <v>77</v>
      </c>
      <c r="C7" s="39">
        <f>IF(B$2=0,0,B7/B$2)</f>
        <v>0.47239263803680981</v>
      </c>
      <c r="E7" s="63" t="s">
        <v>70</v>
      </c>
      <c r="F7" s="60" t="s">
        <v>25</v>
      </c>
      <c r="G7" s="47">
        <v>74</v>
      </c>
      <c r="H7" s="133">
        <f>IF(B$17=0,0,G7/B$17)</f>
        <v>0.16228070175438597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929.24528301886789</v>
      </c>
      <c r="P7" s="120">
        <v>106</v>
      </c>
      <c r="Q7" s="104">
        <v>98500</v>
      </c>
    </row>
    <row r="8" spans="1:17" x14ac:dyDescent="0.4">
      <c r="A8" s="55" t="s">
        <v>3</v>
      </c>
      <c r="B8" s="47">
        <v>47</v>
      </c>
      <c r="C8" s="39">
        <f>IF(B$2=0,0,B8/B$2)</f>
        <v>0.28834355828220859</v>
      </c>
      <c r="E8" s="63" t="s">
        <v>71</v>
      </c>
      <c r="F8" s="60" t="s">
        <v>26</v>
      </c>
      <c r="G8" s="47">
        <v>39</v>
      </c>
      <c r="H8" s="133">
        <f>IF(B$17=0,0,G8/B$17)</f>
        <v>8.5526315789473686E-2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0.2392638036809816</v>
      </c>
      <c r="E9" s="63" t="s">
        <v>72</v>
      </c>
      <c r="F9" s="60" t="s">
        <v>27</v>
      </c>
      <c r="G9" s="47">
        <v>31</v>
      </c>
      <c r="H9" s="133">
        <f>IF(B$17=0,0,G9/B$17)</f>
        <v>6.798245614035088E-2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9.202453987730061E-2</v>
      </c>
      <c r="E10" s="63" t="s">
        <v>73</v>
      </c>
      <c r="F10" s="60" t="s">
        <v>28</v>
      </c>
      <c r="G10" s="47">
        <v>252</v>
      </c>
      <c r="H10" s="133">
        <f>IF(B$17=0,0,G10/B$17)</f>
        <v>0.55263157894736847</v>
      </c>
      <c r="I10" s="94">
        <v>7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0.17791411042944785</v>
      </c>
      <c r="E11" s="63" t="s">
        <v>74</v>
      </c>
      <c r="F11" s="60" t="s">
        <v>29</v>
      </c>
      <c r="G11" s="47">
        <v>3</v>
      </c>
      <c r="H11" s="133">
        <f>IF(B$17=0,0,G11/B$17)</f>
        <v>6.5789473684210523E-3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23</v>
      </c>
      <c r="C12" s="42">
        <f>IF(B$2=0,0,B12/B$2)</f>
        <v>0.1411042944785276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419</v>
      </c>
      <c r="C13" s="44">
        <f>IF(B$3=0,0,B13/B$3)</f>
        <v>0.31292008961911877</v>
      </c>
      <c r="E13" s="63" t="s">
        <v>76</v>
      </c>
      <c r="F13" s="60" t="s">
        <v>31</v>
      </c>
      <c r="G13" s="47">
        <v>1</v>
      </c>
      <c r="H13" s="133">
        <f>IF(B$17=0,0,G13/B$17)</f>
        <v>2.1929824561403508E-3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282</v>
      </c>
      <c r="C14" s="39">
        <f>IF(B$3=0,0,B14/B$3)</f>
        <v>0.210604929051531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240</v>
      </c>
      <c r="C15" s="37">
        <f>IF(B$13=0,0,B15/B$13)</f>
        <v>0.57279236276849643</v>
      </c>
      <c r="E15" s="63" t="s">
        <v>78</v>
      </c>
      <c r="F15" s="60" t="s">
        <v>33</v>
      </c>
      <c r="G15" s="47">
        <v>2</v>
      </c>
      <c r="H15" s="133">
        <f>IF(B$17=0,0,G15/B$17)</f>
        <v>4.3859649122807015E-3</v>
      </c>
      <c r="I15" s="94">
        <v>5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147</v>
      </c>
      <c r="C16" s="37">
        <f>IF(B$14=0,0,B16/B$14)</f>
        <v>0.52127659574468088</v>
      </c>
      <c r="E16" s="63" t="s">
        <v>79</v>
      </c>
      <c r="F16" s="60" t="s">
        <v>34</v>
      </c>
      <c r="G16" s="47">
        <v>12</v>
      </c>
      <c r="H16" s="133">
        <f>IF(B$17=0,0,G16/B$17)</f>
        <v>2.6315789473684209E-2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456</v>
      </c>
      <c r="C17" s="37">
        <f>IF(B$3=0,0,B17/B$3)</f>
        <v>0.34055265123226286</v>
      </c>
      <c r="E17" s="63" t="s">
        <v>80</v>
      </c>
      <c r="F17" s="60" t="s">
        <v>35</v>
      </c>
      <c r="G17" s="47">
        <v>5</v>
      </c>
      <c r="H17" s="133">
        <f>IF(B$17=0,0,G17/B$17)</f>
        <v>1.0964912280701754E-2</v>
      </c>
      <c r="I17" s="94">
        <v>10</v>
      </c>
      <c r="K17" s="38">
        <v>15</v>
      </c>
      <c r="L17" s="99">
        <v>481.50000000000006</v>
      </c>
      <c r="N17" s="115" t="s">
        <v>129</v>
      </c>
      <c r="O17" s="125">
        <f t="shared" si="2"/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191</v>
      </c>
      <c r="C18" s="39">
        <f>IF(B$17=0,0,B18/B$17)</f>
        <v>0.41885964912280704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265</v>
      </c>
      <c r="C19" s="39">
        <f>IF(B$17=0,0,B19/B$17)</f>
        <v>0.58114035087719296</v>
      </c>
      <c r="E19" s="63" t="s">
        <v>82</v>
      </c>
      <c r="F19" s="60" t="s">
        <v>37</v>
      </c>
      <c r="G19" s="47">
        <v>12</v>
      </c>
      <c r="H19" s="133">
        <f>IF(B$17=0,0,G19/B$17)</f>
        <v>2.6315789473684209E-2</v>
      </c>
      <c r="I19" s="94">
        <v>7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205</v>
      </c>
      <c r="C20" s="39">
        <f>IF(B$3=0,0,B20/B$3)</f>
        <v>0.1530993278566094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20.172727272727279</v>
      </c>
      <c r="P20" s="119">
        <v>33</v>
      </c>
      <c r="Q20" s="107">
        <v>665.70000000000016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5.4824561403508769E-2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 t="shared" si="2"/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2.1929824561403508E-3</v>
      </c>
      <c r="I22" s="94">
        <v>5</v>
      </c>
      <c r="K22" s="38">
        <v>20</v>
      </c>
      <c r="L22" s="99">
        <v>469.6</v>
      </c>
      <c r="N22" s="115" t="s">
        <v>173</v>
      </c>
      <c r="O22" s="125">
        <f t="shared" si="2"/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9309.4298245614027</v>
      </c>
      <c r="C23" s="41">
        <v>4245100</v>
      </c>
      <c r="E23" s="63" t="s">
        <v>86</v>
      </c>
      <c r="F23" s="60" t="s">
        <v>41</v>
      </c>
      <c r="G23" s="47">
        <v>4</v>
      </c>
      <c r="H23" s="133">
        <f>IF(B$17=0,0,G23/B$17)</f>
        <v>8.771929824561403E-3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-8267.3170731707323</v>
      </c>
      <c r="C24" s="45">
        <v>-1694800</v>
      </c>
      <c r="E24" s="63" t="s">
        <v>87</v>
      </c>
      <c r="F24" s="60" t="s">
        <v>42</v>
      </c>
      <c r="G24" s="47">
        <v>35</v>
      </c>
      <c r="H24" s="133">
        <f>IF(B$17=0,0,G24/B$17)</f>
        <v>7.6754385964912283E-2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2.1929824561403508E-3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2.1929824561403508E-3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7.468259895444362E-4</v>
      </c>
      <c r="E27" s="63" t="s">
        <v>90</v>
      </c>
      <c r="F27" s="60" t="s">
        <v>45</v>
      </c>
      <c r="G27" s="47">
        <v>72</v>
      </c>
      <c r="H27" s="133">
        <f>IF(B$17=0,0,G27/B$17)</f>
        <v>0.15789473684210525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4.3859649122807015E-3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11</v>
      </c>
      <c r="H29" s="133">
        <f>IF(B$17=0,0,G29/B$17)</f>
        <v>2.4122807017543858E-2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6.5789473684210523E-3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4.3859649122807015E-3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2.1929824561403508E-3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3.5087719298245612E-2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190</v>
      </c>
      <c r="H51" s="138">
        <f>IF(B$17=0,0,G51/B$17)</f>
        <v>0.41666666666666669</v>
      </c>
      <c r="I51" s="139">
        <v>6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</sheetData>
  <sortState ref="E2:I1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134</v>
      </c>
      <c r="C2" s="153"/>
      <c r="E2" s="62" t="s">
        <v>65</v>
      </c>
      <c r="F2" s="59" t="s">
        <v>21</v>
      </c>
      <c r="G2" s="46">
        <v>186</v>
      </c>
      <c r="H2" s="132">
        <f>IF(B$17=0,0,G2/B$17)</f>
        <v>0.6262626262626263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4">
        <v>1099</v>
      </c>
      <c r="C3" s="155"/>
      <c r="E3" s="63" t="s">
        <v>66</v>
      </c>
      <c r="F3" s="60" t="s">
        <v>22</v>
      </c>
      <c r="G3" s="47">
        <v>47</v>
      </c>
      <c r="H3" s="133">
        <f>IF(B$17=0,0,G3/B$17)</f>
        <v>0.15824915824915825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6">
        <v>-341.2</v>
      </c>
      <c r="C4" s="157"/>
      <c r="E4" s="63" t="s">
        <v>67</v>
      </c>
      <c r="F4" s="60" t="s">
        <v>23</v>
      </c>
      <c r="G4" s="47">
        <v>227</v>
      </c>
      <c r="H4" s="133">
        <f>IF(B$17=0,0,G4/B$17)</f>
        <v>0.76430976430976427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8">
        <f>IF(B$2=0,0,B$4/B$2)</f>
        <v>-2.5462686567164177</v>
      </c>
      <c r="C5" s="159"/>
      <c r="E5" s="63" t="s">
        <v>68</v>
      </c>
      <c r="F5" s="60" t="s">
        <v>24</v>
      </c>
      <c r="G5" s="47">
        <v>121</v>
      </c>
      <c r="H5" s="133">
        <f>IF(B$17=0,0,G5/B$17)</f>
        <v>0.40740740740740738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8">
        <f>IF(B$2=0,0,(B$7*1+B$8*2+B$9*3)/B$2)</f>
        <v>2.0746268656716418</v>
      </c>
      <c r="C6" s="149"/>
      <c r="E6" s="63" t="s">
        <v>69</v>
      </c>
      <c r="F6" s="60" t="s">
        <v>12</v>
      </c>
      <c r="G6" s="47">
        <v>103</v>
      </c>
      <c r="H6" s="133">
        <f>IF(B$17=0,0,G6/B$17)</f>
        <v>0.34680134680134678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70</v>
      </c>
      <c r="F7" s="60" t="s">
        <v>25</v>
      </c>
      <c r="G7" s="47">
        <v>68</v>
      </c>
      <c r="H7" s="133">
        <f>IF(B$17=0,0,G7/B$17)</f>
        <v>0.22895622895622897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71</v>
      </c>
      <c r="F8" s="60" t="s">
        <v>26</v>
      </c>
      <c r="G8" s="47">
        <v>37</v>
      </c>
      <c r="H8" s="133">
        <f>IF(B$17=0,0,G8/B$17)</f>
        <v>0.12457912457912458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72</v>
      </c>
      <c r="F9" s="60" t="s">
        <v>27</v>
      </c>
      <c r="G9" s="47">
        <v>17</v>
      </c>
      <c r="H9" s="133">
        <f>IF(B$17=0,0,G9/B$17)</f>
        <v>5.7239057239057242E-2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73</v>
      </c>
      <c r="F10" s="60" t="s">
        <v>28</v>
      </c>
      <c r="G10" s="47">
        <v>135</v>
      </c>
      <c r="H10" s="133">
        <f>IF(B$17=0,0,G10/B$17)</f>
        <v>0.45454545454545453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74</v>
      </c>
      <c r="F11" s="60" t="s">
        <v>29</v>
      </c>
      <c r="G11" s="47">
        <v>2</v>
      </c>
      <c r="H11" s="133">
        <f>IF(B$17=0,0,G11/B$17)</f>
        <v>6.7340067340067337E-3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75</v>
      </c>
      <c r="F12" s="60" t="s">
        <v>30</v>
      </c>
      <c r="G12" s="47">
        <v>2</v>
      </c>
      <c r="H12" s="133">
        <f>IF(B$17=0,0,G12/B$17)</f>
        <v>6.7340067340067337E-3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76</v>
      </c>
      <c r="F13" s="60" t="s">
        <v>31</v>
      </c>
      <c r="G13" s="47">
        <v>3</v>
      </c>
      <c r="H13" s="133">
        <f>IF(B$17=0,0,G13/B$17)</f>
        <v>1.0101010101010102E-2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78</v>
      </c>
      <c r="F15" s="60" t="s">
        <v>33</v>
      </c>
      <c r="G15" s="47">
        <v>1</v>
      </c>
      <c r="H15" s="133">
        <f>IF(B$17=0,0,G15/B$17)</f>
        <v>3.3670033670033669E-3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79</v>
      </c>
      <c r="F16" s="60" t="s">
        <v>34</v>
      </c>
      <c r="G16" s="47">
        <v>5</v>
      </c>
      <c r="H16" s="133">
        <f>IF(B$17=0,0,G16/B$17)</f>
        <v>1.6835016835016835E-2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80</v>
      </c>
      <c r="F17" s="60" t="s">
        <v>35</v>
      </c>
      <c r="G17" s="47">
        <v>7</v>
      </c>
      <c r="H17" s="133">
        <f>IF(B$17=0,0,G17/B$17)</f>
        <v>2.3569023569023569E-2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82</v>
      </c>
      <c r="F19" s="60" t="s">
        <v>37</v>
      </c>
      <c r="G19" s="47">
        <v>9</v>
      </c>
      <c r="H19" s="133">
        <f>IF(B$17=0,0,G19/B$17)</f>
        <v>3.0303030303030304E-2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3.3670033670033669E-2</v>
      </c>
      <c r="I21" s="94">
        <v>10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3.3670033670033669E-3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87</v>
      </c>
      <c r="F24" s="60" t="s">
        <v>42</v>
      </c>
      <c r="G24" s="47">
        <v>15</v>
      </c>
      <c r="H24" s="133">
        <f>IF(B$17=0,0,G24/B$17)</f>
        <v>5.0505050505050504E-2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3.3670033670033669E-3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90</v>
      </c>
      <c r="F27" s="60" t="s">
        <v>45</v>
      </c>
      <c r="G27" s="47">
        <v>32</v>
      </c>
      <c r="H27" s="133">
        <f>IF(B$17=0,0,G27/B$17)</f>
        <v>0.10774410774410774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2.0202020202020204E-2</v>
      </c>
      <c r="I29" s="94">
        <v>4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3.3670033670033669E-3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3.3670033670033669E-3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3.3670033670033669E-3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1.6835016835016835E-2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126</v>
      </c>
      <c r="H51" s="138">
        <f>IF(B$17=0,0,G51/B$17)</f>
        <v>0.42424242424242425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E2:I13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7"/>
  <sheetViews>
    <sheetView showGridLines="0" zoomScale="99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105</v>
      </c>
      <c r="C2" s="153"/>
      <c r="E2" s="62" t="s">
        <v>67</v>
      </c>
      <c r="F2" s="59" t="s">
        <v>23</v>
      </c>
      <c r="G2" s="46">
        <v>191</v>
      </c>
      <c r="H2" s="132">
        <f>IF(B$17=0,0,G2/B$17)</f>
        <v>0.83771929824561409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-2306.6666666666665</v>
      </c>
      <c r="P2" s="118">
        <v>105</v>
      </c>
      <c r="Q2" s="102">
        <v>-242200</v>
      </c>
    </row>
    <row r="3" spans="1:17" x14ac:dyDescent="0.4">
      <c r="A3" s="55" t="s">
        <v>8</v>
      </c>
      <c r="B3" s="154">
        <v>892</v>
      </c>
      <c r="C3" s="155"/>
      <c r="E3" s="63" t="s">
        <v>65</v>
      </c>
      <c r="F3" s="60" t="s">
        <v>21</v>
      </c>
      <c r="G3" s="47">
        <v>123</v>
      </c>
      <c r="H3" s="133">
        <f>IF(B$17=0,0,G3/B$17)</f>
        <v>0.53947368421052633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-1433.9805825242718</v>
      </c>
      <c r="P3" s="119">
        <v>103</v>
      </c>
      <c r="Q3" s="103">
        <v>-147700</v>
      </c>
    </row>
    <row r="4" spans="1:17" x14ac:dyDescent="0.4">
      <c r="A4" s="55" t="s">
        <v>6</v>
      </c>
      <c r="B4" s="156">
        <v>-1138.7000000000003</v>
      </c>
      <c r="C4" s="157"/>
      <c r="E4" s="63" t="s">
        <v>73</v>
      </c>
      <c r="F4" s="60" t="s">
        <v>28</v>
      </c>
      <c r="G4" s="47">
        <v>91</v>
      </c>
      <c r="H4" s="133">
        <f>IF(B$17=0,0,G4/B$17)</f>
        <v>0.39912280701754388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-160.82474226804123</v>
      </c>
      <c r="P4" s="119">
        <v>97</v>
      </c>
      <c r="Q4" s="103">
        <v>-15600</v>
      </c>
    </row>
    <row r="5" spans="1:17" x14ac:dyDescent="0.4">
      <c r="A5" s="55" t="s">
        <v>7</v>
      </c>
      <c r="B5" s="158">
        <f>IF(B$2=0,0,B$4/B$2)</f>
        <v>-10.844761904761908</v>
      </c>
      <c r="C5" s="159"/>
      <c r="E5" s="63" t="s">
        <v>245</v>
      </c>
      <c r="F5" s="60" t="s">
        <v>246</v>
      </c>
      <c r="G5" s="47">
        <v>91</v>
      </c>
      <c r="H5" s="133">
        <f>IF(B$17=0,0,G5/B$17)</f>
        <v>0.39912280701754388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-3836.7816091954023</v>
      </c>
      <c r="P5" s="119">
        <v>87</v>
      </c>
      <c r="Q5" s="103">
        <v>-333800</v>
      </c>
    </row>
    <row r="6" spans="1:17" x14ac:dyDescent="0.4">
      <c r="A6" s="55" t="s">
        <v>1</v>
      </c>
      <c r="B6" s="148">
        <f>IF(B$2=0,0,(B$7*1+B$8*2+B$9*3)/B$2)</f>
        <v>2.1714285714285713</v>
      </c>
      <c r="C6" s="149"/>
      <c r="E6" s="63" t="s">
        <v>69</v>
      </c>
      <c r="F6" s="60" t="s">
        <v>12</v>
      </c>
      <c r="G6" s="47">
        <v>85</v>
      </c>
      <c r="H6" s="133">
        <f>IF(B$17=0,0,G6/B$17)</f>
        <v>0.37280701754385964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-350.63291139240505</v>
      </c>
      <c r="P6" s="119">
        <v>79</v>
      </c>
      <c r="Q6" s="103">
        <v>-27700</v>
      </c>
    </row>
    <row r="7" spans="1:17" x14ac:dyDescent="0.4">
      <c r="A7" s="55" t="s">
        <v>2</v>
      </c>
      <c r="B7" s="47">
        <v>29</v>
      </c>
      <c r="C7" s="39">
        <f>IF(B$2=0,0,B7/B$2)</f>
        <v>0.27619047619047621</v>
      </c>
      <c r="E7" s="63" t="s">
        <v>68</v>
      </c>
      <c r="F7" s="60" t="s">
        <v>24</v>
      </c>
      <c r="G7" s="47">
        <v>70</v>
      </c>
      <c r="H7" s="133">
        <f>IF(B$17=0,0,G7/B$17)</f>
        <v>0.30701754385964913</v>
      </c>
      <c r="I7" s="94">
        <v>7</v>
      </c>
      <c r="K7" s="38">
        <v>5</v>
      </c>
      <c r="L7" s="99">
        <v>-32.199999999999996</v>
      </c>
      <c r="N7" s="116" t="s">
        <v>137</v>
      </c>
      <c r="O7" s="123">
        <f t="shared" si="0"/>
        <v>-446.47887323943661</v>
      </c>
      <c r="P7" s="120">
        <v>71</v>
      </c>
      <c r="Q7" s="104">
        <v>-31700</v>
      </c>
    </row>
    <row r="8" spans="1:17" x14ac:dyDescent="0.4">
      <c r="A8" s="55" t="s">
        <v>3</v>
      </c>
      <c r="B8" s="47">
        <v>29</v>
      </c>
      <c r="C8" s="39">
        <f>IF(B$2=0,0,B8/B$2)</f>
        <v>0.27619047619047621</v>
      </c>
      <c r="E8" s="63" t="s">
        <v>70</v>
      </c>
      <c r="F8" s="60" t="s">
        <v>25</v>
      </c>
      <c r="G8" s="47">
        <v>43</v>
      </c>
      <c r="H8" s="133">
        <f>IF(B$17=0,0,G8/B$17)</f>
        <v>0.18859649122807018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0.44761904761904764</v>
      </c>
      <c r="E9" s="63" t="s">
        <v>71</v>
      </c>
      <c r="F9" s="60" t="s">
        <v>26</v>
      </c>
      <c r="G9" s="47">
        <v>38</v>
      </c>
      <c r="H9" s="133">
        <f>IF(B$17=0,0,G9/B$17)</f>
        <v>0.16666666666666666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0.18095238095238095</v>
      </c>
      <c r="E10" s="63" t="s">
        <v>72</v>
      </c>
      <c r="F10" s="60" t="s">
        <v>27</v>
      </c>
      <c r="G10" s="47">
        <v>25</v>
      </c>
      <c r="H10" s="133">
        <f>IF(B$17=0,0,G10/B$17)</f>
        <v>0.10964912280701754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-16.003333333333327</v>
      </c>
      <c r="P10" s="118">
        <v>30</v>
      </c>
      <c r="Q10" s="106">
        <v>-480.0999999999998</v>
      </c>
    </row>
    <row r="11" spans="1:17" x14ac:dyDescent="0.4">
      <c r="A11" s="56" t="s">
        <v>140</v>
      </c>
      <c r="B11" s="48">
        <v>10</v>
      </c>
      <c r="C11" s="40">
        <f>IF(B$2=0,0,B11/B$2)</f>
        <v>9.5238095238095233E-2</v>
      </c>
      <c r="E11" s="63" t="s">
        <v>90</v>
      </c>
      <c r="F11" s="60" t="s">
        <v>45</v>
      </c>
      <c r="G11" s="47">
        <v>22</v>
      </c>
      <c r="H11" s="133">
        <f>IF(B$17=0,0,G11/B$17)</f>
        <v>9.6491228070175433E-2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-7.085714285714289</v>
      </c>
      <c r="P11" s="119">
        <v>42</v>
      </c>
      <c r="Q11" s="107">
        <v>-297.60000000000014</v>
      </c>
    </row>
    <row r="12" spans="1:17" x14ac:dyDescent="0.4">
      <c r="A12" s="57" t="s">
        <v>160</v>
      </c>
      <c r="B12" s="49">
        <v>8</v>
      </c>
      <c r="C12" s="42">
        <f>IF(B$2=0,0,B12/B$2)</f>
        <v>7.6190476190476197E-2</v>
      </c>
      <c r="E12" s="63" t="s">
        <v>66</v>
      </c>
      <c r="F12" s="60" t="s">
        <v>22</v>
      </c>
      <c r="G12" s="47">
        <v>20</v>
      </c>
      <c r="H12" s="133">
        <f>IF(B$17=0,0,G12/B$17)</f>
        <v>8.771929824561403E-2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-10.939393939393936</v>
      </c>
      <c r="P12" s="120">
        <v>33</v>
      </c>
      <c r="Q12" s="108">
        <v>-360.99999999999989</v>
      </c>
    </row>
    <row r="13" spans="1:17" x14ac:dyDescent="0.4">
      <c r="A13" s="58" t="s">
        <v>122</v>
      </c>
      <c r="B13" s="50">
        <v>240</v>
      </c>
      <c r="C13" s="44">
        <f>IF(B$3=0,0,B13/B$3)</f>
        <v>0.26905829596412556</v>
      </c>
      <c r="E13" s="63" t="s">
        <v>87</v>
      </c>
      <c r="F13" s="60" t="s">
        <v>42</v>
      </c>
      <c r="G13" s="47">
        <v>12</v>
      </c>
      <c r="H13" s="133">
        <f>IF(B$17=0,0,G13/B$17)</f>
        <v>5.2631578947368418E-2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0.17713004484304934</v>
      </c>
      <c r="E14" s="63" t="s">
        <v>79</v>
      </c>
      <c r="F14" s="60" t="s">
        <v>34</v>
      </c>
      <c r="G14" s="47">
        <v>10</v>
      </c>
      <c r="H14" s="133">
        <f>IF(B$17=0,0,G14/B$17)</f>
        <v>4.3859649122807015E-2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127</v>
      </c>
      <c r="C15" s="37">
        <f>IF(B$13=0,0,B15/B$13)</f>
        <v>0.52916666666666667</v>
      </c>
      <c r="E15" s="63" t="s">
        <v>84</v>
      </c>
      <c r="F15" s="60" t="s">
        <v>39</v>
      </c>
      <c r="G15" s="47">
        <v>8</v>
      </c>
      <c r="H15" s="133">
        <f>IF(B$17=0,0,G15/B$17)</f>
        <v>3.5087719298245612E-2</v>
      </c>
      <c r="I15" s="94">
        <v>9</v>
      </c>
      <c r="K15" s="38">
        <v>13</v>
      </c>
      <c r="L15" s="99">
        <v>-369.1</v>
      </c>
      <c r="N15" s="114" t="s">
        <v>271</v>
      </c>
      <c r="O15" s="124">
        <f>IF(P15=0,0,Q15/P15)</f>
        <v>98.949999999999989</v>
      </c>
      <c r="P15" s="118">
        <v>2</v>
      </c>
      <c r="Q15" s="106">
        <v>197.89999999999998</v>
      </c>
    </row>
    <row r="16" spans="1:17" x14ac:dyDescent="0.4">
      <c r="A16" s="54" t="s">
        <v>125</v>
      </c>
      <c r="B16" s="46">
        <v>44</v>
      </c>
      <c r="C16" s="37">
        <f>IF(B$14=0,0,B16/B$14)</f>
        <v>0.27848101265822783</v>
      </c>
      <c r="E16" s="63" t="s">
        <v>82</v>
      </c>
      <c r="F16" s="60" t="s">
        <v>37</v>
      </c>
      <c r="G16" s="47">
        <v>6</v>
      </c>
      <c r="H16" s="133">
        <f>IF(B$17=0,0,G16/B$17)</f>
        <v>2.6315789473684209E-2</v>
      </c>
      <c r="I16" s="94">
        <v>7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228</v>
      </c>
      <c r="C17" s="37">
        <f>IF(B$3=0,0,B17/B$3)</f>
        <v>0.2556053811659193</v>
      </c>
      <c r="E17" s="63" t="s">
        <v>78</v>
      </c>
      <c r="F17" s="60" t="s">
        <v>33</v>
      </c>
      <c r="G17" s="47">
        <v>5</v>
      </c>
      <c r="H17" s="133">
        <f>IF(B$17=0,0,G17/B$17)</f>
        <v>2.1929824561403508E-2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17.8</v>
      </c>
      <c r="P17" s="119">
        <v>4</v>
      </c>
      <c r="Q17" s="107">
        <v>71.2</v>
      </c>
    </row>
    <row r="18" spans="1:17" x14ac:dyDescent="0.4">
      <c r="A18" s="55" t="s">
        <v>12</v>
      </c>
      <c r="B18" s="47">
        <v>104</v>
      </c>
      <c r="C18" s="39">
        <f>IF(B$17=0,0,B18/B$17)</f>
        <v>0.45614035087719296</v>
      </c>
      <c r="E18" s="63" t="s">
        <v>75</v>
      </c>
      <c r="F18" s="60" t="s">
        <v>30</v>
      </c>
      <c r="G18" s="47">
        <v>3</v>
      </c>
      <c r="H18" s="133">
        <f>IF(B$17=0,0,G18/B$17)</f>
        <v>1.3157894736842105E-2</v>
      </c>
      <c r="I18" s="94">
        <v>2</v>
      </c>
      <c r="K18" s="38">
        <v>16</v>
      </c>
      <c r="L18" s="99">
        <v>-472</v>
      </c>
      <c r="N18" s="115" t="s">
        <v>177</v>
      </c>
      <c r="O18" s="125">
        <f>IF(P18=0,0,Q18/P18)</f>
        <v>-2.6357142857142848</v>
      </c>
      <c r="P18" s="119">
        <v>28</v>
      </c>
      <c r="Q18" s="107">
        <v>-73.799999999999969</v>
      </c>
    </row>
    <row r="19" spans="1:17" x14ac:dyDescent="0.4">
      <c r="A19" s="55" t="s">
        <v>11</v>
      </c>
      <c r="B19" s="47">
        <v>124</v>
      </c>
      <c r="C19" s="39">
        <f>IF(B$17=0,0,B19/B$17)</f>
        <v>0.54385964912280704</v>
      </c>
      <c r="E19" s="63" t="s">
        <v>92</v>
      </c>
      <c r="F19" s="60" t="s">
        <v>47</v>
      </c>
      <c r="G19" s="47">
        <v>3</v>
      </c>
      <c r="H19" s="133">
        <f>IF(B$17=0,0,G19/B$17)</f>
        <v>1.3157894736842105E-2</v>
      </c>
      <c r="I19" s="94">
        <v>8</v>
      </c>
      <c r="K19" s="38">
        <v>17</v>
      </c>
      <c r="L19" s="99">
        <v>-538.29999999999995</v>
      </c>
      <c r="N19" s="115" t="s">
        <v>128</v>
      </c>
      <c r="O19" s="125">
        <f>IF(P19=0,0,Q19/P19)</f>
        <v>-13.619047619047617</v>
      </c>
      <c r="P19" s="119">
        <v>42</v>
      </c>
      <c r="Q19" s="107">
        <v>-571.99999999999989</v>
      </c>
    </row>
    <row r="20" spans="1:17" x14ac:dyDescent="0.4">
      <c r="A20" s="55" t="s">
        <v>13</v>
      </c>
      <c r="B20" s="47">
        <v>165</v>
      </c>
      <c r="C20" s="39">
        <f>IF(B$3=0,0,B20/B$3)</f>
        <v>0.18497757847533633</v>
      </c>
      <c r="E20" s="63" t="s">
        <v>80</v>
      </c>
      <c r="F20" s="60" t="s">
        <v>35</v>
      </c>
      <c r="G20" s="47">
        <v>2</v>
      </c>
      <c r="H20" s="133">
        <f>IF(B$17=0,0,G20/B$17)</f>
        <v>8.771929824561403E-3</v>
      </c>
      <c r="I20" s="94">
        <v>11</v>
      </c>
      <c r="K20" s="38">
        <v>18</v>
      </c>
      <c r="L20" s="99">
        <v>-537.19999999999993</v>
      </c>
      <c r="N20" s="115" t="s">
        <v>171</v>
      </c>
      <c r="O20" s="125">
        <f>IF(P20=0,0,Q20/P20)</f>
        <v>-18.865624999999994</v>
      </c>
      <c r="P20" s="119">
        <v>32</v>
      </c>
      <c r="Q20" s="107">
        <v>-603.69999999999982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88</v>
      </c>
      <c r="F21" s="60" t="s">
        <v>43</v>
      </c>
      <c r="G21" s="47">
        <v>2</v>
      </c>
      <c r="H21" s="133">
        <f>IF(B$17=0,0,G21/B$17)</f>
        <v>8.771929824561403E-3</v>
      </c>
      <c r="I21" s="94">
        <v>1</v>
      </c>
      <c r="K21" s="38">
        <v>19</v>
      </c>
      <c r="L21" s="99">
        <v>-569.49999999999989</v>
      </c>
      <c r="N21" s="115" t="s">
        <v>173</v>
      </c>
      <c r="O21" s="125">
        <f>IF(P21=0,0,Q21/P21)</f>
        <v>-21.862499999999997</v>
      </c>
      <c r="P21" s="119">
        <v>8</v>
      </c>
      <c r="Q21" s="107">
        <v>-174.89999999999998</v>
      </c>
    </row>
    <row r="22" spans="1:17" x14ac:dyDescent="0.4">
      <c r="A22" s="55" t="s">
        <v>192</v>
      </c>
      <c r="B22" s="47">
        <v>31</v>
      </c>
      <c r="C22" s="135">
        <v>2</v>
      </c>
      <c r="E22" s="63" t="s">
        <v>94</v>
      </c>
      <c r="F22" s="60" t="s">
        <v>49</v>
      </c>
      <c r="G22" s="47">
        <v>2</v>
      </c>
      <c r="H22" s="133">
        <f>IF(B$17=0,0,G22/B$17)</f>
        <v>8.771929824561403E-3</v>
      </c>
      <c r="I22" s="94">
        <v>1</v>
      </c>
      <c r="K22" s="38">
        <v>20</v>
      </c>
      <c r="L22" s="99">
        <v>-632.99999999999989</v>
      </c>
      <c r="N22" s="115" t="s">
        <v>184</v>
      </c>
      <c r="O22" s="125">
        <f>IF(P22=0,0,Q22/P22)</f>
        <v>-24.44</v>
      </c>
      <c r="P22" s="119">
        <v>5</v>
      </c>
      <c r="Q22" s="107">
        <v>-122.2</v>
      </c>
    </row>
    <row r="23" spans="1:17" x14ac:dyDescent="0.4">
      <c r="A23" s="55" t="s">
        <v>5</v>
      </c>
      <c r="B23" s="51">
        <f>IF(B$17=0,0,C23/B$17)</f>
        <v>8817.105263157895</v>
      </c>
      <c r="C23" s="41">
        <v>2010300</v>
      </c>
      <c r="E23" s="63" t="s">
        <v>76</v>
      </c>
      <c r="F23" s="60" t="s">
        <v>31</v>
      </c>
      <c r="G23" s="47">
        <v>1</v>
      </c>
      <c r="H23" s="133">
        <f>IF(B$17=0,0,G23/B$17)</f>
        <v>4.3859649122807015E-3</v>
      </c>
      <c r="I23" s="94">
        <v>6</v>
      </c>
      <c r="K23" s="38">
        <v>21</v>
      </c>
      <c r="L23" s="99">
        <v>-629.49999999999989</v>
      </c>
      <c r="N23" s="115" t="s">
        <v>127</v>
      </c>
      <c r="O23" s="125">
        <f>IF(P23=0,0,Q23/P23)</f>
        <v>-27.119672131147549</v>
      </c>
      <c r="P23" s="119">
        <v>61</v>
      </c>
      <c r="Q23" s="107">
        <v>-1654.3000000000004</v>
      </c>
    </row>
    <row r="24" spans="1:17" x14ac:dyDescent="0.4">
      <c r="A24" s="57" t="s">
        <v>14</v>
      </c>
      <c r="B24" s="52">
        <f>IF(B$20=0,0,C24/B$20)</f>
        <v>-9147.878787878788</v>
      </c>
      <c r="C24" s="45">
        <v>-1509400</v>
      </c>
      <c r="E24" s="63" t="s">
        <v>85</v>
      </c>
      <c r="F24" s="60" t="s">
        <v>40</v>
      </c>
      <c r="G24" s="47">
        <v>1</v>
      </c>
      <c r="H24" s="133">
        <f>IF(B$17=0,0,G24/B$17)</f>
        <v>4.3859649122807015E-3</v>
      </c>
      <c r="I24" s="94">
        <v>2</v>
      </c>
      <c r="K24" s="38">
        <v>22</v>
      </c>
      <c r="L24" s="99">
        <v>-670.19999999999993</v>
      </c>
      <c r="N24" s="115" t="s">
        <v>172</v>
      </c>
      <c r="O24" s="125">
        <f>IF(P24=0,0,Q24/P24)</f>
        <v>-27.262499999999999</v>
      </c>
      <c r="P24" s="119">
        <v>24</v>
      </c>
      <c r="Q24" s="107">
        <v>-654.29999999999995</v>
      </c>
    </row>
    <row r="25" spans="1:17" x14ac:dyDescent="0.4">
      <c r="A25" s="90" t="s">
        <v>142</v>
      </c>
      <c r="B25" s="146">
        <v>7</v>
      </c>
      <c r="C25" s="147"/>
      <c r="E25" s="63" t="s">
        <v>89</v>
      </c>
      <c r="F25" s="60" t="s">
        <v>44</v>
      </c>
      <c r="G25" s="47">
        <v>1</v>
      </c>
      <c r="H25" s="133">
        <f>IF(B$17=0,0,G25/B$17)</f>
        <v>4.3859649122807015E-3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93</v>
      </c>
      <c r="F26" s="60" t="s">
        <v>48</v>
      </c>
      <c r="G26" s="47">
        <v>1</v>
      </c>
      <c r="H26" s="133">
        <f>IF(B$17=0,0,G26/B$17)</f>
        <v>4.3859649122807015E-3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2.242152466367713E-3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-783.69999999999993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4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9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4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6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87</v>
      </c>
      <c r="C2" s="153"/>
      <c r="E2" s="62" t="s">
        <v>65</v>
      </c>
      <c r="F2" s="59" t="s">
        <v>21</v>
      </c>
      <c r="G2" s="46">
        <v>88</v>
      </c>
      <c r="H2" s="132">
        <f>IF(B$17=0,0,G2/B$17)</f>
        <v>0.34782608695652173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591.9540229885057</v>
      </c>
      <c r="P2" s="118">
        <v>87</v>
      </c>
      <c r="Q2" s="102">
        <v>51500</v>
      </c>
    </row>
    <row r="3" spans="1:17" x14ac:dyDescent="0.4">
      <c r="A3" s="55" t="s">
        <v>8</v>
      </c>
      <c r="B3" s="154">
        <v>733</v>
      </c>
      <c r="C3" s="155"/>
      <c r="E3" s="63" t="s">
        <v>66</v>
      </c>
      <c r="F3" s="60" t="s">
        <v>22</v>
      </c>
      <c r="G3" s="47">
        <v>27</v>
      </c>
      <c r="H3" s="133">
        <f>IF(B$17=0,0,G3/B$17)</f>
        <v>0.1067193675889328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-1175.8620689655172</v>
      </c>
      <c r="P3" s="119">
        <v>87</v>
      </c>
      <c r="Q3" s="103">
        <v>-102300</v>
      </c>
    </row>
    <row r="4" spans="1:17" x14ac:dyDescent="0.4">
      <c r="A4" s="55" t="s">
        <v>6</v>
      </c>
      <c r="B4" s="156">
        <v>-118.60000000000004</v>
      </c>
      <c r="C4" s="157"/>
      <c r="E4" s="63" t="s">
        <v>67</v>
      </c>
      <c r="F4" s="60" t="s">
        <v>23</v>
      </c>
      <c r="G4" s="47">
        <v>169</v>
      </c>
      <c r="H4" s="133">
        <f>IF(B$17=0,0,G4/B$17)</f>
        <v>0.66798418972332019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-1442.8571428571429</v>
      </c>
      <c r="P4" s="119">
        <v>77</v>
      </c>
      <c r="Q4" s="103">
        <v>-111100</v>
      </c>
    </row>
    <row r="5" spans="1:17" x14ac:dyDescent="0.4">
      <c r="A5" s="55" t="s">
        <v>7</v>
      </c>
      <c r="B5" s="158">
        <f>IF(B$2=0,0,B$4/B$2)</f>
        <v>-1.3632183908045981</v>
      </c>
      <c r="C5" s="159"/>
      <c r="E5" s="63" t="s">
        <v>68</v>
      </c>
      <c r="F5" s="60" t="s">
        <v>24</v>
      </c>
      <c r="G5" s="47">
        <v>44</v>
      </c>
      <c r="H5" s="133">
        <f>IF(B$17=0,0,G5/B$17)</f>
        <v>0.17391304347826086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1183.7837837837837</v>
      </c>
      <c r="P5" s="119">
        <v>74</v>
      </c>
      <c r="Q5" s="103">
        <v>87600</v>
      </c>
    </row>
    <row r="6" spans="1:17" x14ac:dyDescent="0.4">
      <c r="A6" s="55" t="s">
        <v>1</v>
      </c>
      <c r="B6" s="148">
        <f>IF(B$2=0,0,(B$7*1+B$8*2+B$9*3)/B$2)</f>
        <v>2.0459770114942528</v>
      </c>
      <c r="C6" s="149"/>
      <c r="E6" s="63" t="s">
        <v>69</v>
      </c>
      <c r="F6" s="60" t="s">
        <v>12</v>
      </c>
      <c r="G6" s="47">
        <v>64</v>
      </c>
      <c r="H6" s="133">
        <f>IF(B$17=0,0,G6/B$17)</f>
        <v>0.25296442687747034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-41.176470588235297</v>
      </c>
      <c r="P6" s="119">
        <v>68</v>
      </c>
      <c r="Q6" s="103">
        <v>-2800</v>
      </c>
    </row>
    <row r="7" spans="1:17" x14ac:dyDescent="0.4">
      <c r="A7" s="55" t="s">
        <v>2</v>
      </c>
      <c r="B7" s="47">
        <v>22</v>
      </c>
      <c r="C7" s="39">
        <f>IF(B$2=0,0,B7/B$2)</f>
        <v>0.25287356321839083</v>
      </c>
      <c r="E7" s="63" t="s">
        <v>70</v>
      </c>
      <c r="F7" s="60" t="s">
        <v>25</v>
      </c>
      <c r="G7" s="47">
        <v>39</v>
      </c>
      <c r="H7" s="133">
        <f>IF(B$17=0,0,G7/B$17)</f>
        <v>0.1541501976284585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-230.5084745762712</v>
      </c>
      <c r="P7" s="120">
        <v>59</v>
      </c>
      <c r="Q7" s="104">
        <v>-13600</v>
      </c>
    </row>
    <row r="8" spans="1:17" x14ac:dyDescent="0.4">
      <c r="A8" s="55" t="s">
        <v>3</v>
      </c>
      <c r="B8" s="47">
        <v>39</v>
      </c>
      <c r="C8" s="39">
        <f>IF(B$2=0,0,B8/B$2)</f>
        <v>0.44827586206896552</v>
      </c>
      <c r="E8" s="63" t="s">
        <v>71</v>
      </c>
      <c r="F8" s="60" t="s">
        <v>26</v>
      </c>
      <c r="G8" s="47">
        <v>17</v>
      </c>
      <c r="H8" s="133">
        <f>IF(B$17=0,0,G8/B$17)</f>
        <v>6.7193675889328064E-2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0.2988505747126437</v>
      </c>
      <c r="E9" s="63" t="s">
        <v>72</v>
      </c>
      <c r="F9" s="60" t="s">
        <v>27</v>
      </c>
      <c r="G9" s="47">
        <v>20</v>
      </c>
      <c r="H9" s="133">
        <f>IF(B$17=0,0,G9/B$17)</f>
        <v>7.9051383399209488E-2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5.7471264367816091E-2</v>
      </c>
      <c r="E10" s="63" t="s">
        <v>73</v>
      </c>
      <c r="F10" s="60" t="s">
        <v>28</v>
      </c>
      <c r="G10" s="47">
        <v>144</v>
      </c>
      <c r="H10" s="133">
        <f>IF(B$17=0,0,G10/B$17)</f>
        <v>0.56916996047430835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-5.3000000000000025</v>
      </c>
      <c r="P10" s="118">
        <v>28</v>
      </c>
      <c r="Q10" s="106">
        <v>-148.40000000000006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74</v>
      </c>
      <c r="F11" s="60" t="s">
        <v>29</v>
      </c>
      <c r="G11" s="47">
        <v>1</v>
      </c>
      <c r="H11" s="133">
        <f>IF(B$17=0,0,G11/B$17)</f>
        <v>3.952569169960474E-3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75</v>
      </c>
      <c r="F12" s="60" t="s">
        <v>30</v>
      </c>
      <c r="G12" s="47">
        <v>2</v>
      </c>
      <c r="H12" s="133">
        <f>IF(B$17=0,0,G12/B$17)</f>
        <v>7.9051383399209481E-3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-1.4878787878787882</v>
      </c>
      <c r="P12" s="120">
        <v>33</v>
      </c>
      <c r="Q12" s="108">
        <v>-49.100000000000009</v>
      </c>
    </row>
    <row r="13" spans="1:17" x14ac:dyDescent="0.4">
      <c r="A13" s="58" t="s">
        <v>122</v>
      </c>
      <c r="B13" s="50">
        <v>156</v>
      </c>
      <c r="C13" s="44">
        <f>IF(B$3=0,0,B13/B$3)</f>
        <v>0.21282401091405184</v>
      </c>
      <c r="E13" s="63" t="s">
        <v>76</v>
      </c>
      <c r="F13" s="60" t="s">
        <v>31</v>
      </c>
      <c r="G13" s="47">
        <v>1</v>
      </c>
      <c r="H13" s="133">
        <f>IF(B$17=0,0,G13/B$17)</f>
        <v>3.952569169960474E-3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214</v>
      </c>
      <c r="C14" s="39">
        <f>IF(B$3=0,0,B14/B$3)</f>
        <v>0.29195088676671216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</v>
      </c>
      <c r="C15" s="37">
        <f>IF(B$13=0,0,B15/B$13)</f>
        <v>0.55769230769230771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91</v>
      </c>
      <c r="C16" s="37">
        <f>IF(B$14=0,0,B16/B$14)</f>
        <v>0.42523364485981308</v>
      </c>
      <c r="E16" s="63" t="s">
        <v>79</v>
      </c>
      <c r="F16" s="60" t="s">
        <v>34</v>
      </c>
      <c r="G16" s="47">
        <v>4</v>
      </c>
      <c r="H16" s="133">
        <f>IF(B$17=0,0,G16/B$17)</f>
        <v>1.5810276679841896E-2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 t="shared" si="2"/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253</v>
      </c>
      <c r="C17" s="37">
        <f>IF(B$3=0,0,B17/B$3)</f>
        <v>0.34515688949522511</v>
      </c>
      <c r="E17" s="63" t="s">
        <v>80</v>
      </c>
      <c r="F17" s="60" t="s">
        <v>35</v>
      </c>
      <c r="G17" s="47">
        <v>3</v>
      </c>
      <c r="H17" s="133">
        <f>IF(B$17=0,0,G17/B$17)</f>
        <v>1.1857707509881422E-2</v>
      </c>
      <c r="I17" s="94">
        <v>9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102</v>
      </c>
      <c r="C18" s="39">
        <f>IF(B$17=0,0,B18/B$17)</f>
        <v>0.40316205533596838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128</v>
      </c>
      <c r="O18" s="125">
        <f t="shared" si="2"/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151</v>
      </c>
      <c r="C19" s="39">
        <f>IF(B$17=0,0,B19/B$17)</f>
        <v>0.59683794466403162</v>
      </c>
      <c r="E19" s="63" t="s">
        <v>82</v>
      </c>
      <c r="F19" s="60" t="s">
        <v>37</v>
      </c>
      <c r="G19" s="47">
        <v>9</v>
      </c>
      <c r="H19" s="133">
        <f>IF(B$17=0,0,G19/B$17)</f>
        <v>3.5573122529644272E-2</v>
      </c>
      <c r="I19" s="94">
        <v>2</v>
      </c>
      <c r="K19" s="38">
        <v>17</v>
      </c>
      <c r="L19" s="99">
        <v>-55.099999999999994</v>
      </c>
      <c r="N19" s="115" t="s">
        <v>177</v>
      </c>
      <c r="O19" s="125">
        <f t="shared" si="2"/>
        <v>-0.4666666666666674</v>
      </c>
      <c r="P19" s="119">
        <v>24</v>
      </c>
      <c r="Q19" s="107">
        <v>-11.200000000000017</v>
      </c>
    </row>
    <row r="20" spans="1:17" x14ac:dyDescent="0.4">
      <c r="A20" s="55" t="s">
        <v>13</v>
      </c>
      <c r="B20" s="47">
        <v>100</v>
      </c>
      <c r="C20" s="39">
        <f>IF(B$3=0,0,B20/B$3)</f>
        <v>0.13642564802182811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18</v>
      </c>
      <c r="H21" s="133">
        <f>IF(B$17=0,0,G21/B$17)</f>
        <v>7.1146245059288543E-2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-23.717391304347821</v>
      </c>
      <c r="P22" s="119">
        <v>46</v>
      </c>
      <c r="Q22" s="107">
        <v>-1090.9999999999998</v>
      </c>
    </row>
    <row r="23" spans="1:17" x14ac:dyDescent="0.4">
      <c r="A23" s="55" t="s">
        <v>5</v>
      </c>
      <c r="B23" s="51">
        <f>IF(B$17=0,0,C23/B$17)</f>
        <v>6910.276679841897</v>
      </c>
      <c r="C23" s="41">
        <v>1748300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-8632</v>
      </c>
      <c r="C24" s="45">
        <v>-863200</v>
      </c>
      <c r="E24" s="63" t="s">
        <v>87</v>
      </c>
      <c r="F24" s="60" t="s">
        <v>42</v>
      </c>
      <c r="G24" s="47">
        <v>10</v>
      </c>
      <c r="H24" s="133">
        <f>IF(B$17=0,0,G24/B$17)</f>
        <v>3.9525691699604744E-2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3.952569169960474E-3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1.364256480218281E-3</v>
      </c>
      <c r="E27" s="63" t="s">
        <v>90</v>
      </c>
      <c r="F27" s="60" t="s">
        <v>45</v>
      </c>
      <c r="G27" s="47">
        <v>19</v>
      </c>
      <c r="H27" s="133">
        <f>IF(B$17=0,0,G27/B$17)</f>
        <v>7.5098814229249009E-2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3.952569169960474E-3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1.5810276679841896E-2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110</v>
      </c>
      <c r="H51" s="138">
        <f>IF(B$17=0,0,G51/B$17)</f>
        <v>0.43478260869565216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</sheetData>
  <sortState ref="E2:I8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49</v>
      </c>
      <c r="C2" s="153"/>
      <c r="E2" s="62" t="s">
        <v>67</v>
      </c>
      <c r="F2" s="59" t="s">
        <v>23</v>
      </c>
      <c r="G2" s="46">
        <v>81</v>
      </c>
      <c r="H2" s="132">
        <f>IF(B$17=0,0,G2/B$17)</f>
        <v>0.65853658536585369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-2824.4897959183672</v>
      </c>
      <c r="P2" s="118">
        <v>49</v>
      </c>
      <c r="Q2" s="102">
        <v>-138400</v>
      </c>
    </row>
    <row r="3" spans="1:17" x14ac:dyDescent="0.4">
      <c r="A3" s="55" t="s">
        <v>8</v>
      </c>
      <c r="B3" s="154">
        <v>422</v>
      </c>
      <c r="C3" s="155"/>
      <c r="E3" s="63" t="s">
        <v>73</v>
      </c>
      <c r="F3" s="60" t="s">
        <v>28</v>
      </c>
      <c r="G3" s="47">
        <v>64</v>
      </c>
      <c r="H3" s="133">
        <f>IF(B$17=0,0,G3/B$17)</f>
        <v>0.52032520325203258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1971.4285714285713</v>
      </c>
      <c r="P3" s="119">
        <v>49</v>
      </c>
      <c r="Q3" s="103">
        <v>96600</v>
      </c>
    </row>
    <row r="4" spans="1:17" x14ac:dyDescent="0.4">
      <c r="A4" s="55" t="s">
        <v>6</v>
      </c>
      <c r="B4" s="156">
        <v>-433</v>
      </c>
      <c r="C4" s="157"/>
      <c r="E4" s="63" t="s">
        <v>65</v>
      </c>
      <c r="F4" s="60" t="s">
        <v>21</v>
      </c>
      <c r="G4" s="47">
        <v>52</v>
      </c>
      <c r="H4" s="133">
        <f>IF(B$17=0,0,G4/B$17)</f>
        <v>0.42276422764227645</v>
      </c>
      <c r="I4" s="94">
        <v>11</v>
      </c>
      <c r="K4" s="38">
        <v>2</v>
      </c>
      <c r="L4" s="99">
        <v>-122.3</v>
      </c>
      <c r="N4" s="115" t="s">
        <v>134</v>
      </c>
      <c r="O4" s="122">
        <f t="shared" si="0"/>
        <v>-319.56521739130437</v>
      </c>
      <c r="P4" s="119">
        <v>46</v>
      </c>
      <c r="Q4" s="103">
        <v>-14700</v>
      </c>
    </row>
    <row r="5" spans="1:17" x14ac:dyDescent="0.4">
      <c r="A5" s="55" t="s">
        <v>7</v>
      </c>
      <c r="B5" s="158">
        <f>IF(B$2=0,0,B$4/B$2)</f>
        <v>-8.8367346938775508</v>
      </c>
      <c r="C5" s="159"/>
      <c r="E5" s="63" t="s">
        <v>245</v>
      </c>
      <c r="F5" s="60" t="s">
        <v>246</v>
      </c>
      <c r="G5" s="47">
        <v>48</v>
      </c>
      <c r="H5" s="133">
        <f>IF(B$17=0,0,G5/B$17)</f>
        <v>0.3902439024390244</v>
      </c>
      <c r="I5" s="94">
        <v>10</v>
      </c>
      <c r="K5" s="38">
        <v>3</v>
      </c>
      <c r="L5" s="99">
        <v>-149</v>
      </c>
      <c r="N5" s="115" t="s">
        <v>135</v>
      </c>
      <c r="O5" s="122">
        <f t="shared" si="0"/>
        <v>-3760.4651162790697</v>
      </c>
      <c r="P5" s="119">
        <v>43</v>
      </c>
      <c r="Q5" s="103">
        <v>-161700</v>
      </c>
    </row>
    <row r="6" spans="1:17" x14ac:dyDescent="0.4">
      <c r="A6" s="55" t="s">
        <v>1</v>
      </c>
      <c r="B6" s="148">
        <f>IF(B$2=0,0,(B$7*1+B$8*2+B$9*3)/B$2)</f>
        <v>2.1224489795918369</v>
      </c>
      <c r="C6" s="149"/>
      <c r="E6" s="63" t="s">
        <v>69</v>
      </c>
      <c r="F6" s="60" t="s">
        <v>12</v>
      </c>
      <c r="G6" s="47">
        <v>47</v>
      </c>
      <c r="H6" s="133">
        <f>IF(B$17=0,0,G6/B$17)</f>
        <v>0.38211382113821141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-684.61538461538464</v>
      </c>
      <c r="P6" s="119">
        <v>39</v>
      </c>
      <c r="Q6" s="103">
        <v>-26700</v>
      </c>
    </row>
    <row r="7" spans="1:17" x14ac:dyDescent="0.4">
      <c r="A7" s="55" t="s">
        <v>2</v>
      </c>
      <c r="B7" s="47">
        <v>14</v>
      </c>
      <c r="C7" s="39">
        <f>IF(B$2=0,0,B7/B$2)</f>
        <v>0.2857142857142857</v>
      </c>
      <c r="E7" s="63" t="s">
        <v>68</v>
      </c>
      <c r="F7" s="60" t="s">
        <v>24</v>
      </c>
      <c r="G7" s="47">
        <v>29</v>
      </c>
      <c r="H7" s="133">
        <f>IF(B$17=0,0,G7/B$17)</f>
        <v>0.23577235772357724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0"/>
        <v>-2.7027027027027026</v>
      </c>
      <c r="P7" s="120">
        <v>37</v>
      </c>
      <c r="Q7" s="104">
        <v>-100</v>
      </c>
    </row>
    <row r="8" spans="1:17" x14ac:dyDescent="0.4">
      <c r="A8" s="55" t="s">
        <v>3</v>
      </c>
      <c r="B8" s="47">
        <v>15</v>
      </c>
      <c r="C8" s="39">
        <f>IF(B$2=0,0,B8/B$2)</f>
        <v>0.30612244897959184</v>
      </c>
      <c r="E8" s="63" t="s">
        <v>71</v>
      </c>
      <c r="F8" s="60" t="s">
        <v>26</v>
      </c>
      <c r="G8" s="47">
        <v>15</v>
      </c>
      <c r="H8" s="133">
        <f>IF(B$17=0,0,G8/B$17)</f>
        <v>0.12195121951219512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0.40816326530612246</v>
      </c>
      <c r="E9" s="63" t="s">
        <v>90</v>
      </c>
      <c r="F9" s="60" t="s">
        <v>45</v>
      </c>
      <c r="G9" s="47">
        <v>15</v>
      </c>
      <c r="H9" s="133">
        <f>IF(B$17=0,0,G9/B$17)</f>
        <v>0.12195121951219512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0.14285714285714285</v>
      </c>
      <c r="E10" s="63" t="s">
        <v>70</v>
      </c>
      <c r="F10" s="60" t="s">
        <v>25</v>
      </c>
      <c r="G10" s="47">
        <v>14</v>
      </c>
      <c r="H10" s="133">
        <f>IF(B$17=0,0,G10/B$17)</f>
        <v>0.11382113821138211</v>
      </c>
      <c r="I10" s="94">
        <v>12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6.1224489795918366E-2</v>
      </c>
      <c r="E11" s="63" t="s">
        <v>66</v>
      </c>
      <c r="F11" s="60" t="s">
        <v>22</v>
      </c>
      <c r="G11" s="47">
        <v>10</v>
      </c>
      <c r="H11" s="133">
        <f>IF(B$17=0,0,G11/B$17)</f>
        <v>8.1300813008130079E-2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-6.7681818181818167</v>
      </c>
      <c r="P11" s="119">
        <v>22</v>
      </c>
      <c r="Q11" s="107">
        <v>-148.89999999999998</v>
      </c>
    </row>
    <row r="12" spans="1:17" x14ac:dyDescent="0.4">
      <c r="A12" s="57" t="s">
        <v>160</v>
      </c>
      <c r="B12" s="49">
        <v>2</v>
      </c>
      <c r="C12" s="42">
        <f>IF(B$2=0,0,B12/B$2)</f>
        <v>4.0816326530612242E-2</v>
      </c>
      <c r="E12" s="63" t="s">
        <v>72</v>
      </c>
      <c r="F12" s="60" t="s">
        <v>27</v>
      </c>
      <c r="G12" s="47">
        <v>6</v>
      </c>
      <c r="H12" s="133">
        <f>IF(B$17=0,0,G12/B$17)</f>
        <v>4.878048780487805E-2</v>
      </c>
      <c r="I12" s="94">
        <v>11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94</v>
      </c>
      <c r="C13" s="44">
        <f>IF(B$3=0,0,B13/B$3)</f>
        <v>0.22274881516587677</v>
      </c>
      <c r="E13" s="63" t="s">
        <v>87</v>
      </c>
      <c r="F13" s="60" t="s">
        <v>42</v>
      </c>
      <c r="G13" s="47">
        <v>5</v>
      </c>
      <c r="H13" s="133">
        <f>IF(B$17=0,0,G13/B$17)</f>
        <v>4.065040650406504E-2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0.24881516587677724</v>
      </c>
      <c r="E14" s="63" t="s">
        <v>74</v>
      </c>
      <c r="F14" s="60" t="s">
        <v>29</v>
      </c>
      <c r="G14" s="47">
        <v>3</v>
      </c>
      <c r="H14" s="133">
        <f>IF(B$17=0,0,G14/B$17)</f>
        <v>2.4390243902439025E-2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0.58510638297872342</v>
      </c>
      <c r="E15" s="63" t="s">
        <v>79</v>
      </c>
      <c r="F15" s="60" t="s">
        <v>34</v>
      </c>
      <c r="G15" s="47">
        <v>3</v>
      </c>
      <c r="H15" s="133">
        <f>IF(B$17=0,0,G15/B$17)</f>
        <v>2.4390243902439025E-2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2</v>
      </c>
      <c r="H16" s="133">
        <f>IF(B$17=0,0,G16/B$17)</f>
        <v>1.6260162601626018E-2</v>
      </c>
      <c r="I16" s="94">
        <v>6</v>
      </c>
      <c r="K16" s="38">
        <v>14</v>
      </c>
      <c r="L16" s="99">
        <v>-269.99999999999994</v>
      </c>
      <c r="N16" s="115" t="s">
        <v>172</v>
      </c>
      <c r="O16" s="125">
        <f>IF(P16=0,0,Q16/P16)</f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123</v>
      </c>
      <c r="C17" s="37">
        <f>IF(B$3=0,0,B17/B$3)</f>
        <v>0.29146919431279622</v>
      </c>
      <c r="E17" s="63" t="s">
        <v>84</v>
      </c>
      <c r="F17" s="60" t="s">
        <v>39</v>
      </c>
      <c r="G17" s="47">
        <v>2</v>
      </c>
      <c r="H17" s="133">
        <f>IF(B$17=0,0,G17/B$17)</f>
        <v>1.6260162601626018E-2</v>
      </c>
      <c r="I17" s="94">
        <v>11</v>
      </c>
      <c r="K17" s="38">
        <v>15</v>
      </c>
      <c r="L17" s="99">
        <v>-264.59999999999997</v>
      </c>
      <c r="N17" s="115" t="s">
        <v>128</v>
      </c>
      <c r="O17" s="125">
        <f>IF(P17=0,0,Q17/P17)</f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0.50406504065040647</v>
      </c>
      <c r="E18" s="63" t="s">
        <v>92</v>
      </c>
      <c r="F18" s="60" t="s">
        <v>47</v>
      </c>
      <c r="G18" s="47">
        <v>2</v>
      </c>
      <c r="H18" s="133">
        <f>IF(B$17=0,0,G18/B$17)</f>
        <v>1.6260162601626018E-2</v>
      </c>
      <c r="I18" s="94">
        <v>6</v>
      </c>
      <c r="K18" s="38">
        <v>16</v>
      </c>
      <c r="L18" s="99">
        <v>-292.79999999999995</v>
      </c>
      <c r="N18" s="115" t="s">
        <v>171</v>
      </c>
      <c r="O18" s="125">
        <f>IF(P18=0,0,Q18/P18)</f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61</v>
      </c>
      <c r="C19" s="39">
        <f>IF(B$17=0,0,B19/B$17)</f>
        <v>0.49593495934959347</v>
      </c>
      <c r="E19" s="63" t="s">
        <v>180</v>
      </c>
      <c r="F19" s="60" t="s">
        <v>181</v>
      </c>
      <c r="G19" s="47">
        <v>2</v>
      </c>
      <c r="H19" s="133">
        <f>IF(B$17=0,0,G19/B$17)</f>
        <v>1.6260162601626018E-2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79</v>
      </c>
      <c r="C20" s="39">
        <f>IF(B$3=0,0,B20/B$3)</f>
        <v>0.1872037914691943</v>
      </c>
      <c r="E20" s="63" t="s">
        <v>88</v>
      </c>
      <c r="F20" s="60" t="s">
        <v>43</v>
      </c>
      <c r="G20" s="47">
        <v>1</v>
      </c>
      <c r="H20" s="133">
        <f>IF(B$17=0,0,G20/B$17)</f>
        <v>8.130081300813009E-3</v>
      </c>
      <c r="I20" s="94">
        <v>2</v>
      </c>
      <c r="K20" s="38">
        <v>18</v>
      </c>
      <c r="L20" s="99">
        <v>-218.99999999999994</v>
      </c>
      <c r="N20" s="115" t="s">
        <v>177</v>
      </c>
      <c r="O20" s="125">
        <f>IF(P20=0,0,Q20/P20)</f>
        <v>-25.12222222222222</v>
      </c>
      <c r="P20" s="119">
        <v>9</v>
      </c>
      <c r="Q20" s="107">
        <v>-226.1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183</v>
      </c>
      <c r="O21" s="125">
        <f>IF(P21=0,0,Q21/P21)</f>
        <v>-45.5</v>
      </c>
      <c r="P21" s="119">
        <v>1</v>
      </c>
      <c r="Q21" s="107">
        <v>-45.5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9</v>
      </c>
      <c r="K22" s="38">
        <v>20</v>
      </c>
      <c r="L22" s="99">
        <v>-182.79999999999993</v>
      </c>
      <c r="N22" s="115" t="s">
        <v>200</v>
      </c>
      <c r="O22" s="125">
        <f>IF(P22=0,0,Q22/P22)</f>
        <v>-65.550000000000011</v>
      </c>
      <c r="P22" s="119">
        <v>2</v>
      </c>
      <c r="Q22" s="107">
        <v>-131.10000000000002</v>
      </c>
    </row>
    <row r="23" spans="1:17" x14ac:dyDescent="0.4">
      <c r="A23" s="55" t="s">
        <v>5</v>
      </c>
      <c r="B23" s="51">
        <f>IF(B$17=0,0,C23/B$17)</f>
        <v>6913.8211382113823</v>
      </c>
      <c r="C23" s="41">
        <v>850400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  <c r="N23" s="115" t="s">
        <v>184</v>
      </c>
      <c r="O23" s="125">
        <f>IF(P23=0,0,Q23/P23)</f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-8300</v>
      </c>
      <c r="C24" s="45">
        <v>-655700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6">
        <v>6</v>
      </c>
      <c r="C25" s="147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85900</v>
      </c>
      <c r="C26" s="145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4.7393364928909956E-3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8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81</v>
      </c>
      <c r="C2" s="153"/>
      <c r="E2" s="62" t="s">
        <v>65</v>
      </c>
      <c r="F2" s="59" t="s">
        <v>21</v>
      </c>
      <c r="G2" s="46">
        <v>121</v>
      </c>
      <c r="H2" s="132">
        <f>IF(B$17=0,0,G2/B$17)</f>
        <v>0.63684210526315788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958.02469135802471</v>
      </c>
      <c r="P2" s="118">
        <v>81</v>
      </c>
      <c r="Q2" s="102">
        <v>77600</v>
      </c>
    </row>
    <row r="3" spans="1:17" x14ac:dyDescent="0.4">
      <c r="A3" s="55" t="s">
        <v>8</v>
      </c>
      <c r="B3" s="154">
        <v>663</v>
      </c>
      <c r="C3" s="155"/>
      <c r="E3" s="63" t="s">
        <v>67</v>
      </c>
      <c r="F3" s="60" t="s">
        <v>23</v>
      </c>
      <c r="G3" s="47">
        <v>106</v>
      </c>
      <c r="H3" s="133">
        <f>IF(B$17=0,0,G3/B$17)</f>
        <v>0.55789473684210522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448.71794871794873</v>
      </c>
      <c r="P3" s="119">
        <v>78</v>
      </c>
      <c r="Q3" s="103">
        <v>35000</v>
      </c>
    </row>
    <row r="4" spans="1:17" x14ac:dyDescent="0.4">
      <c r="A4" s="55" t="s">
        <v>6</v>
      </c>
      <c r="B4" s="156">
        <v>216.19999999999996</v>
      </c>
      <c r="C4" s="157"/>
      <c r="E4" s="63" t="s">
        <v>245</v>
      </c>
      <c r="F4" s="60" t="s">
        <v>246</v>
      </c>
      <c r="G4" s="47">
        <v>83</v>
      </c>
      <c r="H4" s="133">
        <f>IF(B$17=0,0,G4/B$17)</f>
        <v>0.43684210526315792</v>
      </c>
      <c r="I4" s="94">
        <v>3</v>
      </c>
      <c r="K4" s="38">
        <v>2</v>
      </c>
      <c r="L4" s="99">
        <v>30</v>
      </c>
      <c r="N4" s="115" t="s">
        <v>134</v>
      </c>
      <c r="O4" s="122">
        <f t="shared" si="0"/>
        <v>160.56338028169014</v>
      </c>
      <c r="P4" s="119">
        <v>71</v>
      </c>
      <c r="Q4" s="103">
        <v>11400</v>
      </c>
    </row>
    <row r="5" spans="1:17" x14ac:dyDescent="0.4">
      <c r="A5" s="55" t="s">
        <v>7</v>
      </c>
      <c r="B5" s="158">
        <f>IF(B$2=0,0,B$4/B$2)</f>
        <v>2.6691358024691354</v>
      </c>
      <c r="C5" s="159"/>
      <c r="E5" s="63" t="s">
        <v>68</v>
      </c>
      <c r="F5" s="60" t="s">
        <v>24</v>
      </c>
      <c r="G5" s="47">
        <v>81</v>
      </c>
      <c r="H5" s="133">
        <f>IF(B$17=0,0,G5/B$17)</f>
        <v>0.4263157894736842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2077.9411764705883</v>
      </c>
      <c r="P5" s="119">
        <v>68</v>
      </c>
      <c r="Q5" s="103">
        <v>141300</v>
      </c>
    </row>
    <row r="6" spans="1:17" x14ac:dyDescent="0.4">
      <c r="A6" s="55" t="s">
        <v>1</v>
      </c>
      <c r="B6" s="148">
        <f>IF(B$2=0,0,(B$7*1+B$8*2+B$9*3)/B$2)</f>
        <v>1.9382716049382716</v>
      </c>
      <c r="C6" s="149"/>
      <c r="E6" s="63" t="s">
        <v>73</v>
      </c>
      <c r="F6" s="60" t="s">
        <v>28</v>
      </c>
      <c r="G6" s="47">
        <v>79</v>
      </c>
      <c r="H6" s="133">
        <f>IF(B$17=0,0,G6/B$17)</f>
        <v>0.41578947368421054</v>
      </c>
      <c r="I6" s="94">
        <v>12</v>
      </c>
      <c r="K6" s="38">
        <v>4</v>
      </c>
      <c r="L6" s="99">
        <v>40</v>
      </c>
      <c r="N6" s="115" t="s">
        <v>136</v>
      </c>
      <c r="O6" s="122">
        <f t="shared" si="0"/>
        <v>-1826.2295081967213</v>
      </c>
      <c r="P6" s="119">
        <v>61</v>
      </c>
      <c r="Q6" s="103">
        <v>-111400</v>
      </c>
    </row>
    <row r="7" spans="1:17" x14ac:dyDescent="0.4">
      <c r="A7" s="55" t="s">
        <v>2</v>
      </c>
      <c r="B7" s="47">
        <v>29</v>
      </c>
      <c r="C7" s="39">
        <f>IF(B$2=0,0,B7/B$2)</f>
        <v>0.35802469135802467</v>
      </c>
      <c r="E7" s="63" t="s">
        <v>69</v>
      </c>
      <c r="F7" s="60" t="s">
        <v>12</v>
      </c>
      <c r="G7" s="47">
        <v>60</v>
      </c>
      <c r="H7" s="133">
        <f>IF(B$17=0,0,G7/B$17)</f>
        <v>0.31578947368421051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350</v>
      </c>
      <c r="P7" s="120">
        <v>50</v>
      </c>
      <c r="Q7" s="104">
        <v>17500</v>
      </c>
    </row>
    <row r="8" spans="1:17" x14ac:dyDescent="0.4">
      <c r="A8" s="55" t="s">
        <v>3</v>
      </c>
      <c r="B8" s="47">
        <v>28</v>
      </c>
      <c r="C8" s="39">
        <f>IF(B$2=0,0,B8/B$2)</f>
        <v>0.34567901234567899</v>
      </c>
      <c r="E8" s="63" t="s">
        <v>70</v>
      </c>
      <c r="F8" s="60" t="s">
        <v>25</v>
      </c>
      <c r="G8" s="47">
        <v>31</v>
      </c>
      <c r="H8" s="133">
        <f>IF(B$17=0,0,G8/B$17)</f>
        <v>0.16315789473684211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0.29629629629629628</v>
      </c>
      <c r="E9" s="63" t="s">
        <v>66</v>
      </c>
      <c r="F9" s="60" t="s">
        <v>22</v>
      </c>
      <c r="G9" s="47">
        <v>21</v>
      </c>
      <c r="H9" s="133">
        <f>IF(B$17=0,0,G9/B$17)</f>
        <v>0.11052631578947368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0.13580246913580246</v>
      </c>
      <c r="E10" s="63" t="s">
        <v>90</v>
      </c>
      <c r="F10" s="60" t="s">
        <v>45</v>
      </c>
      <c r="G10" s="47">
        <v>21</v>
      </c>
      <c r="H10" s="133">
        <f>IF(B$17=0,0,G10/B$17)</f>
        <v>0.11052631578947368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-1.1960000000000006</v>
      </c>
      <c r="P10" s="118">
        <v>25</v>
      </c>
      <c r="Q10" s="106">
        <v>-29.900000000000013</v>
      </c>
    </row>
    <row r="11" spans="1:17" x14ac:dyDescent="0.4">
      <c r="A11" s="56" t="s">
        <v>140</v>
      </c>
      <c r="B11" s="48">
        <v>11</v>
      </c>
      <c r="C11" s="40">
        <f>IF(B$2=0,0,B11/B$2)</f>
        <v>0.13580246913580246</v>
      </c>
      <c r="E11" s="63" t="s">
        <v>71</v>
      </c>
      <c r="F11" s="60" t="s">
        <v>26</v>
      </c>
      <c r="G11" s="47">
        <v>13</v>
      </c>
      <c r="H11" s="133">
        <f>IF(B$17=0,0,G11/B$17)</f>
        <v>6.8421052631578952E-2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6.3833333333333337</v>
      </c>
      <c r="P11" s="119">
        <v>30</v>
      </c>
      <c r="Q11" s="107">
        <v>191.5</v>
      </c>
    </row>
    <row r="12" spans="1:17" x14ac:dyDescent="0.4">
      <c r="A12" s="57" t="s">
        <v>160</v>
      </c>
      <c r="B12" s="49">
        <v>5</v>
      </c>
      <c r="C12" s="42">
        <f>IF(B$2=0,0,B12/B$2)</f>
        <v>6.1728395061728392E-2</v>
      </c>
      <c r="E12" s="63" t="s">
        <v>72</v>
      </c>
      <c r="F12" s="60" t="s">
        <v>27</v>
      </c>
      <c r="G12" s="47">
        <v>12</v>
      </c>
      <c r="H12" s="133">
        <f>IF(B$17=0,0,G12/B$17)</f>
        <v>6.3157894736842107E-2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2.0999999999999996</v>
      </c>
      <c r="P12" s="120">
        <v>26</v>
      </c>
      <c r="Q12" s="108">
        <v>54.599999999999987</v>
      </c>
    </row>
    <row r="13" spans="1:17" x14ac:dyDescent="0.4">
      <c r="A13" s="58" t="s">
        <v>122</v>
      </c>
      <c r="B13" s="50">
        <v>198</v>
      </c>
      <c r="C13" s="44">
        <f>IF(B$3=0,0,B13/B$3)</f>
        <v>0.29864253393665158</v>
      </c>
      <c r="E13" s="63" t="s">
        <v>87</v>
      </c>
      <c r="F13" s="60" t="s">
        <v>42</v>
      </c>
      <c r="G13" s="47">
        <v>9</v>
      </c>
      <c r="H13" s="133">
        <f>IF(B$17=0,0,G13/B$17)</f>
        <v>4.736842105263158E-2</v>
      </c>
      <c r="I13" s="94">
        <v>8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116</v>
      </c>
      <c r="C14" s="39">
        <f>IF(B$3=0,0,B14/B$3)</f>
        <v>0.17496229260935142</v>
      </c>
      <c r="E14" s="63" t="s">
        <v>84</v>
      </c>
      <c r="F14" s="60" t="s">
        <v>39</v>
      </c>
      <c r="G14" s="47">
        <v>8</v>
      </c>
      <c r="H14" s="133">
        <f>IF(B$17=0,0,G14/B$17)</f>
        <v>4.2105263157894736E-2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121</v>
      </c>
      <c r="C15" s="37">
        <f>IF(B$13=0,0,B15/B$13)</f>
        <v>0.61111111111111116</v>
      </c>
      <c r="E15" s="63" t="s">
        <v>79</v>
      </c>
      <c r="F15" s="60" t="s">
        <v>34</v>
      </c>
      <c r="G15" s="47">
        <v>6</v>
      </c>
      <c r="H15" s="133">
        <f>IF(B$17=0,0,G15/B$17)</f>
        <v>3.1578947368421054E-2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39</v>
      </c>
      <c r="C16" s="37">
        <f>IF(B$14=0,0,B16/B$14)</f>
        <v>0.33620689655172414</v>
      </c>
      <c r="E16" s="63" t="s">
        <v>82</v>
      </c>
      <c r="F16" s="60" t="s">
        <v>37</v>
      </c>
      <c r="G16" s="47">
        <v>6</v>
      </c>
      <c r="H16" s="133">
        <f>IF(B$17=0,0,G16/B$17)</f>
        <v>3.1578947368421054E-2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>IF(P16=0,0,Q16/P16)</f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190</v>
      </c>
      <c r="C17" s="37">
        <f>IF(B$3=0,0,B17/B$3)</f>
        <v>0.28657616892911009</v>
      </c>
      <c r="E17" s="63" t="s">
        <v>92</v>
      </c>
      <c r="F17" s="60" t="s">
        <v>47</v>
      </c>
      <c r="G17" s="47">
        <v>6</v>
      </c>
      <c r="H17" s="133">
        <f>IF(B$17=0,0,G17/B$17)</f>
        <v>3.1578947368421054E-2</v>
      </c>
      <c r="I17" s="94">
        <v>1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82</v>
      </c>
      <c r="C18" s="39">
        <f>IF(B$17=0,0,B18/B$17)</f>
        <v>0.43157894736842106</v>
      </c>
      <c r="E18" s="63" t="s">
        <v>80</v>
      </c>
      <c r="F18" s="60" t="s">
        <v>35</v>
      </c>
      <c r="G18" s="47">
        <v>3</v>
      </c>
      <c r="H18" s="133">
        <f>IF(B$17=0,0,G18/B$17)</f>
        <v>1.5789473684210527E-2</v>
      </c>
      <c r="I18" s="94">
        <v>7</v>
      </c>
      <c r="K18" s="38">
        <v>16</v>
      </c>
      <c r="L18" s="99">
        <v>-153.29999999999998</v>
      </c>
      <c r="N18" s="115" t="s">
        <v>128</v>
      </c>
      <c r="O18" s="125">
        <f>IF(P18=0,0,Q18/P18)</f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108</v>
      </c>
      <c r="C19" s="39">
        <f>IF(B$17=0,0,B19/B$17)</f>
        <v>0.56842105263157894</v>
      </c>
      <c r="E19" s="63" t="s">
        <v>86</v>
      </c>
      <c r="F19" s="60" t="s">
        <v>41</v>
      </c>
      <c r="G19" s="47">
        <v>3</v>
      </c>
      <c r="H19" s="133">
        <f>IF(B$17=0,0,G19/B$17)</f>
        <v>1.5789473684210527E-2</v>
      </c>
      <c r="I19" s="94">
        <v>1</v>
      </c>
      <c r="K19" s="38">
        <v>17</v>
      </c>
      <c r="L19" s="99">
        <v>-161.19999999999999</v>
      </c>
      <c r="N19" s="115" t="s">
        <v>184</v>
      </c>
      <c r="O19" s="125">
        <f>IF(P19=0,0,Q19/P19)</f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97</v>
      </c>
      <c r="C20" s="39">
        <f>IF(B$3=0,0,B20/B$3)</f>
        <v>0.14630467571644043</v>
      </c>
      <c r="E20" s="63" t="s">
        <v>76</v>
      </c>
      <c r="F20" s="60" t="s">
        <v>31</v>
      </c>
      <c r="G20" s="47">
        <v>2</v>
      </c>
      <c r="H20" s="133">
        <f>IF(B$17=0,0,G20/B$17)</f>
        <v>1.0526315789473684E-2</v>
      </c>
      <c r="I20" s="94">
        <v>3</v>
      </c>
      <c r="K20" s="38">
        <v>18</v>
      </c>
      <c r="L20" s="99">
        <v>-159</v>
      </c>
      <c r="N20" s="115" t="s">
        <v>129</v>
      </c>
      <c r="O20" s="125">
        <f>IF(P20=0,0,Q20/P20)</f>
        <v>2.6357142857142857</v>
      </c>
      <c r="P20" s="119">
        <v>28</v>
      </c>
      <c r="Q20" s="107">
        <v>73.8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1.0526315789473684E-2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0.4666666666666644</v>
      </c>
      <c r="P21" s="119">
        <v>24</v>
      </c>
      <c r="Q21" s="107">
        <v>11.199999999999946</v>
      </c>
    </row>
    <row r="22" spans="1:17" x14ac:dyDescent="0.4">
      <c r="A22" s="55" t="s">
        <v>192</v>
      </c>
      <c r="B22" s="47">
        <v>45</v>
      </c>
      <c r="C22" s="135">
        <v>5</v>
      </c>
      <c r="E22" s="63" t="s">
        <v>91</v>
      </c>
      <c r="F22" s="60" t="s">
        <v>46</v>
      </c>
      <c r="G22" s="47">
        <v>2</v>
      </c>
      <c r="H22" s="133">
        <f>IF(B$17=0,0,G22/B$17)</f>
        <v>1.0526315789473684E-2</v>
      </c>
      <c r="I22" s="94">
        <v>1</v>
      </c>
      <c r="K22" s="38">
        <v>20</v>
      </c>
      <c r="L22" s="99">
        <v>-200.8</v>
      </c>
      <c r="N22" s="115" t="s">
        <v>200</v>
      </c>
      <c r="O22" s="125">
        <f>IF(P22=0,0,Q22/P22)</f>
        <v>-0.89999999999999858</v>
      </c>
      <c r="P22" s="119">
        <v>9</v>
      </c>
      <c r="Q22" s="107">
        <v>-8.0999999999999872</v>
      </c>
    </row>
    <row r="23" spans="1:17" x14ac:dyDescent="0.4">
      <c r="A23" s="55" t="s">
        <v>5</v>
      </c>
      <c r="B23" s="51">
        <f>IF(B$17=0,0,C23/B$17)</f>
        <v>8883.6842105263149</v>
      </c>
      <c r="C23" s="41">
        <v>1687900</v>
      </c>
      <c r="E23" s="63" t="s">
        <v>75</v>
      </c>
      <c r="F23" s="60" t="s">
        <v>30</v>
      </c>
      <c r="G23" s="47">
        <v>1</v>
      </c>
      <c r="H23" s="133">
        <f>IF(B$17=0,0,G23/B$17)</f>
        <v>5.263157894736842E-3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-20.172727272727279</v>
      </c>
      <c r="P23" s="119">
        <v>33</v>
      </c>
      <c r="Q23" s="107">
        <v>-665.70000000000016</v>
      </c>
    </row>
    <row r="24" spans="1:17" x14ac:dyDescent="0.4">
      <c r="A24" s="57" t="s">
        <v>14</v>
      </c>
      <c r="B24" s="52">
        <f>IF(B$20=0,0,C24/B$20)</f>
        <v>-7119.5876288659792</v>
      </c>
      <c r="C24" s="45">
        <v>-690600</v>
      </c>
      <c r="E24" s="63" t="s">
        <v>93</v>
      </c>
      <c r="F24" s="60" t="s">
        <v>48</v>
      </c>
      <c r="G24" s="47">
        <v>1</v>
      </c>
      <c r="H24" s="133">
        <f>IF(B$17=0,0,G24/B$17)</f>
        <v>5.263157894736842E-3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1</v>
      </c>
      <c r="H25" s="133">
        <f>IF(B$17=0,0,G25/B$17)</f>
        <v>5.263157894736842E-3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102</v>
      </c>
      <c r="F26" s="60" t="s">
        <v>57</v>
      </c>
      <c r="G26" s="47">
        <v>1</v>
      </c>
      <c r="H26" s="133">
        <f>IF(B$17=0,0,G26/B$17)</f>
        <v>5.263157894736842E-3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4.5248868778280547E-3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3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22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4">
        <v>165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6">
        <v>-264.39999999999998</v>
      </c>
      <c r="C4" s="157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8">
        <f>IF(B$2=0,0,B$4/B$2)</f>
        <v>-12.018181818181818</v>
      </c>
      <c r="C5" s="159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8">
        <f>IF(B$2=0,0,(B$7*1+B$8*2+B$9*3)/B$2)</f>
        <v>2.1818181818181817</v>
      </c>
      <c r="C6" s="149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5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16</v>
      </c>
      <c r="C2" s="153"/>
      <c r="E2" s="62" t="s">
        <v>73</v>
      </c>
      <c r="F2" s="59" t="s">
        <v>28</v>
      </c>
      <c r="G2" s="46">
        <v>41</v>
      </c>
      <c r="H2" s="132">
        <f>IF(B$17=0,0,G2/B$17)</f>
        <v>0.77358490566037741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-1562.5</v>
      </c>
      <c r="P2" s="118">
        <v>16</v>
      </c>
      <c r="Q2" s="102">
        <v>-25000</v>
      </c>
    </row>
    <row r="3" spans="1:17" x14ac:dyDescent="0.4">
      <c r="A3" s="55" t="s">
        <v>8</v>
      </c>
      <c r="B3" s="154">
        <v>150</v>
      </c>
      <c r="C3" s="155"/>
      <c r="E3" s="63" t="s">
        <v>67</v>
      </c>
      <c r="F3" s="60" t="s">
        <v>23</v>
      </c>
      <c r="G3" s="47">
        <v>31</v>
      </c>
      <c r="H3" s="133">
        <f>IF(B$17=0,0,G3/B$17)</f>
        <v>0.58490566037735847</v>
      </c>
      <c r="I3" s="94">
        <v>12</v>
      </c>
      <c r="K3" s="38">
        <v>1</v>
      </c>
      <c r="L3" s="99">
        <v>-12.5</v>
      </c>
      <c r="N3" s="115" t="s">
        <v>133</v>
      </c>
      <c r="O3" s="122">
        <f t="shared" si="0"/>
        <v>2425</v>
      </c>
      <c r="P3" s="119">
        <v>16</v>
      </c>
      <c r="Q3" s="103">
        <v>38800</v>
      </c>
    </row>
    <row r="4" spans="1:17" x14ac:dyDescent="0.4">
      <c r="A4" s="55" t="s">
        <v>6</v>
      </c>
      <c r="B4" s="156">
        <v>99.6</v>
      </c>
      <c r="C4" s="157"/>
      <c r="E4" s="63" t="s">
        <v>65</v>
      </c>
      <c r="F4" s="60" t="s">
        <v>21</v>
      </c>
      <c r="G4" s="47">
        <v>23</v>
      </c>
      <c r="H4" s="133">
        <f>IF(B$17=0,0,G4/B$17)</f>
        <v>0.43396226415094341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-6756.25</v>
      </c>
      <c r="P4" s="119">
        <v>16</v>
      </c>
      <c r="Q4" s="103">
        <v>-108100</v>
      </c>
    </row>
    <row r="5" spans="1:17" x14ac:dyDescent="0.4">
      <c r="A5" s="55" t="s">
        <v>7</v>
      </c>
      <c r="B5" s="158">
        <f>IF(B$2=0,0,B$4/B$2)</f>
        <v>6.2249999999999996</v>
      </c>
      <c r="C5" s="159"/>
      <c r="E5" s="63" t="s">
        <v>69</v>
      </c>
      <c r="F5" s="60" t="s">
        <v>12</v>
      </c>
      <c r="G5" s="47">
        <v>21</v>
      </c>
      <c r="H5" s="133">
        <f>IF(B$17=0,0,G5/B$17)</f>
        <v>0.39622641509433965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-575</v>
      </c>
      <c r="P5" s="119">
        <v>16</v>
      </c>
      <c r="Q5" s="103">
        <v>-9200</v>
      </c>
    </row>
    <row r="6" spans="1:17" x14ac:dyDescent="0.4">
      <c r="A6" s="55" t="s">
        <v>1</v>
      </c>
      <c r="B6" s="148">
        <f>IF(B$2=0,0,(B$7*1+B$8*2+B$9*3)/B$2)</f>
        <v>1.8125</v>
      </c>
      <c r="C6" s="149"/>
      <c r="E6" s="63" t="s">
        <v>68</v>
      </c>
      <c r="F6" s="60" t="s">
        <v>24</v>
      </c>
      <c r="G6" s="47">
        <v>15</v>
      </c>
      <c r="H6" s="133">
        <f>IF(B$17=0,0,G6/B$17)</f>
        <v>0.28301886792452829</v>
      </c>
      <c r="I6" s="94">
        <v>9</v>
      </c>
      <c r="K6" s="38">
        <v>4</v>
      </c>
      <c r="L6" s="99">
        <v>19.399999999999995</v>
      </c>
      <c r="N6" s="115" t="s">
        <v>136</v>
      </c>
      <c r="O6" s="122">
        <f t="shared" si="0"/>
        <v>10915.384615384615</v>
      </c>
      <c r="P6" s="119">
        <v>13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0.375</v>
      </c>
      <c r="E7" s="63" t="s">
        <v>245</v>
      </c>
      <c r="F7" s="60" t="s">
        <v>246</v>
      </c>
      <c r="G7" s="47">
        <v>15</v>
      </c>
      <c r="H7" s="133">
        <f>IF(B$17=0,0,G7/B$17)</f>
        <v>0.28301886792452829</v>
      </c>
      <c r="I7" s="94">
        <v>14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7</v>
      </c>
      <c r="C8" s="39">
        <f>IF(B$2=0,0,B8/B$2)</f>
        <v>0.4375</v>
      </c>
      <c r="E8" s="63" t="s">
        <v>90</v>
      </c>
      <c r="F8" s="60" t="s">
        <v>45</v>
      </c>
      <c r="G8" s="47">
        <v>8</v>
      </c>
      <c r="H8" s="133">
        <f>IF(B$17=0,0,G8/B$17)</f>
        <v>0.15094339622641509</v>
      </c>
      <c r="I8" s="94">
        <v>5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0.1875</v>
      </c>
      <c r="E9" s="63" t="s">
        <v>70</v>
      </c>
      <c r="F9" s="60" t="s">
        <v>25</v>
      </c>
      <c r="G9" s="47">
        <v>7</v>
      </c>
      <c r="H9" s="133">
        <f>IF(B$17=0,0,G9/B$17)</f>
        <v>0.13207547169811321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0.125</v>
      </c>
      <c r="E10" s="63" t="s">
        <v>87</v>
      </c>
      <c r="F10" s="60" t="s">
        <v>42</v>
      </c>
      <c r="G10" s="47">
        <v>5</v>
      </c>
      <c r="H10" s="133">
        <f>IF(B$17=0,0,G10/B$17)</f>
        <v>9.4339622641509441E-2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6.25E-2</v>
      </c>
      <c r="E11" s="63" t="s">
        <v>66</v>
      </c>
      <c r="F11" s="60" t="s">
        <v>22</v>
      </c>
      <c r="G11" s="47">
        <v>4</v>
      </c>
      <c r="H11" s="133">
        <f>IF(B$17=0,0,G11/B$17)</f>
        <v>7.5471698113207544E-2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36.299999999999997</v>
      </c>
      <c r="P11" s="119">
        <v>4</v>
      </c>
      <c r="Q11" s="107">
        <v>145.19999999999999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0.125</v>
      </c>
      <c r="E12" s="63" t="s">
        <v>78</v>
      </c>
      <c r="F12" s="60" t="s">
        <v>33</v>
      </c>
      <c r="G12" s="47">
        <v>3</v>
      </c>
      <c r="H12" s="133">
        <f>IF(B$17=0,0,G12/B$17)</f>
        <v>5.6603773584905662E-2</v>
      </c>
      <c r="I12" s="94">
        <v>1</v>
      </c>
      <c r="K12" s="38">
        <v>10</v>
      </c>
      <c r="L12" s="99">
        <v>109.39999999999999</v>
      </c>
      <c r="N12" s="116" t="s">
        <v>166</v>
      </c>
      <c r="O12" s="126">
        <f>IF(P12=0,0,Q12/P12)</f>
        <v>2.4333333333333331</v>
      </c>
      <c r="P12" s="120">
        <v>6</v>
      </c>
      <c r="Q12" s="108">
        <v>14.599999999999998</v>
      </c>
    </row>
    <row r="13" spans="1:17" x14ac:dyDescent="0.4">
      <c r="A13" s="58" t="s">
        <v>122</v>
      </c>
      <c r="B13" s="50">
        <v>36</v>
      </c>
      <c r="C13" s="44">
        <f>IF(B$3=0,0,B13/B$3)</f>
        <v>0.24</v>
      </c>
      <c r="E13" s="63" t="s">
        <v>79</v>
      </c>
      <c r="F13" s="60" t="s">
        <v>34</v>
      </c>
      <c r="G13" s="47">
        <v>3</v>
      </c>
      <c r="H13" s="133">
        <f>IF(B$17=0,0,G13/B$17)</f>
        <v>5.6603773584905662E-2</v>
      </c>
      <c r="I13" s="94">
        <v>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50</v>
      </c>
      <c r="C14" s="39">
        <f>IF(B$3=0,0,B14/B$3)</f>
        <v>0.33333333333333331</v>
      </c>
      <c r="E14" s="63" t="s">
        <v>84</v>
      </c>
      <c r="F14" s="60" t="s">
        <v>39</v>
      </c>
      <c r="G14" s="47">
        <v>3</v>
      </c>
      <c r="H14" s="133">
        <f>IF(B$17=0,0,G14/B$17)</f>
        <v>5.6603773584905662E-2</v>
      </c>
      <c r="I14" s="94">
        <v>4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</v>
      </c>
      <c r="C15" s="37">
        <f>IF(B$13=0,0,B15/B$13)</f>
        <v>0.63888888888888884</v>
      </c>
      <c r="E15" s="63" t="s">
        <v>80</v>
      </c>
      <c r="F15" s="60" t="s">
        <v>35</v>
      </c>
      <c r="G15" s="47">
        <v>1</v>
      </c>
      <c r="H15" s="133">
        <f>IF(B$17=0,0,G15/B$17)</f>
        <v>1.8867924528301886E-2</v>
      </c>
      <c r="I15" s="94">
        <v>4</v>
      </c>
      <c r="K15" s="38">
        <v>13</v>
      </c>
      <c r="L15" s="99">
        <v>83.299999999999983</v>
      </c>
      <c r="N15" s="114" t="s">
        <v>173</v>
      </c>
      <c r="O15" s="124">
        <f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0.44</v>
      </c>
      <c r="E16" s="63" t="s">
        <v>82</v>
      </c>
      <c r="F16" s="60" t="s">
        <v>37</v>
      </c>
      <c r="G16" s="47">
        <v>1</v>
      </c>
      <c r="H16" s="133">
        <f>IF(B$17=0,0,G16/B$17)</f>
        <v>1.8867924528301886E-2</v>
      </c>
      <c r="I16" s="94">
        <v>10</v>
      </c>
      <c r="K16" s="38">
        <v>14</v>
      </c>
      <c r="L16" s="99">
        <v>114.99999999999999</v>
      </c>
      <c r="N16" s="115" t="s">
        <v>172</v>
      </c>
      <c r="O16" s="125">
        <f>IF(P16=0,0,Q16/P16)</f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53</v>
      </c>
      <c r="C17" s="37">
        <f>IF(B$3=0,0,B17/B$3)</f>
        <v>0.35333333333333333</v>
      </c>
      <c r="E17" s="63" t="s">
        <v>71</v>
      </c>
      <c r="F17" s="60" t="s">
        <v>26</v>
      </c>
      <c r="G17" s="47">
        <v>0</v>
      </c>
      <c r="H17" s="133">
        <f>IF(B$17=0,0,G17/B$17)</f>
        <v>0</v>
      </c>
      <c r="I17" s="94">
        <v>11</v>
      </c>
      <c r="K17" s="38">
        <v>15</v>
      </c>
      <c r="L17" s="99">
        <v>157.69999999999999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32</v>
      </c>
      <c r="C18" s="39">
        <f>IF(B$17=0,0,B18/B$17)</f>
        <v>0.60377358490566035</v>
      </c>
      <c r="E18" s="63" t="s">
        <v>72</v>
      </c>
      <c r="F18" s="60" t="s">
        <v>27</v>
      </c>
      <c r="G18" s="47">
        <v>0</v>
      </c>
      <c r="H18" s="133">
        <f>IF(B$17=0,0,G18/B$17)</f>
        <v>0</v>
      </c>
      <c r="I18" s="94">
        <v>12</v>
      </c>
      <c r="K18" s="38">
        <v>16</v>
      </c>
      <c r="L18" s="99">
        <v>99.6</v>
      </c>
      <c r="N18" s="115" t="s">
        <v>171</v>
      </c>
      <c r="O18" s="125">
        <f>IF(P18=0,0,Q18/P18)</f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21</v>
      </c>
      <c r="C19" s="39">
        <f>IF(B$17=0,0,B19/B$17)</f>
        <v>0.39622641509433965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8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25</v>
      </c>
      <c r="C20" s="39">
        <f>IF(B$3=0,0,B20/B$3)</f>
        <v>0.16666666666666666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N20" s="115" t="s">
        <v>177</v>
      </c>
      <c r="O20" s="125">
        <f>IF(P20=0,0,Q20/P20)</f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N21" s="115" t="s">
        <v>129</v>
      </c>
      <c r="O21" s="125">
        <f>IF(P21=0,0,Q21/P21)</f>
        <v>-17.799999999999997</v>
      </c>
      <c r="P21" s="119">
        <v>4</v>
      </c>
      <c r="Q21" s="107">
        <v>-71.199999999999989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8041.5094339622638</v>
      </c>
      <c r="C23" s="41">
        <v>426200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-8416</v>
      </c>
      <c r="C24" s="45">
        <v>-210400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6">
        <v>4</v>
      </c>
      <c r="C25" s="147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4">
        <v>106300</v>
      </c>
      <c r="C26" s="145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1</v>
      </c>
      <c r="C27" s="42">
        <f>IF(B$3=0,0,B27/B$3)</f>
        <v>6.6666666666666671E-3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1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-7950</v>
      </c>
      <c r="P2" s="118">
        <v>2</v>
      </c>
      <c r="Q2" s="102">
        <v>-15900</v>
      </c>
    </row>
    <row r="3" spans="1:17" x14ac:dyDescent="0.4">
      <c r="A3" s="55" t="s">
        <v>8</v>
      </c>
      <c r="B3" s="154">
        <v>21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-7750</v>
      </c>
      <c r="P3" s="119">
        <v>2</v>
      </c>
      <c r="Q3" s="103">
        <v>-15500</v>
      </c>
    </row>
    <row r="4" spans="1:17" x14ac:dyDescent="0.4">
      <c r="A4" s="55" t="s">
        <v>6</v>
      </c>
      <c r="B4" s="156">
        <v>-96.5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-1150</v>
      </c>
      <c r="P4" s="119">
        <v>2</v>
      </c>
      <c r="Q4" s="103">
        <v>-2300</v>
      </c>
    </row>
    <row r="5" spans="1:17" x14ac:dyDescent="0.4">
      <c r="A5" s="55" t="s">
        <v>7</v>
      </c>
      <c r="B5" s="158">
        <f>IF(B$2=0,0,B$4/B$2)</f>
        <v>-48.25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N5" s="115" t="s">
        <v>135</v>
      </c>
      <c r="O5" s="122">
        <f t="shared" si="0"/>
        <v>-3950</v>
      </c>
      <c r="P5" s="119">
        <v>2</v>
      </c>
      <c r="Q5" s="103">
        <v>-7900</v>
      </c>
    </row>
    <row r="6" spans="1:17" x14ac:dyDescent="0.4">
      <c r="A6" s="55" t="s">
        <v>1</v>
      </c>
      <c r="B6" s="148">
        <f>IF(B$2=0,0,(B$7*1+B$8*2+B$9*3)/B$2)</f>
        <v>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0.25</v>
      </c>
      <c r="I6" s="94">
        <v>13</v>
      </c>
      <c r="N6" s="115" t="s">
        <v>136</v>
      </c>
      <c r="O6" s="122">
        <f t="shared" si="0"/>
        <v>-2100</v>
      </c>
      <c r="P6" s="119">
        <v>2</v>
      </c>
      <c r="Q6" s="103">
        <v>-4200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0.25</v>
      </c>
      <c r="I7" s="94">
        <v>1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0.75</v>
      </c>
      <c r="I10" s="94">
        <v>3</v>
      </c>
      <c r="N10" s="114" t="s">
        <v>164</v>
      </c>
      <c r="O10" s="124">
        <f>IF(P10=0,0,Q10/P10)</f>
        <v>-43.2</v>
      </c>
      <c r="P10" s="118">
        <v>1</v>
      </c>
      <c r="Q10" s="106">
        <v>-43.2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-53.3</v>
      </c>
      <c r="P11" s="119">
        <v>1</v>
      </c>
      <c r="Q11" s="107">
        <v>-53.3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</v>
      </c>
      <c r="C13" s="44">
        <f>IF(B$3=0,0,B13/B$3)</f>
        <v>4.7619047619047616E-2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0.47619047619047616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177</v>
      </c>
      <c r="O15" s="124">
        <f>IF(P15=0,0,Q15/P15)</f>
        <v>-45.800000000000004</v>
      </c>
      <c r="P15" s="118">
        <v>2</v>
      </c>
      <c r="Q15" s="106">
        <v>-91.600000000000009</v>
      </c>
    </row>
    <row r="16" spans="1:17" x14ac:dyDescent="0.4">
      <c r="A16" s="54" t="s">
        <v>125</v>
      </c>
      <c r="B16" s="46">
        <v>2</v>
      </c>
      <c r="C16" s="37">
        <f>IF(B$14=0,0,B16/B$14)</f>
        <v>0.2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129</v>
      </c>
      <c r="O16" s="125">
        <f>IF(P16=0,0,Q16/P16)</f>
        <v>-98.95</v>
      </c>
      <c r="P16" s="119">
        <v>2</v>
      </c>
      <c r="Q16" s="107">
        <v>-197.9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0.19047619047619047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9" x14ac:dyDescent="0.4">
      <c r="A20" s="55" t="s">
        <v>13</v>
      </c>
      <c r="B20" s="47">
        <v>5</v>
      </c>
      <c r="C20" s="39">
        <f>IF(B$3=0,0,B20/B$3)</f>
        <v>0.23809523809523808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4475</v>
      </c>
      <c r="C23" s="41">
        <v>17900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-6140</v>
      </c>
      <c r="C24" s="45">
        <v>-30700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2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11800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4</v>
      </c>
      <c r="H51" s="138">
        <f>IF(B$17=0,0,G51/B$17)</f>
        <v>1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8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2019-07-03T02:53:51Z</dcterms:modified>
</cp:coreProperties>
</file>