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5B6352C-F5F4-4D1B-BC23-6C1DD88068D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41" r:id="rId6"/>
    <sheet name="だいち" sheetId="5043" r:id="rId7"/>
    <sheet name="りくと" sheetId="5045" r:id="rId8"/>
    <sheet name="ただ" sheetId="5047" r:id="rId9"/>
    <sheet name="れんたろう" sheetId="5049" r:id="rId10"/>
    <sheet name="たかの" sheetId="5051" r:id="rId11"/>
    <sheet name="ぱぱ" sheetId="5053" r:id="rId12"/>
    <sheet name="まっつん" sheetId="5055" r:id="rId13"/>
    <sheet name="あさひ" sheetId="5057" r:id="rId14"/>
    <sheet name="いっしー" sheetId="5059" r:id="rId15"/>
    <sheet name="ほたに" sheetId="5061" r:id="rId16"/>
    <sheet name="ほたに2" sheetId="5062" state="hidden" r:id="rId17"/>
    <sheet name="いっしー2" sheetId="5060" state="hidden" r:id="rId18"/>
    <sheet name="あさひ2" sheetId="5058" state="hidden" r:id="rId19"/>
    <sheet name="まっつん2" sheetId="5056" state="hidden" r:id="rId20"/>
    <sheet name="ぱぱ2" sheetId="5054" state="hidden" r:id="rId21"/>
    <sheet name="たかの2" sheetId="5052" state="hidden" r:id="rId22"/>
    <sheet name="れんたろう2" sheetId="5050" state="hidden" r:id="rId23"/>
    <sheet name="ただ2" sheetId="5048" state="hidden" r:id="rId24"/>
    <sheet name="りくと2" sheetId="5046" state="hidden" r:id="rId25"/>
    <sheet name="だいち2" sheetId="5044" state="hidden" r:id="rId26"/>
    <sheet name="全体2" sheetId="5042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5043" l="1"/>
  <c r="O18" i="5061"/>
  <c r="O21" i="5053"/>
  <c r="O16" i="5061"/>
  <c r="O15" i="5061" l="1"/>
  <c r="O17" i="5061"/>
  <c r="C27" i="5061"/>
  <c r="B24" i="5061"/>
  <c r="C20" i="5061"/>
  <c r="B17" i="5061"/>
  <c r="H7" i="5061" s="1"/>
  <c r="C16" i="5061"/>
  <c r="C15" i="5061"/>
  <c r="C14" i="5061"/>
  <c r="C13" i="5061"/>
  <c r="O12" i="5061"/>
  <c r="C12" i="5061"/>
  <c r="O11" i="5061"/>
  <c r="C11" i="5061"/>
  <c r="O10" i="5061"/>
  <c r="C10" i="5061"/>
  <c r="C9" i="5061"/>
  <c r="C8" i="5061"/>
  <c r="O7" i="5061"/>
  <c r="C7" i="5061"/>
  <c r="O6" i="5061"/>
  <c r="B6" i="5061"/>
  <c r="O5" i="5061"/>
  <c r="B5" i="5061"/>
  <c r="O4" i="5061"/>
  <c r="O3" i="5061"/>
  <c r="O2" i="5061"/>
  <c r="O22" i="5049"/>
  <c r="O16" i="5051"/>
  <c r="O22" i="5041"/>
  <c r="H8" i="5061" l="1"/>
  <c r="H43" i="5061"/>
  <c r="H2" i="5061"/>
  <c r="B23" i="5061"/>
  <c r="H31" i="5061"/>
  <c r="H26" i="5061"/>
  <c r="H33" i="5061"/>
  <c r="H15" i="5061"/>
  <c r="H35" i="5061"/>
  <c r="H13" i="5061"/>
  <c r="H48" i="5061"/>
  <c r="H4" i="5061"/>
  <c r="C17" i="5061"/>
  <c r="C18" i="5061"/>
  <c r="H45" i="5061"/>
  <c r="H18" i="5061"/>
  <c r="H12" i="5061"/>
  <c r="H3" i="5061"/>
  <c r="H27" i="5061"/>
  <c r="H47" i="5061"/>
  <c r="H10" i="5061"/>
  <c r="H49" i="5061"/>
  <c r="H41" i="5061"/>
  <c r="H17" i="5061"/>
  <c r="H32" i="5061"/>
  <c r="H5" i="5061"/>
  <c r="H21" i="5061"/>
  <c r="H46" i="5061"/>
  <c r="C19" i="5061"/>
  <c r="H37" i="5061"/>
  <c r="H19" i="5061"/>
  <c r="H22" i="5061"/>
  <c r="H38" i="5061"/>
  <c r="H6" i="5061"/>
  <c r="H14" i="5061"/>
  <c r="H16" i="5061"/>
  <c r="H29" i="5061"/>
  <c r="H39" i="5061"/>
  <c r="H11" i="5061"/>
  <c r="H24" i="5061"/>
  <c r="H30" i="5061"/>
  <c r="H40" i="5061"/>
  <c r="H51" i="5061"/>
  <c r="H23" i="5061"/>
  <c r="H28" i="5061"/>
  <c r="H34" i="5061"/>
  <c r="H42" i="5061"/>
  <c r="H50" i="5061"/>
  <c r="H20" i="5061"/>
  <c r="H25" i="5061"/>
  <c r="H9" i="5061"/>
  <c r="H36" i="5061"/>
  <c r="H44" i="5061"/>
  <c r="O17" i="5051" l="1"/>
  <c r="O15" i="5047"/>
  <c r="O19" i="5055"/>
  <c r="O22" i="5055"/>
  <c r="O19" i="5043" l="1"/>
  <c r="O17" i="5059"/>
  <c r="O16" i="5059" l="1"/>
  <c r="O15" i="5059"/>
  <c r="O16" i="5049"/>
  <c r="O19" i="5047"/>
  <c r="O17" i="5057" l="1"/>
  <c r="O22" i="5053"/>
  <c r="O15" i="5057"/>
  <c r="O20" i="5059"/>
  <c r="O15" i="5045"/>
  <c r="O15" i="5055"/>
  <c r="O16" i="5041"/>
  <c r="O18" i="5059"/>
  <c r="O19" i="5059"/>
  <c r="C27" i="5059"/>
  <c r="B24" i="5059"/>
  <c r="C20" i="5059"/>
  <c r="B17" i="5059"/>
  <c r="H7" i="5059" s="1"/>
  <c r="C16" i="5059"/>
  <c r="C15" i="5059"/>
  <c r="C14" i="5059"/>
  <c r="C13" i="5059"/>
  <c r="O12" i="5059"/>
  <c r="C12" i="5059"/>
  <c r="O11" i="5059"/>
  <c r="C11" i="5059"/>
  <c r="O10" i="5059"/>
  <c r="C10" i="5059"/>
  <c r="C9" i="5059"/>
  <c r="C8" i="5059"/>
  <c r="O7" i="5059"/>
  <c r="C7" i="5059"/>
  <c r="O6" i="5059"/>
  <c r="B6" i="5059"/>
  <c r="O5" i="5059"/>
  <c r="B5" i="5059"/>
  <c r="O4" i="5059"/>
  <c r="O3" i="5059"/>
  <c r="O2" i="5059"/>
  <c r="O16" i="5057"/>
  <c r="O18" i="5057"/>
  <c r="C27" i="5057"/>
  <c r="B24" i="5057"/>
  <c r="C20" i="5057"/>
  <c r="B17" i="5057"/>
  <c r="H7" i="5057" s="1"/>
  <c r="C16" i="5057"/>
  <c r="C15" i="5057"/>
  <c r="C14" i="5057"/>
  <c r="C13" i="5057"/>
  <c r="O12" i="5057"/>
  <c r="C12" i="5057"/>
  <c r="O11" i="5057"/>
  <c r="C11" i="5057"/>
  <c r="O10" i="5057"/>
  <c r="C10" i="5057"/>
  <c r="C9" i="5057"/>
  <c r="C8" i="5057"/>
  <c r="O7" i="5057"/>
  <c r="C7" i="5057"/>
  <c r="O6" i="5057"/>
  <c r="B6" i="5057"/>
  <c r="O5" i="5057"/>
  <c r="B5" i="5057"/>
  <c r="O4" i="5057"/>
  <c r="O3" i="5057"/>
  <c r="O2" i="5057"/>
  <c r="O20" i="5055"/>
  <c r="O21" i="5055"/>
  <c r="O15" i="5043"/>
  <c r="O17" i="5043"/>
  <c r="O24" i="5041"/>
  <c r="H16" i="5059" l="1"/>
  <c r="H26" i="5059"/>
  <c r="H5" i="5059"/>
  <c r="H20" i="5059"/>
  <c r="H39" i="5059"/>
  <c r="H21" i="5059"/>
  <c r="H43" i="5059"/>
  <c r="H40" i="5059"/>
  <c r="H8" i="5059"/>
  <c r="H11" i="5059"/>
  <c r="H18" i="5059"/>
  <c r="H4" i="5059"/>
  <c r="H17" i="5059"/>
  <c r="H10" i="5059"/>
  <c r="C17" i="5057"/>
  <c r="H4" i="5057"/>
  <c r="H16" i="5057"/>
  <c r="H3" i="5057"/>
  <c r="H37" i="5057"/>
  <c r="H33" i="5057"/>
  <c r="H11" i="5057"/>
  <c r="H21" i="5057"/>
  <c r="C19" i="5057"/>
  <c r="H45" i="5057"/>
  <c r="H49" i="5057"/>
  <c r="C18" i="5057"/>
  <c r="H5" i="5057"/>
  <c r="H17" i="5057"/>
  <c r="H39" i="5057"/>
  <c r="H2" i="5057"/>
  <c r="H12" i="5057"/>
  <c r="H46" i="5057"/>
  <c r="H26" i="5057"/>
  <c r="H9" i="5057"/>
  <c r="H38" i="5057"/>
  <c r="H14" i="5057"/>
  <c r="H27" i="5057"/>
  <c r="H13" i="5057"/>
  <c r="H41" i="5057"/>
  <c r="H18" i="5057"/>
  <c r="H22" i="5057"/>
  <c r="H29" i="5057"/>
  <c r="H8" i="5057"/>
  <c r="H10" i="5057"/>
  <c r="H15" i="5057"/>
  <c r="H30" i="5057"/>
  <c r="H19" i="5057"/>
  <c r="B23" i="5057"/>
  <c r="H31" i="5057"/>
  <c r="H47" i="5057"/>
  <c r="H3" i="5059"/>
  <c r="H30" i="5059"/>
  <c r="H22" i="5059"/>
  <c r="H19" i="5059"/>
  <c r="H31" i="5059"/>
  <c r="H2" i="5059"/>
  <c r="H29" i="5059"/>
  <c r="C19" i="5059"/>
  <c r="H15" i="5059"/>
  <c r="H12" i="5059"/>
  <c r="H38" i="5059"/>
  <c r="H45" i="5059"/>
  <c r="B23" i="5059"/>
  <c r="H32" i="5059"/>
  <c r="H46" i="5059"/>
  <c r="C17" i="5059"/>
  <c r="H25" i="5059"/>
  <c r="H35" i="5059"/>
  <c r="H47" i="5059"/>
  <c r="H9" i="5059"/>
  <c r="H13" i="5059"/>
  <c r="C18" i="5059"/>
  <c r="H37" i="5059"/>
  <c r="H48" i="5059"/>
  <c r="H27" i="5059"/>
  <c r="H33" i="5059"/>
  <c r="H41" i="5059"/>
  <c r="H49" i="5059"/>
  <c r="H23" i="5059"/>
  <c r="H28" i="5059"/>
  <c r="H34" i="5059"/>
  <c r="H42" i="5059"/>
  <c r="H50" i="5059"/>
  <c r="H51" i="5059"/>
  <c r="H14" i="5059"/>
  <c r="H24" i="5059"/>
  <c r="H6" i="5059"/>
  <c r="H36" i="5059"/>
  <c r="H44" i="5059"/>
  <c r="H32" i="5057"/>
  <c r="H40" i="5057"/>
  <c r="H48" i="5057"/>
  <c r="H23" i="5057"/>
  <c r="H28" i="5057"/>
  <c r="H34" i="5057"/>
  <c r="H42" i="5057"/>
  <c r="H50" i="5057"/>
  <c r="H24" i="5057"/>
  <c r="H35" i="5057"/>
  <c r="H43" i="5057"/>
  <c r="H51" i="5057"/>
  <c r="H20" i="5057"/>
  <c r="H25" i="5057"/>
  <c r="H6" i="5057"/>
  <c r="H36" i="5057"/>
  <c r="H44" i="5057"/>
  <c r="O16" i="5055" l="1"/>
  <c r="O19" i="5053"/>
  <c r="O16" i="5053"/>
  <c r="O20" i="5045"/>
  <c r="O18" i="5051" l="1"/>
  <c r="O17" i="5049"/>
  <c r="O17" i="5053"/>
  <c r="O18" i="5053"/>
  <c r="O15" i="5051" l="1"/>
  <c r="O15" i="5049"/>
  <c r="O20" i="5047"/>
  <c r="O21" i="5047"/>
  <c r="O17" i="5055"/>
  <c r="O18" i="5055"/>
  <c r="H10" i="5055"/>
  <c r="C27" i="5055"/>
  <c r="B24" i="5055"/>
  <c r="C20" i="5055"/>
  <c r="B17" i="5055"/>
  <c r="H50" i="5055" s="1"/>
  <c r="C16" i="5055"/>
  <c r="C15" i="5055"/>
  <c r="C14" i="5055"/>
  <c r="C13" i="5055"/>
  <c r="O12" i="5055"/>
  <c r="C12" i="5055"/>
  <c r="O11" i="5055"/>
  <c r="C11" i="5055"/>
  <c r="O10" i="5055"/>
  <c r="C10" i="5055"/>
  <c r="C9" i="5055"/>
  <c r="C8" i="5055"/>
  <c r="O7" i="5055"/>
  <c r="C7" i="5055"/>
  <c r="O6" i="5055"/>
  <c r="B6" i="5055"/>
  <c r="O5" i="5055"/>
  <c r="B5" i="5055"/>
  <c r="O4" i="5055"/>
  <c r="O3" i="5055"/>
  <c r="O2" i="5055"/>
  <c r="O20" i="5049"/>
  <c r="O17" i="5045"/>
  <c r="O17" i="5041"/>
  <c r="H35" i="5055" l="1"/>
  <c r="H7" i="5055"/>
  <c r="H22" i="5055"/>
  <c r="H9" i="5055"/>
  <c r="H28" i="5055"/>
  <c r="H14" i="5055"/>
  <c r="H16" i="5055"/>
  <c r="H36" i="5055"/>
  <c r="H19" i="5055"/>
  <c r="H44" i="5055"/>
  <c r="H45" i="5055"/>
  <c r="H8" i="5055"/>
  <c r="H3" i="5055"/>
  <c r="C17" i="5055"/>
  <c r="H38" i="5055"/>
  <c r="H12" i="5055"/>
  <c r="H6" i="5055"/>
  <c r="H17" i="5055"/>
  <c r="H49" i="5055"/>
  <c r="H46" i="5055"/>
  <c r="H26" i="5055"/>
  <c r="H47" i="5055"/>
  <c r="H23" i="5055"/>
  <c r="H48" i="5055"/>
  <c r="C18" i="5055"/>
  <c r="H40" i="5055"/>
  <c r="H32" i="5055"/>
  <c r="H51" i="5055"/>
  <c r="H2" i="5055"/>
  <c r="H11" i="5055"/>
  <c r="H37" i="5055"/>
  <c r="H15" i="5055"/>
  <c r="H30" i="5055"/>
  <c r="B23" i="5055"/>
  <c r="H39" i="5055"/>
  <c r="H18" i="5055"/>
  <c r="H20" i="5055"/>
  <c r="H31" i="5055"/>
  <c r="H4" i="5055"/>
  <c r="H13" i="5055"/>
  <c r="H24" i="5055"/>
  <c r="H41" i="5055"/>
  <c r="H21" i="5055"/>
  <c r="C19" i="5055"/>
  <c r="H27" i="5055"/>
  <c r="H33" i="5055"/>
  <c r="H43" i="5055"/>
  <c r="H5" i="5055"/>
  <c r="H25" i="5055"/>
  <c r="H29" i="5055"/>
  <c r="H34" i="5055"/>
  <c r="H42" i="5055"/>
  <c r="O17" i="5047" l="1"/>
  <c r="O20" i="5053"/>
  <c r="O15" i="5053"/>
  <c r="C27" i="5053"/>
  <c r="B24" i="5053"/>
  <c r="C20" i="5053"/>
  <c r="B17" i="5053"/>
  <c r="H51" i="5053" s="1"/>
  <c r="C16" i="5053"/>
  <c r="C15" i="5053"/>
  <c r="C14" i="5053"/>
  <c r="C13" i="5053"/>
  <c r="O12" i="5053"/>
  <c r="C12" i="5053"/>
  <c r="O11" i="5053"/>
  <c r="C11" i="5053"/>
  <c r="O10" i="5053"/>
  <c r="C10" i="5053"/>
  <c r="C9" i="5053"/>
  <c r="C8" i="5053"/>
  <c r="O7" i="5053"/>
  <c r="C7" i="5053"/>
  <c r="O6" i="5053"/>
  <c r="B6" i="5053"/>
  <c r="O5" i="5053"/>
  <c r="B5" i="5053"/>
  <c r="O4" i="5053"/>
  <c r="O3" i="5053"/>
  <c r="O2" i="5053"/>
  <c r="O20" i="5043"/>
  <c r="O18" i="5041"/>
  <c r="O20" i="5051"/>
  <c r="O18" i="5045"/>
  <c r="O19" i="5045"/>
  <c r="O19" i="5049"/>
  <c r="O19" i="5051"/>
  <c r="O21" i="5051"/>
  <c r="C27" i="5051"/>
  <c r="B24" i="5051"/>
  <c r="C20" i="5051"/>
  <c r="B17" i="5051"/>
  <c r="H50" i="5051" s="1"/>
  <c r="C16" i="5051"/>
  <c r="C15" i="5051"/>
  <c r="C14" i="5051"/>
  <c r="C13" i="5051"/>
  <c r="O12" i="5051"/>
  <c r="C12" i="5051"/>
  <c r="O11" i="5051"/>
  <c r="C11" i="5051"/>
  <c r="O10" i="5051"/>
  <c r="C10" i="5051"/>
  <c r="C9" i="5051"/>
  <c r="C8" i="5051"/>
  <c r="O7" i="5051"/>
  <c r="C7" i="5051"/>
  <c r="O6" i="5051"/>
  <c r="B6" i="5051"/>
  <c r="O5" i="5051"/>
  <c r="B5" i="5051"/>
  <c r="O4" i="5051"/>
  <c r="O3" i="5051"/>
  <c r="O2" i="5051"/>
  <c r="O21" i="5049"/>
  <c r="O18" i="5049"/>
  <c r="C27" i="5049"/>
  <c r="B24" i="5049"/>
  <c r="C20" i="5049"/>
  <c r="B17" i="5049"/>
  <c r="H51" i="5049" s="1"/>
  <c r="C16" i="5049"/>
  <c r="C15" i="5049"/>
  <c r="C14" i="5049"/>
  <c r="C13" i="5049"/>
  <c r="O12" i="5049"/>
  <c r="C12" i="5049"/>
  <c r="O11" i="5049"/>
  <c r="C11" i="5049"/>
  <c r="O10" i="5049"/>
  <c r="C10" i="5049"/>
  <c r="C9" i="5049"/>
  <c r="C8" i="5049"/>
  <c r="O7" i="5049"/>
  <c r="C7" i="5049"/>
  <c r="O6" i="5049"/>
  <c r="B6" i="5049"/>
  <c r="O5" i="5049"/>
  <c r="B5" i="5049"/>
  <c r="O4" i="5049"/>
  <c r="O3" i="5049"/>
  <c r="O2" i="5049"/>
  <c r="O18" i="5043"/>
  <c r="O22" i="5043"/>
  <c r="O21" i="5041"/>
  <c r="O19" i="5041"/>
  <c r="H44" i="5053" l="1"/>
  <c r="H12" i="5053"/>
  <c r="H3" i="5053"/>
  <c r="H17" i="5053"/>
  <c r="H47" i="5053"/>
  <c r="H5" i="5053"/>
  <c r="H46" i="5053"/>
  <c r="H49" i="5053"/>
  <c r="H45" i="5053"/>
  <c r="C18" i="5053"/>
  <c r="H24" i="5053"/>
  <c r="H15" i="5053"/>
  <c r="H32" i="5053"/>
  <c r="H7" i="5053"/>
  <c r="B23" i="5053"/>
  <c r="H36" i="5053"/>
  <c r="H13" i="5053"/>
  <c r="H2" i="5053"/>
  <c r="H22" i="5053"/>
  <c r="H8" i="5053"/>
  <c r="C19" i="5053"/>
  <c r="H9" i="5053"/>
  <c r="H23" i="5053"/>
  <c r="H33" i="5053"/>
  <c r="H4" i="5053"/>
  <c r="H11" i="5053"/>
  <c r="H20" i="5053"/>
  <c r="H16" i="5053"/>
  <c r="H28" i="5053"/>
  <c r="H37" i="5053"/>
  <c r="H39" i="5053"/>
  <c r="H9" i="5051"/>
  <c r="H6" i="5051"/>
  <c r="H35" i="5051"/>
  <c r="H15" i="5049"/>
  <c r="H21" i="5049"/>
  <c r="H39" i="5049"/>
  <c r="H3" i="5049"/>
  <c r="H12" i="5049"/>
  <c r="H7" i="5049"/>
  <c r="H13" i="5049"/>
  <c r="H29" i="5049"/>
  <c r="H24" i="5049"/>
  <c r="H44" i="5049"/>
  <c r="H22" i="5049"/>
  <c r="H50" i="5049"/>
  <c r="H2" i="5049"/>
  <c r="H10" i="5049"/>
  <c r="H17" i="5049"/>
  <c r="H23" i="5049"/>
  <c r="H33" i="5049"/>
  <c r="H40" i="5049"/>
  <c r="H9" i="5049"/>
  <c r="H41" i="5049"/>
  <c r="H25" i="5049"/>
  <c r="C19" i="5049"/>
  <c r="H49" i="5049"/>
  <c r="H20" i="5049"/>
  <c r="H32" i="5049"/>
  <c r="H5" i="5049"/>
  <c r="H11" i="5049"/>
  <c r="H14" i="5049"/>
  <c r="H37" i="5049"/>
  <c r="H25" i="5053"/>
  <c r="H38" i="5053"/>
  <c r="H48" i="5053"/>
  <c r="H14" i="5053"/>
  <c r="H31" i="5053"/>
  <c r="H40" i="5053"/>
  <c r="H19" i="5053"/>
  <c r="H10" i="5053"/>
  <c r="H21" i="5053"/>
  <c r="C17" i="5053"/>
  <c r="H27" i="5053"/>
  <c r="H18" i="5053"/>
  <c r="H41" i="5053"/>
  <c r="H6" i="5053"/>
  <c r="H29" i="5053"/>
  <c r="H34" i="5053"/>
  <c r="H42" i="5053"/>
  <c r="H50" i="5053"/>
  <c r="H26" i="5053"/>
  <c r="H30" i="5053"/>
  <c r="H35" i="5053"/>
  <c r="H43" i="5053"/>
  <c r="H44" i="5051"/>
  <c r="H20" i="5051"/>
  <c r="H16" i="5051"/>
  <c r="H14" i="5051"/>
  <c r="H15" i="5051"/>
  <c r="H28" i="5051"/>
  <c r="H45" i="5049"/>
  <c r="H28" i="5049"/>
  <c r="H34" i="5049"/>
  <c r="H47" i="5049"/>
  <c r="H4" i="5049"/>
  <c r="H8" i="5049"/>
  <c r="H16" i="5049"/>
  <c r="C17" i="5049"/>
  <c r="H36" i="5049"/>
  <c r="H48" i="5049"/>
  <c r="H46" i="5051"/>
  <c r="H36" i="5051"/>
  <c r="H3" i="5051"/>
  <c r="H21" i="5051"/>
  <c r="H47" i="5051"/>
  <c r="H37" i="5051"/>
  <c r="H26" i="5051"/>
  <c r="H18" i="5051"/>
  <c r="H7" i="5051"/>
  <c r="H19" i="5051"/>
  <c r="C18" i="5051"/>
  <c r="H27" i="5051"/>
  <c r="H31" i="5051"/>
  <c r="H40" i="5051"/>
  <c r="H49" i="5051"/>
  <c r="H10" i="5051"/>
  <c r="H8" i="5051"/>
  <c r="H30" i="5051"/>
  <c r="H17" i="5051"/>
  <c r="H48" i="5051"/>
  <c r="H4" i="5051"/>
  <c r="H11" i="5051"/>
  <c r="H24" i="5051"/>
  <c r="H32" i="5051"/>
  <c r="H41" i="5051"/>
  <c r="H51" i="5051"/>
  <c r="H45" i="5051"/>
  <c r="H2" i="5051"/>
  <c r="H12" i="5051"/>
  <c r="C17" i="5051"/>
  <c r="H38" i="5051"/>
  <c r="B23" i="5051"/>
  <c r="H39" i="5051"/>
  <c r="H22" i="5051"/>
  <c r="H23" i="5051"/>
  <c r="C19" i="5051"/>
  <c r="H13" i="5051"/>
  <c r="H33" i="5051"/>
  <c r="H43" i="5051"/>
  <c r="H5" i="5051"/>
  <c r="H25" i="5051"/>
  <c r="H29" i="5051"/>
  <c r="H34" i="5051"/>
  <c r="H42" i="5051"/>
  <c r="H19" i="5049"/>
  <c r="H27" i="5049"/>
  <c r="H18" i="5049"/>
  <c r="H42" i="5049"/>
  <c r="H6" i="5049"/>
  <c r="C18" i="5049"/>
  <c r="B23" i="5049"/>
  <c r="H31" i="5049"/>
  <c r="H38" i="5049"/>
  <c r="H46" i="5049"/>
  <c r="H26" i="5049"/>
  <c r="H30" i="5049"/>
  <c r="H35" i="5049"/>
  <c r="H43" i="5049"/>
  <c r="O16" i="5047" l="1"/>
  <c r="O18" i="5047"/>
  <c r="C27" i="5047"/>
  <c r="B24" i="5047"/>
  <c r="C20" i="5047"/>
  <c r="B17" i="5047"/>
  <c r="H5" i="5047" s="1"/>
  <c r="C16" i="5047"/>
  <c r="C15" i="5047"/>
  <c r="C14" i="5047"/>
  <c r="C13" i="5047"/>
  <c r="O12" i="5047"/>
  <c r="C12" i="5047"/>
  <c r="O11" i="5047"/>
  <c r="C11" i="5047"/>
  <c r="O10" i="5047"/>
  <c r="C10" i="5047"/>
  <c r="C9" i="5047"/>
  <c r="C8" i="5047"/>
  <c r="O7" i="5047"/>
  <c r="C7" i="5047"/>
  <c r="O6" i="5047"/>
  <c r="B6" i="5047"/>
  <c r="O5" i="5047"/>
  <c r="B5" i="5047"/>
  <c r="O4" i="5047"/>
  <c r="O3" i="5047"/>
  <c r="O2" i="5047"/>
  <c r="O21" i="5045"/>
  <c r="O16" i="5045"/>
  <c r="C27" i="5045"/>
  <c r="B24" i="5045"/>
  <c r="C20" i="5045"/>
  <c r="B17" i="5045"/>
  <c r="H51" i="5045" s="1"/>
  <c r="C16" i="5045"/>
  <c r="C15" i="5045"/>
  <c r="C14" i="5045"/>
  <c r="C13" i="5045"/>
  <c r="O12" i="5045"/>
  <c r="C12" i="5045"/>
  <c r="O11" i="5045"/>
  <c r="C11" i="5045"/>
  <c r="O10" i="5045"/>
  <c r="C10" i="5045"/>
  <c r="C9" i="5045"/>
  <c r="C8" i="5045"/>
  <c r="O7" i="5045"/>
  <c r="C7" i="5045"/>
  <c r="O6" i="5045"/>
  <c r="B6" i="5045"/>
  <c r="O5" i="5045"/>
  <c r="B5" i="5045"/>
  <c r="O4" i="5045"/>
  <c r="O3" i="5045"/>
  <c r="H9" i="5045"/>
  <c r="O2" i="5045"/>
  <c r="O23" i="5041"/>
  <c r="O16" i="5043"/>
  <c r="O23" i="5043"/>
  <c r="C27" i="5043"/>
  <c r="B24" i="5043"/>
  <c r="C20" i="5043"/>
  <c r="B17" i="5043"/>
  <c r="H51" i="5043" s="1"/>
  <c r="C16" i="5043"/>
  <c r="C15" i="5043"/>
  <c r="C14" i="5043"/>
  <c r="C13" i="5043"/>
  <c r="O12" i="5043"/>
  <c r="C12" i="5043"/>
  <c r="O11" i="5043"/>
  <c r="C11" i="5043"/>
  <c r="O10" i="5043"/>
  <c r="C10" i="5043"/>
  <c r="C9" i="5043"/>
  <c r="C8" i="5043"/>
  <c r="O7" i="5043"/>
  <c r="C7" i="5043"/>
  <c r="O6" i="5043"/>
  <c r="B6" i="5043"/>
  <c r="O5" i="5043"/>
  <c r="B5" i="5043"/>
  <c r="O4" i="5043"/>
  <c r="O3" i="5043"/>
  <c r="O2" i="5043"/>
  <c r="O15" i="5041"/>
  <c r="O20" i="5041"/>
  <c r="C27" i="5041"/>
  <c r="B24" i="5041"/>
  <c r="C20" i="5041"/>
  <c r="B17" i="5041"/>
  <c r="H51" i="5041" s="1"/>
  <c r="C16" i="5041"/>
  <c r="C15" i="5041"/>
  <c r="C14" i="5041"/>
  <c r="C13" i="5041"/>
  <c r="O12" i="5041"/>
  <c r="C12" i="5041"/>
  <c r="O11" i="5041"/>
  <c r="C11" i="5041"/>
  <c r="O10" i="5041"/>
  <c r="C10" i="5041"/>
  <c r="C9" i="5041"/>
  <c r="C8" i="5041"/>
  <c r="O7" i="5041"/>
  <c r="C7" i="5041"/>
  <c r="O6" i="5041"/>
  <c r="B6" i="5041"/>
  <c r="O5" i="5041"/>
  <c r="B5" i="5041"/>
  <c r="O4" i="5041"/>
  <c r="O3" i="5041"/>
  <c r="O2" i="5041"/>
  <c r="H36" i="5041" l="1"/>
  <c r="H21" i="5045"/>
  <c r="H3" i="5041"/>
  <c r="H6" i="5041"/>
  <c r="H28" i="5043"/>
  <c r="H18" i="5041"/>
  <c r="H10" i="5041"/>
  <c r="H29" i="5047"/>
  <c r="H37" i="5047"/>
  <c r="H6" i="5047"/>
  <c r="H38" i="5047"/>
  <c r="C17" i="5047"/>
  <c r="H8" i="5047"/>
  <c r="H22" i="5047"/>
  <c r="C18" i="5047"/>
  <c r="H13" i="5047"/>
  <c r="H39" i="5047"/>
  <c r="H26" i="5047"/>
  <c r="H40" i="5047"/>
  <c r="H7" i="5047"/>
  <c r="C19" i="5047"/>
  <c r="H30" i="5047"/>
  <c r="H45" i="5047"/>
  <c r="H2" i="5047"/>
  <c r="H46" i="5047"/>
  <c r="H23" i="5047"/>
  <c r="H3" i="5047"/>
  <c r="H9" i="5047"/>
  <c r="H31" i="5047"/>
  <c r="H24" i="5047"/>
  <c r="H32" i="5047"/>
  <c r="H47" i="5047"/>
  <c r="H20" i="5047"/>
  <c r="H15" i="5047"/>
  <c r="H12" i="5047"/>
  <c r="H4" i="5047"/>
  <c r="H10" i="5047"/>
  <c r="H21" i="5047"/>
  <c r="B23" i="5047"/>
  <c r="H19" i="5047"/>
  <c r="H48" i="5047"/>
  <c r="H14" i="5047"/>
  <c r="H17" i="5047"/>
  <c r="H33" i="5047"/>
  <c r="H41" i="5047"/>
  <c r="H49" i="5047"/>
  <c r="H27" i="5047"/>
  <c r="H18" i="5047"/>
  <c r="H34" i="5047"/>
  <c r="H42" i="5047"/>
  <c r="H50" i="5047"/>
  <c r="H16" i="5047"/>
  <c r="H35" i="5047"/>
  <c r="H43" i="5047"/>
  <c r="H51" i="5047"/>
  <c r="H25" i="5047"/>
  <c r="H28" i="5047"/>
  <c r="H11" i="5047"/>
  <c r="H36" i="5047"/>
  <c r="H44" i="5047"/>
  <c r="H36" i="5045"/>
  <c r="H32" i="5045"/>
  <c r="H13" i="5045"/>
  <c r="H7" i="5045"/>
  <c r="H37" i="5045"/>
  <c r="H45" i="5045"/>
  <c r="H19" i="5045"/>
  <c r="H14" i="5045"/>
  <c r="H46" i="5045"/>
  <c r="H47" i="5045"/>
  <c r="H8" i="5045"/>
  <c r="H48" i="5045"/>
  <c r="B23" i="5045"/>
  <c r="H11" i="5045"/>
  <c r="H20" i="5045"/>
  <c r="H39" i="5045"/>
  <c r="H16" i="5045"/>
  <c r="H6" i="5045"/>
  <c r="C18" i="5045"/>
  <c r="H41" i="5045"/>
  <c r="H50" i="5045"/>
  <c r="H15" i="5045"/>
  <c r="C17" i="5045"/>
  <c r="H24" i="5045"/>
  <c r="H17" i="5045"/>
  <c r="H49" i="5045"/>
  <c r="H22" i="5045"/>
  <c r="H31" i="5045"/>
  <c r="H27" i="5045"/>
  <c r="H18" i="5045"/>
  <c r="H2" i="5045"/>
  <c r="H4" i="5045"/>
  <c r="H38" i="5045"/>
  <c r="H33" i="5045"/>
  <c r="H40" i="5045"/>
  <c r="H28" i="5045"/>
  <c r="H26" i="5045"/>
  <c r="H3" i="5045"/>
  <c r="H10" i="5045"/>
  <c r="H29" i="5045"/>
  <c r="H42" i="5045"/>
  <c r="H23" i="5045"/>
  <c r="C19" i="5045"/>
  <c r="H12" i="5045"/>
  <c r="H34" i="5045"/>
  <c r="H44" i="5045"/>
  <c r="H5" i="5045"/>
  <c r="H30" i="5045"/>
  <c r="H25" i="5045"/>
  <c r="H35" i="5045"/>
  <c r="H43" i="5045"/>
  <c r="H14" i="5041"/>
  <c r="H26" i="5041"/>
  <c r="H36" i="5043"/>
  <c r="H15" i="5043"/>
  <c r="H13" i="5043"/>
  <c r="H23" i="5043"/>
  <c r="H7" i="5043"/>
  <c r="H10" i="5043"/>
  <c r="H17" i="5043"/>
  <c r="H45" i="5043"/>
  <c r="H46" i="5043"/>
  <c r="H9" i="5043"/>
  <c r="H32" i="5043"/>
  <c r="H8" i="5043"/>
  <c r="H3" i="5043"/>
  <c r="H47" i="5043"/>
  <c r="H48" i="5043"/>
  <c r="H18" i="5043"/>
  <c r="H6" i="5043"/>
  <c r="H19" i="5043"/>
  <c r="H33" i="5043"/>
  <c r="H50" i="5043"/>
  <c r="H38" i="5043"/>
  <c r="H21" i="5043"/>
  <c r="H39" i="5043"/>
  <c r="B23" i="5043"/>
  <c r="H40" i="5043"/>
  <c r="C18" i="5043"/>
  <c r="H25" i="5043"/>
  <c r="H11" i="5043"/>
  <c r="H26" i="5043"/>
  <c r="H16" i="5043"/>
  <c r="H37" i="5043"/>
  <c r="H2" i="5043"/>
  <c r="H14" i="5043"/>
  <c r="C17" i="5043"/>
  <c r="H24" i="5043"/>
  <c r="H20" i="5043"/>
  <c r="H49" i="5043"/>
  <c r="H29" i="5043"/>
  <c r="H41" i="5043"/>
  <c r="H4" i="5043"/>
  <c r="H30" i="5043"/>
  <c r="H42" i="5043"/>
  <c r="H22" i="5043"/>
  <c r="C19" i="5043"/>
  <c r="H12" i="5043"/>
  <c r="H35" i="5043"/>
  <c r="H44" i="5043"/>
  <c r="H5" i="5043"/>
  <c r="H31" i="5043"/>
  <c r="H34" i="5043"/>
  <c r="H27" i="5043"/>
  <c r="H43" i="5043"/>
  <c r="H45" i="5041"/>
  <c r="H37" i="5041"/>
  <c r="H24" i="5041"/>
  <c r="H15" i="5041"/>
  <c r="H13" i="5041"/>
  <c r="H46" i="5041"/>
  <c r="H47" i="5041"/>
  <c r="H8" i="5041"/>
  <c r="H28" i="5041"/>
  <c r="H48" i="5041"/>
  <c r="H16" i="5041"/>
  <c r="H41" i="5041"/>
  <c r="H9" i="5041"/>
  <c r="C17" i="5041"/>
  <c r="H30" i="5041"/>
  <c r="H19" i="5041"/>
  <c r="H49" i="5041"/>
  <c r="H7" i="5041"/>
  <c r="H32" i="5041"/>
  <c r="H29" i="5041"/>
  <c r="H4" i="5041"/>
  <c r="H17" i="5041"/>
  <c r="H2" i="5041"/>
  <c r="H38" i="5041"/>
  <c r="H20" i="5041"/>
  <c r="H39" i="5041"/>
  <c r="B23" i="5041"/>
  <c r="H40" i="5041"/>
  <c r="H21" i="5041"/>
  <c r="C18" i="5041"/>
  <c r="H22" i="5041"/>
  <c r="H50" i="5041"/>
  <c r="H11" i="5041"/>
  <c r="H33" i="5041"/>
  <c r="H23" i="5041"/>
  <c r="H42" i="5041"/>
  <c r="H25" i="5041"/>
  <c r="C19" i="5041"/>
  <c r="H12" i="5041"/>
  <c r="H35" i="5041"/>
  <c r="H44" i="5041"/>
  <c r="H5" i="5041"/>
  <c r="H34" i="5041"/>
  <c r="H27" i="5041"/>
  <c r="H31" i="5041"/>
  <c r="H43" i="504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<sst xmlns="http://schemas.openxmlformats.org/spreadsheetml/2006/main" count="2700" uniqueCount="216">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</sst>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全体!$K$2:$K$347</c:f>
              <c:numCache>
                <c:formatCode>General</c:formatCode>
                <c:ptCount val="3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</c:numCache>
            </c:numRef>
          </c:xVal>
          <c:yVal>
            <c:numRef>
              <c:f>全体!$L$2:$L$347</c:f>
              <c:numCache>
                <c:formatCode>\+0.0;\-0.0;\±0</c:formatCode>
                <c:ptCount val="34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-37.59999999999998</c:v>
                </c:pt>
                <c:pt idx="327">
                  <c:v>1.0000000000000213</c:v>
                </c:pt>
                <c:pt idx="328">
                  <c:v>33.500000000000021</c:v>
                </c:pt>
                <c:pt idx="329">
                  <c:v>39.600000000000023</c:v>
                </c:pt>
                <c:pt idx="330">
                  <c:v>1.0000000000000213</c:v>
                </c:pt>
                <c:pt idx="331">
                  <c:v>-35.799999999999976</c:v>
                </c:pt>
                <c:pt idx="332">
                  <c:v>2.400000000000027</c:v>
                </c:pt>
                <c:pt idx="333">
                  <c:v>1.0000000000000271</c:v>
                </c:pt>
                <c:pt idx="334">
                  <c:v>11.000000000000027</c:v>
                </c:pt>
                <c:pt idx="335">
                  <c:v>-38.699999999999974</c:v>
                </c:pt>
                <c:pt idx="336">
                  <c:v>1.0000000000000284</c:v>
                </c:pt>
                <c:pt idx="337">
                  <c:v>43.500000000000028</c:v>
                </c:pt>
                <c:pt idx="338">
                  <c:v>4.0000000000000284</c:v>
                </c:pt>
                <c:pt idx="339">
                  <c:v>1.0000000000000284</c:v>
                </c:pt>
                <c:pt idx="340">
                  <c:v>-5.9999999999999716</c:v>
                </c:pt>
                <c:pt idx="341">
                  <c:v>-40.799999999999969</c:v>
                </c:pt>
                <c:pt idx="342">
                  <c:v>1.0000000000000284</c:v>
                </c:pt>
                <c:pt idx="343">
                  <c:v>-33.199999999999974</c:v>
                </c:pt>
                <c:pt idx="344">
                  <c:v>1.3000000000000256</c:v>
                </c:pt>
                <c:pt idx="345">
                  <c:v>1.0000000000000255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24-4B74-A410-477AEE60A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-14.492753623188406</c:v>
                </c:pt>
                <c:pt idx="1">
                  <c:v>-14.619883040935672</c:v>
                </c:pt>
                <c:pt idx="2">
                  <c:v>18.691588785046729</c:v>
                </c:pt>
                <c:pt idx="3">
                  <c:v>10.1010101010101</c:v>
                </c:pt>
                <c:pt idx="4">
                  <c:v>-18.518518518518519</c:v>
                </c:pt>
                <c:pt idx="5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40-4205-B42E-1F0482D3E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だいち!$L$2:$L$83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74-48DA-88B8-201307B2C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2424.6913580246915</c:v>
                </c:pt>
                <c:pt idx="1">
                  <c:v>2865</c:v>
                </c:pt>
                <c:pt idx="2">
                  <c:v>2838.1578947368421</c:v>
                </c:pt>
                <c:pt idx="3">
                  <c:v>2760.8695652173915</c:v>
                </c:pt>
                <c:pt idx="4">
                  <c:v>-70.491803278688522</c:v>
                </c:pt>
                <c:pt idx="5">
                  <c:v>1250.8771929824561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70-44B0-BCC8-846269362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FF-4F2C-9E02-44F30ABC0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1209.4117647058824</c:v>
                </c:pt>
                <c:pt idx="1">
                  <c:v>-1908.3333333333333</c:v>
                </c:pt>
                <c:pt idx="2">
                  <c:v>-1046.9135802469136</c:v>
                </c:pt>
                <c:pt idx="3">
                  <c:v>1076</c:v>
                </c:pt>
                <c:pt idx="4">
                  <c:v>483.8235294117647</c:v>
                </c:pt>
                <c:pt idx="5">
                  <c:v>287.5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9-441D-A271-C13F4B6DC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-837.69999999999993</c:v>
                </c:pt>
                <c:pt idx="33">
                  <c:v>-877.19999999999993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0A-4DAB-BB6A-151A2468F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-2654.5454545454545</c:v>
                </c:pt>
                <c:pt idx="1">
                  <c:v>-3975.757575757576</c:v>
                </c:pt>
                <c:pt idx="2">
                  <c:v>-3220</c:v>
                </c:pt>
                <c:pt idx="3">
                  <c:v>-6907.4074074074078</c:v>
                </c:pt>
                <c:pt idx="4">
                  <c:v>-1087.5</c:v>
                </c:pt>
                <c:pt idx="5">
                  <c:v>-1377.2727272727273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0E-437C-9D07-A65C487F1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れんたろう!$L$2:$L$44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6F-47F9-9719-343C4B65B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-723.80952380952385</c:v>
                </c:pt>
                <c:pt idx="1">
                  <c:v>176.1904761904762</c:v>
                </c:pt>
                <c:pt idx="2">
                  <c:v>657.5</c:v>
                </c:pt>
                <c:pt idx="3">
                  <c:v>1416.6666666666667</c:v>
                </c:pt>
                <c:pt idx="4">
                  <c:v>-966.66666666666663</c:v>
                </c:pt>
                <c:pt idx="5">
                  <c:v>3.225806451612903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8-4020-AE11-5C42E9591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5-47AB-BBB5-94A64AABE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1808.1081081081081</c:v>
                </c:pt>
                <c:pt idx="1">
                  <c:v>170.27027027027026</c:v>
                </c:pt>
                <c:pt idx="2">
                  <c:v>421.875</c:v>
                </c:pt>
                <c:pt idx="3">
                  <c:v>686.66666666666663</c:v>
                </c:pt>
                <c:pt idx="4">
                  <c:v>-1234.4827586206898</c:v>
                </c:pt>
                <c:pt idx="5">
                  <c:v>-1369.2307692307693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EB-4590-A113-1F158B524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ぱぱ!$L$2:$L$35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C0-4D4E-AE9B-363F9A9A8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-3115.151515151515</c:v>
                </c:pt>
                <c:pt idx="1">
                  <c:v>1978.7878787878788</c:v>
                </c:pt>
                <c:pt idx="2">
                  <c:v>-1206.4516129032259</c:v>
                </c:pt>
                <c:pt idx="3">
                  <c:v>-4224.1379310344828</c:v>
                </c:pt>
                <c:pt idx="4">
                  <c:v>1084.6153846153845</c:v>
                </c:pt>
                <c:pt idx="5">
                  <c:v>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2-4E5C-B412-7689B2146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86-4877-81E9-D853E97DC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-5500</c:v>
                </c:pt>
                <c:pt idx="1">
                  <c:v>-1455.5555555555557</c:v>
                </c:pt>
                <c:pt idx="2">
                  <c:v>-731.25</c:v>
                </c:pt>
                <c:pt idx="3">
                  <c:v>-852.94117647058829</c:v>
                </c:pt>
                <c:pt idx="4">
                  <c:v>-425</c:v>
                </c:pt>
                <c:pt idx="5">
                  <c:v>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2-41ED-8C1F-52A61E241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0D-4487-B7A4-60A712DCF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C8-49D1-900E-3DD3A0E54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いっしー!$L$2:$L$10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7-4A5F-9FFC-AF0E488F8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-3837.5</c:v>
                </c:pt>
                <c:pt idx="1">
                  <c:v>-2000</c:v>
                </c:pt>
                <c:pt idx="2">
                  <c:v>-175</c:v>
                </c:pt>
                <c:pt idx="3">
                  <c:v>-4285.7142857142853</c:v>
                </c:pt>
                <c:pt idx="4">
                  <c:v>671.42857142857144</c:v>
                </c:pt>
                <c:pt idx="5">
                  <c:v>-5300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3A-435F-9A15-7500B049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BE-41B4-A755-D02774BC6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01-4C91-B329-C93E7296B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0000000000002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985507246377554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585604472396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36547868623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85.10392609699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83.29853862212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55072463768116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55072463768116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7994409503843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8728162124388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3220338983050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1789137380191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644341801385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7F4206-158D-4850-BD00-90643587FB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42E603F-6C4F-4C4F-8A81-CC5A1CA3C9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B66176-3D99-4648-8C86-900D4DA9D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D08E90-9784-4529-95CA-D297A92A8B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250377-91EB-4BC7-AB79-FB13713C4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6F9A77-27E2-44AC-BCB7-0ED7A02D12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924421-B6F9-4173-B3B5-292E021983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007075-7073-48D2-B821-29FF8AE51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FAA5C1-F66E-49BF-B7BB-E2E874DD8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F89F67-CE6A-4247-B558-DCD5A68E6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452A74-D35D-4B6E-A8F6-FBC93225C0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1F6B21-0401-490E-AD75-5AF39547D2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914E65-AC3C-40BB-85B1-F12DE84E6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F0FCB0-F80D-401B-B6FA-F8D2F6CB74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29A382-8A77-424E-88AD-6758877AB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F27A2C-E58F-430F-A454-48A9692CB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065814-DA26-45F2-B423-C6EFCFBDC3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2FE74D-7149-4ABF-95E5-B4B08D459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C3D596-107E-49B3-AEC8-713617F9E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FEBFA3-93CF-424D-9B61-A2939BEA4F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51B993-01F2-4F19-8119-1C29E8FA34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CC3A655-630D-4995-99FA-7F5CAFF93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0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43592.973680555559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43593.026041666664</v>
      </c>
      <c r="C30" s="30" t="s">
        <v>130</v>
      </c>
      <c r="D30" s="30" t="s">
        <v>131</v>
      </c>
      <c r="E30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0.75785048054884463</v>
      </c>
      <c r="G2" s="155"/>
      <c r="H2" s="154">
        <v>0.83060120323451647</v>
      </c>
      <c r="I2" s="155"/>
      <c r="J2" s="154">
        <v>0.62861023434362762</v>
      </c>
      <c r="K2" s="155"/>
      <c r="L2" s="154">
        <v>0.60055413378963751</v>
      </c>
      <c r="M2" s="155"/>
      <c r="N2" s="154">
        <v>0.37090093199745827</v>
      </c>
      <c r="O2" s="155"/>
      <c r="P2" s="154">
        <v>0.65042292431949966</v>
      </c>
      <c r="Q2" s="155"/>
      <c r="R2" s="154">
        <v>-2.8011278207707879E-2</v>
      </c>
      <c r="S2" s="155"/>
      <c r="T2" s="154">
        <v>0.37910289120829649</v>
      </c>
      <c r="U2" s="155"/>
      <c r="V2" s="154">
        <v>0.71216067495921143</v>
      </c>
      <c r="W2" s="155"/>
      <c r="X2" s="154">
        <v>0.94785508483127257</v>
      </c>
      <c r="Y2" s="155"/>
      <c r="Z2" s="154">
        <v>-8.4191760876323615E-2</v>
      </c>
      <c r="AA2" s="155"/>
      <c r="AB2" s="154">
        <v>0.4447599722932491</v>
      </c>
      <c r="AC2" s="155"/>
      <c r="AD2" s="154">
        <v>0.5302261650018163</v>
      </c>
      <c r="AE2" s="155"/>
      <c r="AF2" s="154">
        <v>-3.9608086411475452E-2</v>
      </c>
      <c r="AG2" s="155"/>
      <c r="AH2" s="154">
        <v>0.85719400793653977</v>
      </c>
      <c r="AI2" s="155"/>
    </row>
    <row r="3" spans="1:35" x14ac:dyDescent="0.4">
      <c r="A3" s="74">
        <v>1</v>
      </c>
      <c r="B3" s="75" t="s">
        <v>127</v>
      </c>
      <c r="C3" s="76">
        <v>1523.8000000000006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0.38520801232665641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0.1728395061728395</v>
      </c>
      <c r="X3" s="77" t="s">
        <v>127</v>
      </c>
      <c r="Y3" s="80">
        <v>0.33127889060092452</v>
      </c>
      <c r="Z3" s="77" t="s">
        <v>172</v>
      </c>
      <c r="AA3" s="80">
        <v>0.30448717948717946</v>
      </c>
      <c r="AB3" s="77" t="s">
        <v>186</v>
      </c>
      <c r="AC3" s="80">
        <v>0.66666666666666663</v>
      </c>
      <c r="AD3" s="77" t="s">
        <v>127</v>
      </c>
      <c r="AE3" s="80">
        <v>0.53246753246753242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127</v>
      </c>
      <c r="E4" s="97">
        <v>18.812345679012353</v>
      </c>
      <c r="F4" s="85" t="s">
        <v>127</v>
      </c>
      <c r="G4" s="86">
        <v>1.617283950617284</v>
      </c>
      <c r="H4" s="85" t="s">
        <v>127</v>
      </c>
      <c r="I4" s="87">
        <v>0.5679012345679012</v>
      </c>
      <c r="J4" s="85" t="s">
        <v>202</v>
      </c>
      <c r="K4" s="87">
        <v>0</v>
      </c>
      <c r="L4" s="85" t="s">
        <v>172</v>
      </c>
      <c r="M4" s="88">
        <v>0.35576923076923078</v>
      </c>
      <c r="N4" s="85" t="s">
        <v>172</v>
      </c>
      <c r="O4" s="88">
        <v>0.14102564102564102</v>
      </c>
      <c r="P4" s="85" t="s">
        <v>127</v>
      </c>
      <c r="Q4" s="89">
        <v>9252.7999999999993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172</v>
      </c>
      <c r="W4" s="87">
        <v>0.13513513513513514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0.63681592039800994</v>
      </c>
      <c r="AD4" s="85" t="s">
        <v>185</v>
      </c>
      <c r="AE4" s="88">
        <v>0.5</v>
      </c>
      <c r="AF4" s="85" t="s">
        <v>129</v>
      </c>
      <c r="AG4" s="88">
        <v>0.53703703703703709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172</v>
      </c>
      <c r="C5" s="84">
        <v>30.000000000000007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0.18518518518518517</v>
      </c>
      <c r="L5" s="85" t="s">
        <v>173</v>
      </c>
      <c r="M5" s="88">
        <v>0.31506849315068491</v>
      </c>
      <c r="N5" s="85" t="s">
        <v>171</v>
      </c>
      <c r="O5" s="88">
        <v>0.15297450424929179</v>
      </c>
      <c r="P5" s="85" t="s">
        <v>171</v>
      </c>
      <c r="Q5" s="89">
        <v>9121.8390804597693</v>
      </c>
      <c r="R5" s="85" t="s">
        <v>177</v>
      </c>
      <c r="S5" s="89">
        <v>-7093.1034482758623</v>
      </c>
      <c r="T5" s="85" t="s">
        <v>171</v>
      </c>
      <c r="U5" s="87">
        <v>2.3809523809523808E-2</v>
      </c>
      <c r="V5" s="85" t="s">
        <v>171</v>
      </c>
      <c r="W5" s="87">
        <v>0.11904761904761904</v>
      </c>
      <c r="X5" s="85" t="s">
        <v>128</v>
      </c>
      <c r="Y5" s="88">
        <v>0.28309859154929579</v>
      </c>
      <c r="Z5" s="85" t="s">
        <v>177</v>
      </c>
      <c r="AA5" s="88">
        <v>0.25503355704697989</v>
      </c>
      <c r="AB5" s="85" t="s">
        <v>127</v>
      </c>
      <c r="AC5" s="88">
        <v>0.6093023255813953</v>
      </c>
      <c r="AD5" s="85" t="s">
        <v>186</v>
      </c>
      <c r="AE5" s="88">
        <v>0.46666666666666667</v>
      </c>
      <c r="AF5" s="85" t="s">
        <v>173</v>
      </c>
      <c r="AG5" s="88">
        <v>0.53260869565217395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202</v>
      </c>
      <c r="C6" s="84">
        <v>19.399999999999995</v>
      </c>
      <c r="D6" s="85" t="s">
        <v>172</v>
      </c>
      <c r="E6" s="97">
        <v>0.81081081081081097</v>
      </c>
      <c r="F6" s="85" t="s">
        <v>145</v>
      </c>
      <c r="G6" s="86">
        <v>2</v>
      </c>
      <c r="H6" s="85" t="s">
        <v>172</v>
      </c>
      <c r="I6" s="87">
        <v>0.29729729729729731</v>
      </c>
      <c r="J6" s="85" t="s">
        <v>128</v>
      </c>
      <c r="K6" s="87">
        <v>0.31764705882352939</v>
      </c>
      <c r="L6" s="85" t="s">
        <v>145</v>
      </c>
      <c r="M6" s="88">
        <v>0.30258560447239691</v>
      </c>
      <c r="N6" s="85" t="s">
        <v>127</v>
      </c>
      <c r="O6" s="88">
        <v>0.15716486902927582</v>
      </c>
      <c r="P6" s="85" t="s">
        <v>128</v>
      </c>
      <c r="Q6" s="89">
        <v>9119.9029126213591</v>
      </c>
      <c r="R6" s="85" t="s">
        <v>171</v>
      </c>
      <c r="S6" s="89">
        <v>-7290.7407407407409</v>
      </c>
      <c r="T6" s="85" t="s">
        <v>172</v>
      </c>
      <c r="U6" s="87">
        <v>5.4054054054054057E-2</v>
      </c>
      <c r="V6" s="85" t="s">
        <v>145</v>
      </c>
      <c r="W6" s="87">
        <v>9.8550724637681164E-2</v>
      </c>
      <c r="X6" s="85" t="s">
        <v>145</v>
      </c>
      <c r="Y6" s="88">
        <v>0.26799440950384346</v>
      </c>
      <c r="Z6" s="85" t="s">
        <v>173</v>
      </c>
      <c r="AA6" s="88">
        <v>0.25</v>
      </c>
      <c r="AB6" s="85" t="s">
        <v>173</v>
      </c>
      <c r="AC6" s="88">
        <v>0.6029411764705882</v>
      </c>
      <c r="AD6" s="85" t="s">
        <v>172</v>
      </c>
      <c r="AE6" s="88">
        <v>0.42105263157894735</v>
      </c>
      <c r="AF6" s="85" t="s">
        <v>186</v>
      </c>
      <c r="AG6" s="88">
        <v>0.52941176470588236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145</v>
      </c>
      <c r="C7" s="84">
        <v>1.0000000000000255</v>
      </c>
      <c r="D7" s="85" t="s">
        <v>145</v>
      </c>
      <c r="E7" s="97">
        <v>2.8985507246377554E-3</v>
      </c>
      <c r="F7" s="85" t="s">
        <v>128</v>
      </c>
      <c r="G7" s="86">
        <v>2.0470588235294116</v>
      </c>
      <c r="H7" s="85" t="s">
        <v>173</v>
      </c>
      <c r="I7" s="87">
        <v>0.27272727272727271</v>
      </c>
      <c r="J7" s="85" t="s">
        <v>173</v>
      </c>
      <c r="K7" s="87">
        <v>0.33333333333333331</v>
      </c>
      <c r="L7" s="85" t="s">
        <v>128</v>
      </c>
      <c r="M7" s="88">
        <v>0.29014084507042254</v>
      </c>
      <c r="N7" s="85" t="s">
        <v>128</v>
      </c>
      <c r="O7" s="88">
        <v>0.1647887323943662</v>
      </c>
      <c r="P7" s="85" t="s">
        <v>145</v>
      </c>
      <c r="Q7" s="89">
        <v>8485.1039260969974</v>
      </c>
      <c r="R7" s="85" t="s">
        <v>128</v>
      </c>
      <c r="S7" s="89">
        <v>-7517.0940170940175</v>
      </c>
      <c r="T7" s="85" t="s">
        <v>127</v>
      </c>
      <c r="U7" s="87">
        <v>6.1728395061728392E-2</v>
      </c>
      <c r="V7" s="85" t="s">
        <v>128</v>
      </c>
      <c r="W7" s="87">
        <v>8.2352941176470587E-2</v>
      </c>
      <c r="X7" s="85" t="s">
        <v>185</v>
      </c>
      <c r="Y7" s="88">
        <v>0.26315789473684209</v>
      </c>
      <c r="Z7" s="85" t="s">
        <v>127</v>
      </c>
      <c r="AA7" s="88">
        <v>0.23728813559322035</v>
      </c>
      <c r="AB7" s="85" t="s">
        <v>185</v>
      </c>
      <c r="AC7" s="88">
        <v>0.6</v>
      </c>
      <c r="AD7" s="85" t="s">
        <v>145</v>
      </c>
      <c r="AE7" s="88">
        <v>0.38178913738019171</v>
      </c>
      <c r="AF7" s="85" t="s">
        <v>145</v>
      </c>
      <c r="AG7" s="88">
        <v>0.43764434180138567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171</v>
      </c>
      <c r="C8" s="84">
        <v>-65.5</v>
      </c>
      <c r="D8" s="85" t="s">
        <v>128</v>
      </c>
      <c r="E8" s="97">
        <v>-1.0623529411764712</v>
      </c>
      <c r="F8" s="85" t="s">
        <v>173</v>
      </c>
      <c r="G8" s="86">
        <v>2.0606060606060606</v>
      </c>
      <c r="H8" s="85" t="s">
        <v>128</v>
      </c>
      <c r="I8" s="87">
        <v>0.27058823529411763</v>
      </c>
      <c r="J8" s="85" t="s">
        <v>145</v>
      </c>
      <c r="K8" s="87">
        <v>0.33333333333333331</v>
      </c>
      <c r="L8" s="85" t="s">
        <v>185</v>
      </c>
      <c r="M8" s="88">
        <v>0.26315789473684209</v>
      </c>
      <c r="N8" s="85" t="s">
        <v>202</v>
      </c>
      <c r="O8" s="88">
        <v>0.16666666666666666</v>
      </c>
      <c r="P8" s="85" t="s">
        <v>129</v>
      </c>
      <c r="Q8" s="89">
        <v>8348.1481481481478</v>
      </c>
      <c r="R8" s="85" t="s">
        <v>127</v>
      </c>
      <c r="S8" s="89">
        <v>-7916.666666666667</v>
      </c>
      <c r="T8" s="85" t="s">
        <v>145</v>
      </c>
      <c r="U8" s="87">
        <v>9.8550724637681164E-2</v>
      </c>
      <c r="V8" s="85" t="s">
        <v>173</v>
      </c>
      <c r="W8" s="87">
        <v>6.0606060606060608E-2</v>
      </c>
      <c r="X8" s="85" t="s">
        <v>171</v>
      </c>
      <c r="Y8" s="88">
        <v>0.25495750708215298</v>
      </c>
      <c r="Z8" s="85" t="s">
        <v>186</v>
      </c>
      <c r="AA8" s="88">
        <v>0.22058823529411764</v>
      </c>
      <c r="AB8" s="85" t="s">
        <v>145</v>
      </c>
      <c r="AC8" s="88">
        <v>0.59322033898305082</v>
      </c>
      <c r="AD8" s="85" t="s">
        <v>177</v>
      </c>
      <c r="AE8" s="88">
        <v>0.36842105263157893</v>
      </c>
      <c r="AF8" s="85" t="s">
        <v>127</v>
      </c>
      <c r="AG8" s="88">
        <v>0.432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128</v>
      </c>
      <c r="C9" s="84">
        <v>-90.30000000000004</v>
      </c>
      <c r="D9" s="85" t="s">
        <v>171</v>
      </c>
      <c r="E9" s="97">
        <v>-1.5595238095238095</v>
      </c>
      <c r="F9" s="85" t="s">
        <v>172</v>
      </c>
      <c r="G9" s="86">
        <v>2.0810810810810811</v>
      </c>
      <c r="H9" s="85" t="s">
        <v>177</v>
      </c>
      <c r="I9" s="87">
        <v>0.26315789473684209</v>
      </c>
      <c r="J9" s="85" t="s">
        <v>171</v>
      </c>
      <c r="K9" s="87">
        <v>0.35714285714285715</v>
      </c>
      <c r="L9" s="85" t="s">
        <v>186</v>
      </c>
      <c r="M9" s="88">
        <v>0.25</v>
      </c>
      <c r="N9" s="85" t="s">
        <v>145</v>
      </c>
      <c r="O9" s="88">
        <v>0.16736547868623342</v>
      </c>
      <c r="P9" s="85" t="s">
        <v>185</v>
      </c>
      <c r="Q9" s="89">
        <v>7860</v>
      </c>
      <c r="R9" s="85" t="s">
        <v>145</v>
      </c>
      <c r="S9" s="89">
        <v>-7983.2985386221299</v>
      </c>
      <c r="T9" s="85" t="s">
        <v>128</v>
      </c>
      <c r="U9" s="87">
        <v>0.10588235294117647</v>
      </c>
      <c r="V9" s="85" t="s">
        <v>129</v>
      </c>
      <c r="W9" s="87">
        <v>3.0303030303030304E-2</v>
      </c>
      <c r="X9" s="85" t="s">
        <v>129</v>
      </c>
      <c r="Y9" s="88">
        <v>0.24087591240875914</v>
      </c>
      <c r="Z9" s="85" t="s">
        <v>145</v>
      </c>
      <c r="AA9" s="88">
        <v>0.21872816212438853</v>
      </c>
      <c r="AB9" s="85" t="s">
        <v>172</v>
      </c>
      <c r="AC9" s="88">
        <v>0.58333333333333337</v>
      </c>
      <c r="AD9" s="85" t="s">
        <v>173</v>
      </c>
      <c r="AE9" s="88">
        <v>0.34246575342465752</v>
      </c>
      <c r="AF9" s="85" t="s">
        <v>172</v>
      </c>
      <c r="AG9" s="88">
        <v>0.42342342342342343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186</v>
      </c>
      <c r="C10" s="84">
        <v>-170.5</v>
      </c>
      <c r="D10" s="85" t="s">
        <v>173</v>
      </c>
      <c r="E10" s="97">
        <v>-5.8818181818181818</v>
      </c>
      <c r="F10" s="85" t="s">
        <v>171</v>
      </c>
      <c r="G10" s="86">
        <v>2.0952380952380953</v>
      </c>
      <c r="H10" s="85" t="s">
        <v>171</v>
      </c>
      <c r="I10" s="87">
        <v>0.26190476190476192</v>
      </c>
      <c r="J10" s="85" t="s">
        <v>172</v>
      </c>
      <c r="K10" s="87">
        <v>0.3783783783783784</v>
      </c>
      <c r="L10" s="85" t="s">
        <v>202</v>
      </c>
      <c r="M10" s="88">
        <v>0.25</v>
      </c>
      <c r="N10" s="85" t="s">
        <v>173</v>
      </c>
      <c r="O10" s="88">
        <v>0.18493150684931506</v>
      </c>
      <c r="P10" s="85" t="s">
        <v>177</v>
      </c>
      <c r="Q10" s="89">
        <v>7431.4285714285716</v>
      </c>
      <c r="R10" s="85" t="s">
        <v>173</v>
      </c>
      <c r="S10" s="89">
        <v>-8177.7777777777774</v>
      </c>
      <c r="T10" s="85" t="s">
        <v>173</v>
      </c>
      <c r="U10" s="87">
        <v>0.12121212121212122</v>
      </c>
      <c r="V10" s="85" t="s">
        <v>177</v>
      </c>
      <c r="W10" s="87">
        <v>0</v>
      </c>
      <c r="X10" s="85" t="s">
        <v>173</v>
      </c>
      <c r="Y10" s="88">
        <v>0.23287671232876711</v>
      </c>
      <c r="Z10" s="85" t="s">
        <v>185</v>
      </c>
      <c r="AA10" s="88">
        <v>0.21052631578947367</v>
      </c>
      <c r="AB10" s="85" t="s">
        <v>171</v>
      </c>
      <c r="AC10" s="88">
        <v>0.56666666666666665</v>
      </c>
      <c r="AD10" s="85" t="s">
        <v>171</v>
      </c>
      <c r="AE10" s="88">
        <v>0.32758620689655171</v>
      </c>
      <c r="AF10" s="85" t="s">
        <v>128</v>
      </c>
      <c r="AG10" s="88">
        <v>0.41262135922330095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173</v>
      </c>
      <c r="C11" s="84">
        <v>-194.1</v>
      </c>
      <c r="D11" s="85" t="s">
        <v>177</v>
      </c>
      <c r="E11" s="97">
        <v>-12.4</v>
      </c>
      <c r="F11" s="85" t="s">
        <v>177</v>
      </c>
      <c r="G11" s="86">
        <v>2.1578947368421053</v>
      </c>
      <c r="H11" s="85" t="s">
        <v>186</v>
      </c>
      <c r="I11" s="87">
        <v>0.25</v>
      </c>
      <c r="J11" s="85" t="s">
        <v>177</v>
      </c>
      <c r="K11" s="87">
        <v>0.42105263157894735</v>
      </c>
      <c r="L11" s="85" t="s">
        <v>171</v>
      </c>
      <c r="M11" s="88">
        <v>0.24645892351274787</v>
      </c>
      <c r="N11" s="85" t="s">
        <v>177</v>
      </c>
      <c r="O11" s="88">
        <v>0.19463087248322147</v>
      </c>
      <c r="P11" s="85" t="s">
        <v>186</v>
      </c>
      <c r="Q11" s="89">
        <v>7364.7058823529414</v>
      </c>
      <c r="R11" s="85" t="s">
        <v>186</v>
      </c>
      <c r="S11" s="89">
        <v>-8323.5294117647063</v>
      </c>
      <c r="T11" s="85" t="s">
        <v>186</v>
      </c>
      <c r="U11" s="87">
        <v>0.125</v>
      </c>
      <c r="V11" s="85" t="s">
        <v>185</v>
      </c>
      <c r="W11" s="87">
        <v>0</v>
      </c>
      <c r="X11" s="85" t="s">
        <v>172</v>
      </c>
      <c r="Y11" s="88">
        <v>0.23076923076923078</v>
      </c>
      <c r="Z11" s="85" t="s">
        <v>128</v>
      </c>
      <c r="AA11" s="88">
        <v>0.19577464788732393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177</v>
      </c>
      <c r="AG11" s="88">
        <v>0.4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-235.6</v>
      </c>
      <c r="D12" s="85" t="s">
        <v>186</v>
      </c>
      <c r="E12" s="97">
        <v>-21.3125</v>
      </c>
      <c r="F12" s="85" t="s">
        <v>186</v>
      </c>
      <c r="G12" s="86">
        <v>2.375</v>
      </c>
      <c r="H12" s="85" t="s">
        <v>202</v>
      </c>
      <c r="I12" s="87">
        <v>0.25</v>
      </c>
      <c r="J12" s="85" t="s">
        <v>129</v>
      </c>
      <c r="K12" s="87">
        <v>0.60606060606060608</v>
      </c>
      <c r="L12" s="85" t="s">
        <v>177</v>
      </c>
      <c r="M12" s="88">
        <v>0.2348993288590604</v>
      </c>
      <c r="N12" s="85" t="s">
        <v>129</v>
      </c>
      <c r="O12" s="88">
        <v>0.19708029197080293</v>
      </c>
      <c r="P12" s="85" t="s">
        <v>172</v>
      </c>
      <c r="Q12" s="89">
        <v>7009.9099099099103</v>
      </c>
      <c r="R12" s="85" t="s">
        <v>172</v>
      </c>
      <c r="S12" s="89">
        <v>-8481.818181818182</v>
      </c>
      <c r="T12" s="85" t="s">
        <v>177</v>
      </c>
      <c r="U12" s="87">
        <v>0.21052631578947367</v>
      </c>
      <c r="V12" s="85" t="s">
        <v>186</v>
      </c>
      <c r="W12" s="87">
        <v>0</v>
      </c>
      <c r="X12" s="85" t="s">
        <v>177</v>
      </c>
      <c r="Y12" s="88">
        <v>0.18120805369127516</v>
      </c>
      <c r="Z12" s="85" t="s">
        <v>171</v>
      </c>
      <c r="AA12" s="88">
        <v>0.1643059490084986</v>
      </c>
      <c r="AB12" s="85" t="s">
        <v>177</v>
      </c>
      <c r="AC12" s="88">
        <v>0.51851851851851849</v>
      </c>
      <c r="AD12" s="85" t="s">
        <v>128</v>
      </c>
      <c r="AE12" s="88">
        <v>0.28776978417266186</v>
      </c>
      <c r="AF12" s="85" t="s">
        <v>171</v>
      </c>
      <c r="AG12" s="88">
        <v>0.35632183908045978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129</v>
      </c>
      <c r="C13" s="84">
        <v>-877.19999999999993</v>
      </c>
      <c r="D13" s="85" t="s">
        <v>129</v>
      </c>
      <c r="E13" s="97">
        <v>-26.581818181818178</v>
      </c>
      <c r="F13" s="85" t="s">
        <v>129</v>
      </c>
      <c r="G13" s="86">
        <v>2.4545454545454546</v>
      </c>
      <c r="H13" s="85" t="s">
        <v>129</v>
      </c>
      <c r="I13" s="87">
        <v>0.15151515151515152</v>
      </c>
      <c r="J13" s="85" t="s">
        <v>186</v>
      </c>
      <c r="K13" s="87">
        <v>0.625</v>
      </c>
      <c r="L13" s="85" t="s">
        <v>129</v>
      </c>
      <c r="M13" s="88">
        <v>0.19708029197080293</v>
      </c>
      <c r="N13" s="85" t="s">
        <v>186</v>
      </c>
      <c r="O13" s="88">
        <v>0.25</v>
      </c>
      <c r="P13" s="85" t="s">
        <v>173</v>
      </c>
      <c r="Q13" s="89">
        <v>6772.826086956522</v>
      </c>
      <c r="R13" s="85" t="s">
        <v>129</v>
      </c>
      <c r="S13" s="89">
        <v>-9922.2222222222226</v>
      </c>
      <c r="T13" s="85" t="s">
        <v>129</v>
      </c>
      <c r="U13" s="87">
        <v>0.24242424242424243</v>
      </c>
      <c r="V13" s="85" t="s">
        <v>202</v>
      </c>
      <c r="W13" s="87">
        <v>0</v>
      </c>
      <c r="X13" s="85" t="s">
        <v>186</v>
      </c>
      <c r="Y13" s="88">
        <v>0.17647058823529413</v>
      </c>
      <c r="Z13" s="85" t="s">
        <v>129</v>
      </c>
      <c r="AA13" s="88">
        <v>0.145985401459854</v>
      </c>
      <c r="AB13" s="85" t="s">
        <v>129</v>
      </c>
      <c r="AC13" s="88">
        <v>0.46969696969696972</v>
      </c>
      <c r="AD13" s="85" t="s">
        <v>129</v>
      </c>
      <c r="AE13" s="88">
        <v>0.17499999999999999</v>
      </c>
      <c r="AF13" s="85" t="s">
        <v>185</v>
      </c>
      <c r="AG13" s="88">
        <v>0.2</v>
      </c>
      <c r="AH13" s="85" t="s">
        <v>185</v>
      </c>
      <c r="AI13" s="92">
        <v>53500</v>
      </c>
    </row>
  </sheetData>
  <sortState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A63D1-1EDE-4465-8BAF-F8FBB1CEE90C}">
  <sheetPr codeName="Sheet4"/>
  <dimension ref="A1:Q34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345</v>
      </c>
      <c r="C2" s="147"/>
      <c r="E2" s="62" t="s">
        <v>67</v>
      </c>
      <c r="F2" s="59" t="s">
        <v>23</v>
      </c>
      <c r="G2" s="46">
        <v>647</v>
      </c>
      <c r="H2" s="132">
        <f>IF(B$17=0,0,G2/B$17)</f>
        <v>0.74711316397228633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-14.492753623188406</v>
      </c>
      <c r="P2" s="118">
        <v>345</v>
      </c>
      <c r="Q2" s="102">
        <v>-5000</v>
      </c>
    </row>
    <row r="3" spans="1:17" x14ac:dyDescent="0.4">
      <c r="A3" s="55" t="s">
        <v>8</v>
      </c>
      <c r="B3" s="148">
        <v>2862</v>
      </c>
      <c r="C3" s="149"/>
      <c r="E3" s="63" t="s">
        <v>73</v>
      </c>
      <c r="F3" s="60" t="s">
        <v>28</v>
      </c>
      <c r="G3" s="47">
        <v>455</v>
      </c>
      <c r="H3" s="133">
        <f>IF(B$17=0,0,G3/B$17)</f>
        <v>0.52540415704387988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-14.619883040935672</v>
      </c>
      <c r="P3" s="119">
        <v>342</v>
      </c>
      <c r="Q3" s="103">
        <v>-5000</v>
      </c>
    </row>
    <row r="4" spans="1:17" x14ac:dyDescent="0.4">
      <c r="A4" s="55" t="s">
        <v>6</v>
      </c>
      <c r="B4" s="150">
        <v>1.0000000000000255</v>
      </c>
      <c r="C4" s="151"/>
      <c r="E4" s="63" t="s">
        <v>65</v>
      </c>
      <c r="F4" s="60" t="s">
        <v>21</v>
      </c>
      <c r="G4" s="47">
        <v>432</v>
      </c>
      <c r="H4" s="133">
        <f>IF(B$17=0,0,G4/B$17)</f>
        <v>0.49884526558891457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18.691588785046729</v>
      </c>
      <c r="P4" s="119">
        <v>321</v>
      </c>
      <c r="Q4" s="103">
        <v>6000</v>
      </c>
    </row>
    <row r="5" spans="1:17" x14ac:dyDescent="0.4">
      <c r="A5" s="55" t="s">
        <v>7</v>
      </c>
      <c r="B5" s="152">
        <f>IF(B$2=0,0,B$4/B$2)</f>
        <v>2.8985507246377554E-3</v>
      </c>
      <c r="C5" s="153"/>
      <c r="E5" s="63" t="s">
        <v>181</v>
      </c>
      <c r="F5" s="60" t="s">
        <v>182</v>
      </c>
      <c r="G5" s="47">
        <v>335</v>
      </c>
      <c r="H5" s="133">
        <f>IF(B$17=0,0,G5/B$17)</f>
        <v>0.38683602771362585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10.1010101010101</v>
      </c>
      <c r="P5" s="119">
        <v>297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261</v>
      </c>
      <c r="H6" s="133">
        <f>IF(B$17=0,0,G6/B$17)</f>
        <v>0.30138568129330257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-18.518518518518519</v>
      </c>
      <c r="P6" s="119">
        <v>270</v>
      </c>
      <c r="Q6" s="103">
        <v>-5000</v>
      </c>
    </row>
    <row r="7" spans="1:17" x14ac:dyDescent="0.4">
      <c r="A7" s="55" t="s">
        <v>2</v>
      </c>
      <c r="B7" s="47">
        <v>115</v>
      </c>
      <c r="C7" s="39">
        <f>IF(B$2=0,0,B7/B$2)</f>
        <v>0.33333333333333331</v>
      </c>
      <c r="E7" s="63" t="s">
        <v>68</v>
      </c>
      <c r="F7" s="60" t="s">
        <v>24</v>
      </c>
      <c r="G7" s="47">
        <v>254</v>
      </c>
      <c r="H7" s="133">
        <f>IF(B$17=0,0,G7/B$17)</f>
        <v>0.29330254041570436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27.777777777777779</v>
      </c>
      <c r="P7" s="120">
        <v>252</v>
      </c>
      <c r="Q7" s="104">
        <v>7000</v>
      </c>
    </row>
    <row r="8" spans="1:17" x14ac:dyDescent="0.4">
      <c r="A8" s="55" t="s">
        <v>3</v>
      </c>
      <c r="B8" s="47">
        <v>115</v>
      </c>
      <c r="C8" s="39">
        <f>IF(B$2=0,0,B8/B$2)</f>
        <v>0.33333333333333331</v>
      </c>
      <c r="E8" s="63" t="s">
        <v>70</v>
      </c>
      <c r="F8" s="60" t="s">
        <v>25</v>
      </c>
      <c r="G8" s="47">
        <v>157</v>
      </c>
      <c r="H8" s="133">
        <f>IF(B$17=0,0,G8/B$17)</f>
        <v>0.1812933025404157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115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115</v>
      </c>
      <c r="H9" s="133">
        <f>IF(B$17=0,0,G9/B$17)</f>
        <v>0.13279445727482678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34</v>
      </c>
      <c r="C10" s="40">
        <f>IF(B$2=0,0,B10/B$2)</f>
        <v>9.8550724637681164E-2</v>
      </c>
      <c r="E10" s="63" t="s">
        <v>66</v>
      </c>
      <c r="F10" s="60" t="s">
        <v>22</v>
      </c>
      <c r="G10" s="47">
        <v>111</v>
      </c>
      <c r="H10" s="133">
        <f>IF(B$17=0,0,G10/B$17)</f>
        <v>0.12817551963048499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-0.38869565217391305</v>
      </c>
      <c r="P10" s="118">
        <v>115</v>
      </c>
      <c r="Q10" s="106">
        <v>-44.7</v>
      </c>
    </row>
    <row r="11" spans="1:17" x14ac:dyDescent="0.4">
      <c r="A11" s="56" t="s">
        <v>140</v>
      </c>
      <c r="B11" s="48">
        <v>34</v>
      </c>
      <c r="C11" s="40">
        <f>IF(B$2=0,0,B11/B$2)</f>
        <v>9.8550724637681164E-2</v>
      </c>
      <c r="E11" s="63" t="s">
        <v>71</v>
      </c>
      <c r="F11" s="60" t="s">
        <v>26</v>
      </c>
      <c r="G11" s="47">
        <v>89</v>
      </c>
      <c r="H11" s="133">
        <f>IF(B$17=0,0,G11/B$17)</f>
        <v>0.10277136258660508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-3.396521739130435</v>
      </c>
      <c r="P11" s="119">
        <v>115</v>
      </c>
      <c r="Q11" s="107">
        <v>-390.6</v>
      </c>
    </row>
    <row r="12" spans="1:17" x14ac:dyDescent="0.4">
      <c r="A12" s="57" t="s">
        <v>160</v>
      </c>
      <c r="B12" s="49">
        <v>34</v>
      </c>
      <c r="C12" s="42">
        <f>IF(B$2=0,0,B12/B$2)</f>
        <v>9.8550724637681164E-2</v>
      </c>
      <c r="E12" s="63" t="s">
        <v>87</v>
      </c>
      <c r="F12" s="60" t="s">
        <v>42</v>
      </c>
      <c r="G12" s="47">
        <v>53</v>
      </c>
      <c r="H12" s="133">
        <f>IF(B$17=0,0,G12/B$17)</f>
        <v>6.1200923787528866E-2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3.7939130434782595</v>
      </c>
      <c r="P12" s="120">
        <v>115</v>
      </c>
      <c r="Q12" s="108">
        <v>436.29999999999984</v>
      </c>
    </row>
    <row r="13" spans="1:17" x14ac:dyDescent="0.4">
      <c r="A13" s="58" t="s">
        <v>122</v>
      </c>
      <c r="B13" s="50">
        <v>767</v>
      </c>
      <c r="C13" s="44">
        <f>IF(B$3=0,0,B13/B$3)</f>
        <v>0.26799440950384346</v>
      </c>
      <c r="E13" s="63" t="s">
        <v>72</v>
      </c>
      <c r="F13" s="60" t="s">
        <v>27</v>
      </c>
      <c r="G13" s="47">
        <v>48</v>
      </c>
      <c r="H13" s="133">
        <f>IF(B$17=0,0,G13/B$17)</f>
        <v>5.5427251732101619E-2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626</v>
      </c>
      <c r="C14" s="39">
        <f>IF(B$3=0,0,B14/B$3)</f>
        <v>0.21872816212438853</v>
      </c>
      <c r="E14" s="63" t="s">
        <v>84</v>
      </c>
      <c r="F14" s="60" t="s">
        <v>39</v>
      </c>
      <c r="G14" s="47">
        <v>38</v>
      </c>
      <c r="H14" s="133">
        <f>IF(B$17=0,0,G14/B$17)</f>
        <v>4.3879907621247112E-2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455</v>
      </c>
      <c r="C15" s="37">
        <f>IF(B$13=0,0,B15/B$13)</f>
        <v>0.59322033898305082</v>
      </c>
      <c r="E15" s="63" t="s">
        <v>82</v>
      </c>
      <c r="F15" s="60" t="s">
        <v>37</v>
      </c>
      <c r="G15" s="47">
        <v>26</v>
      </c>
      <c r="H15" s="133">
        <f>IF(B$17=0,0,G15/B$17)</f>
        <v>3.0023094688221709E-2</v>
      </c>
      <c r="I15" s="94">
        <v>5</v>
      </c>
      <c r="K15" s="38">
        <v>13</v>
      </c>
      <c r="L15" s="99">
        <v>-42.100000000000009</v>
      </c>
      <c r="N15" s="114" t="s">
        <v>129</v>
      </c>
      <c r="O15" s="124">
        <f>IF(P15=0,0,Q15/P15)</f>
        <v>39.887878787878776</v>
      </c>
      <c r="P15" s="118">
        <v>66</v>
      </c>
      <c r="Q15" s="106">
        <v>2632.5999999999995</v>
      </c>
    </row>
    <row r="16" spans="1:17" x14ac:dyDescent="0.4">
      <c r="A16" s="54" t="s">
        <v>125</v>
      </c>
      <c r="B16" s="46">
        <v>239</v>
      </c>
      <c r="C16" s="37">
        <f>IF(B$14=0,0,B16/B$14)</f>
        <v>0.38178913738019171</v>
      </c>
      <c r="E16" s="63" t="s">
        <v>92</v>
      </c>
      <c r="F16" s="60" t="s">
        <v>47</v>
      </c>
      <c r="G16" s="47">
        <v>15</v>
      </c>
      <c r="H16" s="133">
        <f>IF(B$17=0,0,G16/B$17)</f>
        <v>1.7321016166281754E-2</v>
      </c>
      <c r="I16" s="94">
        <v>4</v>
      </c>
      <c r="K16" s="38">
        <v>14</v>
      </c>
      <c r="L16" s="99">
        <v>18.79999999999999</v>
      </c>
      <c r="N16" s="115" t="s">
        <v>186</v>
      </c>
      <c r="O16" s="125">
        <f>IF(P16=0,0,Q16/P16)</f>
        <v>31.968749999999996</v>
      </c>
      <c r="P16" s="119">
        <v>16</v>
      </c>
      <c r="Q16" s="107">
        <v>511.49999999999994</v>
      </c>
    </row>
    <row r="17" spans="1:17" x14ac:dyDescent="0.4">
      <c r="A17" s="54" t="s">
        <v>10</v>
      </c>
      <c r="B17" s="46">
        <f>B19+B18</f>
        <v>866</v>
      </c>
      <c r="C17" s="37">
        <f>IF(B$3=0,0,B17/B$3)</f>
        <v>0.30258560447239691</v>
      </c>
      <c r="E17" s="63" t="s">
        <v>180</v>
      </c>
      <c r="F17" s="60" t="s">
        <v>183</v>
      </c>
      <c r="G17" s="47">
        <v>15</v>
      </c>
      <c r="H17" s="133">
        <f>IF(B$17=0,0,G17/B$17)</f>
        <v>1.7321016166281754E-2</v>
      </c>
      <c r="I17" s="94">
        <v>4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18.599999999999994</v>
      </c>
      <c r="P17" s="119">
        <v>38</v>
      </c>
      <c r="Q17" s="107">
        <v>706.79999999999984</v>
      </c>
    </row>
    <row r="18" spans="1:17" x14ac:dyDescent="0.4">
      <c r="A18" s="55" t="s">
        <v>12</v>
      </c>
      <c r="B18" s="47">
        <v>379</v>
      </c>
      <c r="C18" s="39">
        <f>IF(B$17=0,0,B18/B$17)</f>
        <v>0.43764434180138567</v>
      </c>
      <c r="E18" s="63" t="s">
        <v>79</v>
      </c>
      <c r="F18" s="60" t="s">
        <v>34</v>
      </c>
      <c r="G18" s="47">
        <v>14</v>
      </c>
      <c r="H18" s="133">
        <f>IF(B$17=0,0,G18/B$17)</f>
        <v>1.6166281755196306E-2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8.8227272727272705</v>
      </c>
      <c r="P18" s="119">
        <v>66</v>
      </c>
      <c r="Q18" s="107">
        <v>582.29999999999984</v>
      </c>
    </row>
    <row r="19" spans="1:17" x14ac:dyDescent="0.4">
      <c r="A19" s="55" t="s">
        <v>11</v>
      </c>
      <c r="B19" s="47">
        <v>487</v>
      </c>
      <c r="C19" s="39">
        <f>IF(B$17=0,0,B19/B$17)</f>
        <v>0.56235565819861433</v>
      </c>
      <c r="E19" s="63" t="s">
        <v>80</v>
      </c>
      <c r="F19" s="60" t="s">
        <v>35</v>
      </c>
      <c r="G19" s="47">
        <v>10</v>
      </c>
      <c r="H19" s="133">
        <f>IF(B$17=0,0,G19/B$17)</f>
        <v>1.1547344110854504E-2</v>
      </c>
      <c r="I19" s="94">
        <v>4</v>
      </c>
      <c r="K19" s="38">
        <v>17</v>
      </c>
      <c r="L19" s="99">
        <v>8.2999999999999972</v>
      </c>
      <c r="N19" s="115" t="s">
        <v>171</v>
      </c>
      <c r="O19" s="125">
        <f>IF(P19=0,0,Q19/P19)</f>
        <v>2.3392857142857171</v>
      </c>
      <c r="P19" s="119">
        <v>84</v>
      </c>
      <c r="Q19" s="107">
        <v>196.50000000000023</v>
      </c>
    </row>
    <row r="20" spans="1:17" x14ac:dyDescent="0.4">
      <c r="A20" s="55" t="s">
        <v>13</v>
      </c>
      <c r="B20" s="47">
        <v>479</v>
      </c>
      <c r="C20" s="39">
        <f>IF(B$3=0,0,B20/B$3)</f>
        <v>0.16736547868623342</v>
      </c>
      <c r="E20" s="63" t="s">
        <v>76</v>
      </c>
      <c r="F20" s="60" t="s">
        <v>31</v>
      </c>
      <c r="G20" s="47">
        <v>7</v>
      </c>
      <c r="H20" s="133">
        <f>IF(B$17=0,0,G20/B$17)</f>
        <v>8.0831408775981529E-3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1.599411764705881</v>
      </c>
      <c r="P20" s="119">
        <v>170</v>
      </c>
      <c r="Q20" s="107">
        <v>271.89999999999975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74</v>
      </c>
      <c r="F21" s="60" t="s">
        <v>29</v>
      </c>
      <c r="G21" s="47">
        <v>5</v>
      </c>
      <c r="H21" s="133">
        <f>IF(B$17=0,0,G21/B$17)</f>
        <v>5.7736720554272519E-3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-1.2162162162162178</v>
      </c>
      <c r="P21" s="119">
        <v>74</v>
      </c>
      <c r="Q21" s="107">
        <v>-90.000000000000114</v>
      </c>
    </row>
    <row r="22" spans="1:17" x14ac:dyDescent="0.4">
      <c r="A22" s="55" t="s">
        <v>194</v>
      </c>
      <c r="B22" s="47">
        <v>31</v>
      </c>
      <c r="C22" s="135">
        <v>16</v>
      </c>
      <c r="E22" s="63" t="s">
        <v>93</v>
      </c>
      <c r="F22" s="60" t="s">
        <v>48</v>
      </c>
      <c r="G22" s="47">
        <v>4</v>
      </c>
      <c r="H22" s="133">
        <f>IF(B$17=0,0,G22/B$17)</f>
        <v>4.6189376443418013E-3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8485.1039260969974</v>
      </c>
      <c r="C23" s="41">
        <v>7348100</v>
      </c>
      <c r="E23" s="63" t="s">
        <v>94</v>
      </c>
      <c r="F23" s="60" t="s">
        <v>49</v>
      </c>
      <c r="G23" s="47">
        <v>3</v>
      </c>
      <c r="H23" s="133">
        <f>IF(B$17=0,0,G23/B$17)</f>
        <v>3.4642032332563512E-3</v>
      </c>
      <c r="I23" s="94">
        <v>4</v>
      </c>
      <c r="K23" s="38">
        <v>21</v>
      </c>
      <c r="L23" s="99">
        <v>-2.886579864025407E-15</v>
      </c>
      <c r="N23" s="115" t="s">
        <v>127</v>
      </c>
      <c r="O23" s="125">
        <f>IF(P23=0,0,Q23/P23)</f>
        <v>-28.212345679012316</v>
      </c>
      <c r="P23" s="119">
        <v>162</v>
      </c>
      <c r="Q23" s="107">
        <v>-4570.3999999999951</v>
      </c>
    </row>
    <row r="24" spans="1:17" x14ac:dyDescent="0.4">
      <c r="A24" s="57" t="s">
        <v>14</v>
      </c>
      <c r="B24" s="52">
        <f>IF(B$20=0,0,C24/B$20)</f>
        <v>-7983.2985386221299</v>
      </c>
      <c r="C24" s="45">
        <v>-3824000</v>
      </c>
      <c r="E24" s="63" t="s">
        <v>75</v>
      </c>
      <c r="F24" s="60" t="s">
        <v>30</v>
      </c>
      <c r="G24" s="47">
        <v>2</v>
      </c>
      <c r="H24" s="133">
        <f>IF(B$17=0,0,G24/B$17)</f>
        <v>2.3094688221709007E-3</v>
      </c>
      <c r="I24" s="94">
        <v>2</v>
      </c>
      <c r="K24" s="38">
        <v>22</v>
      </c>
      <c r="L24" s="99">
        <v>23.699999999999996</v>
      </c>
      <c r="N24" s="115" t="s">
        <v>185</v>
      </c>
      <c r="O24" s="125">
        <f>IF(P24=0,0,Q24/P24)</f>
        <v>-30.5</v>
      </c>
      <c r="P24" s="119">
        <v>6</v>
      </c>
      <c r="Q24" s="107">
        <v>-183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2</v>
      </c>
      <c r="H25" s="133">
        <f>IF(B$17=0,0,G25/B$17)</f>
        <v>2.3094688221709007E-3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88</v>
      </c>
      <c r="F26" s="60" t="s">
        <v>43</v>
      </c>
      <c r="G26" s="47">
        <v>2</v>
      </c>
      <c r="H26" s="133">
        <f>IF(B$17=0,0,G26/B$17)</f>
        <v>2.3094688221709007E-3</v>
      </c>
      <c r="I26" s="94">
        <v>3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3.4940600978336828E-3</v>
      </c>
      <c r="E27" s="63" t="s">
        <v>89</v>
      </c>
      <c r="F27" s="60" t="s">
        <v>44</v>
      </c>
      <c r="G27" s="47">
        <v>2</v>
      </c>
      <c r="H27" s="133">
        <f>IF(B$17=0,0,G27/B$17)</f>
        <v>2.3094688221709007E-3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1.1547344110854503E-3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86</v>
      </c>
      <c r="F29" s="60" t="s">
        <v>41</v>
      </c>
      <c r="G29" s="47">
        <v>1</v>
      </c>
      <c r="H29" s="133">
        <f>IF(B$17=0,0,G29/B$17)</f>
        <v>1.1547344110854503E-3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1</v>
      </c>
      <c r="H30" s="133">
        <f>IF(B$17=0,0,G30/B$17)</f>
        <v>1.1547344110854503E-3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1.1547344110854503E-3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-37.59999999999998</v>
      </c>
    </row>
    <row r="329" spans="11:12" x14ac:dyDescent="0.4">
      <c r="K329" s="38">
        <v>327</v>
      </c>
      <c r="L329" s="99">
        <v>1.0000000000000213</v>
      </c>
    </row>
    <row r="330" spans="11:12" x14ac:dyDescent="0.4">
      <c r="K330" s="38">
        <v>328</v>
      </c>
      <c r="L330" s="99">
        <v>33.500000000000021</v>
      </c>
    </row>
    <row r="331" spans="11:12" x14ac:dyDescent="0.4">
      <c r="K331" s="38">
        <v>329</v>
      </c>
      <c r="L331" s="99">
        <v>39.600000000000023</v>
      </c>
    </row>
    <row r="332" spans="11:12" x14ac:dyDescent="0.4">
      <c r="K332" s="38">
        <v>330</v>
      </c>
      <c r="L332" s="99">
        <v>1.0000000000000213</v>
      </c>
    </row>
    <row r="333" spans="11:12" x14ac:dyDescent="0.4">
      <c r="K333" s="38">
        <v>331</v>
      </c>
      <c r="L333" s="99">
        <v>-35.799999999999976</v>
      </c>
    </row>
    <row r="334" spans="11:12" x14ac:dyDescent="0.4">
      <c r="K334" s="38">
        <v>332</v>
      </c>
      <c r="L334" s="99">
        <v>2.400000000000027</v>
      </c>
    </row>
    <row r="335" spans="11:12" x14ac:dyDescent="0.4">
      <c r="K335" s="38">
        <v>333</v>
      </c>
      <c r="L335" s="99">
        <v>1.0000000000000271</v>
      </c>
    </row>
    <row r="336" spans="11:12" x14ac:dyDescent="0.4">
      <c r="K336" s="38">
        <v>334</v>
      </c>
      <c r="L336" s="99">
        <v>11.000000000000027</v>
      </c>
    </row>
    <row r="337" spans="11:12" x14ac:dyDescent="0.4">
      <c r="K337" s="38">
        <v>335</v>
      </c>
      <c r="L337" s="99">
        <v>-38.699999999999974</v>
      </c>
    </row>
    <row r="338" spans="11:12" x14ac:dyDescent="0.4">
      <c r="K338" s="38">
        <v>336</v>
      </c>
      <c r="L338" s="99">
        <v>1.0000000000000284</v>
      </c>
    </row>
    <row r="339" spans="11:12" x14ac:dyDescent="0.4">
      <c r="K339" s="38">
        <v>337</v>
      </c>
      <c r="L339" s="99">
        <v>43.500000000000028</v>
      </c>
    </row>
    <row r="340" spans="11:12" x14ac:dyDescent="0.4">
      <c r="K340" s="38">
        <v>338</v>
      </c>
      <c r="L340" s="99">
        <v>4.0000000000000284</v>
      </c>
    </row>
    <row r="341" spans="11:12" x14ac:dyDescent="0.4">
      <c r="K341" s="38">
        <v>339</v>
      </c>
      <c r="L341" s="99">
        <v>1.0000000000000284</v>
      </c>
    </row>
    <row r="342" spans="11:12" x14ac:dyDescent="0.4">
      <c r="K342" s="38">
        <v>340</v>
      </c>
      <c r="L342" s="99">
        <v>-5.9999999999999716</v>
      </c>
    </row>
    <row r="343" spans="11:12" x14ac:dyDescent="0.4">
      <c r="K343" s="38">
        <v>341</v>
      </c>
      <c r="L343" s="99">
        <v>-40.799999999999969</v>
      </c>
    </row>
    <row r="344" spans="11:12" x14ac:dyDescent="0.4">
      <c r="K344" s="38">
        <v>342</v>
      </c>
      <c r="L344" s="99">
        <v>1.0000000000000284</v>
      </c>
    </row>
    <row r="345" spans="11:12" x14ac:dyDescent="0.4">
      <c r="K345" s="38">
        <v>343</v>
      </c>
      <c r="L345" s="99">
        <v>-33.199999999999974</v>
      </c>
    </row>
    <row r="346" spans="11:12" x14ac:dyDescent="0.4">
      <c r="K346" s="38">
        <v>344</v>
      </c>
      <c r="L346" s="99">
        <v>1.3000000000000256</v>
      </c>
    </row>
    <row r="347" spans="11:12" x14ac:dyDescent="0.4">
      <c r="K347" s="38">
        <v>345</v>
      </c>
      <c r="L347" s="99">
        <v>1.0000000000000255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BF24A-3349-4DD0-A22E-99C19A4B38D7}">
  <sheetPr codeName="Sheet7"/>
  <dimension ref="A1:Q8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81</v>
      </c>
      <c r="C2" s="147"/>
      <c r="E2" s="62" t="s">
        <v>67</v>
      </c>
      <c r="F2" s="59" t="s">
        <v>23</v>
      </c>
      <c r="G2" s="46">
        <v>187</v>
      </c>
      <c r="H2" s="132">
        <f>IF(B$17=0,0,G2/B$17)</f>
        <v>0.748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2424.6913580246915</v>
      </c>
      <c r="P2" s="118">
        <v>81</v>
      </c>
      <c r="Q2" s="102">
        <v>196400</v>
      </c>
    </row>
    <row r="3" spans="1:17" x14ac:dyDescent="0.4">
      <c r="A3" s="55" t="s">
        <v>8</v>
      </c>
      <c r="B3" s="148">
        <v>649</v>
      </c>
      <c r="C3" s="149"/>
      <c r="E3" s="63" t="s">
        <v>73</v>
      </c>
      <c r="F3" s="60" t="s">
        <v>28</v>
      </c>
      <c r="G3" s="47">
        <v>132</v>
      </c>
      <c r="H3" s="133">
        <f>IF(B$17=0,0,G3/B$17)</f>
        <v>0.52800000000000002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2865</v>
      </c>
      <c r="P3" s="119">
        <v>80</v>
      </c>
      <c r="Q3" s="103">
        <v>229200</v>
      </c>
    </row>
    <row r="4" spans="1:17" x14ac:dyDescent="0.4">
      <c r="A4" s="55" t="s">
        <v>6</v>
      </c>
      <c r="B4" s="150">
        <v>1523.8000000000006</v>
      </c>
      <c r="C4" s="151"/>
      <c r="E4" s="63" t="s">
        <v>65</v>
      </c>
      <c r="F4" s="60" t="s">
        <v>21</v>
      </c>
      <c r="G4" s="47">
        <v>121</v>
      </c>
      <c r="H4" s="133">
        <f>IF(B$17=0,0,G4/B$17)</f>
        <v>0.48399999999999999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2838.1578947368421</v>
      </c>
      <c r="P4" s="119">
        <v>76</v>
      </c>
      <c r="Q4" s="103">
        <v>215700</v>
      </c>
    </row>
    <row r="5" spans="1:17" x14ac:dyDescent="0.4">
      <c r="A5" s="55" t="s">
        <v>7</v>
      </c>
      <c r="B5" s="152">
        <f>IF(B$2=0,0,B$4/B$2)</f>
        <v>18.812345679012353</v>
      </c>
      <c r="C5" s="153"/>
      <c r="E5" s="63" t="s">
        <v>181</v>
      </c>
      <c r="F5" s="60" t="s">
        <v>182</v>
      </c>
      <c r="G5" s="47">
        <v>104</v>
      </c>
      <c r="H5" s="133">
        <f>IF(B$17=0,0,G5/B$17)</f>
        <v>0.41599999999999998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2760.8695652173915</v>
      </c>
      <c r="P5" s="119">
        <v>69</v>
      </c>
      <c r="Q5" s="103">
        <v>190500</v>
      </c>
    </row>
    <row r="6" spans="1:17" x14ac:dyDescent="0.4">
      <c r="A6" s="55" t="s">
        <v>1</v>
      </c>
      <c r="B6" s="142">
        <f>IF(B$2=0,0,(B$7*1+B$8*2+B$9*3)/B$2)</f>
        <v>1.617283950617284</v>
      </c>
      <c r="C6" s="143"/>
      <c r="E6" s="63" t="s">
        <v>68</v>
      </c>
      <c r="F6" s="60" t="s">
        <v>24</v>
      </c>
      <c r="G6" s="47">
        <v>80</v>
      </c>
      <c r="H6" s="133">
        <f>IF(B$17=0,0,G6/B$17)</f>
        <v>0.32</v>
      </c>
      <c r="I6" s="94">
        <v>4</v>
      </c>
      <c r="K6" s="38">
        <v>4</v>
      </c>
      <c r="L6" s="99">
        <v>110.5</v>
      </c>
      <c r="N6" s="115" t="s">
        <v>136</v>
      </c>
      <c r="O6" s="122">
        <f t="shared" si="0"/>
        <v>-70.491803278688522</v>
      </c>
      <c r="P6" s="119">
        <v>61</v>
      </c>
      <c r="Q6" s="103">
        <v>-4300</v>
      </c>
    </row>
    <row r="7" spans="1:17" x14ac:dyDescent="0.4">
      <c r="A7" s="55" t="s">
        <v>2</v>
      </c>
      <c r="B7" s="47">
        <v>46</v>
      </c>
      <c r="C7" s="39">
        <f>IF(B$2=0,0,B7/B$2)</f>
        <v>0.5679012345679012</v>
      </c>
      <c r="E7" s="63" t="s">
        <v>69</v>
      </c>
      <c r="F7" s="60" t="s">
        <v>12</v>
      </c>
      <c r="G7" s="47">
        <v>65</v>
      </c>
      <c r="H7" s="133">
        <f>IF(B$17=0,0,G7/B$17)</f>
        <v>0.26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1250.8771929824561</v>
      </c>
      <c r="P7" s="120">
        <v>57</v>
      </c>
      <c r="Q7" s="104">
        <v>71300</v>
      </c>
    </row>
    <row r="8" spans="1:17" x14ac:dyDescent="0.4">
      <c r="A8" s="55" t="s">
        <v>3</v>
      </c>
      <c r="B8" s="47">
        <v>20</v>
      </c>
      <c r="C8" s="39">
        <f>IF(B$2=0,0,B8/B$2)</f>
        <v>0.24691358024691357</v>
      </c>
      <c r="E8" s="63" t="s">
        <v>70</v>
      </c>
      <c r="F8" s="60" t="s">
        <v>25</v>
      </c>
      <c r="G8" s="47">
        <v>46</v>
      </c>
      <c r="H8" s="133">
        <f>IF(B$17=0,0,G8/B$17)</f>
        <v>0.184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0.18518518518518517</v>
      </c>
      <c r="E9" s="63" t="s">
        <v>90</v>
      </c>
      <c r="F9" s="60" t="s">
        <v>45</v>
      </c>
      <c r="G9" s="47">
        <v>44</v>
      </c>
      <c r="H9" s="133">
        <f>IF(B$17=0,0,G9/B$17)</f>
        <v>0.17599999999999999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6.1728395061728392E-2</v>
      </c>
      <c r="E10" s="63" t="s">
        <v>66</v>
      </c>
      <c r="F10" s="60" t="s">
        <v>22</v>
      </c>
      <c r="G10" s="47">
        <v>39</v>
      </c>
      <c r="H10" s="133">
        <f>IF(B$17=0,0,G10/B$17)</f>
        <v>0.156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22.245833333333334</v>
      </c>
      <c r="P10" s="118">
        <v>24</v>
      </c>
      <c r="Q10" s="106">
        <v>533.9</v>
      </c>
    </row>
    <row r="11" spans="1:17" x14ac:dyDescent="0.4">
      <c r="A11" s="56" t="s">
        <v>140</v>
      </c>
      <c r="B11" s="48">
        <v>14</v>
      </c>
      <c r="C11" s="40">
        <f>IF(B$2=0,0,B11/B$2)</f>
        <v>0.1728395061728395</v>
      </c>
      <c r="E11" s="63" t="s">
        <v>71</v>
      </c>
      <c r="F11" s="60" t="s">
        <v>26</v>
      </c>
      <c r="G11" s="47">
        <v>21</v>
      </c>
      <c r="H11" s="133">
        <f>IF(B$17=0,0,G11/B$17)</f>
        <v>8.4000000000000005E-2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13.799999999999999</v>
      </c>
      <c r="P11" s="119">
        <v>24</v>
      </c>
      <c r="Q11" s="107">
        <v>331.2</v>
      </c>
    </row>
    <row r="12" spans="1:17" x14ac:dyDescent="0.4">
      <c r="A12" s="57" t="s">
        <v>160</v>
      </c>
      <c r="B12" s="49">
        <v>16</v>
      </c>
      <c r="C12" s="42">
        <f>IF(B$2=0,0,B12/B$2)</f>
        <v>0.19753086419753085</v>
      </c>
      <c r="E12" s="63" t="s">
        <v>87</v>
      </c>
      <c r="F12" s="60" t="s">
        <v>42</v>
      </c>
      <c r="G12" s="47">
        <v>20</v>
      </c>
      <c r="H12" s="133">
        <f>IF(B$17=0,0,G12/B$17)</f>
        <v>0.08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19.960606060606064</v>
      </c>
      <c r="P12" s="120">
        <v>33</v>
      </c>
      <c r="Q12" s="108">
        <v>658.70000000000016</v>
      </c>
    </row>
    <row r="13" spans="1:17" x14ac:dyDescent="0.4">
      <c r="A13" s="58" t="s">
        <v>122</v>
      </c>
      <c r="B13" s="50">
        <v>215</v>
      </c>
      <c r="C13" s="44">
        <f>IF(B$3=0,0,B13/B$3)</f>
        <v>0.33127889060092452</v>
      </c>
      <c r="E13" s="63" t="s">
        <v>72</v>
      </c>
      <c r="F13" s="60" t="s">
        <v>27</v>
      </c>
      <c r="G13" s="47">
        <v>15</v>
      </c>
      <c r="H13" s="133">
        <f>IF(B$17=0,0,G13/B$17)</f>
        <v>0.06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154</v>
      </c>
      <c r="C14" s="39">
        <f>IF(B$3=0,0,B14/B$3)</f>
        <v>0.23728813559322035</v>
      </c>
      <c r="E14" s="63" t="s">
        <v>84</v>
      </c>
      <c r="F14" s="60" t="s">
        <v>39</v>
      </c>
      <c r="G14" s="47">
        <v>14</v>
      </c>
      <c r="H14" s="133">
        <f>IF(B$17=0,0,G14/B$17)</f>
        <v>5.6000000000000001E-2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131</v>
      </c>
      <c r="C15" s="37">
        <f>IF(B$13=0,0,B15/B$13)</f>
        <v>0.6093023255813953</v>
      </c>
      <c r="E15" s="63" t="s">
        <v>82</v>
      </c>
      <c r="F15" s="60" t="s">
        <v>37</v>
      </c>
      <c r="G15" s="47">
        <v>8</v>
      </c>
      <c r="H15" s="133">
        <f>IF(B$17=0,0,G15/B$17)</f>
        <v>3.2000000000000001E-2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82</v>
      </c>
      <c r="C16" s="37">
        <f>IF(B$14=0,0,B16/B$14)</f>
        <v>0.53246753246753242</v>
      </c>
      <c r="E16" s="63" t="s">
        <v>180</v>
      </c>
      <c r="F16" s="60" t="s">
        <v>183</v>
      </c>
      <c r="G16" s="47">
        <v>8</v>
      </c>
      <c r="H16" s="133">
        <f>IF(B$17=0,0,G16/B$17)</f>
        <v>3.2000000000000001E-2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55.327272727272742</v>
      </c>
      <c r="P16" s="119">
        <v>22</v>
      </c>
      <c r="Q16" s="107">
        <v>1217.2000000000003</v>
      </c>
    </row>
    <row r="17" spans="1:17" x14ac:dyDescent="0.4">
      <c r="A17" s="54" t="s">
        <v>10</v>
      </c>
      <c r="B17" s="46">
        <f>B19+B18</f>
        <v>250</v>
      </c>
      <c r="C17" s="37">
        <f>IF(B$3=0,0,B17/B$3)</f>
        <v>0.38520801232665641</v>
      </c>
      <c r="E17" s="63" t="s">
        <v>79</v>
      </c>
      <c r="F17" s="60" t="s">
        <v>34</v>
      </c>
      <c r="G17" s="47">
        <v>4</v>
      </c>
      <c r="H17" s="133">
        <f>IF(B$17=0,0,G17/B$17)</f>
        <v>1.6E-2</v>
      </c>
      <c r="I17" s="94">
        <v>6</v>
      </c>
      <c r="K17" s="38">
        <v>15</v>
      </c>
      <c r="L17" s="99">
        <v>481.50000000000006</v>
      </c>
      <c r="N17" s="115" t="s">
        <v>177</v>
      </c>
      <c r="O17" s="125">
        <f>IF(P17=0,0,Q17/P17)</f>
        <v>40.06666666666667</v>
      </c>
      <c r="P17" s="119">
        <v>9</v>
      </c>
      <c r="Q17" s="107">
        <v>360.6</v>
      </c>
    </row>
    <row r="18" spans="1:17" x14ac:dyDescent="0.4">
      <c r="A18" s="55" t="s">
        <v>12</v>
      </c>
      <c r="B18" s="47">
        <v>108</v>
      </c>
      <c r="C18" s="39">
        <f>IF(B$17=0,0,B18/B$17)</f>
        <v>0.432</v>
      </c>
      <c r="E18" s="63" t="s">
        <v>92</v>
      </c>
      <c r="F18" s="60" t="s">
        <v>47</v>
      </c>
      <c r="G18" s="47">
        <v>4</v>
      </c>
      <c r="H18" s="133">
        <f>IF(B$17=0,0,G18/B$17)</f>
        <v>1.6E-2</v>
      </c>
      <c r="I18" s="94">
        <v>5</v>
      </c>
      <c r="K18" s="38">
        <v>16</v>
      </c>
      <c r="L18" s="99">
        <v>425.50000000000006</v>
      </c>
      <c r="N18" s="115" t="s">
        <v>172</v>
      </c>
      <c r="O18" s="125">
        <f>IF(P18=0,0,Q18/P18)</f>
        <v>31.768421052631584</v>
      </c>
      <c r="P18" s="119">
        <v>19</v>
      </c>
      <c r="Q18" s="107">
        <v>603.60000000000014</v>
      </c>
    </row>
    <row r="19" spans="1:17" x14ac:dyDescent="0.4">
      <c r="A19" s="55" t="s">
        <v>11</v>
      </c>
      <c r="B19" s="47">
        <v>142</v>
      </c>
      <c r="C19" s="39">
        <f>IF(B$17=0,0,B19/B$17)</f>
        <v>0.56799999999999995</v>
      </c>
      <c r="E19" s="63" t="s">
        <v>74</v>
      </c>
      <c r="F19" s="60" t="s">
        <v>29</v>
      </c>
      <c r="G19" s="47">
        <v>2</v>
      </c>
      <c r="H19" s="133">
        <f>IF(B$17=0,0,G19/B$17)</f>
        <v>8.0000000000000002E-3</v>
      </c>
      <c r="I19" s="94">
        <v>3</v>
      </c>
      <c r="K19" s="38">
        <v>17</v>
      </c>
      <c r="L19" s="99">
        <v>427.40000000000003</v>
      </c>
      <c r="N19" s="115" t="s">
        <v>186</v>
      </c>
      <c r="O19" s="125">
        <f>IF(P19=0,0,Q19/P19)</f>
        <v>28.879999999999995</v>
      </c>
      <c r="P19" s="119">
        <v>5</v>
      </c>
      <c r="Q19" s="107">
        <v>144.39999999999998</v>
      </c>
    </row>
    <row r="20" spans="1:17" x14ac:dyDescent="0.4">
      <c r="A20" s="55" t="s">
        <v>13</v>
      </c>
      <c r="B20" s="47">
        <v>102</v>
      </c>
      <c r="C20" s="39">
        <f>IF(B$3=0,0,B20/B$3)</f>
        <v>0.15716486902927582</v>
      </c>
      <c r="E20" s="63" t="s">
        <v>80</v>
      </c>
      <c r="F20" s="60" t="s">
        <v>35</v>
      </c>
      <c r="G20" s="47">
        <v>2</v>
      </c>
      <c r="H20" s="133">
        <f>IF(B$17=0,0,G20/B$17)</f>
        <v>8.0000000000000002E-3</v>
      </c>
      <c r="I20" s="94">
        <v>6</v>
      </c>
      <c r="K20" s="38">
        <v>18</v>
      </c>
      <c r="L20" s="99">
        <v>429.3</v>
      </c>
      <c r="N20" s="115" t="s">
        <v>173</v>
      </c>
      <c r="O20" s="125">
        <f>IF(P20=0,0,Q20/P20)</f>
        <v>26.206666666666663</v>
      </c>
      <c r="P20" s="119">
        <v>15</v>
      </c>
      <c r="Q20" s="107">
        <v>393.09999999999997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4.0000000000000001E-3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16</v>
      </c>
      <c r="E22" s="63" t="s">
        <v>78</v>
      </c>
      <c r="F22" s="60" t="s">
        <v>33</v>
      </c>
      <c r="G22" s="47">
        <v>1</v>
      </c>
      <c r="H22" s="133">
        <f>IF(B$17=0,0,G22/B$17)</f>
        <v>4.0000000000000001E-3</v>
      </c>
      <c r="I22" s="94">
        <v>2</v>
      </c>
      <c r="K22" s="38">
        <v>20</v>
      </c>
      <c r="L22" s="99">
        <v>469.6</v>
      </c>
      <c r="N22" s="115" t="s">
        <v>171</v>
      </c>
      <c r="O22" s="125">
        <f>IF(P22=0,0,Q22/P22)</f>
        <v>20.638461538461531</v>
      </c>
      <c r="P22" s="119">
        <v>26</v>
      </c>
      <c r="Q22" s="107">
        <v>536.5999999999998</v>
      </c>
    </row>
    <row r="23" spans="1:17" x14ac:dyDescent="0.4">
      <c r="A23" s="55" t="s">
        <v>5</v>
      </c>
      <c r="B23" s="51">
        <f>IF(B$17=0,0,C23/B$17)</f>
        <v>9252.7999999999993</v>
      </c>
      <c r="C23" s="41">
        <v>2313200</v>
      </c>
      <c r="E23" s="63" t="s">
        <v>88</v>
      </c>
      <c r="F23" s="60" t="s">
        <v>43</v>
      </c>
      <c r="G23" s="47">
        <v>1</v>
      </c>
      <c r="H23" s="133">
        <f>IF(B$17=0,0,G23/B$17)</f>
        <v>4.0000000000000001E-3</v>
      </c>
      <c r="I23" s="94">
        <v>2</v>
      </c>
      <c r="K23" s="38">
        <v>21</v>
      </c>
      <c r="L23" s="99">
        <v>468.3</v>
      </c>
      <c r="N23" s="115" t="s">
        <v>128</v>
      </c>
      <c r="O23" s="125">
        <f>IF(P23=0,0,Q23/P23)</f>
        <v>19.103125000000006</v>
      </c>
      <c r="P23" s="119">
        <v>64</v>
      </c>
      <c r="Q23" s="107">
        <v>1222.6000000000004</v>
      </c>
    </row>
    <row r="24" spans="1:17" x14ac:dyDescent="0.4">
      <c r="A24" s="57" t="s">
        <v>14</v>
      </c>
      <c r="B24" s="52">
        <f>IF(B$20=0,0,C24/B$20)</f>
        <v>-7916.666666666667</v>
      </c>
      <c r="C24" s="45">
        <v>-807500</v>
      </c>
      <c r="E24" s="63" t="s">
        <v>91</v>
      </c>
      <c r="F24" s="60" t="s">
        <v>46</v>
      </c>
      <c r="G24" s="47">
        <v>1</v>
      </c>
      <c r="H24" s="133">
        <f>IF(B$17=0,0,G24/B$17)</f>
        <v>4.0000000000000001E-3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4.0000000000000001E-3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4.0000000000000001E-3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4.0000000000000001E-3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F9E9E-D8D9-485E-8B7C-543D853FB32F}">
  <sheetPr codeName="Sheet9"/>
  <dimension ref="A1:Q8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85</v>
      </c>
      <c r="C2" s="147"/>
      <c r="E2" s="62" t="s">
        <v>67</v>
      </c>
      <c r="F2" s="59" t="s">
        <v>23</v>
      </c>
      <c r="G2" s="46">
        <v>152</v>
      </c>
      <c r="H2" s="132">
        <f>IF(B$17=0,0,G2/B$17)</f>
        <v>0.73786407766990292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1209.4117647058824</v>
      </c>
      <c r="P2" s="118">
        <v>85</v>
      </c>
      <c r="Q2" s="102">
        <v>102800</v>
      </c>
    </row>
    <row r="3" spans="1:17" x14ac:dyDescent="0.4">
      <c r="A3" s="55" t="s">
        <v>8</v>
      </c>
      <c r="B3" s="148">
        <v>710</v>
      </c>
      <c r="C3" s="149"/>
      <c r="E3" s="63" t="s">
        <v>65</v>
      </c>
      <c r="F3" s="60" t="s">
        <v>21</v>
      </c>
      <c r="G3" s="47">
        <v>120</v>
      </c>
      <c r="H3" s="133">
        <f>IF(B$17=0,0,G3/B$17)</f>
        <v>0.58252427184466016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-1908.3333333333333</v>
      </c>
      <c r="P3" s="119">
        <v>84</v>
      </c>
      <c r="Q3" s="103">
        <v>-160300</v>
      </c>
    </row>
    <row r="4" spans="1:17" x14ac:dyDescent="0.4">
      <c r="A4" s="55" t="s">
        <v>6</v>
      </c>
      <c r="B4" s="150">
        <v>-90.30000000000004</v>
      </c>
      <c r="C4" s="151"/>
      <c r="E4" s="63" t="s">
        <v>73</v>
      </c>
      <c r="F4" s="60" t="s">
        <v>28</v>
      </c>
      <c r="G4" s="47">
        <v>98</v>
      </c>
      <c r="H4" s="133">
        <f>IF(B$17=0,0,G4/B$17)</f>
        <v>0.47572815533980584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-1046.9135802469136</v>
      </c>
      <c r="P4" s="119">
        <v>81</v>
      </c>
      <c r="Q4" s="103">
        <v>-84800</v>
      </c>
    </row>
    <row r="5" spans="1:17" x14ac:dyDescent="0.4">
      <c r="A5" s="55" t="s">
        <v>7</v>
      </c>
      <c r="B5" s="152">
        <f>IF(B$2=0,0,B$4/B$2)</f>
        <v>-1.0623529411764712</v>
      </c>
      <c r="C5" s="153"/>
      <c r="E5" s="63" t="s">
        <v>181</v>
      </c>
      <c r="F5" s="60" t="s">
        <v>182</v>
      </c>
      <c r="G5" s="47">
        <v>90</v>
      </c>
      <c r="H5" s="133">
        <f>IF(B$17=0,0,G5/B$17)</f>
        <v>0.43689320388349512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1076</v>
      </c>
      <c r="P5" s="119">
        <v>75</v>
      </c>
      <c r="Q5" s="103">
        <v>80700</v>
      </c>
    </row>
    <row r="6" spans="1:17" x14ac:dyDescent="0.4">
      <c r="A6" s="55" t="s">
        <v>1</v>
      </c>
      <c r="B6" s="142">
        <f>IF(B$2=0,0,(B$7*1+B$8*2+B$9*3)/B$2)</f>
        <v>2.0470588235294116</v>
      </c>
      <c r="C6" s="143"/>
      <c r="E6" s="63" t="s">
        <v>68</v>
      </c>
      <c r="F6" s="60" t="s">
        <v>24</v>
      </c>
      <c r="G6" s="47">
        <v>70</v>
      </c>
      <c r="H6" s="133">
        <f>IF(B$17=0,0,G6/B$17)</f>
        <v>0.33980582524271846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0"/>
        <v>483.8235294117647</v>
      </c>
      <c r="P6" s="119">
        <v>68</v>
      </c>
      <c r="Q6" s="103">
        <v>32900</v>
      </c>
    </row>
    <row r="7" spans="1:17" x14ac:dyDescent="0.4">
      <c r="A7" s="55" t="s">
        <v>2</v>
      </c>
      <c r="B7" s="47">
        <v>23</v>
      </c>
      <c r="C7" s="39">
        <f>IF(B$2=0,0,B7/B$2)</f>
        <v>0.27058823529411763</v>
      </c>
      <c r="E7" s="63" t="s">
        <v>69</v>
      </c>
      <c r="F7" s="60" t="s">
        <v>12</v>
      </c>
      <c r="G7" s="47">
        <v>67</v>
      </c>
      <c r="H7" s="133">
        <f>IF(B$17=0,0,G7/B$17)</f>
        <v>0.32524271844660196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287.5</v>
      </c>
      <c r="P7" s="120">
        <v>64</v>
      </c>
      <c r="Q7" s="104">
        <v>18400</v>
      </c>
    </row>
    <row r="8" spans="1:17" x14ac:dyDescent="0.4">
      <c r="A8" s="55" t="s">
        <v>3</v>
      </c>
      <c r="B8" s="47">
        <v>35</v>
      </c>
      <c r="C8" s="39">
        <f>IF(B$2=0,0,B8/B$2)</f>
        <v>0.41176470588235292</v>
      </c>
      <c r="E8" s="63" t="s">
        <v>70</v>
      </c>
      <c r="F8" s="60" t="s">
        <v>25</v>
      </c>
      <c r="G8" s="47">
        <v>44</v>
      </c>
      <c r="H8" s="133">
        <f>IF(B$17=0,0,G8/B$17)</f>
        <v>0.21359223300970873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0.31764705882352939</v>
      </c>
      <c r="E9" s="63" t="s">
        <v>66</v>
      </c>
      <c r="F9" s="60" t="s">
        <v>22</v>
      </c>
      <c r="G9" s="47">
        <v>36</v>
      </c>
      <c r="H9" s="133">
        <f>IF(B$17=0,0,G9/B$17)</f>
        <v>0.17475728155339806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0.10588235294117647</v>
      </c>
      <c r="E10" s="63" t="s">
        <v>71</v>
      </c>
      <c r="F10" s="60" t="s">
        <v>26</v>
      </c>
      <c r="G10" s="47">
        <v>26</v>
      </c>
      <c r="H10" s="133">
        <f>IF(B$17=0,0,G10/B$17)</f>
        <v>0.12621359223300971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9.0909090909090426E-2</v>
      </c>
      <c r="P10" s="118">
        <v>44</v>
      </c>
      <c r="Q10" s="106">
        <v>3.9999999999999787</v>
      </c>
    </row>
    <row r="11" spans="1:17" x14ac:dyDescent="0.4">
      <c r="A11" s="56" t="s">
        <v>140</v>
      </c>
      <c r="B11" s="48">
        <v>7</v>
      </c>
      <c r="C11" s="40">
        <f>IF(B$2=0,0,B11/B$2)</f>
        <v>8.2352941176470587E-2</v>
      </c>
      <c r="E11" s="63" t="s">
        <v>90</v>
      </c>
      <c r="F11" s="60" t="s">
        <v>45</v>
      </c>
      <c r="G11" s="47">
        <v>20</v>
      </c>
      <c r="H11" s="133">
        <f>IF(B$17=0,0,G11/B$17)</f>
        <v>9.7087378640776698E-2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-6.9380952380952365</v>
      </c>
      <c r="P11" s="119">
        <v>21</v>
      </c>
      <c r="Q11" s="107">
        <v>-145.69999999999996</v>
      </c>
    </row>
    <row r="12" spans="1:17" x14ac:dyDescent="0.4">
      <c r="A12" s="57" t="s">
        <v>160</v>
      </c>
      <c r="B12" s="49">
        <v>6</v>
      </c>
      <c r="C12" s="42">
        <f>IF(B$2=0,0,B12/B$2)</f>
        <v>7.0588235294117646E-2</v>
      </c>
      <c r="E12" s="63" t="s">
        <v>87</v>
      </c>
      <c r="F12" s="60" t="s">
        <v>42</v>
      </c>
      <c r="G12" s="47">
        <v>11</v>
      </c>
      <c r="H12" s="133">
        <f>IF(B$17=0,0,G12/B$17)</f>
        <v>5.3398058252427182E-2</v>
      </c>
      <c r="I12" s="94">
        <v>7</v>
      </c>
      <c r="K12" s="38">
        <v>10</v>
      </c>
      <c r="L12" s="99">
        <v>-80.900000000000006</v>
      </c>
      <c r="N12" s="116" t="s">
        <v>166</v>
      </c>
      <c r="O12" s="126">
        <f>IF(P12=0,0,Q12/P12)</f>
        <v>2.5699999999999994</v>
      </c>
      <c r="P12" s="120">
        <v>20</v>
      </c>
      <c r="Q12" s="108">
        <v>51.399999999999991</v>
      </c>
    </row>
    <row r="13" spans="1:17" x14ac:dyDescent="0.4">
      <c r="A13" s="58" t="s">
        <v>122</v>
      </c>
      <c r="B13" s="50">
        <v>201</v>
      </c>
      <c r="C13" s="44">
        <f>IF(B$3=0,0,B13/B$3)</f>
        <v>0.28309859154929579</v>
      </c>
      <c r="E13" s="63" t="s">
        <v>72</v>
      </c>
      <c r="F13" s="60" t="s">
        <v>27</v>
      </c>
      <c r="G13" s="47">
        <v>10</v>
      </c>
      <c r="H13" s="133">
        <f>IF(B$17=0,0,G13/B$17)</f>
        <v>4.8543689320388349E-2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139</v>
      </c>
      <c r="C14" s="39">
        <f>IF(B$3=0,0,B14/B$3)</f>
        <v>0.19577464788732393</v>
      </c>
      <c r="E14" s="63" t="s">
        <v>82</v>
      </c>
      <c r="F14" s="60" t="s">
        <v>37</v>
      </c>
      <c r="G14" s="47">
        <v>8</v>
      </c>
      <c r="H14" s="133">
        <f>IF(B$17=0,0,G14/B$17)</f>
        <v>3.8834951456310676E-2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128</v>
      </c>
      <c r="C15" s="37">
        <f>IF(B$13=0,0,B15/B$13)</f>
        <v>0.63681592039800994</v>
      </c>
      <c r="E15" s="63" t="s">
        <v>84</v>
      </c>
      <c r="F15" s="60" t="s">
        <v>39</v>
      </c>
      <c r="G15" s="47">
        <v>6</v>
      </c>
      <c r="H15" s="133">
        <f>IF(B$17=0,0,G15/B$17)</f>
        <v>2.9126213592233011E-2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39.480000000000004</v>
      </c>
      <c r="P15" s="118">
        <v>5</v>
      </c>
      <c r="Q15" s="106">
        <v>197.40000000000003</v>
      </c>
    </row>
    <row r="16" spans="1:17" x14ac:dyDescent="0.4">
      <c r="A16" s="54" t="s">
        <v>125</v>
      </c>
      <c r="B16" s="46">
        <v>40</v>
      </c>
      <c r="C16" s="37">
        <f>IF(B$14=0,0,B16/B$14)</f>
        <v>0.28776978417266186</v>
      </c>
      <c r="E16" s="63" t="s">
        <v>92</v>
      </c>
      <c r="F16" s="60" t="s">
        <v>47</v>
      </c>
      <c r="G16" s="47">
        <v>6</v>
      </c>
      <c r="H16" s="133">
        <f>IF(B$17=0,0,G16/B$17)</f>
        <v>2.9126213592233011E-2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18.034782608695647</v>
      </c>
      <c r="P16" s="119">
        <v>23</v>
      </c>
      <c r="Q16" s="107">
        <v>414.7999999999999</v>
      </c>
    </row>
    <row r="17" spans="1:17" x14ac:dyDescent="0.4">
      <c r="A17" s="54" t="s">
        <v>10</v>
      </c>
      <c r="B17" s="46">
        <f>B19+B18</f>
        <v>206</v>
      </c>
      <c r="C17" s="37">
        <f>IF(B$3=0,0,B17/B$3)</f>
        <v>0.29014084507042254</v>
      </c>
      <c r="E17" s="63" t="s">
        <v>80</v>
      </c>
      <c r="F17" s="60" t="s">
        <v>35</v>
      </c>
      <c r="G17" s="47">
        <v>4</v>
      </c>
      <c r="H17" s="133">
        <f>IF(B$17=0,0,G17/B$17)</f>
        <v>1.9417475728155338E-2</v>
      </c>
      <c r="I17" s="94">
        <v>2</v>
      </c>
      <c r="K17" s="38">
        <v>15</v>
      </c>
      <c r="L17" s="99">
        <v>47.999999999999986</v>
      </c>
      <c r="N17" s="115" t="s">
        <v>177</v>
      </c>
      <c r="O17" s="125">
        <f>IF(P17=0,0,Q17/P17)</f>
        <v>10.178571428571429</v>
      </c>
      <c r="P17" s="119">
        <v>14</v>
      </c>
      <c r="Q17" s="107">
        <v>142.5</v>
      </c>
    </row>
    <row r="18" spans="1:17" x14ac:dyDescent="0.4">
      <c r="A18" s="55" t="s">
        <v>12</v>
      </c>
      <c r="B18" s="47">
        <v>85</v>
      </c>
      <c r="C18" s="39">
        <f>IF(B$17=0,0,B18/B$17)</f>
        <v>0.41262135922330095</v>
      </c>
      <c r="E18" s="63" t="s">
        <v>180</v>
      </c>
      <c r="F18" s="60" t="s">
        <v>183</v>
      </c>
      <c r="G18" s="47">
        <v>4</v>
      </c>
      <c r="H18" s="133">
        <f>IF(B$17=0,0,G18/B$17)</f>
        <v>1.9417475728155338E-2</v>
      </c>
      <c r="I18" s="94">
        <v>3</v>
      </c>
      <c r="K18" s="38">
        <v>16</v>
      </c>
      <c r="L18" s="99">
        <v>41.699999999999989</v>
      </c>
      <c r="N18" s="115" t="s">
        <v>171</v>
      </c>
      <c r="O18" s="125">
        <f>IF(P18=0,0,Q18/P18)</f>
        <v>7.2772727272727362</v>
      </c>
      <c r="P18" s="119">
        <v>22</v>
      </c>
      <c r="Q18" s="107">
        <v>160.10000000000019</v>
      </c>
    </row>
    <row r="19" spans="1:17" x14ac:dyDescent="0.4">
      <c r="A19" s="55" t="s">
        <v>11</v>
      </c>
      <c r="B19" s="47">
        <v>121</v>
      </c>
      <c r="C19" s="39">
        <f>IF(B$17=0,0,B19/B$17)</f>
        <v>0.58737864077669899</v>
      </c>
      <c r="E19" s="63" t="s">
        <v>75</v>
      </c>
      <c r="F19" s="60" t="s">
        <v>30</v>
      </c>
      <c r="G19" s="47">
        <v>2</v>
      </c>
      <c r="H19" s="133">
        <f>IF(B$17=0,0,G19/B$17)</f>
        <v>9.7087378640776691E-3</v>
      </c>
      <c r="I19" s="94">
        <v>1</v>
      </c>
      <c r="K19" s="38">
        <v>17</v>
      </c>
      <c r="L19" s="99">
        <v>94.6</v>
      </c>
      <c r="N19" s="115" t="s">
        <v>172</v>
      </c>
      <c r="O19" s="125">
        <f>IF(P19=0,0,Q19/P19)</f>
        <v>4.9727272727272727</v>
      </c>
      <c r="P19" s="119">
        <v>22</v>
      </c>
      <c r="Q19" s="107">
        <v>109.39999999999999</v>
      </c>
    </row>
    <row r="20" spans="1:17" x14ac:dyDescent="0.4">
      <c r="A20" s="55" t="s">
        <v>13</v>
      </c>
      <c r="B20" s="47">
        <v>117</v>
      </c>
      <c r="C20" s="39">
        <f>IF(B$3=0,0,B20/B$3)</f>
        <v>0.1647887323943662</v>
      </c>
      <c r="E20" s="63" t="s">
        <v>76</v>
      </c>
      <c r="F20" s="60" t="s">
        <v>31</v>
      </c>
      <c r="G20" s="47">
        <v>2</v>
      </c>
      <c r="H20" s="133">
        <f>IF(B$17=0,0,G20/B$17)</f>
        <v>9.7087378640776691E-3</v>
      </c>
      <c r="I20" s="94">
        <v>4</v>
      </c>
      <c r="K20" s="38">
        <v>18</v>
      </c>
      <c r="L20" s="99">
        <v>116.69999999999999</v>
      </c>
      <c r="N20" s="115" t="s">
        <v>173</v>
      </c>
      <c r="O20" s="125">
        <f>IF(P20=0,0,Q20/P20)</f>
        <v>-3.6750000000000007</v>
      </c>
      <c r="P20" s="119">
        <v>20</v>
      </c>
      <c r="Q20" s="107">
        <v>-73.500000000000014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9.7087378640776691E-3</v>
      </c>
      <c r="I21" s="94">
        <v>8</v>
      </c>
      <c r="K21" s="38">
        <v>19</v>
      </c>
      <c r="L21" s="99">
        <v>138.79999999999998</v>
      </c>
      <c r="N21" s="115" t="s">
        <v>127</v>
      </c>
      <c r="O21" s="125">
        <f>IF(P21=0,0,Q21/P21)</f>
        <v>-19.103125000000006</v>
      </c>
      <c r="P21" s="119">
        <v>64</v>
      </c>
      <c r="Q21" s="107">
        <v>-1222.6000000000004</v>
      </c>
    </row>
    <row r="22" spans="1:17" x14ac:dyDescent="0.4">
      <c r="A22" s="55" t="s">
        <v>194</v>
      </c>
      <c r="B22" s="47">
        <v>24</v>
      </c>
      <c r="C22" s="135">
        <v>3</v>
      </c>
      <c r="E22" s="63" t="s">
        <v>74</v>
      </c>
      <c r="F22" s="60" t="s">
        <v>29</v>
      </c>
      <c r="G22" s="47">
        <v>1</v>
      </c>
      <c r="H22" s="133">
        <f>IF(B$17=0,0,G22/B$17)</f>
        <v>4.8543689320388345E-3</v>
      </c>
      <c r="I22" s="94">
        <v>5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9119.9029126213591</v>
      </c>
      <c r="C23" s="41">
        <v>1878700</v>
      </c>
      <c r="E23" s="63" t="s">
        <v>78</v>
      </c>
      <c r="F23" s="60" t="s">
        <v>33</v>
      </c>
      <c r="G23" s="47">
        <v>1</v>
      </c>
      <c r="H23" s="133">
        <f>IF(B$17=0,0,G23/B$17)</f>
        <v>4.8543689320388345E-3</v>
      </c>
      <c r="I23" s="94">
        <v>1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-7517.0940170940175</v>
      </c>
      <c r="C24" s="45">
        <v>-879500</v>
      </c>
      <c r="E24" s="63" t="s">
        <v>85</v>
      </c>
      <c r="F24" s="60" t="s">
        <v>40</v>
      </c>
      <c r="G24" s="47">
        <v>1</v>
      </c>
      <c r="H24" s="133">
        <f>IF(B$17=0,0,G24/B$17)</f>
        <v>4.8543689320388345E-3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4.8543689320388345E-3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4.8543689320388345E-3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7.0422535211267607E-3</v>
      </c>
      <c r="E27" s="63" t="s">
        <v>94</v>
      </c>
      <c r="F27" s="60" t="s">
        <v>49</v>
      </c>
      <c r="G27" s="47">
        <v>1</v>
      </c>
      <c r="H27" s="133">
        <f>IF(B$17=0,0,G27/B$17)</f>
        <v>4.8543689320388345E-3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EDFC-70C8-4760-807C-0725ED95ED50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33</v>
      </c>
      <c r="C2" s="147"/>
      <c r="E2" s="62" t="s">
        <v>67</v>
      </c>
      <c r="F2" s="59" t="s">
        <v>23</v>
      </c>
      <c r="G2" s="46">
        <v>47</v>
      </c>
      <c r="H2" s="132">
        <f>IF(B$17=0,0,G2/B$17)</f>
        <v>0.87037037037037035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-2654.5454545454545</v>
      </c>
      <c r="P2" s="118">
        <v>33</v>
      </c>
      <c r="Q2" s="102">
        <v>-87600</v>
      </c>
    </row>
    <row r="3" spans="1:17" x14ac:dyDescent="0.4">
      <c r="A3" s="55" t="s">
        <v>8</v>
      </c>
      <c r="B3" s="148">
        <v>274</v>
      </c>
      <c r="C3" s="149"/>
      <c r="E3" s="63" t="s">
        <v>65</v>
      </c>
      <c r="F3" s="60" t="s">
        <v>21</v>
      </c>
      <c r="G3" s="47">
        <v>30</v>
      </c>
      <c r="H3" s="133">
        <f>IF(B$17=0,0,G3/B$17)</f>
        <v>0.55555555555555558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-3975.757575757576</v>
      </c>
      <c r="P3" s="119">
        <v>33</v>
      </c>
      <c r="Q3" s="103">
        <v>-131200</v>
      </c>
    </row>
    <row r="4" spans="1:17" x14ac:dyDescent="0.4">
      <c r="A4" s="55" t="s">
        <v>6</v>
      </c>
      <c r="B4" s="150">
        <v>-877.19999999999993</v>
      </c>
      <c r="C4" s="151"/>
      <c r="E4" s="63" t="s">
        <v>69</v>
      </c>
      <c r="F4" s="60" t="s">
        <v>12</v>
      </c>
      <c r="G4" s="47">
        <v>23</v>
      </c>
      <c r="H4" s="133">
        <f>IF(B$17=0,0,G4/B$17)</f>
        <v>0.42592592592592593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-3220</v>
      </c>
      <c r="P4" s="119">
        <v>30</v>
      </c>
      <c r="Q4" s="103">
        <v>-96600</v>
      </c>
    </row>
    <row r="5" spans="1:17" x14ac:dyDescent="0.4">
      <c r="A5" s="55" t="s">
        <v>7</v>
      </c>
      <c r="B5" s="152">
        <f>IF(B$2=0,0,B$4/B$2)</f>
        <v>-26.581818181818178</v>
      </c>
      <c r="C5" s="153"/>
      <c r="E5" s="63" t="s">
        <v>181</v>
      </c>
      <c r="F5" s="60" t="s">
        <v>182</v>
      </c>
      <c r="G5" s="47">
        <v>21</v>
      </c>
      <c r="H5" s="133">
        <f>IF(B$17=0,0,G5/B$17)</f>
        <v>0.3888888888888889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-6907.4074074074078</v>
      </c>
      <c r="P5" s="119">
        <v>27</v>
      </c>
      <c r="Q5" s="103">
        <v>-186500</v>
      </c>
    </row>
    <row r="6" spans="1:17" x14ac:dyDescent="0.4">
      <c r="A6" s="55" t="s">
        <v>1</v>
      </c>
      <c r="B6" s="142">
        <f>IF(B$2=0,0,(B$7*1+B$8*2+B$9*3)/B$2)</f>
        <v>2.4545454545454546</v>
      </c>
      <c r="C6" s="143"/>
      <c r="E6" s="63" t="s">
        <v>73</v>
      </c>
      <c r="F6" s="60" t="s">
        <v>28</v>
      </c>
      <c r="G6" s="47">
        <v>18</v>
      </c>
      <c r="H6" s="133">
        <f>IF(B$17=0,0,G6/B$17)</f>
        <v>0.33333333333333331</v>
      </c>
      <c r="I6" s="94">
        <v>11</v>
      </c>
      <c r="K6" s="38">
        <v>4</v>
      </c>
      <c r="L6" s="99">
        <v>-31.4</v>
      </c>
      <c r="N6" s="115" t="s">
        <v>136</v>
      </c>
      <c r="O6" s="122">
        <f t="shared" si="0"/>
        <v>-1087.5</v>
      </c>
      <c r="P6" s="119">
        <v>24</v>
      </c>
      <c r="Q6" s="103">
        <v>-26100</v>
      </c>
    </row>
    <row r="7" spans="1:17" x14ac:dyDescent="0.4">
      <c r="A7" s="55" t="s">
        <v>2</v>
      </c>
      <c r="B7" s="47">
        <v>5</v>
      </c>
      <c r="C7" s="39">
        <f>IF(B$2=0,0,B7/B$2)</f>
        <v>0.15151515151515152</v>
      </c>
      <c r="E7" s="63" t="s">
        <v>68</v>
      </c>
      <c r="F7" s="60" t="s">
        <v>24</v>
      </c>
      <c r="G7" s="47">
        <v>17</v>
      </c>
      <c r="H7" s="133">
        <f>IF(B$17=0,0,G7/B$17)</f>
        <v>0.31481481481481483</v>
      </c>
      <c r="I7" s="94">
        <v>5</v>
      </c>
      <c r="K7" s="38">
        <v>5</v>
      </c>
      <c r="L7" s="99">
        <v>-32.199999999999996</v>
      </c>
      <c r="N7" s="116" t="s">
        <v>137</v>
      </c>
      <c r="O7" s="123">
        <f t="shared" si="0"/>
        <v>-1377.2727272727273</v>
      </c>
      <c r="P7" s="120">
        <v>22</v>
      </c>
      <c r="Q7" s="104">
        <v>-30300</v>
      </c>
    </row>
    <row r="8" spans="1:17" x14ac:dyDescent="0.4">
      <c r="A8" s="55" t="s">
        <v>3</v>
      </c>
      <c r="B8" s="47">
        <v>8</v>
      </c>
      <c r="C8" s="39">
        <f>IF(B$2=0,0,B8/B$2)</f>
        <v>0.24242424242424243</v>
      </c>
      <c r="E8" s="63" t="s">
        <v>70</v>
      </c>
      <c r="F8" s="60" t="s">
        <v>25</v>
      </c>
      <c r="G8" s="47">
        <v>13</v>
      </c>
      <c r="H8" s="133">
        <f>IF(B$17=0,0,G8/B$17)</f>
        <v>0.24074074074074073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0.60606060606060608</v>
      </c>
      <c r="E9" s="63" t="s">
        <v>71</v>
      </c>
      <c r="F9" s="60" t="s">
        <v>26</v>
      </c>
      <c r="G9" s="47">
        <v>10</v>
      </c>
      <c r="H9" s="133">
        <f>IF(B$17=0,0,G9/B$17)</f>
        <v>0.18518518518518517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0.24242424242424243</v>
      </c>
      <c r="E10" s="63" t="s">
        <v>72</v>
      </c>
      <c r="F10" s="60" t="s">
        <v>27</v>
      </c>
      <c r="G10" s="47">
        <v>5</v>
      </c>
      <c r="H10" s="133">
        <f>IF(B$17=0,0,G10/B$17)</f>
        <v>9.2592592592592587E-2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-27.736363636363635</v>
      </c>
      <c r="P10" s="118">
        <v>11</v>
      </c>
      <c r="Q10" s="106">
        <v>-305.09999999999997</v>
      </c>
    </row>
    <row r="11" spans="1:17" x14ac:dyDescent="0.4">
      <c r="A11" s="56" t="s">
        <v>140</v>
      </c>
      <c r="B11" s="48">
        <v>1</v>
      </c>
      <c r="C11" s="40">
        <f>IF(B$2=0,0,B11/B$2)</f>
        <v>3.0303030303030304E-2</v>
      </c>
      <c r="E11" s="63" t="s">
        <v>90</v>
      </c>
      <c r="F11" s="60" t="s">
        <v>45</v>
      </c>
      <c r="G11" s="47">
        <v>5</v>
      </c>
      <c r="H11" s="133">
        <f>IF(B$17=0,0,G11/B$17)</f>
        <v>9.2592592592592587E-2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-19.957142857142859</v>
      </c>
      <c r="P11" s="119">
        <v>14</v>
      </c>
      <c r="Q11" s="107">
        <v>-279.40000000000003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66</v>
      </c>
      <c r="F12" s="60" t="s">
        <v>22</v>
      </c>
      <c r="G12" s="47">
        <v>4</v>
      </c>
      <c r="H12" s="133">
        <f>IF(B$17=0,0,G12/B$17)</f>
        <v>7.407407407407407E-2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-36.587499999999999</v>
      </c>
      <c r="P12" s="120">
        <v>8</v>
      </c>
      <c r="Q12" s="108">
        <v>-292.7</v>
      </c>
    </row>
    <row r="13" spans="1:17" x14ac:dyDescent="0.4">
      <c r="A13" s="58" t="s">
        <v>122</v>
      </c>
      <c r="B13" s="50">
        <v>66</v>
      </c>
      <c r="C13" s="44">
        <f>IF(B$3=0,0,B13/B$3)</f>
        <v>0.24087591240875914</v>
      </c>
      <c r="E13" s="63" t="s">
        <v>87</v>
      </c>
      <c r="F13" s="60" t="s">
        <v>42</v>
      </c>
      <c r="G13" s="47">
        <v>2</v>
      </c>
      <c r="H13" s="133">
        <f>IF(B$17=0,0,G13/B$17)</f>
        <v>3.7037037037037035E-2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40</v>
      </c>
      <c r="C14" s="39">
        <f>IF(B$3=0,0,B14/B$3)</f>
        <v>0.145985401459854</v>
      </c>
      <c r="E14" s="63" t="s">
        <v>79</v>
      </c>
      <c r="F14" s="60" t="s">
        <v>34</v>
      </c>
      <c r="G14" s="47">
        <v>1</v>
      </c>
      <c r="H14" s="133">
        <f>IF(B$17=0,0,G14/B$17)</f>
        <v>1.8518518518518517E-2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31</v>
      </c>
      <c r="C15" s="37">
        <f>IF(B$13=0,0,B15/B$13)</f>
        <v>0.46969696969696972</v>
      </c>
      <c r="E15" s="63" t="s">
        <v>82</v>
      </c>
      <c r="F15" s="60" t="s">
        <v>37</v>
      </c>
      <c r="G15" s="47">
        <v>1</v>
      </c>
      <c r="H15" s="133">
        <f>IF(B$17=0,0,G15/B$17)</f>
        <v>1.8518518518518517E-2</v>
      </c>
      <c r="I15" s="94">
        <v>8</v>
      </c>
      <c r="K15" s="38">
        <v>13</v>
      </c>
      <c r="L15" s="99">
        <v>-369.1</v>
      </c>
      <c r="N15" s="114" t="s">
        <v>177</v>
      </c>
      <c r="O15" s="124">
        <f>IF(P15=0,0,Q15/P15)</f>
        <v>69.466666666666669</v>
      </c>
      <c r="P15" s="118">
        <v>3</v>
      </c>
      <c r="Q15" s="106">
        <v>208.4</v>
      </c>
    </row>
    <row r="16" spans="1:17" x14ac:dyDescent="0.4">
      <c r="A16" s="54" t="s">
        <v>125</v>
      </c>
      <c r="B16" s="46">
        <v>7</v>
      </c>
      <c r="C16" s="37">
        <f>IF(B$14=0,0,B16/B$14)</f>
        <v>0.17499999999999999</v>
      </c>
      <c r="E16" s="63" t="s">
        <v>84</v>
      </c>
      <c r="F16" s="60" t="s">
        <v>39</v>
      </c>
      <c r="G16" s="47">
        <v>1</v>
      </c>
      <c r="H16" s="133">
        <f>IF(B$17=0,0,G16/B$17)</f>
        <v>1.8518518518518517E-2</v>
      </c>
      <c r="I16" s="94">
        <v>9</v>
      </c>
      <c r="K16" s="38">
        <v>14</v>
      </c>
      <c r="L16" s="99">
        <v>-394.6</v>
      </c>
      <c r="N16" s="115" t="s">
        <v>128</v>
      </c>
      <c r="O16" s="125">
        <f>IF(P16=0,0,Q16/P16)</f>
        <v>-18.034782608695647</v>
      </c>
      <c r="P16" s="119">
        <v>23</v>
      </c>
      <c r="Q16" s="107">
        <v>-414.79999999999984</v>
      </c>
    </row>
    <row r="17" spans="1:17" x14ac:dyDescent="0.4">
      <c r="A17" s="54" t="s">
        <v>10</v>
      </c>
      <c r="B17" s="46">
        <f>B19+B18</f>
        <v>54</v>
      </c>
      <c r="C17" s="37">
        <f>IF(B$3=0,0,B17/B$3)</f>
        <v>0.19708029197080293</v>
      </c>
      <c r="E17" s="63" t="s">
        <v>88</v>
      </c>
      <c r="F17" s="60" t="s">
        <v>43</v>
      </c>
      <c r="G17" s="47">
        <v>1</v>
      </c>
      <c r="H17" s="133">
        <f>IF(B$17=0,0,G17/B$17)</f>
        <v>1.8518518518518517E-2</v>
      </c>
      <c r="I17" s="94">
        <v>1</v>
      </c>
      <c r="K17" s="38">
        <v>15</v>
      </c>
      <c r="L17" s="99">
        <v>-424.5</v>
      </c>
      <c r="N17" s="115" t="s">
        <v>173</v>
      </c>
      <c r="O17" s="125">
        <f>IF(P17=0,0,Q17/P17)</f>
        <v>-28.259999999999998</v>
      </c>
      <c r="P17" s="119">
        <v>5</v>
      </c>
      <c r="Q17" s="107">
        <v>-141.29999999999998</v>
      </c>
    </row>
    <row r="18" spans="1:17" x14ac:dyDescent="0.4">
      <c r="A18" s="55" t="s">
        <v>12</v>
      </c>
      <c r="B18" s="47">
        <v>29</v>
      </c>
      <c r="C18" s="39">
        <f>IF(B$17=0,0,B18/B$17)</f>
        <v>0.53703703703703709</v>
      </c>
      <c r="E18" s="63" t="s">
        <v>89</v>
      </c>
      <c r="F18" s="60" t="s">
        <v>44</v>
      </c>
      <c r="G18" s="47">
        <v>1</v>
      </c>
      <c r="H18" s="133">
        <f>IF(B$17=0,0,G18/B$17)</f>
        <v>1.8518518518518517E-2</v>
      </c>
      <c r="I18" s="94">
        <v>1</v>
      </c>
      <c r="K18" s="38">
        <v>16</v>
      </c>
      <c r="L18" s="99">
        <v>-472</v>
      </c>
      <c r="N18" s="115" t="s">
        <v>127</v>
      </c>
      <c r="O18" s="125">
        <f>IF(P18=0,0,Q18/P18)</f>
        <v>-55.327272727272749</v>
      </c>
      <c r="P18" s="119">
        <v>22</v>
      </c>
      <c r="Q18" s="107">
        <v>-1217.2000000000005</v>
      </c>
    </row>
    <row r="19" spans="1:17" x14ac:dyDescent="0.4">
      <c r="A19" s="55" t="s">
        <v>11</v>
      </c>
      <c r="B19" s="47">
        <v>25</v>
      </c>
      <c r="C19" s="39">
        <f>IF(B$17=0,0,B19/B$17)</f>
        <v>0.46296296296296297</v>
      </c>
      <c r="E19" s="63" t="s">
        <v>94</v>
      </c>
      <c r="F19" s="60" t="s">
        <v>49</v>
      </c>
      <c r="G19" s="47">
        <v>1</v>
      </c>
      <c r="H19" s="133">
        <f>IF(B$17=0,0,G19/B$17)</f>
        <v>1.8518518518518517E-2</v>
      </c>
      <c r="I19" s="94">
        <v>1</v>
      </c>
      <c r="K19" s="38">
        <v>17</v>
      </c>
      <c r="L19" s="99">
        <v>-538.29999999999995</v>
      </c>
      <c r="N19" s="115" t="s">
        <v>186</v>
      </c>
      <c r="O19" s="125">
        <f>IF(P19=0,0,Q19/P19)</f>
        <v>-72.3</v>
      </c>
      <c r="P19" s="119">
        <v>1</v>
      </c>
      <c r="Q19" s="107">
        <v>-72.3</v>
      </c>
    </row>
    <row r="20" spans="1:17" x14ac:dyDescent="0.4">
      <c r="A20" s="55" t="s">
        <v>13</v>
      </c>
      <c r="B20" s="47">
        <v>54</v>
      </c>
      <c r="C20" s="39">
        <f>IF(B$3=0,0,B20/B$3)</f>
        <v>0.19708029197080293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-537.19999999999993</v>
      </c>
      <c r="N20" s="115" t="s">
        <v>172</v>
      </c>
      <c r="O20" s="125">
        <f>IF(P20=0,0,Q20/P20)</f>
        <v>-80.185714285714283</v>
      </c>
      <c r="P20" s="119">
        <v>7</v>
      </c>
      <c r="Q20" s="107">
        <v>-561.29999999999995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-569.49999999999989</v>
      </c>
      <c r="N21" s="115" t="s">
        <v>171</v>
      </c>
      <c r="O21" s="125">
        <f>IF(P21=0,0,Q21/P21)</f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8348.1481481481478</v>
      </c>
      <c r="C23" s="41">
        <v>450800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-9922.2222222222226</v>
      </c>
      <c r="C24" s="45">
        <v>-535800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3.6496350364963502E-3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-837.69999999999993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-877.19999999999993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41685-D4AB-412F-AB16-5E6ABA1E412C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42</v>
      </c>
      <c r="C2" s="147"/>
      <c r="E2" s="62" t="s">
        <v>67</v>
      </c>
      <c r="F2" s="59" t="s">
        <v>23</v>
      </c>
      <c r="G2" s="46">
        <v>64</v>
      </c>
      <c r="H2" s="132">
        <f>IF(B$17=0,0,G2/B$17)</f>
        <v>0.73563218390804597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-723.80952380952385</v>
      </c>
      <c r="P2" s="118">
        <v>42</v>
      </c>
      <c r="Q2" s="102">
        <v>-30400</v>
      </c>
    </row>
    <row r="3" spans="1:17" x14ac:dyDescent="0.4">
      <c r="A3" s="55" t="s">
        <v>8</v>
      </c>
      <c r="B3" s="148">
        <v>353</v>
      </c>
      <c r="C3" s="149"/>
      <c r="E3" s="63" t="s">
        <v>65</v>
      </c>
      <c r="F3" s="60" t="s">
        <v>21</v>
      </c>
      <c r="G3" s="47">
        <v>48</v>
      </c>
      <c r="H3" s="133">
        <f>IF(B$17=0,0,G3/B$17)</f>
        <v>0.55172413793103448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176.1904761904762</v>
      </c>
      <c r="P3" s="119">
        <v>42</v>
      </c>
      <c r="Q3" s="103">
        <v>7400</v>
      </c>
    </row>
    <row r="4" spans="1:17" x14ac:dyDescent="0.4">
      <c r="A4" s="55" t="s">
        <v>6</v>
      </c>
      <c r="B4" s="150">
        <v>-65.5</v>
      </c>
      <c r="C4" s="151"/>
      <c r="E4" s="63" t="s">
        <v>73</v>
      </c>
      <c r="F4" s="60" t="s">
        <v>28</v>
      </c>
      <c r="G4" s="47">
        <v>43</v>
      </c>
      <c r="H4" s="133">
        <f>IF(B$17=0,0,G4/B$17)</f>
        <v>0.4942528735632184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657.5</v>
      </c>
      <c r="P4" s="119">
        <v>40</v>
      </c>
      <c r="Q4" s="103">
        <v>26300</v>
      </c>
    </row>
    <row r="5" spans="1:17" x14ac:dyDescent="0.4">
      <c r="A5" s="55" t="s">
        <v>7</v>
      </c>
      <c r="B5" s="152">
        <f>IF(B$2=0,0,B$4/B$2)</f>
        <v>-1.5595238095238095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0.2988505747126437</v>
      </c>
      <c r="I5" s="94">
        <v>6</v>
      </c>
      <c r="K5" s="38">
        <v>3</v>
      </c>
      <c r="L5" s="99">
        <v>-60.100000000000009</v>
      </c>
      <c r="N5" s="115" t="s">
        <v>135</v>
      </c>
      <c r="O5" s="122">
        <f t="shared" si="0"/>
        <v>1416.6666666666667</v>
      </c>
      <c r="P5" s="119">
        <v>36</v>
      </c>
      <c r="Q5" s="103">
        <v>51000</v>
      </c>
    </row>
    <row r="6" spans="1:17" x14ac:dyDescent="0.4">
      <c r="A6" s="55" t="s">
        <v>1</v>
      </c>
      <c r="B6" s="142">
        <f>IF(B$2=0,0,(B$7*1+B$8*2+B$9*3)/B$2)</f>
        <v>2.0952380952380953</v>
      </c>
      <c r="C6" s="143"/>
      <c r="E6" s="63" t="s">
        <v>181</v>
      </c>
      <c r="F6" s="60" t="s">
        <v>182</v>
      </c>
      <c r="G6" s="47">
        <v>26</v>
      </c>
      <c r="H6" s="133">
        <f>IF(B$17=0,0,G6/B$17)</f>
        <v>0.2988505747126437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-966.66666666666663</v>
      </c>
      <c r="P6" s="119">
        <v>33</v>
      </c>
      <c r="Q6" s="103">
        <v>-31900</v>
      </c>
    </row>
    <row r="7" spans="1:17" x14ac:dyDescent="0.4">
      <c r="A7" s="55" t="s">
        <v>2</v>
      </c>
      <c r="B7" s="47">
        <v>11</v>
      </c>
      <c r="C7" s="39">
        <f>IF(B$2=0,0,B7/B$2)</f>
        <v>0.26190476190476192</v>
      </c>
      <c r="E7" s="63" t="s">
        <v>69</v>
      </c>
      <c r="F7" s="60" t="s">
        <v>12</v>
      </c>
      <c r="G7" s="47">
        <v>23</v>
      </c>
      <c r="H7" s="133">
        <f>IF(B$17=0,0,G7/B$17)</f>
        <v>0.26436781609195403</v>
      </c>
      <c r="I7" s="94">
        <v>7</v>
      </c>
      <c r="K7" s="38">
        <v>5</v>
      </c>
      <c r="L7" s="99">
        <v>-36.100000000000009</v>
      </c>
      <c r="N7" s="116" t="s">
        <v>137</v>
      </c>
      <c r="O7" s="123">
        <f t="shared" si="0"/>
        <v>3.225806451612903</v>
      </c>
      <c r="P7" s="120">
        <v>31</v>
      </c>
      <c r="Q7" s="104">
        <v>100</v>
      </c>
    </row>
    <row r="8" spans="1:17" x14ac:dyDescent="0.4">
      <c r="A8" s="55" t="s">
        <v>3</v>
      </c>
      <c r="B8" s="47">
        <v>16</v>
      </c>
      <c r="C8" s="39">
        <f>IF(B$2=0,0,B8/B$2)</f>
        <v>0.38095238095238093</v>
      </c>
      <c r="E8" s="63" t="s">
        <v>70</v>
      </c>
      <c r="F8" s="60" t="s">
        <v>25</v>
      </c>
      <c r="G8" s="47">
        <v>19</v>
      </c>
      <c r="H8" s="133">
        <f>IF(B$17=0,0,G8/B$17)</f>
        <v>0.21839080459770116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0.35714285714285715</v>
      </c>
      <c r="E9" s="63" t="s">
        <v>66</v>
      </c>
      <c r="F9" s="60" t="s">
        <v>22</v>
      </c>
      <c r="G9" s="47">
        <v>13</v>
      </c>
      <c r="H9" s="133">
        <f>IF(B$17=0,0,G9/B$17)</f>
        <v>0.14942528735632185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2.3809523809523808E-2</v>
      </c>
      <c r="E10" s="63" t="s">
        <v>90</v>
      </c>
      <c r="F10" s="60" t="s">
        <v>45</v>
      </c>
      <c r="G10" s="47">
        <v>13</v>
      </c>
      <c r="H10" s="133">
        <f>IF(B$17=0,0,G10/B$17)</f>
        <v>0.14942528735632185</v>
      </c>
      <c r="I10" s="94">
        <v>5</v>
      </c>
      <c r="K10" s="38">
        <v>8</v>
      </c>
      <c r="L10" s="99">
        <v>-1.7000000000000028</v>
      </c>
      <c r="N10" s="114" t="s">
        <v>164</v>
      </c>
      <c r="O10" s="124">
        <f>IF(P10=0,0,Q10/P10)</f>
        <v>12.188888888888888</v>
      </c>
      <c r="P10" s="118">
        <v>9</v>
      </c>
      <c r="Q10" s="106">
        <v>109.69999999999999</v>
      </c>
    </row>
    <row r="11" spans="1:17" x14ac:dyDescent="0.4">
      <c r="A11" s="56" t="s">
        <v>140</v>
      </c>
      <c r="B11" s="48">
        <v>5</v>
      </c>
      <c r="C11" s="40">
        <f>IF(B$2=0,0,B11/B$2)</f>
        <v>0.11904761904761904</v>
      </c>
      <c r="E11" s="63" t="s">
        <v>71</v>
      </c>
      <c r="F11" s="60" t="s">
        <v>26</v>
      </c>
      <c r="G11" s="47">
        <v>11</v>
      </c>
      <c r="H11" s="133">
        <f>IF(B$17=0,0,G11/B$17)</f>
        <v>0.12643678160919541</v>
      </c>
      <c r="I11" s="94">
        <v>2</v>
      </c>
      <c r="K11" s="38">
        <v>9</v>
      </c>
      <c r="L11" s="99">
        <v>-5.8000000000000025</v>
      </c>
      <c r="N11" s="115" t="s">
        <v>165</v>
      </c>
      <c r="O11" s="125">
        <f>IF(P11=0,0,Q11/P11)</f>
        <v>-7.9999999999999982</v>
      </c>
      <c r="P11" s="119">
        <v>17</v>
      </c>
      <c r="Q11" s="107">
        <v>-135.99999999999997</v>
      </c>
    </row>
    <row r="12" spans="1:17" x14ac:dyDescent="0.4">
      <c r="A12" s="57" t="s">
        <v>160</v>
      </c>
      <c r="B12" s="49">
        <v>4</v>
      </c>
      <c r="C12" s="42">
        <f>IF(B$2=0,0,B12/B$2)</f>
        <v>9.5238095238095233E-2</v>
      </c>
      <c r="E12" s="63" t="s">
        <v>87</v>
      </c>
      <c r="F12" s="60" t="s">
        <v>42</v>
      </c>
      <c r="G12" s="47">
        <v>8</v>
      </c>
      <c r="H12" s="133">
        <f>IF(B$17=0,0,G12/B$17)</f>
        <v>9.1954022988505746E-2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-2.4500000000000002</v>
      </c>
      <c r="P12" s="120">
        <v>16</v>
      </c>
      <c r="Q12" s="108">
        <v>-39.200000000000003</v>
      </c>
    </row>
    <row r="13" spans="1:17" x14ac:dyDescent="0.4">
      <c r="A13" s="58" t="s">
        <v>122</v>
      </c>
      <c r="B13" s="50">
        <v>90</v>
      </c>
      <c r="C13" s="44">
        <f>IF(B$3=0,0,B13/B$3)</f>
        <v>0.25495750708215298</v>
      </c>
      <c r="E13" s="63" t="s">
        <v>72</v>
      </c>
      <c r="F13" s="60" t="s">
        <v>27</v>
      </c>
      <c r="G13" s="47">
        <v>6</v>
      </c>
      <c r="H13" s="133">
        <f>IF(B$17=0,0,G13/B$17)</f>
        <v>6.8965517241379309E-2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58</v>
      </c>
      <c r="C14" s="39">
        <f>IF(B$3=0,0,B14/B$3)</f>
        <v>0.1643059490084986</v>
      </c>
      <c r="E14" s="63" t="s">
        <v>84</v>
      </c>
      <c r="F14" s="60" t="s">
        <v>39</v>
      </c>
      <c r="G14" s="47">
        <v>4</v>
      </c>
      <c r="H14" s="133">
        <f>IF(B$17=0,0,G14/B$17)</f>
        <v>4.5977011494252873E-2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51</v>
      </c>
      <c r="C15" s="37">
        <f>IF(B$13=0,0,B15/B$13)</f>
        <v>0.56666666666666665</v>
      </c>
      <c r="E15" s="63" t="s">
        <v>79</v>
      </c>
      <c r="F15" s="60" t="s">
        <v>34</v>
      </c>
      <c r="G15" s="47">
        <v>3</v>
      </c>
      <c r="H15" s="133">
        <f>IF(B$17=0,0,G15/B$17)</f>
        <v>3.4482758620689655E-2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19</v>
      </c>
      <c r="C16" s="37">
        <f>IF(B$14=0,0,B16/B$14)</f>
        <v>0.32758620689655171</v>
      </c>
      <c r="E16" s="63" t="s">
        <v>76</v>
      </c>
      <c r="F16" s="60" t="s">
        <v>31</v>
      </c>
      <c r="G16" s="47">
        <v>2</v>
      </c>
      <c r="H16" s="133">
        <f>IF(B$17=0,0,G16/B$17)</f>
        <v>2.2988505747126436E-2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87</v>
      </c>
      <c r="C17" s="37">
        <f>IF(B$3=0,0,B17/B$3)</f>
        <v>0.24645892351274787</v>
      </c>
      <c r="E17" s="63" t="s">
        <v>82</v>
      </c>
      <c r="F17" s="60" t="s">
        <v>37</v>
      </c>
      <c r="G17" s="47">
        <v>2</v>
      </c>
      <c r="H17" s="133">
        <f>IF(B$17=0,0,G17/B$17)</f>
        <v>2.2988505747126436E-2</v>
      </c>
      <c r="I17" s="94">
        <v>7</v>
      </c>
      <c r="K17" s="38">
        <v>15</v>
      </c>
      <c r="L17" s="99">
        <v>-26.3</v>
      </c>
      <c r="N17" s="115" t="s">
        <v>173</v>
      </c>
      <c r="O17" s="125">
        <f>IF(P17=0,0,Q17/P17)</f>
        <v>13.35</v>
      </c>
      <c r="P17" s="119">
        <v>14</v>
      </c>
      <c r="Q17" s="107">
        <v>186.9</v>
      </c>
    </row>
    <row r="18" spans="1:17" x14ac:dyDescent="0.4">
      <c r="A18" s="55" t="s">
        <v>12</v>
      </c>
      <c r="B18" s="47">
        <v>31</v>
      </c>
      <c r="C18" s="39">
        <f>IF(B$17=0,0,B18/B$17)</f>
        <v>0.35632183908045978</v>
      </c>
      <c r="E18" s="63" t="s">
        <v>93</v>
      </c>
      <c r="F18" s="60" t="s">
        <v>48</v>
      </c>
      <c r="G18" s="47">
        <v>2</v>
      </c>
      <c r="H18" s="133">
        <f>IF(B$17=0,0,G18/B$17)</f>
        <v>2.2988505747126436E-2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-3.9363636363636374</v>
      </c>
      <c r="P18" s="119">
        <v>11</v>
      </c>
      <c r="Q18" s="107">
        <v>-43.300000000000011</v>
      </c>
    </row>
    <row r="19" spans="1:17" x14ac:dyDescent="0.4">
      <c r="A19" s="55" t="s">
        <v>11</v>
      </c>
      <c r="B19" s="47">
        <v>56</v>
      </c>
      <c r="C19" s="39">
        <f>IF(B$17=0,0,B19/B$17)</f>
        <v>0.64367816091954022</v>
      </c>
      <c r="E19" s="63" t="s">
        <v>180</v>
      </c>
      <c r="F19" s="60" t="s">
        <v>183</v>
      </c>
      <c r="G19" s="47">
        <v>2</v>
      </c>
      <c r="H19" s="133">
        <f>IF(B$17=0,0,G19/B$17)</f>
        <v>2.2988505747126436E-2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-7.2772727272727362</v>
      </c>
      <c r="P19" s="119">
        <v>22</v>
      </c>
      <c r="Q19" s="107">
        <v>-160.10000000000019</v>
      </c>
    </row>
    <row r="20" spans="1:17" x14ac:dyDescent="0.4">
      <c r="A20" s="55" t="s">
        <v>13</v>
      </c>
      <c r="B20" s="47">
        <v>54</v>
      </c>
      <c r="C20" s="39">
        <f>IF(B$3=0,0,B20/B$3)</f>
        <v>0.15297450424929179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>IF(P21=0,0,Q21/P21)</f>
        <v>-20.638461538461534</v>
      </c>
      <c r="P21" s="119">
        <v>26</v>
      </c>
      <c r="Q21" s="107">
        <v>-536.59999999999991</v>
      </c>
    </row>
    <row r="22" spans="1:17" x14ac:dyDescent="0.4">
      <c r="A22" s="55" t="s">
        <v>194</v>
      </c>
      <c r="B22" s="47">
        <v>20</v>
      </c>
      <c r="C22" s="135">
        <v>5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9121.8390804597693</v>
      </c>
      <c r="C23" s="41">
        <v>793600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-7290.7407407407409</v>
      </c>
      <c r="C24" s="45">
        <v>-393700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2.8328611898016999E-3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15BAC-757C-4355-AF4D-04C773C08BFD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37</v>
      </c>
      <c r="C2" s="147"/>
      <c r="E2" s="62" t="s">
        <v>67</v>
      </c>
      <c r="F2" s="59" t="s">
        <v>23</v>
      </c>
      <c r="G2" s="46">
        <v>83</v>
      </c>
      <c r="H2" s="132">
        <f>IF(B$17=0,0,G2/B$17)</f>
        <v>0.74774774774774777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1808.1081081081081</v>
      </c>
      <c r="P2" s="118">
        <v>37</v>
      </c>
      <c r="Q2" s="102">
        <v>66900</v>
      </c>
    </row>
    <row r="3" spans="1:17" x14ac:dyDescent="0.4">
      <c r="A3" s="55" t="s">
        <v>8</v>
      </c>
      <c r="B3" s="148">
        <v>312</v>
      </c>
      <c r="C3" s="149"/>
      <c r="E3" s="63" t="s">
        <v>73</v>
      </c>
      <c r="F3" s="60" t="s">
        <v>28</v>
      </c>
      <c r="G3" s="47">
        <v>67</v>
      </c>
      <c r="H3" s="133">
        <f>IF(B$17=0,0,G3/B$17)</f>
        <v>0.60360360360360366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170.27027027027026</v>
      </c>
      <c r="P3" s="119">
        <v>37</v>
      </c>
      <c r="Q3" s="103">
        <v>6300</v>
      </c>
    </row>
    <row r="4" spans="1:17" x14ac:dyDescent="0.4">
      <c r="A4" s="55" t="s">
        <v>6</v>
      </c>
      <c r="B4" s="150">
        <v>30.000000000000007</v>
      </c>
      <c r="C4" s="151"/>
      <c r="E4" s="63" t="s">
        <v>65</v>
      </c>
      <c r="F4" s="60" t="s">
        <v>21</v>
      </c>
      <c r="G4" s="47">
        <v>41</v>
      </c>
      <c r="H4" s="133">
        <f>IF(B$17=0,0,G4/B$17)</f>
        <v>0.36936936936936937</v>
      </c>
      <c r="I4" s="94">
        <v>11</v>
      </c>
      <c r="K4" s="38">
        <v>2</v>
      </c>
      <c r="L4" s="99">
        <v>-7.7000000000000011</v>
      </c>
      <c r="N4" s="115" t="s">
        <v>134</v>
      </c>
      <c r="O4" s="122">
        <f t="shared" si="0"/>
        <v>421.875</v>
      </c>
      <c r="P4" s="119">
        <v>32</v>
      </c>
      <c r="Q4" s="103">
        <v>13500</v>
      </c>
    </row>
    <row r="5" spans="1:17" x14ac:dyDescent="0.4">
      <c r="A5" s="55" t="s">
        <v>7</v>
      </c>
      <c r="B5" s="152">
        <f>IF(B$2=0,0,B$4/B$2)</f>
        <v>0.81081081081081097</v>
      </c>
      <c r="C5" s="153"/>
      <c r="E5" s="63" t="s">
        <v>181</v>
      </c>
      <c r="F5" s="60" t="s">
        <v>182</v>
      </c>
      <c r="G5" s="47">
        <v>40</v>
      </c>
      <c r="H5" s="133">
        <f>IF(B$17=0,0,G5/B$17)</f>
        <v>0.36036036036036034</v>
      </c>
      <c r="I5" s="94">
        <v>7</v>
      </c>
      <c r="K5" s="38">
        <v>3</v>
      </c>
      <c r="L5" s="99">
        <v>1.7999999999999989</v>
      </c>
      <c r="N5" s="115" t="s">
        <v>135</v>
      </c>
      <c r="O5" s="122">
        <f t="shared" si="0"/>
        <v>686.66666666666663</v>
      </c>
      <c r="P5" s="119">
        <v>30</v>
      </c>
      <c r="Q5" s="103">
        <v>20600</v>
      </c>
    </row>
    <row r="6" spans="1:17" x14ac:dyDescent="0.4">
      <c r="A6" s="55" t="s">
        <v>1</v>
      </c>
      <c r="B6" s="142">
        <f>IF(B$2=0,0,(B$7*1+B$8*2+B$9*3)/B$2)</f>
        <v>2.0810810810810811</v>
      </c>
      <c r="C6" s="143"/>
      <c r="E6" s="63" t="s">
        <v>69</v>
      </c>
      <c r="F6" s="60" t="s">
        <v>12</v>
      </c>
      <c r="G6" s="47">
        <v>30</v>
      </c>
      <c r="H6" s="133">
        <f>IF(B$17=0,0,G6/B$17)</f>
        <v>0.27027027027027029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-1234.4827586206898</v>
      </c>
      <c r="P6" s="119">
        <v>29</v>
      </c>
      <c r="Q6" s="103">
        <v>-35800</v>
      </c>
    </row>
    <row r="7" spans="1:17" x14ac:dyDescent="0.4">
      <c r="A7" s="55" t="s">
        <v>2</v>
      </c>
      <c r="B7" s="47">
        <v>11</v>
      </c>
      <c r="C7" s="39">
        <f>IF(B$2=0,0,B7/B$2)</f>
        <v>0.29729729729729731</v>
      </c>
      <c r="E7" s="63" t="s">
        <v>68</v>
      </c>
      <c r="F7" s="60" t="s">
        <v>24</v>
      </c>
      <c r="G7" s="47">
        <v>22</v>
      </c>
      <c r="H7" s="133">
        <f>IF(B$17=0,0,G7/B$17)</f>
        <v>0.1981981981981982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-1369.2307692307693</v>
      </c>
      <c r="P7" s="120">
        <v>26</v>
      </c>
      <c r="Q7" s="104">
        <v>-35600</v>
      </c>
    </row>
    <row r="8" spans="1:17" x14ac:dyDescent="0.4">
      <c r="A8" s="55" t="s">
        <v>3</v>
      </c>
      <c r="B8" s="47">
        <v>12</v>
      </c>
      <c r="C8" s="39">
        <f>IF(B$2=0,0,B8/B$2)</f>
        <v>0.32432432432432434</v>
      </c>
      <c r="E8" s="63" t="s">
        <v>70</v>
      </c>
      <c r="F8" s="60" t="s">
        <v>25</v>
      </c>
      <c r="G8" s="47">
        <v>15</v>
      </c>
      <c r="H8" s="133">
        <f>IF(B$17=0,0,G8/B$17)</f>
        <v>0.13513513513513514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0.3783783783783784</v>
      </c>
      <c r="E9" s="63" t="s">
        <v>66</v>
      </c>
      <c r="F9" s="60" t="s">
        <v>22</v>
      </c>
      <c r="G9" s="47">
        <v>9</v>
      </c>
      <c r="H9" s="133">
        <f>IF(B$17=0,0,G9/B$17)</f>
        <v>8.1081081081081086E-2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5.4054054054054057E-2</v>
      </c>
      <c r="E10" s="63" t="s">
        <v>90</v>
      </c>
      <c r="F10" s="60" t="s">
        <v>45</v>
      </c>
      <c r="G10" s="47">
        <v>9</v>
      </c>
      <c r="H10" s="133">
        <f>IF(B$17=0,0,G10/B$17)</f>
        <v>8.1081081081081086E-2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-13.050000000000002</v>
      </c>
      <c r="P10" s="118">
        <v>12</v>
      </c>
      <c r="Q10" s="106">
        <v>-156.60000000000002</v>
      </c>
    </row>
    <row r="11" spans="1:17" x14ac:dyDescent="0.4">
      <c r="A11" s="56" t="s">
        <v>140</v>
      </c>
      <c r="B11" s="48">
        <v>5</v>
      </c>
      <c r="C11" s="40">
        <f>IF(B$2=0,0,B11/B$2)</f>
        <v>0.13513513513513514</v>
      </c>
      <c r="E11" s="63" t="s">
        <v>71</v>
      </c>
      <c r="F11" s="60" t="s">
        <v>26</v>
      </c>
      <c r="G11" s="47">
        <v>8</v>
      </c>
      <c r="H11" s="133">
        <f>IF(B$17=0,0,G11/B$17)</f>
        <v>7.2072072072072071E-2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16.169999999999998</v>
      </c>
      <c r="P11" s="119">
        <v>10</v>
      </c>
      <c r="Q11" s="107">
        <v>161.69999999999999</v>
      </c>
    </row>
    <row r="12" spans="1:17" x14ac:dyDescent="0.4">
      <c r="A12" s="57" t="s">
        <v>160</v>
      </c>
      <c r="B12" s="49">
        <v>2</v>
      </c>
      <c r="C12" s="42">
        <f>IF(B$2=0,0,B12/B$2)</f>
        <v>5.4054054054054057E-2</v>
      </c>
      <c r="E12" s="63" t="s">
        <v>84</v>
      </c>
      <c r="F12" s="60" t="s">
        <v>39</v>
      </c>
      <c r="G12" s="47">
        <v>7</v>
      </c>
      <c r="H12" s="133">
        <f>IF(B$17=0,0,G12/B$17)</f>
        <v>6.3063063063063057E-2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1.6600000000000004</v>
      </c>
      <c r="P12" s="120">
        <v>15</v>
      </c>
      <c r="Q12" s="108">
        <v>24.900000000000006</v>
      </c>
    </row>
    <row r="13" spans="1:17" x14ac:dyDescent="0.4">
      <c r="A13" s="58" t="s">
        <v>122</v>
      </c>
      <c r="B13" s="50">
        <v>72</v>
      </c>
      <c r="C13" s="44">
        <f>IF(B$3=0,0,B13/B$3)</f>
        <v>0.23076923076923078</v>
      </c>
      <c r="E13" s="63" t="s">
        <v>87</v>
      </c>
      <c r="F13" s="60" t="s">
        <v>42</v>
      </c>
      <c r="G13" s="47">
        <v>6</v>
      </c>
      <c r="H13" s="133">
        <f>IF(B$17=0,0,G13/B$17)</f>
        <v>5.4054054054054057E-2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95</v>
      </c>
      <c r="C14" s="39">
        <f>IF(B$3=0,0,B14/B$3)</f>
        <v>0.30448717948717946</v>
      </c>
      <c r="E14" s="63" t="s">
        <v>82</v>
      </c>
      <c r="F14" s="60" t="s">
        <v>37</v>
      </c>
      <c r="G14" s="47">
        <v>5</v>
      </c>
      <c r="H14" s="133">
        <f>IF(B$17=0,0,G14/B$17)</f>
        <v>4.5045045045045043E-2</v>
      </c>
      <c r="I14" s="94">
        <v>2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42</v>
      </c>
      <c r="C15" s="37">
        <f>IF(B$13=0,0,B15/B$13)</f>
        <v>0.58333333333333337</v>
      </c>
      <c r="E15" s="63" t="s">
        <v>72</v>
      </c>
      <c r="F15" s="60" t="s">
        <v>27</v>
      </c>
      <c r="G15" s="47">
        <v>4</v>
      </c>
      <c r="H15" s="133">
        <f>IF(B$17=0,0,G15/B$17)</f>
        <v>3.6036036036036036E-2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40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1.8018018018018018E-2</v>
      </c>
      <c r="I16" s="94">
        <v>4</v>
      </c>
      <c r="K16" s="38">
        <v>14</v>
      </c>
      <c r="L16" s="99">
        <v>-12.3</v>
      </c>
      <c r="N16" s="115" t="s">
        <v>202</v>
      </c>
      <c r="O16" s="125">
        <f>IF(P16=0,0,Q16/P16)</f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111</v>
      </c>
      <c r="C17" s="37">
        <f>IF(B$3=0,0,B17/B$3)</f>
        <v>0.35576923076923078</v>
      </c>
      <c r="E17" s="63" t="s">
        <v>80</v>
      </c>
      <c r="F17" s="60" t="s">
        <v>35</v>
      </c>
      <c r="G17" s="47">
        <v>2</v>
      </c>
      <c r="H17" s="133">
        <f>IF(B$17=0,0,G17/B$17)</f>
        <v>1.8018018018018018E-2</v>
      </c>
      <c r="I17" s="94">
        <v>3</v>
      </c>
      <c r="K17" s="38">
        <v>15</v>
      </c>
      <c r="L17" s="99">
        <v>-80.3</v>
      </c>
      <c r="N17" s="115" t="s">
        <v>177</v>
      </c>
      <c r="O17" s="125">
        <f>IF(P17=0,0,Q17/P17)</f>
        <v>13.33333333333333</v>
      </c>
      <c r="P17" s="119">
        <v>3</v>
      </c>
      <c r="Q17" s="107">
        <v>39.999999999999993</v>
      </c>
    </row>
    <row r="18" spans="1:17" x14ac:dyDescent="0.4">
      <c r="A18" s="55" t="s">
        <v>12</v>
      </c>
      <c r="B18" s="47">
        <v>47</v>
      </c>
      <c r="C18" s="39">
        <f>IF(B$17=0,0,B18/B$17)</f>
        <v>0.42342342342342343</v>
      </c>
      <c r="E18" s="63" t="s">
        <v>92</v>
      </c>
      <c r="F18" s="60" t="s">
        <v>47</v>
      </c>
      <c r="G18" s="47">
        <v>2</v>
      </c>
      <c r="H18" s="133">
        <f>IF(B$17=0,0,G18/B$17)</f>
        <v>1.8018018018018018E-2</v>
      </c>
      <c r="I18" s="94">
        <v>3</v>
      </c>
      <c r="K18" s="38">
        <v>16</v>
      </c>
      <c r="L18" s="99">
        <v>-87.6</v>
      </c>
      <c r="N18" s="115" t="s">
        <v>173</v>
      </c>
      <c r="O18" s="125">
        <f>IF(P18=0,0,Q18/P18)</f>
        <v>11.574999999999999</v>
      </c>
      <c r="P18" s="119">
        <v>8</v>
      </c>
      <c r="Q18" s="107">
        <v>92.6</v>
      </c>
    </row>
    <row r="19" spans="1:17" x14ac:dyDescent="0.4">
      <c r="A19" s="55" t="s">
        <v>11</v>
      </c>
      <c r="B19" s="47">
        <v>64</v>
      </c>
      <c r="C19" s="39">
        <f>IF(B$17=0,0,B19/B$17)</f>
        <v>0.57657657657657657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171</v>
      </c>
      <c r="O19" s="125">
        <f>IF(P19=0,0,Q19/P19)</f>
        <v>3.9363636363636347</v>
      </c>
      <c r="P19" s="119">
        <v>11</v>
      </c>
      <c r="Q19" s="107">
        <v>43.299999999999983</v>
      </c>
    </row>
    <row r="20" spans="1:17" x14ac:dyDescent="0.4">
      <c r="A20" s="55" t="s">
        <v>13</v>
      </c>
      <c r="B20" s="47">
        <v>44</v>
      </c>
      <c r="C20" s="39">
        <f>IF(B$3=0,0,B20/B$3)</f>
        <v>0.14102564102564102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-4.9727272727272736</v>
      </c>
      <c r="P20" s="119">
        <v>22</v>
      </c>
      <c r="Q20" s="107">
        <v>-109.40000000000002</v>
      </c>
    </row>
    <row r="21" spans="1:17" x14ac:dyDescent="0.4">
      <c r="A21" s="55" t="s">
        <v>193</v>
      </c>
      <c r="B21" s="47">
        <v>10</v>
      </c>
      <c r="C21" s="135">
        <v>1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127</v>
      </c>
      <c r="O21" s="125">
        <f>IF(P21=0,0,Q21/P21)</f>
        <v>-31.768421052631584</v>
      </c>
      <c r="P21" s="119">
        <v>19</v>
      </c>
      <c r="Q21" s="107">
        <v>-603.60000000000014</v>
      </c>
    </row>
    <row r="22" spans="1:17" x14ac:dyDescent="0.4">
      <c r="A22" s="55" t="s">
        <v>194</v>
      </c>
      <c r="B22" s="47">
        <v>23</v>
      </c>
      <c r="C22" s="135">
        <v>19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7009.9099099099103</v>
      </c>
      <c r="C23" s="41">
        <v>778100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-8481.818181818182</v>
      </c>
      <c r="C24" s="45">
        <v>-373200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3.205128205128205E-3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3A87E-75E9-44CB-B94C-F46921BAFE08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33</v>
      </c>
      <c r="C2" s="147"/>
      <c r="E2" s="62" t="s">
        <v>67</v>
      </c>
      <c r="F2" s="59" t="s">
        <v>23</v>
      </c>
      <c r="G2" s="46">
        <v>68</v>
      </c>
      <c r="H2" s="132">
        <f>IF(B$17=0,0,G2/B$17)</f>
        <v>0.73913043478260865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-3115.151515151515</v>
      </c>
      <c r="P2" s="118">
        <v>33</v>
      </c>
      <c r="Q2" s="102">
        <v>-102800</v>
      </c>
    </row>
    <row r="3" spans="1:17" x14ac:dyDescent="0.4">
      <c r="A3" s="55" t="s">
        <v>8</v>
      </c>
      <c r="B3" s="148">
        <v>292</v>
      </c>
      <c r="C3" s="149"/>
      <c r="E3" s="63" t="s">
        <v>73</v>
      </c>
      <c r="F3" s="60" t="s">
        <v>28</v>
      </c>
      <c r="G3" s="47">
        <v>49</v>
      </c>
      <c r="H3" s="133">
        <f>IF(B$17=0,0,G3/B$17)</f>
        <v>0.53260869565217395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1978.7878787878788</v>
      </c>
      <c r="P3" s="119">
        <v>33</v>
      </c>
      <c r="Q3" s="103">
        <v>65300</v>
      </c>
    </row>
    <row r="4" spans="1:17" x14ac:dyDescent="0.4">
      <c r="A4" s="55" t="s">
        <v>6</v>
      </c>
      <c r="B4" s="150">
        <v>-194.1</v>
      </c>
      <c r="C4" s="151"/>
      <c r="E4" s="63" t="s">
        <v>65</v>
      </c>
      <c r="F4" s="60" t="s">
        <v>21</v>
      </c>
      <c r="G4" s="47">
        <v>40</v>
      </c>
      <c r="H4" s="133">
        <f>IF(B$17=0,0,G4/B$17)</f>
        <v>0.43478260869565216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-1206.4516129032259</v>
      </c>
      <c r="P4" s="119">
        <v>31</v>
      </c>
      <c r="Q4" s="103">
        <v>-37400</v>
      </c>
    </row>
    <row r="5" spans="1:17" x14ac:dyDescent="0.4">
      <c r="A5" s="55" t="s">
        <v>7</v>
      </c>
      <c r="B5" s="152">
        <f>IF(B$2=0,0,B$4/B$2)</f>
        <v>-5.8818181818181818</v>
      </c>
      <c r="C5" s="153"/>
      <c r="E5" s="63" t="s">
        <v>69</v>
      </c>
      <c r="F5" s="60" t="s">
        <v>12</v>
      </c>
      <c r="G5" s="47">
        <v>37</v>
      </c>
      <c r="H5" s="133">
        <f>IF(B$17=0,0,G5/B$17)</f>
        <v>0.40217391304347827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-4224.1379310344828</v>
      </c>
      <c r="P5" s="119">
        <v>29</v>
      </c>
      <c r="Q5" s="103">
        <v>-122500</v>
      </c>
    </row>
    <row r="6" spans="1:17" x14ac:dyDescent="0.4">
      <c r="A6" s="55" t="s">
        <v>1</v>
      </c>
      <c r="B6" s="142">
        <f>IF(B$2=0,0,(B$7*1+B$8*2+B$9*3)/B$2)</f>
        <v>2.0606060606060606</v>
      </c>
      <c r="C6" s="143"/>
      <c r="E6" s="63" t="s">
        <v>181</v>
      </c>
      <c r="F6" s="60" t="s">
        <v>182</v>
      </c>
      <c r="G6" s="47">
        <v>32</v>
      </c>
      <c r="H6" s="133">
        <f>IF(B$17=0,0,G6/B$17)</f>
        <v>0.34782608695652173</v>
      </c>
      <c r="I6" s="94">
        <v>8</v>
      </c>
      <c r="K6" s="38">
        <v>4</v>
      </c>
      <c r="L6" s="99">
        <v>-150.6</v>
      </c>
      <c r="N6" s="115" t="s">
        <v>136</v>
      </c>
      <c r="O6" s="122">
        <f t="shared" si="0"/>
        <v>1084.6153846153845</v>
      </c>
      <c r="P6" s="119">
        <v>26</v>
      </c>
      <c r="Q6" s="103">
        <v>28200</v>
      </c>
    </row>
    <row r="7" spans="1:17" x14ac:dyDescent="0.4">
      <c r="A7" s="55" t="s">
        <v>2</v>
      </c>
      <c r="B7" s="47">
        <v>9</v>
      </c>
      <c r="C7" s="39">
        <f>IF(B$2=0,0,B7/B$2)</f>
        <v>0.27272727272727271</v>
      </c>
      <c r="E7" s="63" t="s">
        <v>68</v>
      </c>
      <c r="F7" s="60" t="s">
        <v>24</v>
      </c>
      <c r="G7" s="47">
        <v>21</v>
      </c>
      <c r="H7" s="133">
        <f>IF(B$17=0,0,G7/B$17)</f>
        <v>0.22826086956521738</v>
      </c>
      <c r="I7" s="94">
        <v>9</v>
      </c>
      <c r="K7" s="38">
        <v>5</v>
      </c>
      <c r="L7" s="99">
        <v>-184.89999999999998</v>
      </c>
      <c r="N7" s="116" t="s">
        <v>137</v>
      </c>
      <c r="O7" s="123">
        <f t="shared" si="0"/>
        <v>604</v>
      </c>
      <c r="P7" s="120">
        <v>25</v>
      </c>
      <c r="Q7" s="104">
        <v>15100</v>
      </c>
    </row>
    <row r="8" spans="1:17" x14ac:dyDescent="0.4">
      <c r="A8" s="55" t="s">
        <v>3</v>
      </c>
      <c r="B8" s="47">
        <v>13</v>
      </c>
      <c r="C8" s="39">
        <f>IF(B$2=0,0,B8/B$2)</f>
        <v>0.39393939393939392</v>
      </c>
      <c r="E8" s="63" t="s">
        <v>90</v>
      </c>
      <c r="F8" s="60" t="s">
        <v>45</v>
      </c>
      <c r="G8" s="47">
        <v>12</v>
      </c>
      <c r="H8" s="133">
        <f>IF(B$17=0,0,G8/B$17)</f>
        <v>0.13043478260869565</v>
      </c>
      <c r="I8" s="94">
        <v>7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0.33333333333333331</v>
      </c>
      <c r="E9" s="63" t="s">
        <v>71</v>
      </c>
      <c r="F9" s="60" t="s">
        <v>26</v>
      </c>
      <c r="G9" s="47">
        <v>11</v>
      </c>
      <c r="H9" s="133">
        <f>IF(B$17=0,0,G9/B$17)</f>
        <v>0.11956521739130435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0.12121212121212122</v>
      </c>
      <c r="E10" s="63" t="s">
        <v>70</v>
      </c>
      <c r="F10" s="60" t="s">
        <v>25</v>
      </c>
      <c r="G10" s="47">
        <v>9</v>
      </c>
      <c r="H10" s="133">
        <f>IF(B$17=0,0,G10/B$17)</f>
        <v>9.7826086956521743E-2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-7.5625</v>
      </c>
      <c r="P10" s="118">
        <v>8</v>
      </c>
      <c r="Q10" s="106">
        <v>-60.5</v>
      </c>
    </row>
    <row r="11" spans="1:17" x14ac:dyDescent="0.4">
      <c r="A11" s="56" t="s">
        <v>140</v>
      </c>
      <c r="B11" s="48">
        <v>2</v>
      </c>
      <c r="C11" s="40">
        <f>IF(B$2=0,0,B11/B$2)</f>
        <v>6.0606060606060608E-2</v>
      </c>
      <c r="E11" s="63" t="s">
        <v>72</v>
      </c>
      <c r="F11" s="60" t="s">
        <v>27</v>
      </c>
      <c r="G11" s="47">
        <v>6</v>
      </c>
      <c r="H11" s="133">
        <f>IF(B$17=0,0,G11/B$17)</f>
        <v>6.5217391304347824E-2</v>
      </c>
      <c r="I11" s="94">
        <v>4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3.0303030303030304E-2</v>
      </c>
      <c r="E12" s="63" t="s">
        <v>66</v>
      </c>
      <c r="F12" s="60" t="s">
        <v>22</v>
      </c>
      <c r="G12" s="47">
        <v>5</v>
      </c>
      <c r="H12" s="133">
        <f>IF(B$17=0,0,G12/B$17)</f>
        <v>5.434782608695652E-2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-2.1124999999999989</v>
      </c>
      <c r="P12" s="120">
        <v>8</v>
      </c>
      <c r="Q12" s="108">
        <v>-16.899999999999991</v>
      </c>
    </row>
    <row r="13" spans="1:17" x14ac:dyDescent="0.4">
      <c r="A13" s="58" t="s">
        <v>122</v>
      </c>
      <c r="B13" s="50">
        <v>68</v>
      </c>
      <c r="C13" s="44">
        <f>IF(B$3=0,0,B13/B$3)</f>
        <v>0.23287671232876711</v>
      </c>
      <c r="E13" s="63" t="s">
        <v>87</v>
      </c>
      <c r="F13" s="60" t="s">
        <v>42</v>
      </c>
      <c r="G13" s="47">
        <v>4</v>
      </c>
      <c r="H13" s="133">
        <f>IF(B$17=0,0,G13/B$17)</f>
        <v>4.3478260869565216E-2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</v>
      </c>
      <c r="C14" s="39">
        <f>IF(B$3=0,0,B14/B$3)</f>
        <v>0.25</v>
      </c>
      <c r="E14" s="63" t="s">
        <v>84</v>
      </c>
      <c r="F14" s="60" t="s">
        <v>39</v>
      </c>
      <c r="G14" s="47">
        <v>2</v>
      </c>
      <c r="H14" s="133">
        <f>IF(B$17=0,0,G14/B$17)</f>
        <v>2.1739130434782608E-2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41</v>
      </c>
      <c r="C15" s="37">
        <f>IF(B$13=0,0,B15/B$13)</f>
        <v>0.6029411764705882</v>
      </c>
      <c r="E15" s="63" t="s">
        <v>74</v>
      </c>
      <c r="F15" s="60" t="s">
        <v>29</v>
      </c>
      <c r="G15" s="47">
        <v>1</v>
      </c>
      <c r="H15" s="133">
        <f>IF(B$17=0,0,G15/B$17)</f>
        <v>1.0869565217391304E-2</v>
      </c>
      <c r="I15" s="94">
        <v>2</v>
      </c>
      <c r="K15" s="38">
        <v>13</v>
      </c>
      <c r="L15" s="99">
        <v>-302.59999999999997</v>
      </c>
      <c r="N15" s="114" t="s">
        <v>129</v>
      </c>
      <c r="O15" s="124">
        <f>IF(P15=0,0,Q15/P15)</f>
        <v>28.26</v>
      </c>
      <c r="P15" s="118">
        <v>5</v>
      </c>
      <c r="Q15" s="106">
        <v>141.30000000000001</v>
      </c>
    </row>
    <row r="16" spans="1:17" x14ac:dyDescent="0.4">
      <c r="A16" s="54" t="s">
        <v>125</v>
      </c>
      <c r="B16" s="46">
        <v>25</v>
      </c>
      <c r="C16" s="37">
        <f>IF(B$14=0,0,B16/B$14)</f>
        <v>0.34246575342465752</v>
      </c>
      <c r="E16" s="63" t="s">
        <v>79</v>
      </c>
      <c r="F16" s="60" t="s">
        <v>34</v>
      </c>
      <c r="G16" s="47">
        <v>1</v>
      </c>
      <c r="H16" s="133">
        <f>IF(B$17=0,0,G16/B$17)</f>
        <v>1.0869565217391304E-2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92</v>
      </c>
      <c r="C17" s="37">
        <f>IF(B$3=0,0,B17/B$3)</f>
        <v>0.31506849315068491</v>
      </c>
      <c r="E17" s="63" t="s">
        <v>80</v>
      </c>
      <c r="F17" s="60" t="s">
        <v>35</v>
      </c>
      <c r="G17" s="47">
        <v>1</v>
      </c>
      <c r="H17" s="133">
        <f>IF(B$17=0,0,G17/B$17)</f>
        <v>1.0869565217391304E-2</v>
      </c>
      <c r="I17" s="94">
        <v>5</v>
      </c>
      <c r="K17" s="38">
        <v>15</v>
      </c>
      <c r="L17" s="99">
        <v>-264.59999999999997</v>
      </c>
      <c r="N17" s="115" t="s">
        <v>172</v>
      </c>
      <c r="O17" s="125">
        <f>IF(P17=0,0,Q17/P17)</f>
        <v>-11.574999999999999</v>
      </c>
      <c r="P17" s="119">
        <v>8</v>
      </c>
      <c r="Q17" s="107">
        <v>-92.6</v>
      </c>
    </row>
    <row r="18" spans="1:17" x14ac:dyDescent="0.4">
      <c r="A18" s="55" t="s">
        <v>12</v>
      </c>
      <c r="B18" s="47">
        <v>49</v>
      </c>
      <c r="C18" s="39">
        <f>IF(B$17=0,0,B18/B$17)</f>
        <v>0.53260869565217395</v>
      </c>
      <c r="E18" s="63" t="s">
        <v>92</v>
      </c>
      <c r="F18" s="60" t="s">
        <v>47</v>
      </c>
      <c r="G18" s="47">
        <v>1</v>
      </c>
      <c r="H18" s="133">
        <f>IF(B$17=0,0,G18/B$17)</f>
        <v>1.0869565217391304E-2</v>
      </c>
      <c r="I18" s="94">
        <v>6</v>
      </c>
      <c r="K18" s="38">
        <v>16</v>
      </c>
      <c r="L18" s="99">
        <v>-292.79999999999995</v>
      </c>
      <c r="N18" s="115" t="s">
        <v>171</v>
      </c>
      <c r="O18" s="125">
        <f>IF(P18=0,0,Q18/P18)</f>
        <v>-13.349999999999998</v>
      </c>
      <c r="P18" s="119">
        <v>14</v>
      </c>
      <c r="Q18" s="107">
        <v>-186.89999999999998</v>
      </c>
    </row>
    <row r="19" spans="1:17" x14ac:dyDescent="0.4">
      <c r="A19" s="55" t="s">
        <v>11</v>
      </c>
      <c r="B19" s="47">
        <v>43</v>
      </c>
      <c r="C19" s="39">
        <f>IF(B$17=0,0,B19/B$17)</f>
        <v>0.46739130434782611</v>
      </c>
      <c r="E19" s="63" t="s">
        <v>180</v>
      </c>
      <c r="F19" s="60" t="s">
        <v>183</v>
      </c>
      <c r="G19" s="47">
        <v>1</v>
      </c>
      <c r="H19" s="133">
        <f>IF(B$17=0,0,G19/B$17)</f>
        <v>1.0869565217391304E-2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54</v>
      </c>
      <c r="C20" s="39">
        <f>IF(B$3=0,0,B20/B$3)</f>
        <v>0.18493150684931506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-218.99999999999994</v>
      </c>
      <c r="N20" s="115" t="s">
        <v>127</v>
      </c>
      <c r="O20" s="125">
        <f>IF(P20=0,0,Q20/P20)</f>
        <v>-26.20666666666666</v>
      </c>
      <c r="P20" s="119">
        <v>15</v>
      </c>
      <c r="Q20" s="107">
        <v>-393.09999999999991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16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6772.826086956522</v>
      </c>
      <c r="C23" s="41">
        <v>623100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-8177.7777777777774</v>
      </c>
      <c r="C24" s="45">
        <v>-441600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3.4246575342465752E-3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23DDD-79E0-428A-A490-06E170462D83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19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0.68571428571428572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-5500</v>
      </c>
      <c r="P2" s="118">
        <v>19</v>
      </c>
      <c r="Q2" s="102">
        <v>-104500</v>
      </c>
    </row>
    <row r="3" spans="1:17" x14ac:dyDescent="0.4">
      <c r="A3" s="55" t="s">
        <v>8</v>
      </c>
      <c r="B3" s="148">
        <v>149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0.65714285714285714</v>
      </c>
      <c r="I3" s="94">
        <v>10</v>
      </c>
      <c r="K3" s="38">
        <v>1</v>
      </c>
      <c r="L3" s="99">
        <v>-1.9</v>
      </c>
      <c r="N3" s="115" t="s">
        <v>133</v>
      </c>
      <c r="O3" s="122">
        <f t="shared" si="0"/>
        <v>-1455.5555555555557</v>
      </c>
      <c r="P3" s="119">
        <v>18</v>
      </c>
      <c r="Q3" s="103">
        <v>-26200</v>
      </c>
    </row>
    <row r="4" spans="1:17" x14ac:dyDescent="0.4">
      <c r="A4" s="55" t="s">
        <v>6</v>
      </c>
      <c r="B4" s="150">
        <v>-235.6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0.42857142857142855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-731.25</v>
      </c>
      <c r="P4" s="119">
        <v>16</v>
      </c>
      <c r="Q4" s="103">
        <v>-11700</v>
      </c>
    </row>
    <row r="5" spans="1:17" x14ac:dyDescent="0.4">
      <c r="A5" s="55" t="s">
        <v>7</v>
      </c>
      <c r="B5" s="152">
        <f>IF(B$2=0,0,B$4/B$2)</f>
        <v>-12.4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0.31428571428571428</v>
      </c>
      <c r="I5" s="94">
        <v>9</v>
      </c>
      <c r="K5" s="38">
        <v>3</v>
      </c>
      <c r="L5" s="99">
        <v>-10</v>
      </c>
      <c r="N5" s="115" t="s">
        <v>135</v>
      </c>
      <c r="O5" s="122">
        <f t="shared" si="0"/>
        <v>-852.94117647058829</v>
      </c>
      <c r="P5" s="119">
        <v>17</v>
      </c>
      <c r="Q5" s="103">
        <v>-14500</v>
      </c>
    </row>
    <row r="6" spans="1:17" x14ac:dyDescent="0.4">
      <c r="A6" s="55" t="s">
        <v>1</v>
      </c>
      <c r="B6" s="142">
        <f>IF(B$2=0,0,(B$7*1+B$8*2+B$9*3)/B$2)</f>
        <v>2.1578947368421053</v>
      </c>
      <c r="C6" s="143"/>
      <c r="E6" s="63" t="s">
        <v>68</v>
      </c>
      <c r="F6" s="60" t="s">
        <v>24</v>
      </c>
      <c r="G6" s="47">
        <v>9</v>
      </c>
      <c r="H6" s="133">
        <f>IF(B$17=0,0,G6/B$17)</f>
        <v>0.25714285714285712</v>
      </c>
      <c r="I6" s="94">
        <v>8</v>
      </c>
      <c r="K6" s="38">
        <v>4</v>
      </c>
      <c r="L6" s="99">
        <v>40</v>
      </c>
      <c r="N6" s="115" t="s">
        <v>136</v>
      </c>
      <c r="O6" s="122">
        <f t="shared" si="0"/>
        <v>-425</v>
      </c>
      <c r="P6" s="119">
        <v>16</v>
      </c>
      <c r="Q6" s="103">
        <v>-6800</v>
      </c>
    </row>
    <row r="7" spans="1:17" x14ac:dyDescent="0.4">
      <c r="A7" s="55" t="s">
        <v>2</v>
      </c>
      <c r="B7" s="47">
        <v>5</v>
      </c>
      <c r="C7" s="39">
        <f>IF(B$2=0,0,B7/B$2)</f>
        <v>0.26315789473684209</v>
      </c>
      <c r="E7" s="63" t="s">
        <v>69</v>
      </c>
      <c r="F7" s="60" t="s">
        <v>12</v>
      </c>
      <c r="G7" s="47">
        <v>6</v>
      </c>
      <c r="H7" s="133">
        <f>IF(B$17=0,0,G7/B$17)</f>
        <v>0.17142857142857143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1450</v>
      </c>
      <c r="P7" s="120">
        <v>14</v>
      </c>
      <c r="Q7" s="104">
        <v>20300</v>
      </c>
    </row>
    <row r="8" spans="1:17" x14ac:dyDescent="0.4">
      <c r="A8" s="55" t="s">
        <v>3</v>
      </c>
      <c r="B8" s="47">
        <v>6</v>
      </c>
      <c r="C8" s="39">
        <f>IF(B$2=0,0,B8/B$2)</f>
        <v>0.31578947368421051</v>
      </c>
      <c r="E8" s="63" t="s">
        <v>70</v>
      </c>
      <c r="F8" s="60" t="s">
        <v>25</v>
      </c>
      <c r="G8" s="47">
        <v>5</v>
      </c>
      <c r="H8" s="133">
        <f>IF(B$17=0,0,G8/B$17)</f>
        <v>0.14285714285714285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0.42105263157894735</v>
      </c>
      <c r="E9" s="63" t="s">
        <v>66</v>
      </c>
      <c r="F9" s="60" t="s">
        <v>22</v>
      </c>
      <c r="G9" s="47">
        <v>4</v>
      </c>
      <c r="H9" s="133">
        <f>IF(B$17=0,0,G9/B$17)</f>
        <v>0.11428571428571428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90</v>
      </c>
      <c r="F10" s="60" t="s">
        <v>45</v>
      </c>
      <c r="G10" s="47">
        <v>4</v>
      </c>
      <c r="H10" s="133">
        <f>IF(B$17=0,0,G10/B$17)</f>
        <v>0.11428571428571428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5.7142857142857141E-2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-20.571428571428573</v>
      </c>
      <c r="P11" s="119">
        <v>7</v>
      </c>
      <c r="Q11" s="107">
        <v>-144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92</v>
      </c>
      <c r="F12" s="60" t="s">
        <v>47</v>
      </c>
      <c r="G12" s="47">
        <v>2</v>
      </c>
      <c r="H12" s="133">
        <f>IF(B$17=0,0,G12/B$17)</f>
        <v>5.7142857142857141E-2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-7.4222222222222207</v>
      </c>
      <c r="P12" s="120">
        <v>9</v>
      </c>
      <c r="Q12" s="108">
        <v>-66.799999999999983</v>
      </c>
    </row>
    <row r="13" spans="1:17" x14ac:dyDescent="0.4">
      <c r="A13" s="58" t="s">
        <v>122</v>
      </c>
      <c r="B13" s="50">
        <v>27</v>
      </c>
      <c r="C13" s="44">
        <f>IF(B$3=0,0,B13/B$3)</f>
        <v>0.18120805369127516</v>
      </c>
      <c r="E13" s="63" t="s">
        <v>71</v>
      </c>
      <c r="F13" s="60" t="s">
        <v>26</v>
      </c>
      <c r="G13" s="47">
        <v>1</v>
      </c>
      <c r="H13" s="133">
        <f>IF(B$17=0,0,G13/B$17)</f>
        <v>2.8571428571428571E-2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38</v>
      </c>
      <c r="C14" s="39">
        <f>IF(B$3=0,0,B14/B$3)</f>
        <v>0.25503355704697989</v>
      </c>
      <c r="E14" s="63" t="s">
        <v>72</v>
      </c>
      <c r="F14" s="60" t="s">
        <v>27</v>
      </c>
      <c r="G14" s="47">
        <v>1</v>
      </c>
      <c r="H14" s="133">
        <f>IF(B$17=0,0,G14/B$17)</f>
        <v>2.8571428571428571E-2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0.51851851851851849</v>
      </c>
      <c r="E15" s="63" t="s">
        <v>76</v>
      </c>
      <c r="F15" s="60" t="s">
        <v>31</v>
      </c>
      <c r="G15" s="47">
        <v>1</v>
      </c>
      <c r="H15" s="133">
        <f>IF(B$17=0,0,G15/B$17)</f>
        <v>2.8571428571428571E-2</v>
      </c>
      <c r="I15" s="94">
        <v>2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0.36842105263157893</v>
      </c>
      <c r="E16" s="63" t="s">
        <v>82</v>
      </c>
      <c r="F16" s="60" t="s">
        <v>37</v>
      </c>
      <c r="G16" s="47">
        <v>1</v>
      </c>
      <c r="H16" s="133">
        <f>IF(B$17=0,0,G16/B$17)</f>
        <v>2.8571428571428571E-2</v>
      </c>
      <c r="I16" s="94">
        <v>6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0.2348993288590604</v>
      </c>
      <c r="E17" s="63" t="s">
        <v>86</v>
      </c>
      <c r="F17" s="60" t="s">
        <v>41</v>
      </c>
      <c r="G17" s="47">
        <v>1</v>
      </c>
      <c r="H17" s="133">
        <f>IF(B$17=0,0,G17/B$17)</f>
        <v>2.8571428571428571E-2</v>
      </c>
      <c r="I17" s="94">
        <v>1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14</v>
      </c>
      <c r="C18" s="39">
        <f>IF(B$17=0,0,B18/B$17)</f>
        <v>0.4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6</v>
      </c>
      <c r="K18" s="38">
        <v>16</v>
      </c>
      <c r="L18" s="99">
        <v>-153.29999999999998</v>
      </c>
      <c r="N18" s="115" t="s">
        <v>128</v>
      </c>
      <c r="O18" s="125">
        <f>IF(P18=0,0,Q18/P18)</f>
        <v>-10.178571428571427</v>
      </c>
      <c r="P18" s="119">
        <v>14</v>
      </c>
      <c r="Q18" s="107">
        <v>-142.49999999999997</v>
      </c>
    </row>
    <row r="19" spans="1:17" x14ac:dyDescent="0.4">
      <c r="A19" s="55" t="s">
        <v>11</v>
      </c>
      <c r="B19" s="47">
        <v>21</v>
      </c>
      <c r="C19" s="39">
        <f>IF(B$17=0,0,B19/B$17)</f>
        <v>0.6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29</v>
      </c>
      <c r="C20" s="39">
        <f>IF(B$3=0,0,B20/B$3)</f>
        <v>0.19463087248322147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127</v>
      </c>
      <c r="O20" s="125">
        <f>IF(P20=0,0,Q20/P20)</f>
        <v>-40.066666666666677</v>
      </c>
      <c r="P20" s="119">
        <v>9</v>
      </c>
      <c r="Q20" s="107">
        <v>-360.60000000000008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-235.6</v>
      </c>
      <c r="N21" s="115" t="s">
        <v>185</v>
      </c>
      <c r="O21" s="125">
        <f>IF(P21=0,0,Q21/P21)</f>
        <v>-45.699999999999996</v>
      </c>
      <c r="P21" s="119">
        <v>3</v>
      </c>
      <c r="Q21" s="107">
        <v>-137.1</v>
      </c>
    </row>
    <row r="22" spans="1:17" x14ac:dyDescent="0.4">
      <c r="A22" s="55" t="s">
        <v>194</v>
      </c>
      <c r="B22" s="47">
        <v>16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9</v>
      </c>
      <c r="N22" s="115" t="s">
        <v>129</v>
      </c>
      <c r="O22" s="125">
        <f>IF(P22=0,0,Q22/P22)</f>
        <v>-69.466666666666669</v>
      </c>
      <c r="P22" s="119">
        <v>3</v>
      </c>
      <c r="Q22" s="107">
        <v>-208.4</v>
      </c>
    </row>
    <row r="23" spans="1:17" x14ac:dyDescent="0.4">
      <c r="A23" s="55" t="s">
        <v>5</v>
      </c>
      <c r="B23" s="51">
        <f>IF(B$17=0,0,C23/B$17)</f>
        <v>7431.4285714285716</v>
      </c>
      <c r="C23" s="41">
        <v>260100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7</v>
      </c>
    </row>
    <row r="24" spans="1:17" x14ac:dyDescent="0.4">
      <c r="A24" s="57" t="s">
        <v>14</v>
      </c>
      <c r="B24" s="52">
        <f>IF(B$20=0,0,C24/B$20)</f>
        <v>-7093.1034482758623</v>
      </c>
      <c r="C24" s="45">
        <v>-205700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6.7114093959731542E-3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7F690-7E2A-449F-8A1D-A24846F29284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54806-9F47-4829-9BBB-C99F04CC967A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</v>
      </c>
      <c r="C2" s="147"/>
      <c r="E2" s="62" t="s">
        <v>73</v>
      </c>
      <c r="F2" s="59" t="s">
        <v>28</v>
      </c>
      <c r="G2" s="46">
        <v>15</v>
      </c>
      <c r="H2" s="132">
        <f>IF(B$17=0,0,G2/B$17)</f>
        <v>0.88235294117647056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-3837.5</v>
      </c>
      <c r="P2" s="118">
        <v>8</v>
      </c>
      <c r="Q2" s="102">
        <v>-30700</v>
      </c>
    </row>
    <row r="3" spans="1:17" x14ac:dyDescent="0.4">
      <c r="A3" s="55" t="s">
        <v>8</v>
      </c>
      <c r="B3" s="148">
        <v>68</v>
      </c>
      <c r="C3" s="149"/>
      <c r="E3" s="63" t="s">
        <v>67</v>
      </c>
      <c r="F3" s="60" t="s">
        <v>23</v>
      </c>
      <c r="G3" s="47">
        <v>13</v>
      </c>
      <c r="H3" s="133">
        <f>IF(B$17=0,0,G3/B$17)</f>
        <v>0.76470588235294112</v>
      </c>
      <c r="I3" s="94">
        <v>3</v>
      </c>
      <c r="K3" s="38">
        <v>1</v>
      </c>
      <c r="L3" s="99">
        <v>-43.7</v>
      </c>
      <c r="N3" s="115" t="s">
        <v>133</v>
      </c>
      <c r="O3" s="122">
        <f t="shared" si="0"/>
        <v>-2000</v>
      </c>
      <c r="P3" s="119">
        <v>8</v>
      </c>
      <c r="Q3" s="103">
        <v>-16000</v>
      </c>
    </row>
    <row r="4" spans="1:17" x14ac:dyDescent="0.4">
      <c r="A4" s="55" t="s">
        <v>6</v>
      </c>
      <c r="B4" s="150">
        <v>-170.5</v>
      </c>
      <c r="C4" s="151"/>
      <c r="E4" s="63" t="s">
        <v>65</v>
      </c>
      <c r="F4" s="60" t="s">
        <v>21</v>
      </c>
      <c r="G4" s="47">
        <v>8</v>
      </c>
      <c r="H4" s="133">
        <f>IF(B$17=0,0,G4/B$17)</f>
        <v>0.47058823529411764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-175</v>
      </c>
      <c r="P4" s="119">
        <v>8</v>
      </c>
      <c r="Q4" s="103">
        <v>-1400</v>
      </c>
    </row>
    <row r="5" spans="1:17" x14ac:dyDescent="0.4">
      <c r="A5" s="55" t="s">
        <v>7</v>
      </c>
      <c r="B5" s="152">
        <f>IF(B$2=0,0,B$4/B$2)</f>
        <v>-21.3125</v>
      </c>
      <c r="C5" s="153"/>
      <c r="E5" s="63" t="s">
        <v>69</v>
      </c>
      <c r="F5" s="60" t="s">
        <v>12</v>
      </c>
      <c r="G5" s="47">
        <v>4</v>
      </c>
      <c r="H5" s="133">
        <f>IF(B$17=0,0,G5/B$17)</f>
        <v>0.23529411764705882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-4285.7142857142853</v>
      </c>
      <c r="P5" s="119">
        <v>7</v>
      </c>
      <c r="Q5" s="103">
        <v>-30000</v>
      </c>
    </row>
    <row r="6" spans="1:17" x14ac:dyDescent="0.4">
      <c r="A6" s="55" t="s">
        <v>1</v>
      </c>
      <c r="B6" s="142">
        <f>IF(B$2=0,0,(B$7*1+B$8*2+B$9*3)/B$2)</f>
        <v>2.375</v>
      </c>
      <c r="C6" s="143"/>
      <c r="E6" s="63" t="s">
        <v>90</v>
      </c>
      <c r="F6" s="60" t="s">
        <v>45</v>
      </c>
      <c r="G6" s="47">
        <v>4</v>
      </c>
      <c r="H6" s="133">
        <f>IF(B$17=0,0,G6/B$17)</f>
        <v>0.23529411764705882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671.42857142857144</v>
      </c>
      <c r="P6" s="119">
        <v>7</v>
      </c>
      <c r="Q6" s="103">
        <v>4700</v>
      </c>
    </row>
    <row r="7" spans="1:17" x14ac:dyDescent="0.4">
      <c r="A7" s="55" t="s">
        <v>2</v>
      </c>
      <c r="B7" s="47">
        <v>2</v>
      </c>
      <c r="C7" s="39">
        <f>IF(B$2=0,0,B7/B$2)</f>
        <v>0.25</v>
      </c>
      <c r="E7" s="63" t="s">
        <v>181</v>
      </c>
      <c r="F7" s="60" t="s">
        <v>182</v>
      </c>
      <c r="G7" s="47">
        <v>4</v>
      </c>
      <c r="H7" s="133">
        <f>IF(B$17=0,0,G7/B$17)</f>
        <v>0.23529411764705882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-5300</v>
      </c>
      <c r="P7" s="120">
        <v>7</v>
      </c>
      <c r="Q7" s="104">
        <v>-37100</v>
      </c>
    </row>
    <row r="8" spans="1:17" x14ac:dyDescent="0.4">
      <c r="A8" s="55" t="s">
        <v>3</v>
      </c>
      <c r="B8" s="47">
        <v>1</v>
      </c>
      <c r="C8" s="39">
        <f>IF(B$2=0,0,B8/B$2)</f>
        <v>0.125</v>
      </c>
      <c r="E8" s="63" t="s">
        <v>68</v>
      </c>
      <c r="F8" s="60" t="s">
        <v>24</v>
      </c>
      <c r="G8" s="47">
        <v>2</v>
      </c>
      <c r="H8" s="133">
        <f>IF(B$17=0,0,G8/B$17)</f>
        <v>0.11764705882352941</v>
      </c>
      <c r="I8" s="94">
        <v>11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0.625</v>
      </c>
      <c r="E9" s="63" t="s">
        <v>70</v>
      </c>
      <c r="F9" s="60" t="s">
        <v>25</v>
      </c>
      <c r="G9" s="47">
        <v>2</v>
      </c>
      <c r="H9" s="133">
        <f>IF(B$17=0,0,G9/B$17)</f>
        <v>0.11764705882352941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84</v>
      </c>
      <c r="F10" s="60" t="s">
        <v>39</v>
      </c>
      <c r="G10" s="47">
        <v>2</v>
      </c>
      <c r="H10" s="133">
        <f>IF(B$17=0,0,G10/B$17)</f>
        <v>0.11764705882352941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1</v>
      </c>
      <c r="H11" s="133">
        <f>IF(B$17=0,0,G11/B$17)</f>
        <v>5.8823529411764705E-2</v>
      </c>
      <c r="I11" s="94">
        <v>8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74</v>
      </c>
      <c r="F12" s="60" t="s">
        <v>29</v>
      </c>
      <c r="G12" s="47">
        <v>1</v>
      </c>
      <c r="H12" s="133">
        <f>IF(B$17=0,0,G12/B$17)</f>
        <v>5.8823529411764705E-2</v>
      </c>
      <c r="I12" s="94">
        <v>1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12</v>
      </c>
      <c r="C13" s="44">
        <f>IF(B$3=0,0,B13/B$3)</f>
        <v>0.17647058823529413</v>
      </c>
      <c r="E13" s="63" t="s">
        <v>76</v>
      </c>
      <c r="F13" s="60" t="s">
        <v>31</v>
      </c>
      <c r="G13" s="47">
        <v>1</v>
      </c>
      <c r="H13" s="133">
        <f>IF(B$17=0,0,G13/B$17)</f>
        <v>5.8823529411764705E-2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0.22058823529411764</v>
      </c>
      <c r="E14" s="63" t="s">
        <v>80</v>
      </c>
      <c r="F14" s="60" t="s">
        <v>35</v>
      </c>
      <c r="G14" s="47">
        <v>1</v>
      </c>
      <c r="H14" s="133">
        <f>IF(B$17=0,0,G14/B$17)</f>
        <v>5.8823529411764705E-2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5.8823529411764705E-2</v>
      </c>
      <c r="I15" s="94">
        <v>1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7</v>
      </c>
      <c r="C16" s="37">
        <f>IF(B$14=0,0,B16/B$14)</f>
        <v>0.46666666666666667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0.25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127</v>
      </c>
      <c r="O17" s="125">
        <f>IF(P17=0,0,Q17/P17)</f>
        <v>-28.880000000000003</v>
      </c>
      <c r="P17" s="119">
        <v>5</v>
      </c>
      <c r="Q17" s="107">
        <v>-144.4</v>
      </c>
    </row>
    <row r="18" spans="1:17" x14ac:dyDescent="0.4">
      <c r="A18" s="55" t="s">
        <v>12</v>
      </c>
      <c r="B18" s="47">
        <v>9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-39.480000000000004</v>
      </c>
      <c r="P18" s="119">
        <v>5</v>
      </c>
      <c r="Q18" s="107">
        <v>-197.4</v>
      </c>
    </row>
    <row r="19" spans="1:17" x14ac:dyDescent="0.4">
      <c r="A19" s="55" t="s">
        <v>11</v>
      </c>
      <c r="B19" s="47">
        <v>8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177</v>
      </c>
      <c r="O19" s="125">
        <f>IF(P19=0,0,Q19/P19)</f>
        <v>-60.800000000000004</v>
      </c>
      <c r="P19" s="119">
        <v>2</v>
      </c>
      <c r="Q19" s="107">
        <v>-121.60000000000001</v>
      </c>
    </row>
    <row r="20" spans="1:17" x14ac:dyDescent="0.4">
      <c r="A20" s="55" t="s">
        <v>13</v>
      </c>
      <c r="B20" s="47">
        <v>17</v>
      </c>
      <c r="C20" s="39">
        <f>IF(B$3=0,0,B20/B$3)</f>
        <v>0.25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194</v>
      </c>
      <c r="B22" s="47">
        <v>10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7364.7058823529414</v>
      </c>
      <c r="C23" s="41">
        <v>125200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-8323.5294117647063</v>
      </c>
      <c r="C24" s="45">
        <v>-141500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90EA4-A58D-495D-B828-96F3477F401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BB391-7D4C-4E07-886B-32993B31698B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F586-850A-4171-8E70-4D14FFA91641}">
  <sheetPr codeName="Sheet24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4E5D8-EE22-4FA0-AB66-83CC1655F09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6F7AB-E80C-4F07-97FE-25415A23412C}">
  <sheetPr codeName="Sheet20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EF77A-58D7-4D73-84B8-1C86ED6F1BB4}">
  <sheetPr codeName="Sheet18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367B-3D47-4264-8F2D-E7402283CDBC}">
  <sheetPr codeName="Sheet16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AF8DF-D3F1-4C7B-B16C-78B9AAE1A93D}">
  <sheetPr codeName="Sheet14"/>
  <dimension ref="A1:Q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8F11B-E030-4716-B626-D4F5315FAB8A}">
  <sheetPr codeName="Sheet12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-837.69999999999993</v>
      </c>
      <c r="C35" s="66">
        <v>-26.178124999999998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-877.19999999999993</v>
      </c>
      <c r="C36" s="66">
        <v>-26.581818181818178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71882-D357-42B9-A6C6-6B6216637257}">
  <sheetPr codeName="Sheet10"/>
  <dimension ref="A1:Q8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14E81-D2A9-4D87-9317-440689BC3EBB}">
  <sheetPr codeName="Sheet8"/>
  <dimension ref="A1:Q8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03C0-213D-4D98-8D87-5AD9E667EFFA}">
  <sheetPr codeName="Sheet6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1.0000000000000213</v>
      </c>
      <c r="C112" s="66">
        <v>3.0581039755352333E-3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1.0000000000000213</v>
      </c>
      <c r="C113" s="66">
        <v>3.0303030303030949E-3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1.0000000000000271</v>
      </c>
      <c r="C114" s="66">
        <v>3.0030030030030845E-3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1.0000000000000284</v>
      </c>
      <c r="C115" s="66">
        <v>2.9761904761905606E-3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1.0000000000000284</v>
      </c>
      <c r="C116" s="66">
        <v>2.9498525073747149E-3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1.0000000000000284</v>
      </c>
      <c r="C117" s="66">
        <v>2.9239766081872176E-3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1.0000000000000255</v>
      </c>
      <c r="C118" s="66">
        <v>2.8985507246377554E-3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2019-05-07T15:37:52Z</dcterms:modified>
</cp:coreProperties>
</file>